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6.xml" ContentType="application/vnd.openxmlformats-officedocument.drawingml.chart+xml"/>
  <Override PartName="/xl/drawings/drawing4.xml" ContentType="application/vnd.openxmlformats-officedocument.drawing+xml"/>
  <Override PartName="/xl/charts/chart37.xml" ContentType="application/vnd.openxmlformats-officedocument.drawingml.chart+xml"/>
  <Override PartName="/xl/drawings/drawing5.xml" ContentType="application/vnd.openxmlformats-officedocument.drawing+xml"/>
  <Override PartName="/xl/charts/chart38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39.xml" ContentType="application/vnd.openxmlformats-officedocument.drawingml.chart+xml"/>
  <Override PartName="/xl/drawings/drawing8.xml" ContentType="application/vnd.openxmlformats-officedocument.drawing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drawings/drawing10.xml" ContentType="application/vnd.openxmlformats-officedocument.drawing+xml"/>
  <Override PartName="/xl/charts/chart42.xml" ContentType="application/vnd.openxmlformats-officedocument.drawingml.chart+xml"/>
  <Override PartName="/xl/drawings/drawing11.xml" ContentType="application/vnd.openxmlformats-officedocument.drawing+xml"/>
  <Override PartName="/xl/charts/chart43.xml" ContentType="application/vnd.openxmlformats-officedocument.drawingml.chart+xml"/>
  <Override PartName="/xl/drawings/drawing12.xml" ContentType="application/vnd.openxmlformats-officedocument.drawing+xml"/>
  <Override PartName="/xl/charts/chart44.xml" ContentType="application/vnd.openxmlformats-officedocument.drawingml.chart+xml"/>
  <Override PartName="/xl/drawings/drawing13.xml" ContentType="application/vnd.openxmlformats-officedocument.drawing+xml"/>
  <Override PartName="/xl/charts/chart45.xml" ContentType="application/vnd.openxmlformats-officedocument.drawingml.chart+xml"/>
  <Override PartName="/xl/drawings/drawing14.xml" ContentType="application/vnd.openxmlformats-officedocument.drawing+xml"/>
  <Override PartName="/xl/charts/chart46.xml" ContentType="application/vnd.openxmlformats-officedocument.drawingml.chart+xml"/>
  <Override PartName="/xl/drawings/drawing15.xml" ContentType="application/vnd.openxmlformats-officedocument.drawing+xml"/>
  <Override PartName="/xl/charts/chart47.xml" ContentType="application/vnd.openxmlformats-officedocument.drawingml.chart+xml"/>
  <Override PartName="/xl/drawings/drawing16.xml" ContentType="application/vnd.openxmlformats-officedocument.drawing+xml"/>
  <Override PartName="/xl/charts/chart48.xml" ContentType="application/vnd.openxmlformats-officedocument.drawingml.chart+xml"/>
  <Override PartName="/xl/drawings/drawing17.xml" ContentType="application/vnd.openxmlformats-officedocument.drawing+xml"/>
  <Override PartName="/xl/charts/chart49.xml" ContentType="application/vnd.openxmlformats-officedocument.drawingml.chart+xml"/>
  <Override PartName="/xl/drawings/drawing18.xml" ContentType="application/vnd.openxmlformats-officedocument.drawing+xml"/>
  <Override PartName="/xl/charts/chart5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15" windowWidth="12120" windowHeight="8580" tabRatio="660" activeTab="2"/>
  </bookViews>
  <sheets>
    <sheet name="Meta" sheetId="25" r:id="rId1"/>
    <sheet name="PPTest" sheetId="23" r:id="rId2"/>
    <sheet name="Data" sheetId="1" r:id="rId3"/>
    <sheet name="DerVar" sheetId="26" r:id="rId4"/>
    <sheet name="Solar" sheetId="19" r:id="rId5"/>
    <sheet name="PAR" sheetId="20" r:id="rId6"/>
    <sheet name="Tair6m" sheetId="7" r:id="rId7"/>
    <sheet name="Ta3m" sheetId="8" r:id="rId8"/>
    <sheet name="TA15m" sheetId="9" r:id="rId9"/>
    <sheet name="Ta25m" sheetId="10" r:id="rId10"/>
    <sheet name="Rh" sheetId="11" r:id="rId11"/>
    <sheet name="RhCor" sheetId="24" r:id="rId12"/>
    <sheet name="Tduff" sheetId="12" r:id="rId13"/>
    <sheet name="Soil15" sheetId="13" r:id="rId14"/>
    <sheet name="Soil50" sheetId="14" r:id="rId15"/>
    <sheet name="Wind" sheetId="15" r:id="rId16"/>
    <sheet name="PPT" sheetId="16" r:id="rId17"/>
    <sheet name="VPD" sheetId="18" r:id="rId18"/>
    <sheet name="Snow" sheetId="22" r:id="rId19"/>
  </sheets>
  <calcPr calcId="145621" iterate="1" iterateCount="1"/>
  <pivotCaches>
    <pivotCache cacheId="19" r:id="rId20"/>
  </pivotCaches>
</workbook>
</file>

<file path=xl/calcChain.xml><?xml version="1.0" encoding="utf-8"?>
<calcChain xmlns="http://schemas.openxmlformats.org/spreadsheetml/2006/main">
  <c r="BQ347" i="1" l="1"/>
  <c r="BQ346" i="1"/>
  <c r="BQ345" i="1"/>
  <c r="BQ344" i="1"/>
  <c r="BQ343" i="1"/>
  <c r="BQ342" i="1"/>
  <c r="BQ341" i="1"/>
  <c r="BQ340" i="1"/>
  <c r="BQ339" i="1"/>
  <c r="BQ338" i="1"/>
  <c r="BQ337" i="1"/>
  <c r="BQ336" i="1"/>
  <c r="BQ335" i="1"/>
  <c r="BQ334" i="1"/>
  <c r="BQ333" i="1"/>
  <c r="BQ332" i="1"/>
  <c r="BQ331" i="1"/>
  <c r="BQ330" i="1"/>
  <c r="BQ329" i="1"/>
  <c r="BQ328" i="1"/>
  <c r="BQ327" i="1"/>
  <c r="BQ326" i="1"/>
  <c r="BQ325" i="1"/>
  <c r="BQ324" i="1"/>
  <c r="BQ323" i="1"/>
  <c r="BQ322" i="1"/>
  <c r="BQ321" i="1"/>
  <c r="BQ320" i="1"/>
  <c r="BQ319" i="1"/>
  <c r="BQ318" i="1"/>
  <c r="BQ317" i="1"/>
  <c r="BQ316" i="1"/>
  <c r="BQ315" i="1"/>
  <c r="BQ314" i="1"/>
  <c r="BQ313" i="1"/>
  <c r="BQ312" i="1"/>
  <c r="BQ311" i="1"/>
  <c r="BQ310" i="1"/>
  <c r="BQ309" i="1"/>
  <c r="BQ308" i="1"/>
  <c r="BQ307" i="1"/>
  <c r="BQ306" i="1"/>
  <c r="BQ305" i="1"/>
  <c r="BQ304" i="1"/>
  <c r="BQ303" i="1"/>
  <c r="BQ302" i="1"/>
  <c r="BQ301" i="1"/>
  <c r="BQ300" i="1"/>
  <c r="BQ299" i="1"/>
  <c r="BQ298" i="1"/>
  <c r="BQ297" i="1"/>
  <c r="BQ296" i="1"/>
  <c r="BQ295" i="1"/>
  <c r="BQ294" i="1"/>
  <c r="BQ293" i="1"/>
  <c r="BQ292" i="1"/>
  <c r="BQ291" i="1"/>
  <c r="BQ290" i="1"/>
  <c r="BQ289" i="1"/>
  <c r="BQ288" i="1"/>
  <c r="BQ287" i="1"/>
  <c r="BQ286" i="1"/>
  <c r="BQ285" i="1"/>
  <c r="BQ284" i="1"/>
  <c r="BQ283" i="1"/>
  <c r="BQ282" i="1"/>
  <c r="BQ281" i="1"/>
  <c r="BQ280" i="1"/>
  <c r="BQ279" i="1"/>
  <c r="BQ278" i="1"/>
  <c r="BQ277" i="1"/>
  <c r="BQ276" i="1"/>
  <c r="BQ275" i="1"/>
  <c r="BQ274" i="1"/>
  <c r="BQ273" i="1"/>
  <c r="BQ272" i="1"/>
  <c r="BQ271" i="1"/>
  <c r="BQ270" i="1"/>
  <c r="BQ269" i="1"/>
  <c r="BQ268" i="1"/>
  <c r="BQ267" i="1"/>
  <c r="BQ266" i="1"/>
  <c r="BQ265" i="1"/>
  <c r="BQ264" i="1"/>
  <c r="BQ263" i="1"/>
  <c r="BQ262" i="1"/>
  <c r="BQ261" i="1"/>
  <c r="BQ260" i="1"/>
  <c r="BQ259" i="1"/>
  <c r="BQ258" i="1"/>
  <c r="BQ257" i="1"/>
  <c r="BQ256" i="1"/>
  <c r="BQ255" i="1"/>
  <c r="BQ254" i="1"/>
  <c r="BQ253" i="1"/>
  <c r="BQ252" i="1"/>
  <c r="BQ251" i="1"/>
  <c r="BQ250" i="1"/>
  <c r="BQ249" i="1"/>
  <c r="BQ248" i="1"/>
  <c r="BQ247" i="1"/>
  <c r="BQ246" i="1"/>
  <c r="BQ245" i="1"/>
  <c r="BQ244" i="1"/>
  <c r="BQ243" i="1"/>
  <c r="BQ242" i="1"/>
  <c r="BQ241" i="1"/>
  <c r="BQ240" i="1"/>
  <c r="BQ239" i="1"/>
  <c r="BQ238" i="1"/>
  <c r="BQ237" i="1"/>
  <c r="BQ236" i="1"/>
  <c r="BQ235" i="1"/>
  <c r="BQ234" i="1"/>
  <c r="BQ233" i="1"/>
  <c r="BQ232" i="1"/>
  <c r="BQ231" i="1"/>
  <c r="BQ230" i="1"/>
  <c r="BQ229" i="1"/>
  <c r="BQ228" i="1"/>
  <c r="BQ227" i="1"/>
  <c r="BQ226" i="1"/>
  <c r="BQ225" i="1"/>
  <c r="BQ224" i="1"/>
  <c r="BQ223" i="1"/>
  <c r="BQ222" i="1"/>
  <c r="BQ221" i="1"/>
  <c r="BQ220" i="1"/>
  <c r="BQ219" i="1"/>
  <c r="BQ218" i="1"/>
  <c r="BQ217" i="1"/>
  <c r="BQ216" i="1"/>
  <c r="BQ215" i="1"/>
  <c r="BQ214" i="1"/>
  <c r="BQ213" i="1"/>
  <c r="BQ212" i="1"/>
  <c r="BQ211" i="1"/>
  <c r="BQ210" i="1"/>
  <c r="BQ209" i="1"/>
  <c r="BQ208" i="1"/>
  <c r="BQ207" i="1"/>
  <c r="BQ206" i="1"/>
  <c r="BQ205" i="1"/>
  <c r="BQ204" i="1"/>
  <c r="BQ203" i="1"/>
  <c r="BQ202" i="1"/>
  <c r="BQ201" i="1"/>
  <c r="BQ200" i="1"/>
  <c r="BQ199" i="1"/>
  <c r="BQ198" i="1"/>
  <c r="BQ197" i="1"/>
  <c r="BQ196" i="1"/>
  <c r="BQ195" i="1"/>
  <c r="BQ194" i="1"/>
  <c r="BQ193" i="1"/>
  <c r="BQ192" i="1"/>
  <c r="BQ191" i="1"/>
  <c r="BQ190" i="1"/>
  <c r="BQ189" i="1"/>
  <c r="BQ188" i="1"/>
  <c r="BQ187" i="1"/>
  <c r="BQ186" i="1"/>
  <c r="BQ185" i="1"/>
  <c r="BQ184" i="1"/>
  <c r="BQ183" i="1"/>
  <c r="BQ182" i="1"/>
  <c r="BQ181" i="1"/>
  <c r="BQ180" i="1"/>
  <c r="BQ179" i="1"/>
  <c r="BQ178" i="1"/>
  <c r="BQ177" i="1"/>
  <c r="BQ176" i="1"/>
  <c r="BQ175" i="1"/>
  <c r="BQ174" i="1"/>
  <c r="BQ173" i="1"/>
  <c r="BQ172" i="1"/>
  <c r="BQ171" i="1"/>
  <c r="BQ170" i="1"/>
  <c r="BQ169" i="1"/>
  <c r="BQ168" i="1"/>
  <c r="BQ167" i="1"/>
  <c r="BQ166" i="1"/>
  <c r="BQ165" i="1"/>
  <c r="BQ164" i="1"/>
  <c r="BQ163" i="1"/>
  <c r="BQ162" i="1"/>
  <c r="BQ161" i="1"/>
  <c r="BQ160" i="1"/>
  <c r="BQ159" i="1"/>
  <c r="BQ158" i="1"/>
  <c r="BQ157" i="1"/>
  <c r="BQ156" i="1"/>
  <c r="BQ155" i="1"/>
  <c r="BQ154" i="1"/>
  <c r="BQ153" i="1"/>
  <c r="BQ152" i="1"/>
  <c r="BQ151" i="1"/>
  <c r="BQ150" i="1"/>
  <c r="BQ149" i="1"/>
  <c r="BQ148" i="1"/>
  <c r="BQ147" i="1"/>
  <c r="BQ146" i="1"/>
  <c r="BQ145" i="1"/>
  <c r="BQ144" i="1"/>
  <c r="BQ143" i="1"/>
  <c r="BQ142" i="1"/>
  <c r="BQ141" i="1"/>
  <c r="BQ140" i="1"/>
  <c r="BQ139" i="1"/>
  <c r="BQ138" i="1"/>
  <c r="BQ137" i="1"/>
  <c r="BQ136" i="1"/>
  <c r="BQ135" i="1"/>
  <c r="BQ134" i="1"/>
  <c r="BQ133" i="1"/>
  <c r="BQ132" i="1"/>
  <c r="BQ131" i="1"/>
  <c r="BQ130" i="1"/>
  <c r="BQ129" i="1"/>
  <c r="BQ128" i="1"/>
  <c r="BQ127" i="1"/>
  <c r="BQ126" i="1"/>
  <c r="BQ125" i="1"/>
  <c r="BQ124" i="1"/>
  <c r="BQ123" i="1"/>
  <c r="BQ122" i="1"/>
  <c r="BQ121" i="1"/>
  <c r="BQ120" i="1"/>
  <c r="BQ119" i="1"/>
  <c r="BQ118" i="1"/>
  <c r="BQ117" i="1"/>
  <c r="BQ116" i="1"/>
  <c r="BQ115" i="1"/>
  <c r="BQ114" i="1"/>
  <c r="BQ113" i="1"/>
  <c r="BQ112" i="1"/>
  <c r="BQ111" i="1"/>
  <c r="BQ110" i="1"/>
  <c r="BQ109" i="1"/>
  <c r="BQ108" i="1"/>
  <c r="BQ107" i="1"/>
  <c r="BQ106" i="1"/>
  <c r="BQ105" i="1"/>
  <c r="BQ104" i="1"/>
  <c r="BQ103" i="1"/>
  <c r="BQ102" i="1"/>
  <c r="BQ101" i="1"/>
  <c r="BQ100" i="1"/>
  <c r="BQ99" i="1"/>
  <c r="BQ98" i="1"/>
  <c r="BQ97" i="1"/>
  <c r="BQ96" i="1"/>
  <c r="BQ95" i="1"/>
  <c r="BQ94" i="1"/>
  <c r="BQ93" i="1"/>
  <c r="BQ92" i="1"/>
  <c r="BQ91" i="1"/>
  <c r="BQ90" i="1"/>
  <c r="BQ89" i="1"/>
  <c r="BQ88" i="1"/>
  <c r="BQ87" i="1"/>
  <c r="BQ86" i="1"/>
  <c r="BQ85" i="1"/>
  <c r="BQ84" i="1"/>
  <c r="BQ83" i="1"/>
  <c r="BQ82" i="1"/>
  <c r="BQ81" i="1"/>
  <c r="BQ80" i="1"/>
  <c r="BQ79" i="1"/>
  <c r="BQ78" i="1"/>
  <c r="BQ77" i="1"/>
  <c r="BQ76" i="1"/>
  <c r="BQ75" i="1"/>
  <c r="BQ74" i="1"/>
  <c r="BQ73" i="1"/>
  <c r="BQ72" i="1"/>
  <c r="BQ71" i="1"/>
  <c r="BQ70" i="1"/>
  <c r="BQ69" i="1"/>
  <c r="BQ68" i="1"/>
  <c r="BQ67" i="1"/>
  <c r="BQ66" i="1"/>
  <c r="BQ65" i="1"/>
  <c r="BQ64" i="1"/>
  <c r="BQ63" i="1"/>
  <c r="BQ62" i="1"/>
  <c r="BQ61" i="1"/>
  <c r="BQ60" i="1"/>
  <c r="BQ59" i="1"/>
  <c r="BQ58" i="1"/>
  <c r="BQ57" i="1"/>
  <c r="BQ56" i="1"/>
  <c r="BQ55" i="1"/>
  <c r="BQ54" i="1"/>
  <c r="BQ53" i="1"/>
  <c r="BQ52" i="1"/>
  <c r="BQ51" i="1"/>
  <c r="BQ50" i="1"/>
  <c r="BQ49" i="1"/>
  <c r="BQ48" i="1"/>
  <c r="BQ47" i="1"/>
  <c r="BQ46" i="1"/>
  <c r="BQ45" i="1"/>
  <c r="BQ44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348" i="1"/>
  <c r="BQ349" i="1"/>
  <c r="BQ350" i="1"/>
  <c r="BQ351" i="1"/>
  <c r="BQ352" i="1"/>
  <c r="BQ353" i="1"/>
  <c r="BQ354" i="1"/>
  <c r="BQ355" i="1"/>
  <c r="BQ356" i="1"/>
  <c r="BQ357" i="1"/>
  <c r="BQ358" i="1"/>
  <c r="BQ359" i="1"/>
  <c r="BQ360" i="1"/>
  <c r="BQ361" i="1"/>
  <c r="BQ362" i="1"/>
  <c r="BQ363" i="1"/>
  <c r="BQ364" i="1"/>
  <c r="BQ365" i="1"/>
  <c r="BQ366" i="1"/>
  <c r="BQ367" i="1"/>
  <c r="BQ368" i="1"/>
  <c r="BQ369" i="1"/>
  <c r="BQ370" i="1"/>
  <c r="BQ371" i="1"/>
  <c r="BQ7" i="1"/>
  <c r="BL4" i="1" l="1"/>
  <c r="BP371" i="1" l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CW320" i="1"/>
  <c r="H320" i="23"/>
  <c r="H308" i="23"/>
  <c r="H309" i="23"/>
  <c r="H310" i="23"/>
  <c r="H311" i="23"/>
  <c r="H312" i="23"/>
  <c r="H313" i="23"/>
  <c r="H314" i="23"/>
  <c r="H315" i="23"/>
  <c r="H316" i="23"/>
  <c r="H317" i="23"/>
  <c r="H318" i="23"/>
  <c r="H319" i="23"/>
  <c r="CW319" i="1" l="1"/>
  <c r="CW318" i="1"/>
  <c r="CW317" i="1"/>
  <c r="CW316" i="1"/>
  <c r="CW315" i="1"/>
  <c r="CW314" i="1"/>
  <c r="CW313" i="1"/>
  <c r="CW312" i="1"/>
  <c r="CW311" i="1"/>
  <c r="CW310" i="1"/>
  <c r="CW309" i="1"/>
  <c r="CW308" i="1"/>
  <c r="CW307" i="1"/>
  <c r="CW306" i="1"/>
  <c r="CW305" i="1"/>
  <c r="BS322" i="1"/>
  <c r="BS321" i="1"/>
  <c r="BS320" i="1"/>
  <c r="BS319" i="1"/>
  <c r="BS318" i="1"/>
  <c r="BS317" i="1"/>
  <c r="BS316" i="1"/>
  <c r="BS315" i="1"/>
  <c r="BS314" i="1"/>
  <c r="BS313" i="1"/>
  <c r="BS312" i="1"/>
  <c r="BS311" i="1"/>
  <c r="DB371" i="1"/>
  <c r="DA371" i="1"/>
  <c r="CO371" i="1"/>
  <c r="CG371" i="1"/>
  <c r="BY371" i="1"/>
  <c r="DB370" i="1"/>
  <c r="DA370" i="1"/>
  <c r="CO370" i="1"/>
  <c r="CG370" i="1"/>
  <c r="BY370" i="1"/>
  <c r="DB369" i="1"/>
  <c r="DA369" i="1"/>
  <c r="CO369" i="1"/>
  <c r="CG369" i="1"/>
  <c r="BY369" i="1"/>
  <c r="DB368" i="1"/>
  <c r="DA368" i="1"/>
  <c r="CO368" i="1"/>
  <c r="CG368" i="1"/>
  <c r="BY368" i="1"/>
  <c r="DB367" i="1"/>
  <c r="DA367" i="1"/>
  <c r="CO367" i="1"/>
  <c r="CG367" i="1"/>
  <c r="BY367" i="1"/>
  <c r="DB366" i="1"/>
  <c r="DA366" i="1"/>
  <c r="CO366" i="1"/>
  <c r="CG366" i="1"/>
  <c r="BY366" i="1"/>
  <c r="DB365" i="1"/>
  <c r="DA365" i="1"/>
  <c r="CO365" i="1"/>
  <c r="CG365" i="1"/>
  <c r="BY365" i="1"/>
  <c r="DB364" i="1"/>
  <c r="DA364" i="1"/>
  <c r="CO364" i="1"/>
  <c r="CG364" i="1"/>
  <c r="BY364" i="1"/>
  <c r="DB363" i="1"/>
  <c r="DA363" i="1"/>
  <c r="CO363" i="1"/>
  <c r="CG363" i="1"/>
  <c r="BY363" i="1"/>
  <c r="DB362" i="1"/>
  <c r="DA362" i="1"/>
  <c r="CO362" i="1"/>
  <c r="CG362" i="1"/>
  <c r="BY362" i="1"/>
  <c r="DB361" i="1"/>
  <c r="DA361" i="1"/>
  <c r="CO361" i="1"/>
  <c r="CG361" i="1"/>
  <c r="BY361" i="1"/>
  <c r="DB360" i="1"/>
  <c r="DA360" i="1"/>
  <c r="CO360" i="1"/>
  <c r="CG360" i="1"/>
  <c r="BY360" i="1"/>
  <c r="DB359" i="1"/>
  <c r="DA359" i="1"/>
  <c r="CO359" i="1"/>
  <c r="CG359" i="1"/>
  <c r="BY359" i="1"/>
  <c r="DB358" i="1"/>
  <c r="DA358" i="1"/>
  <c r="CO358" i="1"/>
  <c r="CG358" i="1"/>
  <c r="BY358" i="1"/>
  <c r="DB357" i="1"/>
  <c r="DA357" i="1"/>
  <c r="CO357" i="1"/>
  <c r="CG357" i="1"/>
  <c r="BY357" i="1"/>
  <c r="DB356" i="1"/>
  <c r="DA356" i="1"/>
  <c r="CO356" i="1"/>
  <c r="CG356" i="1"/>
  <c r="BY356" i="1"/>
  <c r="DB355" i="1"/>
  <c r="DA355" i="1"/>
  <c r="CO355" i="1"/>
  <c r="CG355" i="1"/>
  <c r="BY355" i="1"/>
  <c r="DB354" i="1"/>
  <c r="DA354" i="1"/>
  <c r="CO354" i="1"/>
  <c r="CG354" i="1"/>
  <c r="BY354" i="1"/>
  <c r="DB353" i="1"/>
  <c r="DA353" i="1"/>
  <c r="CO353" i="1"/>
  <c r="CG353" i="1"/>
  <c r="BY353" i="1"/>
  <c r="DB352" i="1"/>
  <c r="DA352" i="1"/>
  <c r="CO352" i="1"/>
  <c r="CG352" i="1"/>
  <c r="BY352" i="1"/>
  <c r="DB351" i="1"/>
  <c r="DA351" i="1"/>
  <c r="CO351" i="1"/>
  <c r="CG351" i="1"/>
  <c r="BY351" i="1"/>
  <c r="DB350" i="1"/>
  <c r="DA350" i="1"/>
  <c r="CO350" i="1"/>
  <c r="CG350" i="1"/>
  <c r="BY350" i="1"/>
  <c r="DB349" i="1"/>
  <c r="DA349" i="1"/>
  <c r="CO349" i="1"/>
  <c r="CG349" i="1"/>
  <c r="BY349" i="1"/>
  <c r="DB348" i="1"/>
  <c r="DA348" i="1"/>
  <c r="CO348" i="1"/>
  <c r="CG348" i="1"/>
  <c r="BY348" i="1"/>
  <c r="DC347" i="1"/>
  <c r="CZ347" i="1"/>
  <c r="CY347" i="1"/>
  <c r="CU347" i="1"/>
  <c r="CT347" i="1"/>
  <c r="CS347" i="1"/>
  <c r="CR347" i="1"/>
  <c r="CQ347" i="1"/>
  <c r="CP347" i="1"/>
  <c r="CO347" i="1"/>
  <c r="CM347" i="1"/>
  <c r="CL347" i="1"/>
  <c r="CK347" i="1"/>
  <c r="CJ347" i="1"/>
  <c r="CI347" i="1"/>
  <c r="CH347" i="1"/>
  <c r="CG347" i="1"/>
  <c r="CE347" i="1"/>
  <c r="CD347" i="1"/>
  <c r="CC347" i="1"/>
  <c r="CB347" i="1"/>
  <c r="CA347" i="1"/>
  <c r="BZ347" i="1"/>
  <c r="BY347" i="1"/>
  <c r="BX347" i="1"/>
  <c r="BW347" i="1"/>
  <c r="DC346" i="1"/>
  <c r="CZ346" i="1"/>
  <c r="CY346" i="1"/>
  <c r="CU346" i="1"/>
  <c r="CT346" i="1"/>
  <c r="CS346" i="1"/>
  <c r="CR346" i="1"/>
  <c r="CQ346" i="1"/>
  <c r="CP346" i="1"/>
  <c r="CO346" i="1"/>
  <c r="CM346" i="1"/>
  <c r="CL346" i="1"/>
  <c r="CK346" i="1"/>
  <c r="CJ346" i="1"/>
  <c r="CI346" i="1"/>
  <c r="CH346" i="1"/>
  <c r="CG346" i="1"/>
  <c r="CE346" i="1"/>
  <c r="CD346" i="1"/>
  <c r="CC346" i="1"/>
  <c r="CB346" i="1"/>
  <c r="CA346" i="1"/>
  <c r="BZ346" i="1"/>
  <c r="BY346" i="1"/>
  <c r="BX346" i="1"/>
  <c r="BW346" i="1"/>
  <c r="DC345" i="1"/>
  <c r="CZ345" i="1"/>
  <c r="CY345" i="1"/>
  <c r="CU345" i="1"/>
  <c r="CT345" i="1"/>
  <c r="CS345" i="1"/>
  <c r="CR345" i="1"/>
  <c r="CQ345" i="1"/>
  <c r="CP345" i="1"/>
  <c r="CO345" i="1"/>
  <c r="CM345" i="1"/>
  <c r="CL345" i="1"/>
  <c r="CK345" i="1"/>
  <c r="CJ345" i="1"/>
  <c r="CI345" i="1"/>
  <c r="CH345" i="1"/>
  <c r="CG345" i="1"/>
  <c r="CE345" i="1"/>
  <c r="CD345" i="1"/>
  <c r="CC345" i="1"/>
  <c r="CB345" i="1"/>
  <c r="CA345" i="1"/>
  <c r="BZ345" i="1"/>
  <c r="BY345" i="1"/>
  <c r="BX345" i="1"/>
  <c r="BW345" i="1"/>
  <c r="DC344" i="1"/>
  <c r="CZ344" i="1"/>
  <c r="CY344" i="1"/>
  <c r="CU344" i="1"/>
  <c r="CT344" i="1"/>
  <c r="CS344" i="1"/>
  <c r="CR344" i="1"/>
  <c r="CQ344" i="1"/>
  <c r="CP344" i="1"/>
  <c r="CO344" i="1"/>
  <c r="CM344" i="1"/>
  <c r="CL344" i="1"/>
  <c r="CK344" i="1"/>
  <c r="CJ344" i="1"/>
  <c r="CI344" i="1"/>
  <c r="CH344" i="1"/>
  <c r="CG344" i="1"/>
  <c r="CE344" i="1"/>
  <c r="CD344" i="1"/>
  <c r="CC344" i="1"/>
  <c r="CB344" i="1"/>
  <c r="CA344" i="1"/>
  <c r="BZ344" i="1"/>
  <c r="BY344" i="1"/>
  <c r="BX344" i="1"/>
  <c r="BW344" i="1"/>
  <c r="DC343" i="1"/>
  <c r="CZ343" i="1"/>
  <c r="CY343" i="1"/>
  <c r="CU343" i="1"/>
  <c r="CT343" i="1"/>
  <c r="CS343" i="1"/>
  <c r="CR343" i="1"/>
  <c r="CQ343" i="1"/>
  <c r="CP343" i="1"/>
  <c r="CO343" i="1"/>
  <c r="CM343" i="1"/>
  <c r="CL343" i="1"/>
  <c r="CK343" i="1"/>
  <c r="CJ343" i="1"/>
  <c r="CI343" i="1"/>
  <c r="CH343" i="1"/>
  <c r="CG343" i="1"/>
  <c r="CE343" i="1"/>
  <c r="CD343" i="1"/>
  <c r="CC343" i="1"/>
  <c r="CB343" i="1"/>
  <c r="CA343" i="1"/>
  <c r="BZ343" i="1"/>
  <c r="BY343" i="1"/>
  <c r="BX343" i="1"/>
  <c r="BW343" i="1"/>
  <c r="DC342" i="1"/>
  <c r="CZ342" i="1"/>
  <c r="CY342" i="1"/>
  <c r="CU342" i="1"/>
  <c r="CT342" i="1"/>
  <c r="CS342" i="1"/>
  <c r="CR342" i="1"/>
  <c r="CQ342" i="1"/>
  <c r="CP342" i="1"/>
  <c r="CO342" i="1"/>
  <c r="CM342" i="1"/>
  <c r="CL342" i="1"/>
  <c r="CK342" i="1"/>
  <c r="CJ342" i="1"/>
  <c r="CI342" i="1"/>
  <c r="CH342" i="1"/>
  <c r="CG342" i="1"/>
  <c r="CE342" i="1"/>
  <c r="CD342" i="1"/>
  <c r="CC342" i="1"/>
  <c r="CB342" i="1"/>
  <c r="CA342" i="1"/>
  <c r="BZ342" i="1"/>
  <c r="BY342" i="1"/>
  <c r="BX342" i="1"/>
  <c r="BW342" i="1"/>
  <c r="DC341" i="1"/>
  <c r="CZ341" i="1"/>
  <c r="CY341" i="1"/>
  <c r="CU341" i="1"/>
  <c r="CT341" i="1"/>
  <c r="CS341" i="1"/>
  <c r="CR341" i="1"/>
  <c r="CQ341" i="1"/>
  <c r="CP341" i="1"/>
  <c r="CO341" i="1"/>
  <c r="CM341" i="1"/>
  <c r="CL341" i="1"/>
  <c r="CK341" i="1"/>
  <c r="CJ341" i="1"/>
  <c r="CI341" i="1"/>
  <c r="CH341" i="1"/>
  <c r="CG341" i="1"/>
  <c r="CE341" i="1"/>
  <c r="CD341" i="1"/>
  <c r="CC341" i="1"/>
  <c r="CB341" i="1"/>
  <c r="CA341" i="1"/>
  <c r="BZ341" i="1"/>
  <c r="BY341" i="1"/>
  <c r="BX341" i="1"/>
  <c r="BW341" i="1"/>
  <c r="DC340" i="1"/>
  <c r="CZ340" i="1"/>
  <c r="CY340" i="1"/>
  <c r="CU340" i="1"/>
  <c r="CT340" i="1"/>
  <c r="CS340" i="1"/>
  <c r="CR340" i="1"/>
  <c r="CQ340" i="1"/>
  <c r="CP340" i="1"/>
  <c r="CO340" i="1"/>
  <c r="CM340" i="1"/>
  <c r="CL340" i="1"/>
  <c r="CK340" i="1"/>
  <c r="CJ340" i="1"/>
  <c r="CI340" i="1"/>
  <c r="CH340" i="1"/>
  <c r="CG340" i="1"/>
  <c r="CE340" i="1"/>
  <c r="CD340" i="1"/>
  <c r="CC340" i="1"/>
  <c r="CB340" i="1"/>
  <c r="CA340" i="1"/>
  <c r="BZ340" i="1"/>
  <c r="BY340" i="1"/>
  <c r="BX340" i="1"/>
  <c r="BW340" i="1"/>
  <c r="DC339" i="1"/>
  <c r="CZ339" i="1"/>
  <c r="CY339" i="1"/>
  <c r="CU339" i="1"/>
  <c r="CT339" i="1"/>
  <c r="CS339" i="1"/>
  <c r="CR339" i="1"/>
  <c r="CQ339" i="1"/>
  <c r="CP339" i="1"/>
  <c r="CO339" i="1"/>
  <c r="CM339" i="1"/>
  <c r="CL339" i="1"/>
  <c r="CK339" i="1"/>
  <c r="CJ339" i="1"/>
  <c r="CI339" i="1"/>
  <c r="CH339" i="1"/>
  <c r="CG339" i="1"/>
  <c r="CE339" i="1"/>
  <c r="CD339" i="1"/>
  <c r="CC339" i="1"/>
  <c r="CB339" i="1"/>
  <c r="CA339" i="1"/>
  <c r="BZ339" i="1"/>
  <c r="BY339" i="1"/>
  <c r="BX339" i="1"/>
  <c r="BW339" i="1"/>
  <c r="DC338" i="1"/>
  <c r="CZ338" i="1"/>
  <c r="CY338" i="1"/>
  <c r="CU338" i="1"/>
  <c r="CT338" i="1"/>
  <c r="CS338" i="1"/>
  <c r="CR338" i="1"/>
  <c r="CQ338" i="1"/>
  <c r="CP338" i="1"/>
  <c r="CO338" i="1"/>
  <c r="CM338" i="1"/>
  <c r="CL338" i="1"/>
  <c r="CK338" i="1"/>
  <c r="CJ338" i="1"/>
  <c r="CI338" i="1"/>
  <c r="CH338" i="1"/>
  <c r="CG338" i="1"/>
  <c r="CE338" i="1"/>
  <c r="CD338" i="1"/>
  <c r="CC338" i="1"/>
  <c r="CB338" i="1"/>
  <c r="CA338" i="1"/>
  <c r="BZ338" i="1"/>
  <c r="BY338" i="1"/>
  <c r="BX338" i="1"/>
  <c r="BW338" i="1"/>
  <c r="DC337" i="1"/>
  <c r="CZ337" i="1"/>
  <c r="CY337" i="1"/>
  <c r="CU337" i="1"/>
  <c r="CT337" i="1"/>
  <c r="CS337" i="1"/>
  <c r="CR337" i="1"/>
  <c r="CQ337" i="1"/>
  <c r="CP337" i="1"/>
  <c r="CO337" i="1"/>
  <c r="CM337" i="1"/>
  <c r="CL337" i="1"/>
  <c r="CK337" i="1"/>
  <c r="CJ337" i="1"/>
  <c r="CI337" i="1"/>
  <c r="CH337" i="1"/>
  <c r="CG337" i="1"/>
  <c r="CE337" i="1"/>
  <c r="CD337" i="1"/>
  <c r="CC337" i="1"/>
  <c r="CB337" i="1"/>
  <c r="CA337" i="1"/>
  <c r="BZ337" i="1"/>
  <c r="BY337" i="1"/>
  <c r="BX337" i="1"/>
  <c r="BW337" i="1"/>
  <c r="DC336" i="1"/>
  <c r="CZ336" i="1"/>
  <c r="CY336" i="1"/>
  <c r="CU336" i="1"/>
  <c r="CT336" i="1"/>
  <c r="CS336" i="1"/>
  <c r="CR336" i="1"/>
  <c r="CQ336" i="1"/>
  <c r="CP336" i="1"/>
  <c r="CO336" i="1"/>
  <c r="CM336" i="1"/>
  <c r="CL336" i="1"/>
  <c r="CK336" i="1"/>
  <c r="CJ336" i="1"/>
  <c r="CI336" i="1"/>
  <c r="CH336" i="1"/>
  <c r="CG336" i="1"/>
  <c r="CE336" i="1"/>
  <c r="CD336" i="1"/>
  <c r="CC336" i="1"/>
  <c r="CB336" i="1"/>
  <c r="CA336" i="1"/>
  <c r="BZ336" i="1"/>
  <c r="BY336" i="1"/>
  <c r="BX336" i="1"/>
  <c r="BW336" i="1"/>
  <c r="DC335" i="1"/>
  <c r="CZ335" i="1"/>
  <c r="CY335" i="1"/>
  <c r="CU335" i="1"/>
  <c r="CT335" i="1"/>
  <c r="CS335" i="1"/>
  <c r="CR335" i="1"/>
  <c r="CQ335" i="1"/>
  <c r="CP335" i="1"/>
  <c r="CO335" i="1"/>
  <c r="CM335" i="1"/>
  <c r="CL335" i="1"/>
  <c r="CK335" i="1"/>
  <c r="CJ335" i="1"/>
  <c r="CI335" i="1"/>
  <c r="CH335" i="1"/>
  <c r="CG335" i="1"/>
  <c r="CE335" i="1"/>
  <c r="CD335" i="1"/>
  <c r="CC335" i="1"/>
  <c r="CB335" i="1"/>
  <c r="CA335" i="1"/>
  <c r="BZ335" i="1"/>
  <c r="BY335" i="1"/>
  <c r="BX335" i="1"/>
  <c r="BW335" i="1"/>
  <c r="DC334" i="1"/>
  <c r="CZ334" i="1"/>
  <c r="CY334" i="1"/>
  <c r="CU334" i="1"/>
  <c r="CT334" i="1"/>
  <c r="CS334" i="1"/>
  <c r="CR334" i="1"/>
  <c r="CQ334" i="1"/>
  <c r="CP334" i="1"/>
  <c r="CO334" i="1"/>
  <c r="CM334" i="1"/>
  <c r="CL334" i="1"/>
  <c r="CK334" i="1"/>
  <c r="CJ334" i="1"/>
  <c r="CI334" i="1"/>
  <c r="CH334" i="1"/>
  <c r="CG334" i="1"/>
  <c r="CE334" i="1"/>
  <c r="CD334" i="1"/>
  <c r="CC334" i="1"/>
  <c r="CB334" i="1"/>
  <c r="CA334" i="1"/>
  <c r="BZ334" i="1"/>
  <c r="BY334" i="1"/>
  <c r="BX334" i="1"/>
  <c r="BW334" i="1"/>
  <c r="DC333" i="1"/>
  <c r="CZ333" i="1"/>
  <c r="CY333" i="1"/>
  <c r="CU333" i="1"/>
  <c r="CT333" i="1"/>
  <c r="CS333" i="1"/>
  <c r="CR333" i="1"/>
  <c r="CQ333" i="1"/>
  <c r="CP333" i="1"/>
  <c r="CO333" i="1"/>
  <c r="CM333" i="1"/>
  <c r="CL333" i="1"/>
  <c r="CK333" i="1"/>
  <c r="CJ333" i="1"/>
  <c r="CI333" i="1"/>
  <c r="CH333" i="1"/>
  <c r="CG333" i="1"/>
  <c r="CE333" i="1"/>
  <c r="CD333" i="1"/>
  <c r="CC333" i="1"/>
  <c r="CB333" i="1"/>
  <c r="CA333" i="1"/>
  <c r="BZ333" i="1"/>
  <c r="BY333" i="1"/>
  <c r="BX333" i="1"/>
  <c r="BW333" i="1"/>
  <c r="DC332" i="1"/>
  <c r="CZ332" i="1"/>
  <c r="CY332" i="1"/>
  <c r="CU332" i="1"/>
  <c r="CT332" i="1"/>
  <c r="CS332" i="1"/>
  <c r="CR332" i="1"/>
  <c r="CQ332" i="1"/>
  <c r="CP332" i="1"/>
  <c r="CO332" i="1"/>
  <c r="CM332" i="1"/>
  <c r="CL332" i="1"/>
  <c r="CK332" i="1"/>
  <c r="CJ332" i="1"/>
  <c r="CI332" i="1"/>
  <c r="CH332" i="1"/>
  <c r="CG332" i="1"/>
  <c r="CE332" i="1"/>
  <c r="CD332" i="1"/>
  <c r="CC332" i="1"/>
  <c r="CB332" i="1"/>
  <c r="CA332" i="1"/>
  <c r="BZ332" i="1"/>
  <c r="BY332" i="1"/>
  <c r="BX332" i="1"/>
  <c r="BW332" i="1"/>
  <c r="DC331" i="1"/>
  <c r="CZ331" i="1"/>
  <c r="CY331" i="1"/>
  <c r="CU331" i="1"/>
  <c r="CT331" i="1"/>
  <c r="CS331" i="1"/>
  <c r="CR331" i="1"/>
  <c r="CQ331" i="1"/>
  <c r="CP331" i="1"/>
  <c r="CO331" i="1"/>
  <c r="CM331" i="1"/>
  <c r="CL331" i="1"/>
  <c r="CK331" i="1"/>
  <c r="CJ331" i="1"/>
  <c r="CI331" i="1"/>
  <c r="CH331" i="1"/>
  <c r="CG331" i="1"/>
  <c r="CE331" i="1"/>
  <c r="CD331" i="1"/>
  <c r="CC331" i="1"/>
  <c r="CB331" i="1"/>
  <c r="CA331" i="1"/>
  <c r="BZ331" i="1"/>
  <c r="BY331" i="1"/>
  <c r="BX331" i="1"/>
  <c r="BW331" i="1"/>
  <c r="DC330" i="1"/>
  <c r="CZ330" i="1"/>
  <c r="CY330" i="1"/>
  <c r="CU330" i="1"/>
  <c r="CT330" i="1"/>
  <c r="CS330" i="1"/>
  <c r="CR330" i="1"/>
  <c r="CQ330" i="1"/>
  <c r="CP330" i="1"/>
  <c r="CO330" i="1"/>
  <c r="CM330" i="1"/>
  <c r="CL330" i="1"/>
  <c r="CK330" i="1"/>
  <c r="CJ330" i="1"/>
  <c r="CI330" i="1"/>
  <c r="CH330" i="1"/>
  <c r="CG330" i="1"/>
  <c r="CE330" i="1"/>
  <c r="CD330" i="1"/>
  <c r="CC330" i="1"/>
  <c r="CB330" i="1"/>
  <c r="CA330" i="1"/>
  <c r="BZ330" i="1"/>
  <c r="BY330" i="1"/>
  <c r="BX330" i="1"/>
  <c r="BW330" i="1"/>
  <c r="DC329" i="1"/>
  <c r="CZ329" i="1"/>
  <c r="CY329" i="1"/>
  <c r="CU329" i="1"/>
  <c r="CT329" i="1"/>
  <c r="CS329" i="1"/>
  <c r="CR329" i="1"/>
  <c r="CQ329" i="1"/>
  <c r="CP329" i="1"/>
  <c r="CO329" i="1"/>
  <c r="CM329" i="1"/>
  <c r="CL329" i="1"/>
  <c r="CK329" i="1"/>
  <c r="CJ329" i="1"/>
  <c r="CI329" i="1"/>
  <c r="CH329" i="1"/>
  <c r="CG329" i="1"/>
  <c r="CE329" i="1"/>
  <c r="CD329" i="1"/>
  <c r="CC329" i="1"/>
  <c r="CB329" i="1"/>
  <c r="CA329" i="1"/>
  <c r="BZ329" i="1"/>
  <c r="BY329" i="1"/>
  <c r="BX329" i="1"/>
  <c r="BW329" i="1"/>
  <c r="DC328" i="1"/>
  <c r="CZ328" i="1"/>
  <c r="CY328" i="1"/>
  <c r="CU328" i="1"/>
  <c r="CT328" i="1"/>
  <c r="CS328" i="1"/>
  <c r="CR328" i="1"/>
  <c r="CQ328" i="1"/>
  <c r="CP328" i="1"/>
  <c r="CO328" i="1"/>
  <c r="CM328" i="1"/>
  <c r="CL328" i="1"/>
  <c r="CK328" i="1"/>
  <c r="CJ328" i="1"/>
  <c r="CI328" i="1"/>
  <c r="CH328" i="1"/>
  <c r="CG328" i="1"/>
  <c r="CE328" i="1"/>
  <c r="CD328" i="1"/>
  <c r="CC328" i="1"/>
  <c r="CB328" i="1"/>
  <c r="CA328" i="1"/>
  <c r="BZ328" i="1"/>
  <c r="BY328" i="1"/>
  <c r="BX328" i="1"/>
  <c r="BW328" i="1"/>
  <c r="DC327" i="1"/>
  <c r="CZ327" i="1"/>
  <c r="CY327" i="1"/>
  <c r="CU327" i="1"/>
  <c r="CT327" i="1"/>
  <c r="CS327" i="1"/>
  <c r="CR327" i="1"/>
  <c r="CQ327" i="1"/>
  <c r="CP327" i="1"/>
  <c r="CO327" i="1"/>
  <c r="CM327" i="1"/>
  <c r="CL327" i="1"/>
  <c r="CK327" i="1"/>
  <c r="CJ327" i="1"/>
  <c r="CI327" i="1"/>
  <c r="CH327" i="1"/>
  <c r="CG327" i="1"/>
  <c r="CE327" i="1"/>
  <c r="CD327" i="1"/>
  <c r="CC327" i="1"/>
  <c r="CB327" i="1"/>
  <c r="CA327" i="1"/>
  <c r="BZ327" i="1"/>
  <c r="BY327" i="1"/>
  <c r="BX327" i="1"/>
  <c r="BW327" i="1"/>
  <c r="DC326" i="1"/>
  <c r="CZ326" i="1"/>
  <c r="CY326" i="1"/>
  <c r="CU326" i="1"/>
  <c r="CT326" i="1"/>
  <c r="CS326" i="1"/>
  <c r="CR326" i="1"/>
  <c r="CQ326" i="1"/>
  <c r="CP326" i="1"/>
  <c r="CO326" i="1"/>
  <c r="CM326" i="1"/>
  <c r="CL326" i="1"/>
  <c r="CK326" i="1"/>
  <c r="CJ326" i="1"/>
  <c r="CI326" i="1"/>
  <c r="CH326" i="1"/>
  <c r="CG326" i="1"/>
  <c r="CE326" i="1"/>
  <c r="CD326" i="1"/>
  <c r="CC326" i="1"/>
  <c r="CB326" i="1"/>
  <c r="CA326" i="1"/>
  <c r="BZ326" i="1"/>
  <c r="BY326" i="1"/>
  <c r="BX326" i="1"/>
  <c r="BW326" i="1"/>
  <c r="DC325" i="1"/>
  <c r="CZ325" i="1"/>
  <c r="CY325" i="1"/>
  <c r="CU325" i="1"/>
  <c r="CT325" i="1"/>
  <c r="CS325" i="1"/>
  <c r="CR325" i="1"/>
  <c r="CQ325" i="1"/>
  <c r="CP325" i="1"/>
  <c r="CO325" i="1"/>
  <c r="CM325" i="1"/>
  <c r="CL325" i="1"/>
  <c r="CK325" i="1"/>
  <c r="CJ325" i="1"/>
  <c r="CI325" i="1"/>
  <c r="CH325" i="1"/>
  <c r="CG325" i="1"/>
  <c r="CE325" i="1"/>
  <c r="CD325" i="1"/>
  <c r="CC325" i="1"/>
  <c r="CB325" i="1"/>
  <c r="CA325" i="1"/>
  <c r="BZ325" i="1"/>
  <c r="BY325" i="1"/>
  <c r="BX325" i="1"/>
  <c r="BW325" i="1"/>
  <c r="DC324" i="1"/>
  <c r="CZ324" i="1"/>
  <c r="CY324" i="1"/>
  <c r="CU324" i="1"/>
  <c r="CT324" i="1"/>
  <c r="CS324" i="1"/>
  <c r="CR324" i="1"/>
  <c r="CQ324" i="1"/>
  <c r="CP324" i="1"/>
  <c r="CO324" i="1"/>
  <c r="CM324" i="1"/>
  <c r="CL324" i="1"/>
  <c r="CK324" i="1"/>
  <c r="CJ324" i="1"/>
  <c r="CI324" i="1"/>
  <c r="CH324" i="1"/>
  <c r="CG324" i="1"/>
  <c r="CE324" i="1"/>
  <c r="CD324" i="1"/>
  <c r="CC324" i="1"/>
  <c r="CB324" i="1"/>
  <c r="CA324" i="1"/>
  <c r="BZ324" i="1"/>
  <c r="BY324" i="1"/>
  <c r="BX324" i="1"/>
  <c r="BW324" i="1"/>
  <c r="DC323" i="1"/>
  <c r="CZ323" i="1"/>
  <c r="CY323" i="1"/>
  <c r="CU323" i="1"/>
  <c r="CT323" i="1"/>
  <c r="CS323" i="1"/>
  <c r="CR323" i="1"/>
  <c r="CQ323" i="1"/>
  <c r="CP323" i="1"/>
  <c r="CO323" i="1"/>
  <c r="CM323" i="1"/>
  <c r="CL323" i="1"/>
  <c r="CK323" i="1"/>
  <c r="CJ323" i="1"/>
  <c r="CI323" i="1"/>
  <c r="CH323" i="1"/>
  <c r="CG323" i="1"/>
  <c r="CE323" i="1"/>
  <c r="CD323" i="1"/>
  <c r="CC323" i="1"/>
  <c r="CB323" i="1"/>
  <c r="CA323" i="1"/>
  <c r="BZ323" i="1"/>
  <c r="BY323" i="1"/>
  <c r="BX323" i="1"/>
  <c r="BW323" i="1"/>
  <c r="DC322" i="1"/>
  <c r="CZ322" i="1"/>
  <c r="CY322" i="1"/>
  <c r="CU322" i="1"/>
  <c r="CT322" i="1"/>
  <c r="CS322" i="1"/>
  <c r="CR322" i="1"/>
  <c r="CQ322" i="1"/>
  <c r="CP322" i="1"/>
  <c r="CO322" i="1"/>
  <c r="CM322" i="1"/>
  <c r="CL322" i="1"/>
  <c r="CK322" i="1"/>
  <c r="CJ322" i="1"/>
  <c r="CI322" i="1"/>
  <c r="CH322" i="1"/>
  <c r="CG322" i="1"/>
  <c r="CE322" i="1"/>
  <c r="CD322" i="1"/>
  <c r="CC322" i="1"/>
  <c r="CB322" i="1"/>
  <c r="CA322" i="1"/>
  <c r="BZ322" i="1"/>
  <c r="BY322" i="1"/>
  <c r="BX322" i="1"/>
  <c r="BW322" i="1"/>
  <c r="DC321" i="1"/>
  <c r="CZ321" i="1"/>
  <c r="CY321" i="1"/>
  <c r="CU321" i="1"/>
  <c r="CT321" i="1"/>
  <c r="CS321" i="1"/>
  <c r="CR321" i="1"/>
  <c r="CQ321" i="1"/>
  <c r="CP321" i="1"/>
  <c r="CO321" i="1"/>
  <c r="CM321" i="1"/>
  <c r="CL321" i="1"/>
  <c r="CK321" i="1"/>
  <c r="CJ321" i="1"/>
  <c r="CI321" i="1"/>
  <c r="CH321" i="1"/>
  <c r="CG321" i="1"/>
  <c r="CE321" i="1"/>
  <c r="CD321" i="1"/>
  <c r="CC321" i="1"/>
  <c r="CB321" i="1"/>
  <c r="CA321" i="1"/>
  <c r="BZ321" i="1"/>
  <c r="BY321" i="1"/>
  <c r="BX321" i="1"/>
  <c r="BW321" i="1"/>
  <c r="DC320" i="1"/>
  <c r="CZ320" i="1"/>
  <c r="CY320" i="1"/>
  <c r="CU320" i="1"/>
  <c r="CT320" i="1"/>
  <c r="CS320" i="1"/>
  <c r="CR320" i="1"/>
  <c r="CQ320" i="1"/>
  <c r="CP320" i="1"/>
  <c r="CO320" i="1"/>
  <c r="CM320" i="1"/>
  <c r="CL320" i="1"/>
  <c r="CK320" i="1"/>
  <c r="CJ320" i="1"/>
  <c r="CI320" i="1"/>
  <c r="CH320" i="1"/>
  <c r="CG320" i="1"/>
  <c r="CE320" i="1"/>
  <c r="CD320" i="1"/>
  <c r="CC320" i="1"/>
  <c r="CB320" i="1"/>
  <c r="CA320" i="1"/>
  <c r="BZ320" i="1"/>
  <c r="BY320" i="1"/>
  <c r="BX320" i="1"/>
  <c r="BW320" i="1"/>
  <c r="DC319" i="1"/>
  <c r="CZ319" i="1"/>
  <c r="CY319" i="1"/>
  <c r="CU319" i="1"/>
  <c r="CT319" i="1"/>
  <c r="CS319" i="1"/>
  <c r="CR319" i="1"/>
  <c r="CQ319" i="1"/>
  <c r="CP319" i="1"/>
  <c r="CO319" i="1"/>
  <c r="CM319" i="1"/>
  <c r="CL319" i="1"/>
  <c r="CK319" i="1"/>
  <c r="CJ319" i="1"/>
  <c r="CI319" i="1"/>
  <c r="CH319" i="1"/>
  <c r="CG319" i="1"/>
  <c r="CE319" i="1"/>
  <c r="CD319" i="1"/>
  <c r="CC319" i="1"/>
  <c r="CB319" i="1"/>
  <c r="CA319" i="1"/>
  <c r="BZ319" i="1"/>
  <c r="BY319" i="1"/>
  <c r="BX319" i="1"/>
  <c r="BW319" i="1"/>
  <c r="DC318" i="1"/>
  <c r="CZ318" i="1"/>
  <c r="CY318" i="1"/>
  <c r="CU318" i="1"/>
  <c r="CT318" i="1"/>
  <c r="CS318" i="1"/>
  <c r="CR318" i="1"/>
  <c r="CQ318" i="1"/>
  <c r="CP318" i="1"/>
  <c r="CO318" i="1"/>
  <c r="CM318" i="1"/>
  <c r="CL318" i="1"/>
  <c r="CK318" i="1"/>
  <c r="CJ318" i="1"/>
  <c r="CI318" i="1"/>
  <c r="CH318" i="1"/>
  <c r="CG318" i="1"/>
  <c r="CE318" i="1"/>
  <c r="CD318" i="1"/>
  <c r="CC318" i="1"/>
  <c r="CB318" i="1"/>
  <c r="CA318" i="1"/>
  <c r="BZ318" i="1"/>
  <c r="BY318" i="1"/>
  <c r="BX318" i="1"/>
  <c r="BW318" i="1"/>
  <c r="DC317" i="1"/>
  <c r="CZ317" i="1"/>
  <c r="CY317" i="1"/>
  <c r="CU317" i="1"/>
  <c r="CT317" i="1"/>
  <c r="CS317" i="1"/>
  <c r="CR317" i="1"/>
  <c r="CQ317" i="1"/>
  <c r="CP317" i="1"/>
  <c r="CO317" i="1"/>
  <c r="CM317" i="1"/>
  <c r="CL317" i="1"/>
  <c r="CK317" i="1"/>
  <c r="CJ317" i="1"/>
  <c r="CI317" i="1"/>
  <c r="CH317" i="1"/>
  <c r="CG317" i="1"/>
  <c r="CE317" i="1"/>
  <c r="CD317" i="1"/>
  <c r="CC317" i="1"/>
  <c r="CB317" i="1"/>
  <c r="CA317" i="1"/>
  <c r="BZ317" i="1"/>
  <c r="BY317" i="1"/>
  <c r="BX317" i="1"/>
  <c r="BW317" i="1"/>
  <c r="DC316" i="1"/>
  <c r="CZ316" i="1"/>
  <c r="CY316" i="1"/>
  <c r="CU316" i="1"/>
  <c r="CT316" i="1"/>
  <c r="CS316" i="1"/>
  <c r="CR316" i="1"/>
  <c r="CQ316" i="1"/>
  <c r="CP316" i="1"/>
  <c r="CO316" i="1"/>
  <c r="CM316" i="1"/>
  <c r="CL316" i="1"/>
  <c r="CK316" i="1"/>
  <c r="CJ316" i="1"/>
  <c r="CI316" i="1"/>
  <c r="CH316" i="1"/>
  <c r="CG316" i="1"/>
  <c r="CE316" i="1"/>
  <c r="CD316" i="1"/>
  <c r="CC316" i="1"/>
  <c r="CB316" i="1"/>
  <c r="CA316" i="1"/>
  <c r="BZ316" i="1"/>
  <c r="BY316" i="1"/>
  <c r="BX316" i="1"/>
  <c r="BW316" i="1"/>
  <c r="DC315" i="1"/>
  <c r="CZ315" i="1"/>
  <c r="CY315" i="1"/>
  <c r="CU315" i="1"/>
  <c r="CT315" i="1"/>
  <c r="CS315" i="1"/>
  <c r="CR315" i="1"/>
  <c r="CQ315" i="1"/>
  <c r="CP315" i="1"/>
  <c r="CO315" i="1"/>
  <c r="CM315" i="1"/>
  <c r="CL315" i="1"/>
  <c r="CK315" i="1"/>
  <c r="CJ315" i="1"/>
  <c r="CI315" i="1"/>
  <c r="CH315" i="1"/>
  <c r="CG315" i="1"/>
  <c r="CE315" i="1"/>
  <c r="CD315" i="1"/>
  <c r="CC315" i="1"/>
  <c r="CB315" i="1"/>
  <c r="CA315" i="1"/>
  <c r="BZ315" i="1"/>
  <c r="BY315" i="1"/>
  <c r="BX315" i="1"/>
  <c r="BW315" i="1"/>
  <c r="DC314" i="1"/>
  <c r="CZ314" i="1"/>
  <c r="CY314" i="1"/>
  <c r="CU314" i="1"/>
  <c r="CT314" i="1"/>
  <c r="CS314" i="1"/>
  <c r="CR314" i="1"/>
  <c r="CQ314" i="1"/>
  <c r="CP314" i="1"/>
  <c r="CO314" i="1"/>
  <c r="CM314" i="1"/>
  <c r="CL314" i="1"/>
  <c r="CK314" i="1"/>
  <c r="CJ314" i="1"/>
  <c r="CI314" i="1"/>
  <c r="CH314" i="1"/>
  <c r="CG314" i="1"/>
  <c r="CE314" i="1"/>
  <c r="CD314" i="1"/>
  <c r="CC314" i="1"/>
  <c r="CB314" i="1"/>
  <c r="CA314" i="1"/>
  <c r="BZ314" i="1"/>
  <c r="BY314" i="1"/>
  <c r="BX314" i="1"/>
  <c r="BW314" i="1"/>
  <c r="DC313" i="1"/>
  <c r="CZ313" i="1"/>
  <c r="CY313" i="1"/>
  <c r="CU313" i="1"/>
  <c r="CT313" i="1"/>
  <c r="CS313" i="1"/>
  <c r="CR313" i="1"/>
  <c r="CQ313" i="1"/>
  <c r="CP313" i="1"/>
  <c r="CO313" i="1"/>
  <c r="CM313" i="1"/>
  <c r="CL313" i="1"/>
  <c r="CK313" i="1"/>
  <c r="CJ313" i="1"/>
  <c r="CI313" i="1"/>
  <c r="CH313" i="1"/>
  <c r="CG313" i="1"/>
  <c r="CE313" i="1"/>
  <c r="CD313" i="1"/>
  <c r="CC313" i="1"/>
  <c r="CB313" i="1"/>
  <c r="CA313" i="1"/>
  <c r="BZ313" i="1"/>
  <c r="BY313" i="1"/>
  <c r="BX313" i="1"/>
  <c r="BW313" i="1"/>
  <c r="DC312" i="1"/>
  <c r="CZ312" i="1"/>
  <c r="CY312" i="1"/>
  <c r="CU312" i="1"/>
  <c r="CT312" i="1"/>
  <c r="CS312" i="1"/>
  <c r="CR312" i="1"/>
  <c r="CQ312" i="1"/>
  <c r="CP312" i="1"/>
  <c r="CO312" i="1"/>
  <c r="CM312" i="1"/>
  <c r="CL312" i="1"/>
  <c r="CK312" i="1"/>
  <c r="CJ312" i="1"/>
  <c r="CI312" i="1"/>
  <c r="CH312" i="1"/>
  <c r="CG312" i="1"/>
  <c r="CE312" i="1"/>
  <c r="CD312" i="1"/>
  <c r="CC312" i="1"/>
  <c r="CB312" i="1"/>
  <c r="CA312" i="1"/>
  <c r="BZ312" i="1"/>
  <c r="BY312" i="1"/>
  <c r="BX312" i="1"/>
  <c r="BW312" i="1"/>
  <c r="DC311" i="1"/>
  <c r="CZ311" i="1"/>
  <c r="CY311" i="1"/>
  <c r="CU311" i="1"/>
  <c r="CT311" i="1"/>
  <c r="CS311" i="1"/>
  <c r="CR311" i="1"/>
  <c r="CQ311" i="1"/>
  <c r="CP311" i="1"/>
  <c r="CO311" i="1"/>
  <c r="CM311" i="1"/>
  <c r="CL311" i="1"/>
  <c r="CK311" i="1"/>
  <c r="CJ311" i="1"/>
  <c r="CI311" i="1"/>
  <c r="CH311" i="1"/>
  <c r="CG311" i="1"/>
  <c r="CE311" i="1"/>
  <c r="CD311" i="1"/>
  <c r="CC311" i="1"/>
  <c r="CB311" i="1"/>
  <c r="CA311" i="1"/>
  <c r="BZ311" i="1"/>
  <c r="BY311" i="1"/>
  <c r="BX311" i="1"/>
  <c r="BW311" i="1"/>
  <c r="DC310" i="1"/>
  <c r="CZ310" i="1"/>
  <c r="CY310" i="1"/>
  <c r="CU310" i="1"/>
  <c r="CT310" i="1"/>
  <c r="CS310" i="1"/>
  <c r="CR310" i="1"/>
  <c r="CQ310" i="1"/>
  <c r="CP310" i="1"/>
  <c r="CO310" i="1"/>
  <c r="CM310" i="1"/>
  <c r="CL310" i="1"/>
  <c r="CK310" i="1"/>
  <c r="CJ310" i="1"/>
  <c r="CI310" i="1"/>
  <c r="CH310" i="1"/>
  <c r="CG310" i="1"/>
  <c r="CE310" i="1"/>
  <c r="CD310" i="1"/>
  <c r="CC310" i="1"/>
  <c r="CB310" i="1"/>
  <c r="CA310" i="1"/>
  <c r="BZ310" i="1"/>
  <c r="BY310" i="1"/>
  <c r="BX310" i="1"/>
  <c r="BW310" i="1"/>
  <c r="DC309" i="1"/>
  <c r="CZ309" i="1"/>
  <c r="CY309" i="1"/>
  <c r="CU309" i="1"/>
  <c r="CT309" i="1"/>
  <c r="CS309" i="1"/>
  <c r="CR309" i="1"/>
  <c r="CQ309" i="1"/>
  <c r="CP309" i="1"/>
  <c r="CO309" i="1"/>
  <c r="CM309" i="1"/>
  <c r="CL309" i="1"/>
  <c r="CK309" i="1"/>
  <c r="CJ309" i="1"/>
  <c r="CI309" i="1"/>
  <c r="CH309" i="1"/>
  <c r="CG309" i="1"/>
  <c r="CE309" i="1"/>
  <c r="CD309" i="1"/>
  <c r="CC309" i="1"/>
  <c r="CB309" i="1"/>
  <c r="CA309" i="1"/>
  <c r="BZ309" i="1"/>
  <c r="BY309" i="1"/>
  <c r="BX309" i="1"/>
  <c r="BW309" i="1"/>
  <c r="DC308" i="1"/>
  <c r="CZ308" i="1"/>
  <c r="CY308" i="1"/>
  <c r="CU308" i="1"/>
  <c r="CT308" i="1"/>
  <c r="CS308" i="1"/>
  <c r="CR308" i="1"/>
  <c r="CQ308" i="1"/>
  <c r="CP308" i="1"/>
  <c r="CO308" i="1"/>
  <c r="CM308" i="1"/>
  <c r="CL308" i="1"/>
  <c r="CK308" i="1"/>
  <c r="CJ308" i="1"/>
  <c r="CI308" i="1"/>
  <c r="CH308" i="1"/>
  <c r="CG308" i="1"/>
  <c r="CE308" i="1"/>
  <c r="CD308" i="1"/>
  <c r="CC308" i="1"/>
  <c r="CB308" i="1"/>
  <c r="CA308" i="1"/>
  <c r="BZ308" i="1"/>
  <c r="BY308" i="1"/>
  <c r="BX308" i="1"/>
  <c r="BW308" i="1"/>
  <c r="DC307" i="1"/>
  <c r="CZ307" i="1"/>
  <c r="CY307" i="1"/>
  <c r="CU307" i="1"/>
  <c r="CT307" i="1"/>
  <c r="CS307" i="1"/>
  <c r="CR307" i="1"/>
  <c r="CQ307" i="1"/>
  <c r="CP307" i="1"/>
  <c r="CO307" i="1"/>
  <c r="CM307" i="1"/>
  <c r="CL307" i="1"/>
  <c r="CK307" i="1"/>
  <c r="CJ307" i="1"/>
  <c r="CI307" i="1"/>
  <c r="CH307" i="1"/>
  <c r="CG307" i="1"/>
  <c r="CE307" i="1"/>
  <c r="CD307" i="1"/>
  <c r="CC307" i="1"/>
  <c r="CB307" i="1"/>
  <c r="CA307" i="1"/>
  <c r="BZ307" i="1"/>
  <c r="BY307" i="1"/>
  <c r="BX307" i="1"/>
  <c r="BW307" i="1"/>
  <c r="DC306" i="1"/>
  <c r="CZ306" i="1"/>
  <c r="CY306" i="1"/>
  <c r="CU306" i="1"/>
  <c r="CT306" i="1"/>
  <c r="CS306" i="1"/>
  <c r="CR306" i="1"/>
  <c r="CQ306" i="1"/>
  <c r="CP306" i="1"/>
  <c r="CO306" i="1"/>
  <c r="CM306" i="1"/>
  <c r="CL306" i="1"/>
  <c r="CK306" i="1"/>
  <c r="CJ306" i="1"/>
  <c r="CI306" i="1"/>
  <c r="CH306" i="1"/>
  <c r="CG306" i="1"/>
  <c r="CE306" i="1"/>
  <c r="CD306" i="1"/>
  <c r="CC306" i="1"/>
  <c r="CB306" i="1"/>
  <c r="CA306" i="1"/>
  <c r="BZ306" i="1"/>
  <c r="BY306" i="1"/>
  <c r="BX306" i="1"/>
  <c r="BW306" i="1"/>
  <c r="DC305" i="1"/>
  <c r="CZ305" i="1"/>
  <c r="CY305" i="1"/>
  <c r="CU305" i="1"/>
  <c r="CT305" i="1"/>
  <c r="CS305" i="1"/>
  <c r="CR305" i="1"/>
  <c r="CQ305" i="1"/>
  <c r="CP305" i="1"/>
  <c r="CO305" i="1"/>
  <c r="CM305" i="1"/>
  <c r="CL305" i="1"/>
  <c r="CK305" i="1"/>
  <c r="CJ305" i="1"/>
  <c r="CI305" i="1"/>
  <c r="CH305" i="1"/>
  <c r="CG305" i="1"/>
  <c r="CE305" i="1"/>
  <c r="CD305" i="1"/>
  <c r="CC305" i="1"/>
  <c r="CB305" i="1"/>
  <c r="CA305" i="1"/>
  <c r="BZ305" i="1"/>
  <c r="BY305" i="1"/>
  <c r="BX305" i="1"/>
  <c r="BW305" i="1"/>
  <c r="DC304" i="1"/>
  <c r="CZ304" i="1"/>
  <c r="CY304" i="1"/>
  <c r="CW304" i="1"/>
  <c r="CU304" i="1"/>
  <c r="CT304" i="1"/>
  <c r="CS304" i="1"/>
  <c r="CR304" i="1"/>
  <c r="CQ304" i="1"/>
  <c r="CP304" i="1"/>
  <c r="CO304" i="1"/>
  <c r="CM304" i="1"/>
  <c r="CL304" i="1"/>
  <c r="CK304" i="1"/>
  <c r="CJ304" i="1"/>
  <c r="CI304" i="1"/>
  <c r="CH304" i="1"/>
  <c r="CG304" i="1"/>
  <c r="CE304" i="1"/>
  <c r="CD304" i="1"/>
  <c r="CC304" i="1"/>
  <c r="CB304" i="1"/>
  <c r="CA304" i="1"/>
  <c r="BZ304" i="1"/>
  <c r="BY304" i="1"/>
  <c r="BX304" i="1"/>
  <c r="BW304" i="1"/>
  <c r="DC303" i="1"/>
  <c r="CZ303" i="1"/>
  <c r="CY303" i="1"/>
  <c r="CW303" i="1"/>
  <c r="CU303" i="1"/>
  <c r="CT303" i="1"/>
  <c r="CS303" i="1"/>
  <c r="CR303" i="1"/>
  <c r="CQ303" i="1"/>
  <c r="CP303" i="1"/>
  <c r="CO303" i="1"/>
  <c r="CM303" i="1"/>
  <c r="CL303" i="1"/>
  <c r="CK303" i="1"/>
  <c r="CJ303" i="1"/>
  <c r="CI303" i="1"/>
  <c r="CH303" i="1"/>
  <c r="CG303" i="1"/>
  <c r="CE303" i="1"/>
  <c r="CD303" i="1"/>
  <c r="CC303" i="1"/>
  <c r="CB303" i="1"/>
  <c r="CA303" i="1"/>
  <c r="BZ303" i="1"/>
  <c r="BY303" i="1"/>
  <c r="BX303" i="1"/>
  <c r="BW303" i="1"/>
  <c r="DC302" i="1"/>
  <c r="CZ302" i="1"/>
  <c r="CY302" i="1"/>
  <c r="CW302" i="1"/>
  <c r="CU302" i="1"/>
  <c r="CT302" i="1"/>
  <c r="CS302" i="1"/>
  <c r="CR302" i="1"/>
  <c r="CQ302" i="1"/>
  <c r="CP302" i="1"/>
  <c r="CO302" i="1"/>
  <c r="CM302" i="1"/>
  <c r="CL302" i="1"/>
  <c r="CK302" i="1"/>
  <c r="CJ302" i="1"/>
  <c r="CI302" i="1"/>
  <c r="CH302" i="1"/>
  <c r="CG302" i="1"/>
  <c r="CE302" i="1"/>
  <c r="CD302" i="1"/>
  <c r="CC302" i="1"/>
  <c r="CB302" i="1"/>
  <c r="CA302" i="1"/>
  <c r="BZ302" i="1"/>
  <c r="BY302" i="1"/>
  <c r="BX302" i="1"/>
  <c r="BW302" i="1"/>
  <c r="DC301" i="1"/>
  <c r="CZ301" i="1"/>
  <c r="CY301" i="1"/>
  <c r="CW301" i="1"/>
  <c r="CU301" i="1"/>
  <c r="CT301" i="1"/>
  <c r="CS301" i="1"/>
  <c r="CR301" i="1"/>
  <c r="CQ301" i="1"/>
  <c r="CP301" i="1"/>
  <c r="CO301" i="1"/>
  <c r="CM301" i="1"/>
  <c r="CL301" i="1"/>
  <c r="CK301" i="1"/>
  <c r="CJ301" i="1"/>
  <c r="CI301" i="1"/>
  <c r="CH301" i="1"/>
  <c r="CG301" i="1"/>
  <c r="CE301" i="1"/>
  <c r="CD301" i="1"/>
  <c r="CC301" i="1"/>
  <c r="CB301" i="1"/>
  <c r="CA301" i="1"/>
  <c r="BZ301" i="1"/>
  <c r="BY301" i="1"/>
  <c r="BX301" i="1"/>
  <c r="BW301" i="1"/>
  <c r="DC300" i="1"/>
  <c r="CZ300" i="1"/>
  <c r="CY300" i="1"/>
  <c r="CW300" i="1"/>
  <c r="CU300" i="1"/>
  <c r="CT300" i="1"/>
  <c r="CS300" i="1"/>
  <c r="CR300" i="1"/>
  <c r="CQ300" i="1"/>
  <c r="CP300" i="1"/>
  <c r="CO300" i="1"/>
  <c r="CM300" i="1"/>
  <c r="CL300" i="1"/>
  <c r="CK300" i="1"/>
  <c r="CJ300" i="1"/>
  <c r="CI300" i="1"/>
  <c r="CH300" i="1"/>
  <c r="CG300" i="1"/>
  <c r="CE300" i="1"/>
  <c r="CD300" i="1"/>
  <c r="CC300" i="1"/>
  <c r="CB300" i="1"/>
  <c r="CA300" i="1"/>
  <c r="BZ300" i="1"/>
  <c r="BY300" i="1"/>
  <c r="BX300" i="1"/>
  <c r="BW300" i="1"/>
  <c r="DC299" i="1"/>
  <c r="CZ299" i="1"/>
  <c r="CY299" i="1"/>
  <c r="CW299" i="1"/>
  <c r="CU299" i="1"/>
  <c r="CT299" i="1"/>
  <c r="CS299" i="1"/>
  <c r="CR299" i="1"/>
  <c r="CQ299" i="1"/>
  <c r="CP299" i="1"/>
  <c r="CO299" i="1"/>
  <c r="CM299" i="1"/>
  <c r="CL299" i="1"/>
  <c r="CK299" i="1"/>
  <c r="CJ299" i="1"/>
  <c r="CI299" i="1"/>
  <c r="CH299" i="1"/>
  <c r="CG299" i="1"/>
  <c r="CE299" i="1"/>
  <c r="CD299" i="1"/>
  <c r="CC299" i="1"/>
  <c r="CB299" i="1"/>
  <c r="CA299" i="1"/>
  <c r="BZ299" i="1"/>
  <c r="BY299" i="1"/>
  <c r="BX299" i="1"/>
  <c r="BW299" i="1"/>
  <c r="DC298" i="1"/>
  <c r="CZ298" i="1"/>
  <c r="CY298" i="1"/>
  <c r="CW298" i="1"/>
  <c r="CU298" i="1"/>
  <c r="CT298" i="1"/>
  <c r="CS298" i="1"/>
  <c r="CR298" i="1"/>
  <c r="CQ298" i="1"/>
  <c r="CP298" i="1"/>
  <c r="CO298" i="1"/>
  <c r="CM298" i="1"/>
  <c r="CL298" i="1"/>
  <c r="CK298" i="1"/>
  <c r="CJ298" i="1"/>
  <c r="CI298" i="1"/>
  <c r="CH298" i="1"/>
  <c r="CG298" i="1"/>
  <c r="CE298" i="1"/>
  <c r="CD298" i="1"/>
  <c r="CC298" i="1"/>
  <c r="CB298" i="1"/>
  <c r="CA298" i="1"/>
  <c r="BZ298" i="1"/>
  <c r="BY298" i="1"/>
  <c r="BX298" i="1"/>
  <c r="BW298" i="1"/>
  <c r="DC297" i="1"/>
  <c r="CZ297" i="1"/>
  <c r="CY297" i="1"/>
  <c r="CW297" i="1"/>
  <c r="CU297" i="1"/>
  <c r="CT297" i="1"/>
  <c r="CS297" i="1"/>
  <c r="CR297" i="1"/>
  <c r="CQ297" i="1"/>
  <c r="CP297" i="1"/>
  <c r="CO297" i="1"/>
  <c r="CM297" i="1"/>
  <c r="CL297" i="1"/>
  <c r="CK297" i="1"/>
  <c r="CJ297" i="1"/>
  <c r="CI297" i="1"/>
  <c r="CH297" i="1"/>
  <c r="CG297" i="1"/>
  <c r="CE297" i="1"/>
  <c r="CD297" i="1"/>
  <c r="CC297" i="1"/>
  <c r="CB297" i="1"/>
  <c r="CA297" i="1"/>
  <c r="BZ297" i="1"/>
  <c r="BY297" i="1"/>
  <c r="BX297" i="1"/>
  <c r="BW297" i="1"/>
  <c r="DC296" i="1"/>
  <c r="CZ296" i="1"/>
  <c r="CY296" i="1"/>
  <c r="CW296" i="1"/>
  <c r="CU296" i="1"/>
  <c r="CT296" i="1"/>
  <c r="CS296" i="1"/>
  <c r="CR296" i="1"/>
  <c r="CQ296" i="1"/>
  <c r="CP296" i="1"/>
  <c r="CO296" i="1"/>
  <c r="CM296" i="1"/>
  <c r="CL296" i="1"/>
  <c r="CK296" i="1"/>
  <c r="CJ296" i="1"/>
  <c r="CI296" i="1"/>
  <c r="CH296" i="1"/>
  <c r="CG296" i="1"/>
  <c r="CE296" i="1"/>
  <c r="CD296" i="1"/>
  <c r="CC296" i="1"/>
  <c r="CB296" i="1"/>
  <c r="CA296" i="1"/>
  <c r="BZ296" i="1"/>
  <c r="BY296" i="1"/>
  <c r="BX296" i="1"/>
  <c r="BW296" i="1"/>
  <c r="DC295" i="1"/>
  <c r="CZ295" i="1"/>
  <c r="CY295" i="1"/>
  <c r="CW295" i="1"/>
  <c r="CU295" i="1"/>
  <c r="CT295" i="1"/>
  <c r="CS295" i="1"/>
  <c r="CR295" i="1"/>
  <c r="CQ295" i="1"/>
  <c r="CP295" i="1"/>
  <c r="CO295" i="1"/>
  <c r="CM295" i="1"/>
  <c r="CL295" i="1"/>
  <c r="CK295" i="1"/>
  <c r="CJ295" i="1"/>
  <c r="CI295" i="1"/>
  <c r="CH295" i="1"/>
  <c r="CG295" i="1"/>
  <c r="CE295" i="1"/>
  <c r="CD295" i="1"/>
  <c r="CC295" i="1"/>
  <c r="CB295" i="1"/>
  <c r="CA295" i="1"/>
  <c r="BZ295" i="1"/>
  <c r="BY295" i="1"/>
  <c r="BX295" i="1"/>
  <c r="BW295" i="1"/>
  <c r="DC294" i="1"/>
  <c r="CZ294" i="1"/>
  <c r="CY294" i="1"/>
  <c r="CW294" i="1"/>
  <c r="CU294" i="1"/>
  <c r="CT294" i="1"/>
  <c r="CS294" i="1"/>
  <c r="CR294" i="1"/>
  <c r="CQ294" i="1"/>
  <c r="CP294" i="1"/>
  <c r="CO294" i="1"/>
  <c r="CM294" i="1"/>
  <c r="CL294" i="1"/>
  <c r="CK294" i="1"/>
  <c r="CJ294" i="1"/>
  <c r="CI294" i="1"/>
  <c r="CH294" i="1"/>
  <c r="CG294" i="1"/>
  <c r="CE294" i="1"/>
  <c r="CD294" i="1"/>
  <c r="CC294" i="1"/>
  <c r="CB294" i="1"/>
  <c r="CA294" i="1"/>
  <c r="BZ294" i="1"/>
  <c r="BY294" i="1"/>
  <c r="BX294" i="1"/>
  <c r="BW294" i="1"/>
  <c r="DC293" i="1"/>
  <c r="CZ293" i="1"/>
  <c r="CY293" i="1"/>
  <c r="CW293" i="1"/>
  <c r="CU293" i="1"/>
  <c r="CT293" i="1"/>
  <c r="CS293" i="1"/>
  <c r="CR293" i="1"/>
  <c r="CQ293" i="1"/>
  <c r="CP293" i="1"/>
  <c r="CO293" i="1"/>
  <c r="CM293" i="1"/>
  <c r="CL293" i="1"/>
  <c r="CK293" i="1"/>
  <c r="CJ293" i="1"/>
  <c r="CI293" i="1"/>
  <c r="CH293" i="1"/>
  <c r="CG293" i="1"/>
  <c r="CE293" i="1"/>
  <c r="CD293" i="1"/>
  <c r="CC293" i="1"/>
  <c r="CB293" i="1"/>
  <c r="CA293" i="1"/>
  <c r="BZ293" i="1"/>
  <c r="BY293" i="1"/>
  <c r="BX293" i="1"/>
  <c r="BW293" i="1"/>
  <c r="DC292" i="1"/>
  <c r="CZ292" i="1"/>
  <c r="CY292" i="1"/>
  <c r="CW292" i="1"/>
  <c r="CU292" i="1"/>
  <c r="CT292" i="1"/>
  <c r="CS292" i="1"/>
  <c r="CR292" i="1"/>
  <c r="CQ292" i="1"/>
  <c r="CP292" i="1"/>
  <c r="CO292" i="1"/>
  <c r="CM292" i="1"/>
  <c r="CL292" i="1"/>
  <c r="CK292" i="1"/>
  <c r="CJ292" i="1"/>
  <c r="CI292" i="1"/>
  <c r="CH292" i="1"/>
  <c r="CG292" i="1"/>
  <c r="CE292" i="1"/>
  <c r="CD292" i="1"/>
  <c r="CC292" i="1"/>
  <c r="CB292" i="1"/>
  <c r="CA292" i="1"/>
  <c r="BZ292" i="1"/>
  <c r="BY292" i="1"/>
  <c r="BX292" i="1"/>
  <c r="BW292" i="1"/>
  <c r="DC291" i="1"/>
  <c r="CZ291" i="1"/>
  <c r="CY291" i="1"/>
  <c r="CW291" i="1"/>
  <c r="CU291" i="1"/>
  <c r="CT291" i="1"/>
  <c r="CS291" i="1"/>
  <c r="CR291" i="1"/>
  <c r="CQ291" i="1"/>
  <c r="CP291" i="1"/>
  <c r="CO291" i="1"/>
  <c r="CM291" i="1"/>
  <c r="CL291" i="1"/>
  <c r="CK291" i="1"/>
  <c r="CJ291" i="1"/>
  <c r="CI291" i="1"/>
  <c r="CH291" i="1"/>
  <c r="CG291" i="1"/>
  <c r="CE291" i="1"/>
  <c r="CD291" i="1"/>
  <c r="CC291" i="1"/>
  <c r="CB291" i="1"/>
  <c r="CA291" i="1"/>
  <c r="BZ291" i="1"/>
  <c r="BY291" i="1"/>
  <c r="BX291" i="1"/>
  <c r="BW291" i="1"/>
  <c r="DC290" i="1"/>
  <c r="CZ290" i="1"/>
  <c r="CY290" i="1"/>
  <c r="CW290" i="1"/>
  <c r="CU290" i="1"/>
  <c r="CT290" i="1"/>
  <c r="CS290" i="1"/>
  <c r="CR290" i="1"/>
  <c r="CQ290" i="1"/>
  <c r="CP290" i="1"/>
  <c r="CO290" i="1"/>
  <c r="CM290" i="1"/>
  <c r="CL290" i="1"/>
  <c r="CK290" i="1"/>
  <c r="CJ290" i="1"/>
  <c r="CI290" i="1"/>
  <c r="CH290" i="1"/>
  <c r="CG290" i="1"/>
  <c r="CE290" i="1"/>
  <c r="CD290" i="1"/>
  <c r="CC290" i="1"/>
  <c r="CB290" i="1"/>
  <c r="CA290" i="1"/>
  <c r="BZ290" i="1"/>
  <c r="BY290" i="1"/>
  <c r="BX290" i="1"/>
  <c r="BW290" i="1"/>
  <c r="DC289" i="1"/>
  <c r="CZ289" i="1"/>
  <c r="CY289" i="1"/>
  <c r="CW289" i="1"/>
  <c r="CU289" i="1"/>
  <c r="CT289" i="1"/>
  <c r="CS289" i="1"/>
  <c r="CR289" i="1"/>
  <c r="CQ289" i="1"/>
  <c r="CP289" i="1"/>
  <c r="CO289" i="1"/>
  <c r="CM289" i="1"/>
  <c r="CL289" i="1"/>
  <c r="CK289" i="1"/>
  <c r="CJ289" i="1"/>
  <c r="CI289" i="1"/>
  <c r="CH289" i="1"/>
  <c r="CG289" i="1"/>
  <c r="CE289" i="1"/>
  <c r="CD289" i="1"/>
  <c r="CC289" i="1"/>
  <c r="CB289" i="1"/>
  <c r="CA289" i="1"/>
  <c r="BZ289" i="1"/>
  <c r="BY289" i="1"/>
  <c r="BX289" i="1"/>
  <c r="BW289" i="1"/>
  <c r="DC288" i="1"/>
  <c r="CZ288" i="1"/>
  <c r="CY288" i="1"/>
  <c r="CW288" i="1"/>
  <c r="CU288" i="1"/>
  <c r="CT288" i="1"/>
  <c r="CS288" i="1"/>
  <c r="CR288" i="1"/>
  <c r="CQ288" i="1"/>
  <c r="CP288" i="1"/>
  <c r="CO288" i="1"/>
  <c r="CM288" i="1"/>
  <c r="CL288" i="1"/>
  <c r="CK288" i="1"/>
  <c r="CJ288" i="1"/>
  <c r="CI288" i="1"/>
  <c r="CH288" i="1"/>
  <c r="CG288" i="1"/>
  <c r="CE288" i="1"/>
  <c r="CD288" i="1"/>
  <c r="CC288" i="1"/>
  <c r="CB288" i="1"/>
  <c r="CA288" i="1"/>
  <c r="BZ288" i="1"/>
  <c r="BY288" i="1"/>
  <c r="BX288" i="1"/>
  <c r="BW288" i="1"/>
  <c r="DC287" i="1"/>
  <c r="CZ287" i="1"/>
  <c r="CY287" i="1"/>
  <c r="CW287" i="1"/>
  <c r="CU287" i="1"/>
  <c r="CT287" i="1"/>
  <c r="CS287" i="1"/>
  <c r="CR287" i="1"/>
  <c r="CQ287" i="1"/>
  <c r="CP287" i="1"/>
  <c r="CO287" i="1"/>
  <c r="CM287" i="1"/>
  <c r="CL287" i="1"/>
  <c r="CK287" i="1"/>
  <c r="CJ287" i="1"/>
  <c r="CI287" i="1"/>
  <c r="CH287" i="1"/>
  <c r="CG287" i="1"/>
  <c r="CE287" i="1"/>
  <c r="CD287" i="1"/>
  <c r="CC287" i="1"/>
  <c r="CB287" i="1"/>
  <c r="CA287" i="1"/>
  <c r="BZ287" i="1"/>
  <c r="BY287" i="1"/>
  <c r="BX287" i="1"/>
  <c r="BW287" i="1"/>
  <c r="DC286" i="1"/>
  <c r="CZ286" i="1"/>
  <c r="CY286" i="1"/>
  <c r="CW286" i="1"/>
  <c r="CU286" i="1"/>
  <c r="CT286" i="1"/>
  <c r="CS286" i="1"/>
  <c r="CR286" i="1"/>
  <c r="CQ286" i="1"/>
  <c r="CP286" i="1"/>
  <c r="CO286" i="1"/>
  <c r="CM286" i="1"/>
  <c r="CL286" i="1"/>
  <c r="CK286" i="1"/>
  <c r="CJ286" i="1"/>
  <c r="CI286" i="1"/>
  <c r="CH286" i="1"/>
  <c r="CG286" i="1"/>
  <c r="CE286" i="1"/>
  <c r="CD286" i="1"/>
  <c r="CC286" i="1"/>
  <c r="CB286" i="1"/>
  <c r="CA286" i="1"/>
  <c r="BZ286" i="1"/>
  <c r="BY286" i="1"/>
  <c r="BX286" i="1"/>
  <c r="BW286" i="1"/>
  <c r="DC285" i="1"/>
  <c r="CZ285" i="1"/>
  <c r="CY285" i="1"/>
  <c r="CW285" i="1"/>
  <c r="CU285" i="1"/>
  <c r="CT285" i="1"/>
  <c r="CS285" i="1"/>
  <c r="CR285" i="1"/>
  <c r="CQ285" i="1"/>
  <c r="CP285" i="1"/>
  <c r="CO285" i="1"/>
  <c r="CM285" i="1"/>
  <c r="CL285" i="1"/>
  <c r="CK285" i="1"/>
  <c r="CJ285" i="1"/>
  <c r="CI285" i="1"/>
  <c r="CH285" i="1"/>
  <c r="CG285" i="1"/>
  <c r="CE285" i="1"/>
  <c r="CD285" i="1"/>
  <c r="CC285" i="1"/>
  <c r="CB285" i="1"/>
  <c r="CA285" i="1"/>
  <c r="BZ285" i="1"/>
  <c r="BY285" i="1"/>
  <c r="BX285" i="1"/>
  <c r="BW285" i="1"/>
  <c r="DC284" i="1"/>
  <c r="CZ284" i="1"/>
  <c r="CY284" i="1"/>
  <c r="CW284" i="1"/>
  <c r="CU284" i="1"/>
  <c r="CT284" i="1"/>
  <c r="CS284" i="1"/>
  <c r="CR284" i="1"/>
  <c r="CQ284" i="1"/>
  <c r="CP284" i="1"/>
  <c r="CO284" i="1"/>
  <c r="CM284" i="1"/>
  <c r="CL284" i="1"/>
  <c r="CK284" i="1"/>
  <c r="CJ284" i="1"/>
  <c r="CI284" i="1"/>
  <c r="CH284" i="1"/>
  <c r="CG284" i="1"/>
  <c r="CE284" i="1"/>
  <c r="CD284" i="1"/>
  <c r="CC284" i="1"/>
  <c r="CB284" i="1"/>
  <c r="CA284" i="1"/>
  <c r="BZ284" i="1"/>
  <c r="BY284" i="1"/>
  <c r="BX284" i="1"/>
  <c r="BW284" i="1"/>
  <c r="DC283" i="1"/>
  <c r="CZ283" i="1"/>
  <c r="CY283" i="1"/>
  <c r="CW283" i="1"/>
  <c r="CU283" i="1"/>
  <c r="CT283" i="1"/>
  <c r="CS283" i="1"/>
  <c r="CR283" i="1"/>
  <c r="CQ283" i="1"/>
  <c r="CP283" i="1"/>
  <c r="CO283" i="1"/>
  <c r="CM283" i="1"/>
  <c r="CL283" i="1"/>
  <c r="CK283" i="1"/>
  <c r="CJ283" i="1"/>
  <c r="CI283" i="1"/>
  <c r="CH283" i="1"/>
  <c r="CG283" i="1"/>
  <c r="CE283" i="1"/>
  <c r="CD283" i="1"/>
  <c r="CC283" i="1"/>
  <c r="CB283" i="1"/>
  <c r="CA283" i="1"/>
  <c r="BZ283" i="1"/>
  <c r="BY283" i="1"/>
  <c r="BX283" i="1"/>
  <c r="BW283" i="1"/>
  <c r="DC282" i="1"/>
  <c r="CZ282" i="1"/>
  <c r="CY282" i="1"/>
  <c r="CW282" i="1"/>
  <c r="CU282" i="1"/>
  <c r="CT282" i="1"/>
  <c r="CS282" i="1"/>
  <c r="CR282" i="1"/>
  <c r="CQ282" i="1"/>
  <c r="CP282" i="1"/>
  <c r="CO282" i="1"/>
  <c r="CM282" i="1"/>
  <c r="CL282" i="1"/>
  <c r="CK282" i="1"/>
  <c r="CJ282" i="1"/>
  <c r="CI282" i="1"/>
  <c r="CH282" i="1"/>
  <c r="CG282" i="1"/>
  <c r="CE282" i="1"/>
  <c r="CD282" i="1"/>
  <c r="CC282" i="1"/>
  <c r="CB282" i="1"/>
  <c r="CA282" i="1"/>
  <c r="BZ282" i="1"/>
  <c r="BY282" i="1"/>
  <c r="BX282" i="1"/>
  <c r="BW282" i="1"/>
  <c r="DC281" i="1"/>
  <c r="CZ281" i="1"/>
  <c r="CY281" i="1"/>
  <c r="CW281" i="1"/>
  <c r="CU281" i="1"/>
  <c r="CT281" i="1"/>
  <c r="CS281" i="1"/>
  <c r="CR281" i="1"/>
  <c r="CQ281" i="1"/>
  <c r="CP281" i="1"/>
  <c r="CO281" i="1"/>
  <c r="CM281" i="1"/>
  <c r="CL281" i="1"/>
  <c r="CK281" i="1"/>
  <c r="CJ281" i="1"/>
  <c r="CI281" i="1"/>
  <c r="CH281" i="1"/>
  <c r="CG281" i="1"/>
  <c r="CE281" i="1"/>
  <c r="CD281" i="1"/>
  <c r="CC281" i="1"/>
  <c r="CB281" i="1"/>
  <c r="CA281" i="1"/>
  <c r="BZ281" i="1"/>
  <c r="BY281" i="1"/>
  <c r="BX281" i="1"/>
  <c r="BW281" i="1"/>
  <c r="DC280" i="1"/>
  <c r="CZ280" i="1"/>
  <c r="CY280" i="1"/>
  <c r="CW280" i="1"/>
  <c r="CU280" i="1"/>
  <c r="CT280" i="1"/>
  <c r="CS280" i="1"/>
  <c r="CR280" i="1"/>
  <c r="CQ280" i="1"/>
  <c r="CP280" i="1"/>
  <c r="CO280" i="1"/>
  <c r="CM280" i="1"/>
  <c r="CL280" i="1"/>
  <c r="CK280" i="1"/>
  <c r="CJ280" i="1"/>
  <c r="CI280" i="1"/>
  <c r="CH280" i="1"/>
  <c r="CG280" i="1"/>
  <c r="CE280" i="1"/>
  <c r="CD280" i="1"/>
  <c r="CC280" i="1"/>
  <c r="CB280" i="1"/>
  <c r="CA280" i="1"/>
  <c r="BZ280" i="1"/>
  <c r="BY280" i="1"/>
  <c r="BX280" i="1"/>
  <c r="BW280" i="1"/>
  <c r="DC279" i="1"/>
  <c r="CZ279" i="1"/>
  <c r="CY279" i="1"/>
  <c r="CW279" i="1"/>
  <c r="CU279" i="1"/>
  <c r="CT279" i="1"/>
  <c r="CS279" i="1"/>
  <c r="CR279" i="1"/>
  <c r="CQ279" i="1"/>
  <c r="CP279" i="1"/>
  <c r="CO279" i="1"/>
  <c r="CM279" i="1"/>
  <c r="CL279" i="1"/>
  <c r="CK279" i="1"/>
  <c r="CJ279" i="1"/>
  <c r="CI279" i="1"/>
  <c r="CH279" i="1"/>
  <c r="CG279" i="1"/>
  <c r="CE279" i="1"/>
  <c r="CD279" i="1"/>
  <c r="CC279" i="1"/>
  <c r="CB279" i="1"/>
  <c r="CA279" i="1"/>
  <c r="BZ279" i="1"/>
  <c r="BY279" i="1"/>
  <c r="BX279" i="1"/>
  <c r="BW279" i="1"/>
  <c r="DC278" i="1"/>
  <c r="CZ278" i="1"/>
  <c r="CY278" i="1"/>
  <c r="CW278" i="1"/>
  <c r="CU278" i="1"/>
  <c r="CT278" i="1"/>
  <c r="CS278" i="1"/>
  <c r="CR278" i="1"/>
  <c r="CQ278" i="1"/>
  <c r="CP278" i="1"/>
  <c r="CO278" i="1"/>
  <c r="CM278" i="1"/>
  <c r="CL278" i="1"/>
  <c r="CK278" i="1"/>
  <c r="CJ278" i="1"/>
  <c r="CI278" i="1"/>
  <c r="CH278" i="1"/>
  <c r="CG278" i="1"/>
  <c r="CE278" i="1"/>
  <c r="CD278" i="1"/>
  <c r="CC278" i="1"/>
  <c r="CB278" i="1"/>
  <c r="CA278" i="1"/>
  <c r="BZ278" i="1"/>
  <c r="BY278" i="1"/>
  <c r="BX278" i="1"/>
  <c r="BW278" i="1"/>
  <c r="DC277" i="1"/>
  <c r="CZ277" i="1"/>
  <c r="CY277" i="1"/>
  <c r="CW277" i="1"/>
  <c r="CU277" i="1"/>
  <c r="CT277" i="1"/>
  <c r="CS277" i="1"/>
  <c r="CR277" i="1"/>
  <c r="CQ277" i="1"/>
  <c r="CP277" i="1"/>
  <c r="CO277" i="1"/>
  <c r="CM277" i="1"/>
  <c r="CL277" i="1"/>
  <c r="CK277" i="1"/>
  <c r="CJ277" i="1"/>
  <c r="CI277" i="1"/>
  <c r="CH277" i="1"/>
  <c r="CG277" i="1"/>
  <c r="CE277" i="1"/>
  <c r="CD277" i="1"/>
  <c r="CC277" i="1"/>
  <c r="CB277" i="1"/>
  <c r="CA277" i="1"/>
  <c r="BZ277" i="1"/>
  <c r="BY277" i="1"/>
  <c r="BX277" i="1"/>
  <c r="BW277" i="1"/>
  <c r="DC276" i="1"/>
  <c r="CZ276" i="1"/>
  <c r="CY276" i="1"/>
  <c r="CW276" i="1"/>
  <c r="CU276" i="1"/>
  <c r="CT276" i="1"/>
  <c r="CS276" i="1"/>
  <c r="CR276" i="1"/>
  <c r="CQ276" i="1"/>
  <c r="CP276" i="1"/>
  <c r="CO276" i="1"/>
  <c r="CM276" i="1"/>
  <c r="CL276" i="1"/>
  <c r="CK276" i="1"/>
  <c r="CJ276" i="1"/>
  <c r="CI276" i="1"/>
  <c r="CH276" i="1"/>
  <c r="CG276" i="1"/>
  <c r="CE276" i="1"/>
  <c r="CD276" i="1"/>
  <c r="CC276" i="1"/>
  <c r="CB276" i="1"/>
  <c r="CA276" i="1"/>
  <c r="BZ276" i="1"/>
  <c r="BY276" i="1"/>
  <c r="BX276" i="1"/>
  <c r="BW276" i="1"/>
  <c r="DC275" i="1"/>
  <c r="CZ275" i="1"/>
  <c r="CY275" i="1"/>
  <c r="CW275" i="1"/>
  <c r="CU275" i="1"/>
  <c r="CT275" i="1"/>
  <c r="CS275" i="1"/>
  <c r="CR275" i="1"/>
  <c r="CQ275" i="1"/>
  <c r="CP275" i="1"/>
  <c r="CO275" i="1"/>
  <c r="CM275" i="1"/>
  <c r="CL275" i="1"/>
  <c r="CK275" i="1"/>
  <c r="CJ275" i="1"/>
  <c r="CI275" i="1"/>
  <c r="CH275" i="1"/>
  <c r="CG275" i="1"/>
  <c r="CE275" i="1"/>
  <c r="CD275" i="1"/>
  <c r="CC275" i="1"/>
  <c r="CB275" i="1"/>
  <c r="CA275" i="1"/>
  <c r="BZ275" i="1"/>
  <c r="BY275" i="1"/>
  <c r="BX275" i="1"/>
  <c r="BW275" i="1"/>
  <c r="DC274" i="1"/>
  <c r="CZ274" i="1"/>
  <c r="CY274" i="1"/>
  <c r="CW274" i="1"/>
  <c r="CU274" i="1"/>
  <c r="CT274" i="1"/>
  <c r="CS274" i="1"/>
  <c r="CR274" i="1"/>
  <c r="CQ274" i="1"/>
  <c r="CP274" i="1"/>
  <c r="CO274" i="1"/>
  <c r="CM274" i="1"/>
  <c r="CL274" i="1"/>
  <c r="CK274" i="1"/>
  <c r="CJ274" i="1"/>
  <c r="CI274" i="1"/>
  <c r="CH274" i="1"/>
  <c r="CG274" i="1"/>
  <c r="CE274" i="1"/>
  <c r="CD274" i="1"/>
  <c r="CC274" i="1"/>
  <c r="CB274" i="1"/>
  <c r="CA274" i="1"/>
  <c r="BZ274" i="1"/>
  <c r="BY274" i="1"/>
  <c r="BX274" i="1"/>
  <c r="BW274" i="1"/>
  <c r="DC273" i="1"/>
  <c r="CZ273" i="1"/>
  <c r="CY273" i="1"/>
  <c r="CW273" i="1"/>
  <c r="CU273" i="1"/>
  <c r="CT273" i="1"/>
  <c r="CS273" i="1"/>
  <c r="CR273" i="1"/>
  <c r="CQ273" i="1"/>
  <c r="CP273" i="1"/>
  <c r="CO273" i="1"/>
  <c r="CM273" i="1"/>
  <c r="CL273" i="1"/>
  <c r="CK273" i="1"/>
  <c r="CJ273" i="1"/>
  <c r="CI273" i="1"/>
  <c r="CH273" i="1"/>
  <c r="CG273" i="1"/>
  <c r="CE273" i="1"/>
  <c r="CD273" i="1"/>
  <c r="CC273" i="1"/>
  <c r="CB273" i="1"/>
  <c r="CA273" i="1"/>
  <c r="BZ273" i="1"/>
  <c r="BY273" i="1"/>
  <c r="BX273" i="1"/>
  <c r="BW273" i="1"/>
  <c r="DC272" i="1"/>
  <c r="CZ272" i="1"/>
  <c r="CY272" i="1"/>
  <c r="CW272" i="1"/>
  <c r="CU272" i="1"/>
  <c r="CT272" i="1"/>
  <c r="CS272" i="1"/>
  <c r="CR272" i="1"/>
  <c r="CQ272" i="1"/>
  <c r="CP272" i="1"/>
  <c r="CO272" i="1"/>
  <c r="CM272" i="1"/>
  <c r="CL272" i="1"/>
  <c r="CK272" i="1"/>
  <c r="CJ272" i="1"/>
  <c r="CI272" i="1"/>
  <c r="CH272" i="1"/>
  <c r="CG272" i="1"/>
  <c r="CE272" i="1"/>
  <c r="CD272" i="1"/>
  <c r="CC272" i="1"/>
  <c r="CB272" i="1"/>
  <c r="CA272" i="1"/>
  <c r="BZ272" i="1"/>
  <c r="BY272" i="1"/>
  <c r="BX272" i="1"/>
  <c r="BW272" i="1"/>
  <c r="DC271" i="1"/>
  <c r="CZ271" i="1"/>
  <c r="CY271" i="1"/>
  <c r="CW271" i="1"/>
  <c r="CU271" i="1"/>
  <c r="CT271" i="1"/>
  <c r="CS271" i="1"/>
  <c r="CR271" i="1"/>
  <c r="CQ271" i="1"/>
  <c r="CP271" i="1"/>
  <c r="CO271" i="1"/>
  <c r="CM271" i="1"/>
  <c r="CL271" i="1"/>
  <c r="CK271" i="1"/>
  <c r="CJ271" i="1"/>
  <c r="CI271" i="1"/>
  <c r="CH271" i="1"/>
  <c r="CG271" i="1"/>
  <c r="CE271" i="1"/>
  <c r="CD271" i="1"/>
  <c r="CC271" i="1"/>
  <c r="CB271" i="1"/>
  <c r="CA271" i="1"/>
  <c r="BZ271" i="1"/>
  <c r="BY271" i="1"/>
  <c r="BX271" i="1"/>
  <c r="BW271" i="1"/>
  <c r="DC270" i="1"/>
  <c r="CZ270" i="1"/>
  <c r="CY270" i="1"/>
  <c r="CW270" i="1"/>
  <c r="CU270" i="1"/>
  <c r="CT270" i="1"/>
  <c r="CS270" i="1"/>
  <c r="CR270" i="1"/>
  <c r="CQ270" i="1"/>
  <c r="CP270" i="1"/>
  <c r="CO270" i="1"/>
  <c r="CM270" i="1"/>
  <c r="CL270" i="1"/>
  <c r="CK270" i="1"/>
  <c r="CJ270" i="1"/>
  <c r="CI270" i="1"/>
  <c r="CH270" i="1"/>
  <c r="CG270" i="1"/>
  <c r="CE270" i="1"/>
  <c r="CD270" i="1"/>
  <c r="CC270" i="1"/>
  <c r="CB270" i="1"/>
  <c r="CA270" i="1"/>
  <c r="BZ270" i="1"/>
  <c r="BY270" i="1"/>
  <c r="BX270" i="1"/>
  <c r="BW270" i="1"/>
  <c r="DC269" i="1"/>
  <c r="CZ269" i="1"/>
  <c r="CY269" i="1"/>
  <c r="CW269" i="1"/>
  <c r="CU269" i="1"/>
  <c r="CT269" i="1"/>
  <c r="CS269" i="1"/>
  <c r="CR269" i="1"/>
  <c r="CQ269" i="1"/>
  <c r="CP269" i="1"/>
  <c r="CO269" i="1"/>
  <c r="CM269" i="1"/>
  <c r="CL269" i="1"/>
  <c r="CK269" i="1"/>
  <c r="CJ269" i="1"/>
  <c r="CI269" i="1"/>
  <c r="CH269" i="1"/>
  <c r="CG269" i="1"/>
  <c r="CE269" i="1"/>
  <c r="CD269" i="1"/>
  <c r="CC269" i="1"/>
  <c r="CB269" i="1"/>
  <c r="CA269" i="1"/>
  <c r="BZ269" i="1"/>
  <c r="BY269" i="1"/>
  <c r="BX269" i="1"/>
  <c r="BW269" i="1"/>
  <c r="DC268" i="1"/>
  <c r="CZ268" i="1"/>
  <c r="CY268" i="1"/>
  <c r="CW268" i="1"/>
  <c r="CU268" i="1"/>
  <c r="CT268" i="1"/>
  <c r="CS268" i="1"/>
  <c r="CR268" i="1"/>
  <c r="CQ268" i="1"/>
  <c r="CP268" i="1"/>
  <c r="CO268" i="1"/>
  <c r="CM268" i="1"/>
  <c r="CL268" i="1"/>
  <c r="CK268" i="1"/>
  <c r="CJ268" i="1"/>
  <c r="CI268" i="1"/>
  <c r="CH268" i="1"/>
  <c r="CG268" i="1"/>
  <c r="CE268" i="1"/>
  <c r="CD268" i="1"/>
  <c r="CC268" i="1"/>
  <c r="CB268" i="1"/>
  <c r="CA268" i="1"/>
  <c r="BZ268" i="1"/>
  <c r="BY268" i="1"/>
  <c r="BX268" i="1"/>
  <c r="BW268" i="1"/>
  <c r="DC267" i="1"/>
  <c r="CZ267" i="1"/>
  <c r="CY267" i="1"/>
  <c r="CW267" i="1"/>
  <c r="CU267" i="1"/>
  <c r="CT267" i="1"/>
  <c r="CS267" i="1"/>
  <c r="CR267" i="1"/>
  <c r="CQ267" i="1"/>
  <c r="CP267" i="1"/>
  <c r="CO267" i="1"/>
  <c r="CM267" i="1"/>
  <c r="CL267" i="1"/>
  <c r="CK267" i="1"/>
  <c r="CJ267" i="1"/>
  <c r="CI267" i="1"/>
  <c r="CH267" i="1"/>
  <c r="CG267" i="1"/>
  <c r="CE267" i="1"/>
  <c r="CD267" i="1"/>
  <c r="CC267" i="1"/>
  <c r="CB267" i="1"/>
  <c r="CA267" i="1"/>
  <c r="BZ267" i="1"/>
  <c r="BY267" i="1"/>
  <c r="BX267" i="1"/>
  <c r="BW267" i="1"/>
  <c r="DC266" i="1"/>
  <c r="CZ266" i="1"/>
  <c r="CY266" i="1"/>
  <c r="CW266" i="1"/>
  <c r="CU266" i="1"/>
  <c r="CT266" i="1"/>
  <c r="CS266" i="1"/>
  <c r="CR266" i="1"/>
  <c r="CQ266" i="1"/>
  <c r="CP266" i="1"/>
  <c r="CO266" i="1"/>
  <c r="CM266" i="1"/>
  <c r="CL266" i="1"/>
  <c r="CK266" i="1"/>
  <c r="CJ266" i="1"/>
  <c r="CI266" i="1"/>
  <c r="CH266" i="1"/>
  <c r="CG266" i="1"/>
  <c r="CE266" i="1"/>
  <c r="CD266" i="1"/>
  <c r="CC266" i="1"/>
  <c r="CB266" i="1"/>
  <c r="CA266" i="1"/>
  <c r="BZ266" i="1"/>
  <c r="BY266" i="1"/>
  <c r="BX266" i="1"/>
  <c r="BW266" i="1"/>
  <c r="DC265" i="1"/>
  <c r="CZ265" i="1"/>
  <c r="CY265" i="1"/>
  <c r="CW265" i="1"/>
  <c r="CU265" i="1"/>
  <c r="CT265" i="1"/>
  <c r="CS265" i="1"/>
  <c r="CR265" i="1"/>
  <c r="CQ265" i="1"/>
  <c r="CP265" i="1"/>
  <c r="CO265" i="1"/>
  <c r="CM265" i="1"/>
  <c r="CL265" i="1"/>
  <c r="CK265" i="1"/>
  <c r="CJ265" i="1"/>
  <c r="CI265" i="1"/>
  <c r="CH265" i="1"/>
  <c r="CG265" i="1"/>
  <c r="CE265" i="1"/>
  <c r="CD265" i="1"/>
  <c r="CC265" i="1"/>
  <c r="CB265" i="1"/>
  <c r="CA265" i="1"/>
  <c r="BZ265" i="1"/>
  <c r="BY265" i="1"/>
  <c r="BX265" i="1"/>
  <c r="BW265" i="1"/>
  <c r="DC264" i="1"/>
  <c r="CZ264" i="1"/>
  <c r="CY264" i="1"/>
  <c r="CW264" i="1"/>
  <c r="CU264" i="1"/>
  <c r="CT264" i="1"/>
  <c r="CS264" i="1"/>
  <c r="CR264" i="1"/>
  <c r="CQ264" i="1"/>
  <c r="CP264" i="1"/>
  <c r="CO264" i="1"/>
  <c r="CM264" i="1"/>
  <c r="CL264" i="1"/>
  <c r="CK264" i="1"/>
  <c r="CJ264" i="1"/>
  <c r="CI264" i="1"/>
  <c r="CH264" i="1"/>
  <c r="CG264" i="1"/>
  <c r="CE264" i="1"/>
  <c r="CD264" i="1"/>
  <c r="CC264" i="1"/>
  <c r="CB264" i="1"/>
  <c r="CA264" i="1"/>
  <c r="BZ264" i="1"/>
  <c r="BY264" i="1"/>
  <c r="BX264" i="1"/>
  <c r="BW264" i="1"/>
  <c r="DC263" i="1"/>
  <c r="CZ263" i="1"/>
  <c r="CY263" i="1"/>
  <c r="CW263" i="1"/>
  <c r="CU263" i="1"/>
  <c r="CT263" i="1"/>
  <c r="CS263" i="1"/>
  <c r="CR263" i="1"/>
  <c r="CQ263" i="1"/>
  <c r="CP263" i="1"/>
  <c r="CO263" i="1"/>
  <c r="CM263" i="1"/>
  <c r="CL263" i="1"/>
  <c r="CK263" i="1"/>
  <c r="CJ263" i="1"/>
  <c r="CI263" i="1"/>
  <c r="CH263" i="1"/>
  <c r="CG263" i="1"/>
  <c r="CE263" i="1"/>
  <c r="CD263" i="1"/>
  <c r="CC263" i="1"/>
  <c r="CB263" i="1"/>
  <c r="CA263" i="1"/>
  <c r="BZ263" i="1"/>
  <c r="BY263" i="1"/>
  <c r="BX263" i="1"/>
  <c r="BW263" i="1"/>
  <c r="DC262" i="1"/>
  <c r="CZ262" i="1"/>
  <c r="CY262" i="1"/>
  <c r="CW262" i="1"/>
  <c r="CU262" i="1"/>
  <c r="CT262" i="1"/>
  <c r="CS262" i="1"/>
  <c r="CR262" i="1"/>
  <c r="CQ262" i="1"/>
  <c r="CP262" i="1"/>
  <c r="CO262" i="1"/>
  <c r="CM262" i="1"/>
  <c r="CL262" i="1"/>
  <c r="CK262" i="1"/>
  <c r="CJ262" i="1"/>
  <c r="CI262" i="1"/>
  <c r="CH262" i="1"/>
  <c r="CG262" i="1"/>
  <c r="CE262" i="1"/>
  <c r="CD262" i="1"/>
  <c r="CC262" i="1"/>
  <c r="CB262" i="1"/>
  <c r="CA262" i="1"/>
  <c r="BZ262" i="1"/>
  <c r="BY262" i="1"/>
  <c r="BX262" i="1"/>
  <c r="BW262" i="1"/>
  <c r="DC261" i="1"/>
  <c r="CZ261" i="1"/>
  <c r="CY261" i="1"/>
  <c r="CW261" i="1"/>
  <c r="CU261" i="1"/>
  <c r="CT261" i="1"/>
  <c r="CS261" i="1"/>
  <c r="CR261" i="1"/>
  <c r="CQ261" i="1"/>
  <c r="CP261" i="1"/>
  <c r="CO261" i="1"/>
  <c r="CM261" i="1"/>
  <c r="CL261" i="1"/>
  <c r="CK261" i="1"/>
  <c r="CJ261" i="1"/>
  <c r="CI261" i="1"/>
  <c r="CH261" i="1"/>
  <c r="CG261" i="1"/>
  <c r="CE261" i="1"/>
  <c r="CD261" i="1"/>
  <c r="CC261" i="1"/>
  <c r="CB261" i="1"/>
  <c r="CA261" i="1"/>
  <c r="BZ261" i="1"/>
  <c r="BY261" i="1"/>
  <c r="BX261" i="1"/>
  <c r="BW261" i="1"/>
  <c r="DC260" i="1"/>
  <c r="CZ260" i="1"/>
  <c r="CY260" i="1"/>
  <c r="CW260" i="1"/>
  <c r="CU260" i="1"/>
  <c r="CT260" i="1"/>
  <c r="CS260" i="1"/>
  <c r="CR260" i="1"/>
  <c r="CQ260" i="1"/>
  <c r="CP260" i="1"/>
  <c r="CO260" i="1"/>
  <c r="CM260" i="1"/>
  <c r="CL260" i="1"/>
  <c r="CK260" i="1"/>
  <c r="CJ260" i="1"/>
  <c r="CI260" i="1"/>
  <c r="CH260" i="1"/>
  <c r="CG260" i="1"/>
  <c r="CE260" i="1"/>
  <c r="CD260" i="1"/>
  <c r="CC260" i="1"/>
  <c r="CB260" i="1"/>
  <c r="CA260" i="1"/>
  <c r="BZ260" i="1"/>
  <c r="BY260" i="1"/>
  <c r="BX260" i="1"/>
  <c r="BW260" i="1"/>
  <c r="DC259" i="1"/>
  <c r="CZ259" i="1"/>
  <c r="CY259" i="1"/>
  <c r="CW259" i="1"/>
  <c r="CU259" i="1"/>
  <c r="CT259" i="1"/>
  <c r="CS259" i="1"/>
  <c r="CR259" i="1"/>
  <c r="CQ259" i="1"/>
  <c r="CP259" i="1"/>
  <c r="CO259" i="1"/>
  <c r="CM259" i="1"/>
  <c r="CL259" i="1"/>
  <c r="CK259" i="1"/>
  <c r="CJ259" i="1"/>
  <c r="CI259" i="1"/>
  <c r="CH259" i="1"/>
  <c r="CG259" i="1"/>
  <c r="CE259" i="1"/>
  <c r="CD259" i="1"/>
  <c r="CC259" i="1"/>
  <c r="CB259" i="1"/>
  <c r="CA259" i="1"/>
  <c r="BZ259" i="1"/>
  <c r="BY259" i="1"/>
  <c r="BX259" i="1"/>
  <c r="BW259" i="1"/>
  <c r="DC258" i="1"/>
  <c r="CZ258" i="1"/>
  <c r="CY258" i="1"/>
  <c r="CW258" i="1"/>
  <c r="CU258" i="1"/>
  <c r="CT258" i="1"/>
  <c r="CS258" i="1"/>
  <c r="CR258" i="1"/>
  <c r="CQ258" i="1"/>
  <c r="CP258" i="1"/>
  <c r="CO258" i="1"/>
  <c r="CM258" i="1"/>
  <c r="CL258" i="1"/>
  <c r="CK258" i="1"/>
  <c r="CJ258" i="1"/>
  <c r="CI258" i="1"/>
  <c r="CH258" i="1"/>
  <c r="CG258" i="1"/>
  <c r="CE258" i="1"/>
  <c r="CD258" i="1"/>
  <c r="CC258" i="1"/>
  <c r="CB258" i="1"/>
  <c r="CA258" i="1"/>
  <c r="BZ258" i="1"/>
  <c r="BY258" i="1"/>
  <c r="BX258" i="1"/>
  <c r="BW258" i="1"/>
  <c r="DC257" i="1"/>
  <c r="CZ257" i="1"/>
  <c r="CY257" i="1"/>
  <c r="CW257" i="1"/>
  <c r="CU257" i="1"/>
  <c r="CT257" i="1"/>
  <c r="CS257" i="1"/>
  <c r="CR257" i="1"/>
  <c r="CQ257" i="1"/>
  <c r="CP257" i="1"/>
  <c r="CO257" i="1"/>
  <c r="CM257" i="1"/>
  <c r="CL257" i="1"/>
  <c r="CK257" i="1"/>
  <c r="CJ257" i="1"/>
  <c r="CI257" i="1"/>
  <c r="CH257" i="1"/>
  <c r="CG257" i="1"/>
  <c r="CE257" i="1"/>
  <c r="CD257" i="1"/>
  <c r="CC257" i="1"/>
  <c r="CB257" i="1"/>
  <c r="CA257" i="1"/>
  <c r="BZ257" i="1"/>
  <c r="BY257" i="1"/>
  <c r="BX257" i="1"/>
  <c r="BW257" i="1"/>
  <c r="DC256" i="1"/>
  <c r="CZ256" i="1"/>
  <c r="CY256" i="1"/>
  <c r="CW256" i="1"/>
  <c r="CU256" i="1"/>
  <c r="CT256" i="1"/>
  <c r="CS256" i="1"/>
  <c r="CR256" i="1"/>
  <c r="CQ256" i="1"/>
  <c r="CP256" i="1"/>
  <c r="CO256" i="1"/>
  <c r="CM256" i="1"/>
  <c r="CL256" i="1"/>
  <c r="CK256" i="1"/>
  <c r="CJ256" i="1"/>
  <c r="CI256" i="1"/>
  <c r="CH256" i="1"/>
  <c r="CG256" i="1"/>
  <c r="CE256" i="1"/>
  <c r="CD256" i="1"/>
  <c r="CC256" i="1"/>
  <c r="CB256" i="1"/>
  <c r="CA256" i="1"/>
  <c r="BZ256" i="1"/>
  <c r="BY256" i="1"/>
  <c r="BX256" i="1"/>
  <c r="BW256" i="1"/>
  <c r="DC255" i="1"/>
  <c r="CZ255" i="1"/>
  <c r="CY255" i="1"/>
  <c r="CW255" i="1"/>
  <c r="CU255" i="1"/>
  <c r="CT255" i="1"/>
  <c r="CS255" i="1"/>
  <c r="CR255" i="1"/>
  <c r="CQ255" i="1"/>
  <c r="CP255" i="1"/>
  <c r="CO255" i="1"/>
  <c r="CM255" i="1"/>
  <c r="CL255" i="1"/>
  <c r="CK255" i="1"/>
  <c r="CJ255" i="1"/>
  <c r="CI255" i="1"/>
  <c r="CH255" i="1"/>
  <c r="CG255" i="1"/>
  <c r="CE255" i="1"/>
  <c r="CD255" i="1"/>
  <c r="CC255" i="1"/>
  <c r="CB255" i="1"/>
  <c r="CA255" i="1"/>
  <c r="BZ255" i="1"/>
  <c r="BY255" i="1"/>
  <c r="BX255" i="1"/>
  <c r="BW255" i="1"/>
  <c r="DC254" i="1"/>
  <c r="CZ254" i="1"/>
  <c r="CY254" i="1"/>
  <c r="CW254" i="1"/>
  <c r="CU254" i="1"/>
  <c r="CT254" i="1"/>
  <c r="CS254" i="1"/>
  <c r="CR254" i="1"/>
  <c r="CQ254" i="1"/>
  <c r="CP254" i="1"/>
  <c r="CO254" i="1"/>
  <c r="CM254" i="1"/>
  <c r="CL254" i="1"/>
  <c r="CK254" i="1"/>
  <c r="CJ254" i="1"/>
  <c r="CI254" i="1"/>
  <c r="CH254" i="1"/>
  <c r="CG254" i="1"/>
  <c r="CE254" i="1"/>
  <c r="CD254" i="1"/>
  <c r="CC254" i="1"/>
  <c r="CB254" i="1"/>
  <c r="CA254" i="1"/>
  <c r="BZ254" i="1"/>
  <c r="BY254" i="1"/>
  <c r="BX254" i="1"/>
  <c r="BW254" i="1"/>
  <c r="DC253" i="1"/>
  <c r="CZ253" i="1"/>
  <c r="CY253" i="1"/>
  <c r="CW253" i="1"/>
  <c r="CU253" i="1"/>
  <c r="CT253" i="1"/>
  <c r="CS253" i="1"/>
  <c r="CR253" i="1"/>
  <c r="CQ253" i="1"/>
  <c r="CP253" i="1"/>
  <c r="CO253" i="1"/>
  <c r="CM253" i="1"/>
  <c r="CL253" i="1"/>
  <c r="CK253" i="1"/>
  <c r="CJ253" i="1"/>
  <c r="CI253" i="1"/>
  <c r="CH253" i="1"/>
  <c r="CG253" i="1"/>
  <c r="CE253" i="1"/>
  <c r="CD253" i="1"/>
  <c r="CC253" i="1"/>
  <c r="CB253" i="1"/>
  <c r="CA253" i="1"/>
  <c r="BZ253" i="1"/>
  <c r="BY253" i="1"/>
  <c r="BX253" i="1"/>
  <c r="BW253" i="1"/>
  <c r="DC252" i="1"/>
  <c r="CZ252" i="1"/>
  <c r="CY252" i="1"/>
  <c r="CW252" i="1"/>
  <c r="CU252" i="1"/>
  <c r="CT252" i="1"/>
  <c r="CS252" i="1"/>
  <c r="CR252" i="1"/>
  <c r="CQ252" i="1"/>
  <c r="CP252" i="1"/>
  <c r="CO252" i="1"/>
  <c r="CM252" i="1"/>
  <c r="CL252" i="1"/>
  <c r="CK252" i="1"/>
  <c r="CJ252" i="1"/>
  <c r="CI252" i="1"/>
  <c r="CH252" i="1"/>
  <c r="CG252" i="1"/>
  <c r="CE252" i="1"/>
  <c r="CD252" i="1"/>
  <c r="CC252" i="1"/>
  <c r="CB252" i="1"/>
  <c r="CA252" i="1"/>
  <c r="BZ252" i="1"/>
  <c r="BY252" i="1"/>
  <c r="BX252" i="1"/>
  <c r="BW252" i="1"/>
  <c r="DC251" i="1"/>
  <c r="CZ251" i="1"/>
  <c r="CY251" i="1"/>
  <c r="CW251" i="1"/>
  <c r="CU251" i="1"/>
  <c r="CT251" i="1"/>
  <c r="CS251" i="1"/>
  <c r="CR251" i="1"/>
  <c r="CQ251" i="1"/>
  <c r="CP251" i="1"/>
  <c r="CO251" i="1"/>
  <c r="CM251" i="1"/>
  <c r="CL251" i="1"/>
  <c r="CK251" i="1"/>
  <c r="CJ251" i="1"/>
  <c r="CI251" i="1"/>
  <c r="CH251" i="1"/>
  <c r="CG251" i="1"/>
  <c r="CE251" i="1"/>
  <c r="CD251" i="1"/>
  <c r="CC251" i="1"/>
  <c r="CB251" i="1"/>
  <c r="CA251" i="1"/>
  <c r="BZ251" i="1"/>
  <c r="BY251" i="1"/>
  <c r="BX251" i="1"/>
  <c r="BW251" i="1"/>
  <c r="DC250" i="1"/>
  <c r="CZ250" i="1"/>
  <c r="CY250" i="1"/>
  <c r="CW250" i="1"/>
  <c r="CU250" i="1"/>
  <c r="CT250" i="1"/>
  <c r="CS250" i="1"/>
  <c r="CR250" i="1"/>
  <c r="CQ250" i="1"/>
  <c r="CP250" i="1"/>
  <c r="CO250" i="1"/>
  <c r="CM250" i="1"/>
  <c r="CL250" i="1"/>
  <c r="CK250" i="1"/>
  <c r="CJ250" i="1"/>
  <c r="CI250" i="1"/>
  <c r="CH250" i="1"/>
  <c r="CG250" i="1"/>
  <c r="CE250" i="1"/>
  <c r="CD250" i="1"/>
  <c r="CC250" i="1"/>
  <c r="CB250" i="1"/>
  <c r="CA250" i="1"/>
  <c r="BZ250" i="1"/>
  <c r="BY250" i="1"/>
  <c r="BX250" i="1"/>
  <c r="BW250" i="1"/>
  <c r="DC249" i="1"/>
  <c r="CZ249" i="1"/>
  <c r="CY249" i="1"/>
  <c r="CW249" i="1"/>
  <c r="CU249" i="1"/>
  <c r="CT249" i="1"/>
  <c r="CS249" i="1"/>
  <c r="CR249" i="1"/>
  <c r="CQ249" i="1"/>
  <c r="CP249" i="1"/>
  <c r="CO249" i="1"/>
  <c r="CM249" i="1"/>
  <c r="CL249" i="1"/>
  <c r="CK249" i="1"/>
  <c r="CJ249" i="1"/>
  <c r="CI249" i="1"/>
  <c r="CH249" i="1"/>
  <c r="CG249" i="1"/>
  <c r="CE249" i="1"/>
  <c r="CD249" i="1"/>
  <c r="CC249" i="1"/>
  <c r="CB249" i="1"/>
  <c r="CA249" i="1"/>
  <c r="BZ249" i="1"/>
  <c r="BY249" i="1"/>
  <c r="BX249" i="1"/>
  <c r="BW249" i="1"/>
  <c r="DC248" i="1"/>
  <c r="CZ248" i="1"/>
  <c r="CY248" i="1"/>
  <c r="CW248" i="1"/>
  <c r="CU248" i="1"/>
  <c r="CT248" i="1"/>
  <c r="CS248" i="1"/>
  <c r="CR248" i="1"/>
  <c r="CQ248" i="1"/>
  <c r="CP248" i="1"/>
  <c r="CO248" i="1"/>
  <c r="CM248" i="1"/>
  <c r="CL248" i="1"/>
  <c r="CK248" i="1"/>
  <c r="CJ248" i="1"/>
  <c r="CI248" i="1"/>
  <c r="CH248" i="1"/>
  <c r="CG248" i="1"/>
  <c r="CE248" i="1"/>
  <c r="CD248" i="1"/>
  <c r="CC248" i="1"/>
  <c r="CB248" i="1"/>
  <c r="CA248" i="1"/>
  <c r="BZ248" i="1"/>
  <c r="BY248" i="1"/>
  <c r="BX248" i="1"/>
  <c r="BW248" i="1"/>
  <c r="DC247" i="1"/>
  <c r="CZ247" i="1"/>
  <c r="CY247" i="1"/>
  <c r="CW247" i="1"/>
  <c r="CU247" i="1"/>
  <c r="CT247" i="1"/>
  <c r="CS247" i="1"/>
  <c r="CR247" i="1"/>
  <c r="CQ247" i="1"/>
  <c r="CP247" i="1"/>
  <c r="CO247" i="1"/>
  <c r="CM247" i="1"/>
  <c r="CL247" i="1"/>
  <c r="CK247" i="1"/>
  <c r="CJ247" i="1"/>
  <c r="CI247" i="1"/>
  <c r="CH247" i="1"/>
  <c r="CG247" i="1"/>
  <c r="CE247" i="1"/>
  <c r="CD247" i="1"/>
  <c r="CC247" i="1"/>
  <c r="CB247" i="1"/>
  <c r="CA247" i="1"/>
  <c r="BZ247" i="1"/>
  <c r="BY247" i="1"/>
  <c r="BX247" i="1"/>
  <c r="BW247" i="1"/>
  <c r="DC246" i="1"/>
  <c r="CZ246" i="1"/>
  <c r="CY246" i="1"/>
  <c r="CW246" i="1"/>
  <c r="CU246" i="1"/>
  <c r="CT246" i="1"/>
  <c r="CS246" i="1"/>
  <c r="CR246" i="1"/>
  <c r="CQ246" i="1"/>
  <c r="CP246" i="1"/>
  <c r="CO246" i="1"/>
  <c r="CM246" i="1"/>
  <c r="CL246" i="1"/>
  <c r="CK246" i="1"/>
  <c r="CJ246" i="1"/>
  <c r="CI246" i="1"/>
  <c r="CH246" i="1"/>
  <c r="CG246" i="1"/>
  <c r="CE246" i="1"/>
  <c r="CD246" i="1"/>
  <c r="CC246" i="1"/>
  <c r="CB246" i="1"/>
  <c r="CA246" i="1"/>
  <c r="BZ246" i="1"/>
  <c r="BY246" i="1"/>
  <c r="BX246" i="1"/>
  <c r="BW246" i="1"/>
  <c r="DC245" i="1"/>
  <c r="CZ245" i="1"/>
  <c r="CY245" i="1"/>
  <c r="CW245" i="1"/>
  <c r="CU245" i="1"/>
  <c r="CT245" i="1"/>
  <c r="CS245" i="1"/>
  <c r="CR245" i="1"/>
  <c r="CQ245" i="1"/>
  <c r="CP245" i="1"/>
  <c r="CO245" i="1"/>
  <c r="CM245" i="1"/>
  <c r="CL245" i="1"/>
  <c r="CK245" i="1"/>
  <c r="CJ245" i="1"/>
  <c r="CI245" i="1"/>
  <c r="CH245" i="1"/>
  <c r="CG245" i="1"/>
  <c r="CE245" i="1"/>
  <c r="CD245" i="1"/>
  <c r="CC245" i="1"/>
  <c r="CB245" i="1"/>
  <c r="CA245" i="1"/>
  <c r="BZ245" i="1"/>
  <c r="BY245" i="1"/>
  <c r="BX245" i="1"/>
  <c r="BW245" i="1"/>
  <c r="DC244" i="1"/>
  <c r="CZ244" i="1"/>
  <c r="CY244" i="1"/>
  <c r="CW244" i="1"/>
  <c r="CU244" i="1"/>
  <c r="CT244" i="1"/>
  <c r="CS244" i="1"/>
  <c r="CR244" i="1"/>
  <c r="CQ244" i="1"/>
  <c r="CP244" i="1"/>
  <c r="CO244" i="1"/>
  <c r="CM244" i="1"/>
  <c r="CL244" i="1"/>
  <c r="CK244" i="1"/>
  <c r="CJ244" i="1"/>
  <c r="CI244" i="1"/>
  <c r="CH244" i="1"/>
  <c r="CG244" i="1"/>
  <c r="CE244" i="1"/>
  <c r="CD244" i="1"/>
  <c r="CC244" i="1"/>
  <c r="CB244" i="1"/>
  <c r="CA244" i="1"/>
  <c r="BZ244" i="1"/>
  <c r="BY244" i="1"/>
  <c r="BX244" i="1"/>
  <c r="BW244" i="1"/>
  <c r="DC243" i="1"/>
  <c r="CZ243" i="1"/>
  <c r="CY243" i="1"/>
  <c r="CW243" i="1"/>
  <c r="CU243" i="1"/>
  <c r="CT243" i="1"/>
  <c r="CS243" i="1"/>
  <c r="CR243" i="1"/>
  <c r="CQ243" i="1"/>
  <c r="CP243" i="1"/>
  <c r="CO243" i="1"/>
  <c r="CM243" i="1"/>
  <c r="CL243" i="1"/>
  <c r="CK243" i="1"/>
  <c r="CJ243" i="1"/>
  <c r="CI243" i="1"/>
  <c r="CH243" i="1"/>
  <c r="CG243" i="1"/>
  <c r="CE243" i="1"/>
  <c r="CD243" i="1"/>
  <c r="CC243" i="1"/>
  <c r="CB243" i="1"/>
  <c r="CA243" i="1"/>
  <c r="BZ243" i="1"/>
  <c r="BY243" i="1"/>
  <c r="BX243" i="1"/>
  <c r="BW243" i="1"/>
  <c r="DC242" i="1"/>
  <c r="CZ242" i="1"/>
  <c r="CY242" i="1"/>
  <c r="CW242" i="1"/>
  <c r="CU242" i="1"/>
  <c r="CT242" i="1"/>
  <c r="CS242" i="1"/>
  <c r="CR242" i="1"/>
  <c r="CQ242" i="1"/>
  <c r="CP242" i="1"/>
  <c r="CO242" i="1"/>
  <c r="CM242" i="1"/>
  <c r="CL242" i="1"/>
  <c r="CK242" i="1"/>
  <c r="CJ242" i="1"/>
  <c r="CI242" i="1"/>
  <c r="CH242" i="1"/>
  <c r="CG242" i="1"/>
  <c r="CE242" i="1"/>
  <c r="CD242" i="1"/>
  <c r="CC242" i="1"/>
  <c r="CB242" i="1"/>
  <c r="CA242" i="1"/>
  <c r="BZ242" i="1"/>
  <c r="BY242" i="1"/>
  <c r="BX242" i="1"/>
  <c r="BW242" i="1"/>
  <c r="DC241" i="1"/>
  <c r="CZ241" i="1"/>
  <c r="CY241" i="1"/>
  <c r="CW241" i="1"/>
  <c r="CU241" i="1"/>
  <c r="CT241" i="1"/>
  <c r="CS241" i="1"/>
  <c r="CR241" i="1"/>
  <c r="CQ241" i="1"/>
  <c r="CP241" i="1"/>
  <c r="CO241" i="1"/>
  <c r="CM241" i="1"/>
  <c r="CL241" i="1"/>
  <c r="CK241" i="1"/>
  <c r="CJ241" i="1"/>
  <c r="CI241" i="1"/>
  <c r="CH241" i="1"/>
  <c r="CG241" i="1"/>
  <c r="CE241" i="1"/>
  <c r="CD241" i="1"/>
  <c r="CC241" i="1"/>
  <c r="CB241" i="1"/>
  <c r="CA241" i="1"/>
  <c r="BZ241" i="1"/>
  <c r="BY241" i="1"/>
  <c r="BX241" i="1"/>
  <c r="BW241" i="1"/>
  <c r="DC240" i="1"/>
  <c r="CZ240" i="1"/>
  <c r="CY240" i="1"/>
  <c r="CW240" i="1"/>
  <c r="CU240" i="1"/>
  <c r="CT240" i="1"/>
  <c r="CS240" i="1"/>
  <c r="CR240" i="1"/>
  <c r="CQ240" i="1"/>
  <c r="CP240" i="1"/>
  <c r="CO240" i="1"/>
  <c r="CM240" i="1"/>
  <c r="CL240" i="1"/>
  <c r="CK240" i="1"/>
  <c r="CJ240" i="1"/>
  <c r="CI240" i="1"/>
  <c r="CH240" i="1"/>
  <c r="CG240" i="1"/>
  <c r="CE240" i="1"/>
  <c r="CD240" i="1"/>
  <c r="CC240" i="1"/>
  <c r="CB240" i="1"/>
  <c r="CA240" i="1"/>
  <c r="BZ240" i="1"/>
  <c r="BY240" i="1"/>
  <c r="BX240" i="1"/>
  <c r="BW240" i="1"/>
  <c r="DC239" i="1"/>
  <c r="CZ239" i="1"/>
  <c r="CY239" i="1"/>
  <c r="CW239" i="1"/>
  <c r="CU239" i="1"/>
  <c r="CT239" i="1"/>
  <c r="CS239" i="1"/>
  <c r="CR239" i="1"/>
  <c r="CQ239" i="1"/>
  <c r="CP239" i="1"/>
  <c r="CO239" i="1"/>
  <c r="CM239" i="1"/>
  <c r="CL239" i="1"/>
  <c r="CK239" i="1"/>
  <c r="CJ239" i="1"/>
  <c r="CI239" i="1"/>
  <c r="CH239" i="1"/>
  <c r="CG239" i="1"/>
  <c r="CE239" i="1"/>
  <c r="CD239" i="1"/>
  <c r="CC239" i="1"/>
  <c r="CB239" i="1"/>
  <c r="CA239" i="1"/>
  <c r="BZ239" i="1"/>
  <c r="BY239" i="1"/>
  <c r="BX239" i="1"/>
  <c r="BW239" i="1"/>
  <c r="DC238" i="1"/>
  <c r="CZ238" i="1"/>
  <c r="CY238" i="1"/>
  <c r="CW238" i="1"/>
  <c r="CU238" i="1"/>
  <c r="CT238" i="1"/>
  <c r="CS238" i="1"/>
  <c r="CR238" i="1"/>
  <c r="CQ238" i="1"/>
  <c r="CP238" i="1"/>
  <c r="CO238" i="1"/>
  <c r="CM238" i="1"/>
  <c r="CL238" i="1"/>
  <c r="CK238" i="1"/>
  <c r="CJ238" i="1"/>
  <c r="CI238" i="1"/>
  <c r="CH238" i="1"/>
  <c r="CG238" i="1"/>
  <c r="CE238" i="1"/>
  <c r="CD238" i="1"/>
  <c r="CC238" i="1"/>
  <c r="CB238" i="1"/>
  <c r="CA238" i="1"/>
  <c r="BZ238" i="1"/>
  <c r="BY238" i="1"/>
  <c r="BX238" i="1"/>
  <c r="BW238" i="1"/>
  <c r="DC237" i="1"/>
  <c r="CZ237" i="1"/>
  <c r="CY237" i="1"/>
  <c r="CW237" i="1"/>
  <c r="CU237" i="1"/>
  <c r="CT237" i="1"/>
  <c r="CS237" i="1"/>
  <c r="CR237" i="1"/>
  <c r="CQ237" i="1"/>
  <c r="CP237" i="1"/>
  <c r="CO237" i="1"/>
  <c r="CM237" i="1"/>
  <c r="CL237" i="1"/>
  <c r="CK237" i="1"/>
  <c r="CJ237" i="1"/>
  <c r="CI237" i="1"/>
  <c r="CH237" i="1"/>
  <c r="CG237" i="1"/>
  <c r="CE237" i="1"/>
  <c r="CD237" i="1"/>
  <c r="CC237" i="1"/>
  <c r="CB237" i="1"/>
  <c r="CA237" i="1"/>
  <c r="BZ237" i="1"/>
  <c r="BY237" i="1"/>
  <c r="BX237" i="1"/>
  <c r="BW237" i="1"/>
  <c r="DC236" i="1"/>
  <c r="CZ236" i="1"/>
  <c r="CY236" i="1"/>
  <c r="CW236" i="1"/>
  <c r="CU236" i="1"/>
  <c r="CT236" i="1"/>
  <c r="CS236" i="1"/>
  <c r="CR236" i="1"/>
  <c r="CQ236" i="1"/>
  <c r="CP236" i="1"/>
  <c r="CO236" i="1"/>
  <c r="CM236" i="1"/>
  <c r="CL236" i="1"/>
  <c r="CK236" i="1"/>
  <c r="CJ236" i="1"/>
  <c r="CI236" i="1"/>
  <c r="CH236" i="1"/>
  <c r="CG236" i="1"/>
  <c r="CE236" i="1"/>
  <c r="CD236" i="1"/>
  <c r="CC236" i="1"/>
  <c r="CB236" i="1"/>
  <c r="CA236" i="1"/>
  <c r="BZ236" i="1"/>
  <c r="BY236" i="1"/>
  <c r="BX236" i="1"/>
  <c r="BW236" i="1"/>
  <c r="DC235" i="1"/>
  <c r="CZ235" i="1"/>
  <c r="CY235" i="1"/>
  <c r="CW235" i="1"/>
  <c r="CU235" i="1"/>
  <c r="CT235" i="1"/>
  <c r="CS235" i="1"/>
  <c r="CR235" i="1"/>
  <c r="CQ235" i="1"/>
  <c r="CP235" i="1"/>
  <c r="CO235" i="1"/>
  <c r="CM235" i="1"/>
  <c r="CL235" i="1"/>
  <c r="CK235" i="1"/>
  <c r="CJ235" i="1"/>
  <c r="CI235" i="1"/>
  <c r="CH235" i="1"/>
  <c r="CG235" i="1"/>
  <c r="CE235" i="1"/>
  <c r="CD235" i="1"/>
  <c r="CC235" i="1"/>
  <c r="CB235" i="1"/>
  <c r="CA235" i="1"/>
  <c r="BZ235" i="1"/>
  <c r="BY235" i="1"/>
  <c r="BX235" i="1"/>
  <c r="BW235" i="1"/>
  <c r="DC234" i="1"/>
  <c r="CZ234" i="1"/>
  <c r="CY234" i="1"/>
  <c r="CW234" i="1"/>
  <c r="CU234" i="1"/>
  <c r="CT234" i="1"/>
  <c r="CS234" i="1"/>
  <c r="CR234" i="1"/>
  <c r="CQ234" i="1"/>
  <c r="CP234" i="1"/>
  <c r="CO234" i="1"/>
  <c r="CM234" i="1"/>
  <c r="CL234" i="1"/>
  <c r="CK234" i="1"/>
  <c r="CJ234" i="1"/>
  <c r="CI234" i="1"/>
  <c r="CH234" i="1"/>
  <c r="CG234" i="1"/>
  <c r="CE234" i="1"/>
  <c r="CD234" i="1"/>
  <c r="CC234" i="1"/>
  <c r="CB234" i="1"/>
  <c r="CA234" i="1"/>
  <c r="BZ234" i="1"/>
  <c r="BY234" i="1"/>
  <c r="BX234" i="1"/>
  <c r="BW234" i="1"/>
  <c r="DC233" i="1"/>
  <c r="CZ233" i="1"/>
  <c r="CY233" i="1"/>
  <c r="CW233" i="1"/>
  <c r="CU233" i="1"/>
  <c r="CT233" i="1"/>
  <c r="CS233" i="1"/>
  <c r="CR233" i="1"/>
  <c r="CQ233" i="1"/>
  <c r="CP233" i="1"/>
  <c r="CO233" i="1"/>
  <c r="CM233" i="1"/>
  <c r="CL233" i="1"/>
  <c r="CK233" i="1"/>
  <c r="CJ233" i="1"/>
  <c r="CI233" i="1"/>
  <c r="CH233" i="1"/>
  <c r="CG233" i="1"/>
  <c r="CE233" i="1"/>
  <c r="CD233" i="1"/>
  <c r="CC233" i="1"/>
  <c r="CB233" i="1"/>
  <c r="CA233" i="1"/>
  <c r="BZ233" i="1"/>
  <c r="BY233" i="1"/>
  <c r="BX233" i="1"/>
  <c r="BW233" i="1"/>
  <c r="DC232" i="1"/>
  <c r="CZ232" i="1"/>
  <c r="CY232" i="1"/>
  <c r="CW232" i="1"/>
  <c r="CU232" i="1"/>
  <c r="CT232" i="1"/>
  <c r="CS232" i="1"/>
  <c r="CR232" i="1"/>
  <c r="CQ232" i="1"/>
  <c r="CP232" i="1"/>
  <c r="CO232" i="1"/>
  <c r="CM232" i="1"/>
  <c r="CL232" i="1"/>
  <c r="CK232" i="1"/>
  <c r="CJ232" i="1"/>
  <c r="CI232" i="1"/>
  <c r="CH232" i="1"/>
  <c r="CG232" i="1"/>
  <c r="CE232" i="1"/>
  <c r="CD232" i="1"/>
  <c r="CC232" i="1"/>
  <c r="CB232" i="1"/>
  <c r="CA232" i="1"/>
  <c r="BZ232" i="1"/>
  <c r="BY232" i="1"/>
  <c r="BX232" i="1"/>
  <c r="BW232" i="1"/>
  <c r="DC231" i="1"/>
  <c r="CZ231" i="1"/>
  <c r="CY231" i="1"/>
  <c r="CW231" i="1"/>
  <c r="CU231" i="1"/>
  <c r="CT231" i="1"/>
  <c r="CS231" i="1"/>
  <c r="CR231" i="1"/>
  <c r="CQ231" i="1"/>
  <c r="CP231" i="1"/>
  <c r="CO231" i="1"/>
  <c r="CM231" i="1"/>
  <c r="CL231" i="1"/>
  <c r="CK231" i="1"/>
  <c r="CJ231" i="1"/>
  <c r="CI231" i="1"/>
  <c r="CH231" i="1"/>
  <c r="CG231" i="1"/>
  <c r="CE231" i="1"/>
  <c r="CD231" i="1"/>
  <c r="CC231" i="1"/>
  <c r="CB231" i="1"/>
  <c r="CA231" i="1"/>
  <c r="BZ231" i="1"/>
  <c r="BY231" i="1"/>
  <c r="BX231" i="1"/>
  <c r="BW231" i="1"/>
  <c r="DC230" i="1"/>
  <c r="CZ230" i="1"/>
  <c r="CY230" i="1"/>
  <c r="CW230" i="1"/>
  <c r="CU230" i="1"/>
  <c r="CT230" i="1"/>
  <c r="CS230" i="1"/>
  <c r="CR230" i="1"/>
  <c r="CQ230" i="1"/>
  <c r="CP230" i="1"/>
  <c r="CO230" i="1"/>
  <c r="CM230" i="1"/>
  <c r="CL230" i="1"/>
  <c r="CK230" i="1"/>
  <c r="CJ230" i="1"/>
  <c r="CI230" i="1"/>
  <c r="CH230" i="1"/>
  <c r="CG230" i="1"/>
  <c r="CE230" i="1"/>
  <c r="CD230" i="1"/>
  <c r="CC230" i="1"/>
  <c r="CB230" i="1"/>
  <c r="CA230" i="1"/>
  <c r="BZ230" i="1"/>
  <c r="BY230" i="1"/>
  <c r="BX230" i="1"/>
  <c r="BW230" i="1"/>
  <c r="DC229" i="1"/>
  <c r="CZ229" i="1"/>
  <c r="CY229" i="1"/>
  <c r="CW229" i="1"/>
  <c r="CU229" i="1"/>
  <c r="CT229" i="1"/>
  <c r="CS229" i="1"/>
  <c r="CR229" i="1"/>
  <c r="CQ229" i="1"/>
  <c r="CP229" i="1"/>
  <c r="CO229" i="1"/>
  <c r="CM229" i="1"/>
  <c r="CL229" i="1"/>
  <c r="CK229" i="1"/>
  <c r="CJ229" i="1"/>
  <c r="CI229" i="1"/>
  <c r="CH229" i="1"/>
  <c r="CG229" i="1"/>
  <c r="CE229" i="1"/>
  <c r="CD229" i="1"/>
  <c r="CC229" i="1"/>
  <c r="CB229" i="1"/>
  <c r="CA229" i="1"/>
  <c r="BZ229" i="1"/>
  <c r="BY229" i="1"/>
  <c r="BX229" i="1"/>
  <c r="BW229" i="1"/>
  <c r="DC228" i="1"/>
  <c r="CZ228" i="1"/>
  <c r="CY228" i="1"/>
  <c r="CW228" i="1"/>
  <c r="CU228" i="1"/>
  <c r="CT228" i="1"/>
  <c r="CS228" i="1"/>
  <c r="CR228" i="1"/>
  <c r="CQ228" i="1"/>
  <c r="CP228" i="1"/>
  <c r="CO228" i="1"/>
  <c r="CM228" i="1"/>
  <c r="CL228" i="1"/>
  <c r="CK228" i="1"/>
  <c r="CJ228" i="1"/>
  <c r="CI228" i="1"/>
  <c r="CH228" i="1"/>
  <c r="CG228" i="1"/>
  <c r="CE228" i="1"/>
  <c r="CD228" i="1"/>
  <c r="CC228" i="1"/>
  <c r="CB228" i="1"/>
  <c r="CA228" i="1"/>
  <c r="BZ228" i="1"/>
  <c r="BY228" i="1"/>
  <c r="BX228" i="1"/>
  <c r="BW228" i="1"/>
  <c r="DC227" i="1"/>
  <c r="CZ227" i="1"/>
  <c r="CY227" i="1"/>
  <c r="CW227" i="1"/>
  <c r="CU227" i="1"/>
  <c r="CT227" i="1"/>
  <c r="CS227" i="1"/>
  <c r="CR227" i="1"/>
  <c r="CQ227" i="1"/>
  <c r="CP227" i="1"/>
  <c r="CO227" i="1"/>
  <c r="CM227" i="1"/>
  <c r="CL227" i="1"/>
  <c r="CK227" i="1"/>
  <c r="CJ227" i="1"/>
  <c r="CI227" i="1"/>
  <c r="CH227" i="1"/>
  <c r="CG227" i="1"/>
  <c r="CE227" i="1"/>
  <c r="CD227" i="1"/>
  <c r="CC227" i="1"/>
  <c r="CB227" i="1"/>
  <c r="CA227" i="1"/>
  <c r="BZ227" i="1"/>
  <c r="BY227" i="1"/>
  <c r="BX227" i="1"/>
  <c r="BW227" i="1"/>
  <c r="DC226" i="1"/>
  <c r="CZ226" i="1"/>
  <c r="CY226" i="1"/>
  <c r="CW226" i="1"/>
  <c r="CU226" i="1"/>
  <c r="CT226" i="1"/>
  <c r="CS226" i="1"/>
  <c r="CR226" i="1"/>
  <c r="CQ226" i="1"/>
  <c r="CP226" i="1"/>
  <c r="CO226" i="1"/>
  <c r="CM226" i="1"/>
  <c r="CL226" i="1"/>
  <c r="CK226" i="1"/>
  <c r="CJ226" i="1"/>
  <c r="CI226" i="1"/>
  <c r="CH226" i="1"/>
  <c r="CG226" i="1"/>
  <c r="CE226" i="1"/>
  <c r="CD226" i="1"/>
  <c r="CC226" i="1"/>
  <c r="CB226" i="1"/>
  <c r="CA226" i="1"/>
  <c r="BZ226" i="1"/>
  <c r="BY226" i="1"/>
  <c r="BX226" i="1"/>
  <c r="BW226" i="1"/>
  <c r="DC225" i="1"/>
  <c r="CZ225" i="1"/>
  <c r="CY225" i="1"/>
  <c r="CW225" i="1"/>
  <c r="CU225" i="1"/>
  <c r="CT225" i="1"/>
  <c r="CS225" i="1"/>
  <c r="CR225" i="1"/>
  <c r="CQ225" i="1"/>
  <c r="CP225" i="1"/>
  <c r="CO225" i="1"/>
  <c r="CM225" i="1"/>
  <c r="CL225" i="1"/>
  <c r="CK225" i="1"/>
  <c r="CJ225" i="1"/>
  <c r="CI225" i="1"/>
  <c r="CH225" i="1"/>
  <c r="CG225" i="1"/>
  <c r="CE225" i="1"/>
  <c r="CD225" i="1"/>
  <c r="CC225" i="1"/>
  <c r="CB225" i="1"/>
  <c r="CA225" i="1"/>
  <c r="BZ225" i="1"/>
  <c r="BY225" i="1"/>
  <c r="BX225" i="1"/>
  <c r="BW225" i="1"/>
  <c r="DC224" i="1"/>
  <c r="CZ224" i="1"/>
  <c r="CY224" i="1"/>
  <c r="CW224" i="1"/>
  <c r="CU224" i="1"/>
  <c r="CT224" i="1"/>
  <c r="CS224" i="1"/>
  <c r="CR224" i="1"/>
  <c r="CQ224" i="1"/>
  <c r="CP224" i="1"/>
  <c r="CO224" i="1"/>
  <c r="CM224" i="1"/>
  <c r="CL224" i="1"/>
  <c r="CK224" i="1"/>
  <c r="CJ224" i="1"/>
  <c r="CI224" i="1"/>
  <c r="CH224" i="1"/>
  <c r="CG224" i="1"/>
  <c r="CE224" i="1"/>
  <c r="CD224" i="1"/>
  <c r="CC224" i="1"/>
  <c r="CB224" i="1"/>
  <c r="CA224" i="1"/>
  <c r="BZ224" i="1"/>
  <c r="BY224" i="1"/>
  <c r="BX224" i="1"/>
  <c r="BW224" i="1"/>
  <c r="DC223" i="1"/>
  <c r="CZ223" i="1"/>
  <c r="CY223" i="1"/>
  <c r="CW223" i="1"/>
  <c r="CU223" i="1"/>
  <c r="CT223" i="1"/>
  <c r="CS223" i="1"/>
  <c r="CR223" i="1"/>
  <c r="CQ223" i="1"/>
  <c r="CP223" i="1"/>
  <c r="CO223" i="1"/>
  <c r="CM223" i="1"/>
  <c r="CL223" i="1"/>
  <c r="CK223" i="1"/>
  <c r="CJ223" i="1"/>
  <c r="CI223" i="1"/>
  <c r="CH223" i="1"/>
  <c r="CG223" i="1"/>
  <c r="CE223" i="1"/>
  <c r="CD223" i="1"/>
  <c r="CC223" i="1"/>
  <c r="CB223" i="1"/>
  <c r="CA223" i="1"/>
  <c r="BZ223" i="1"/>
  <c r="BY223" i="1"/>
  <c r="BX223" i="1"/>
  <c r="BW223" i="1"/>
  <c r="DC222" i="1"/>
  <c r="CZ222" i="1"/>
  <c r="CY222" i="1"/>
  <c r="CW222" i="1"/>
  <c r="CU222" i="1"/>
  <c r="CT222" i="1"/>
  <c r="CS222" i="1"/>
  <c r="CR222" i="1"/>
  <c r="CQ222" i="1"/>
  <c r="CP222" i="1"/>
  <c r="CO222" i="1"/>
  <c r="CM222" i="1"/>
  <c r="CL222" i="1"/>
  <c r="CK222" i="1"/>
  <c r="CJ222" i="1"/>
  <c r="CI222" i="1"/>
  <c r="CH222" i="1"/>
  <c r="CG222" i="1"/>
  <c r="CE222" i="1"/>
  <c r="CD222" i="1"/>
  <c r="CC222" i="1"/>
  <c r="CB222" i="1"/>
  <c r="CA222" i="1"/>
  <c r="BZ222" i="1"/>
  <c r="BY222" i="1"/>
  <c r="BX222" i="1"/>
  <c r="BW222" i="1"/>
  <c r="DC221" i="1"/>
  <c r="CZ221" i="1"/>
  <c r="CY221" i="1"/>
  <c r="CW221" i="1"/>
  <c r="CU221" i="1"/>
  <c r="CT221" i="1"/>
  <c r="CS221" i="1"/>
  <c r="CR221" i="1"/>
  <c r="CQ221" i="1"/>
  <c r="CP221" i="1"/>
  <c r="CO221" i="1"/>
  <c r="CM221" i="1"/>
  <c r="CL221" i="1"/>
  <c r="CK221" i="1"/>
  <c r="CJ221" i="1"/>
  <c r="CI221" i="1"/>
  <c r="CH221" i="1"/>
  <c r="CG221" i="1"/>
  <c r="CE221" i="1"/>
  <c r="CD221" i="1"/>
  <c r="CC221" i="1"/>
  <c r="CB221" i="1"/>
  <c r="CA221" i="1"/>
  <c r="BZ221" i="1"/>
  <c r="BY221" i="1"/>
  <c r="BX221" i="1"/>
  <c r="BW221" i="1"/>
  <c r="DC220" i="1"/>
  <c r="CZ220" i="1"/>
  <c r="CY220" i="1"/>
  <c r="CW220" i="1"/>
  <c r="CU220" i="1"/>
  <c r="CT220" i="1"/>
  <c r="CS220" i="1"/>
  <c r="CR220" i="1"/>
  <c r="CQ220" i="1"/>
  <c r="CP220" i="1"/>
  <c r="CO220" i="1"/>
  <c r="CM220" i="1"/>
  <c r="CL220" i="1"/>
  <c r="CK220" i="1"/>
  <c r="CJ220" i="1"/>
  <c r="CI220" i="1"/>
  <c r="CH220" i="1"/>
  <c r="CG220" i="1"/>
  <c r="CE220" i="1"/>
  <c r="CD220" i="1"/>
  <c r="CC220" i="1"/>
  <c r="CB220" i="1"/>
  <c r="CA220" i="1"/>
  <c r="BZ220" i="1"/>
  <c r="BY220" i="1"/>
  <c r="BX220" i="1"/>
  <c r="BW220" i="1"/>
  <c r="DC219" i="1"/>
  <c r="CZ219" i="1"/>
  <c r="CY219" i="1"/>
  <c r="CW219" i="1"/>
  <c r="CU219" i="1"/>
  <c r="CT219" i="1"/>
  <c r="CS219" i="1"/>
  <c r="CR219" i="1"/>
  <c r="CQ219" i="1"/>
  <c r="CP219" i="1"/>
  <c r="CO219" i="1"/>
  <c r="CM219" i="1"/>
  <c r="CL219" i="1"/>
  <c r="CK219" i="1"/>
  <c r="CJ219" i="1"/>
  <c r="CI219" i="1"/>
  <c r="CH219" i="1"/>
  <c r="CG219" i="1"/>
  <c r="CE219" i="1"/>
  <c r="CD219" i="1"/>
  <c r="CC219" i="1"/>
  <c r="CB219" i="1"/>
  <c r="CA219" i="1"/>
  <c r="BZ219" i="1"/>
  <c r="BY219" i="1"/>
  <c r="BX219" i="1"/>
  <c r="BW219" i="1"/>
  <c r="DC218" i="1"/>
  <c r="CZ218" i="1"/>
  <c r="CY218" i="1"/>
  <c r="CW218" i="1"/>
  <c r="CU218" i="1"/>
  <c r="CT218" i="1"/>
  <c r="CS218" i="1"/>
  <c r="CR218" i="1"/>
  <c r="CQ218" i="1"/>
  <c r="CP218" i="1"/>
  <c r="CO218" i="1"/>
  <c r="CM218" i="1"/>
  <c r="CL218" i="1"/>
  <c r="CK218" i="1"/>
  <c r="CJ218" i="1"/>
  <c r="CI218" i="1"/>
  <c r="CH218" i="1"/>
  <c r="CG218" i="1"/>
  <c r="CE218" i="1"/>
  <c r="CD218" i="1"/>
  <c r="CC218" i="1"/>
  <c r="CB218" i="1"/>
  <c r="CA218" i="1"/>
  <c r="BZ218" i="1"/>
  <c r="BY218" i="1"/>
  <c r="BX218" i="1"/>
  <c r="BW218" i="1"/>
  <c r="DC217" i="1"/>
  <c r="CZ217" i="1"/>
  <c r="CY217" i="1"/>
  <c r="CW217" i="1"/>
  <c r="CU217" i="1"/>
  <c r="CT217" i="1"/>
  <c r="CS217" i="1"/>
  <c r="CR217" i="1"/>
  <c r="CQ217" i="1"/>
  <c r="CP217" i="1"/>
  <c r="CO217" i="1"/>
  <c r="CM217" i="1"/>
  <c r="CL217" i="1"/>
  <c r="CK217" i="1"/>
  <c r="CJ217" i="1"/>
  <c r="CI217" i="1"/>
  <c r="CH217" i="1"/>
  <c r="CG217" i="1"/>
  <c r="CE217" i="1"/>
  <c r="CD217" i="1"/>
  <c r="CC217" i="1"/>
  <c r="CB217" i="1"/>
  <c r="CA217" i="1"/>
  <c r="BZ217" i="1"/>
  <c r="BY217" i="1"/>
  <c r="BX217" i="1"/>
  <c r="BW217" i="1"/>
  <c r="DC216" i="1"/>
  <c r="CZ216" i="1"/>
  <c r="CY216" i="1"/>
  <c r="CW216" i="1"/>
  <c r="CU216" i="1"/>
  <c r="CT216" i="1"/>
  <c r="CS216" i="1"/>
  <c r="CR216" i="1"/>
  <c r="CQ216" i="1"/>
  <c r="CP216" i="1"/>
  <c r="CO216" i="1"/>
  <c r="CM216" i="1"/>
  <c r="CL216" i="1"/>
  <c r="CK216" i="1"/>
  <c r="CJ216" i="1"/>
  <c r="CI216" i="1"/>
  <c r="CH216" i="1"/>
  <c r="CG216" i="1"/>
  <c r="CE216" i="1"/>
  <c r="CD216" i="1"/>
  <c r="CC216" i="1"/>
  <c r="CB216" i="1"/>
  <c r="CA216" i="1"/>
  <c r="BZ216" i="1"/>
  <c r="BY216" i="1"/>
  <c r="BX216" i="1"/>
  <c r="BW216" i="1"/>
  <c r="DC215" i="1"/>
  <c r="CZ215" i="1"/>
  <c r="CY215" i="1"/>
  <c r="CW215" i="1"/>
  <c r="CU215" i="1"/>
  <c r="CT215" i="1"/>
  <c r="CS215" i="1"/>
  <c r="CR215" i="1"/>
  <c r="CQ215" i="1"/>
  <c r="CP215" i="1"/>
  <c r="CO215" i="1"/>
  <c r="CM215" i="1"/>
  <c r="CL215" i="1"/>
  <c r="CK215" i="1"/>
  <c r="CJ215" i="1"/>
  <c r="CI215" i="1"/>
  <c r="CH215" i="1"/>
  <c r="CG215" i="1"/>
  <c r="CE215" i="1"/>
  <c r="CD215" i="1"/>
  <c r="CC215" i="1"/>
  <c r="CB215" i="1"/>
  <c r="CA215" i="1"/>
  <c r="BZ215" i="1"/>
  <c r="BY215" i="1"/>
  <c r="BX215" i="1"/>
  <c r="BW215" i="1"/>
  <c r="DC214" i="1"/>
  <c r="CZ214" i="1"/>
  <c r="CY214" i="1"/>
  <c r="CW214" i="1"/>
  <c r="CU214" i="1"/>
  <c r="CT214" i="1"/>
  <c r="CS214" i="1"/>
  <c r="CR214" i="1"/>
  <c r="CQ214" i="1"/>
  <c r="CP214" i="1"/>
  <c r="CO214" i="1"/>
  <c r="CM214" i="1"/>
  <c r="CL214" i="1"/>
  <c r="CK214" i="1"/>
  <c r="CJ214" i="1"/>
  <c r="CI214" i="1"/>
  <c r="CH214" i="1"/>
  <c r="CG214" i="1"/>
  <c r="CE214" i="1"/>
  <c r="CD214" i="1"/>
  <c r="CC214" i="1"/>
  <c r="CB214" i="1"/>
  <c r="CA214" i="1"/>
  <c r="BZ214" i="1"/>
  <c r="BY214" i="1"/>
  <c r="BX214" i="1"/>
  <c r="BW214" i="1"/>
  <c r="DC213" i="1"/>
  <c r="CZ213" i="1"/>
  <c r="CY213" i="1"/>
  <c r="CW213" i="1"/>
  <c r="CU213" i="1"/>
  <c r="CT213" i="1"/>
  <c r="CS213" i="1"/>
  <c r="CR213" i="1"/>
  <c r="CQ213" i="1"/>
  <c r="CP213" i="1"/>
  <c r="CO213" i="1"/>
  <c r="CM213" i="1"/>
  <c r="CL213" i="1"/>
  <c r="CK213" i="1"/>
  <c r="CJ213" i="1"/>
  <c r="CI213" i="1"/>
  <c r="CH213" i="1"/>
  <c r="CG213" i="1"/>
  <c r="CE213" i="1"/>
  <c r="CD213" i="1"/>
  <c r="CC213" i="1"/>
  <c r="CB213" i="1"/>
  <c r="CA213" i="1"/>
  <c r="BZ213" i="1"/>
  <c r="BY213" i="1"/>
  <c r="BX213" i="1"/>
  <c r="BW213" i="1"/>
  <c r="DC212" i="1"/>
  <c r="CZ212" i="1"/>
  <c r="CY212" i="1"/>
  <c r="CW212" i="1"/>
  <c r="CU212" i="1"/>
  <c r="CT212" i="1"/>
  <c r="CS212" i="1"/>
  <c r="CR212" i="1"/>
  <c r="CQ212" i="1"/>
  <c r="CP212" i="1"/>
  <c r="CO212" i="1"/>
  <c r="CM212" i="1"/>
  <c r="CL212" i="1"/>
  <c r="CK212" i="1"/>
  <c r="CJ212" i="1"/>
  <c r="CI212" i="1"/>
  <c r="CH212" i="1"/>
  <c r="CG212" i="1"/>
  <c r="CE212" i="1"/>
  <c r="CD212" i="1"/>
  <c r="CC212" i="1"/>
  <c r="CB212" i="1"/>
  <c r="CA212" i="1"/>
  <c r="BZ212" i="1"/>
  <c r="BY212" i="1"/>
  <c r="BX212" i="1"/>
  <c r="BW212" i="1"/>
  <c r="DC211" i="1"/>
  <c r="CZ211" i="1"/>
  <c r="CY211" i="1"/>
  <c r="CW211" i="1"/>
  <c r="CU211" i="1"/>
  <c r="CT211" i="1"/>
  <c r="CS211" i="1"/>
  <c r="CR211" i="1"/>
  <c r="CQ211" i="1"/>
  <c r="CP211" i="1"/>
  <c r="CO211" i="1"/>
  <c r="CM211" i="1"/>
  <c r="CL211" i="1"/>
  <c r="CK211" i="1"/>
  <c r="CJ211" i="1"/>
  <c r="CI211" i="1"/>
  <c r="CH211" i="1"/>
  <c r="CG211" i="1"/>
  <c r="CE211" i="1"/>
  <c r="CD211" i="1"/>
  <c r="CC211" i="1"/>
  <c r="CB211" i="1"/>
  <c r="CA211" i="1"/>
  <c r="BZ211" i="1"/>
  <c r="BY211" i="1"/>
  <c r="BX211" i="1"/>
  <c r="BW211" i="1"/>
  <c r="DC210" i="1"/>
  <c r="CZ210" i="1"/>
  <c r="CY210" i="1"/>
  <c r="CW210" i="1"/>
  <c r="CU210" i="1"/>
  <c r="CT210" i="1"/>
  <c r="CS210" i="1"/>
  <c r="CR210" i="1"/>
  <c r="CQ210" i="1"/>
  <c r="CP210" i="1"/>
  <c r="CO210" i="1"/>
  <c r="CM210" i="1"/>
  <c r="CL210" i="1"/>
  <c r="CK210" i="1"/>
  <c r="CJ210" i="1"/>
  <c r="CI210" i="1"/>
  <c r="CH210" i="1"/>
  <c r="CG210" i="1"/>
  <c r="CE210" i="1"/>
  <c r="CD210" i="1"/>
  <c r="CC210" i="1"/>
  <c r="CB210" i="1"/>
  <c r="CA210" i="1"/>
  <c r="BZ210" i="1"/>
  <c r="BY210" i="1"/>
  <c r="BX210" i="1"/>
  <c r="BW210" i="1"/>
  <c r="DC209" i="1"/>
  <c r="CZ209" i="1"/>
  <c r="CY209" i="1"/>
  <c r="CW209" i="1"/>
  <c r="CU209" i="1"/>
  <c r="CT209" i="1"/>
  <c r="CS209" i="1"/>
  <c r="CR209" i="1"/>
  <c r="CQ209" i="1"/>
  <c r="CP209" i="1"/>
  <c r="CO209" i="1"/>
  <c r="CM209" i="1"/>
  <c r="CL209" i="1"/>
  <c r="CK209" i="1"/>
  <c r="CJ209" i="1"/>
  <c r="CI209" i="1"/>
  <c r="CH209" i="1"/>
  <c r="CG209" i="1"/>
  <c r="CE209" i="1"/>
  <c r="CD209" i="1"/>
  <c r="CC209" i="1"/>
  <c r="CB209" i="1"/>
  <c r="CA209" i="1"/>
  <c r="BZ209" i="1"/>
  <c r="BY209" i="1"/>
  <c r="BX209" i="1"/>
  <c r="BW209" i="1"/>
  <c r="DC208" i="1"/>
  <c r="CZ208" i="1"/>
  <c r="CY208" i="1"/>
  <c r="CW208" i="1"/>
  <c r="CU208" i="1"/>
  <c r="CT208" i="1"/>
  <c r="CS208" i="1"/>
  <c r="CR208" i="1"/>
  <c r="CQ208" i="1"/>
  <c r="CP208" i="1"/>
  <c r="CO208" i="1"/>
  <c r="CM208" i="1"/>
  <c r="CL208" i="1"/>
  <c r="CK208" i="1"/>
  <c r="CJ208" i="1"/>
  <c r="CI208" i="1"/>
  <c r="CH208" i="1"/>
  <c r="CG208" i="1"/>
  <c r="CE208" i="1"/>
  <c r="CD208" i="1"/>
  <c r="CC208" i="1"/>
  <c r="CB208" i="1"/>
  <c r="CA208" i="1"/>
  <c r="BZ208" i="1"/>
  <c r="BY208" i="1"/>
  <c r="BX208" i="1"/>
  <c r="BW208" i="1"/>
  <c r="DC207" i="1"/>
  <c r="CZ207" i="1"/>
  <c r="CY207" i="1"/>
  <c r="CW207" i="1"/>
  <c r="CU207" i="1"/>
  <c r="CT207" i="1"/>
  <c r="CS207" i="1"/>
  <c r="CR207" i="1"/>
  <c r="CQ207" i="1"/>
  <c r="CP207" i="1"/>
  <c r="CO207" i="1"/>
  <c r="CM207" i="1"/>
  <c r="CL207" i="1"/>
  <c r="CK207" i="1"/>
  <c r="CJ207" i="1"/>
  <c r="CI207" i="1"/>
  <c r="CH207" i="1"/>
  <c r="CG207" i="1"/>
  <c r="CE207" i="1"/>
  <c r="CD207" i="1"/>
  <c r="CC207" i="1"/>
  <c r="CB207" i="1"/>
  <c r="CA207" i="1"/>
  <c r="BZ207" i="1"/>
  <c r="BY207" i="1"/>
  <c r="BX207" i="1"/>
  <c r="BW207" i="1"/>
  <c r="DC206" i="1"/>
  <c r="CZ206" i="1"/>
  <c r="CY206" i="1"/>
  <c r="CW206" i="1"/>
  <c r="CU206" i="1"/>
  <c r="CT206" i="1"/>
  <c r="CS206" i="1"/>
  <c r="CR206" i="1"/>
  <c r="CQ206" i="1"/>
  <c r="CP206" i="1"/>
  <c r="CO206" i="1"/>
  <c r="CM206" i="1"/>
  <c r="CL206" i="1"/>
  <c r="CK206" i="1"/>
  <c r="CJ206" i="1"/>
  <c r="CI206" i="1"/>
  <c r="CH206" i="1"/>
  <c r="CG206" i="1"/>
  <c r="CE206" i="1"/>
  <c r="CD206" i="1"/>
  <c r="CC206" i="1"/>
  <c r="CB206" i="1"/>
  <c r="CA206" i="1"/>
  <c r="BZ206" i="1"/>
  <c r="BY206" i="1"/>
  <c r="BX206" i="1"/>
  <c r="BW206" i="1"/>
  <c r="DC205" i="1"/>
  <c r="CZ205" i="1"/>
  <c r="CY205" i="1"/>
  <c r="CW205" i="1"/>
  <c r="CU205" i="1"/>
  <c r="CT205" i="1"/>
  <c r="CS205" i="1"/>
  <c r="CR205" i="1"/>
  <c r="CQ205" i="1"/>
  <c r="CP205" i="1"/>
  <c r="CO205" i="1"/>
  <c r="CM205" i="1"/>
  <c r="CL205" i="1"/>
  <c r="CK205" i="1"/>
  <c r="CJ205" i="1"/>
  <c r="CI205" i="1"/>
  <c r="CH205" i="1"/>
  <c r="CG205" i="1"/>
  <c r="CE205" i="1"/>
  <c r="CD205" i="1"/>
  <c r="CC205" i="1"/>
  <c r="CB205" i="1"/>
  <c r="CA205" i="1"/>
  <c r="BZ205" i="1"/>
  <c r="BY205" i="1"/>
  <c r="BX205" i="1"/>
  <c r="BW205" i="1"/>
  <c r="DC204" i="1"/>
  <c r="CZ204" i="1"/>
  <c r="CY204" i="1"/>
  <c r="CW204" i="1"/>
  <c r="CU204" i="1"/>
  <c r="CT204" i="1"/>
  <c r="CS204" i="1"/>
  <c r="CR204" i="1"/>
  <c r="CQ204" i="1"/>
  <c r="CP204" i="1"/>
  <c r="CO204" i="1"/>
  <c r="CM204" i="1"/>
  <c r="CL204" i="1"/>
  <c r="CK204" i="1"/>
  <c r="CJ204" i="1"/>
  <c r="CI204" i="1"/>
  <c r="CH204" i="1"/>
  <c r="CG204" i="1"/>
  <c r="CE204" i="1"/>
  <c r="CD204" i="1"/>
  <c r="CC204" i="1"/>
  <c r="CB204" i="1"/>
  <c r="CA204" i="1"/>
  <c r="BZ204" i="1"/>
  <c r="BY204" i="1"/>
  <c r="BX204" i="1"/>
  <c r="BW204" i="1"/>
  <c r="DC203" i="1"/>
  <c r="CZ203" i="1"/>
  <c r="CY203" i="1"/>
  <c r="CW203" i="1"/>
  <c r="CU203" i="1"/>
  <c r="CT203" i="1"/>
  <c r="CS203" i="1"/>
  <c r="CR203" i="1"/>
  <c r="CQ203" i="1"/>
  <c r="CP203" i="1"/>
  <c r="CO203" i="1"/>
  <c r="CM203" i="1"/>
  <c r="CL203" i="1"/>
  <c r="CK203" i="1"/>
  <c r="CJ203" i="1"/>
  <c r="CI203" i="1"/>
  <c r="CH203" i="1"/>
  <c r="CG203" i="1"/>
  <c r="CE203" i="1"/>
  <c r="CD203" i="1"/>
  <c r="CC203" i="1"/>
  <c r="CB203" i="1"/>
  <c r="CA203" i="1"/>
  <c r="BZ203" i="1"/>
  <c r="BY203" i="1"/>
  <c r="BX203" i="1"/>
  <c r="BW203" i="1"/>
  <c r="DC202" i="1"/>
  <c r="CZ202" i="1"/>
  <c r="CY202" i="1"/>
  <c r="CW202" i="1"/>
  <c r="CU202" i="1"/>
  <c r="CT202" i="1"/>
  <c r="CS202" i="1"/>
  <c r="CR202" i="1"/>
  <c r="CQ202" i="1"/>
  <c r="CP202" i="1"/>
  <c r="CO202" i="1"/>
  <c r="CM202" i="1"/>
  <c r="CL202" i="1"/>
  <c r="CK202" i="1"/>
  <c r="CJ202" i="1"/>
  <c r="CI202" i="1"/>
  <c r="CH202" i="1"/>
  <c r="CG202" i="1"/>
  <c r="CE202" i="1"/>
  <c r="CD202" i="1"/>
  <c r="CC202" i="1"/>
  <c r="CB202" i="1"/>
  <c r="CA202" i="1"/>
  <c r="BZ202" i="1"/>
  <c r="BY202" i="1"/>
  <c r="BX202" i="1"/>
  <c r="BW202" i="1"/>
  <c r="DC201" i="1"/>
  <c r="CZ201" i="1"/>
  <c r="CY201" i="1"/>
  <c r="CW201" i="1"/>
  <c r="CU201" i="1"/>
  <c r="CT201" i="1"/>
  <c r="CS201" i="1"/>
  <c r="CR201" i="1"/>
  <c r="CQ201" i="1"/>
  <c r="CP201" i="1"/>
  <c r="CO201" i="1"/>
  <c r="CM201" i="1"/>
  <c r="CL201" i="1"/>
  <c r="CK201" i="1"/>
  <c r="CJ201" i="1"/>
  <c r="CI201" i="1"/>
  <c r="CH201" i="1"/>
  <c r="CG201" i="1"/>
  <c r="CE201" i="1"/>
  <c r="CD201" i="1"/>
  <c r="CC201" i="1"/>
  <c r="CB201" i="1"/>
  <c r="CA201" i="1"/>
  <c r="BZ201" i="1"/>
  <c r="BY201" i="1"/>
  <c r="BX201" i="1"/>
  <c r="BW201" i="1"/>
  <c r="DC200" i="1"/>
  <c r="CZ200" i="1"/>
  <c r="CY200" i="1"/>
  <c r="CW200" i="1"/>
  <c r="CU200" i="1"/>
  <c r="CT200" i="1"/>
  <c r="CS200" i="1"/>
  <c r="CR200" i="1"/>
  <c r="CQ200" i="1"/>
  <c r="CP200" i="1"/>
  <c r="CO200" i="1"/>
  <c r="CM200" i="1"/>
  <c r="CL200" i="1"/>
  <c r="CK200" i="1"/>
  <c r="CJ200" i="1"/>
  <c r="CI200" i="1"/>
  <c r="CH200" i="1"/>
  <c r="CG200" i="1"/>
  <c r="CE200" i="1"/>
  <c r="CD200" i="1"/>
  <c r="CC200" i="1"/>
  <c r="CB200" i="1"/>
  <c r="CA200" i="1"/>
  <c r="BZ200" i="1"/>
  <c r="BY200" i="1"/>
  <c r="BX200" i="1"/>
  <c r="BW200" i="1"/>
  <c r="DC199" i="1"/>
  <c r="CZ199" i="1"/>
  <c r="CY199" i="1"/>
  <c r="CW199" i="1"/>
  <c r="CU199" i="1"/>
  <c r="CT199" i="1"/>
  <c r="CS199" i="1"/>
  <c r="CR199" i="1"/>
  <c r="CQ199" i="1"/>
  <c r="CP199" i="1"/>
  <c r="CO199" i="1"/>
  <c r="CM199" i="1"/>
  <c r="CL199" i="1"/>
  <c r="CK199" i="1"/>
  <c r="CJ199" i="1"/>
  <c r="CI199" i="1"/>
  <c r="CH199" i="1"/>
  <c r="CG199" i="1"/>
  <c r="CE199" i="1"/>
  <c r="CD199" i="1"/>
  <c r="CC199" i="1"/>
  <c r="CB199" i="1"/>
  <c r="CA199" i="1"/>
  <c r="BZ199" i="1"/>
  <c r="BY199" i="1"/>
  <c r="BX199" i="1"/>
  <c r="BW199" i="1"/>
  <c r="DC198" i="1"/>
  <c r="CZ198" i="1"/>
  <c r="CY198" i="1"/>
  <c r="CW198" i="1"/>
  <c r="CU198" i="1"/>
  <c r="CT198" i="1"/>
  <c r="CS198" i="1"/>
  <c r="CR198" i="1"/>
  <c r="CQ198" i="1"/>
  <c r="CP198" i="1"/>
  <c r="CO198" i="1"/>
  <c r="CM198" i="1"/>
  <c r="CL198" i="1"/>
  <c r="CK198" i="1"/>
  <c r="CJ198" i="1"/>
  <c r="CI198" i="1"/>
  <c r="CH198" i="1"/>
  <c r="CG198" i="1"/>
  <c r="CE198" i="1"/>
  <c r="CD198" i="1"/>
  <c r="CC198" i="1"/>
  <c r="CB198" i="1"/>
  <c r="CA198" i="1"/>
  <c r="BZ198" i="1"/>
  <c r="BY198" i="1"/>
  <c r="BX198" i="1"/>
  <c r="BW198" i="1"/>
  <c r="DC197" i="1"/>
  <c r="CZ197" i="1"/>
  <c r="CY197" i="1"/>
  <c r="CW197" i="1"/>
  <c r="CU197" i="1"/>
  <c r="CT197" i="1"/>
  <c r="CS197" i="1"/>
  <c r="CR197" i="1"/>
  <c r="CQ197" i="1"/>
  <c r="CP197" i="1"/>
  <c r="CO197" i="1"/>
  <c r="CM197" i="1"/>
  <c r="CL197" i="1"/>
  <c r="CK197" i="1"/>
  <c r="CJ197" i="1"/>
  <c r="CI197" i="1"/>
  <c r="CH197" i="1"/>
  <c r="CG197" i="1"/>
  <c r="CE197" i="1"/>
  <c r="CD197" i="1"/>
  <c r="CC197" i="1"/>
  <c r="CB197" i="1"/>
  <c r="CA197" i="1"/>
  <c r="BZ197" i="1"/>
  <c r="BY197" i="1"/>
  <c r="BX197" i="1"/>
  <c r="BW197" i="1"/>
  <c r="DC196" i="1"/>
  <c r="CZ196" i="1"/>
  <c r="CY196" i="1"/>
  <c r="CW196" i="1"/>
  <c r="CU196" i="1"/>
  <c r="CT196" i="1"/>
  <c r="CS196" i="1"/>
  <c r="CR196" i="1"/>
  <c r="CQ196" i="1"/>
  <c r="CP196" i="1"/>
  <c r="CO196" i="1"/>
  <c r="CM196" i="1"/>
  <c r="CL196" i="1"/>
  <c r="CK196" i="1"/>
  <c r="CJ196" i="1"/>
  <c r="CI196" i="1"/>
  <c r="CH196" i="1"/>
  <c r="CG196" i="1"/>
  <c r="CE196" i="1"/>
  <c r="CD196" i="1"/>
  <c r="CC196" i="1"/>
  <c r="CB196" i="1"/>
  <c r="CA196" i="1"/>
  <c r="BZ196" i="1"/>
  <c r="BY196" i="1"/>
  <c r="BX196" i="1"/>
  <c r="BW196" i="1"/>
  <c r="DC195" i="1"/>
  <c r="CZ195" i="1"/>
  <c r="CY195" i="1"/>
  <c r="CW195" i="1"/>
  <c r="CU195" i="1"/>
  <c r="CT195" i="1"/>
  <c r="CS195" i="1"/>
  <c r="CR195" i="1"/>
  <c r="CQ195" i="1"/>
  <c r="CP195" i="1"/>
  <c r="CO195" i="1"/>
  <c r="CM195" i="1"/>
  <c r="CL195" i="1"/>
  <c r="CK195" i="1"/>
  <c r="CJ195" i="1"/>
  <c r="CI195" i="1"/>
  <c r="CH195" i="1"/>
  <c r="CG195" i="1"/>
  <c r="CE195" i="1"/>
  <c r="CD195" i="1"/>
  <c r="CC195" i="1"/>
  <c r="CB195" i="1"/>
  <c r="CA195" i="1"/>
  <c r="BZ195" i="1"/>
  <c r="BY195" i="1"/>
  <c r="BX195" i="1"/>
  <c r="BW195" i="1"/>
  <c r="DC194" i="1"/>
  <c r="CZ194" i="1"/>
  <c r="CY194" i="1"/>
  <c r="CW194" i="1"/>
  <c r="CU194" i="1"/>
  <c r="CT194" i="1"/>
  <c r="CS194" i="1"/>
  <c r="CR194" i="1"/>
  <c r="CQ194" i="1"/>
  <c r="CP194" i="1"/>
  <c r="CO194" i="1"/>
  <c r="CM194" i="1"/>
  <c r="CL194" i="1"/>
  <c r="CK194" i="1"/>
  <c r="CJ194" i="1"/>
  <c r="CI194" i="1"/>
  <c r="CH194" i="1"/>
  <c r="CG194" i="1"/>
  <c r="CE194" i="1"/>
  <c r="CD194" i="1"/>
  <c r="CC194" i="1"/>
  <c r="CB194" i="1"/>
  <c r="CA194" i="1"/>
  <c r="BZ194" i="1"/>
  <c r="BY194" i="1"/>
  <c r="BX194" i="1"/>
  <c r="BW194" i="1"/>
  <c r="DC193" i="1"/>
  <c r="CZ193" i="1"/>
  <c r="CY193" i="1"/>
  <c r="CW193" i="1"/>
  <c r="CU193" i="1"/>
  <c r="CT193" i="1"/>
  <c r="CS193" i="1"/>
  <c r="CR193" i="1"/>
  <c r="CQ193" i="1"/>
  <c r="CP193" i="1"/>
  <c r="CO193" i="1"/>
  <c r="CM193" i="1"/>
  <c r="CL193" i="1"/>
  <c r="CK193" i="1"/>
  <c r="CJ193" i="1"/>
  <c r="CI193" i="1"/>
  <c r="CH193" i="1"/>
  <c r="CG193" i="1"/>
  <c r="CE193" i="1"/>
  <c r="CD193" i="1"/>
  <c r="CC193" i="1"/>
  <c r="CB193" i="1"/>
  <c r="CA193" i="1"/>
  <c r="BZ193" i="1"/>
  <c r="BY193" i="1"/>
  <c r="BX193" i="1"/>
  <c r="BW193" i="1"/>
  <c r="DC192" i="1"/>
  <c r="CZ192" i="1"/>
  <c r="CY192" i="1"/>
  <c r="CW192" i="1"/>
  <c r="CU192" i="1"/>
  <c r="CT192" i="1"/>
  <c r="CS192" i="1"/>
  <c r="CR192" i="1"/>
  <c r="CQ192" i="1"/>
  <c r="CP192" i="1"/>
  <c r="CO192" i="1"/>
  <c r="CM192" i="1"/>
  <c r="CL192" i="1"/>
  <c r="CK192" i="1"/>
  <c r="CJ192" i="1"/>
  <c r="CI192" i="1"/>
  <c r="CH192" i="1"/>
  <c r="CG192" i="1"/>
  <c r="CE192" i="1"/>
  <c r="CD192" i="1"/>
  <c r="CC192" i="1"/>
  <c r="CB192" i="1"/>
  <c r="CA192" i="1"/>
  <c r="BZ192" i="1"/>
  <c r="BY192" i="1"/>
  <c r="BX192" i="1"/>
  <c r="BW192" i="1"/>
  <c r="DC191" i="1"/>
  <c r="CZ191" i="1"/>
  <c r="CY191" i="1"/>
  <c r="CW191" i="1"/>
  <c r="CU191" i="1"/>
  <c r="CT191" i="1"/>
  <c r="CS191" i="1"/>
  <c r="CR191" i="1"/>
  <c r="CQ191" i="1"/>
  <c r="CP191" i="1"/>
  <c r="CO191" i="1"/>
  <c r="CM191" i="1"/>
  <c r="CL191" i="1"/>
  <c r="CK191" i="1"/>
  <c r="CJ191" i="1"/>
  <c r="CI191" i="1"/>
  <c r="CH191" i="1"/>
  <c r="CG191" i="1"/>
  <c r="CE191" i="1"/>
  <c r="CD191" i="1"/>
  <c r="CC191" i="1"/>
  <c r="CB191" i="1"/>
  <c r="CA191" i="1"/>
  <c r="BZ191" i="1"/>
  <c r="BY191" i="1"/>
  <c r="BX191" i="1"/>
  <c r="BW191" i="1"/>
  <c r="DC190" i="1"/>
  <c r="CZ190" i="1"/>
  <c r="CY190" i="1"/>
  <c r="CW190" i="1"/>
  <c r="CU190" i="1"/>
  <c r="CT190" i="1"/>
  <c r="CS190" i="1"/>
  <c r="CR190" i="1"/>
  <c r="CQ190" i="1"/>
  <c r="CP190" i="1"/>
  <c r="CO190" i="1"/>
  <c r="CM190" i="1"/>
  <c r="CL190" i="1"/>
  <c r="CK190" i="1"/>
  <c r="CJ190" i="1"/>
  <c r="CI190" i="1"/>
  <c r="CH190" i="1"/>
  <c r="CG190" i="1"/>
  <c r="CE190" i="1"/>
  <c r="CD190" i="1"/>
  <c r="CC190" i="1"/>
  <c r="CB190" i="1"/>
  <c r="CA190" i="1"/>
  <c r="BZ190" i="1"/>
  <c r="BY190" i="1"/>
  <c r="BX190" i="1"/>
  <c r="BW190" i="1"/>
  <c r="DC189" i="1"/>
  <c r="CZ189" i="1"/>
  <c r="CY189" i="1"/>
  <c r="CW189" i="1"/>
  <c r="CU189" i="1"/>
  <c r="CT189" i="1"/>
  <c r="CS189" i="1"/>
  <c r="CR189" i="1"/>
  <c r="CQ189" i="1"/>
  <c r="CP189" i="1"/>
  <c r="CO189" i="1"/>
  <c r="CM189" i="1"/>
  <c r="CL189" i="1"/>
  <c r="CK189" i="1"/>
  <c r="CJ189" i="1"/>
  <c r="CI189" i="1"/>
  <c r="CH189" i="1"/>
  <c r="CG189" i="1"/>
  <c r="CE189" i="1"/>
  <c r="CD189" i="1"/>
  <c r="CC189" i="1"/>
  <c r="CB189" i="1"/>
  <c r="CA189" i="1"/>
  <c r="BZ189" i="1"/>
  <c r="BY189" i="1"/>
  <c r="BX189" i="1"/>
  <c r="BW189" i="1"/>
  <c r="DC188" i="1"/>
  <c r="CZ188" i="1"/>
  <c r="CY188" i="1"/>
  <c r="CW188" i="1"/>
  <c r="CU188" i="1"/>
  <c r="CT188" i="1"/>
  <c r="CS188" i="1"/>
  <c r="CR188" i="1"/>
  <c r="CQ188" i="1"/>
  <c r="CP188" i="1"/>
  <c r="CO188" i="1"/>
  <c r="CM188" i="1"/>
  <c r="CL188" i="1"/>
  <c r="CK188" i="1"/>
  <c r="CJ188" i="1"/>
  <c r="CI188" i="1"/>
  <c r="CH188" i="1"/>
  <c r="CG188" i="1"/>
  <c r="CE188" i="1"/>
  <c r="CD188" i="1"/>
  <c r="CC188" i="1"/>
  <c r="CB188" i="1"/>
  <c r="CA188" i="1"/>
  <c r="BZ188" i="1"/>
  <c r="BY188" i="1"/>
  <c r="BX188" i="1"/>
  <c r="BW188" i="1"/>
  <c r="DC187" i="1"/>
  <c r="CZ187" i="1"/>
  <c r="CY187" i="1"/>
  <c r="CW187" i="1"/>
  <c r="CU187" i="1"/>
  <c r="CT187" i="1"/>
  <c r="CS187" i="1"/>
  <c r="CR187" i="1"/>
  <c r="CQ187" i="1"/>
  <c r="CP187" i="1"/>
  <c r="CO187" i="1"/>
  <c r="CM187" i="1"/>
  <c r="CL187" i="1"/>
  <c r="CK187" i="1"/>
  <c r="CJ187" i="1"/>
  <c r="CI187" i="1"/>
  <c r="CH187" i="1"/>
  <c r="CG187" i="1"/>
  <c r="CE187" i="1"/>
  <c r="CD187" i="1"/>
  <c r="CC187" i="1"/>
  <c r="CB187" i="1"/>
  <c r="CA187" i="1"/>
  <c r="BZ187" i="1"/>
  <c r="BY187" i="1"/>
  <c r="BX187" i="1"/>
  <c r="BW187" i="1"/>
  <c r="DC186" i="1"/>
  <c r="CZ186" i="1"/>
  <c r="CY186" i="1"/>
  <c r="CW186" i="1"/>
  <c r="CU186" i="1"/>
  <c r="CT186" i="1"/>
  <c r="CS186" i="1"/>
  <c r="CR186" i="1"/>
  <c r="CQ186" i="1"/>
  <c r="CP186" i="1"/>
  <c r="CO186" i="1"/>
  <c r="CM186" i="1"/>
  <c r="CL186" i="1"/>
  <c r="CK186" i="1"/>
  <c r="CJ186" i="1"/>
  <c r="CI186" i="1"/>
  <c r="CH186" i="1"/>
  <c r="CG186" i="1"/>
  <c r="CE186" i="1"/>
  <c r="CD186" i="1"/>
  <c r="CC186" i="1"/>
  <c r="CB186" i="1"/>
  <c r="CA186" i="1"/>
  <c r="BZ186" i="1"/>
  <c r="BY186" i="1"/>
  <c r="BX186" i="1"/>
  <c r="BW186" i="1"/>
  <c r="DC185" i="1"/>
  <c r="CZ185" i="1"/>
  <c r="CY185" i="1"/>
  <c r="CW185" i="1"/>
  <c r="CU185" i="1"/>
  <c r="CT185" i="1"/>
  <c r="CS185" i="1"/>
  <c r="CR185" i="1"/>
  <c r="CQ185" i="1"/>
  <c r="CP185" i="1"/>
  <c r="CO185" i="1"/>
  <c r="CM185" i="1"/>
  <c r="CL185" i="1"/>
  <c r="CK185" i="1"/>
  <c r="CJ185" i="1"/>
  <c r="CI185" i="1"/>
  <c r="CH185" i="1"/>
  <c r="CG185" i="1"/>
  <c r="CE185" i="1"/>
  <c r="CD185" i="1"/>
  <c r="CC185" i="1"/>
  <c r="CB185" i="1"/>
  <c r="CA185" i="1"/>
  <c r="BZ185" i="1"/>
  <c r="BY185" i="1"/>
  <c r="BX185" i="1"/>
  <c r="BW185" i="1"/>
  <c r="DC184" i="1"/>
  <c r="CZ184" i="1"/>
  <c r="CY184" i="1"/>
  <c r="CW184" i="1"/>
  <c r="CU184" i="1"/>
  <c r="CT184" i="1"/>
  <c r="CS184" i="1"/>
  <c r="CR184" i="1"/>
  <c r="CQ184" i="1"/>
  <c r="CP184" i="1"/>
  <c r="CO184" i="1"/>
  <c r="CM184" i="1"/>
  <c r="CL184" i="1"/>
  <c r="CK184" i="1"/>
  <c r="CJ184" i="1"/>
  <c r="CI184" i="1"/>
  <c r="CH184" i="1"/>
  <c r="CG184" i="1"/>
  <c r="CE184" i="1"/>
  <c r="CD184" i="1"/>
  <c r="CC184" i="1"/>
  <c r="CB184" i="1"/>
  <c r="CA184" i="1"/>
  <c r="BZ184" i="1"/>
  <c r="BY184" i="1"/>
  <c r="BX184" i="1"/>
  <c r="BW184" i="1"/>
  <c r="DC183" i="1"/>
  <c r="CZ183" i="1"/>
  <c r="CY183" i="1"/>
  <c r="CW183" i="1"/>
  <c r="CU183" i="1"/>
  <c r="CT183" i="1"/>
  <c r="CS183" i="1"/>
  <c r="CR183" i="1"/>
  <c r="CQ183" i="1"/>
  <c r="CP183" i="1"/>
  <c r="CO183" i="1"/>
  <c r="CM183" i="1"/>
  <c r="CL183" i="1"/>
  <c r="CK183" i="1"/>
  <c r="CJ183" i="1"/>
  <c r="CI183" i="1"/>
  <c r="CH183" i="1"/>
  <c r="CG183" i="1"/>
  <c r="CE183" i="1"/>
  <c r="CD183" i="1"/>
  <c r="CC183" i="1"/>
  <c r="CB183" i="1"/>
  <c r="CA183" i="1"/>
  <c r="BZ183" i="1"/>
  <c r="BY183" i="1"/>
  <c r="BX183" i="1"/>
  <c r="BW183" i="1"/>
  <c r="DC182" i="1"/>
  <c r="CZ182" i="1"/>
  <c r="CY182" i="1"/>
  <c r="CW182" i="1"/>
  <c r="CU182" i="1"/>
  <c r="CT182" i="1"/>
  <c r="CS182" i="1"/>
  <c r="CR182" i="1"/>
  <c r="CQ182" i="1"/>
  <c r="CP182" i="1"/>
  <c r="CO182" i="1"/>
  <c r="CM182" i="1"/>
  <c r="CL182" i="1"/>
  <c r="CK182" i="1"/>
  <c r="CJ182" i="1"/>
  <c r="CI182" i="1"/>
  <c r="CH182" i="1"/>
  <c r="CG182" i="1"/>
  <c r="CE182" i="1"/>
  <c r="CD182" i="1"/>
  <c r="CC182" i="1"/>
  <c r="CB182" i="1"/>
  <c r="CA182" i="1"/>
  <c r="BZ182" i="1"/>
  <c r="BY182" i="1"/>
  <c r="BX182" i="1"/>
  <c r="BW182" i="1"/>
  <c r="DC181" i="1"/>
  <c r="CZ181" i="1"/>
  <c r="CY181" i="1"/>
  <c r="CW181" i="1"/>
  <c r="CU181" i="1"/>
  <c r="CT181" i="1"/>
  <c r="CS181" i="1"/>
  <c r="CR181" i="1"/>
  <c r="CQ181" i="1"/>
  <c r="CP181" i="1"/>
  <c r="CO181" i="1"/>
  <c r="CM181" i="1"/>
  <c r="CL181" i="1"/>
  <c r="CK181" i="1"/>
  <c r="CJ181" i="1"/>
  <c r="CI181" i="1"/>
  <c r="CH181" i="1"/>
  <c r="CG181" i="1"/>
  <c r="CE181" i="1"/>
  <c r="CD181" i="1"/>
  <c r="CC181" i="1"/>
  <c r="CB181" i="1"/>
  <c r="CA181" i="1"/>
  <c r="BZ181" i="1"/>
  <c r="BY181" i="1"/>
  <c r="BX181" i="1"/>
  <c r="BW181" i="1"/>
  <c r="DC180" i="1"/>
  <c r="CZ180" i="1"/>
  <c r="CY180" i="1"/>
  <c r="CW180" i="1"/>
  <c r="CU180" i="1"/>
  <c r="CT180" i="1"/>
  <c r="CS180" i="1"/>
  <c r="CR180" i="1"/>
  <c r="CQ180" i="1"/>
  <c r="CP180" i="1"/>
  <c r="CO180" i="1"/>
  <c r="CM180" i="1"/>
  <c r="CL180" i="1"/>
  <c r="CK180" i="1"/>
  <c r="CJ180" i="1"/>
  <c r="CI180" i="1"/>
  <c r="CH180" i="1"/>
  <c r="CG180" i="1"/>
  <c r="CE180" i="1"/>
  <c r="CD180" i="1"/>
  <c r="CC180" i="1"/>
  <c r="CB180" i="1"/>
  <c r="CA180" i="1"/>
  <c r="BZ180" i="1"/>
  <c r="BY180" i="1"/>
  <c r="BX180" i="1"/>
  <c r="BW180" i="1"/>
  <c r="DC179" i="1"/>
  <c r="CZ179" i="1"/>
  <c r="CY179" i="1"/>
  <c r="CW179" i="1"/>
  <c r="CU179" i="1"/>
  <c r="CT179" i="1"/>
  <c r="CS179" i="1"/>
  <c r="CR179" i="1"/>
  <c r="CQ179" i="1"/>
  <c r="CP179" i="1"/>
  <c r="CO179" i="1"/>
  <c r="CM179" i="1"/>
  <c r="CL179" i="1"/>
  <c r="CK179" i="1"/>
  <c r="CJ179" i="1"/>
  <c r="CI179" i="1"/>
  <c r="CH179" i="1"/>
  <c r="CG179" i="1"/>
  <c r="CE179" i="1"/>
  <c r="CD179" i="1"/>
  <c r="CC179" i="1"/>
  <c r="CB179" i="1"/>
  <c r="CA179" i="1"/>
  <c r="BZ179" i="1"/>
  <c r="BY179" i="1"/>
  <c r="BX179" i="1"/>
  <c r="BW179" i="1"/>
  <c r="DC178" i="1"/>
  <c r="CZ178" i="1"/>
  <c r="CY178" i="1"/>
  <c r="CW178" i="1"/>
  <c r="CU178" i="1"/>
  <c r="CT178" i="1"/>
  <c r="CS178" i="1"/>
  <c r="CR178" i="1"/>
  <c r="CQ178" i="1"/>
  <c r="CP178" i="1"/>
  <c r="CO178" i="1"/>
  <c r="CM178" i="1"/>
  <c r="CL178" i="1"/>
  <c r="CK178" i="1"/>
  <c r="CJ178" i="1"/>
  <c r="CI178" i="1"/>
  <c r="CH178" i="1"/>
  <c r="CG178" i="1"/>
  <c r="CE178" i="1"/>
  <c r="CD178" i="1"/>
  <c r="CC178" i="1"/>
  <c r="CB178" i="1"/>
  <c r="CA178" i="1"/>
  <c r="BZ178" i="1"/>
  <c r="BY178" i="1"/>
  <c r="BX178" i="1"/>
  <c r="BW178" i="1"/>
  <c r="DC177" i="1"/>
  <c r="CZ177" i="1"/>
  <c r="CY177" i="1"/>
  <c r="CW177" i="1"/>
  <c r="CU177" i="1"/>
  <c r="CT177" i="1"/>
  <c r="CS177" i="1"/>
  <c r="CR177" i="1"/>
  <c r="CQ177" i="1"/>
  <c r="CP177" i="1"/>
  <c r="CO177" i="1"/>
  <c r="CM177" i="1"/>
  <c r="CL177" i="1"/>
  <c r="CK177" i="1"/>
  <c r="CJ177" i="1"/>
  <c r="CI177" i="1"/>
  <c r="CH177" i="1"/>
  <c r="CG177" i="1"/>
  <c r="CE177" i="1"/>
  <c r="CD177" i="1"/>
  <c r="CC177" i="1"/>
  <c r="CB177" i="1"/>
  <c r="CA177" i="1"/>
  <c r="BZ177" i="1"/>
  <c r="BY177" i="1"/>
  <c r="BX177" i="1"/>
  <c r="BW177" i="1"/>
  <c r="DC176" i="1"/>
  <c r="CZ176" i="1"/>
  <c r="CY176" i="1"/>
  <c r="CW176" i="1"/>
  <c r="CU176" i="1"/>
  <c r="CT176" i="1"/>
  <c r="CS176" i="1"/>
  <c r="CR176" i="1"/>
  <c r="CQ176" i="1"/>
  <c r="CP176" i="1"/>
  <c r="CO176" i="1"/>
  <c r="CM176" i="1"/>
  <c r="CL176" i="1"/>
  <c r="CK176" i="1"/>
  <c r="CJ176" i="1"/>
  <c r="CI176" i="1"/>
  <c r="CH176" i="1"/>
  <c r="CG176" i="1"/>
  <c r="CE176" i="1"/>
  <c r="CD176" i="1"/>
  <c r="CC176" i="1"/>
  <c r="CB176" i="1"/>
  <c r="CA176" i="1"/>
  <c r="BZ176" i="1"/>
  <c r="BY176" i="1"/>
  <c r="BX176" i="1"/>
  <c r="BW176" i="1"/>
  <c r="DC175" i="1"/>
  <c r="CZ175" i="1"/>
  <c r="CY175" i="1"/>
  <c r="CW175" i="1"/>
  <c r="CU175" i="1"/>
  <c r="CT175" i="1"/>
  <c r="CS175" i="1"/>
  <c r="CR175" i="1"/>
  <c r="CQ175" i="1"/>
  <c r="CP175" i="1"/>
  <c r="CO175" i="1"/>
  <c r="CM175" i="1"/>
  <c r="CL175" i="1"/>
  <c r="CK175" i="1"/>
  <c r="CJ175" i="1"/>
  <c r="CI175" i="1"/>
  <c r="CH175" i="1"/>
  <c r="CG175" i="1"/>
  <c r="CE175" i="1"/>
  <c r="CD175" i="1"/>
  <c r="CC175" i="1"/>
  <c r="CB175" i="1"/>
  <c r="CA175" i="1"/>
  <c r="BZ175" i="1"/>
  <c r="BY175" i="1"/>
  <c r="BX175" i="1"/>
  <c r="BW175" i="1"/>
  <c r="DC174" i="1"/>
  <c r="CZ174" i="1"/>
  <c r="CY174" i="1"/>
  <c r="CW174" i="1"/>
  <c r="CU174" i="1"/>
  <c r="CT174" i="1"/>
  <c r="CS174" i="1"/>
  <c r="CR174" i="1"/>
  <c r="CQ174" i="1"/>
  <c r="CP174" i="1"/>
  <c r="CO174" i="1"/>
  <c r="CM174" i="1"/>
  <c r="CL174" i="1"/>
  <c r="CK174" i="1"/>
  <c r="CJ174" i="1"/>
  <c r="CI174" i="1"/>
  <c r="CH174" i="1"/>
  <c r="CG174" i="1"/>
  <c r="CE174" i="1"/>
  <c r="CD174" i="1"/>
  <c r="CC174" i="1"/>
  <c r="CB174" i="1"/>
  <c r="CA174" i="1"/>
  <c r="BZ174" i="1"/>
  <c r="BY174" i="1"/>
  <c r="BX174" i="1"/>
  <c r="BW174" i="1"/>
  <c r="DC173" i="1"/>
  <c r="CZ173" i="1"/>
  <c r="CY173" i="1"/>
  <c r="CW173" i="1"/>
  <c r="CU173" i="1"/>
  <c r="CT173" i="1"/>
  <c r="CS173" i="1"/>
  <c r="CR173" i="1"/>
  <c r="CQ173" i="1"/>
  <c r="CP173" i="1"/>
  <c r="CO173" i="1"/>
  <c r="CM173" i="1"/>
  <c r="CL173" i="1"/>
  <c r="CK173" i="1"/>
  <c r="CJ173" i="1"/>
  <c r="CI173" i="1"/>
  <c r="CH173" i="1"/>
  <c r="CG173" i="1"/>
  <c r="CE173" i="1"/>
  <c r="CD173" i="1"/>
  <c r="CC173" i="1"/>
  <c r="CB173" i="1"/>
  <c r="CA173" i="1"/>
  <c r="BZ173" i="1"/>
  <c r="BY173" i="1"/>
  <c r="BX173" i="1"/>
  <c r="BW173" i="1"/>
  <c r="DC172" i="1"/>
  <c r="CZ172" i="1"/>
  <c r="CY172" i="1"/>
  <c r="CW172" i="1"/>
  <c r="CU172" i="1"/>
  <c r="CT172" i="1"/>
  <c r="CS172" i="1"/>
  <c r="CR172" i="1"/>
  <c r="CQ172" i="1"/>
  <c r="CP172" i="1"/>
  <c r="CO172" i="1"/>
  <c r="CM172" i="1"/>
  <c r="CL172" i="1"/>
  <c r="CK172" i="1"/>
  <c r="CJ172" i="1"/>
  <c r="CI172" i="1"/>
  <c r="CH172" i="1"/>
  <c r="CG172" i="1"/>
  <c r="CE172" i="1"/>
  <c r="CD172" i="1"/>
  <c r="CC172" i="1"/>
  <c r="CB172" i="1"/>
  <c r="CA172" i="1"/>
  <c r="BZ172" i="1"/>
  <c r="BY172" i="1"/>
  <c r="BX172" i="1"/>
  <c r="BW172" i="1"/>
  <c r="DC171" i="1"/>
  <c r="CZ171" i="1"/>
  <c r="CY171" i="1"/>
  <c r="CW171" i="1"/>
  <c r="CU171" i="1"/>
  <c r="CT171" i="1"/>
  <c r="CS171" i="1"/>
  <c r="CR171" i="1"/>
  <c r="CQ171" i="1"/>
  <c r="CP171" i="1"/>
  <c r="CO171" i="1"/>
  <c r="CM171" i="1"/>
  <c r="CL171" i="1"/>
  <c r="CK171" i="1"/>
  <c r="CJ171" i="1"/>
  <c r="CI171" i="1"/>
  <c r="CH171" i="1"/>
  <c r="CG171" i="1"/>
  <c r="CE171" i="1"/>
  <c r="CD171" i="1"/>
  <c r="CC171" i="1"/>
  <c r="CB171" i="1"/>
  <c r="CA171" i="1"/>
  <c r="BZ171" i="1"/>
  <c r="BY171" i="1"/>
  <c r="BX171" i="1"/>
  <c r="BW171" i="1"/>
  <c r="DC170" i="1"/>
  <c r="CZ170" i="1"/>
  <c r="CY170" i="1"/>
  <c r="CW170" i="1"/>
  <c r="CU170" i="1"/>
  <c r="CT170" i="1"/>
  <c r="CS170" i="1"/>
  <c r="CR170" i="1"/>
  <c r="CQ170" i="1"/>
  <c r="CP170" i="1"/>
  <c r="CO170" i="1"/>
  <c r="CM170" i="1"/>
  <c r="CL170" i="1"/>
  <c r="CK170" i="1"/>
  <c r="CJ170" i="1"/>
  <c r="CI170" i="1"/>
  <c r="CH170" i="1"/>
  <c r="CG170" i="1"/>
  <c r="CE170" i="1"/>
  <c r="CD170" i="1"/>
  <c r="CC170" i="1"/>
  <c r="CB170" i="1"/>
  <c r="CA170" i="1"/>
  <c r="BZ170" i="1"/>
  <c r="BY170" i="1"/>
  <c r="BX170" i="1"/>
  <c r="BW170" i="1"/>
  <c r="DC169" i="1"/>
  <c r="CZ169" i="1"/>
  <c r="CY169" i="1"/>
  <c r="CW169" i="1"/>
  <c r="CU169" i="1"/>
  <c r="CT169" i="1"/>
  <c r="CS169" i="1"/>
  <c r="CR169" i="1"/>
  <c r="CQ169" i="1"/>
  <c r="CP169" i="1"/>
  <c r="CO169" i="1"/>
  <c r="CM169" i="1"/>
  <c r="CL169" i="1"/>
  <c r="CK169" i="1"/>
  <c r="CJ169" i="1"/>
  <c r="CI169" i="1"/>
  <c r="CH169" i="1"/>
  <c r="CG169" i="1"/>
  <c r="CE169" i="1"/>
  <c r="CD169" i="1"/>
  <c r="CC169" i="1"/>
  <c r="CB169" i="1"/>
  <c r="CA169" i="1"/>
  <c r="BZ169" i="1"/>
  <c r="BY169" i="1"/>
  <c r="BX169" i="1"/>
  <c r="BW169" i="1"/>
  <c r="DC168" i="1"/>
  <c r="CZ168" i="1"/>
  <c r="CY168" i="1"/>
  <c r="CW168" i="1"/>
  <c r="CU168" i="1"/>
  <c r="CT168" i="1"/>
  <c r="CS168" i="1"/>
  <c r="CR168" i="1"/>
  <c r="CQ168" i="1"/>
  <c r="CP168" i="1"/>
  <c r="CO168" i="1"/>
  <c r="CM168" i="1"/>
  <c r="CL168" i="1"/>
  <c r="CK168" i="1"/>
  <c r="CJ168" i="1"/>
  <c r="CI168" i="1"/>
  <c r="CH168" i="1"/>
  <c r="CG168" i="1"/>
  <c r="CE168" i="1"/>
  <c r="CD168" i="1"/>
  <c r="CC168" i="1"/>
  <c r="CB168" i="1"/>
  <c r="CA168" i="1"/>
  <c r="BZ168" i="1"/>
  <c r="BY168" i="1"/>
  <c r="BX168" i="1"/>
  <c r="BW168" i="1"/>
  <c r="DC167" i="1"/>
  <c r="CZ167" i="1"/>
  <c r="CY167" i="1"/>
  <c r="CW167" i="1"/>
  <c r="CU167" i="1"/>
  <c r="CT167" i="1"/>
  <c r="CS167" i="1"/>
  <c r="CR167" i="1"/>
  <c r="CQ167" i="1"/>
  <c r="CP167" i="1"/>
  <c r="CO167" i="1"/>
  <c r="CM167" i="1"/>
  <c r="CL167" i="1"/>
  <c r="CK167" i="1"/>
  <c r="CJ167" i="1"/>
  <c r="CI167" i="1"/>
  <c r="CH167" i="1"/>
  <c r="CG167" i="1"/>
  <c r="CE167" i="1"/>
  <c r="CD167" i="1"/>
  <c r="CC167" i="1"/>
  <c r="CB167" i="1"/>
  <c r="CA167" i="1"/>
  <c r="BZ167" i="1"/>
  <c r="BY167" i="1"/>
  <c r="BX167" i="1"/>
  <c r="BW167" i="1"/>
  <c r="DC166" i="1"/>
  <c r="CZ166" i="1"/>
  <c r="CY166" i="1"/>
  <c r="CW166" i="1"/>
  <c r="CU166" i="1"/>
  <c r="CT166" i="1"/>
  <c r="CS166" i="1"/>
  <c r="CR166" i="1"/>
  <c r="CQ166" i="1"/>
  <c r="CP166" i="1"/>
  <c r="CO166" i="1"/>
  <c r="CM166" i="1"/>
  <c r="CL166" i="1"/>
  <c r="CK166" i="1"/>
  <c r="CJ166" i="1"/>
  <c r="CI166" i="1"/>
  <c r="CH166" i="1"/>
  <c r="CG166" i="1"/>
  <c r="CE166" i="1"/>
  <c r="CD166" i="1"/>
  <c r="CC166" i="1"/>
  <c r="CB166" i="1"/>
  <c r="CA166" i="1"/>
  <c r="BZ166" i="1"/>
  <c r="BY166" i="1"/>
  <c r="BX166" i="1"/>
  <c r="BW166" i="1"/>
  <c r="DC165" i="1"/>
  <c r="CZ165" i="1"/>
  <c r="CY165" i="1"/>
  <c r="CW165" i="1"/>
  <c r="CU165" i="1"/>
  <c r="CT165" i="1"/>
  <c r="CS165" i="1"/>
  <c r="CR165" i="1"/>
  <c r="CQ165" i="1"/>
  <c r="CP165" i="1"/>
  <c r="CO165" i="1"/>
  <c r="CM165" i="1"/>
  <c r="CL165" i="1"/>
  <c r="CK165" i="1"/>
  <c r="CJ165" i="1"/>
  <c r="CI165" i="1"/>
  <c r="CH165" i="1"/>
  <c r="CG165" i="1"/>
  <c r="CE165" i="1"/>
  <c r="CD165" i="1"/>
  <c r="CC165" i="1"/>
  <c r="CB165" i="1"/>
  <c r="CA165" i="1"/>
  <c r="BZ165" i="1"/>
  <c r="BY165" i="1"/>
  <c r="BX165" i="1"/>
  <c r="BW165" i="1"/>
  <c r="DC164" i="1"/>
  <c r="CZ164" i="1"/>
  <c r="CY164" i="1"/>
  <c r="CW164" i="1"/>
  <c r="CU164" i="1"/>
  <c r="CT164" i="1"/>
  <c r="CS164" i="1"/>
  <c r="CR164" i="1"/>
  <c r="CQ164" i="1"/>
  <c r="CP164" i="1"/>
  <c r="CO164" i="1"/>
  <c r="CM164" i="1"/>
  <c r="CL164" i="1"/>
  <c r="CK164" i="1"/>
  <c r="CJ164" i="1"/>
  <c r="CI164" i="1"/>
  <c r="CH164" i="1"/>
  <c r="CG164" i="1"/>
  <c r="CE164" i="1"/>
  <c r="CD164" i="1"/>
  <c r="CC164" i="1"/>
  <c r="CB164" i="1"/>
  <c r="CA164" i="1"/>
  <c r="BZ164" i="1"/>
  <c r="BY164" i="1"/>
  <c r="BX164" i="1"/>
  <c r="BW164" i="1"/>
  <c r="DC163" i="1"/>
  <c r="CZ163" i="1"/>
  <c r="CY163" i="1"/>
  <c r="CW163" i="1"/>
  <c r="CU163" i="1"/>
  <c r="CT163" i="1"/>
  <c r="CS163" i="1"/>
  <c r="CR163" i="1"/>
  <c r="CQ163" i="1"/>
  <c r="CP163" i="1"/>
  <c r="CO163" i="1"/>
  <c r="CM163" i="1"/>
  <c r="CL163" i="1"/>
  <c r="CK163" i="1"/>
  <c r="CJ163" i="1"/>
  <c r="CI163" i="1"/>
  <c r="CH163" i="1"/>
  <c r="CG163" i="1"/>
  <c r="CE163" i="1"/>
  <c r="CD163" i="1"/>
  <c r="CC163" i="1"/>
  <c r="CB163" i="1"/>
  <c r="CA163" i="1"/>
  <c r="BZ163" i="1"/>
  <c r="BY163" i="1"/>
  <c r="BX163" i="1"/>
  <c r="BW163" i="1"/>
  <c r="DC162" i="1"/>
  <c r="CZ162" i="1"/>
  <c r="CY162" i="1"/>
  <c r="CW162" i="1"/>
  <c r="CU162" i="1"/>
  <c r="CT162" i="1"/>
  <c r="CS162" i="1"/>
  <c r="CR162" i="1"/>
  <c r="CQ162" i="1"/>
  <c r="CP162" i="1"/>
  <c r="CO162" i="1"/>
  <c r="CM162" i="1"/>
  <c r="CL162" i="1"/>
  <c r="CK162" i="1"/>
  <c r="CJ162" i="1"/>
  <c r="CI162" i="1"/>
  <c r="CH162" i="1"/>
  <c r="CG162" i="1"/>
  <c r="CE162" i="1"/>
  <c r="CD162" i="1"/>
  <c r="CC162" i="1"/>
  <c r="CB162" i="1"/>
  <c r="CA162" i="1"/>
  <c r="BZ162" i="1"/>
  <c r="BY162" i="1"/>
  <c r="BX162" i="1"/>
  <c r="BW162" i="1"/>
  <c r="DC161" i="1"/>
  <c r="CZ161" i="1"/>
  <c r="CY161" i="1"/>
  <c r="CW161" i="1"/>
  <c r="CU161" i="1"/>
  <c r="CT161" i="1"/>
  <c r="CS161" i="1"/>
  <c r="CR161" i="1"/>
  <c r="CQ161" i="1"/>
  <c r="CP161" i="1"/>
  <c r="CO161" i="1"/>
  <c r="CM161" i="1"/>
  <c r="CL161" i="1"/>
  <c r="CK161" i="1"/>
  <c r="CJ161" i="1"/>
  <c r="CI161" i="1"/>
  <c r="CH161" i="1"/>
  <c r="CG161" i="1"/>
  <c r="CE161" i="1"/>
  <c r="CD161" i="1"/>
  <c r="CC161" i="1"/>
  <c r="CB161" i="1"/>
  <c r="CA161" i="1"/>
  <c r="BZ161" i="1"/>
  <c r="BY161" i="1"/>
  <c r="BX161" i="1"/>
  <c r="BW161" i="1"/>
  <c r="DC160" i="1"/>
  <c r="CZ160" i="1"/>
  <c r="CY160" i="1"/>
  <c r="CW160" i="1"/>
  <c r="CU160" i="1"/>
  <c r="CT160" i="1"/>
  <c r="CS160" i="1"/>
  <c r="CR160" i="1"/>
  <c r="CQ160" i="1"/>
  <c r="CP160" i="1"/>
  <c r="CO160" i="1"/>
  <c r="CM160" i="1"/>
  <c r="CL160" i="1"/>
  <c r="CK160" i="1"/>
  <c r="CJ160" i="1"/>
  <c r="CI160" i="1"/>
  <c r="CH160" i="1"/>
  <c r="CG160" i="1"/>
  <c r="CE160" i="1"/>
  <c r="CD160" i="1"/>
  <c r="CC160" i="1"/>
  <c r="CB160" i="1"/>
  <c r="CA160" i="1"/>
  <c r="BZ160" i="1"/>
  <c r="BY160" i="1"/>
  <c r="BX160" i="1"/>
  <c r="BW160" i="1"/>
  <c r="DC159" i="1"/>
  <c r="CZ159" i="1"/>
  <c r="CY159" i="1"/>
  <c r="CW159" i="1"/>
  <c r="CU159" i="1"/>
  <c r="CT159" i="1"/>
  <c r="CS159" i="1"/>
  <c r="CR159" i="1"/>
  <c r="CQ159" i="1"/>
  <c r="CP159" i="1"/>
  <c r="CO159" i="1"/>
  <c r="CM159" i="1"/>
  <c r="CL159" i="1"/>
  <c r="CK159" i="1"/>
  <c r="CJ159" i="1"/>
  <c r="CI159" i="1"/>
  <c r="CH159" i="1"/>
  <c r="CG159" i="1"/>
  <c r="CE159" i="1"/>
  <c r="CD159" i="1"/>
  <c r="CC159" i="1"/>
  <c r="CB159" i="1"/>
  <c r="CA159" i="1"/>
  <c r="BZ159" i="1"/>
  <c r="BY159" i="1"/>
  <c r="BX159" i="1"/>
  <c r="BW159" i="1"/>
  <c r="DC158" i="1"/>
  <c r="CZ158" i="1"/>
  <c r="CY158" i="1"/>
  <c r="CW158" i="1"/>
  <c r="CU158" i="1"/>
  <c r="CT158" i="1"/>
  <c r="CS158" i="1"/>
  <c r="CR158" i="1"/>
  <c r="CQ158" i="1"/>
  <c r="CP158" i="1"/>
  <c r="CO158" i="1"/>
  <c r="CM158" i="1"/>
  <c r="CL158" i="1"/>
  <c r="CK158" i="1"/>
  <c r="CJ158" i="1"/>
  <c r="CI158" i="1"/>
  <c r="CH158" i="1"/>
  <c r="CG158" i="1"/>
  <c r="CE158" i="1"/>
  <c r="CD158" i="1"/>
  <c r="CC158" i="1"/>
  <c r="CB158" i="1"/>
  <c r="CA158" i="1"/>
  <c r="BZ158" i="1"/>
  <c r="BY158" i="1"/>
  <c r="BX158" i="1"/>
  <c r="BW158" i="1"/>
  <c r="DC157" i="1"/>
  <c r="CZ157" i="1"/>
  <c r="CY157" i="1"/>
  <c r="CW157" i="1"/>
  <c r="CU157" i="1"/>
  <c r="CT157" i="1"/>
  <c r="CS157" i="1"/>
  <c r="CR157" i="1"/>
  <c r="CQ157" i="1"/>
  <c r="CP157" i="1"/>
  <c r="CO157" i="1"/>
  <c r="CM157" i="1"/>
  <c r="CL157" i="1"/>
  <c r="CK157" i="1"/>
  <c r="CJ157" i="1"/>
  <c r="CI157" i="1"/>
  <c r="CH157" i="1"/>
  <c r="CG157" i="1"/>
  <c r="CE157" i="1"/>
  <c r="CD157" i="1"/>
  <c r="CC157" i="1"/>
  <c r="CB157" i="1"/>
  <c r="CA157" i="1"/>
  <c r="BZ157" i="1"/>
  <c r="BY157" i="1"/>
  <c r="BX157" i="1"/>
  <c r="BW157" i="1"/>
  <c r="DC156" i="1"/>
  <c r="CZ156" i="1"/>
  <c r="CY156" i="1"/>
  <c r="CW156" i="1"/>
  <c r="CU156" i="1"/>
  <c r="CT156" i="1"/>
  <c r="CS156" i="1"/>
  <c r="CR156" i="1"/>
  <c r="CQ156" i="1"/>
  <c r="CP156" i="1"/>
  <c r="CO156" i="1"/>
  <c r="CM156" i="1"/>
  <c r="CL156" i="1"/>
  <c r="CK156" i="1"/>
  <c r="CJ156" i="1"/>
  <c r="CI156" i="1"/>
  <c r="CH156" i="1"/>
  <c r="CG156" i="1"/>
  <c r="CE156" i="1"/>
  <c r="CD156" i="1"/>
  <c r="CC156" i="1"/>
  <c r="CB156" i="1"/>
  <c r="CA156" i="1"/>
  <c r="BZ156" i="1"/>
  <c r="BY156" i="1"/>
  <c r="BX156" i="1"/>
  <c r="BW156" i="1"/>
  <c r="DC155" i="1"/>
  <c r="CZ155" i="1"/>
  <c r="CY155" i="1"/>
  <c r="CW155" i="1"/>
  <c r="CU155" i="1"/>
  <c r="CT155" i="1"/>
  <c r="CS155" i="1"/>
  <c r="CR155" i="1"/>
  <c r="CQ155" i="1"/>
  <c r="CP155" i="1"/>
  <c r="CO155" i="1"/>
  <c r="CM155" i="1"/>
  <c r="CL155" i="1"/>
  <c r="CK155" i="1"/>
  <c r="CJ155" i="1"/>
  <c r="CI155" i="1"/>
  <c r="CH155" i="1"/>
  <c r="CG155" i="1"/>
  <c r="CE155" i="1"/>
  <c r="CD155" i="1"/>
  <c r="CC155" i="1"/>
  <c r="CB155" i="1"/>
  <c r="CA155" i="1"/>
  <c r="BZ155" i="1"/>
  <c r="BY155" i="1"/>
  <c r="BX155" i="1"/>
  <c r="BW155" i="1"/>
  <c r="DC154" i="1"/>
  <c r="CZ154" i="1"/>
  <c r="CY154" i="1"/>
  <c r="CW154" i="1"/>
  <c r="CU154" i="1"/>
  <c r="CT154" i="1"/>
  <c r="CS154" i="1"/>
  <c r="CR154" i="1"/>
  <c r="CQ154" i="1"/>
  <c r="CP154" i="1"/>
  <c r="CO154" i="1"/>
  <c r="CM154" i="1"/>
  <c r="CL154" i="1"/>
  <c r="CK154" i="1"/>
  <c r="CJ154" i="1"/>
  <c r="CI154" i="1"/>
  <c r="CH154" i="1"/>
  <c r="CG154" i="1"/>
  <c r="CE154" i="1"/>
  <c r="CD154" i="1"/>
  <c r="CC154" i="1"/>
  <c r="CB154" i="1"/>
  <c r="CA154" i="1"/>
  <c r="BZ154" i="1"/>
  <c r="BY154" i="1"/>
  <c r="BX154" i="1"/>
  <c r="BW154" i="1"/>
  <c r="DC153" i="1"/>
  <c r="CZ153" i="1"/>
  <c r="CY153" i="1"/>
  <c r="CW153" i="1"/>
  <c r="CU153" i="1"/>
  <c r="CT153" i="1"/>
  <c r="CS153" i="1"/>
  <c r="CR153" i="1"/>
  <c r="CQ153" i="1"/>
  <c r="CP153" i="1"/>
  <c r="CO153" i="1"/>
  <c r="CM153" i="1"/>
  <c r="CL153" i="1"/>
  <c r="CK153" i="1"/>
  <c r="CJ153" i="1"/>
  <c r="CI153" i="1"/>
  <c r="CH153" i="1"/>
  <c r="CG153" i="1"/>
  <c r="CE153" i="1"/>
  <c r="CD153" i="1"/>
  <c r="CC153" i="1"/>
  <c r="CB153" i="1"/>
  <c r="CA153" i="1"/>
  <c r="BZ153" i="1"/>
  <c r="BY153" i="1"/>
  <c r="BX153" i="1"/>
  <c r="BW153" i="1"/>
  <c r="DC152" i="1"/>
  <c r="CZ152" i="1"/>
  <c r="CY152" i="1"/>
  <c r="CW152" i="1"/>
  <c r="CU152" i="1"/>
  <c r="CT152" i="1"/>
  <c r="CS152" i="1"/>
  <c r="CR152" i="1"/>
  <c r="CQ152" i="1"/>
  <c r="CP152" i="1"/>
  <c r="CO152" i="1"/>
  <c r="CM152" i="1"/>
  <c r="CL152" i="1"/>
  <c r="CK152" i="1"/>
  <c r="CJ152" i="1"/>
  <c r="CI152" i="1"/>
  <c r="CH152" i="1"/>
  <c r="CG152" i="1"/>
  <c r="CE152" i="1"/>
  <c r="CD152" i="1"/>
  <c r="CC152" i="1"/>
  <c r="CB152" i="1"/>
  <c r="CA152" i="1"/>
  <c r="BZ152" i="1"/>
  <c r="BY152" i="1"/>
  <c r="BX152" i="1"/>
  <c r="BW152" i="1"/>
  <c r="DC151" i="1"/>
  <c r="CZ151" i="1"/>
  <c r="CY151" i="1"/>
  <c r="CW151" i="1"/>
  <c r="CU151" i="1"/>
  <c r="CT151" i="1"/>
  <c r="CS151" i="1"/>
  <c r="CR151" i="1"/>
  <c r="CQ151" i="1"/>
  <c r="CP151" i="1"/>
  <c r="CO151" i="1"/>
  <c r="CM151" i="1"/>
  <c r="CL151" i="1"/>
  <c r="CK151" i="1"/>
  <c r="CJ151" i="1"/>
  <c r="CI151" i="1"/>
  <c r="CH151" i="1"/>
  <c r="CG151" i="1"/>
  <c r="CE151" i="1"/>
  <c r="CD151" i="1"/>
  <c r="CC151" i="1"/>
  <c r="CB151" i="1"/>
  <c r="CA151" i="1"/>
  <c r="BZ151" i="1"/>
  <c r="BY151" i="1"/>
  <c r="BX151" i="1"/>
  <c r="BW151" i="1"/>
  <c r="DC150" i="1"/>
  <c r="CZ150" i="1"/>
  <c r="CY150" i="1"/>
  <c r="CW150" i="1"/>
  <c r="CU150" i="1"/>
  <c r="CT150" i="1"/>
  <c r="CS150" i="1"/>
  <c r="CR150" i="1"/>
  <c r="CQ150" i="1"/>
  <c r="CP150" i="1"/>
  <c r="CO150" i="1"/>
  <c r="CM150" i="1"/>
  <c r="CL150" i="1"/>
  <c r="CK150" i="1"/>
  <c r="CJ150" i="1"/>
  <c r="CI150" i="1"/>
  <c r="CH150" i="1"/>
  <c r="CG150" i="1"/>
  <c r="CE150" i="1"/>
  <c r="CD150" i="1"/>
  <c r="CC150" i="1"/>
  <c r="CB150" i="1"/>
  <c r="CA150" i="1"/>
  <c r="BZ150" i="1"/>
  <c r="BY150" i="1"/>
  <c r="BX150" i="1"/>
  <c r="BW150" i="1"/>
  <c r="DC149" i="1"/>
  <c r="CZ149" i="1"/>
  <c r="CY149" i="1"/>
  <c r="CW149" i="1"/>
  <c r="CU149" i="1"/>
  <c r="CT149" i="1"/>
  <c r="CS149" i="1"/>
  <c r="CR149" i="1"/>
  <c r="CQ149" i="1"/>
  <c r="CP149" i="1"/>
  <c r="CO149" i="1"/>
  <c r="CM149" i="1"/>
  <c r="CL149" i="1"/>
  <c r="CK149" i="1"/>
  <c r="CJ149" i="1"/>
  <c r="CI149" i="1"/>
  <c r="CH149" i="1"/>
  <c r="CG149" i="1"/>
  <c r="CE149" i="1"/>
  <c r="CD149" i="1"/>
  <c r="CC149" i="1"/>
  <c r="CB149" i="1"/>
  <c r="CA149" i="1"/>
  <c r="BZ149" i="1"/>
  <c r="BY149" i="1"/>
  <c r="BX149" i="1"/>
  <c r="BW149" i="1"/>
  <c r="DC148" i="1"/>
  <c r="CZ148" i="1"/>
  <c r="CY148" i="1"/>
  <c r="CW148" i="1"/>
  <c r="CU148" i="1"/>
  <c r="CT148" i="1"/>
  <c r="CS148" i="1"/>
  <c r="CR148" i="1"/>
  <c r="CQ148" i="1"/>
  <c r="CP148" i="1"/>
  <c r="CO148" i="1"/>
  <c r="CM148" i="1"/>
  <c r="CL148" i="1"/>
  <c r="CK148" i="1"/>
  <c r="CJ148" i="1"/>
  <c r="CI148" i="1"/>
  <c r="CH148" i="1"/>
  <c r="CG148" i="1"/>
  <c r="CE148" i="1"/>
  <c r="CD148" i="1"/>
  <c r="CC148" i="1"/>
  <c r="CB148" i="1"/>
  <c r="CA148" i="1"/>
  <c r="BZ148" i="1"/>
  <c r="BY148" i="1"/>
  <c r="BX148" i="1"/>
  <c r="BW148" i="1"/>
  <c r="DC147" i="1"/>
  <c r="CZ147" i="1"/>
  <c r="CY147" i="1"/>
  <c r="CW147" i="1"/>
  <c r="CU147" i="1"/>
  <c r="CT147" i="1"/>
  <c r="CS147" i="1"/>
  <c r="CR147" i="1"/>
  <c r="CQ147" i="1"/>
  <c r="CP147" i="1"/>
  <c r="CO147" i="1"/>
  <c r="CM147" i="1"/>
  <c r="CL147" i="1"/>
  <c r="CK147" i="1"/>
  <c r="CJ147" i="1"/>
  <c r="CI147" i="1"/>
  <c r="CH147" i="1"/>
  <c r="CG147" i="1"/>
  <c r="CE147" i="1"/>
  <c r="CD147" i="1"/>
  <c r="CC147" i="1"/>
  <c r="CB147" i="1"/>
  <c r="CA147" i="1"/>
  <c r="BZ147" i="1"/>
  <c r="BY147" i="1"/>
  <c r="BX147" i="1"/>
  <c r="BW147" i="1"/>
  <c r="DC146" i="1"/>
  <c r="CZ146" i="1"/>
  <c r="CY146" i="1"/>
  <c r="CW146" i="1"/>
  <c r="CU146" i="1"/>
  <c r="CT146" i="1"/>
  <c r="CS146" i="1"/>
  <c r="CR146" i="1"/>
  <c r="CQ146" i="1"/>
  <c r="CP146" i="1"/>
  <c r="CO146" i="1"/>
  <c r="CM146" i="1"/>
  <c r="CL146" i="1"/>
  <c r="CK146" i="1"/>
  <c r="CJ146" i="1"/>
  <c r="CI146" i="1"/>
  <c r="CH146" i="1"/>
  <c r="CG146" i="1"/>
  <c r="CE146" i="1"/>
  <c r="CD146" i="1"/>
  <c r="CC146" i="1"/>
  <c r="CB146" i="1"/>
  <c r="CA146" i="1"/>
  <c r="BZ146" i="1"/>
  <c r="BY146" i="1"/>
  <c r="BX146" i="1"/>
  <c r="BW146" i="1"/>
  <c r="DC145" i="1"/>
  <c r="CZ145" i="1"/>
  <c r="CY145" i="1"/>
  <c r="CW145" i="1"/>
  <c r="CU145" i="1"/>
  <c r="CT145" i="1"/>
  <c r="CS145" i="1"/>
  <c r="CR145" i="1"/>
  <c r="CQ145" i="1"/>
  <c r="CP145" i="1"/>
  <c r="CO145" i="1"/>
  <c r="CM145" i="1"/>
  <c r="CL145" i="1"/>
  <c r="CK145" i="1"/>
  <c r="CJ145" i="1"/>
  <c r="CI145" i="1"/>
  <c r="CH145" i="1"/>
  <c r="CG145" i="1"/>
  <c r="CE145" i="1"/>
  <c r="CD145" i="1"/>
  <c r="CC145" i="1"/>
  <c r="CB145" i="1"/>
  <c r="CA145" i="1"/>
  <c r="BZ145" i="1"/>
  <c r="BY145" i="1"/>
  <c r="BX145" i="1"/>
  <c r="BW145" i="1"/>
  <c r="DC144" i="1"/>
  <c r="CZ144" i="1"/>
  <c r="CY144" i="1"/>
  <c r="CW144" i="1"/>
  <c r="CU144" i="1"/>
  <c r="CT144" i="1"/>
  <c r="CS144" i="1"/>
  <c r="CR144" i="1"/>
  <c r="CQ144" i="1"/>
  <c r="CP144" i="1"/>
  <c r="CO144" i="1"/>
  <c r="CM144" i="1"/>
  <c r="CL144" i="1"/>
  <c r="CK144" i="1"/>
  <c r="CJ144" i="1"/>
  <c r="CI144" i="1"/>
  <c r="CH144" i="1"/>
  <c r="CG144" i="1"/>
  <c r="CE144" i="1"/>
  <c r="CD144" i="1"/>
  <c r="CC144" i="1"/>
  <c r="CB144" i="1"/>
  <c r="CA144" i="1"/>
  <c r="BZ144" i="1"/>
  <c r="BY144" i="1"/>
  <c r="BX144" i="1"/>
  <c r="BW144" i="1"/>
  <c r="DC143" i="1"/>
  <c r="CZ143" i="1"/>
  <c r="CY143" i="1"/>
  <c r="CW143" i="1"/>
  <c r="CU143" i="1"/>
  <c r="CT143" i="1"/>
  <c r="CS143" i="1"/>
  <c r="CR143" i="1"/>
  <c r="CQ143" i="1"/>
  <c r="CP143" i="1"/>
  <c r="CO143" i="1"/>
  <c r="CM143" i="1"/>
  <c r="CL143" i="1"/>
  <c r="CK143" i="1"/>
  <c r="CJ143" i="1"/>
  <c r="CI143" i="1"/>
  <c r="CH143" i="1"/>
  <c r="CG143" i="1"/>
  <c r="CE143" i="1"/>
  <c r="CD143" i="1"/>
  <c r="CC143" i="1"/>
  <c r="CB143" i="1"/>
  <c r="CA143" i="1"/>
  <c r="BZ143" i="1"/>
  <c r="BY143" i="1"/>
  <c r="BX143" i="1"/>
  <c r="BW143" i="1"/>
  <c r="DC142" i="1"/>
  <c r="CZ142" i="1"/>
  <c r="CY142" i="1"/>
  <c r="CW142" i="1"/>
  <c r="CU142" i="1"/>
  <c r="CT142" i="1"/>
  <c r="CS142" i="1"/>
  <c r="CR142" i="1"/>
  <c r="CQ142" i="1"/>
  <c r="CP142" i="1"/>
  <c r="CO142" i="1"/>
  <c r="CM142" i="1"/>
  <c r="CL142" i="1"/>
  <c r="CK142" i="1"/>
  <c r="CJ142" i="1"/>
  <c r="CI142" i="1"/>
  <c r="CH142" i="1"/>
  <c r="CG142" i="1"/>
  <c r="CE142" i="1"/>
  <c r="CD142" i="1"/>
  <c r="CC142" i="1"/>
  <c r="CB142" i="1"/>
  <c r="CA142" i="1"/>
  <c r="BZ142" i="1"/>
  <c r="BY142" i="1"/>
  <c r="BX142" i="1"/>
  <c r="BW142" i="1"/>
  <c r="DC141" i="1"/>
  <c r="CZ141" i="1"/>
  <c r="CY141" i="1"/>
  <c r="CW141" i="1"/>
  <c r="CU141" i="1"/>
  <c r="CT141" i="1"/>
  <c r="CS141" i="1"/>
  <c r="CR141" i="1"/>
  <c r="CQ141" i="1"/>
  <c r="CP141" i="1"/>
  <c r="CO141" i="1"/>
  <c r="CM141" i="1"/>
  <c r="CL141" i="1"/>
  <c r="CK141" i="1"/>
  <c r="CJ141" i="1"/>
  <c r="CI141" i="1"/>
  <c r="CH141" i="1"/>
  <c r="CG141" i="1"/>
  <c r="CE141" i="1"/>
  <c r="CD141" i="1"/>
  <c r="CC141" i="1"/>
  <c r="CB141" i="1"/>
  <c r="CA141" i="1"/>
  <c r="BZ141" i="1"/>
  <c r="BY141" i="1"/>
  <c r="BX141" i="1"/>
  <c r="BW141" i="1"/>
  <c r="DC140" i="1"/>
  <c r="CZ140" i="1"/>
  <c r="CY140" i="1"/>
  <c r="CW140" i="1"/>
  <c r="CU140" i="1"/>
  <c r="CT140" i="1"/>
  <c r="CS140" i="1"/>
  <c r="CR140" i="1"/>
  <c r="CQ140" i="1"/>
  <c r="CP140" i="1"/>
  <c r="CO140" i="1"/>
  <c r="CM140" i="1"/>
  <c r="CL140" i="1"/>
  <c r="CK140" i="1"/>
  <c r="CJ140" i="1"/>
  <c r="CI140" i="1"/>
  <c r="CH140" i="1"/>
  <c r="CG140" i="1"/>
  <c r="CE140" i="1"/>
  <c r="CD140" i="1"/>
  <c r="CC140" i="1"/>
  <c r="CB140" i="1"/>
  <c r="CA140" i="1"/>
  <c r="BZ140" i="1"/>
  <c r="BY140" i="1"/>
  <c r="BX140" i="1"/>
  <c r="BW140" i="1"/>
  <c r="DC139" i="1"/>
  <c r="CZ139" i="1"/>
  <c r="CY139" i="1"/>
  <c r="CW139" i="1"/>
  <c r="CU139" i="1"/>
  <c r="CT139" i="1"/>
  <c r="CS139" i="1"/>
  <c r="CR139" i="1"/>
  <c r="CQ139" i="1"/>
  <c r="CP139" i="1"/>
  <c r="CO139" i="1"/>
  <c r="CM139" i="1"/>
  <c r="CL139" i="1"/>
  <c r="CK139" i="1"/>
  <c r="CJ139" i="1"/>
  <c r="CI139" i="1"/>
  <c r="CH139" i="1"/>
  <c r="CG139" i="1"/>
  <c r="CE139" i="1"/>
  <c r="CD139" i="1"/>
  <c r="CC139" i="1"/>
  <c r="CB139" i="1"/>
  <c r="CA139" i="1"/>
  <c r="BZ139" i="1"/>
  <c r="BY139" i="1"/>
  <c r="BX139" i="1"/>
  <c r="BW139" i="1"/>
  <c r="DC138" i="1"/>
  <c r="CZ138" i="1"/>
  <c r="CY138" i="1"/>
  <c r="CW138" i="1"/>
  <c r="CU138" i="1"/>
  <c r="CT138" i="1"/>
  <c r="CS138" i="1"/>
  <c r="CR138" i="1"/>
  <c r="CQ138" i="1"/>
  <c r="CP138" i="1"/>
  <c r="CO138" i="1"/>
  <c r="CM138" i="1"/>
  <c r="CL138" i="1"/>
  <c r="CK138" i="1"/>
  <c r="CJ138" i="1"/>
  <c r="CI138" i="1"/>
  <c r="CH138" i="1"/>
  <c r="CG138" i="1"/>
  <c r="CE138" i="1"/>
  <c r="CD138" i="1"/>
  <c r="CC138" i="1"/>
  <c r="CB138" i="1"/>
  <c r="CA138" i="1"/>
  <c r="BZ138" i="1"/>
  <c r="BY138" i="1"/>
  <c r="BX138" i="1"/>
  <c r="BW138" i="1"/>
  <c r="DC137" i="1"/>
  <c r="CZ137" i="1"/>
  <c r="CY137" i="1"/>
  <c r="CW137" i="1"/>
  <c r="CU137" i="1"/>
  <c r="CT137" i="1"/>
  <c r="CS137" i="1"/>
  <c r="CR137" i="1"/>
  <c r="CQ137" i="1"/>
  <c r="CP137" i="1"/>
  <c r="CO137" i="1"/>
  <c r="CM137" i="1"/>
  <c r="CL137" i="1"/>
  <c r="CK137" i="1"/>
  <c r="CJ137" i="1"/>
  <c r="CI137" i="1"/>
  <c r="CH137" i="1"/>
  <c r="CG137" i="1"/>
  <c r="CE137" i="1"/>
  <c r="CD137" i="1"/>
  <c r="CC137" i="1"/>
  <c r="CB137" i="1"/>
  <c r="CA137" i="1"/>
  <c r="BZ137" i="1"/>
  <c r="BY137" i="1"/>
  <c r="BX137" i="1"/>
  <c r="BW137" i="1"/>
  <c r="DC136" i="1"/>
  <c r="CZ136" i="1"/>
  <c r="CY136" i="1"/>
  <c r="CW136" i="1"/>
  <c r="CU136" i="1"/>
  <c r="CT136" i="1"/>
  <c r="CS136" i="1"/>
  <c r="CR136" i="1"/>
  <c r="CQ136" i="1"/>
  <c r="CP136" i="1"/>
  <c r="CO136" i="1"/>
  <c r="CM136" i="1"/>
  <c r="CL136" i="1"/>
  <c r="CK136" i="1"/>
  <c r="CJ136" i="1"/>
  <c r="CI136" i="1"/>
  <c r="CH136" i="1"/>
  <c r="CG136" i="1"/>
  <c r="CE136" i="1"/>
  <c r="CD136" i="1"/>
  <c r="CC136" i="1"/>
  <c r="CB136" i="1"/>
  <c r="CA136" i="1"/>
  <c r="BZ136" i="1"/>
  <c r="BY136" i="1"/>
  <c r="BX136" i="1"/>
  <c r="BW136" i="1"/>
  <c r="DC135" i="1"/>
  <c r="CZ135" i="1"/>
  <c r="CY135" i="1"/>
  <c r="CW135" i="1"/>
  <c r="CU135" i="1"/>
  <c r="CT135" i="1"/>
  <c r="CS135" i="1"/>
  <c r="CR135" i="1"/>
  <c r="CQ135" i="1"/>
  <c r="CP135" i="1"/>
  <c r="CO135" i="1"/>
  <c r="CM135" i="1"/>
  <c r="CL135" i="1"/>
  <c r="CK135" i="1"/>
  <c r="CJ135" i="1"/>
  <c r="CI135" i="1"/>
  <c r="CH135" i="1"/>
  <c r="CG135" i="1"/>
  <c r="CE135" i="1"/>
  <c r="CD135" i="1"/>
  <c r="CC135" i="1"/>
  <c r="CB135" i="1"/>
  <c r="CA135" i="1"/>
  <c r="BZ135" i="1"/>
  <c r="BY135" i="1"/>
  <c r="BX135" i="1"/>
  <c r="BW135" i="1"/>
  <c r="DC134" i="1"/>
  <c r="CZ134" i="1"/>
  <c r="CY134" i="1"/>
  <c r="CW134" i="1"/>
  <c r="CU134" i="1"/>
  <c r="CT134" i="1"/>
  <c r="CS134" i="1"/>
  <c r="CR134" i="1"/>
  <c r="CQ134" i="1"/>
  <c r="CP134" i="1"/>
  <c r="CO134" i="1"/>
  <c r="CM134" i="1"/>
  <c r="CL134" i="1"/>
  <c r="CK134" i="1"/>
  <c r="CJ134" i="1"/>
  <c r="CI134" i="1"/>
  <c r="CH134" i="1"/>
  <c r="CG134" i="1"/>
  <c r="CE134" i="1"/>
  <c r="CD134" i="1"/>
  <c r="CC134" i="1"/>
  <c r="CB134" i="1"/>
  <c r="CA134" i="1"/>
  <c r="BZ134" i="1"/>
  <c r="BY134" i="1"/>
  <c r="BX134" i="1"/>
  <c r="BW134" i="1"/>
  <c r="DC133" i="1"/>
  <c r="CZ133" i="1"/>
  <c r="CY133" i="1"/>
  <c r="CW133" i="1"/>
  <c r="CU133" i="1"/>
  <c r="CT133" i="1"/>
  <c r="CS133" i="1"/>
  <c r="CR133" i="1"/>
  <c r="CQ133" i="1"/>
  <c r="CP133" i="1"/>
  <c r="CO133" i="1"/>
  <c r="CM133" i="1"/>
  <c r="CL133" i="1"/>
  <c r="CK133" i="1"/>
  <c r="CJ133" i="1"/>
  <c r="CI133" i="1"/>
  <c r="CH133" i="1"/>
  <c r="CG133" i="1"/>
  <c r="CE133" i="1"/>
  <c r="CD133" i="1"/>
  <c r="CC133" i="1"/>
  <c r="CB133" i="1"/>
  <c r="CA133" i="1"/>
  <c r="BZ133" i="1"/>
  <c r="BY133" i="1"/>
  <c r="BX133" i="1"/>
  <c r="BW133" i="1"/>
  <c r="DC132" i="1"/>
  <c r="CZ132" i="1"/>
  <c r="CY132" i="1"/>
  <c r="CW132" i="1"/>
  <c r="CU132" i="1"/>
  <c r="CT132" i="1"/>
  <c r="CS132" i="1"/>
  <c r="CR132" i="1"/>
  <c r="CQ132" i="1"/>
  <c r="CP132" i="1"/>
  <c r="CO132" i="1"/>
  <c r="CM132" i="1"/>
  <c r="CL132" i="1"/>
  <c r="CK132" i="1"/>
  <c r="CJ132" i="1"/>
  <c r="CI132" i="1"/>
  <c r="CH132" i="1"/>
  <c r="CG132" i="1"/>
  <c r="CE132" i="1"/>
  <c r="CD132" i="1"/>
  <c r="CC132" i="1"/>
  <c r="CB132" i="1"/>
  <c r="CA132" i="1"/>
  <c r="BZ132" i="1"/>
  <c r="BY132" i="1"/>
  <c r="BX132" i="1"/>
  <c r="BW132" i="1"/>
  <c r="DC131" i="1"/>
  <c r="CZ131" i="1"/>
  <c r="CY131" i="1"/>
  <c r="CW131" i="1"/>
  <c r="CU131" i="1"/>
  <c r="CT131" i="1"/>
  <c r="CS131" i="1"/>
  <c r="CR131" i="1"/>
  <c r="CQ131" i="1"/>
  <c r="CP131" i="1"/>
  <c r="CO131" i="1"/>
  <c r="CM131" i="1"/>
  <c r="CL131" i="1"/>
  <c r="CK131" i="1"/>
  <c r="CJ131" i="1"/>
  <c r="CI131" i="1"/>
  <c r="CH131" i="1"/>
  <c r="CG131" i="1"/>
  <c r="CE131" i="1"/>
  <c r="CD131" i="1"/>
  <c r="CC131" i="1"/>
  <c r="CB131" i="1"/>
  <c r="CA131" i="1"/>
  <c r="BZ131" i="1"/>
  <c r="BY131" i="1"/>
  <c r="BX131" i="1"/>
  <c r="BW131" i="1"/>
  <c r="DC130" i="1"/>
  <c r="CZ130" i="1"/>
  <c r="CY130" i="1"/>
  <c r="CW130" i="1"/>
  <c r="CU130" i="1"/>
  <c r="CT130" i="1"/>
  <c r="CS130" i="1"/>
  <c r="CR130" i="1"/>
  <c r="CQ130" i="1"/>
  <c r="CP130" i="1"/>
  <c r="CO130" i="1"/>
  <c r="CM130" i="1"/>
  <c r="CL130" i="1"/>
  <c r="CK130" i="1"/>
  <c r="CJ130" i="1"/>
  <c r="CI130" i="1"/>
  <c r="CH130" i="1"/>
  <c r="CG130" i="1"/>
  <c r="CE130" i="1"/>
  <c r="CD130" i="1"/>
  <c r="CC130" i="1"/>
  <c r="CB130" i="1"/>
  <c r="CA130" i="1"/>
  <c r="BZ130" i="1"/>
  <c r="BY130" i="1"/>
  <c r="BX130" i="1"/>
  <c r="BW130" i="1"/>
  <c r="DC129" i="1"/>
  <c r="CZ129" i="1"/>
  <c r="CY129" i="1"/>
  <c r="CW129" i="1"/>
  <c r="CU129" i="1"/>
  <c r="CT129" i="1"/>
  <c r="CS129" i="1"/>
  <c r="CR129" i="1"/>
  <c r="CQ129" i="1"/>
  <c r="CP129" i="1"/>
  <c r="CO129" i="1"/>
  <c r="CM129" i="1"/>
  <c r="CL129" i="1"/>
  <c r="CK129" i="1"/>
  <c r="CJ129" i="1"/>
  <c r="CI129" i="1"/>
  <c r="CH129" i="1"/>
  <c r="CG129" i="1"/>
  <c r="CE129" i="1"/>
  <c r="CD129" i="1"/>
  <c r="CC129" i="1"/>
  <c r="CB129" i="1"/>
  <c r="CA129" i="1"/>
  <c r="BZ129" i="1"/>
  <c r="BY129" i="1"/>
  <c r="BX129" i="1"/>
  <c r="BW129" i="1"/>
  <c r="DC128" i="1"/>
  <c r="CZ128" i="1"/>
  <c r="CY128" i="1"/>
  <c r="CW128" i="1"/>
  <c r="CU128" i="1"/>
  <c r="CT128" i="1"/>
  <c r="CS128" i="1"/>
  <c r="CR128" i="1"/>
  <c r="CQ128" i="1"/>
  <c r="CP128" i="1"/>
  <c r="CO128" i="1"/>
  <c r="CM128" i="1"/>
  <c r="CL128" i="1"/>
  <c r="CK128" i="1"/>
  <c r="CJ128" i="1"/>
  <c r="CI128" i="1"/>
  <c r="CH128" i="1"/>
  <c r="CG128" i="1"/>
  <c r="CE128" i="1"/>
  <c r="CD128" i="1"/>
  <c r="CC128" i="1"/>
  <c r="CB128" i="1"/>
  <c r="CA128" i="1"/>
  <c r="BZ128" i="1"/>
  <c r="BY128" i="1"/>
  <c r="BX128" i="1"/>
  <c r="BW128" i="1"/>
  <c r="DC127" i="1"/>
  <c r="CZ127" i="1"/>
  <c r="CY127" i="1"/>
  <c r="CW127" i="1"/>
  <c r="CU127" i="1"/>
  <c r="CT127" i="1"/>
  <c r="CS127" i="1"/>
  <c r="CR127" i="1"/>
  <c r="CQ127" i="1"/>
  <c r="CP127" i="1"/>
  <c r="CO127" i="1"/>
  <c r="CM127" i="1"/>
  <c r="CL127" i="1"/>
  <c r="CK127" i="1"/>
  <c r="CJ127" i="1"/>
  <c r="CI127" i="1"/>
  <c r="CH127" i="1"/>
  <c r="CG127" i="1"/>
  <c r="CE127" i="1"/>
  <c r="CD127" i="1"/>
  <c r="CC127" i="1"/>
  <c r="CB127" i="1"/>
  <c r="CA127" i="1"/>
  <c r="BZ127" i="1"/>
  <c r="BY127" i="1"/>
  <c r="BX127" i="1"/>
  <c r="BW127" i="1"/>
  <c r="DC126" i="1"/>
  <c r="CZ126" i="1"/>
  <c r="CY126" i="1"/>
  <c r="CW126" i="1"/>
  <c r="CU126" i="1"/>
  <c r="CT126" i="1"/>
  <c r="CS126" i="1"/>
  <c r="CR126" i="1"/>
  <c r="CQ126" i="1"/>
  <c r="CP126" i="1"/>
  <c r="CO126" i="1"/>
  <c r="CM126" i="1"/>
  <c r="CL126" i="1"/>
  <c r="CK126" i="1"/>
  <c r="CJ126" i="1"/>
  <c r="CI126" i="1"/>
  <c r="CH126" i="1"/>
  <c r="CG126" i="1"/>
  <c r="CE126" i="1"/>
  <c r="CD126" i="1"/>
  <c r="CC126" i="1"/>
  <c r="CB126" i="1"/>
  <c r="CA126" i="1"/>
  <c r="BZ126" i="1"/>
  <c r="BY126" i="1"/>
  <c r="BX126" i="1"/>
  <c r="BW126" i="1"/>
  <c r="DC125" i="1"/>
  <c r="CZ125" i="1"/>
  <c r="CY125" i="1"/>
  <c r="CW125" i="1"/>
  <c r="CU125" i="1"/>
  <c r="CT125" i="1"/>
  <c r="CS125" i="1"/>
  <c r="CR125" i="1"/>
  <c r="CQ125" i="1"/>
  <c r="CP125" i="1"/>
  <c r="CO125" i="1"/>
  <c r="CM125" i="1"/>
  <c r="CL125" i="1"/>
  <c r="CK125" i="1"/>
  <c r="CJ125" i="1"/>
  <c r="CI125" i="1"/>
  <c r="CH125" i="1"/>
  <c r="CG125" i="1"/>
  <c r="CE125" i="1"/>
  <c r="CD125" i="1"/>
  <c r="CC125" i="1"/>
  <c r="CB125" i="1"/>
  <c r="CA125" i="1"/>
  <c r="BZ125" i="1"/>
  <c r="BY125" i="1"/>
  <c r="BX125" i="1"/>
  <c r="BW125" i="1"/>
  <c r="DC124" i="1"/>
  <c r="CZ124" i="1"/>
  <c r="CY124" i="1"/>
  <c r="CW124" i="1"/>
  <c r="CU124" i="1"/>
  <c r="CT124" i="1"/>
  <c r="CS124" i="1"/>
  <c r="CR124" i="1"/>
  <c r="CQ124" i="1"/>
  <c r="CP124" i="1"/>
  <c r="CO124" i="1"/>
  <c r="CM124" i="1"/>
  <c r="CL124" i="1"/>
  <c r="CK124" i="1"/>
  <c r="CJ124" i="1"/>
  <c r="CI124" i="1"/>
  <c r="CH124" i="1"/>
  <c r="CG124" i="1"/>
  <c r="CE124" i="1"/>
  <c r="CD124" i="1"/>
  <c r="CC124" i="1"/>
  <c r="CB124" i="1"/>
  <c r="CA124" i="1"/>
  <c r="BZ124" i="1"/>
  <c r="BY124" i="1"/>
  <c r="BX124" i="1"/>
  <c r="BW124" i="1"/>
  <c r="DC123" i="1"/>
  <c r="CZ123" i="1"/>
  <c r="CY123" i="1"/>
  <c r="CW123" i="1"/>
  <c r="CU123" i="1"/>
  <c r="CT123" i="1"/>
  <c r="CS123" i="1"/>
  <c r="CR123" i="1"/>
  <c r="CQ123" i="1"/>
  <c r="CP123" i="1"/>
  <c r="CO123" i="1"/>
  <c r="CM123" i="1"/>
  <c r="CL123" i="1"/>
  <c r="CK123" i="1"/>
  <c r="CJ123" i="1"/>
  <c r="CI123" i="1"/>
  <c r="CH123" i="1"/>
  <c r="CG123" i="1"/>
  <c r="CE123" i="1"/>
  <c r="CD123" i="1"/>
  <c r="CC123" i="1"/>
  <c r="CB123" i="1"/>
  <c r="CA123" i="1"/>
  <c r="BZ123" i="1"/>
  <c r="BY123" i="1"/>
  <c r="BX123" i="1"/>
  <c r="BW123" i="1"/>
  <c r="DC122" i="1"/>
  <c r="CZ122" i="1"/>
  <c r="CY122" i="1"/>
  <c r="CW122" i="1"/>
  <c r="CU122" i="1"/>
  <c r="CT122" i="1"/>
  <c r="CS122" i="1"/>
  <c r="CR122" i="1"/>
  <c r="CQ122" i="1"/>
  <c r="CP122" i="1"/>
  <c r="CO122" i="1"/>
  <c r="CM122" i="1"/>
  <c r="CL122" i="1"/>
  <c r="CK122" i="1"/>
  <c r="CJ122" i="1"/>
  <c r="CI122" i="1"/>
  <c r="CH122" i="1"/>
  <c r="CG122" i="1"/>
  <c r="CE122" i="1"/>
  <c r="CD122" i="1"/>
  <c r="CC122" i="1"/>
  <c r="CB122" i="1"/>
  <c r="CA122" i="1"/>
  <c r="BZ122" i="1"/>
  <c r="BY122" i="1"/>
  <c r="BX122" i="1"/>
  <c r="BW122" i="1"/>
  <c r="DC121" i="1"/>
  <c r="CZ121" i="1"/>
  <c r="CY121" i="1"/>
  <c r="CW121" i="1"/>
  <c r="CU121" i="1"/>
  <c r="CT121" i="1"/>
  <c r="CS121" i="1"/>
  <c r="CR121" i="1"/>
  <c r="CQ121" i="1"/>
  <c r="CP121" i="1"/>
  <c r="CO121" i="1"/>
  <c r="CM121" i="1"/>
  <c r="CL121" i="1"/>
  <c r="CK121" i="1"/>
  <c r="CJ121" i="1"/>
  <c r="CI121" i="1"/>
  <c r="CH121" i="1"/>
  <c r="CG121" i="1"/>
  <c r="CE121" i="1"/>
  <c r="CD121" i="1"/>
  <c r="CC121" i="1"/>
  <c r="CB121" i="1"/>
  <c r="CA121" i="1"/>
  <c r="BZ121" i="1"/>
  <c r="BY121" i="1"/>
  <c r="BX121" i="1"/>
  <c r="BW121" i="1"/>
  <c r="DC120" i="1"/>
  <c r="CZ120" i="1"/>
  <c r="CY120" i="1"/>
  <c r="CW120" i="1"/>
  <c r="CU120" i="1"/>
  <c r="CT120" i="1"/>
  <c r="CS120" i="1"/>
  <c r="CR120" i="1"/>
  <c r="CQ120" i="1"/>
  <c r="CP120" i="1"/>
  <c r="CO120" i="1"/>
  <c r="CM120" i="1"/>
  <c r="CL120" i="1"/>
  <c r="CK120" i="1"/>
  <c r="CJ120" i="1"/>
  <c r="CI120" i="1"/>
  <c r="CH120" i="1"/>
  <c r="CG120" i="1"/>
  <c r="CE120" i="1"/>
  <c r="CD120" i="1"/>
  <c r="CC120" i="1"/>
  <c r="CB120" i="1"/>
  <c r="CA120" i="1"/>
  <c r="BZ120" i="1"/>
  <c r="BY120" i="1"/>
  <c r="BX120" i="1"/>
  <c r="BW120" i="1"/>
  <c r="DC119" i="1"/>
  <c r="CZ119" i="1"/>
  <c r="CY119" i="1"/>
  <c r="CW119" i="1"/>
  <c r="CU119" i="1"/>
  <c r="CT119" i="1"/>
  <c r="CS119" i="1"/>
  <c r="CR119" i="1"/>
  <c r="CQ119" i="1"/>
  <c r="CP119" i="1"/>
  <c r="CO119" i="1"/>
  <c r="CM119" i="1"/>
  <c r="CL119" i="1"/>
  <c r="CK119" i="1"/>
  <c r="CJ119" i="1"/>
  <c r="CI119" i="1"/>
  <c r="CH119" i="1"/>
  <c r="CG119" i="1"/>
  <c r="CE119" i="1"/>
  <c r="CD119" i="1"/>
  <c r="CC119" i="1"/>
  <c r="CB119" i="1"/>
  <c r="CA119" i="1"/>
  <c r="BZ119" i="1"/>
  <c r="BY119" i="1"/>
  <c r="BX119" i="1"/>
  <c r="BW119" i="1"/>
  <c r="DC118" i="1"/>
  <c r="CZ118" i="1"/>
  <c r="CY118" i="1"/>
  <c r="CW118" i="1"/>
  <c r="CU118" i="1"/>
  <c r="CT118" i="1"/>
  <c r="CS118" i="1"/>
  <c r="CR118" i="1"/>
  <c r="CQ118" i="1"/>
  <c r="CP118" i="1"/>
  <c r="CO118" i="1"/>
  <c r="CM118" i="1"/>
  <c r="CL118" i="1"/>
  <c r="CK118" i="1"/>
  <c r="CJ118" i="1"/>
  <c r="CI118" i="1"/>
  <c r="CH118" i="1"/>
  <c r="CG118" i="1"/>
  <c r="CE118" i="1"/>
  <c r="CD118" i="1"/>
  <c r="CC118" i="1"/>
  <c r="CB118" i="1"/>
  <c r="CA118" i="1"/>
  <c r="BZ118" i="1"/>
  <c r="BY118" i="1"/>
  <c r="BX118" i="1"/>
  <c r="BW118" i="1"/>
  <c r="DC117" i="1"/>
  <c r="CZ117" i="1"/>
  <c r="CY117" i="1"/>
  <c r="CW117" i="1"/>
  <c r="CU117" i="1"/>
  <c r="CT117" i="1"/>
  <c r="CS117" i="1"/>
  <c r="CR117" i="1"/>
  <c r="CQ117" i="1"/>
  <c r="CP117" i="1"/>
  <c r="CO117" i="1"/>
  <c r="CM117" i="1"/>
  <c r="CL117" i="1"/>
  <c r="CK117" i="1"/>
  <c r="CJ117" i="1"/>
  <c r="CI117" i="1"/>
  <c r="CH117" i="1"/>
  <c r="CG117" i="1"/>
  <c r="CE117" i="1"/>
  <c r="CD117" i="1"/>
  <c r="CC117" i="1"/>
  <c r="CB117" i="1"/>
  <c r="CA117" i="1"/>
  <c r="BZ117" i="1"/>
  <c r="BY117" i="1"/>
  <c r="BX117" i="1"/>
  <c r="BW117" i="1"/>
  <c r="DC116" i="1"/>
  <c r="CZ116" i="1"/>
  <c r="CY116" i="1"/>
  <c r="CW116" i="1"/>
  <c r="CU116" i="1"/>
  <c r="CT116" i="1"/>
  <c r="CS116" i="1"/>
  <c r="CR116" i="1"/>
  <c r="CQ116" i="1"/>
  <c r="CP116" i="1"/>
  <c r="CO116" i="1"/>
  <c r="CM116" i="1"/>
  <c r="CL116" i="1"/>
  <c r="CK116" i="1"/>
  <c r="CJ116" i="1"/>
  <c r="CI116" i="1"/>
  <c r="CH116" i="1"/>
  <c r="CG116" i="1"/>
  <c r="CE116" i="1"/>
  <c r="CD116" i="1"/>
  <c r="CC116" i="1"/>
  <c r="CB116" i="1"/>
  <c r="CA116" i="1"/>
  <c r="BZ116" i="1"/>
  <c r="BY116" i="1"/>
  <c r="BX116" i="1"/>
  <c r="BW116" i="1"/>
  <c r="DC115" i="1"/>
  <c r="CZ115" i="1"/>
  <c r="CY115" i="1"/>
  <c r="CW115" i="1"/>
  <c r="CU115" i="1"/>
  <c r="CT115" i="1"/>
  <c r="CS115" i="1"/>
  <c r="CR115" i="1"/>
  <c r="CQ115" i="1"/>
  <c r="CP115" i="1"/>
  <c r="CO115" i="1"/>
  <c r="CM115" i="1"/>
  <c r="CL115" i="1"/>
  <c r="CK115" i="1"/>
  <c r="CJ115" i="1"/>
  <c r="CI115" i="1"/>
  <c r="CH115" i="1"/>
  <c r="CG115" i="1"/>
  <c r="CE115" i="1"/>
  <c r="CD115" i="1"/>
  <c r="CC115" i="1"/>
  <c r="CB115" i="1"/>
  <c r="CA115" i="1"/>
  <c r="BZ115" i="1"/>
  <c r="BY115" i="1"/>
  <c r="BX115" i="1"/>
  <c r="BW115" i="1"/>
  <c r="DC114" i="1"/>
  <c r="CZ114" i="1"/>
  <c r="CY114" i="1"/>
  <c r="CW114" i="1"/>
  <c r="CU114" i="1"/>
  <c r="CT114" i="1"/>
  <c r="CS114" i="1"/>
  <c r="CR114" i="1"/>
  <c r="CQ114" i="1"/>
  <c r="CP114" i="1"/>
  <c r="CO114" i="1"/>
  <c r="CM114" i="1"/>
  <c r="CL114" i="1"/>
  <c r="CK114" i="1"/>
  <c r="CJ114" i="1"/>
  <c r="CI114" i="1"/>
  <c r="CH114" i="1"/>
  <c r="CG114" i="1"/>
  <c r="CE114" i="1"/>
  <c r="CD114" i="1"/>
  <c r="CC114" i="1"/>
  <c r="CB114" i="1"/>
  <c r="CA114" i="1"/>
  <c r="BZ114" i="1"/>
  <c r="BY114" i="1"/>
  <c r="BX114" i="1"/>
  <c r="BW114" i="1"/>
  <c r="DC113" i="1"/>
  <c r="CZ113" i="1"/>
  <c r="CY113" i="1"/>
  <c r="CW113" i="1"/>
  <c r="CU113" i="1"/>
  <c r="CT113" i="1"/>
  <c r="CS113" i="1"/>
  <c r="CR113" i="1"/>
  <c r="CQ113" i="1"/>
  <c r="CP113" i="1"/>
  <c r="CO113" i="1"/>
  <c r="CM113" i="1"/>
  <c r="CL113" i="1"/>
  <c r="CK113" i="1"/>
  <c r="CJ113" i="1"/>
  <c r="CI113" i="1"/>
  <c r="CH113" i="1"/>
  <c r="CG113" i="1"/>
  <c r="CE113" i="1"/>
  <c r="CD113" i="1"/>
  <c r="CC113" i="1"/>
  <c r="CB113" i="1"/>
  <c r="CA113" i="1"/>
  <c r="BZ113" i="1"/>
  <c r="BY113" i="1"/>
  <c r="BX113" i="1"/>
  <c r="BW113" i="1"/>
  <c r="DC112" i="1"/>
  <c r="CZ112" i="1"/>
  <c r="CY112" i="1"/>
  <c r="CW112" i="1"/>
  <c r="CU112" i="1"/>
  <c r="CT112" i="1"/>
  <c r="CS112" i="1"/>
  <c r="CR112" i="1"/>
  <c r="CQ112" i="1"/>
  <c r="CP112" i="1"/>
  <c r="CO112" i="1"/>
  <c r="CM112" i="1"/>
  <c r="CL112" i="1"/>
  <c r="CK112" i="1"/>
  <c r="CJ112" i="1"/>
  <c r="CI112" i="1"/>
  <c r="CH112" i="1"/>
  <c r="CG112" i="1"/>
  <c r="CE112" i="1"/>
  <c r="CD112" i="1"/>
  <c r="CC112" i="1"/>
  <c r="CB112" i="1"/>
  <c r="CA112" i="1"/>
  <c r="BZ112" i="1"/>
  <c r="BY112" i="1"/>
  <c r="BX112" i="1"/>
  <c r="BW112" i="1"/>
  <c r="DC111" i="1"/>
  <c r="CZ111" i="1"/>
  <c r="CY111" i="1"/>
  <c r="CW111" i="1"/>
  <c r="CU111" i="1"/>
  <c r="CT111" i="1"/>
  <c r="CS111" i="1"/>
  <c r="CR111" i="1"/>
  <c r="CQ111" i="1"/>
  <c r="CP111" i="1"/>
  <c r="CO111" i="1"/>
  <c r="CM111" i="1"/>
  <c r="CL111" i="1"/>
  <c r="CK111" i="1"/>
  <c r="CJ111" i="1"/>
  <c r="CI111" i="1"/>
  <c r="CH111" i="1"/>
  <c r="CG111" i="1"/>
  <c r="CE111" i="1"/>
  <c r="CD111" i="1"/>
  <c r="CC111" i="1"/>
  <c r="CB111" i="1"/>
  <c r="CA111" i="1"/>
  <c r="BZ111" i="1"/>
  <c r="BY111" i="1"/>
  <c r="BX111" i="1"/>
  <c r="BW111" i="1"/>
  <c r="DC110" i="1"/>
  <c r="CZ110" i="1"/>
  <c r="CY110" i="1"/>
  <c r="CW110" i="1"/>
  <c r="CU110" i="1"/>
  <c r="CT110" i="1"/>
  <c r="CS110" i="1"/>
  <c r="CR110" i="1"/>
  <c r="CQ110" i="1"/>
  <c r="CP110" i="1"/>
  <c r="CO110" i="1"/>
  <c r="CM110" i="1"/>
  <c r="CL110" i="1"/>
  <c r="CK110" i="1"/>
  <c r="CJ110" i="1"/>
  <c r="CI110" i="1"/>
  <c r="CH110" i="1"/>
  <c r="CG110" i="1"/>
  <c r="CE110" i="1"/>
  <c r="CD110" i="1"/>
  <c r="CC110" i="1"/>
  <c r="CB110" i="1"/>
  <c r="CA110" i="1"/>
  <c r="BZ110" i="1"/>
  <c r="BY110" i="1"/>
  <c r="BX110" i="1"/>
  <c r="BW110" i="1"/>
  <c r="DC109" i="1"/>
  <c r="CZ109" i="1"/>
  <c r="CY109" i="1"/>
  <c r="CW109" i="1"/>
  <c r="CU109" i="1"/>
  <c r="CT109" i="1"/>
  <c r="CS109" i="1"/>
  <c r="CR109" i="1"/>
  <c r="CQ109" i="1"/>
  <c r="CP109" i="1"/>
  <c r="CO109" i="1"/>
  <c r="CM109" i="1"/>
  <c r="CL109" i="1"/>
  <c r="CK109" i="1"/>
  <c r="CJ109" i="1"/>
  <c r="CI109" i="1"/>
  <c r="CH109" i="1"/>
  <c r="CG109" i="1"/>
  <c r="CE109" i="1"/>
  <c r="CD109" i="1"/>
  <c r="CC109" i="1"/>
  <c r="CB109" i="1"/>
  <c r="CA109" i="1"/>
  <c r="BZ109" i="1"/>
  <c r="BY109" i="1"/>
  <c r="BX109" i="1"/>
  <c r="BW109" i="1"/>
  <c r="DC108" i="1"/>
  <c r="CZ108" i="1"/>
  <c r="CY108" i="1"/>
  <c r="CW108" i="1"/>
  <c r="CU108" i="1"/>
  <c r="CT108" i="1"/>
  <c r="CS108" i="1"/>
  <c r="CR108" i="1"/>
  <c r="CQ108" i="1"/>
  <c r="CP108" i="1"/>
  <c r="CO108" i="1"/>
  <c r="CM108" i="1"/>
  <c r="CL108" i="1"/>
  <c r="CK108" i="1"/>
  <c r="CJ108" i="1"/>
  <c r="CI108" i="1"/>
  <c r="CH108" i="1"/>
  <c r="CG108" i="1"/>
  <c r="CE108" i="1"/>
  <c r="CD108" i="1"/>
  <c r="CC108" i="1"/>
  <c r="CB108" i="1"/>
  <c r="CA108" i="1"/>
  <c r="BZ108" i="1"/>
  <c r="BY108" i="1"/>
  <c r="BX108" i="1"/>
  <c r="BW108" i="1"/>
  <c r="DC107" i="1"/>
  <c r="CZ107" i="1"/>
  <c r="CY107" i="1"/>
  <c r="CW107" i="1"/>
  <c r="CU107" i="1"/>
  <c r="CT107" i="1"/>
  <c r="CS107" i="1"/>
  <c r="CR107" i="1"/>
  <c r="CQ107" i="1"/>
  <c r="CP107" i="1"/>
  <c r="CO107" i="1"/>
  <c r="CM107" i="1"/>
  <c r="CL107" i="1"/>
  <c r="CK107" i="1"/>
  <c r="CJ107" i="1"/>
  <c r="CI107" i="1"/>
  <c r="CH107" i="1"/>
  <c r="CG107" i="1"/>
  <c r="CE107" i="1"/>
  <c r="CD107" i="1"/>
  <c r="CC107" i="1"/>
  <c r="CB107" i="1"/>
  <c r="CA107" i="1"/>
  <c r="BZ107" i="1"/>
  <c r="BY107" i="1"/>
  <c r="BX107" i="1"/>
  <c r="BW107" i="1"/>
  <c r="DC106" i="1"/>
  <c r="CZ106" i="1"/>
  <c r="CY106" i="1"/>
  <c r="CW106" i="1"/>
  <c r="CU106" i="1"/>
  <c r="CT106" i="1"/>
  <c r="CS106" i="1"/>
  <c r="CR106" i="1"/>
  <c r="CQ106" i="1"/>
  <c r="CP106" i="1"/>
  <c r="CO106" i="1"/>
  <c r="CM106" i="1"/>
  <c r="CL106" i="1"/>
  <c r="CK106" i="1"/>
  <c r="CJ106" i="1"/>
  <c r="CI106" i="1"/>
  <c r="CH106" i="1"/>
  <c r="CG106" i="1"/>
  <c r="CE106" i="1"/>
  <c r="CD106" i="1"/>
  <c r="CC106" i="1"/>
  <c r="CB106" i="1"/>
  <c r="CA106" i="1"/>
  <c r="BZ106" i="1"/>
  <c r="BY106" i="1"/>
  <c r="BX106" i="1"/>
  <c r="BW106" i="1"/>
  <c r="DC105" i="1"/>
  <c r="CZ105" i="1"/>
  <c r="CY105" i="1"/>
  <c r="CW105" i="1"/>
  <c r="CU105" i="1"/>
  <c r="CT105" i="1"/>
  <c r="CS105" i="1"/>
  <c r="CR105" i="1"/>
  <c r="CQ105" i="1"/>
  <c r="CP105" i="1"/>
  <c r="CO105" i="1"/>
  <c r="CM105" i="1"/>
  <c r="CL105" i="1"/>
  <c r="CK105" i="1"/>
  <c r="CJ105" i="1"/>
  <c r="CI105" i="1"/>
  <c r="CH105" i="1"/>
  <c r="CG105" i="1"/>
  <c r="CE105" i="1"/>
  <c r="CD105" i="1"/>
  <c r="CC105" i="1"/>
  <c r="CB105" i="1"/>
  <c r="CA105" i="1"/>
  <c r="BZ105" i="1"/>
  <c r="BY105" i="1"/>
  <c r="BX105" i="1"/>
  <c r="BW105" i="1"/>
  <c r="DC104" i="1"/>
  <c r="CZ104" i="1"/>
  <c r="CY104" i="1"/>
  <c r="CW104" i="1"/>
  <c r="CU104" i="1"/>
  <c r="CT104" i="1"/>
  <c r="CS104" i="1"/>
  <c r="CR104" i="1"/>
  <c r="CQ104" i="1"/>
  <c r="CP104" i="1"/>
  <c r="CO104" i="1"/>
  <c r="CM104" i="1"/>
  <c r="CL104" i="1"/>
  <c r="CK104" i="1"/>
  <c r="CJ104" i="1"/>
  <c r="CI104" i="1"/>
  <c r="CH104" i="1"/>
  <c r="CG104" i="1"/>
  <c r="CE104" i="1"/>
  <c r="CD104" i="1"/>
  <c r="CC104" i="1"/>
  <c r="CB104" i="1"/>
  <c r="CA104" i="1"/>
  <c r="BZ104" i="1"/>
  <c r="BY104" i="1"/>
  <c r="BX104" i="1"/>
  <c r="BW104" i="1"/>
  <c r="DC103" i="1"/>
  <c r="CZ103" i="1"/>
  <c r="CY103" i="1"/>
  <c r="CW103" i="1"/>
  <c r="CU103" i="1"/>
  <c r="CT103" i="1"/>
  <c r="CS103" i="1"/>
  <c r="CR103" i="1"/>
  <c r="CQ103" i="1"/>
  <c r="CP103" i="1"/>
  <c r="CO103" i="1"/>
  <c r="CM103" i="1"/>
  <c r="CL103" i="1"/>
  <c r="CK103" i="1"/>
  <c r="CJ103" i="1"/>
  <c r="CI103" i="1"/>
  <c r="CH103" i="1"/>
  <c r="CG103" i="1"/>
  <c r="CE103" i="1"/>
  <c r="CD103" i="1"/>
  <c r="CC103" i="1"/>
  <c r="CB103" i="1"/>
  <c r="CA103" i="1"/>
  <c r="BZ103" i="1"/>
  <c r="BY103" i="1"/>
  <c r="BX103" i="1"/>
  <c r="BW103" i="1"/>
  <c r="DC102" i="1"/>
  <c r="CZ102" i="1"/>
  <c r="CY102" i="1"/>
  <c r="CW102" i="1"/>
  <c r="CU102" i="1"/>
  <c r="CT102" i="1"/>
  <c r="CS102" i="1"/>
  <c r="CR102" i="1"/>
  <c r="CQ102" i="1"/>
  <c r="CP102" i="1"/>
  <c r="CO102" i="1"/>
  <c r="CM102" i="1"/>
  <c r="CL102" i="1"/>
  <c r="CK102" i="1"/>
  <c r="CJ102" i="1"/>
  <c r="CI102" i="1"/>
  <c r="CH102" i="1"/>
  <c r="CG102" i="1"/>
  <c r="CE102" i="1"/>
  <c r="CD102" i="1"/>
  <c r="CC102" i="1"/>
  <c r="CB102" i="1"/>
  <c r="CA102" i="1"/>
  <c r="BZ102" i="1"/>
  <c r="BY102" i="1"/>
  <c r="BX102" i="1"/>
  <c r="BW102" i="1"/>
  <c r="DC101" i="1"/>
  <c r="CZ101" i="1"/>
  <c r="CY101" i="1"/>
  <c r="CW101" i="1"/>
  <c r="CU101" i="1"/>
  <c r="CT101" i="1"/>
  <c r="CS101" i="1"/>
  <c r="CR101" i="1"/>
  <c r="CQ101" i="1"/>
  <c r="CP101" i="1"/>
  <c r="CO101" i="1"/>
  <c r="CM101" i="1"/>
  <c r="CL101" i="1"/>
  <c r="CK101" i="1"/>
  <c r="CJ101" i="1"/>
  <c r="CI101" i="1"/>
  <c r="CH101" i="1"/>
  <c r="CG101" i="1"/>
  <c r="CE101" i="1"/>
  <c r="CD101" i="1"/>
  <c r="CC101" i="1"/>
  <c r="CB101" i="1"/>
  <c r="CA101" i="1"/>
  <c r="BZ101" i="1"/>
  <c r="BY101" i="1"/>
  <c r="BX101" i="1"/>
  <c r="BW101" i="1"/>
  <c r="DC100" i="1"/>
  <c r="CZ100" i="1"/>
  <c r="CY100" i="1"/>
  <c r="CW100" i="1"/>
  <c r="CU100" i="1"/>
  <c r="CT100" i="1"/>
  <c r="CS100" i="1"/>
  <c r="CR100" i="1"/>
  <c r="CQ100" i="1"/>
  <c r="CP100" i="1"/>
  <c r="CO100" i="1"/>
  <c r="CM100" i="1"/>
  <c r="CL100" i="1"/>
  <c r="CK100" i="1"/>
  <c r="CJ100" i="1"/>
  <c r="CI100" i="1"/>
  <c r="CH100" i="1"/>
  <c r="CG100" i="1"/>
  <c r="CE100" i="1"/>
  <c r="CD100" i="1"/>
  <c r="CC100" i="1"/>
  <c r="CB100" i="1"/>
  <c r="CA100" i="1"/>
  <c r="BZ100" i="1"/>
  <c r="BY100" i="1"/>
  <c r="BX100" i="1"/>
  <c r="BW100" i="1"/>
  <c r="DC99" i="1"/>
  <c r="CZ99" i="1"/>
  <c r="CY99" i="1"/>
  <c r="CW99" i="1"/>
  <c r="CU99" i="1"/>
  <c r="CT99" i="1"/>
  <c r="CS99" i="1"/>
  <c r="CR99" i="1"/>
  <c r="CQ99" i="1"/>
  <c r="CP99" i="1"/>
  <c r="CO99" i="1"/>
  <c r="CM99" i="1"/>
  <c r="CL99" i="1"/>
  <c r="CK99" i="1"/>
  <c r="CJ99" i="1"/>
  <c r="CI99" i="1"/>
  <c r="CH99" i="1"/>
  <c r="CG99" i="1"/>
  <c r="CE99" i="1"/>
  <c r="CD99" i="1"/>
  <c r="CC99" i="1"/>
  <c r="CB99" i="1"/>
  <c r="CA99" i="1"/>
  <c r="BZ99" i="1"/>
  <c r="BY99" i="1"/>
  <c r="BX99" i="1"/>
  <c r="BW99" i="1"/>
  <c r="DC98" i="1"/>
  <c r="CZ98" i="1"/>
  <c r="CY98" i="1"/>
  <c r="CW98" i="1"/>
  <c r="CU98" i="1"/>
  <c r="CT98" i="1"/>
  <c r="CS98" i="1"/>
  <c r="CR98" i="1"/>
  <c r="CQ98" i="1"/>
  <c r="CP98" i="1"/>
  <c r="CO98" i="1"/>
  <c r="CM98" i="1"/>
  <c r="CL98" i="1"/>
  <c r="CK98" i="1"/>
  <c r="CJ98" i="1"/>
  <c r="CI98" i="1"/>
  <c r="CH98" i="1"/>
  <c r="CG98" i="1"/>
  <c r="CE98" i="1"/>
  <c r="CD98" i="1"/>
  <c r="CC98" i="1"/>
  <c r="CB98" i="1"/>
  <c r="CA98" i="1"/>
  <c r="BZ98" i="1"/>
  <c r="BY98" i="1"/>
  <c r="BX98" i="1"/>
  <c r="BW98" i="1"/>
  <c r="DC97" i="1"/>
  <c r="CZ97" i="1"/>
  <c r="CY97" i="1"/>
  <c r="CW97" i="1"/>
  <c r="CU97" i="1"/>
  <c r="CT97" i="1"/>
  <c r="CS97" i="1"/>
  <c r="CR97" i="1"/>
  <c r="CQ97" i="1"/>
  <c r="CP97" i="1"/>
  <c r="CO97" i="1"/>
  <c r="CM97" i="1"/>
  <c r="CL97" i="1"/>
  <c r="CK97" i="1"/>
  <c r="CJ97" i="1"/>
  <c r="CI97" i="1"/>
  <c r="CH97" i="1"/>
  <c r="CG97" i="1"/>
  <c r="CE97" i="1"/>
  <c r="CD97" i="1"/>
  <c r="CC97" i="1"/>
  <c r="CB97" i="1"/>
  <c r="CA97" i="1"/>
  <c r="BZ97" i="1"/>
  <c r="BY97" i="1"/>
  <c r="BX97" i="1"/>
  <c r="BW97" i="1"/>
  <c r="DC96" i="1"/>
  <c r="CZ96" i="1"/>
  <c r="CY96" i="1"/>
  <c r="CW96" i="1"/>
  <c r="CU96" i="1"/>
  <c r="CT96" i="1"/>
  <c r="CS96" i="1"/>
  <c r="CR96" i="1"/>
  <c r="CQ96" i="1"/>
  <c r="CP96" i="1"/>
  <c r="CO96" i="1"/>
  <c r="CM96" i="1"/>
  <c r="CL96" i="1"/>
  <c r="CK96" i="1"/>
  <c r="CJ96" i="1"/>
  <c r="CI96" i="1"/>
  <c r="CH96" i="1"/>
  <c r="CG96" i="1"/>
  <c r="CE96" i="1"/>
  <c r="CD96" i="1"/>
  <c r="CC96" i="1"/>
  <c r="CB96" i="1"/>
  <c r="CA96" i="1"/>
  <c r="BZ96" i="1"/>
  <c r="BY96" i="1"/>
  <c r="BX96" i="1"/>
  <c r="BW96" i="1"/>
  <c r="DC95" i="1"/>
  <c r="CZ95" i="1"/>
  <c r="CY95" i="1"/>
  <c r="CW95" i="1"/>
  <c r="CU95" i="1"/>
  <c r="CT95" i="1"/>
  <c r="CS95" i="1"/>
  <c r="CR95" i="1"/>
  <c r="CQ95" i="1"/>
  <c r="CP95" i="1"/>
  <c r="CO95" i="1"/>
  <c r="CM95" i="1"/>
  <c r="CL95" i="1"/>
  <c r="CK95" i="1"/>
  <c r="CJ95" i="1"/>
  <c r="CI95" i="1"/>
  <c r="CH95" i="1"/>
  <c r="CG95" i="1"/>
  <c r="CE95" i="1"/>
  <c r="CD95" i="1"/>
  <c r="CC95" i="1"/>
  <c r="CB95" i="1"/>
  <c r="CA95" i="1"/>
  <c r="BZ95" i="1"/>
  <c r="BY95" i="1"/>
  <c r="BX95" i="1"/>
  <c r="BW95" i="1"/>
  <c r="DC94" i="1"/>
  <c r="CZ94" i="1"/>
  <c r="CY94" i="1"/>
  <c r="CW94" i="1"/>
  <c r="CU94" i="1"/>
  <c r="CT94" i="1"/>
  <c r="CS94" i="1"/>
  <c r="CR94" i="1"/>
  <c r="CQ94" i="1"/>
  <c r="CP94" i="1"/>
  <c r="CO94" i="1"/>
  <c r="CM94" i="1"/>
  <c r="CL94" i="1"/>
  <c r="CK94" i="1"/>
  <c r="CJ94" i="1"/>
  <c r="CI94" i="1"/>
  <c r="CH94" i="1"/>
  <c r="CG94" i="1"/>
  <c r="CE94" i="1"/>
  <c r="CD94" i="1"/>
  <c r="CC94" i="1"/>
  <c r="CB94" i="1"/>
  <c r="CA94" i="1"/>
  <c r="BZ94" i="1"/>
  <c r="BY94" i="1"/>
  <c r="BX94" i="1"/>
  <c r="BW94" i="1"/>
  <c r="DC93" i="1"/>
  <c r="CZ93" i="1"/>
  <c r="CY93" i="1"/>
  <c r="CW93" i="1"/>
  <c r="CU93" i="1"/>
  <c r="CT93" i="1"/>
  <c r="CS93" i="1"/>
  <c r="CR93" i="1"/>
  <c r="CQ93" i="1"/>
  <c r="CP93" i="1"/>
  <c r="CO93" i="1"/>
  <c r="CM93" i="1"/>
  <c r="CL93" i="1"/>
  <c r="CK93" i="1"/>
  <c r="CJ93" i="1"/>
  <c r="CI93" i="1"/>
  <c r="CH93" i="1"/>
  <c r="CG93" i="1"/>
  <c r="CE93" i="1"/>
  <c r="CD93" i="1"/>
  <c r="CC93" i="1"/>
  <c r="CB93" i="1"/>
  <c r="CA93" i="1"/>
  <c r="BZ93" i="1"/>
  <c r="BY93" i="1"/>
  <c r="BX93" i="1"/>
  <c r="BW93" i="1"/>
  <c r="DC92" i="1"/>
  <c r="CZ92" i="1"/>
  <c r="CY92" i="1"/>
  <c r="CW92" i="1"/>
  <c r="CU92" i="1"/>
  <c r="CT92" i="1"/>
  <c r="CS92" i="1"/>
  <c r="CR92" i="1"/>
  <c r="CQ92" i="1"/>
  <c r="CP92" i="1"/>
  <c r="CO92" i="1"/>
  <c r="CM92" i="1"/>
  <c r="CL92" i="1"/>
  <c r="CK92" i="1"/>
  <c r="CJ92" i="1"/>
  <c r="CI92" i="1"/>
  <c r="CH92" i="1"/>
  <c r="CG92" i="1"/>
  <c r="CE92" i="1"/>
  <c r="CD92" i="1"/>
  <c r="CC92" i="1"/>
  <c r="CB92" i="1"/>
  <c r="CA92" i="1"/>
  <c r="BZ92" i="1"/>
  <c r="BY92" i="1"/>
  <c r="BX92" i="1"/>
  <c r="BW92" i="1"/>
  <c r="DC91" i="1"/>
  <c r="CZ91" i="1"/>
  <c r="CY91" i="1"/>
  <c r="CW91" i="1"/>
  <c r="CU91" i="1"/>
  <c r="CT91" i="1"/>
  <c r="CS91" i="1"/>
  <c r="CR91" i="1"/>
  <c r="CQ91" i="1"/>
  <c r="CP91" i="1"/>
  <c r="CO91" i="1"/>
  <c r="CM91" i="1"/>
  <c r="CL91" i="1"/>
  <c r="CK91" i="1"/>
  <c r="CJ91" i="1"/>
  <c r="CI91" i="1"/>
  <c r="CH91" i="1"/>
  <c r="CG91" i="1"/>
  <c r="CE91" i="1"/>
  <c r="CD91" i="1"/>
  <c r="CC91" i="1"/>
  <c r="CB91" i="1"/>
  <c r="CA91" i="1"/>
  <c r="BZ91" i="1"/>
  <c r="BY91" i="1"/>
  <c r="BX91" i="1"/>
  <c r="BW91" i="1"/>
  <c r="DC90" i="1"/>
  <c r="CZ90" i="1"/>
  <c r="CY90" i="1"/>
  <c r="CW90" i="1"/>
  <c r="CU90" i="1"/>
  <c r="CT90" i="1"/>
  <c r="CS90" i="1"/>
  <c r="CR90" i="1"/>
  <c r="CQ90" i="1"/>
  <c r="CP90" i="1"/>
  <c r="CO90" i="1"/>
  <c r="CM90" i="1"/>
  <c r="CL90" i="1"/>
  <c r="CK90" i="1"/>
  <c r="CJ90" i="1"/>
  <c r="CI90" i="1"/>
  <c r="CH90" i="1"/>
  <c r="CG90" i="1"/>
  <c r="CE90" i="1"/>
  <c r="CD90" i="1"/>
  <c r="CC90" i="1"/>
  <c r="CB90" i="1"/>
  <c r="CA90" i="1"/>
  <c r="BZ90" i="1"/>
  <c r="BY90" i="1"/>
  <c r="BX90" i="1"/>
  <c r="BW90" i="1"/>
  <c r="DC89" i="1"/>
  <c r="CZ89" i="1"/>
  <c r="CY89" i="1"/>
  <c r="CW89" i="1"/>
  <c r="CU89" i="1"/>
  <c r="CT89" i="1"/>
  <c r="CS89" i="1"/>
  <c r="CR89" i="1"/>
  <c r="CQ89" i="1"/>
  <c r="CP89" i="1"/>
  <c r="CO89" i="1"/>
  <c r="CM89" i="1"/>
  <c r="CL89" i="1"/>
  <c r="CK89" i="1"/>
  <c r="CJ89" i="1"/>
  <c r="CI89" i="1"/>
  <c r="CH89" i="1"/>
  <c r="CG89" i="1"/>
  <c r="CE89" i="1"/>
  <c r="CD89" i="1"/>
  <c r="CC89" i="1"/>
  <c r="CB89" i="1"/>
  <c r="CA89" i="1"/>
  <c r="BZ89" i="1"/>
  <c r="BY89" i="1"/>
  <c r="BX89" i="1"/>
  <c r="BW89" i="1"/>
  <c r="DC88" i="1"/>
  <c r="CZ88" i="1"/>
  <c r="CY88" i="1"/>
  <c r="CW88" i="1"/>
  <c r="CU88" i="1"/>
  <c r="CT88" i="1"/>
  <c r="CS88" i="1"/>
  <c r="CR88" i="1"/>
  <c r="CQ88" i="1"/>
  <c r="CP88" i="1"/>
  <c r="CO88" i="1"/>
  <c r="CM88" i="1"/>
  <c r="CL88" i="1"/>
  <c r="CK88" i="1"/>
  <c r="CJ88" i="1"/>
  <c r="CI88" i="1"/>
  <c r="CH88" i="1"/>
  <c r="CG88" i="1"/>
  <c r="CE88" i="1"/>
  <c r="CD88" i="1"/>
  <c r="CC88" i="1"/>
  <c r="CB88" i="1"/>
  <c r="CA88" i="1"/>
  <c r="BZ88" i="1"/>
  <c r="BY88" i="1"/>
  <c r="BX88" i="1"/>
  <c r="BW88" i="1"/>
  <c r="DC87" i="1"/>
  <c r="CZ87" i="1"/>
  <c r="CY87" i="1"/>
  <c r="CW87" i="1"/>
  <c r="CU87" i="1"/>
  <c r="CT87" i="1"/>
  <c r="CS87" i="1"/>
  <c r="CR87" i="1"/>
  <c r="CQ87" i="1"/>
  <c r="CP87" i="1"/>
  <c r="CO87" i="1"/>
  <c r="CM87" i="1"/>
  <c r="CL87" i="1"/>
  <c r="CK87" i="1"/>
  <c r="CJ87" i="1"/>
  <c r="CI87" i="1"/>
  <c r="CH87" i="1"/>
  <c r="CG87" i="1"/>
  <c r="CE87" i="1"/>
  <c r="CD87" i="1"/>
  <c r="CC87" i="1"/>
  <c r="CB87" i="1"/>
  <c r="CA87" i="1"/>
  <c r="BZ87" i="1"/>
  <c r="BY87" i="1"/>
  <c r="BX87" i="1"/>
  <c r="BW87" i="1"/>
  <c r="DC86" i="1"/>
  <c r="CZ86" i="1"/>
  <c r="CY86" i="1"/>
  <c r="CW86" i="1"/>
  <c r="CU86" i="1"/>
  <c r="CT86" i="1"/>
  <c r="CS86" i="1"/>
  <c r="CR86" i="1"/>
  <c r="CQ86" i="1"/>
  <c r="CP86" i="1"/>
  <c r="CO86" i="1"/>
  <c r="CM86" i="1"/>
  <c r="CL86" i="1"/>
  <c r="CK86" i="1"/>
  <c r="CJ86" i="1"/>
  <c r="CI86" i="1"/>
  <c r="CH86" i="1"/>
  <c r="CG86" i="1"/>
  <c r="CE86" i="1"/>
  <c r="CD86" i="1"/>
  <c r="CC86" i="1"/>
  <c r="CB86" i="1"/>
  <c r="CA86" i="1"/>
  <c r="BZ86" i="1"/>
  <c r="BY86" i="1"/>
  <c r="BX86" i="1"/>
  <c r="BW86" i="1"/>
  <c r="DC85" i="1"/>
  <c r="CZ85" i="1"/>
  <c r="CY85" i="1"/>
  <c r="CW85" i="1"/>
  <c r="CU85" i="1"/>
  <c r="CT85" i="1"/>
  <c r="CS85" i="1"/>
  <c r="CR85" i="1"/>
  <c r="CQ85" i="1"/>
  <c r="CP85" i="1"/>
  <c r="CO85" i="1"/>
  <c r="CM85" i="1"/>
  <c r="CL85" i="1"/>
  <c r="CK85" i="1"/>
  <c r="CJ85" i="1"/>
  <c r="CI85" i="1"/>
  <c r="CH85" i="1"/>
  <c r="CG85" i="1"/>
  <c r="CE85" i="1"/>
  <c r="CD85" i="1"/>
  <c r="CC85" i="1"/>
  <c r="CB85" i="1"/>
  <c r="CA85" i="1"/>
  <c r="BZ85" i="1"/>
  <c r="BY85" i="1"/>
  <c r="BX85" i="1"/>
  <c r="BW85" i="1"/>
  <c r="DC84" i="1"/>
  <c r="CZ84" i="1"/>
  <c r="CY84" i="1"/>
  <c r="CW84" i="1"/>
  <c r="CU84" i="1"/>
  <c r="CT84" i="1"/>
  <c r="CS84" i="1"/>
  <c r="CR84" i="1"/>
  <c r="CQ84" i="1"/>
  <c r="CP84" i="1"/>
  <c r="CO84" i="1"/>
  <c r="CM84" i="1"/>
  <c r="CL84" i="1"/>
  <c r="CK84" i="1"/>
  <c r="CJ84" i="1"/>
  <c r="CI84" i="1"/>
  <c r="CH84" i="1"/>
  <c r="CG84" i="1"/>
  <c r="CE84" i="1"/>
  <c r="CD84" i="1"/>
  <c r="CC84" i="1"/>
  <c r="CB84" i="1"/>
  <c r="CA84" i="1"/>
  <c r="BZ84" i="1"/>
  <c r="BY84" i="1"/>
  <c r="BX84" i="1"/>
  <c r="BW84" i="1"/>
  <c r="DC83" i="1"/>
  <c r="CZ83" i="1"/>
  <c r="CY83" i="1"/>
  <c r="CW83" i="1"/>
  <c r="CU83" i="1"/>
  <c r="CT83" i="1"/>
  <c r="CS83" i="1"/>
  <c r="CR83" i="1"/>
  <c r="CQ83" i="1"/>
  <c r="CP83" i="1"/>
  <c r="CO83" i="1"/>
  <c r="CM83" i="1"/>
  <c r="CL83" i="1"/>
  <c r="CK83" i="1"/>
  <c r="CJ83" i="1"/>
  <c r="CI83" i="1"/>
  <c r="CH83" i="1"/>
  <c r="CG83" i="1"/>
  <c r="CE83" i="1"/>
  <c r="CD83" i="1"/>
  <c r="CC83" i="1"/>
  <c r="CB83" i="1"/>
  <c r="CA83" i="1"/>
  <c r="BZ83" i="1"/>
  <c r="BY83" i="1"/>
  <c r="BX83" i="1"/>
  <c r="BW83" i="1"/>
  <c r="DC82" i="1"/>
  <c r="CZ82" i="1"/>
  <c r="CY82" i="1"/>
  <c r="CW82" i="1"/>
  <c r="CU82" i="1"/>
  <c r="CT82" i="1"/>
  <c r="CS82" i="1"/>
  <c r="CR82" i="1"/>
  <c r="CQ82" i="1"/>
  <c r="CP82" i="1"/>
  <c r="CO82" i="1"/>
  <c r="CM82" i="1"/>
  <c r="CL82" i="1"/>
  <c r="CK82" i="1"/>
  <c r="CJ82" i="1"/>
  <c r="CI82" i="1"/>
  <c r="CH82" i="1"/>
  <c r="CG82" i="1"/>
  <c r="CE82" i="1"/>
  <c r="CD82" i="1"/>
  <c r="CC82" i="1"/>
  <c r="CB82" i="1"/>
  <c r="CA82" i="1"/>
  <c r="BZ82" i="1"/>
  <c r="BY82" i="1"/>
  <c r="BX82" i="1"/>
  <c r="BW82" i="1"/>
  <c r="DC81" i="1"/>
  <c r="CZ81" i="1"/>
  <c r="CY81" i="1"/>
  <c r="CW81" i="1"/>
  <c r="CU81" i="1"/>
  <c r="CT81" i="1"/>
  <c r="CS81" i="1"/>
  <c r="CR81" i="1"/>
  <c r="CQ81" i="1"/>
  <c r="CP81" i="1"/>
  <c r="CO81" i="1"/>
  <c r="CM81" i="1"/>
  <c r="CL81" i="1"/>
  <c r="CK81" i="1"/>
  <c r="CJ81" i="1"/>
  <c r="CI81" i="1"/>
  <c r="CH81" i="1"/>
  <c r="CG81" i="1"/>
  <c r="CE81" i="1"/>
  <c r="CD81" i="1"/>
  <c r="CC81" i="1"/>
  <c r="CB81" i="1"/>
  <c r="CA81" i="1"/>
  <c r="BZ81" i="1"/>
  <c r="BY81" i="1"/>
  <c r="BX81" i="1"/>
  <c r="BW81" i="1"/>
  <c r="DC80" i="1"/>
  <c r="CZ80" i="1"/>
  <c r="CY80" i="1"/>
  <c r="CW80" i="1"/>
  <c r="CU80" i="1"/>
  <c r="CT80" i="1"/>
  <c r="CS80" i="1"/>
  <c r="CR80" i="1"/>
  <c r="CQ80" i="1"/>
  <c r="CP80" i="1"/>
  <c r="CO80" i="1"/>
  <c r="CM80" i="1"/>
  <c r="CL80" i="1"/>
  <c r="CK80" i="1"/>
  <c r="CJ80" i="1"/>
  <c r="CI80" i="1"/>
  <c r="CH80" i="1"/>
  <c r="CG80" i="1"/>
  <c r="CE80" i="1"/>
  <c r="CD80" i="1"/>
  <c r="CC80" i="1"/>
  <c r="CB80" i="1"/>
  <c r="CA80" i="1"/>
  <c r="BZ80" i="1"/>
  <c r="BY80" i="1"/>
  <c r="BX80" i="1"/>
  <c r="BW80" i="1"/>
  <c r="DC79" i="1"/>
  <c r="CZ79" i="1"/>
  <c r="CY79" i="1"/>
  <c r="CW79" i="1"/>
  <c r="CU79" i="1"/>
  <c r="CT79" i="1"/>
  <c r="CS79" i="1"/>
  <c r="CR79" i="1"/>
  <c r="CQ79" i="1"/>
  <c r="CP79" i="1"/>
  <c r="CO79" i="1"/>
  <c r="CM79" i="1"/>
  <c r="CL79" i="1"/>
  <c r="CK79" i="1"/>
  <c r="CJ79" i="1"/>
  <c r="CI79" i="1"/>
  <c r="CH79" i="1"/>
  <c r="CG79" i="1"/>
  <c r="CE79" i="1"/>
  <c r="CD79" i="1"/>
  <c r="CC79" i="1"/>
  <c r="CB79" i="1"/>
  <c r="CA79" i="1"/>
  <c r="BZ79" i="1"/>
  <c r="BY79" i="1"/>
  <c r="BX79" i="1"/>
  <c r="BW79" i="1"/>
  <c r="DC78" i="1"/>
  <c r="CZ78" i="1"/>
  <c r="CY78" i="1"/>
  <c r="CW78" i="1"/>
  <c r="CU78" i="1"/>
  <c r="CT78" i="1"/>
  <c r="CS78" i="1"/>
  <c r="CR78" i="1"/>
  <c r="CQ78" i="1"/>
  <c r="CP78" i="1"/>
  <c r="CO78" i="1"/>
  <c r="CM78" i="1"/>
  <c r="CL78" i="1"/>
  <c r="CK78" i="1"/>
  <c r="CJ78" i="1"/>
  <c r="CI78" i="1"/>
  <c r="CH78" i="1"/>
  <c r="CG78" i="1"/>
  <c r="CE78" i="1"/>
  <c r="CD78" i="1"/>
  <c r="CC78" i="1"/>
  <c r="CB78" i="1"/>
  <c r="CA78" i="1"/>
  <c r="BZ78" i="1"/>
  <c r="BY78" i="1"/>
  <c r="BX78" i="1"/>
  <c r="BW78" i="1"/>
  <c r="DC77" i="1"/>
  <c r="CZ77" i="1"/>
  <c r="CY77" i="1"/>
  <c r="CW77" i="1"/>
  <c r="CU77" i="1"/>
  <c r="CT77" i="1"/>
  <c r="CS77" i="1"/>
  <c r="CR77" i="1"/>
  <c r="CQ77" i="1"/>
  <c r="CP77" i="1"/>
  <c r="CO77" i="1"/>
  <c r="CM77" i="1"/>
  <c r="CL77" i="1"/>
  <c r="CK77" i="1"/>
  <c r="CJ77" i="1"/>
  <c r="CI77" i="1"/>
  <c r="CH77" i="1"/>
  <c r="CG77" i="1"/>
  <c r="CE77" i="1"/>
  <c r="CD77" i="1"/>
  <c r="CC77" i="1"/>
  <c r="CB77" i="1"/>
  <c r="CA77" i="1"/>
  <c r="BZ77" i="1"/>
  <c r="BY77" i="1"/>
  <c r="BX77" i="1"/>
  <c r="BW77" i="1"/>
  <c r="DC76" i="1"/>
  <c r="CZ76" i="1"/>
  <c r="CY76" i="1"/>
  <c r="CW76" i="1"/>
  <c r="CU76" i="1"/>
  <c r="CT76" i="1"/>
  <c r="CS76" i="1"/>
  <c r="CR76" i="1"/>
  <c r="CQ76" i="1"/>
  <c r="CP76" i="1"/>
  <c r="CO76" i="1"/>
  <c r="CM76" i="1"/>
  <c r="CL76" i="1"/>
  <c r="CK76" i="1"/>
  <c r="CJ76" i="1"/>
  <c r="CI76" i="1"/>
  <c r="CH76" i="1"/>
  <c r="CG76" i="1"/>
  <c r="CE76" i="1"/>
  <c r="CD76" i="1"/>
  <c r="CC76" i="1"/>
  <c r="CB76" i="1"/>
  <c r="CA76" i="1"/>
  <c r="BZ76" i="1"/>
  <c r="BY76" i="1"/>
  <c r="BX76" i="1"/>
  <c r="BW76" i="1"/>
  <c r="DC75" i="1"/>
  <c r="CZ75" i="1"/>
  <c r="CY75" i="1"/>
  <c r="CW75" i="1"/>
  <c r="CU75" i="1"/>
  <c r="CT75" i="1"/>
  <c r="CS75" i="1"/>
  <c r="CR75" i="1"/>
  <c r="CQ75" i="1"/>
  <c r="CP75" i="1"/>
  <c r="CO75" i="1"/>
  <c r="CM75" i="1"/>
  <c r="CL75" i="1"/>
  <c r="CK75" i="1"/>
  <c r="CJ75" i="1"/>
  <c r="CI75" i="1"/>
  <c r="CH75" i="1"/>
  <c r="CG75" i="1"/>
  <c r="CE75" i="1"/>
  <c r="CD75" i="1"/>
  <c r="CC75" i="1"/>
  <c r="CB75" i="1"/>
  <c r="CA75" i="1"/>
  <c r="BZ75" i="1"/>
  <c r="BY75" i="1"/>
  <c r="BX75" i="1"/>
  <c r="BW75" i="1"/>
  <c r="DC74" i="1"/>
  <c r="CZ74" i="1"/>
  <c r="CY74" i="1"/>
  <c r="CW74" i="1"/>
  <c r="CU74" i="1"/>
  <c r="CT74" i="1"/>
  <c r="CS74" i="1"/>
  <c r="CR74" i="1"/>
  <c r="CQ74" i="1"/>
  <c r="CP74" i="1"/>
  <c r="CO74" i="1"/>
  <c r="CM74" i="1"/>
  <c r="CL74" i="1"/>
  <c r="CK74" i="1"/>
  <c r="CJ74" i="1"/>
  <c r="CI74" i="1"/>
  <c r="CH74" i="1"/>
  <c r="CG74" i="1"/>
  <c r="CE74" i="1"/>
  <c r="CD74" i="1"/>
  <c r="CC74" i="1"/>
  <c r="CB74" i="1"/>
  <c r="CA74" i="1"/>
  <c r="BZ74" i="1"/>
  <c r="BY74" i="1"/>
  <c r="BX74" i="1"/>
  <c r="BW74" i="1"/>
  <c r="DC73" i="1"/>
  <c r="CZ73" i="1"/>
  <c r="CY73" i="1"/>
  <c r="CW73" i="1"/>
  <c r="CU73" i="1"/>
  <c r="CT73" i="1"/>
  <c r="CS73" i="1"/>
  <c r="CR73" i="1"/>
  <c r="CQ73" i="1"/>
  <c r="CP73" i="1"/>
  <c r="CO73" i="1"/>
  <c r="CM73" i="1"/>
  <c r="CL73" i="1"/>
  <c r="CK73" i="1"/>
  <c r="CJ73" i="1"/>
  <c r="CI73" i="1"/>
  <c r="CH73" i="1"/>
  <c r="CG73" i="1"/>
  <c r="CE73" i="1"/>
  <c r="CD73" i="1"/>
  <c r="CC73" i="1"/>
  <c r="CB73" i="1"/>
  <c r="CA73" i="1"/>
  <c r="BZ73" i="1"/>
  <c r="BY73" i="1"/>
  <c r="BX73" i="1"/>
  <c r="BW73" i="1"/>
  <c r="DC72" i="1"/>
  <c r="CZ72" i="1"/>
  <c r="CY72" i="1"/>
  <c r="CW72" i="1"/>
  <c r="CU72" i="1"/>
  <c r="CT72" i="1"/>
  <c r="CS72" i="1"/>
  <c r="CR72" i="1"/>
  <c r="CQ72" i="1"/>
  <c r="CP72" i="1"/>
  <c r="CO72" i="1"/>
  <c r="CM72" i="1"/>
  <c r="CL72" i="1"/>
  <c r="CK72" i="1"/>
  <c r="CJ72" i="1"/>
  <c r="CI72" i="1"/>
  <c r="CH72" i="1"/>
  <c r="CG72" i="1"/>
  <c r="CE72" i="1"/>
  <c r="CD72" i="1"/>
  <c r="CC72" i="1"/>
  <c r="CB72" i="1"/>
  <c r="CA72" i="1"/>
  <c r="BZ72" i="1"/>
  <c r="BY72" i="1"/>
  <c r="BX72" i="1"/>
  <c r="BW72" i="1"/>
  <c r="DC71" i="1"/>
  <c r="CZ71" i="1"/>
  <c r="CY71" i="1"/>
  <c r="CW71" i="1"/>
  <c r="CU71" i="1"/>
  <c r="CT71" i="1"/>
  <c r="CS71" i="1"/>
  <c r="CR71" i="1"/>
  <c r="CQ71" i="1"/>
  <c r="CP71" i="1"/>
  <c r="CO71" i="1"/>
  <c r="CM71" i="1"/>
  <c r="CL71" i="1"/>
  <c r="CK71" i="1"/>
  <c r="CJ71" i="1"/>
  <c r="CI71" i="1"/>
  <c r="CH71" i="1"/>
  <c r="CG71" i="1"/>
  <c r="CE71" i="1"/>
  <c r="CD71" i="1"/>
  <c r="CC71" i="1"/>
  <c r="CB71" i="1"/>
  <c r="CA71" i="1"/>
  <c r="BZ71" i="1"/>
  <c r="BY71" i="1"/>
  <c r="BX71" i="1"/>
  <c r="BW71" i="1"/>
  <c r="DC70" i="1"/>
  <c r="CZ70" i="1"/>
  <c r="CY70" i="1"/>
  <c r="CW70" i="1"/>
  <c r="CU70" i="1"/>
  <c r="CT70" i="1"/>
  <c r="CS70" i="1"/>
  <c r="CR70" i="1"/>
  <c r="CQ70" i="1"/>
  <c r="CP70" i="1"/>
  <c r="CO70" i="1"/>
  <c r="CM70" i="1"/>
  <c r="CL70" i="1"/>
  <c r="CK70" i="1"/>
  <c r="CJ70" i="1"/>
  <c r="CI70" i="1"/>
  <c r="CH70" i="1"/>
  <c r="CG70" i="1"/>
  <c r="CE70" i="1"/>
  <c r="CD70" i="1"/>
  <c r="CC70" i="1"/>
  <c r="CB70" i="1"/>
  <c r="CA70" i="1"/>
  <c r="BZ70" i="1"/>
  <c r="BY70" i="1"/>
  <c r="BX70" i="1"/>
  <c r="BW70" i="1"/>
  <c r="DC69" i="1"/>
  <c r="CZ69" i="1"/>
  <c r="CY69" i="1"/>
  <c r="CW69" i="1"/>
  <c r="CU69" i="1"/>
  <c r="CT69" i="1"/>
  <c r="CS69" i="1"/>
  <c r="CR69" i="1"/>
  <c r="CQ69" i="1"/>
  <c r="CP69" i="1"/>
  <c r="CO69" i="1"/>
  <c r="CM69" i="1"/>
  <c r="CL69" i="1"/>
  <c r="CK69" i="1"/>
  <c r="CJ69" i="1"/>
  <c r="CI69" i="1"/>
  <c r="CH69" i="1"/>
  <c r="CG69" i="1"/>
  <c r="CE69" i="1"/>
  <c r="CD69" i="1"/>
  <c r="CC69" i="1"/>
  <c r="CB69" i="1"/>
  <c r="CA69" i="1"/>
  <c r="BZ69" i="1"/>
  <c r="BY69" i="1"/>
  <c r="BX69" i="1"/>
  <c r="BW69" i="1"/>
  <c r="DC68" i="1"/>
  <c r="CZ68" i="1"/>
  <c r="CY68" i="1"/>
  <c r="CW68" i="1"/>
  <c r="CU68" i="1"/>
  <c r="CT68" i="1"/>
  <c r="CS68" i="1"/>
  <c r="CR68" i="1"/>
  <c r="CQ68" i="1"/>
  <c r="CP68" i="1"/>
  <c r="CO68" i="1"/>
  <c r="CM68" i="1"/>
  <c r="CL68" i="1"/>
  <c r="CK68" i="1"/>
  <c r="CJ68" i="1"/>
  <c r="CI68" i="1"/>
  <c r="CH68" i="1"/>
  <c r="CG68" i="1"/>
  <c r="CE68" i="1"/>
  <c r="CD68" i="1"/>
  <c r="CC68" i="1"/>
  <c r="CB68" i="1"/>
  <c r="CA68" i="1"/>
  <c r="BZ68" i="1"/>
  <c r="BY68" i="1"/>
  <c r="BX68" i="1"/>
  <c r="BW68" i="1"/>
  <c r="DC67" i="1"/>
  <c r="CZ67" i="1"/>
  <c r="CY67" i="1"/>
  <c r="CW67" i="1"/>
  <c r="CU67" i="1"/>
  <c r="CT67" i="1"/>
  <c r="CS67" i="1"/>
  <c r="CR67" i="1"/>
  <c r="CQ67" i="1"/>
  <c r="CP67" i="1"/>
  <c r="CO67" i="1"/>
  <c r="CM67" i="1"/>
  <c r="CL67" i="1"/>
  <c r="CK67" i="1"/>
  <c r="CJ67" i="1"/>
  <c r="CI67" i="1"/>
  <c r="CH67" i="1"/>
  <c r="CG67" i="1"/>
  <c r="CE67" i="1"/>
  <c r="CD67" i="1"/>
  <c r="CC67" i="1"/>
  <c r="CB67" i="1"/>
  <c r="CA67" i="1"/>
  <c r="BZ67" i="1"/>
  <c r="BY67" i="1"/>
  <c r="BX67" i="1"/>
  <c r="BW67" i="1"/>
  <c r="DC66" i="1"/>
  <c r="CZ66" i="1"/>
  <c r="CY66" i="1"/>
  <c r="CW66" i="1"/>
  <c r="CU66" i="1"/>
  <c r="CT66" i="1"/>
  <c r="CS66" i="1"/>
  <c r="CR66" i="1"/>
  <c r="CQ66" i="1"/>
  <c r="CP66" i="1"/>
  <c r="CO66" i="1"/>
  <c r="CM66" i="1"/>
  <c r="CL66" i="1"/>
  <c r="CK66" i="1"/>
  <c r="CJ66" i="1"/>
  <c r="CI66" i="1"/>
  <c r="CH66" i="1"/>
  <c r="CG66" i="1"/>
  <c r="CE66" i="1"/>
  <c r="CD66" i="1"/>
  <c r="CC66" i="1"/>
  <c r="CB66" i="1"/>
  <c r="CA66" i="1"/>
  <c r="BZ66" i="1"/>
  <c r="BY66" i="1"/>
  <c r="BX66" i="1"/>
  <c r="BW66" i="1"/>
  <c r="DC65" i="1"/>
  <c r="CZ65" i="1"/>
  <c r="CY65" i="1"/>
  <c r="CW65" i="1"/>
  <c r="CU65" i="1"/>
  <c r="CT65" i="1"/>
  <c r="CS65" i="1"/>
  <c r="CR65" i="1"/>
  <c r="CQ65" i="1"/>
  <c r="CP65" i="1"/>
  <c r="CO65" i="1"/>
  <c r="CM65" i="1"/>
  <c r="CL65" i="1"/>
  <c r="CK65" i="1"/>
  <c r="CJ65" i="1"/>
  <c r="CI65" i="1"/>
  <c r="CH65" i="1"/>
  <c r="CG65" i="1"/>
  <c r="CE65" i="1"/>
  <c r="CD65" i="1"/>
  <c r="CC65" i="1"/>
  <c r="CB65" i="1"/>
  <c r="CA65" i="1"/>
  <c r="BZ65" i="1"/>
  <c r="BY65" i="1"/>
  <c r="BX65" i="1"/>
  <c r="BW65" i="1"/>
  <c r="DC64" i="1"/>
  <c r="CZ64" i="1"/>
  <c r="CY64" i="1"/>
  <c r="CW64" i="1"/>
  <c r="CU64" i="1"/>
  <c r="CT64" i="1"/>
  <c r="CS64" i="1"/>
  <c r="CR64" i="1"/>
  <c r="CQ64" i="1"/>
  <c r="CP64" i="1"/>
  <c r="CO64" i="1"/>
  <c r="CM64" i="1"/>
  <c r="CL64" i="1"/>
  <c r="CK64" i="1"/>
  <c r="CJ64" i="1"/>
  <c r="CI64" i="1"/>
  <c r="CH64" i="1"/>
  <c r="CG64" i="1"/>
  <c r="CE64" i="1"/>
  <c r="CD64" i="1"/>
  <c r="CC64" i="1"/>
  <c r="CB64" i="1"/>
  <c r="CA64" i="1"/>
  <c r="BZ64" i="1"/>
  <c r="BY64" i="1"/>
  <c r="BX64" i="1"/>
  <c r="BW64" i="1"/>
  <c r="DC63" i="1"/>
  <c r="CZ63" i="1"/>
  <c r="CY63" i="1"/>
  <c r="CW63" i="1"/>
  <c r="CU63" i="1"/>
  <c r="CT63" i="1"/>
  <c r="CS63" i="1"/>
  <c r="CR63" i="1"/>
  <c r="CQ63" i="1"/>
  <c r="CP63" i="1"/>
  <c r="CO63" i="1"/>
  <c r="CM63" i="1"/>
  <c r="CL63" i="1"/>
  <c r="CK63" i="1"/>
  <c r="CJ63" i="1"/>
  <c r="CI63" i="1"/>
  <c r="CH63" i="1"/>
  <c r="CG63" i="1"/>
  <c r="CE63" i="1"/>
  <c r="CD63" i="1"/>
  <c r="CC63" i="1"/>
  <c r="CB63" i="1"/>
  <c r="CA63" i="1"/>
  <c r="BZ63" i="1"/>
  <c r="BY63" i="1"/>
  <c r="BX63" i="1"/>
  <c r="BW63" i="1"/>
  <c r="DC62" i="1"/>
  <c r="CZ62" i="1"/>
  <c r="CY62" i="1"/>
  <c r="CW62" i="1"/>
  <c r="CU62" i="1"/>
  <c r="CT62" i="1"/>
  <c r="CS62" i="1"/>
  <c r="CR62" i="1"/>
  <c r="CQ62" i="1"/>
  <c r="CP62" i="1"/>
  <c r="CO62" i="1"/>
  <c r="CM62" i="1"/>
  <c r="CL62" i="1"/>
  <c r="CK62" i="1"/>
  <c r="CJ62" i="1"/>
  <c r="CI62" i="1"/>
  <c r="CH62" i="1"/>
  <c r="CG62" i="1"/>
  <c r="CE62" i="1"/>
  <c r="CD62" i="1"/>
  <c r="CC62" i="1"/>
  <c r="CB62" i="1"/>
  <c r="CA62" i="1"/>
  <c r="BZ62" i="1"/>
  <c r="BY62" i="1"/>
  <c r="BX62" i="1"/>
  <c r="BW62" i="1"/>
  <c r="DC61" i="1"/>
  <c r="CZ61" i="1"/>
  <c r="CY61" i="1"/>
  <c r="CW61" i="1"/>
  <c r="CU61" i="1"/>
  <c r="CT61" i="1"/>
  <c r="CS61" i="1"/>
  <c r="CR61" i="1"/>
  <c r="CQ61" i="1"/>
  <c r="CP61" i="1"/>
  <c r="CO61" i="1"/>
  <c r="CM61" i="1"/>
  <c r="CL61" i="1"/>
  <c r="CK61" i="1"/>
  <c r="CJ61" i="1"/>
  <c r="CI61" i="1"/>
  <c r="CH61" i="1"/>
  <c r="CG61" i="1"/>
  <c r="CE61" i="1"/>
  <c r="CD61" i="1"/>
  <c r="CC61" i="1"/>
  <c r="CB61" i="1"/>
  <c r="CA61" i="1"/>
  <c r="BZ61" i="1"/>
  <c r="BY61" i="1"/>
  <c r="BX61" i="1"/>
  <c r="BW61" i="1"/>
  <c r="DC60" i="1"/>
  <c r="CZ60" i="1"/>
  <c r="CY60" i="1"/>
  <c r="CW60" i="1"/>
  <c r="CU60" i="1"/>
  <c r="CT60" i="1"/>
  <c r="CS60" i="1"/>
  <c r="CR60" i="1"/>
  <c r="CQ60" i="1"/>
  <c r="CP60" i="1"/>
  <c r="CO60" i="1"/>
  <c r="CM60" i="1"/>
  <c r="CL60" i="1"/>
  <c r="CK60" i="1"/>
  <c r="CJ60" i="1"/>
  <c r="CI60" i="1"/>
  <c r="CH60" i="1"/>
  <c r="CG60" i="1"/>
  <c r="CE60" i="1"/>
  <c r="CD60" i="1"/>
  <c r="CC60" i="1"/>
  <c r="CB60" i="1"/>
  <c r="CA60" i="1"/>
  <c r="BZ60" i="1"/>
  <c r="BY60" i="1"/>
  <c r="BX60" i="1"/>
  <c r="BW60" i="1"/>
  <c r="DC59" i="1"/>
  <c r="CZ59" i="1"/>
  <c r="CY59" i="1"/>
  <c r="CW59" i="1"/>
  <c r="CU59" i="1"/>
  <c r="CT59" i="1"/>
  <c r="CS59" i="1"/>
  <c r="CR59" i="1"/>
  <c r="CQ59" i="1"/>
  <c r="CP59" i="1"/>
  <c r="CO59" i="1"/>
  <c r="CM59" i="1"/>
  <c r="CL59" i="1"/>
  <c r="CK59" i="1"/>
  <c r="CJ59" i="1"/>
  <c r="CI59" i="1"/>
  <c r="CH59" i="1"/>
  <c r="CG59" i="1"/>
  <c r="CE59" i="1"/>
  <c r="CD59" i="1"/>
  <c r="CC59" i="1"/>
  <c r="CB59" i="1"/>
  <c r="CA59" i="1"/>
  <c r="BZ59" i="1"/>
  <c r="BY59" i="1"/>
  <c r="BX59" i="1"/>
  <c r="BW59" i="1"/>
  <c r="DC58" i="1"/>
  <c r="CZ58" i="1"/>
  <c r="CY58" i="1"/>
  <c r="CW58" i="1"/>
  <c r="CU58" i="1"/>
  <c r="CT58" i="1"/>
  <c r="CS58" i="1"/>
  <c r="CR58" i="1"/>
  <c r="CQ58" i="1"/>
  <c r="CP58" i="1"/>
  <c r="CO58" i="1"/>
  <c r="CM58" i="1"/>
  <c r="CL58" i="1"/>
  <c r="CK58" i="1"/>
  <c r="CJ58" i="1"/>
  <c r="CI58" i="1"/>
  <c r="CH58" i="1"/>
  <c r="CG58" i="1"/>
  <c r="CE58" i="1"/>
  <c r="CD58" i="1"/>
  <c r="CC58" i="1"/>
  <c r="CB58" i="1"/>
  <c r="CA58" i="1"/>
  <c r="BZ58" i="1"/>
  <c r="BY58" i="1"/>
  <c r="BX58" i="1"/>
  <c r="BW58" i="1"/>
  <c r="DC57" i="1"/>
  <c r="CZ57" i="1"/>
  <c r="CY57" i="1"/>
  <c r="CW57" i="1"/>
  <c r="CU57" i="1"/>
  <c r="CT57" i="1"/>
  <c r="CS57" i="1"/>
  <c r="CR57" i="1"/>
  <c r="CQ57" i="1"/>
  <c r="CP57" i="1"/>
  <c r="CO57" i="1"/>
  <c r="CM57" i="1"/>
  <c r="CL57" i="1"/>
  <c r="CK57" i="1"/>
  <c r="CJ57" i="1"/>
  <c r="CI57" i="1"/>
  <c r="CH57" i="1"/>
  <c r="CG57" i="1"/>
  <c r="CE57" i="1"/>
  <c r="CD57" i="1"/>
  <c r="CC57" i="1"/>
  <c r="CB57" i="1"/>
  <c r="CA57" i="1"/>
  <c r="BZ57" i="1"/>
  <c r="BY57" i="1"/>
  <c r="BX57" i="1"/>
  <c r="BW57" i="1"/>
  <c r="DC56" i="1"/>
  <c r="CZ56" i="1"/>
  <c r="CY56" i="1"/>
  <c r="CW56" i="1"/>
  <c r="CU56" i="1"/>
  <c r="CT56" i="1"/>
  <c r="CS56" i="1"/>
  <c r="CR56" i="1"/>
  <c r="CQ56" i="1"/>
  <c r="CP56" i="1"/>
  <c r="CO56" i="1"/>
  <c r="CM56" i="1"/>
  <c r="CL56" i="1"/>
  <c r="CK56" i="1"/>
  <c r="CJ56" i="1"/>
  <c r="CI56" i="1"/>
  <c r="CH56" i="1"/>
  <c r="CG56" i="1"/>
  <c r="CE56" i="1"/>
  <c r="CD56" i="1"/>
  <c r="CC56" i="1"/>
  <c r="CB56" i="1"/>
  <c r="CA56" i="1"/>
  <c r="BZ56" i="1"/>
  <c r="BY56" i="1"/>
  <c r="BX56" i="1"/>
  <c r="BW56" i="1"/>
  <c r="DC55" i="1"/>
  <c r="CZ55" i="1"/>
  <c r="CY55" i="1"/>
  <c r="CW55" i="1"/>
  <c r="CU55" i="1"/>
  <c r="CT55" i="1"/>
  <c r="CS55" i="1"/>
  <c r="CR55" i="1"/>
  <c r="CQ55" i="1"/>
  <c r="CP55" i="1"/>
  <c r="CO55" i="1"/>
  <c r="CM55" i="1"/>
  <c r="CL55" i="1"/>
  <c r="CK55" i="1"/>
  <c r="CJ55" i="1"/>
  <c r="CI55" i="1"/>
  <c r="CH55" i="1"/>
  <c r="CG55" i="1"/>
  <c r="CE55" i="1"/>
  <c r="CD55" i="1"/>
  <c r="CC55" i="1"/>
  <c r="CB55" i="1"/>
  <c r="CA55" i="1"/>
  <c r="BZ55" i="1"/>
  <c r="BY55" i="1"/>
  <c r="BX55" i="1"/>
  <c r="BW55" i="1"/>
  <c r="DC54" i="1"/>
  <c r="CZ54" i="1"/>
  <c r="CY54" i="1"/>
  <c r="CW54" i="1"/>
  <c r="CU54" i="1"/>
  <c r="CT54" i="1"/>
  <c r="CS54" i="1"/>
  <c r="CR54" i="1"/>
  <c r="CQ54" i="1"/>
  <c r="CP54" i="1"/>
  <c r="CO54" i="1"/>
  <c r="CM54" i="1"/>
  <c r="CL54" i="1"/>
  <c r="CK54" i="1"/>
  <c r="CJ54" i="1"/>
  <c r="CI54" i="1"/>
  <c r="CH54" i="1"/>
  <c r="CG54" i="1"/>
  <c r="CE54" i="1"/>
  <c r="CD54" i="1"/>
  <c r="CC54" i="1"/>
  <c r="CB54" i="1"/>
  <c r="CA54" i="1"/>
  <c r="BZ54" i="1"/>
  <c r="BY54" i="1"/>
  <c r="BX54" i="1"/>
  <c r="BW54" i="1"/>
  <c r="DC53" i="1"/>
  <c r="CZ53" i="1"/>
  <c r="CY53" i="1"/>
  <c r="CW53" i="1"/>
  <c r="CU53" i="1"/>
  <c r="CT53" i="1"/>
  <c r="CS53" i="1"/>
  <c r="CR53" i="1"/>
  <c r="CQ53" i="1"/>
  <c r="CP53" i="1"/>
  <c r="CO53" i="1"/>
  <c r="CM53" i="1"/>
  <c r="CL53" i="1"/>
  <c r="CK53" i="1"/>
  <c r="CJ53" i="1"/>
  <c r="CI53" i="1"/>
  <c r="CH53" i="1"/>
  <c r="CG53" i="1"/>
  <c r="CE53" i="1"/>
  <c r="CD53" i="1"/>
  <c r="CC53" i="1"/>
  <c r="CB53" i="1"/>
  <c r="CA53" i="1"/>
  <c r="BZ53" i="1"/>
  <c r="BY53" i="1"/>
  <c r="BX53" i="1"/>
  <c r="BW53" i="1"/>
  <c r="DC52" i="1"/>
  <c r="CZ52" i="1"/>
  <c r="CY52" i="1"/>
  <c r="CW52" i="1"/>
  <c r="CU52" i="1"/>
  <c r="CT52" i="1"/>
  <c r="CS52" i="1"/>
  <c r="CR52" i="1"/>
  <c r="CQ52" i="1"/>
  <c r="CP52" i="1"/>
  <c r="CO52" i="1"/>
  <c r="CM52" i="1"/>
  <c r="CL52" i="1"/>
  <c r="CK52" i="1"/>
  <c r="CJ52" i="1"/>
  <c r="CI52" i="1"/>
  <c r="CH52" i="1"/>
  <c r="CG52" i="1"/>
  <c r="CE52" i="1"/>
  <c r="CD52" i="1"/>
  <c r="CC52" i="1"/>
  <c r="CB52" i="1"/>
  <c r="CA52" i="1"/>
  <c r="BZ52" i="1"/>
  <c r="BY52" i="1"/>
  <c r="BX52" i="1"/>
  <c r="BW52" i="1"/>
  <c r="DC51" i="1"/>
  <c r="CZ51" i="1"/>
  <c r="CY51" i="1"/>
  <c r="CW51" i="1"/>
  <c r="CU51" i="1"/>
  <c r="CT51" i="1"/>
  <c r="CS51" i="1"/>
  <c r="CR51" i="1"/>
  <c r="CQ51" i="1"/>
  <c r="CP51" i="1"/>
  <c r="CO51" i="1"/>
  <c r="CM51" i="1"/>
  <c r="CL51" i="1"/>
  <c r="CK51" i="1"/>
  <c r="CJ51" i="1"/>
  <c r="CI51" i="1"/>
  <c r="CH51" i="1"/>
  <c r="CG51" i="1"/>
  <c r="CE51" i="1"/>
  <c r="CD51" i="1"/>
  <c r="CC51" i="1"/>
  <c r="CB51" i="1"/>
  <c r="CA51" i="1"/>
  <c r="BZ51" i="1"/>
  <c r="BY51" i="1"/>
  <c r="BX51" i="1"/>
  <c r="BW51" i="1"/>
  <c r="DC50" i="1"/>
  <c r="CZ50" i="1"/>
  <c r="CY50" i="1"/>
  <c r="CW50" i="1"/>
  <c r="CU50" i="1"/>
  <c r="CT50" i="1"/>
  <c r="CS50" i="1"/>
  <c r="CR50" i="1"/>
  <c r="CQ50" i="1"/>
  <c r="CP50" i="1"/>
  <c r="CO50" i="1"/>
  <c r="CM50" i="1"/>
  <c r="CL50" i="1"/>
  <c r="CK50" i="1"/>
  <c r="CJ50" i="1"/>
  <c r="CI50" i="1"/>
  <c r="CH50" i="1"/>
  <c r="CG50" i="1"/>
  <c r="CE50" i="1"/>
  <c r="CD50" i="1"/>
  <c r="CC50" i="1"/>
  <c r="CB50" i="1"/>
  <c r="CA50" i="1"/>
  <c r="BZ50" i="1"/>
  <c r="BY50" i="1"/>
  <c r="BX50" i="1"/>
  <c r="BW50" i="1"/>
  <c r="DC49" i="1"/>
  <c r="CZ49" i="1"/>
  <c r="CY49" i="1"/>
  <c r="CW49" i="1"/>
  <c r="CU49" i="1"/>
  <c r="CT49" i="1"/>
  <c r="CS49" i="1"/>
  <c r="CR49" i="1"/>
  <c r="CQ49" i="1"/>
  <c r="CP49" i="1"/>
  <c r="CO49" i="1"/>
  <c r="CM49" i="1"/>
  <c r="CL49" i="1"/>
  <c r="CK49" i="1"/>
  <c r="CJ49" i="1"/>
  <c r="CI49" i="1"/>
  <c r="CH49" i="1"/>
  <c r="CG49" i="1"/>
  <c r="CE49" i="1"/>
  <c r="CD49" i="1"/>
  <c r="CC49" i="1"/>
  <c r="CB49" i="1"/>
  <c r="CA49" i="1"/>
  <c r="BZ49" i="1"/>
  <c r="BY49" i="1"/>
  <c r="BX49" i="1"/>
  <c r="BW49" i="1"/>
  <c r="DC48" i="1"/>
  <c r="CZ48" i="1"/>
  <c r="CY48" i="1"/>
  <c r="CW48" i="1"/>
  <c r="CU48" i="1"/>
  <c r="CT48" i="1"/>
  <c r="CS48" i="1"/>
  <c r="CR48" i="1"/>
  <c r="CQ48" i="1"/>
  <c r="CP48" i="1"/>
  <c r="CO48" i="1"/>
  <c r="CM48" i="1"/>
  <c r="CL48" i="1"/>
  <c r="CK48" i="1"/>
  <c r="CJ48" i="1"/>
  <c r="CI48" i="1"/>
  <c r="CH48" i="1"/>
  <c r="CG48" i="1"/>
  <c r="CE48" i="1"/>
  <c r="CD48" i="1"/>
  <c r="CC48" i="1"/>
  <c r="CB48" i="1"/>
  <c r="CA48" i="1"/>
  <c r="BZ48" i="1"/>
  <c r="BY48" i="1"/>
  <c r="BX48" i="1"/>
  <c r="BW48" i="1"/>
  <c r="DC47" i="1"/>
  <c r="CZ47" i="1"/>
  <c r="CY47" i="1"/>
  <c r="CW47" i="1"/>
  <c r="CU47" i="1"/>
  <c r="CT47" i="1"/>
  <c r="CS47" i="1"/>
  <c r="CR47" i="1"/>
  <c r="CQ47" i="1"/>
  <c r="CP47" i="1"/>
  <c r="CO47" i="1"/>
  <c r="CM47" i="1"/>
  <c r="CL47" i="1"/>
  <c r="CK47" i="1"/>
  <c r="CJ47" i="1"/>
  <c r="CI47" i="1"/>
  <c r="CH47" i="1"/>
  <c r="CG47" i="1"/>
  <c r="CE47" i="1"/>
  <c r="CD47" i="1"/>
  <c r="CC47" i="1"/>
  <c r="CB47" i="1"/>
  <c r="CA47" i="1"/>
  <c r="BZ47" i="1"/>
  <c r="BY47" i="1"/>
  <c r="BX47" i="1"/>
  <c r="BW47" i="1"/>
  <c r="DC46" i="1"/>
  <c r="CZ46" i="1"/>
  <c r="CY46" i="1"/>
  <c r="CW46" i="1"/>
  <c r="CU46" i="1"/>
  <c r="CT46" i="1"/>
  <c r="CS46" i="1"/>
  <c r="CR46" i="1"/>
  <c r="CQ46" i="1"/>
  <c r="CP46" i="1"/>
  <c r="CO46" i="1"/>
  <c r="CM46" i="1"/>
  <c r="CL46" i="1"/>
  <c r="CK46" i="1"/>
  <c r="CJ46" i="1"/>
  <c r="CI46" i="1"/>
  <c r="CH46" i="1"/>
  <c r="CG46" i="1"/>
  <c r="CE46" i="1"/>
  <c r="CD46" i="1"/>
  <c r="CC46" i="1"/>
  <c r="CB46" i="1"/>
  <c r="CA46" i="1"/>
  <c r="BZ46" i="1"/>
  <c r="BY46" i="1"/>
  <c r="BX46" i="1"/>
  <c r="BW46" i="1"/>
  <c r="DC45" i="1"/>
  <c r="CZ45" i="1"/>
  <c r="CY45" i="1"/>
  <c r="CW45" i="1"/>
  <c r="CU45" i="1"/>
  <c r="CT45" i="1"/>
  <c r="CS45" i="1"/>
  <c r="CR45" i="1"/>
  <c r="CQ45" i="1"/>
  <c r="CP45" i="1"/>
  <c r="CO45" i="1"/>
  <c r="CM45" i="1"/>
  <c r="CL45" i="1"/>
  <c r="CK45" i="1"/>
  <c r="CJ45" i="1"/>
  <c r="CI45" i="1"/>
  <c r="CH45" i="1"/>
  <c r="CG45" i="1"/>
  <c r="CE45" i="1"/>
  <c r="CD45" i="1"/>
  <c r="CC45" i="1"/>
  <c r="CB45" i="1"/>
  <c r="CA45" i="1"/>
  <c r="BZ45" i="1"/>
  <c r="BY45" i="1"/>
  <c r="BX45" i="1"/>
  <c r="BW45" i="1"/>
  <c r="DC44" i="1"/>
  <c r="CZ44" i="1"/>
  <c r="CY44" i="1"/>
  <c r="CW44" i="1"/>
  <c r="CU44" i="1"/>
  <c r="CT44" i="1"/>
  <c r="CS44" i="1"/>
  <c r="CR44" i="1"/>
  <c r="CQ44" i="1"/>
  <c r="CP44" i="1"/>
  <c r="CO44" i="1"/>
  <c r="CM44" i="1"/>
  <c r="CL44" i="1"/>
  <c r="CK44" i="1"/>
  <c r="CJ44" i="1"/>
  <c r="CI44" i="1"/>
  <c r="CH44" i="1"/>
  <c r="CG44" i="1"/>
  <c r="CE44" i="1"/>
  <c r="CD44" i="1"/>
  <c r="CC44" i="1"/>
  <c r="CB44" i="1"/>
  <c r="CA44" i="1"/>
  <c r="BZ44" i="1"/>
  <c r="BY44" i="1"/>
  <c r="BX44" i="1"/>
  <c r="BW44" i="1"/>
  <c r="DC43" i="1"/>
  <c r="CZ43" i="1"/>
  <c r="CY43" i="1"/>
  <c r="CW43" i="1"/>
  <c r="CU43" i="1"/>
  <c r="CT43" i="1"/>
  <c r="CS43" i="1"/>
  <c r="CR43" i="1"/>
  <c r="CQ43" i="1"/>
  <c r="CP43" i="1"/>
  <c r="CO43" i="1"/>
  <c r="CM43" i="1"/>
  <c r="CL43" i="1"/>
  <c r="CK43" i="1"/>
  <c r="CJ43" i="1"/>
  <c r="CI43" i="1"/>
  <c r="CH43" i="1"/>
  <c r="CG43" i="1"/>
  <c r="CE43" i="1"/>
  <c r="CD43" i="1"/>
  <c r="CC43" i="1"/>
  <c r="CB43" i="1"/>
  <c r="CA43" i="1"/>
  <c r="BZ43" i="1"/>
  <c r="BY43" i="1"/>
  <c r="BX43" i="1"/>
  <c r="BW43" i="1"/>
  <c r="DC42" i="1"/>
  <c r="CZ42" i="1"/>
  <c r="CY42" i="1"/>
  <c r="CW42" i="1"/>
  <c r="CU42" i="1"/>
  <c r="CT42" i="1"/>
  <c r="CS42" i="1"/>
  <c r="CR42" i="1"/>
  <c r="CQ42" i="1"/>
  <c r="CP42" i="1"/>
  <c r="CO42" i="1"/>
  <c r="CM42" i="1"/>
  <c r="CL42" i="1"/>
  <c r="CK42" i="1"/>
  <c r="CJ42" i="1"/>
  <c r="CI42" i="1"/>
  <c r="CH42" i="1"/>
  <c r="CG42" i="1"/>
  <c r="CE42" i="1"/>
  <c r="CD42" i="1"/>
  <c r="CC42" i="1"/>
  <c r="CB42" i="1"/>
  <c r="CA42" i="1"/>
  <c r="BZ42" i="1"/>
  <c r="BY42" i="1"/>
  <c r="BX42" i="1"/>
  <c r="BW42" i="1"/>
  <c r="DC41" i="1"/>
  <c r="CZ41" i="1"/>
  <c r="CY41" i="1"/>
  <c r="CW41" i="1"/>
  <c r="CU41" i="1"/>
  <c r="CT41" i="1"/>
  <c r="CS41" i="1"/>
  <c r="CR41" i="1"/>
  <c r="CQ41" i="1"/>
  <c r="CP41" i="1"/>
  <c r="CO41" i="1"/>
  <c r="CM41" i="1"/>
  <c r="CL41" i="1"/>
  <c r="CK41" i="1"/>
  <c r="CJ41" i="1"/>
  <c r="CI41" i="1"/>
  <c r="CH41" i="1"/>
  <c r="CG41" i="1"/>
  <c r="CE41" i="1"/>
  <c r="CD41" i="1"/>
  <c r="CC41" i="1"/>
  <c r="CB41" i="1"/>
  <c r="CA41" i="1"/>
  <c r="BZ41" i="1"/>
  <c r="BY41" i="1"/>
  <c r="BX41" i="1"/>
  <c r="BW41" i="1"/>
  <c r="DC40" i="1"/>
  <c r="CZ40" i="1"/>
  <c r="CY40" i="1"/>
  <c r="CW40" i="1"/>
  <c r="CU40" i="1"/>
  <c r="CT40" i="1"/>
  <c r="CS40" i="1"/>
  <c r="CR40" i="1"/>
  <c r="CQ40" i="1"/>
  <c r="CP40" i="1"/>
  <c r="CO40" i="1"/>
  <c r="CM40" i="1"/>
  <c r="CL40" i="1"/>
  <c r="CK40" i="1"/>
  <c r="CJ40" i="1"/>
  <c r="CI40" i="1"/>
  <c r="CH40" i="1"/>
  <c r="CG40" i="1"/>
  <c r="CE40" i="1"/>
  <c r="CD40" i="1"/>
  <c r="CC40" i="1"/>
  <c r="CB40" i="1"/>
  <c r="CA40" i="1"/>
  <c r="BZ40" i="1"/>
  <c r="BY40" i="1"/>
  <c r="BX40" i="1"/>
  <c r="BW40" i="1"/>
  <c r="DC39" i="1"/>
  <c r="CZ39" i="1"/>
  <c r="CY39" i="1"/>
  <c r="CW39" i="1"/>
  <c r="CU39" i="1"/>
  <c r="CT39" i="1"/>
  <c r="CS39" i="1"/>
  <c r="CR39" i="1"/>
  <c r="CQ39" i="1"/>
  <c r="CP39" i="1"/>
  <c r="CO39" i="1"/>
  <c r="CM39" i="1"/>
  <c r="CL39" i="1"/>
  <c r="CK39" i="1"/>
  <c r="CJ39" i="1"/>
  <c r="CI39" i="1"/>
  <c r="CH39" i="1"/>
  <c r="CG39" i="1"/>
  <c r="CE39" i="1"/>
  <c r="CD39" i="1"/>
  <c r="CC39" i="1"/>
  <c r="CB39" i="1"/>
  <c r="CA39" i="1"/>
  <c r="BZ39" i="1"/>
  <c r="BY39" i="1"/>
  <c r="BX39" i="1"/>
  <c r="BW39" i="1"/>
  <c r="DC38" i="1"/>
  <c r="CZ38" i="1"/>
  <c r="CY38" i="1"/>
  <c r="CW38" i="1"/>
  <c r="CU38" i="1"/>
  <c r="CT38" i="1"/>
  <c r="CS38" i="1"/>
  <c r="CR38" i="1"/>
  <c r="CQ38" i="1"/>
  <c r="CP38" i="1"/>
  <c r="CO38" i="1"/>
  <c r="CM38" i="1"/>
  <c r="CL38" i="1"/>
  <c r="CK38" i="1"/>
  <c r="CJ38" i="1"/>
  <c r="CI38" i="1"/>
  <c r="CH38" i="1"/>
  <c r="CG38" i="1"/>
  <c r="CE38" i="1"/>
  <c r="CD38" i="1"/>
  <c r="CC38" i="1"/>
  <c r="CB38" i="1"/>
  <c r="CA38" i="1"/>
  <c r="BZ38" i="1"/>
  <c r="BY38" i="1"/>
  <c r="BX38" i="1"/>
  <c r="BW38" i="1"/>
  <c r="DC37" i="1"/>
  <c r="CZ37" i="1"/>
  <c r="CY37" i="1"/>
  <c r="CW37" i="1"/>
  <c r="CU37" i="1"/>
  <c r="CT37" i="1"/>
  <c r="CS37" i="1"/>
  <c r="CR37" i="1"/>
  <c r="CQ37" i="1"/>
  <c r="CP37" i="1"/>
  <c r="CO37" i="1"/>
  <c r="CM37" i="1"/>
  <c r="CL37" i="1"/>
  <c r="CK37" i="1"/>
  <c r="CJ37" i="1"/>
  <c r="CI37" i="1"/>
  <c r="CH37" i="1"/>
  <c r="CG37" i="1"/>
  <c r="CE37" i="1"/>
  <c r="CD37" i="1"/>
  <c r="CC37" i="1"/>
  <c r="CB37" i="1"/>
  <c r="CA37" i="1"/>
  <c r="BZ37" i="1"/>
  <c r="BY37" i="1"/>
  <c r="BX37" i="1"/>
  <c r="BW37" i="1"/>
  <c r="DC36" i="1"/>
  <c r="CZ36" i="1"/>
  <c r="CY36" i="1"/>
  <c r="CW36" i="1"/>
  <c r="CU36" i="1"/>
  <c r="CT36" i="1"/>
  <c r="CS36" i="1"/>
  <c r="CR36" i="1"/>
  <c r="CQ36" i="1"/>
  <c r="CP36" i="1"/>
  <c r="CO36" i="1"/>
  <c r="CM36" i="1"/>
  <c r="CL36" i="1"/>
  <c r="CK36" i="1"/>
  <c r="CJ36" i="1"/>
  <c r="CI36" i="1"/>
  <c r="CH36" i="1"/>
  <c r="CG36" i="1"/>
  <c r="CE36" i="1"/>
  <c r="CD36" i="1"/>
  <c r="CC36" i="1"/>
  <c r="CB36" i="1"/>
  <c r="CA36" i="1"/>
  <c r="BZ36" i="1"/>
  <c r="BY36" i="1"/>
  <c r="BX36" i="1"/>
  <c r="BW36" i="1"/>
  <c r="DC35" i="1"/>
  <c r="CZ35" i="1"/>
  <c r="CY35" i="1"/>
  <c r="CW35" i="1"/>
  <c r="CU35" i="1"/>
  <c r="CT35" i="1"/>
  <c r="CS35" i="1"/>
  <c r="CR35" i="1"/>
  <c r="CQ35" i="1"/>
  <c r="CP35" i="1"/>
  <c r="CO35" i="1"/>
  <c r="CM35" i="1"/>
  <c r="CL35" i="1"/>
  <c r="CK35" i="1"/>
  <c r="CJ35" i="1"/>
  <c r="CI35" i="1"/>
  <c r="CH35" i="1"/>
  <c r="CG35" i="1"/>
  <c r="CE35" i="1"/>
  <c r="CD35" i="1"/>
  <c r="CC35" i="1"/>
  <c r="CB35" i="1"/>
  <c r="CA35" i="1"/>
  <c r="BZ35" i="1"/>
  <c r="BY35" i="1"/>
  <c r="BX35" i="1"/>
  <c r="BW35" i="1"/>
  <c r="DC34" i="1"/>
  <c r="CZ34" i="1"/>
  <c r="CY34" i="1"/>
  <c r="CW34" i="1"/>
  <c r="CU34" i="1"/>
  <c r="CT34" i="1"/>
  <c r="CS34" i="1"/>
  <c r="CR34" i="1"/>
  <c r="CQ34" i="1"/>
  <c r="CP34" i="1"/>
  <c r="CO34" i="1"/>
  <c r="CM34" i="1"/>
  <c r="CL34" i="1"/>
  <c r="CK34" i="1"/>
  <c r="CJ34" i="1"/>
  <c r="CI34" i="1"/>
  <c r="CH34" i="1"/>
  <c r="CG34" i="1"/>
  <c r="CE34" i="1"/>
  <c r="CD34" i="1"/>
  <c r="CC34" i="1"/>
  <c r="CB34" i="1"/>
  <c r="CA34" i="1"/>
  <c r="BZ34" i="1"/>
  <c r="BY34" i="1"/>
  <c r="BX34" i="1"/>
  <c r="BW34" i="1"/>
  <c r="DC33" i="1"/>
  <c r="CZ33" i="1"/>
  <c r="CY33" i="1"/>
  <c r="CW33" i="1"/>
  <c r="CU33" i="1"/>
  <c r="CT33" i="1"/>
  <c r="CS33" i="1"/>
  <c r="CR33" i="1"/>
  <c r="CQ33" i="1"/>
  <c r="CP33" i="1"/>
  <c r="CO33" i="1"/>
  <c r="CM33" i="1"/>
  <c r="CL33" i="1"/>
  <c r="CK33" i="1"/>
  <c r="CJ33" i="1"/>
  <c r="CI33" i="1"/>
  <c r="CH33" i="1"/>
  <c r="CG33" i="1"/>
  <c r="CE33" i="1"/>
  <c r="CD33" i="1"/>
  <c r="CC33" i="1"/>
  <c r="CB33" i="1"/>
  <c r="CA33" i="1"/>
  <c r="BZ33" i="1"/>
  <c r="BY33" i="1"/>
  <c r="BX33" i="1"/>
  <c r="BW33" i="1"/>
  <c r="DC32" i="1"/>
  <c r="CZ32" i="1"/>
  <c r="CY32" i="1"/>
  <c r="CW32" i="1"/>
  <c r="CU32" i="1"/>
  <c r="CT32" i="1"/>
  <c r="CS32" i="1"/>
  <c r="CR32" i="1"/>
  <c r="CQ32" i="1"/>
  <c r="CP32" i="1"/>
  <c r="CO32" i="1"/>
  <c r="CM32" i="1"/>
  <c r="CL32" i="1"/>
  <c r="CK32" i="1"/>
  <c r="CJ32" i="1"/>
  <c r="CI32" i="1"/>
  <c r="CH32" i="1"/>
  <c r="CG32" i="1"/>
  <c r="CE32" i="1"/>
  <c r="CD32" i="1"/>
  <c r="CC32" i="1"/>
  <c r="CB32" i="1"/>
  <c r="CA32" i="1"/>
  <c r="BZ32" i="1"/>
  <c r="BY32" i="1"/>
  <c r="BX32" i="1"/>
  <c r="BW32" i="1"/>
  <c r="DC31" i="1"/>
  <c r="CZ31" i="1"/>
  <c r="CY31" i="1"/>
  <c r="CW31" i="1"/>
  <c r="CU31" i="1"/>
  <c r="CT31" i="1"/>
  <c r="CS31" i="1"/>
  <c r="CR31" i="1"/>
  <c r="CQ31" i="1"/>
  <c r="CP31" i="1"/>
  <c r="CO31" i="1"/>
  <c r="CM31" i="1"/>
  <c r="CL31" i="1"/>
  <c r="CK31" i="1"/>
  <c r="CJ31" i="1"/>
  <c r="CI31" i="1"/>
  <c r="CH31" i="1"/>
  <c r="CG31" i="1"/>
  <c r="CE31" i="1"/>
  <c r="CD31" i="1"/>
  <c r="CC31" i="1"/>
  <c r="CB31" i="1"/>
  <c r="CA31" i="1"/>
  <c r="BZ31" i="1"/>
  <c r="BY31" i="1"/>
  <c r="BX31" i="1"/>
  <c r="BW31" i="1"/>
  <c r="DC30" i="1"/>
  <c r="CZ30" i="1"/>
  <c r="CY30" i="1"/>
  <c r="CW30" i="1"/>
  <c r="CU30" i="1"/>
  <c r="CT30" i="1"/>
  <c r="CS30" i="1"/>
  <c r="CR30" i="1"/>
  <c r="CQ30" i="1"/>
  <c r="CP30" i="1"/>
  <c r="CO30" i="1"/>
  <c r="CM30" i="1"/>
  <c r="CL30" i="1"/>
  <c r="CK30" i="1"/>
  <c r="CJ30" i="1"/>
  <c r="CI30" i="1"/>
  <c r="CH30" i="1"/>
  <c r="CG30" i="1"/>
  <c r="CE30" i="1"/>
  <c r="CD30" i="1"/>
  <c r="CC30" i="1"/>
  <c r="CB30" i="1"/>
  <c r="CA30" i="1"/>
  <c r="BZ30" i="1"/>
  <c r="BY30" i="1"/>
  <c r="BX30" i="1"/>
  <c r="BW30" i="1"/>
  <c r="DC29" i="1"/>
  <c r="CZ29" i="1"/>
  <c r="CY29" i="1"/>
  <c r="CW29" i="1"/>
  <c r="CU29" i="1"/>
  <c r="CT29" i="1"/>
  <c r="CS29" i="1"/>
  <c r="CR29" i="1"/>
  <c r="CQ29" i="1"/>
  <c r="CP29" i="1"/>
  <c r="CO29" i="1"/>
  <c r="CM29" i="1"/>
  <c r="CL29" i="1"/>
  <c r="CK29" i="1"/>
  <c r="CJ29" i="1"/>
  <c r="CI29" i="1"/>
  <c r="CH29" i="1"/>
  <c r="CG29" i="1"/>
  <c r="CE29" i="1"/>
  <c r="CD29" i="1"/>
  <c r="CC29" i="1"/>
  <c r="CB29" i="1"/>
  <c r="CA29" i="1"/>
  <c r="BZ29" i="1"/>
  <c r="BY29" i="1"/>
  <c r="BX29" i="1"/>
  <c r="BW29" i="1"/>
  <c r="DC28" i="1"/>
  <c r="CZ28" i="1"/>
  <c r="CY28" i="1"/>
  <c r="CW28" i="1"/>
  <c r="CU28" i="1"/>
  <c r="CT28" i="1"/>
  <c r="CS28" i="1"/>
  <c r="CR28" i="1"/>
  <c r="CQ28" i="1"/>
  <c r="CP28" i="1"/>
  <c r="CO28" i="1"/>
  <c r="CM28" i="1"/>
  <c r="CL28" i="1"/>
  <c r="CK28" i="1"/>
  <c r="CJ28" i="1"/>
  <c r="CI28" i="1"/>
  <c r="CH28" i="1"/>
  <c r="CG28" i="1"/>
  <c r="CE28" i="1"/>
  <c r="CD28" i="1"/>
  <c r="CC28" i="1"/>
  <c r="CB28" i="1"/>
  <c r="CA28" i="1"/>
  <c r="BZ28" i="1"/>
  <c r="BY28" i="1"/>
  <c r="BX28" i="1"/>
  <c r="BW28" i="1"/>
  <c r="DC27" i="1"/>
  <c r="CZ27" i="1"/>
  <c r="CY27" i="1"/>
  <c r="CW27" i="1"/>
  <c r="CU27" i="1"/>
  <c r="CT27" i="1"/>
  <c r="CS27" i="1"/>
  <c r="CR27" i="1"/>
  <c r="CQ27" i="1"/>
  <c r="CP27" i="1"/>
  <c r="CO27" i="1"/>
  <c r="CM27" i="1"/>
  <c r="CL27" i="1"/>
  <c r="CK27" i="1"/>
  <c r="CJ27" i="1"/>
  <c r="CI27" i="1"/>
  <c r="CH27" i="1"/>
  <c r="CG27" i="1"/>
  <c r="CE27" i="1"/>
  <c r="CD27" i="1"/>
  <c r="CC27" i="1"/>
  <c r="CB27" i="1"/>
  <c r="CA27" i="1"/>
  <c r="BZ27" i="1"/>
  <c r="BY27" i="1"/>
  <c r="BX27" i="1"/>
  <c r="BW27" i="1"/>
  <c r="DC26" i="1"/>
  <c r="CZ26" i="1"/>
  <c r="CY26" i="1"/>
  <c r="CW26" i="1"/>
  <c r="CU26" i="1"/>
  <c r="CT26" i="1"/>
  <c r="CS26" i="1"/>
  <c r="CR26" i="1"/>
  <c r="CQ26" i="1"/>
  <c r="CP26" i="1"/>
  <c r="CO26" i="1"/>
  <c r="CM26" i="1"/>
  <c r="CL26" i="1"/>
  <c r="CK26" i="1"/>
  <c r="CJ26" i="1"/>
  <c r="CI26" i="1"/>
  <c r="CH26" i="1"/>
  <c r="CG26" i="1"/>
  <c r="CE26" i="1"/>
  <c r="CD26" i="1"/>
  <c r="CC26" i="1"/>
  <c r="CB26" i="1"/>
  <c r="CA26" i="1"/>
  <c r="BZ26" i="1"/>
  <c r="BY26" i="1"/>
  <c r="BX26" i="1"/>
  <c r="BW26" i="1"/>
  <c r="DC25" i="1"/>
  <c r="CZ25" i="1"/>
  <c r="CY25" i="1"/>
  <c r="CW25" i="1"/>
  <c r="CU25" i="1"/>
  <c r="CT25" i="1"/>
  <c r="CS25" i="1"/>
  <c r="CR25" i="1"/>
  <c r="CQ25" i="1"/>
  <c r="CP25" i="1"/>
  <c r="CO25" i="1"/>
  <c r="CM25" i="1"/>
  <c r="CL25" i="1"/>
  <c r="CK25" i="1"/>
  <c r="CJ25" i="1"/>
  <c r="CI25" i="1"/>
  <c r="CH25" i="1"/>
  <c r="CG25" i="1"/>
  <c r="CE25" i="1"/>
  <c r="CD25" i="1"/>
  <c r="CC25" i="1"/>
  <c r="CB25" i="1"/>
  <c r="CA25" i="1"/>
  <c r="BZ25" i="1"/>
  <c r="BY25" i="1"/>
  <c r="BX25" i="1"/>
  <c r="BW25" i="1"/>
  <c r="CW15" i="1"/>
  <c r="DC24" i="1"/>
  <c r="CZ24" i="1"/>
  <c r="CY24" i="1"/>
  <c r="CU24" i="1"/>
  <c r="CT24" i="1"/>
  <c r="CS24" i="1"/>
  <c r="CR24" i="1"/>
  <c r="CQ24" i="1"/>
  <c r="CP24" i="1"/>
  <c r="CO24" i="1"/>
  <c r="CM24" i="1"/>
  <c r="CL24" i="1"/>
  <c r="CK24" i="1"/>
  <c r="CJ24" i="1"/>
  <c r="CI24" i="1"/>
  <c r="CH24" i="1"/>
  <c r="CG24" i="1"/>
  <c r="CE24" i="1"/>
  <c r="CD24" i="1"/>
  <c r="CC24" i="1"/>
  <c r="CB24" i="1"/>
  <c r="CA24" i="1"/>
  <c r="BZ24" i="1"/>
  <c r="BY24" i="1"/>
  <c r="DC23" i="1"/>
  <c r="CZ23" i="1"/>
  <c r="CY23" i="1"/>
  <c r="CU23" i="1"/>
  <c r="CT23" i="1"/>
  <c r="CS23" i="1"/>
  <c r="CR23" i="1"/>
  <c r="CQ23" i="1"/>
  <c r="CP23" i="1"/>
  <c r="CO23" i="1"/>
  <c r="CM23" i="1"/>
  <c r="CL23" i="1"/>
  <c r="CK23" i="1"/>
  <c r="CJ23" i="1"/>
  <c r="CI23" i="1"/>
  <c r="CH23" i="1"/>
  <c r="CG23" i="1"/>
  <c r="CE23" i="1"/>
  <c r="CD23" i="1"/>
  <c r="CC23" i="1"/>
  <c r="CB23" i="1"/>
  <c r="CA23" i="1"/>
  <c r="BZ23" i="1"/>
  <c r="BY23" i="1"/>
  <c r="DC22" i="1"/>
  <c r="CZ22" i="1"/>
  <c r="CY22" i="1"/>
  <c r="CU22" i="1"/>
  <c r="CT22" i="1"/>
  <c r="CS22" i="1"/>
  <c r="CR22" i="1"/>
  <c r="CQ22" i="1"/>
  <c r="CP22" i="1"/>
  <c r="CO22" i="1"/>
  <c r="CM22" i="1"/>
  <c r="CL22" i="1"/>
  <c r="CK22" i="1"/>
  <c r="CJ22" i="1"/>
  <c r="CI22" i="1"/>
  <c r="CH22" i="1"/>
  <c r="CG22" i="1"/>
  <c r="CE22" i="1"/>
  <c r="CD22" i="1"/>
  <c r="CC22" i="1"/>
  <c r="CB22" i="1"/>
  <c r="CA22" i="1"/>
  <c r="BZ22" i="1"/>
  <c r="BY22" i="1"/>
  <c r="DC21" i="1"/>
  <c r="CZ21" i="1"/>
  <c r="CY21" i="1"/>
  <c r="CU21" i="1"/>
  <c r="CT21" i="1"/>
  <c r="CS21" i="1"/>
  <c r="CR21" i="1"/>
  <c r="CQ21" i="1"/>
  <c r="CP21" i="1"/>
  <c r="CO21" i="1"/>
  <c r="CM21" i="1"/>
  <c r="CL21" i="1"/>
  <c r="CK21" i="1"/>
  <c r="CJ21" i="1"/>
  <c r="CI21" i="1"/>
  <c r="CH21" i="1"/>
  <c r="CG21" i="1"/>
  <c r="CE21" i="1"/>
  <c r="CD21" i="1"/>
  <c r="CC21" i="1"/>
  <c r="CB21" i="1"/>
  <c r="CA21" i="1"/>
  <c r="BZ21" i="1"/>
  <c r="BY21" i="1"/>
  <c r="DC20" i="1"/>
  <c r="CZ20" i="1"/>
  <c r="CY20" i="1"/>
  <c r="CU20" i="1"/>
  <c r="CT20" i="1"/>
  <c r="CS20" i="1"/>
  <c r="CR20" i="1"/>
  <c r="CQ20" i="1"/>
  <c r="CP20" i="1"/>
  <c r="CO20" i="1"/>
  <c r="CM20" i="1"/>
  <c r="CL20" i="1"/>
  <c r="CK20" i="1"/>
  <c r="CJ20" i="1"/>
  <c r="CI20" i="1"/>
  <c r="CH20" i="1"/>
  <c r="CG20" i="1"/>
  <c r="CE20" i="1"/>
  <c r="CD20" i="1"/>
  <c r="CC20" i="1"/>
  <c r="CB20" i="1"/>
  <c r="CA20" i="1"/>
  <c r="BZ20" i="1"/>
  <c r="BY20" i="1"/>
  <c r="DC19" i="1"/>
  <c r="CZ19" i="1"/>
  <c r="CY19" i="1"/>
  <c r="CU19" i="1"/>
  <c r="CT19" i="1"/>
  <c r="CS19" i="1"/>
  <c r="CR19" i="1"/>
  <c r="CQ19" i="1"/>
  <c r="CP19" i="1"/>
  <c r="CO19" i="1"/>
  <c r="CM19" i="1"/>
  <c r="CL19" i="1"/>
  <c r="CK19" i="1"/>
  <c r="CJ19" i="1"/>
  <c r="CI19" i="1"/>
  <c r="CH19" i="1"/>
  <c r="CG19" i="1"/>
  <c r="CE19" i="1"/>
  <c r="CD19" i="1"/>
  <c r="CC19" i="1"/>
  <c r="CB19" i="1"/>
  <c r="CA19" i="1"/>
  <c r="BZ19" i="1"/>
  <c r="BY19" i="1"/>
  <c r="DC18" i="1"/>
  <c r="CZ18" i="1"/>
  <c r="CY18" i="1"/>
  <c r="CU18" i="1"/>
  <c r="CT18" i="1"/>
  <c r="CS18" i="1"/>
  <c r="CR18" i="1"/>
  <c r="CQ18" i="1"/>
  <c r="CP18" i="1"/>
  <c r="CO18" i="1"/>
  <c r="CM18" i="1"/>
  <c r="CL18" i="1"/>
  <c r="CK18" i="1"/>
  <c r="CJ18" i="1"/>
  <c r="CI18" i="1"/>
  <c r="CH18" i="1"/>
  <c r="CG18" i="1"/>
  <c r="CE18" i="1"/>
  <c r="CD18" i="1"/>
  <c r="CC18" i="1"/>
  <c r="CB18" i="1"/>
  <c r="CA18" i="1"/>
  <c r="BZ18" i="1"/>
  <c r="BY18" i="1"/>
  <c r="DC17" i="1"/>
  <c r="CZ17" i="1"/>
  <c r="CY17" i="1"/>
  <c r="CU17" i="1"/>
  <c r="CT17" i="1"/>
  <c r="CS17" i="1"/>
  <c r="CR17" i="1"/>
  <c r="CQ17" i="1"/>
  <c r="CP17" i="1"/>
  <c r="CO17" i="1"/>
  <c r="CM17" i="1"/>
  <c r="CL17" i="1"/>
  <c r="CK17" i="1"/>
  <c r="CJ17" i="1"/>
  <c r="CI17" i="1"/>
  <c r="CH17" i="1"/>
  <c r="CG17" i="1"/>
  <c r="CE17" i="1"/>
  <c r="CD17" i="1"/>
  <c r="CC17" i="1"/>
  <c r="CB17" i="1"/>
  <c r="CA17" i="1"/>
  <c r="BZ17" i="1"/>
  <c r="BY17" i="1"/>
  <c r="DC16" i="1"/>
  <c r="CZ16" i="1"/>
  <c r="CY16" i="1"/>
  <c r="CU16" i="1"/>
  <c r="CT16" i="1"/>
  <c r="CS16" i="1"/>
  <c r="CR16" i="1"/>
  <c r="CQ16" i="1"/>
  <c r="CP16" i="1"/>
  <c r="CO16" i="1"/>
  <c r="CM16" i="1"/>
  <c r="CL16" i="1"/>
  <c r="CK16" i="1"/>
  <c r="CJ16" i="1"/>
  <c r="CI16" i="1"/>
  <c r="CH16" i="1"/>
  <c r="CG16" i="1"/>
  <c r="CE16" i="1"/>
  <c r="CD16" i="1"/>
  <c r="CC16" i="1"/>
  <c r="CB16" i="1"/>
  <c r="CA16" i="1"/>
  <c r="BZ16" i="1"/>
  <c r="BY16" i="1"/>
  <c r="DC15" i="1"/>
  <c r="CZ15" i="1"/>
  <c r="CY15" i="1"/>
  <c r="CU15" i="1"/>
  <c r="CT15" i="1"/>
  <c r="CS15" i="1"/>
  <c r="CR15" i="1"/>
  <c r="CQ15" i="1"/>
  <c r="CP15" i="1"/>
  <c r="CO15" i="1"/>
  <c r="CM15" i="1"/>
  <c r="CL15" i="1"/>
  <c r="CK15" i="1"/>
  <c r="CJ15" i="1"/>
  <c r="CI15" i="1"/>
  <c r="CH15" i="1"/>
  <c r="CG15" i="1"/>
  <c r="CE15" i="1"/>
  <c r="CD15" i="1"/>
  <c r="CC15" i="1"/>
  <c r="CB15" i="1"/>
  <c r="CA15" i="1"/>
  <c r="BZ15" i="1"/>
  <c r="BY15" i="1"/>
  <c r="DC14" i="1"/>
  <c r="CZ14" i="1"/>
  <c r="CY14" i="1"/>
  <c r="CU14" i="1"/>
  <c r="CT14" i="1"/>
  <c r="CS14" i="1"/>
  <c r="CR14" i="1"/>
  <c r="CQ14" i="1"/>
  <c r="CP14" i="1"/>
  <c r="CO14" i="1"/>
  <c r="CM14" i="1"/>
  <c r="CL14" i="1"/>
  <c r="CK14" i="1"/>
  <c r="CJ14" i="1"/>
  <c r="CI14" i="1"/>
  <c r="CH14" i="1"/>
  <c r="CG14" i="1"/>
  <c r="CE14" i="1"/>
  <c r="CD14" i="1"/>
  <c r="CC14" i="1"/>
  <c r="CB14" i="1"/>
  <c r="CA14" i="1"/>
  <c r="BZ14" i="1"/>
  <c r="BY14" i="1"/>
  <c r="DC13" i="1"/>
  <c r="CZ13" i="1"/>
  <c r="CY13" i="1"/>
  <c r="CU13" i="1"/>
  <c r="CT13" i="1"/>
  <c r="CS13" i="1"/>
  <c r="CR13" i="1"/>
  <c r="CQ13" i="1"/>
  <c r="CP13" i="1"/>
  <c r="CO13" i="1"/>
  <c r="CM13" i="1"/>
  <c r="CL13" i="1"/>
  <c r="CK13" i="1"/>
  <c r="CJ13" i="1"/>
  <c r="CI13" i="1"/>
  <c r="CH13" i="1"/>
  <c r="CG13" i="1"/>
  <c r="CE13" i="1"/>
  <c r="CD13" i="1"/>
  <c r="CC13" i="1"/>
  <c r="CB13" i="1"/>
  <c r="CA13" i="1"/>
  <c r="BZ13" i="1"/>
  <c r="BY13" i="1"/>
  <c r="DC12" i="1"/>
  <c r="CZ12" i="1"/>
  <c r="CY12" i="1"/>
  <c r="CU12" i="1"/>
  <c r="CT12" i="1"/>
  <c r="CS12" i="1"/>
  <c r="CR12" i="1"/>
  <c r="CQ12" i="1"/>
  <c r="CP12" i="1"/>
  <c r="CO12" i="1"/>
  <c r="CM12" i="1"/>
  <c r="CL12" i="1"/>
  <c r="CK12" i="1"/>
  <c r="CJ12" i="1"/>
  <c r="CI12" i="1"/>
  <c r="CH12" i="1"/>
  <c r="CG12" i="1"/>
  <c r="CE12" i="1"/>
  <c r="CD12" i="1"/>
  <c r="CC12" i="1"/>
  <c r="CB12" i="1"/>
  <c r="CA12" i="1"/>
  <c r="BZ12" i="1"/>
  <c r="BY12" i="1"/>
  <c r="DC11" i="1"/>
  <c r="CZ11" i="1"/>
  <c r="CY11" i="1"/>
  <c r="CU11" i="1"/>
  <c r="CT11" i="1"/>
  <c r="CS11" i="1"/>
  <c r="CR11" i="1"/>
  <c r="CQ11" i="1"/>
  <c r="CP11" i="1"/>
  <c r="CO11" i="1"/>
  <c r="CM11" i="1"/>
  <c r="CL11" i="1"/>
  <c r="CK11" i="1"/>
  <c r="CJ11" i="1"/>
  <c r="CI11" i="1"/>
  <c r="CH11" i="1"/>
  <c r="CG11" i="1"/>
  <c r="CE11" i="1"/>
  <c r="CD11" i="1"/>
  <c r="CC11" i="1"/>
  <c r="CB11" i="1"/>
  <c r="CA11" i="1"/>
  <c r="BZ11" i="1"/>
  <c r="BY11" i="1"/>
  <c r="DC10" i="1"/>
  <c r="CZ10" i="1"/>
  <c r="CY10" i="1"/>
  <c r="CU10" i="1"/>
  <c r="CT10" i="1"/>
  <c r="CS10" i="1"/>
  <c r="CR10" i="1"/>
  <c r="CQ10" i="1"/>
  <c r="CP10" i="1"/>
  <c r="CO10" i="1"/>
  <c r="CM10" i="1"/>
  <c r="CL10" i="1"/>
  <c r="CK10" i="1"/>
  <c r="CJ10" i="1"/>
  <c r="CI10" i="1"/>
  <c r="CH10" i="1"/>
  <c r="CG10" i="1"/>
  <c r="CE10" i="1"/>
  <c r="CD10" i="1"/>
  <c r="CC10" i="1"/>
  <c r="CB10" i="1"/>
  <c r="CA10" i="1"/>
  <c r="BZ10" i="1"/>
  <c r="BY10" i="1"/>
  <c r="DC9" i="1"/>
  <c r="CZ9" i="1"/>
  <c r="CY9" i="1"/>
  <c r="CU9" i="1"/>
  <c r="CT9" i="1"/>
  <c r="CS9" i="1"/>
  <c r="CR9" i="1"/>
  <c r="CQ9" i="1"/>
  <c r="CP9" i="1"/>
  <c r="CO9" i="1"/>
  <c r="CM9" i="1"/>
  <c r="CL9" i="1"/>
  <c r="CK9" i="1"/>
  <c r="CJ9" i="1"/>
  <c r="CI9" i="1"/>
  <c r="CH9" i="1"/>
  <c r="CG9" i="1"/>
  <c r="CE9" i="1"/>
  <c r="CD9" i="1"/>
  <c r="CC9" i="1"/>
  <c r="CB9" i="1"/>
  <c r="CA9" i="1"/>
  <c r="BZ9" i="1"/>
  <c r="BY9" i="1"/>
  <c r="DC8" i="1"/>
  <c r="CZ8" i="1"/>
  <c r="CY8" i="1"/>
  <c r="CU8" i="1"/>
  <c r="CT8" i="1"/>
  <c r="CS8" i="1"/>
  <c r="CR8" i="1"/>
  <c r="CQ8" i="1"/>
  <c r="CP8" i="1"/>
  <c r="CO8" i="1"/>
  <c r="CM8" i="1"/>
  <c r="CL8" i="1"/>
  <c r="CK8" i="1"/>
  <c r="CJ8" i="1"/>
  <c r="CI8" i="1"/>
  <c r="CH8" i="1"/>
  <c r="CG8" i="1"/>
  <c r="CE8" i="1"/>
  <c r="CD8" i="1"/>
  <c r="CC8" i="1"/>
  <c r="CB8" i="1"/>
  <c r="CA8" i="1"/>
  <c r="BZ8" i="1"/>
  <c r="BY8" i="1"/>
  <c r="DC7" i="1"/>
  <c r="CZ7" i="1"/>
  <c r="CY7" i="1"/>
  <c r="CU7" i="1"/>
  <c r="CT7" i="1"/>
  <c r="CS7" i="1"/>
  <c r="CR7" i="1"/>
  <c r="CQ7" i="1"/>
  <c r="CP7" i="1"/>
  <c r="CO7" i="1"/>
  <c r="CM7" i="1"/>
  <c r="CL7" i="1"/>
  <c r="CK7" i="1"/>
  <c r="CJ7" i="1"/>
  <c r="CI7" i="1"/>
  <c r="CH7" i="1"/>
  <c r="CG7" i="1"/>
  <c r="CE7" i="1"/>
  <c r="CD7" i="1"/>
  <c r="CC7" i="1"/>
  <c r="CB7" i="1"/>
  <c r="CA7" i="1"/>
  <c r="BZ7" i="1"/>
  <c r="BY7" i="1"/>
  <c r="AF371" i="1" l="1"/>
  <c r="R371" i="1"/>
  <c r="E371" i="1"/>
  <c r="AF370" i="1"/>
  <c r="R370" i="1"/>
  <c r="E370" i="1"/>
  <c r="AF369" i="1"/>
  <c r="R369" i="1"/>
  <c r="E369" i="1"/>
  <c r="AF368" i="1"/>
  <c r="R368" i="1"/>
  <c r="E368" i="1"/>
  <c r="AF367" i="1"/>
  <c r="R367" i="1"/>
  <c r="E367" i="1"/>
  <c r="AF366" i="1"/>
  <c r="R366" i="1"/>
  <c r="E366" i="1"/>
  <c r="AF365" i="1"/>
  <c r="R365" i="1"/>
  <c r="E365" i="1"/>
  <c r="AF364" i="1"/>
  <c r="R364" i="1"/>
  <c r="E364" i="1"/>
  <c r="AF363" i="1"/>
  <c r="R363" i="1"/>
  <c r="E363" i="1"/>
  <c r="AF362" i="1"/>
  <c r="R362" i="1"/>
  <c r="E362" i="1"/>
  <c r="AF361" i="1"/>
  <c r="R361" i="1"/>
  <c r="E361" i="1"/>
  <c r="AF360" i="1"/>
  <c r="R360" i="1"/>
  <c r="E360" i="1"/>
  <c r="AF359" i="1"/>
  <c r="R359" i="1"/>
  <c r="E359" i="1"/>
  <c r="AF358" i="1"/>
  <c r="R358" i="1"/>
  <c r="E358" i="1"/>
  <c r="AF357" i="1"/>
  <c r="R357" i="1"/>
  <c r="E357" i="1"/>
  <c r="AF356" i="1"/>
  <c r="R356" i="1"/>
  <c r="E356" i="1"/>
  <c r="AF355" i="1"/>
  <c r="R355" i="1"/>
  <c r="E355" i="1"/>
  <c r="AF354" i="1"/>
  <c r="R354" i="1"/>
  <c r="E354" i="1"/>
  <c r="AF353" i="1"/>
  <c r="R353" i="1"/>
  <c r="E353" i="1"/>
  <c r="AF352" i="1"/>
  <c r="R352" i="1"/>
  <c r="E352" i="1"/>
  <c r="AF351" i="1"/>
  <c r="R351" i="1"/>
  <c r="E351" i="1"/>
  <c r="AF350" i="1"/>
  <c r="R350" i="1"/>
  <c r="E350" i="1"/>
  <c r="AF349" i="1"/>
  <c r="R349" i="1"/>
  <c r="E349" i="1"/>
  <c r="AF348" i="1"/>
  <c r="R348" i="1"/>
  <c r="E348" i="1"/>
  <c r="E371" i="26" l="1"/>
  <c r="D371" i="26"/>
  <c r="E370" i="26"/>
  <c r="D370" i="26"/>
  <c r="E369" i="26"/>
  <c r="D369" i="26"/>
  <c r="E368" i="26"/>
  <c r="D368" i="26"/>
  <c r="E367" i="26"/>
  <c r="D367" i="26"/>
  <c r="E366" i="26"/>
  <c r="D366" i="26"/>
  <c r="E365" i="26"/>
  <c r="D365" i="26"/>
  <c r="E364" i="26"/>
  <c r="D364" i="26"/>
  <c r="E363" i="26"/>
  <c r="D363" i="26"/>
  <c r="E362" i="26"/>
  <c r="D362" i="26"/>
  <c r="E361" i="26"/>
  <c r="D361" i="26"/>
  <c r="E360" i="26"/>
  <c r="D360" i="26"/>
  <c r="E359" i="26"/>
  <c r="D359" i="26"/>
  <c r="E358" i="26"/>
  <c r="D358" i="26"/>
  <c r="E357" i="26"/>
  <c r="D357" i="26"/>
  <c r="E356" i="26"/>
  <c r="D356" i="26"/>
  <c r="E355" i="26"/>
  <c r="D355" i="26"/>
  <c r="E354" i="26"/>
  <c r="D354" i="26"/>
  <c r="E353" i="26"/>
  <c r="D353" i="26"/>
  <c r="E352" i="26"/>
  <c r="D352" i="26"/>
  <c r="E351" i="26"/>
  <c r="D351" i="26"/>
  <c r="E350" i="26"/>
  <c r="D350" i="26"/>
  <c r="E349" i="26"/>
  <c r="D349" i="26"/>
  <c r="E348" i="26"/>
  <c r="D348" i="26"/>
  <c r="E347" i="26"/>
  <c r="D347" i="26"/>
  <c r="E346" i="26"/>
  <c r="D346" i="26"/>
  <c r="E345" i="26"/>
  <c r="D345" i="26"/>
  <c r="E344" i="26"/>
  <c r="D344" i="26"/>
  <c r="E343" i="26"/>
  <c r="D343" i="26"/>
  <c r="E342" i="26"/>
  <c r="D342" i="26"/>
  <c r="E341" i="26"/>
  <c r="D341" i="26"/>
  <c r="E340" i="26"/>
  <c r="D340" i="26"/>
  <c r="E339" i="26"/>
  <c r="D339" i="26"/>
  <c r="E338" i="26"/>
  <c r="D338" i="26"/>
  <c r="E337" i="26"/>
  <c r="D337" i="26"/>
  <c r="E336" i="26"/>
  <c r="D336" i="26"/>
  <c r="E335" i="26"/>
  <c r="D335" i="26"/>
  <c r="E334" i="26"/>
  <c r="D334" i="26"/>
  <c r="E333" i="26"/>
  <c r="D333" i="26"/>
  <c r="E332" i="26"/>
  <c r="D332" i="26"/>
  <c r="E331" i="26"/>
  <c r="D331" i="26"/>
  <c r="E330" i="26"/>
  <c r="D330" i="26"/>
  <c r="E329" i="26"/>
  <c r="D329" i="26"/>
  <c r="E328" i="26"/>
  <c r="D328" i="26"/>
  <c r="E327" i="26"/>
  <c r="D327" i="26"/>
  <c r="E326" i="26"/>
  <c r="D326" i="26"/>
  <c r="E325" i="26"/>
  <c r="D325" i="26"/>
  <c r="E324" i="26"/>
  <c r="D324" i="26"/>
  <c r="E323" i="26"/>
  <c r="D323" i="26"/>
  <c r="E322" i="26"/>
  <c r="D322" i="26"/>
  <c r="E321" i="26"/>
  <c r="D321" i="26"/>
  <c r="E320" i="26"/>
  <c r="D320" i="26"/>
  <c r="E319" i="26"/>
  <c r="D319" i="26"/>
  <c r="E318" i="26"/>
  <c r="D318" i="26"/>
  <c r="E317" i="26"/>
  <c r="D317" i="26"/>
  <c r="E316" i="26"/>
  <c r="D316" i="26"/>
  <c r="E315" i="26"/>
  <c r="D315" i="26"/>
  <c r="E314" i="26"/>
  <c r="D314" i="26"/>
  <c r="E313" i="26"/>
  <c r="D313" i="26"/>
  <c r="E312" i="26"/>
  <c r="D312" i="26"/>
  <c r="E311" i="26"/>
  <c r="D311" i="26"/>
  <c r="E310" i="26"/>
  <c r="D310" i="26"/>
  <c r="E309" i="26"/>
  <c r="D309" i="26"/>
  <c r="E308" i="26"/>
  <c r="D308" i="26"/>
  <c r="E307" i="26"/>
  <c r="D307" i="26"/>
  <c r="E306" i="26"/>
  <c r="D306" i="26"/>
  <c r="E305" i="26"/>
  <c r="D305" i="26"/>
  <c r="E304" i="26"/>
  <c r="D304" i="26"/>
  <c r="E303" i="26"/>
  <c r="D303" i="26"/>
  <c r="E302" i="26"/>
  <c r="D302" i="26"/>
  <c r="E301" i="26"/>
  <c r="D301" i="26"/>
  <c r="E300" i="26"/>
  <c r="D300" i="26"/>
  <c r="E299" i="26"/>
  <c r="D299" i="26"/>
  <c r="E298" i="26"/>
  <c r="D298" i="26"/>
  <c r="E297" i="26"/>
  <c r="D297" i="26"/>
  <c r="E296" i="26"/>
  <c r="D296" i="26"/>
  <c r="E295" i="26"/>
  <c r="D295" i="26"/>
  <c r="E294" i="26"/>
  <c r="D294" i="26"/>
  <c r="E293" i="26"/>
  <c r="D293" i="26"/>
  <c r="E292" i="26"/>
  <c r="D292" i="26"/>
  <c r="E291" i="26"/>
  <c r="D291" i="26"/>
  <c r="E290" i="26"/>
  <c r="D290" i="26"/>
  <c r="E289" i="26"/>
  <c r="D289" i="26"/>
  <c r="E288" i="26"/>
  <c r="D288" i="26"/>
  <c r="E287" i="26"/>
  <c r="D287" i="26"/>
  <c r="E286" i="26"/>
  <c r="D286" i="26"/>
  <c r="E285" i="26"/>
  <c r="D285" i="26"/>
  <c r="E284" i="26"/>
  <c r="D284" i="26"/>
  <c r="E283" i="26"/>
  <c r="D283" i="26"/>
  <c r="E282" i="26"/>
  <c r="D282" i="26"/>
  <c r="E281" i="26"/>
  <c r="D281" i="26"/>
  <c r="E280" i="26"/>
  <c r="D280" i="26"/>
  <c r="E279" i="26"/>
  <c r="D279" i="26"/>
  <c r="E278" i="26"/>
  <c r="D278" i="26"/>
  <c r="E277" i="26"/>
  <c r="D277" i="26"/>
  <c r="E276" i="26"/>
  <c r="D276" i="26"/>
  <c r="E275" i="26"/>
  <c r="D275" i="26"/>
  <c r="E274" i="26"/>
  <c r="D274" i="26"/>
  <c r="E273" i="26"/>
  <c r="D273" i="26"/>
  <c r="E272" i="26"/>
  <c r="D272" i="26"/>
  <c r="E271" i="26"/>
  <c r="D271" i="26"/>
  <c r="E270" i="26"/>
  <c r="D270" i="26"/>
  <c r="E269" i="26"/>
  <c r="D269" i="26"/>
  <c r="E268" i="26"/>
  <c r="D268" i="26"/>
  <c r="E267" i="26"/>
  <c r="D267" i="26"/>
  <c r="E266" i="26"/>
  <c r="D266" i="26"/>
  <c r="E265" i="26"/>
  <c r="D265" i="26"/>
  <c r="E264" i="26"/>
  <c r="D264" i="26"/>
  <c r="E263" i="26"/>
  <c r="D263" i="26"/>
  <c r="E262" i="26"/>
  <c r="D262" i="26"/>
  <c r="E261" i="26"/>
  <c r="D261" i="26"/>
  <c r="E260" i="26"/>
  <c r="D260" i="26"/>
  <c r="E259" i="26"/>
  <c r="D259" i="26"/>
  <c r="E258" i="26"/>
  <c r="D258" i="26"/>
  <c r="E257" i="26"/>
  <c r="D257" i="26"/>
  <c r="E256" i="26"/>
  <c r="D256" i="26"/>
  <c r="E255" i="26"/>
  <c r="D255" i="26"/>
  <c r="E254" i="26"/>
  <c r="D254" i="26"/>
  <c r="E253" i="26"/>
  <c r="D253" i="26"/>
  <c r="E252" i="26"/>
  <c r="D252" i="26"/>
  <c r="E251" i="26"/>
  <c r="D251" i="26"/>
  <c r="E250" i="26"/>
  <c r="D250" i="26"/>
  <c r="E249" i="26"/>
  <c r="D249" i="26"/>
  <c r="E248" i="26"/>
  <c r="D248" i="26"/>
  <c r="E247" i="26"/>
  <c r="D247" i="26"/>
  <c r="E246" i="26"/>
  <c r="D246" i="26"/>
  <c r="E245" i="26"/>
  <c r="D245" i="26"/>
  <c r="E244" i="26"/>
  <c r="D244" i="26"/>
  <c r="E243" i="26"/>
  <c r="D243" i="26"/>
  <c r="E242" i="26"/>
  <c r="D242" i="26"/>
  <c r="E241" i="26"/>
  <c r="D241" i="26"/>
  <c r="E240" i="26"/>
  <c r="D240" i="26"/>
  <c r="E239" i="26"/>
  <c r="D239" i="26"/>
  <c r="E238" i="26"/>
  <c r="D238" i="26"/>
  <c r="E237" i="26"/>
  <c r="D237" i="26"/>
  <c r="E236" i="26"/>
  <c r="D236" i="26"/>
  <c r="E235" i="26"/>
  <c r="D235" i="26"/>
  <c r="E234" i="26"/>
  <c r="D234" i="26"/>
  <c r="E233" i="26"/>
  <c r="D233" i="26"/>
  <c r="E232" i="26"/>
  <c r="D232" i="26"/>
  <c r="E231" i="26"/>
  <c r="D231" i="26"/>
  <c r="E230" i="26"/>
  <c r="D230" i="26"/>
  <c r="E229" i="26"/>
  <c r="D229" i="26"/>
  <c r="E228" i="26"/>
  <c r="D228" i="26"/>
  <c r="E227" i="26"/>
  <c r="D227" i="26"/>
  <c r="E226" i="26"/>
  <c r="D226" i="26"/>
  <c r="E225" i="26"/>
  <c r="D225" i="26"/>
  <c r="E224" i="26"/>
  <c r="D224" i="26"/>
  <c r="E223" i="26"/>
  <c r="D223" i="26"/>
  <c r="E222" i="26"/>
  <c r="D222" i="26"/>
  <c r="E221" i="26"/>
  <c r="D221" i="26"/>
  <c r="E220" i="26"/>
  <c r="D220" i="26"/>
  <c r="E219" i="26"/>
  <c r="D219" i="26"/>
  <c r="E218" i="26"/>
  <c r="D218" i="26"/>
  <c r="E217" i="26"/>
  <c r="D217" i="26"/>
  <c r="E216" i="26"/>
  <c r="D216" i="26"/>
  <c r="E215" i="26"/>
  <c r="D215" i="26"/>
  <c r="E214" i="26"/>
  <c r="D214" i="26"/>
  <c r="E213" i="26"/>
  <c r="D213" i="26"/>
  <c r="E212" i="26"/>
  <c r="D212" i="26"/>
  <c r="E211" i="26"/>
  <c r="D211" i="26"/>
  <c r="E210" i="26"/>
  <c r="D210" i="26"/>
  <c r="E209" i="26"/>
  <c r="D209" i="26"/>
  <c r="E208" i="26"/>
  <c r="D208" i="26"/>
  <c r="E207" i="26"/>
  <c r="D207" i="26"/>
  <c r="E206" i="26"/>
  <c r="D206" i="26"/>
  <c r="E205" i="26"/>
  <c r="D205" i="26"/>
  <c r="E204" i="26"/>
  <c r="D204" i="26"/>
  <c r="E203" i="26"/>
  <c r="D203" i="26"/>
  <c r="E202" i="26"/>
  <c r="D202" i="26"/>
  <c r="E201" i="26"/>
  <c r="D201" i="26"/>
  <c r="E200" i="26"/>
  <c r="D200" i="26"/>
  <c r="E199" i="26"/>
  <c r="D199" i="26"/>
  <c r="E198" i="26"/>
  <c r="D198" i="26"/>
  <c r="E197" i="26"/>
  <c r="D197" i="26"/>
  <c r="E196" i="26"/>
  <c r="D196" i="26"/>
  <c r="E195" i="26"/>
  <c r="D195" i="26"/>
  <c r="E194" i="26"/>
  <c r="D194" i="26"/>
  <c r="E193" i="26"/>
  <c r="D193" i="26"/>
  <c r="E192" i="26"/>
  <c r="D192" i="26"/>
  <c r="E191" i="26"/>
  <c r="D191" i="26"/>
  <c r="E190" i="26"/>
  <c r="D190" i="26"/>
  <c r="E189" i="26"/>
  <c r="D189" i="26"/>
  <c r="E188" i="26"/>
  <c r="D188" i="26"/>
  <c r="E187" i="26"/>
  <c r="D187" i="26"/>
  <c r="E186" i="26"/>
  <c r="D186" i="26"/>
  <c r="E185" i="26"/>
  <c r="D185" i="26"/>
  <c r="E184" i="26"/>
  <c r="D184" i="26"/>
  <c r="E183" i="26"/>
  <c r="D183" i="26"/>
  <c r="E182" i="26"/>
  <c r="D182" i="26"/>
  <c r="E181" i="26"/>
  <c r="D181" i="26"/>
  <c r="E180" i="26"/>
  <c r="D180" i="26"/>
  <c r="E179" i="26"/>
  <c r="D179" i="26"/>
  <c r="E178" i="26"/>
  <c r="D178" i="26"/>
  <c r="E177" i="26"/>
  <c r="D177" i="26"/>
  <c r="E176" i="26"/>
  <c r="D176" i="26"/>
  <c r="E175" i="26"/>
  <c r="D175" i="26"/>
  <c r="E174" i="26"/>
  <c r="D174" i="26"/>
  <c r="E173" i="26"/>
  <c r="D173" i="26"/>
  <c r="E172" i="26"/>
  <c r="D172" i="26"/>
  <c r="E171" i="26"/>
  <c r="D171" i="26"/>
  <c r="E170" i="26"/>
  <c r="D170" i="26"/>
  <c r="E169" i="26"/>
  <c r="D169" i="26"/>
  <c r="E168" i="26"/>
  <c r="D168" i="26"/>
  <c r="E167" i="26"/>
  <c r="D167" i="26"/>
  <c r="E166" i="26"/>
  <c r="D166" i="26"/>
  <c r="E165" i="26"/>
  <c r="D165" i="26"/>
  <c r="E164" i="26"/>
  <c r="D164" i="26"/>
  <c r="E163" i="26"/>
  <c r="D163" i="26"/>
  <c r="E162" i="26"/>
  <c r="D162" i="26"/>
  <c r="E161" i="26"/>
  <c r="D161" i="26"/>
  <c r="E160" i="26"/>
  <c r="D160" i="26"/>
  <c r="E159" i="26"/>
  <c r="D159" i="26"/>
  <c r="E158" i="26"/>
  <c r="D158" i="26"/>
  <c r="E157" i="26"/>
  <c r="D157" i="26"/>
  <c r="E156" i="26"/>
  <c r="D156" i="26"/>
  <c r="E155" i="26"/>
  <c r="D155" i="26"/>
  <c r="E154" i="26"/>
  <c r="D154" i="26"/>
  <c r="E153" i="26"/>
  <c r="D153" i="26"/>
  <c r="E152" i="26"/>
  <c r="D152" i="26"/>
  <c r="E151" i="26"/>
  <c r="D151" i="26"/>
  <c r="E150" i="26"/>
  <c r="D150" i="26"/>
  <c r="E149" i="26"/>
  <c r="D149" i="26"/>
  <c r="E148" i="26"/>
  <c r="D148" i="26"/>
  <c r="E147" i="26"/>
  <c r="D147" i="26"/>
  <c r="E146" i="26"/>
  <c r="D146" i="26"/>
  <c r="E145" i="26"/>
  <c r="D145" i="26"/>
  <c r="E144" i="26"/>
  <c r="D144" i="26"/>
  <c r="E143" i="26"/>
  <c r="D143" i="26"/>
  <c r="E142" i="26"/>
  <c r="D142" i="26"/>
  <c r="E141" i="26"/>
  <c r="D141" i="26"/>
  <c r="E140" i="26"/>
  <c r="D140" i="26"/>
  <c r="E139" i="26"/>
  <c r="D139" i="26"/>
  <c r="E138" i="26"/>
  <c r="D138" i="26"/>
  <c r="E137" i="26"/>
  <c r="D137" i="26"/>
  <c r="E136" i="26"/>
  <c r="D136" i="26"/>
  <c r="E135" i="26"/>
  <c r="D135" i="26"/>
  <c r="E134" i="26"/>
  <c r="D134" i="26"/>
  <c r="E133" i="26"/>
  <c r="D133" i="26"/>
  <c r="E132" i="26"/>
  <c r="D132" i="26"/>
  <c r="E131" i="26"/>
  <c r="D131" i="26"/>
  <c r="E130" i="26"/>
  <c r="D130" i="26"/>
  <c r="E129" i="26"/>
  <c r="D129" i="26"/>
  <c r="E128" i="26"/>
  <c r="D128" i="26"/>
  <c r="E127" i="26"/>
  <c r="D127" i="26"/>
  <c r="E126" i="26"/>
  <c r="D126" i="26"/>
  <c r="E125" i="26"/>
  <c r="D125" i="26"/>
  <c r="E124" i="26"/>
  <c r="D124" i="26"/>
  <c r="E123" i="26"/>
  <c r="D123" i="26"/>
  <c r="E122" i="26"/>
  <c r="D122" i="26"/>
  <c r="E121" i="26"/>
  <c r="D121" i="26"/>
  <c r="E120" i="26"/>
  <c r="D120" i="26"/>
  <c r="E119" i="26"/>
  <c r="D119" i="26"/>
  <c r="E118" i="26"/>
  <c r="D118" i="26"/>
  <c r="E117" i="26"/>
  <c r="D117" i="26"/>
  <c r="E116" i="26"/>
  <c r="D116" i="26"/>
  <c r="E115" i="26"/>
  <c r="D115" i="26"/>
  <c r="E114" i="26"/>
  <c r="D114" i="26"/>
  <c r="E113" i="26"/>
  <c r="D113" i="26"/>
  <c r="E112" i="26"/>
  <c r="D112" i="26"/>
  <c r="E111" i="26"/>
  <c r="D111" i="26"/>
  <c r="E110" i="26"/>
  <c r="D110" i="26"/>
  <c r="E109" i="26"/>
  <c r="D109" i="26"/>
  <c r="E108" i="26"/>
  <c r="D108" i="26"/>
  <c r="E107" i="26"/>
  <c r="D107" i="26"/>
  <c r="E106" i="26"/>
  <c r="D106" i="26"/>
  <c r="E105" i="26"/>
  <c r="D105" i="26"/>
  <c r="E104" i="26"/>
  <c r="D104" i="26"/>
  <c r="E103" i="26"/>
  <c r="D103" i="26"/>
  <c r="E102" i="26"/>
  <c r="D102" i="26"/>
  <c r="E101" i="26"/>
  <c r="D101" i="26"/>
  <c r="E100" i="26"/>
  <c r="D100" i="26"/>
  <c r="E99" i="26"/>
  <c r="D99" i="26"/>
  <c r="E98" i="26"/>
  <c r="D98" i="26"/>
  <c r="E97" i="26"/>
  <c r="D97" i="26"/>
  <c r="E96" i="26"/>
  <c r="D96" i="26"/>
  <c r="E95" i="26"/>
  <c r="D95" i="26"/>
  <c r="E94" i="26"/>
  <c r="D94" i="26"/>
  <c r="E93" i="26"/>
  <c r="D93" i="26"/>
  <c r="E92" i="26"/>
  <c r="D92" i="26"/>
  <c r="E91" i="26"/>
  <c r="D91" i="26"/>
  <c r="E90" i="26"/>
  <c r="D90" i="26"/>
  <c r="E89" i="26"/>
  <c r="D89" i="26"/>
  <c r="E88" i="26"/>
  <c r="D88" i="26"/>
  <c r="E87" i="26"/>
  <c r="D87" i="26"/>
  <c r="E86" i="26"/>
  <c r="D86" i="26"/>
  <c r="E85" i="26"/>
  <c r="D85" i="26"/>
  <c r="E84" i="26"/>
  <c r="D84" i="26"/>
  <c r="E83" i="26"/>
  <c r="D83" i="26"/>
  <c r="E82" i="26"/>
  <c r="D82" i="26"/>
  <c r="E81" i="26"/>
  <c r="D81" i="26"/>
  <c r="E80" i="26"/>
  <c r="D80" i="26"/>
  <c r="E79" i="26"/>
  <c r="D79" i="26"/>
  <c r="E78" i="26"/>
  <c r="D78" i="26"/>
  <c r="E77" i="26"/>
  <c r="D77" i="26"/>
  <c r="E76" i="26"/>
  <c r="D76" i="26"/>
  <c r="E75" i="26"/>
  <c r="D75" i="26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D63" i="26"/>
  <c r="E62" i="26"/>
  <c r="D62" i="26"/>
  <c r="E61" i="26"/>
  <c r="D61" i="26"/>
  <c r="E60" i="26"/>
  <c r="D60" i="26"/>
  <c r="E59" i="26"/>
  <c r="D59" i="26"/>
  <c r="E58" i="26"/>
  <c r="D58" i="26"/>
  <c r="E57" i="26"/>
  <c r="D57" i="26"/>
  <c r="E56" i="26"/>
  <c r="D56" i="26"/>
  <c r="E55" i="26"/>
  <c r="D55" i="26"/>
  <c r="E54" i="26"/>
  <c r="D54" i="26"/>
  <c r="E53" i="26"/>
  <c r="D53" i="26"/>
  <c r="E52" i="26"/>
  <c r="D52" i="26"/>
  <c r="E51" i="26"/>
  <c r="D51" i="26"/>
  <c r="E50" i="26"/>
  <c r="D50" i="26"/>
  <c r="E49" i="26"/>
  <c r="D49" i="26"/>
  <c r="E48" i="26"/>
  <c r="D48" i="26"/>
  <c r="E47" i="26"/>
  <c r="D47" i="26"/>
  <c r="E46" i="26"/>
  <c r="D46" i="26"/>
  <c r="E45" i="26"/>
  <c r="D45" i="26"/>
  <c r="E44" i="26"/>
  <c r="D44" i="26"/>
  <c r="E43" i="26"/>
  <c r="D43" i="26"/>
  <c r="E42" i="26"/>
  <c r="D42" i="26"/>
  <c r="E41" i="26"/>
  <c r="D41" i="26"/>
  <c r="E40" i="26"/>
  <c r="D40" i="26"/>
  <c r="E39" i="26"/>
  <c r="D39" i="26"/>
  <c r="E38" i="26"/>
  <c r="D38" i="26"/>
  <c r="E37" i="26"/>
  <c r="D37" i="26"/>
  <c r="E36" i="26"/>
  <c r="D36" i="26"/>
  <c r="E35" i="26"/>
  <c r="D35" i="26"/>
  <c r="E34" i="26"/>
  <c r="D34" i="26"/>
  <c r="E33" i="26"/>
  <c r="D33" i="26"/>
  <c r="E32" i="26"/>
  <c r="D32" i="26"/>
  <c r="E31" i="26"/>
  <c r="D31" i="26"/>
  <c r="E30" i="26"/>
  <c r="D30" i="26"/>
  <c r="E29" i="26"/>
  <c r="D29" i="26"/>
  <c r="E28" i="26"/>
  <c r="D28" i="26"/>
  <c r="E27" i="26"/>
  <c r="D27" i="26"/>
  <c r="E26" i="26"/>
  <c r="D26" i="26"/>
  <c r="E25" i="26"/>
  <c r="D25" i="26"/>
  <c r="E24" i="26"/>
  <c r="D24" i="26"/>
  <c r="E23" i="26"/>
  <c r="D23" i="26"/>
  <c r="E22" i="26"/>
  <c r="D22" i="26"/>
  <c r="E21" i="26"/>
  <c r="D21" i="26"/>
  <c r="E20" i="26"/>
  <c r="D20" i="26"/>
  <c r="E19" i="26"/>
  <c r="D19" i="26"/>
  <c r="E18" i="26"/>
  <c r="D18" i="26"/>
  <c r="E17" i="26"/>
  <c r="D17" i="26"/>
  <c r="E16" i="26"/>
  <c r="D16" i="26"/>
  <c r="E15" i="26"/>
  <c r="D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N18" i="26"/>
  <c r="M18" i="26"/>
  <c r="L18" i="26"/>
  <c r="N17" i="26"/>
  <c r="M17" i="26"/>
  <c r="L17" i="26"/>
  <c r="N16" i="26"/>
  <c r="M16" i="26"/>
  <c r="L16" i="26"/>
  <c r="N15" i="26"/>
  <c r="M15" i="26"/>
  <c r="L15" i="26"/>
  <c r="N14" i="26"/>
  <c r="M14" i="26"/>
  <c r="L14" i="26"/>
  <c r="N13" i="26"/>
  <c r="M13" i="26"/>
  <c r="L13" i="26"/>
  <c r="N12" i="26"/>
  <c r="M12" i="26"/>
  <c r="L12" i="26"/>
  <c r="N11" i="26"/>
  <c r="M11" i="26"/>
  <c r="L11" i="26"/>
  <c r="N10" i="26"/>
  <c r="M10" i="26"/>
  <c r="O10" i="26" s="1"/>
  <c r="O11" i="26" s="1"/>
  <c r="O12" i="26" s="1"/>
  <c r="O13" i="26" s="1"/>
  <c r="O14" i="26" s="1"/>
  <c r="O15" i="26" s="1"/>
  <c r="O16" i="26" s="1"/>
  <c r="O17" i="26" s="1"/>
  <c r="O18" i="26" s="1"/>
  <c r="L10" i="26"/>
  <c r="N9" i="26"/>
  <c r="M9" i="26"/>
  <c r="O9" i="26" s="1"/>
  <c r="L9" i="26"/>
  <c r="N8" i="26"/>
  <c r="P8" i="26" s="1"/>
  <c r="M8" i="26"/>
  <c r="O8" i="26" s="1"/>
  <c r="L8" i="26"/>
  <c r="N7" i="26"/>
  <c r="P7" i="26" s="1"/>
  <c r="M7" i="26"/>
  <c r="O7" i="26" s="1"/>
  <c r="L7" i="26"/>
  <c r="P9" i="26" l="1"/>
  <c r="P10" i="26" s="1"/>
  <c r="P11" i="26" s="1"/>
  <c r="P12" i="26" s="1"/>
  <c r="P13" i="26" s="1"/>
  <c r="P14" i="26" s="1"/>
  <c r="P15" i="26" s="1"/>
  <c r="P16" i="26" s="1"/>
  <c r="P17" i="26" s="1"/>
  <c r="P18" i="26" s="1"/>
  <c r="BO347" i="1"/>
  <c r="BM347" i="1"/>
  <c r="CN347" i="1" s="1"/>
  <c r="BN347" i="1"/>
  <c r="CF347" i="1" s="1"/>
  <c r="BO346" i="1"/>
  <c r="BM346" i="1"/>
  <c r="CN346" i="1" s="1"/>
  <c r="BN346" i="1"/>
  <c r="CF346" i="1" s="1"/>
  <c r="BO345" i="1"/>
  <c r="BM345" i="1"/>
  <c r="CN345" i="1" s="1"/>
  <c r="BN345" i="1"/>
  <c r="CF345" i="1" s="1"/>
  <c r="BO344" i="1"/>
  <c r="BM344" i="1"/>
  <c r="CN344" i="1" s="1"/>
  <c r="BN344" i="1"/>
  <c r="CF344" i="1" s="1"/>
  <c r="BO343" i="1"/>
  <c r="BM343" i="1"/>
  <c r="CN343" i="1" s="1"/>
  <c r="BN343" i="1"/>
  <c r="CF343" i="1" s="1"/>
  <c r="BO342" i="1"/>
  <c r="BM342" i="1"/>
  <c r="CN342" i="1" s="1"/>
  <c r="BN342" i="1"/>
  <c r="CF342" i="1" s="1"/>
  <c r="BO341" i="1"/>
  <c r="BM341" i="1"/>
  <c r="CN341" i="1" s="1"/>
  <c r="BN341" i="1"/>
  <c r="CF341" i="1" s="1"/>
  <c r="BO340" i="1"/>
  <c r="BM340" i="1"/>
  <c r="CN340" i="1" s="1"/>
  <c r="BN340" i="1"/>
  <c r="CF340" i="1" s="1"/>
  <c r="BO339" i="1"/>
  <c r="BM339" i="1"/>
  <c r="CN339" i="1" s="1"/>
  <c r="BN339" i="1"/>
  <c r="CF339" i="1" s="1"/>
  <c r="BO338" i="1"/>
  <c r="BM338" i="1"/>
  <c r="CN338" i="1" s="1"/>
  <c r="BN338" i="1"/>
  <c r="CF338" i="1" s="1"/>
  <c r="BO337" i="1"/>
  <c r="BM337" i="1"/>
  <c r="CN337" i="1" s="1"/>
  <c r="BN337" i="1"/>
  <c r="CF337" i="1" s="1"/>
  <c r="BO336" i="1"/>
  <c r="BM336" i="1"/>
  <c r="CN336" i="1" s="1"/>
  <c r="BN336" i="1"/>
  <c r="CF336" i="1" s="1"/>
  <c r="BO335" i="1"/>
  <c r="BM335" i="1"/>
  <c r="CN335" i="1" s="1"/>
  <c r="BN335" i="1"/>
  <c r="CF335" i="1" s="1"/>
  <c r="BO334" i="1"/>
  <c r="BM334" i="1"/>
  <c r="CN334" i="1" s="1"/>
  <c r="BN334" i="1"/>
  <c r="CF334" i="1" s="1"/>
  <c r="BO333" i="1"/>
  <c r="BM333" i="1"/>
  <c r="CN333" i="1" s="1"/>
  <c r="BN333" i="1"/>
  <c r="CF333" i="1" s="1"/>
  <c r="BO332" i="1"/>
  <c r="BM332" i="1"/>
  <c r="CN332" i="1" s="1"/>
  <c r="BN332" i="1"/>
  <c r="CF332" i="1" s="1"/>
  <c r="BO331" i="1"/>
  <c r="BM331" i="1"/>
  <c r="CN331" i="1" s="1"/>
  <c r="BN331" i="1"/>
  <c r="CF331" i="1" s="1"/>
  <c r="BO330" i="1"/>
  <c r="BM330" i="1"/>
  <c r="CN330" i="1" s="1"/>
  <c r="BN330" i="1"/>
  <c r="CF330" i="1" s="1"/>
  <c r="BO329" i="1"/>
  <c r="BM329" i="1"/>
  <c r="CN329" i="1" s="1"/>
  <c r="BN329" i="1"/>
  <c r="CF329" i="1" s="1"/>
  <c r="BO328" i="1"/>
  <c r="BM328" i="1"/>
  <c r="CN328" i="1" s="1"/>
  <c r="BN328" i="1"/>
  <c r="CF328" i="1" s="1"/>
  <c r="BO327" i="1"/>
  <c r="BM327" i="1"/>
  <c r="CN327" i="1" s="1"/>
  <c r="BN327" i="1"/>
  <c r="CF327" i="1" s="1"/>
  <c r="BO326" i="1"/>
  <c r="BM326" i="1"/>
  <c r="CN326" i="1" s="1"/>
  <c r="BN326" i="1"/>
  <c r="CF326" i="1" s="1"/>
  <c r="BO325" i="1"/>
  <c r="BM325" i="1"/>
  <c r="CN325" i="1" s="1"/>
  <c r="BN325" i="1"/>
  <c r="CF325" i="1" s="1"/>
  <c r="BO324" i="1"/>
  <c r="BM324" i="1"/>
  <c r="CN324" i="1" s="1"/>
  <c r="BN324" i="1"/>
  <c r="CF324" i="1" s="1"/>
  <c r="BO323" i="1"/>
  <c r="BM323" i="1"/>
  <c r="CN323" i="1" s="1"/>
  <c r="BN323" i="1"/>
  <c r="CF323" i="1" s="1"/>
  <c r="BO322" i="1"/>
  <c r="BM322" i="1"/>
  <c r="CN322" i="1" s="1"/>
  <c r="BN322" i="1"/>
  <c r="CF322" i="1" s="1"/>
  <c r="BO321" i="1"/>
  <c r="BM321" i="1"/>
  <c r="CN321" i="1" s="1"/>
  <c r="BN321" i="1"/>
  <c r="CF321" i="1" s="1"/>
  <c r="BO320" i="1"/>
  <c r="BM320" i="1"/>
  <c r="CN320" i="1" s="1"/>
  <c r="BN320" i="1"/>
  <c r="CF320" i="1" s="1"/>
  <c r="BO319" i="1"/>
  <c r="BM319" i="1"/>
  <c r="CN319" i="1" s="1"/>
  <c r="BN319" i="1"/>
  <c r="CF319" i="1" s="1"/>
  <c r="BO318" i="1"/>
  <c r="BM318" i="1"/>
  <c r="CN318" i="1" s="1"/>
  <c r="BN318" i="1"/>
  <c r="CF318" i="1" s="1"/>
  <c r="BO317" i="1"/>
  <c r="BM317" i="1"/>
  <c r="CN317" i="1" s="1"/>
  <c r="BN317" i="1"/>
  <c r="CF317" i="1" s="1"/>
  <c r="BO316" i="1"/>
  <c r="BM316" i="1"/>
  <c r="CN316" i="1" s="1"/>
  <c r="BN316" i="1"/>
  <c r="CF316" i="1" s="1"/>
  <c r="BO315" i="1"/>
  <c r="BM315" i="1"/>
  <c r="CN315" i="1" s="1"/>
  <c r="BN315" i="1"/>
  <c r="CF315" i="1" s="1"/>
  <c r="BO314" i="1"/>
  <c r="BM314" i="1"/>
  <c r="CN314" i="1" s="1"/>
  <c r="BN314" i="1"/>
  <c r="CF314" i="1" s="1"/>
  <c r="BO313" i="1"/>
  <c r="BM313" i="1"/>
  <c r="CN313" i="1" s="1"/>
  <c r="BN313" i="1"/>
  <c r="CF313" i="1" s="1"/>
  <c r="BO312" i="1"/>
  <c r="BM312" i="1"/>
  <c r="CN312" i="1" s="1"/>
  <c r="BN312" i="1"/>
  <c r="CF312" i="1" s="1"/>
  <c r="BO311" i="1"/>
  <c r="BM311" i="1"/>
  <c r="CN311" i="1" s="1"/>
  <c r="BN311" i="1"/>
  <c r="CF311" i="1" s="1"/>
  <c r="BO310" i="1"/>
  <c r="BM310" i="1"/>
  <c r="CN310" i="1" s="1"/>
  <c r="BN310" i="1"/>
  <c r="CF310" i="1" s="1"/>
  <c r="BO309" i="1"/>
  <c r="BM309" i="1"/>
  <c r="CN309" i="1" s="1"/>
  <c r="BN309" i="1"/>
  <c r="CF309" i="1" s="1"/>
  <c r="BO308" i="1"/>
  <c r="BM308" i="1"/>
  <c r="CN308" i="1" s="1"/>
  <c r="BN308" i="1"/>
  <c r="CF308" i="1" s="1"/>
  <c r="BO307" i="1"/>
  <c r="BM307" i="1"/>
  <c r="CN307" i="1" s="1"/>
  <c r="BN307" i="1"/>
  <c r="CF307" i="1" s="1"/>
  <c r="BO306" i="1"/>
  <c r="BM306" i="1"/>
  <c r="CN306" i="1" s="1"/>
  <c r="BN306" i="1"/>
  <c r="CF306" i="1" s="1"/>
  <c r="BO305" i="1"/>
  <c r="BM305" i="1"/>
  <c r="CN305" i="1" s="1"/>
  <c r="BN305" i="1"/>
  <c r="CF305" i="1" s="1"/>
  <c r="BO304" i="1"/>
  <c r="BM304" i="1"/>
  <c r="CN304" i="1" s="1"/>
  <c r="BN304" i="1"/>
  <c r="CF304" i="1" s="1"/>
  <c r="BO303" i="1"/>
  <c r="BM303" i="1"/>
  <c r="CN303" i="1" s="1"/>
  <c r="BN303" i="1"/>
  <c r="CF303" i="1" s="1"/>
  <c r="BO302" i="1"/>
  <c r="BM302" i="1"/>
  <c r="CN302" i="1" s="1"/>
  <c r="BN302" i="1"/>
  <c r="CF302" i="1" s="1"/>
  <c r="BO301" i="1"/>
  <c r="BM301" i="1"/>
  <c r="CN301" i="1" s="1"/>
  <c r="BN301" i="1"/>
  <c r="CF301" i="1" s="1"/>
  <c r="BO300" i="1"/>
  <c r="BM300" i="1"/>
  <c r="CN300" i="1" s="1"/>
  <c r="BN300" i="1"/>
  <c r="CF300" i="1" s="1"/>
  <c r="BO299" i="1"/>
  <c r="BM299" i="1"/>
  <c r="CN299" i="1" s="1"/>
  <c r="BN299" i="1"/>
  <c r="CF299" i="1" s="1"/>
  <c r="BO298" i="1"/>
  <c r="BM298" i="1"/>
  <c r="CN298" i="1" s="1"/>
  <c r="BN298" i="1"/>
  <c r="CF298" i="1" s="1"/>
  <c r="BO297" i="1"/>
  <c r="BM297" i="1"/>
  <c r="CN297" i="1" s="1"/>
  <c r="BN297" i="1"/>
  <c r="CF297" i="1" s="1"/>
  <c r="BO296" i="1"/>
  <c r="BM296" i="1"/>
  <c r="CN296" i="1" s="1"/>
  <c r="BN296" i="1"/>
  <c r="CF296" i="1" s="1"/>
  <c r="BO295" i="1"/>
  <c r="BM295" i="1"/>
  <c r="CN295" i="1" s="1"/>
  <c r="BN295" i="1"/>
  <c r="CF295" i="1" s="1"/>
  <c r="BO294" i="1"/>
  <c r="BM294" i="1"/>
  <c r="CN294" i="1" s="1"/>
  <c r="BN294" i="1"/>
  <c r="CF294" i="1" s="1"/>
  <c r="BO293" i="1"/>
  <c r="BM293" i="1"/>
  <c r="CN293" i="1" s="1"/>
  <c r="BN293" i="1"/>
  <c r="CF293" i="1" s="1"/>
  <c r="BO292" i="1"/>
  <c r="BM292" i="1"/>
  <c r="CN292" i="1" s="1"/>
  <c r="BN292" i="1"/>
  <c r="CF292" i="1" s="1"/>
  <c r="BO291" i="1"/>
  <c r="BM291" i="1"/>
  <c r="CN291" i="1" s="1"/>
  <c r="BN291" i="1"/>
  <c r="CF291" i="1" s="1"/>
  <c r="BO290" i="1"/>
  <c r="BM290" i="1"/>
  <c r="CN290" i="1" s="1"/>
  <c r="BN290" i="1"/>
  <c r="CF290" i="1" s="1"/>
  <c r="BO289" i="1"/>
  <c r="BM289" i="1"/>
  <c r="CN289" i="1" s="1"/>
  <c r="BN289" i="1"/>
  <c r="CF289" i="1" s="1"/>
  <c r="BO288" i="1"/>
  <c r="BM288" i="1"/>
  <c r="CN288" i="1" s="1"/>
  <c r="BN288" i="1"/>
  <c r="CF288" i="1" s="1"/>
  <c r="BO287" i="1"/>
  <c r="BM287" i="1"/>
  <c r="CN287" i="1" s="1"/>
  <c r="BN287" i="1"/>
  <c r="CF287" i="1" s="1"/>
  <c r="BO286" i="1"/>
  <c r="BM286" i="1"/>
  <c r="CN286" i="1" s="1"/>
  <c r="BN286" i="1"/>
  <c r="CF286" i="1" s="1"/>
  <c r="BO285" i="1"/>
  <c r="BM285" i="1"/>
  <c r="CN285" i="1" s="1"/>
  <c r="BN285" i="1"/>
  <c r="CF285" i="1" s="1"/>
  <c r="BO284" i="1"/>
  <c r="BM284" i="1"/>
  <c r="CN284" i="1" s="1"/>
  <c r="BN284" i="1"/>
  <c r="CF284" i="1" s="1"/>
  <c r="BO283" i="1"/>
  <c r="BM283" i="1"/>
  <c r="CN283" i="1" s="1"/>
  <c r="BN283" i="1"/>
  <c r="CF283" i="1" s="1"/>
  <c r="BO282" i="1"/>
  <c r="BM282" i="1"/>
  <c r="CN282" i="1" s="1"/>
  <c r="BN282" i="1"/>
  <c r="CF282" i="1" s="1"/>
  <c r="BO281" i="1"/>
  <c r="BM281" i="1"/>
  <c r="CN281" i="1" s="1"/>
  <c r="BN281" i="1"/>
  <c r="CF281" i="1" s="1"/>
  <c r="BO280" i="1"/>
  <c r="BM280" i="1"/>
  <c r="CN280" i="1" s="1"/>
  <c r="BN280" i="1"/>
  <c r="CF280" i="1" s="1"/>
  <c r="BO279" i="1"/>
  <c r="BM279" i="1"/>
  <c r="CN279" i="1" s="1"/>
  <c r="BN279" i="1"/>
  <c r="CF279" i="1" s="1"/>
  <c r="BO278" i="1"/>
  <c r="BM278" i="1"/>
  <c r="CN278" i="1" s="1"/>
  <c r="BN278" i="1"/>
  <c r="CF278" i="1" s="1"/>
  <c r="BO277" i="1"/>
  <c r="BM277" i="1"/>
  <c r="CN277" i="1" s="1"/>
  <c r="BN277" i="1"/>
  <c r="CF277" i="1" s="1"/>
  <c r="BO276" i="1"/>
  <c r="BM276" i="1"/>
  <c r="CN276" i="1" s="1"/>
  <c r="BN276" i="1"/>
  <c r="CF276" i="1" s="1"/>
  <c r="BO275" i="1"/>
  <c r="BM275" i="1"/>
  <c r="CN275" i="1" s="1"/>
  <c r="BN275" i="1"/>
  <c r="CF275" i="1" s="1"/>
  <c r="BO274" i="1"/>
  <c r="BM274" i="1"/>
  <c r="CN274" i="1" s="1"/>
  <c r="BN274" i="1"/>
  <c r="CF274" i="1" s="1"/>
  <c r="BO273" i="1"/>
  <c r="BM273" i="1"/>
  <c r="CN273" i="1" s="1"/>
  <c r="BN273" i="1"/>
  <c r="CF273" i="1" s="1"/>
  <c r="BO272" i="1"/>
  <c r="BM272" i="1"/>
  <c r="CN272" i="1" s="1"/>
  <c r="BN272" i="1"/>
  <c r="CF272" i="1" s="1"/>
  <c r="BO271" i="1"/>
  <c r="BM271" i="1"/>
  <c r="CN271" i="1" s="1"/>
  <c r="BN271" i="1"/>
  <c r="CF271" i="1" s="1"/>
  <c r="BO270" i="1"/>
  <c r="BM270" i="1"/>
  <c r="CN270" i="1" s="1"/>
  <c r="BN270" i="1"/>
  <c r="CF270" i="1" s="1"/>
  <c r="BO269" i="1"/>
  <c r="BM269" i="1"/>
  <c r="CN269" i="1" s="1"/>
  <c r="BN269" i="1"/>
  <c r="CF269" i="1" s="1"/>
  <c r="BO268" i="1"/>
  <c r="BM268" i="1"/>
  <c r="CN268" i="1" s="1"/>
  <c r="BN268" i="1"/>
  <c r="CF268" i="1" s="1"/>
  <c r="BO267" i="1"/>
  <c r="BM267" i="1"/>
  <c r="CN267" i="1" s="1"/>
  <c r="BN267" i="1"/>
  <c r="CF267" i="1" s="1"/>
  <c r="BO266" i="1"/>
  <c r="BM266" i="1"/>
  <c r="CN266" i="1" s="1"/>
  <c r="BN266" i="1"/>
  <c r="CF266" i="1" s="1"/>
  <c r="BO265" i="1"/>
  <c r="BM265" i="1"/>
  <c r="CN265" i="1" s="1"/>
  <c r="BN265" i="1"/>
  <c r="CF265" i="1" s="1"/>
  <c r="BO264" i="1"/>
  <c r="BM264" i="1"/>
  <c r="CN264" i="1" s="1"/>
  <c r="BN264" i="1"/>
  <c r="CF264" i="1" s="1"/>
  <c r="BO263" i="1"/>
  <c r="BM263" i="1"/>
  <c r="CN263" i="1" s="1"/>
  <c r="BN263" i="1"/>
  <c r="CF263" i="1" s="1"/>
  <c r="BO262" i="1"/>
  <c r="CV262" i="1" s="1"/>
  <c r="BM262" i="1"/>
  <c r="CN262" i="1" s="1"/>
  <c r="BN262" i="1"/>
  <c r="CF262" i="1" s="1"/>
  <c r="BO261" i="1"/>
  <c r="CV261" i="1" s="1"/>
  <c r="BM261" i="1"/>
  <c r="CN261" i="1" s="1"/>
  <c r="BN261" i="1"/>
  <c r="CF261" i="1" s="1"/>
  <c r="BO260" i="1"/>
  <c r="BM260" i="1"/>
  <c r="CN260" i="1" s="1"/>
  <c r="BN260" i="1"/>
  <c r="CF260" i="1" s="1"/>
  <c r="BO259" i="1"/>
  <c r="BM259" i="1"/>
  <c r="CN259" i="1" s="1"/>
  <c r="BN259" i="1"/>
  <c r="CF259" i="1" s="1"/>
  <c r="BO258" i="1"/>
  <c r="BM258" i="1"/>
  <c r="CN258" i="1" s="1"/>
  <c r="BN258" i="1"/>
  <c r="CF258" i="1" s="1"/>
  <c r="BO257" i="1"/>
  <c r="BM257" i="1"/>
  <c r="CN257" i="1" s="1"/>
  <c r="BN257" i="1"/>
  <c r="CF257" i="1" s="1"/>
  <c r="BO256" i="1"/>
  <c r="BM256" i="1"/>
  <c r="CN256" i="1" s="1"/>
  <c r="BN256" i="1"/>
  <c r="CF256" i="1" s="1"/>
  <c r="BO255" i="1"/>
  <c r="BM255" i="1"/>
  <c r="CN255" i="1" s="1"/>
  <c r="BN255" i="1"/>
  <c r="CF255" i="1" s="1"/>
  <c r="BO254" i="1"/>
  <c r="BM254" i="1"/>
  <c r="CN254" i="1" s="1"/>
  <c r="BN254" i="1"/>
  <c r="CF254" i="1" s="1"/>
  <c r="BO253" i="1"/>
  <c r="BM253" i="1"/>
  <c r="CN253" i="1" s="1"/>
  <c r="BN253" i="1"/>
  <c r="CF253" i="1" s="1"/>
  <c r="BO252" i="1"/>
  <c r="BM252" i="1"/>
  <c r="CN252" i="1" s="1"/>
  <c r="BN252" i="1"/>
  <c r="CF252" i="1" s="1"/>
  <c r="BO251" i="1"/>
  <c r="BM251" i="1"/>
  <c r="CN251" i="1" s="1"/>
  <c r="BN251" i="1"/>
  <c r="CF251" i="1" s="1"/>
  <c r="BO250" i="1"/>
  <c r="BM250" i="1"/>
  <c r="CN250" i="1" s="1"/>
  <c r="BN250" i="1"/>
  <c r="CF250" i="1" s="1"/>
  <c r="BO249" i="1"/>
  <c r="BM249" i="1"/>
  <c r="CN249" i="1" s="1"/>
  <c r="BN249" i="1"/>
  <c r="CF249" i="1" s="1"/>
  <c r="BO248" i="1"/>
  <c r="BM248" i="1"/>
  <c r="CN248" i="1" s="1"/>
  <c r="BN248" i="1"/>
  <c r="CF248" i="1" s="1"/>
  <c r="BO247" i="1"/>
  <c r="BM247" i="1"/>
  <c r="CN247" i="1" s="1"/>
  <c r="BN247" i="1"/>
  <c r="CF247" i="1" s="1"/>
  <c r="BO246" i="1"/>
  <c r="BM246" i="1"/>
  <c r="CN246" i="1" s="1"/>
  <c r="BN246" i="1"/>
  <c r="CF246" i="1" s="1"/>
  <c r="BO245" i="1"/>
  <c r="BM245" i="1"/>
  <c r="CN245" i="1" s="1"/>
  <c r="BN245" i="1"/>
  <c r="CF245" i="1" s="1"/>
  <c r="BO244" i="1"/>
  <c r="BM244" i="1"/>
  <c r="CN244" i="1" s="1"/>
  <c r="BN244" i="1"/>
  <c r="CF244" i="1" s="1"/>
  <c r="BO243" i="1"/>
  <c r="BM243" i="1"/>
  <c r="CN243" i="1" s="1"/>
  <c r="BN243" i="1"/>
  <c r="CF243" i="1" s="1"/>
  <c r="BO242" i="1"/>
  <c r="BM242" i="1"/>
  <c r="CN242" i="1" s="1"/>
  <c r="BN242" i="1"/>
  <c r="CF242" i="1" s="1"/>
  <c r="BO241" i="1"/>
  <c r="BM241" i="1"/>
  <c r="CN241" i="1" s="1"/>
  <c r="BN241" i="1"/>
  <c r="CF241" i="1" s="1"/>
  <c r="BO240" i="1"/>
  <c r="BM240" i="1"/>
  <c r="CN240" i="1" s="1"/>
  <c r="BN240" i="1"/>
  <c r="CF240" i="1" s="1"/>
  <c r="BO239" i="1"/>
  <c r="BM239" i="1"/>
  <c r="CN239" i="1" s="1"/>
  <c r="BN239" i="1"/>
  <c r="CF239" i="1" s="1"/>
  <c r="BO238" i="1"/>
  <c r="BM238" i="1"/>
  <c r="CN238" i="1" s="1"/>
  <c r="BN238" i="1"/>
  <c r="CF238" i="1" s="1"/>
  <c r="BO237" i="1"/>
  <c r="BM237" i="1"/>
  <c r="CN237" i="1" s="1"/>
  <c r="BN237" i="1"/>
  <c r="CF237" i="1" s="1"/>
  <c r="BO236" i="1"/>
  <c r="BM236" i="1"/>
  <c r="CN236" i="1" s="1"/>
  <c r="BN236" i="1"/>
  <c r="CF236" i="1" s="1"/>
  <c r="BO235" i="1"/>
  <c r="BM235" i="1"/>
  <c r="CN235" i="1" s="1"/>
  <c r="BN235" i="1"/>
  <c r="CF235" i="1" s="1"/>
  <c r="BO234" i="1"/>
  <c r="BM234" i="1"/>
  <c r="CN234" i="1" s="1"/>
  <c r="BN234" i="1"/>
  <c r="CF234" i="1" s="1"/>
  <c r="BO233" i="1"/>
  <c r="BM233" i="1"/>
  <c r="CN233" i="1" s="1"/>
  <c r="BN233" i="1"/>
  <c r="CF233" i="1" s="1"/>
  <c r="BO232" i="1"/>
  <c r="BM232" i="1"/>
  <c r="CN232" i="1" s="1"/>
  <c r="BN232" i="1"/>
  <c r="CF232" i="1" s="1"/>
  <c r="BO231" i="1"/>
  <c r="BM231" i="1"/>
  <c r="CN231" i="1" s="1"/>
  <c r="BN231" i="1"/>
  <c r="CF231" i="1" s="1"/>
  <c r="BO230" i="1"/>
  <c r="BM230" i="1"/>
  <c r="CN230" i="1" s="1"/>
  <c r="BN230" i="1"/>
  <c r="CF230" i="1" s="1"/>
  <c r="BO229" i="1"/>
  <c r="BM229" i="1"/>
  <c r="CN229" i="1" s="1"/>
  <c r="BN229" i="1"/>
  <c r="CF229" i="1" s="1"/>
  <c r="BO228" i="1"/>
  <c r="BM228" i="1"/>
  <c r="CN228" i="1" s="1"/>
  <c r="BN228" i="1"/>
  <c r="CF228" i="1" s="1"/>
  <c r="BO227" i="1"/>
  <c r="BM227" i="1"/>
  <c r="CN227" i="1" s="1"/>
  <c r="BN227" i="1"/>
  <c r="CF227" i="1" s="1"/>
  <c r="BO226" i="1"/>
  <c r="BM226" i="1"/>
  <c r="CN226" i="1" s="1"/>
  <c r="BN226" i="1"/>
  <c r="CF226" i="1" s="1"/>
  <c r="BO225" i="1"/>
  <c r="BM225" i="1"/>
  <c r="CN225" i="1" s="1"/>
  <c r="BN225" i="1"/>
  <c r="CF225" i="1" s="1"/>
  <c r="BO224" i="1"/>
  <c r="BM224" i="1"/>
  <c r="CN224" i="1" s="1"/>
  <c r="BN224" i="1"/>
  <c r="CF224" i="1" s="1"/>
  <c r="BO223" i="1"/>
  <c r="BM223" i="1"/>
  <c r="CN223" i="1" s="1"/>
  <c r="BN223" i="1"/>
  <c r="CF223" i="1" s="1"/>
  <c r="BO222" i="1"/>
  <c r="BM222" i="1"/>
  <c r="CN222" i="1" s="1"/>
  <c r="BN222" i="1"/>
  <c r="CF222" i="1" s="1"/>
  <c r="BO221" i="1"/>
  <c r="BM221" i="1"/>
  <c r="CN221" i="1" s="1"/>
  <c r="BN221" i="1"/>
  <c r="CF221" i="1" s="1"/>
  <c r="BO220" i="1"/>
  <c r="BM220" i="1"/>
  <c r="CN220" i="1" s="1"/>
  <c r="BN220" i="1"/>
  <c r="CF220" i="1" s="1"/>
  <c r="BO219" i="1"/>
  <c r="BM219" i="1"/>
  <c r="CN219" i="1" s="1"/>
  <c r="BN219" i="1"/>
  <c r="CF219" i="1" s="1"/>
  <c r="BO218" i="1"/>
  <c r="BM218" i="1"/>
  <c r="CN218" i="1" s="1"/>
  <c r="BN218" i="1"/>
  <c r="CF218" i="1" s="1"/>
  <c r="BO217" i="1"/>
  <c r="BM217" i="1"/>
  <c r="CN217" i="1" s="1"/>
  <c r="BN217" i="1"/>
  <c r="CF217" i="1" s="1"/>
  <c r="BO216" i="1"/>
  <c r="BM216" i="1"/>
  <c r="CN216" i="1" s="1"/>
  <c r="BN216" i="1"/>
  <c r="CF216" i="1" s="1"/>
  <c r="BO215" i="1"/>
  <c r="BM215" i="1"/>
  <c r="CN215" i="1" s="1"/>
  <c r="BN215" i="1"/>
  <c r="CF215" i="1" s="1"/>
  <c r="BO214" i="1"/>
  <c r="BM214" i="1"/>
  <c r="CN214" i="1" s="1"/>
  <c r="BN214" i="1"/>
  <c r="CF214" i="1" s="1"/>
  <c r="BO213" i="1"/>
  <c r="BM213" i="1"/>
  <c r="CN213" i="1" s="1"/>
  <c r="BN213" i="1"/>
  <c r="CF213" i="1" s="1"/>
  <c r="BO212" i="1"/>
  <c r="BM212" i="1"/>
  <c r="CN212" i="1" s="1"/>
  <c r="BN212" i="1"/>
  <c r="CF212" i="1" s="1"/>
  <c r="BO211" i="1"/>
  <c r="BM211" i="1"/>
  <c r="CN211" i="1" s="1"/>
  <c r="BN211" i="1"/>
  <c r="CF211" i="1" s="1"/>
  <c r="BO210" i="1"/>
  <c r="BM210" i="1"/>
  <c r="CN210" i="1" s="1"/>
  <c r="BN210" i="1"/>
  <c r="CF210" i="1" s="1"/>
  <c r="BO209" i="1"/>
  <c r="BM209" i="1"/>
  <c r="CN209" i="1" s="1"/>
  <c r="BN209" i="1"/>
  <c r="CF209" i="1" s="1"/>
  <c r="BO208" i="1"/>
  <c r="BM208" i="1"/>
  <c r="CN208" i="1" s="1"/>
  <c r="BN208" i="1"/>
  <c r="CF208" i="1" s="1"/>
  <c r="BO207" i="1"/>
  <c r="BM207" i="1"/>
  <c r="CN207" i="1" s="1"/>
  <c r="BN207" i="1"/>
  <c r="CF207" i="1" s="1"/>
  <c r="BO206" i="1"/>
  <c r="BM206" i="1"/>
  <c r="CN206" i="1" s="1"/>
  <c r="BN206" i="1"/>
  <c r="CF206" i="1" s="1"/>
  <c r="BO205" i="1"/>
  <c r="BM205" i="1"/>
  <c r="CN205" i="1" s="1"/>
  <c r="BN205" i="1"/>
  <c r="CF205" i="1" s="1"/>
  <c r="BO204" i="1"/>
  <c r="BM204" i="1"/>
  <c r="CN204" i="1" s="1"/>
  <c r="BN204" i="1"/>
  <c r="CF204" i="1" s="1"/>
  <c r="BO203" i="1"/>
  <c r="BM203" i="1"/>
  <c r="CN203" i="1" s="1"/>
  <c r="BN203" i="1"/>
  <c r="CF203" i="1" s="1"/>
  <c r="BO202" i="1"/>
  <c r="BM202" i="1"/>
  <c r="CN202" i="1" s="1"/>
  <c r="BN202" i="1"/>
  <c r="CF202" i="1" s="1"/>
  <c r="BO201" i="1"/>
  <c r="BM201" i="1"/>
  <c r="CN201" i="1" s="1"/>
  <c r="BN201" i="1"/>
  <c r="CF201" i="1" s="1"/>
  <c r="BO200" i="1"/>
  <c r="BM200" i="1"/>
  <c r="CN200" i="1" s="1"/>
  <c r="BN200" i="1"/>
  <c r="CF200" i="1" s="1"/>
  <c r="BO199" i="1"/>
  <c r="BM199" i="1"/>
  <c r="CN199" i="1" s="1"/>
  <c r="BN199" i="1"/>
  <c r="CF199" i="1" s="1"/>
  <c r="BO198" i="1"/>
  <c r="BM198" i="1"/>
  <c r="CN198" i="1" s="1"/>
  <c r="BN198" i="1"/>
  <c r="CF198" i="1" s="1"/>
  <c r="BO197" i="1"/>
  <c r="BM197" i="1"/>
  <c r="CN197" i="1" s="1"/>
  <c r="BN197" i="1"/>
  <c r="CF197" i="1" s="1"/>
  <c r="BO196" i="1"/>
  <c r="BM196" i="1"/>
  <c r="CN196" i="1" s="1"/>
  <c r="BN196" i="1"/>
  <c r="CF196" i="1" s="1"/>
  <c r="BO195" i="1"/>
  <c r="BM195" i="1"/>
  <c r="CN195" i="1" s="1"/>
  <c r="BN195" i="1"/>
  <c r="CF195" i="1" s="1"/>
  <c r="BO194" i="1"/>
  <c r="BM194" i="1"/>
  <c r="CN194" i="1" s="1"/>
  <c r="BN194" i="1"/>
  <c r="CF194" i="1" s="1"/>
  <c r="BO193" i="1"/>
  <c r="BM193" i="1"/>
  <c r="CN193" i="1" s="1"/>
  <c r="BN193" i="1"/>
  <c r="CF193" i="1" s="1"/>
  <c r="BO192" i="1"/>
  <c r="BM192" i="1"/>
  <c r="CN192" i="1" s="1"/>
  <c r="BN192" i="1"/>
  <c r="CF192" i="1" s="1"/>
  <c r="BO191" i="1"/>
  <c r="BM191" i="1"/>
  <c r="CN191" i="1" s="1"/>
  <c r="BN191" i="1"/>
  <c r="CF191" i="1" s="1"/>
  <c r="BO190" i="1"/>
  <c r="BM190" i="1"/>
  <c r="CN190" i="1" s="1"/>
  <c r="BN190" i="1"/>
  <c r="CF190" i="1" s="1"/>
  <c r="BO189" i="1"/>
  <c r="BM189" i="1"/>
  <c r="CN189" i="1" s="1"/>
  <c r="BN189" i="1"/>
  <c r="CF189" i="1" s="1"/>
  <c r="BO188" i="1"/>
  <c r="BM188" i="1"/>
  <c r="CN188" i="1" s="1"/>
  <c r="BN188" i="1"/>
  <c r="CF188" i="1" s="1"/>
  <c r="BO187" i="1"/>
  <c r="BM187" i="1"/>
  <c r="CN187" i="1" s="1"/>
  <c r="BN187" i="1"/>
  <c r="CF187" i="1" s="1"/>
  <c r="BO186" i="1"/>
  <c r="BM186" i="1"/>
  <c r="CN186" i="1" s="1"/>
  <c r="BN186" i="1"/>
  <c r="CF186" i="1" s="1"/>
  <c r="BO185" i="1"/>
  <c r="BM185" i="1"/>
  <c r="CN185" i="1" s="1"/>
  <c r="BN185" i="1"/>
  <c r="CF185" i="1" s="1"/>
  <c r="BO184" i="1"/>
  <c r="BM184" i="1"/>
  <c r="CN184" i="1" s="1"/>
  <c r="BN184" i="1"/>
  <c r="CF184" i="1" s="1"/>
  <c r="BO183" i="1"/>
  <c r="BM183" i="1"/>
  <c r="CN183" i="1" s="1"/>
  <c r="BN183" i="1"/>
  <c r="CF183" i="1" s="1"/>
  <c r="BO182" i="1"/>
  <c r="BM182" i="1"/>
  <c r="CN182" i="1" s="1"/>
  <c r="BN182" i="1"/>
  <c r="CF182" i="1" s="1"/>
  <c r="BO181" i="1"/>
  <c r="BM181" i="1"/>
  <c r="CN181" i="1" s="1"/>
  <c r="BN181" i="1"/>
  <c r="CF181" i="1" s="1"/>
  <c r="BO180" i="1"/>
  <c r="BM180" i="1"/>
  <c r="CN180" i="1" s="1"/>
  <c r="BN180" i="1"/>
  <c r="CF180" i="1" s="1"/>
  <c r="BO179" i="1"/>
  <c r="BM179" i="1"/>
  <c r="CN179" i="1" s="1"/>
  <c r="BN179" i="1"/>
  <c r="CF179" i="1" s="1"/>
  <c r="BO178" i="1"/>
  <c r="BM178" i="1"/>
  <c r="CN178" i="1" s="1"/>
  <c r="BN178" i="1"/>
  <c r="CF178" i="1" s="1"/>
  <c r="BO177" i="1"/>
  <c r="BM177" i="1"/>
  <c r="CN177" i="1" s="1"/>
  <c r="BN177" i="1"/>
  <c r="CF177" i="1" s="1"/>
  <c r="BO176" i="1"/>
  <c r="BM176" i="1"/>
  <c r="CN176" i="1" s="1"/>
  <c r="BN176" i="1"/>
  <c r="CF176" i="1" s="1"/>
  <c r="BO175" i="1"/>
  <c r="BM175" i="1"/>
  <c r="CN175" i="1" s="1"/>
  <c r="BN175" i="1"/>
  <c r="CF175" i="1" s="1"/>
  <c r="BO174" i="1"/>
  <c r="BM174" i="1"/>
  <c r="CN174" i="1" s="1"/>
  <c r="BN174" i="1"/>
  <c r="CF174" i="1" s="1"/>
  <c r="BO173" i="1"/>
  <c r="BM173" i="1"/>
  <c r="CN173" i="1" s="1"/>
  <c r="BN173" i="1"/>
  <c r="CF173" i="1" s="1"/>
  <c r="BO172" i="1"/>
  <c r="BM172" i="1"/>
  <c r="CN172" i="1" s="1"/>
  <c r="BN172" i="1"/>
  <c r="CF172" i="1" s="1"/>
  <c r="BO171" i="1"/>
  <c r="BM171" i="1"/>
  <c r="CN171" i="1" s="1"/>
  <c r="BN171" i="1"/>
  <c r="CF171" i="1" s="1"/>
  <c r="BO170" i="1"/>
  <c r="BM170" i="1"/>
  <c r="CN170" i="1" s="1"/>
  <c r="BN170" i="1"/>
  <c r="CF170" i="1" s="1"/>
  <c r="BO169" i="1"/>
  <c r="BM169" i="1"/>
  <c r="CN169" i="1" s="1"/>
  <c r="BN169" i="1"/>
  <c r="CF169" i="1" s="1"/>
  <c r="BO168" i="1"/>
  <c r="BM168" i="1"/>
  <c r="CN168" i="1" s="1"/>
  <c r="BN168" i="1"/>
  <c r="CF168" i="1" s="1"/>
  <c r="BO167" i="1"/>
  <c r="BM167" i="1"/>
  <c r="CN167" i="1" s="1"/>
  <c r="BN167" i="1"/>
  <c r="CF167" i="1" s="1"/>
  <c r="BO166" i="1"/>
  <c r="BM166" i="1"/>
  <c r="CN166" i="1" s="1"/>
  <c r="BN166" i="1"/>
  <c r="CF166" i="1" s="1"/>
  <c r="BO165" i="1"/>
  <c r="BM165" i="1"/>
  <c r="CN165" i="1" s="1"/>
  <c r="BN165" i="1"/>
  <c r="CF165" i="1" s="1"/>
  <c r="BO164" i="1"/>
  <c r="BM164" i="1"/>
  <c r="CN164" i="1" s="1"/>
  <c r="BN164" i="1"/>
  <c r="CF164" i="1" s="1"/>
  <c r="BO163" i="1"/>
  <c r="BM163" i="1"/>
  <c r="CN163" i="1" s="1"/>
  <c r="BN163" i="1"/>
  <c r="CF163" i="1" s="1"/>
  <c r="BO162" i="1"/>
  <c r="BM162" i="1"/>
  <c r="CN162" i="1" s="1"/>
  <c r="BN162" i="1"/>
  <c r="CF162" i="1" s="1"/>
  <c r="BO161" i="1"/>
  <c r="BM161" i="1"/>
  <c r="CN161" i="1" s="1"/>
  <c r="BN161" i="1"/>
  <c r="CF161" i="1" s="1"/>
  <c r="BO160" i="1"/>
  <c r="BM160" i="1"/>
  <c r="CN160" i="1" s="1"/>
  <c r="BN160" i="1"/>
  <c r="CF160" i="1" s="1"/>
  <c r="BO159" i="1"/>
  <c r="BM159" i="1"/>
  <c r="CN159" i="1" s="1"/>
  <c r="BN159" i="1"/>
  <c r="CF159" i="1" s="1"/>
  <c r="BO158" i="1"/>
  <c r="BM158" i="1"/>
  <c r="CN158" i="1" s="1"/>
  <c r="BN158" i="1"/>
  <c r="CF158" i="1" s="1"/>
  <c r="BO157" i="1"/>
  <c r="BM157" i="1"/>
  <c r="CN157" i="1" s="1"/>
  <c r="BN157" i="1"/>
  <c r="CF157" i="1" s="1"/>
  <c r="BO156" i="1"/>
  <c r="BM156" i="1"/>
  <c r="CN156" i="1" s="1"/>
  <c r="BN156" i="1"/>
  <c r="CF156" i="1" s="1"/>
  <c r="BO155" i="1"/>
  <c r="BM155" i="1"/>
  <c r="CN155" i="1" s="1"/>
  <c r="BN155" i="1"/>
  <c r="CF155" i="1" s="1"/>
  <c r="BO154" i="1"/>
  <c r="BM154" i="1"/>
  <c r="CN154" i="1" s="1"/>
  <c r="BN154" i="1"/>
  <c r="CF154" i="1" s="1"/>
  <c r="BO153" i="1"/>
  <c r="BM153" i="1"/>
  <c r="CN153" i="1" s="1"/>
  <c r="BN153" i="1"/>
  <c r="CF153" i="1" s="1"/>
  <c r="BO152" i="1"/>
  <c r="BM152" i="1"/>
  <c r="CN152" i="1" s="1"/>
  <c r="BN152" i="1"/>
  <c r="CF152" i="1" s="1"/>
  <c r="BO151" i="1"/>
  <c r="BM151" i="1"/>
  <c r="CN151" i="1" s="1"/>
  <c r="BN151" i="1"/>
  <c r="CF151" i="1" s="1"/>
  <c r="BO150" i="1"/>
  <c r="BM150" i="1"/>
  <c r="CN150" i="1" s="1"/>
  <c r="BN150" i="1"/>
  <c r="CF150" i="1" s="1"/>
  <c r="BO149" i="1"/>
  <c r="BM149" i="1"/>
  <c r="CN149" i="1" s="1"/>
  <c r="BN149" i="1"/>
  <c r="CF149" i="1" s="1"/>
  <c r="BO148" i="1"/>
  <c r="BM148" i="1"/>
  <c r="CN148" i="1" s="1"/>
  <c r="BN148" i="1"/>
  <c r="CF148" i="1" s="1"/>
  <c r="BO147" i="1"/>
  <c r="BM147" i="1"/>
  <c r="CN147" i="1" s="1"/>
  <c r="BN147" i="1"/>
  <c r="CF147" i="1" s="1"/>
  <c r="BO146" i="1"/>
  <c r="BM146" i="1"/>
  <c r="CN146" i="1" s="1"/>
  <c r="BN146" i="1"/>
  <c r="CF146" i="1" s="1"/>
  <c r="BO145" i="1"/>
  <c r="BM145" i="1"/>
  <c r="CN145" i="1" s="1"/>
  <c r="BN145" i="1"/>
  <c r="CF145" i="1" s="1"/>
  <c r="BO144" i="1"/>
  <c r="BM144" i="1"/>
  <c r="CN144" i="1" s="1"/>
  <c r="BN144" i="1"/>
  <c r="CF144" i="1" s="1"/>
  <c r="BO143" i="1"/>
  <c r="BM143" i="1"/>
  <c r="CN143" i="1" s="1"/>
  <c r="BN143" i="1"/>
  <c r="CF143" i="1" s="1"/>
  <c r="BO142" i="1"/>
  <c r="BM142" i="1"/>
  <c r="CN142" i="1" s="1"/>
  <c r="BN142" i="1"/>
  <c r="CF142" i="1" s="1"/>
  <c r="BO141" i="1"/>
  <c r="BM141" i="1"/>
  <c r="CN141" i="1" s="1"/>
  <c r="BN141" i="1"/>
  <c r="CF141" i="1" s="1"/>
  <c r="BO140" i="1"/>
  <c r="BM140" i="1"/>
  <c r="CN140" i="1" s="1"/>
  <c r="BN140" i="1"/>
  <c r="CF140" i="1" s="1"/>
  <c r="BO139" i="1"/>
  <c r="BM139" i="1"/>
  <c r="CN139" i="1" s="1"/>
  <c r="BN139" i="1"/>
  <c r="CF139" i="1" s="1"/>
  <c r="BO138" i="1"/>
  <c r="BM138" i="1"/>
  <c r="CN138" i="1" s="1"/>
  <c r="BN138" i="1"/>
  <c r="CF138" i="1" s="1"/>
  <c r="BO137" i="1"/>
  <c r="BM137" i="1"/>
  <c r="CN137" i="1" s="1"/>
  <c r="BN137" i="1"/>
  <c r="CF137" i="1" s="1"/>
  <c r="BO136" i="1"/>
  <c r="BM136" i="1"/>
  <c r="CN136" i="1" s="1"/>
  <c r="BN136" i="1"/>
  <c r="CF136" i="1" s="1"/>
  <c r="BO135" i="1"/>
  <c r="BM135" i="1"/>
  <c r="CN135" i="1" s="1"/>
  <c r="BN135" i="1"/>
  <c r="CF135" i="1" s="1"/>
  <c r="BO134" i="1"/>
  <c r="BM134" i="1"/>
  <c r="CN134" i="1" s="1"/>
  <c r="BN134" i="1"/>
  <c r="CF134" i="1" s="1"/>
  <c r="BO133" i="1"/>
  <c r="BM133" i="1"/>
  <c r="CN133" i="1" s="1"/>
  <c r="BN133" i="1"/>
  <c r="CF133" i="1" s="1"/>
  <c r="BO132" i="1"/>
  <c r="BM132" i="1"/>
  <c r="CN132" i="1" s="1"/>
  <c r="BN132" i="1"/>
  <c r="CF132" i="1" s="1"/>
  <c r="BO131" i="1"/>
  <c r="BM131" i="1"/>
  <c r="CN131" i="1" s="1"/>
  <c r="BN131" i="1"/>
  <c r="CF131" i="1" s="1"/>
  <c r="BO130" i="1"/>
  <c r="BM130" i="1"/>
  <c r="CN130" i="1" s="1"/>
  <c r="BN130" i="1"/>
  <c r="CF130" i="1" s="1"/>
  <c r="BO129" i="1"/>
  <c r="BM129" i="1"/>
  <c r="CN129" i="1" s="1"/>
  <c r="BN129" i="1"/>
  <c r="CF129" i="1" s="1"/>
  <c r="BO128" i="1"/>
  <c r="BM128" i="1"/>
  <c r="CN128" i="1" s="1"/>
  <c r="BN128" i="1"/>
  <c r="CF128" i="1" s="1"/>
  <c r="BO127" i="1"/>
  <c r="BM127" i="1"/>
  <c r="CN127" i="1" s="1"/>
  <c r="BN127" i="1"/>
  <c r="CF127" i="1" s="1"/>
  <c r="BO126" i="1"/>
  <c r="BM126" i="1"/>
  <c r="CN126" i="1" s="1"/>
  <c r="BN126" i="1"/>
  <c r="CF126" i="1" s="1"/>
  <c r="BO125" i="1"/>
  <c r="BM125" i="1"/>
  <c r="CN125" i="1" s="1"/>
  <c r="BN125" i="1"/>
  <c r="CF125" i="1" s="1"/>
  <c r="BO124" i="1"/>
  <c r="BM124" i="1"/>
  <c r="CN124" i="1" s="1"/>
  <c r="BN124" i="1"/>
  <c r="CF124" i="1" s="1"/>
  <c r="BO123" i="1"/>
  <c r="BM123" i="1"/>
  <c r="CN123" i="1" s="1"/>
  <c r="BN123" i="1"/>
  <c r="CF123" i="1" s="1"/>
  <c r="BO122" i="1"/>
  <c r="BM122" i="1"/>
  <c r="CN122" i="1" s="1"/>
  <c r="BN122" i="1"/>
  <c r="CF122" i="1" s="1"/>
  <c r="BO121" i="1"/>
  <c r="BM121" i="1"/>
  <c r="CN121" i="1" s="1"/>
  <c r="BN121" i="1"/>
  <c r="CF121" i="1" s="1"/>
  <c r="BO120" i="1"/>
  <c r="BM120" i="1"/>
  <c r="CN120" i="1" s="1"/>
  <c r="BN120" i="1"/>
  <c r="CF120" i="1" s="1"/>
  <c r="BO119" i="1"/>
  <c r="BM119" i="1"/>
  <c r="CN119" i="1" s="1"/>
  <c r="BN119" i="1"/>
  <c r="CF119" i="1" s="1"/>
  <c r="BO118" i="1"/>
  <c r="BM118" i="1"/>
  <c r="CN118" i="1" s="1"/>
  <c r="BN118" i="1"/>
  <c r="CF118" i="1" s="1"/>
  <c r="BO117" i="1"/>
  <c r="BM117" i="1"/>
  <c r="CN117" i="1" s="1"/>
  <c r="BN117" i="1"/>
  <c r="CF117" i="1" s="1"/>
  <c r="BO116" i="1"/>
  <c r="BM116" i="1"/>
  <c r="CN116" i="1" s="1"/>
  <c r="BN116" i="1"/>
  <c r="CF116" i="1" s="1"/>
  <c r="BO115" i="1"/>
  <c r="BM115" i="1"/>
  <c r="CN115" i="1" s="1"/>
  <c r="BN115" i="1"/>
  <c r="CF115" i="1" s="1"/>
  <c r="BO114" i="1"/>
  <c r="BM114" i="1"/>
  <c r="CN114" i="1" s="1"/>
  <c r="BN114" i="1"/>
  <c r="CF114" i="1" s="1"/>
  <c r="BO113" i="1"/>
  <c r="BM113" i="1"/>
  <c r="CN113" i="1" s="1"/>
  <c r="BN113" i="1"/>
  <c r="CF113" i="1" s="1"/>
  <c r="BO112" i="1"/>
  <c r="BM112" i="1"/>
  <c r="CN112" i="1" s="1"/>
  <c r="BN112" i="1"/>
  <c r="CF112" i="1" s="1"/>
  <c r="BO111" i="1"/>
  <c r="BM111" i="1"/>
  <c r="CN111" i="1" s="1"/>
  <c r="BN111" i="1"/>
  <c r="CF111" i="1" s="1"/>
  <c r="BO110" i="1"/>
  <c r="BM110" i="1"/>
  <c r="CN110" i="1" s="1"/>
  <c r="BN110" i="1"/>
  <c r="CF110" i="1" s="1"/>
  <c r="BO109" i="1"/>
  <c r="BM109" i="1"/>
  <c r="CN109" i="1" s="1"/>
  <c r="BN109" i="1"/>
  <c r="CF109" i="1" s="1"/>
  <c r="BO108" i="1"/>
  <c r="BM108" i="1"/>
  <c r="CN108" i="1" s="1"/>
  <c r="BN108" i="1"/>
  <c r="CF108" i="1" s="1"/>
  <c r="BO107" i="1"/>
  <c r="BM107" i="1"/>
  <c r="CN107" i="1" s="1"/>
  <c r="BN107" i="1"/>
  <c r="CF107" i="1" s="1"/>
  <c r="BO106" i="1"/>
  <c r="BM106" i="1"/>
  <c r="CN106" i="1" s="1"/>
  <c r="BN106" i="1"/>
  <c r="CF106" i="1" s="1"/>
  <c r="BO105" i="1"/>
  <c r="BM105" i="1"/>
  <c r="CN105" i="1" s="1"/>
  <c r="BN105" i="1"/>
  <c r="CF105" i="1" s="1"/>
  <c r="BO104" i="1"/>
  <c r="BM104" i="1"/>
  <c r="CN104" i="1" s="1"/>
  <c r="BN104" i="1"/>
  <c r="CF104" i="1" s="1"/>
  <c r="BO103" i="1"/>
  <c r="BM103" i="1"/>
  <c r="CN103" i="1" s="1"/>
  <c r="BN103" i="1"/>
  <c r="CF103" i="1" s="1"/>
  <c r="BO102" i="1"/>
  <c r="BM102" i="1"/>
  <c r="CN102" i="1" s="1"/>
  <c r="BN102" i="1"/>
  <c r="CF102" i="1" s="1"/>
  <c r="BO101" i="1"/>
  <c r="BM101" i="1"/>
  <c r="CN101" i="1" s="1"/>
  <c r="BN101" i="1"/>
  <c r="CF101" i="1" s="1"/>
  <c r="BO100" i="1"/>
  <c r="BM100" i="1"/>
  <c r="CN100" i="1" s="1"/>
  <c r="BN100" i="1"/>
  <c r="CF100" i="1" s="1"/>
  <c r="BO99" i="1"/>
  <c r="BM99" i="1"/>
  <c r="CN99" i="1" s="1"/>
  <c r="BN99" i="1"/>
  <c r="CF99" i="1" s="1"/>
  <c r="BO98" i="1"/>
  <c r="BM98" i="1"/>
  <c r="CN98" i="1" s="1"/>
  <c r="BN98" i="1"/>
  <c r="CF98" i="1" s="1"/>
  <c r="BO97" i="1"/>
  <c r="BM97" i="1"/>
  <c r="CN97" i="1" s="1"/>
  <c r="BN97" i="1"/>
  <c r="CF97" i="1" s="1"/>
  <c r="BO96" i="1"/>
  <c r="BM96" i="1"/>
  <c r="CN96" i="1" s="1"/>
  <c r="BN96" i="1"/>
  <c r="CF96" i="1" s="1"/>
  <c r="BO95" i="1"/>
  <c r="BM95" i="1"/>
  <c r="CN95" i="1" s="1"/>
  <c r="BN95" i="1"/>
  <c r="CF95" i="1" s="1"/>
  <c r="BO94" i="1"/>
  <c r="BM94" i="1"/>
  <c r="CN94" i="1" s="1"/>
  <c r="BN94" i="1"/>
  <c r="CF94" i="1" s="1"/>
  <c r="BO93" i="1"/>
  <c r="BM93" i="1"/>
  <c r="CN93" i="1" s="1"/>
  <c r="BN93" i="1"/>
  <c r="CF93" i="1" s="1"/>
  <c r="BO92" i="1"/>
  <c r="BM92" i="1"/>
  <c r="CN92" i="1" s="1"/>
  <c r="BN92" i="1"/>
  <c r="CF92" i="1" s="1"/>
  <c r="BO91" i="1"/>
  <c r="BM91" i="1"/>
  <c r="CN91" i="1" s="1"/>
  <c r="BN91" i="1"/>
  <c r="CF91" i="1" s="1"/>
  <c r="BO90" i="1"/>
  <c r="BM90" i="1"/>
  <c r="CN90" i="1" s="1"/>
  <c r="BN90" i="1"/>
  <c r="CF90" i="1" s="1"/>
  <c r="BO89" i="1"/>
  <c r="BM89" i="1"/>
  <c r="CN89" i="1" s="1"/>
  <c r="BN89" i="1"/>
  <c r="CF89" i="1" s="1"/>
  <c r="BO88" i="1"/>
  <c r="BM88" i="1"/>
  <c r="CN88" i="1" s="1"/>
  <c r="BN88" i="1"/>
  <c r="CF88" i="1" s="1"/>
  <c r="BO87" i="1"/>
  <c r="BM87" i="1"/>
  <c r="CN87" i="1" s="1"/>
  <c r="BN87" i="1"/>
  <c r="CF87" i="1" s="1"/>
  <c r="BO86" i="1"/>
  <c r="BM86" i="1"/>
  <c r="CN86" i="1" s="1"/>
  <c r="BN86" i="1"/>
  <c r="CF86" i="1" s="1"/>
  <c r="BO85" i="1"/>
  <c r="BM85" i="1"/>
  <c r="CN85" i="1" s="1"/>
  <c r="BN85" i="1"/>
  <c r="CF85" i="1" s="1"/>
  <c r="BO84" i="1"/>
  <c r="BM84" i="1"/>
  <c r="CN84" i="1" s="1"/>
  <c r="BN84" i="1"/>
  <c r="CF84" i="1" s="1"/>
  <c r="BO83" i="1"/>
  <c r="BM83" i="1"/>
  <c r="CN83" i="1" s="1"/>
  <c r="BN83" i="1"/>
  <c r="CF83" i="1" s="1"/>
  <c r="BO82" i="1"/>
  <c r="BM82" i="1"/>
  <c r="CN82" i="1" s="1"/>
  <c r="BN82" i="1"/>
  <c r="CF82" i="1" s="1"/>
  <c r="BO81" i="1"/>
  <c r="BM81" i="1"/>
  <c r="CN81" i="1" s="1"/>
  <c r="BN81" i="1"/>
  <c r="CF81" i="1" s="1"/>
  <c r="BO80" i="1"/>
  <c r="BM80" i="1"/>
  <c r="CN80" i="1" s="1"/>
  <c r="BN80" i="1"/>
  <c r="CF80" i="1" s="1"/>
  <c r="BO79" i="1"/>
  <c r="BM79" i="1"/>
  <c r="CN79" i="1" s="1"/>
  <c r="BN79" i="1"/>
  <c r="CF79" i="1" s="1"/>
  <c r="BO78" i="1"/>
  <c r="BM78" i="1"/>
  <c r="CN78" i="1" s="1"/>
  <c r="BN78" i="1"/>
  <c r="CF78" i="1" s="1"/>
  <c r="BO77" i="1"/>
  <c r="BM77" i="1"/>
  <c r="CN77" i="1" s="1"/>
  <c r="BN77" i="1"/>
  <c r="CF77" i="1" s="1"/>
  <c r="BO76" i="1"/>
  <c r="BM76" i="1"/>
  <c r="CN76" i="1" s="1"/>
  <c r="BN76" i="1"/>
  <c r="CF76" i="1" s="1"/>
  <c r="BO75" i="1"/>
  <c r="BM75" i="1"/>
  <c r="CN75" i="1" s="1"/>
  <c r="BN75" i="1"/>
  <c r="CF75" i="1" s="1"/>
  <c r="BO74" i="1"/>
  <c r="BM74" i="1"/>
  <c r="CN74" i="1" s="1"/>
  <c r="BN74" i="1"/>
  <c r="CF74" i="1" s="1"/>
  <c r="BO73" i="1"/>
  <c r="BM73" i="1"/>
  <c r="CN73" i="1" s="1"/>
  <c r="BN73" i="1"/>
  <c r="CF73" i="1" s="1"/>
  <c r="BO72" i="1"/>
  <c r="BM72" i="1"/>
  <c r="CN72" i="1" s="1"/>
  <c r="BN72" i="1"/>
  <c r="CF72" i="1" s="1"/>
  <c r="BO71" i="1"/>
  <c r="BM71" i="1"/>
  <c r="CN71" i="1" s="1"/>
  <c r="BN71" i="1"/>
  <c r="CF71" i="1" s="1"/>
  <c r="BO70" i="1"/>
  <c r="BM70" i="1"/>
  <c r="CN70" i="1" s="1"/>
  <c r="BN70" i="1"/>
  <c r="CF70" i="1" s="1"/>
  <c r="BO69" i="1"/>
  <c r="BM69" i="1"/>
  <c r="CN69" i="1" s="1"/>
  <c r="BN69" i="1"/>
  <c r="CF69" i="1" s="1"/>
  <c r="BO68" i="1"/>
  <c r="BM68" i="1"/>
  <c r="CN68" i="1" s="1"/>
  <c r="BN68" i="1"/>
  <c r="CF68" i="1" s="1"/>
  <c r="BO67" i="1"/>
  <c r="BM67" i="1"/>
  <c r="CN67" i="1" s="1"/>
  <c r="BN67" i="1"/>
  <c r="CF67" i="1" s="1"/>
  <c r="BO66" i="1"/>
  <c r="BM66" i="1"/>
  <c r="CN66" i="1" s="1"/>
  <c r="BN66" i="1"/>
  <c r="CF66" i="1" s="1"/>
  <c r="BO65" i="1"/>
  <c r="BM65" i="1"/>
  <c r="CN65" i="1" s="1"/>
  <c r="BN65" i="1"/>
  <c r="CF65" i="1" s="1"/>
  <c r="BO64" i="1"/>
  <c r="BM64" i="1"/>
  <c r="CN64" i="1" s="1"/>
  <c r="BN64" i="1"/>
  <c r="CF64" i="1" s="1"/>
  <c r="BO63" i="1"/>
  <c r="BM63" i="1"/>
  <c r="CN63" i="1" s="1"/>
  <c r="BN63" i="1"/>
  <c r="CF63" i="1" s="1"/>
  <c r="BO62" i="1"/>
  <c r="BM62" i="1"/>
  <c r="CN62" i="1" s="1"/>
  <c r="BN62" i="1"/>
  <c r="CF62" i="1" s="1"/>
  <c r="BO61" i="1"/>
  <c r="BM61" i="1"/>
  <c r="CN61" i="1" s="1"/>
  <c r="BN61" i="1"/>
  <c r="CF61" i="1" s="1"/>
  <c r="BO60" i="1"/>
  <c r="BM60" i="1"/>
  <c r="CN60" i="1" s="1"/>
  <c r="BN60" i="1"/>
  <c r="CF60" i="1" s="1"/>
  <c r="BO59" i="1"/>
  <c r="BM59" i="1"/>
  <c r="CN59" i="1" s="1"/>
  <c r="BN59" i="1"/>
  <c r="CF59" i="1" s="1"/>
  <c r="BO58" i="1"/>
  <c r="BM58" i="1"/>
  <c r="CN58" i="1" s="1"/>
  <c r="BN58" i="1"/>
  <c r="CF58" i="1" s="1"/>
  <c r="BO57" i="1"/>
  <c r="BM57" i="1"/>
  <c r="CN57" i="1" s="1"/>
  <c r="BN57" i="1"/>
  <c r="CF57" i="1" s="1"/>
  <c r="BO56" i="1"/>
  <c r="BM56" i="1"/>
  <c r="CN56" i="1" s="1"/>
  <c r="BN56" i="1"/>
  <c r="CF56" i="1" s="1"/>
  <c r="BO55" i="1"/>
  <c r="BM55" i="1"/>
  <c r="CN55" i="1" s="1"/>
  <c r="BN55" i="1"/>
  <c r="CF55" i="1" s="1"/>
  <c r="BO54" i="1"/>
  <c r="BM54" i="1"/>
  <c r="CN54" i="1" s="1"/>
  <c r="BN54" i="1"/>
  <c r="CF54" i="1" s="1"/>
  <c r="BO53" i="1"/>
  <c r="BM53" i="1"/>
  <c r="CN53" i="1" s="1"/>
  <c r="BN53" i="1"/>
  <c r="CF53" i="1" s="1"/>
  <c r="BO52" i="1"/>
  <c r="BM52" i="1"/>
  <c r="CN52" i="1" s="1"/>
  <c r="BN52" i="1"/>
  <c r="CF52" i="1" s="1"/>
  <c r="BO51" i="1"/>
  <c r="BM51" i="1"/>
  <c r="CN51" i="1" s="1"/>
  <c r="BN51" i="1"/>
  <c r="CF51" i="1" s="1"/>
  <c r="BO50" i="1"/>
  <c r="BM50" i="1"/>
  <c r="CN50" i="1" s="1"/>
  <c r="BN50" i="1"/>
  <c r="CF50" i="1" s="1"/>
  <c r="BO49" i="1"/>
  <c r="BM49" i="1"/>
  <c r="CN49" i="1" s="1"/>
  <c r="BN49" i="1"/>
  <c r="CF49" i="1" s="1"/>
  <c r="BO48" i="1"/>
  <c r="BM48" i="1"/>
  <c r="CN48" i="1" s="1"/>
  <c r="BN48" i="1"/>
  <c r="CF48" i="1" s="1"/>
  <c r="BO47" i="1"/>
  <c r="BM47" i="1"/>
  <c r="CN47" i="1" s="1"/>
  <c r="BN47" i="1"/>
  <c r="CF47" i="1" s="1"/>
  <c r="BO46" i="1"/>
  <c r="BM46" i="1"/>
  <c r="CN46" i="1" s="1"/>
  <c r="BN46" i="1"/>
  <c r="CF46" i="1" s="1"/>
  <c r="BO45" i="1"/>
  <c r="BM45" i="1"/>
  <c r="CN45" i="1" s="1"/>
  <c r="BN45" i="1"/>
  <c r="CF45" i="1" s="1"/>
  <c r="BO44" i="1"/>
  <c r="BM44" i="1"/>
  <c r="CN44" i="1" s="1"/>
  <c r="BN44" i="1"/>
  <c r="CF44" i="1" s="1"/>
  <c r="BO43" i="1"/>
  <c r="BM43" i="1"/>
  <c r="CN43" i="1" s="1"/>
  <c r="BN43" i="1"/>
  <c r="CF43" i="1" s="1"/>
  <c r="BO42" i="1"/>
  <c r="BM42" i="1"/>
  <c r="CN42" i="1" s="1"/>
  <c r="BN42" i="1"/>
  <c r="CF42" i="1" s="1"/>
  <c r="BO41" i="1"/>
  <c r="BM41" i="1"/>
  <c r="CN41" i="1" s="1"/>
  <c r="BN41" i="1"/>
  <c r="CF41" i="1" s="1"/>
  <c r="BO40" i="1"/>
  <c r="BM40" i="1"/>
  <c r="CN40" i="1" s="1"/>
  <c r="BN40" i="1"/>
  <c r="CF40" i="1" s="1"/>
  <c r="BO39" i="1"/>
  <c r="BM39" i="1"/>
  <c r="CN39" i="1" s="1"/>
  <c r="BN39" i="1"/>
  <c r="CF39" i="1" s="1"/>
  <c r="BO38" i="1"/>
  <c r="BM38" i="1"/>
  <c r="CN38" i="1" s="1"/>
  <c r="BN38" i="1"/>
  <c r="CF38" i="1" s="1"/>
  <c r="BO37" i="1"/>
  <c r="BM37" i="1"/>
  <c r="CN37" i="1" s="1"/>
  <c r="BN37" i="1"/>
  <c r="CF37" i="1" s="1"/>
  <c r="BO36" i="1"/>
  <c r="BM36" i="1"/>
  <c r="CN36" i="1" s="1"/>
  <c r="BN36" i="1"/>
  <c r="CF36" i="1" s="1"/>
  <c r="BO35" i="1"/>
  <c r="BM35" i="1"/>
  <c r="CN35" i="1" s="1"/>
  <c r="BN35" i="1"/>
  <c r="CF35" i="1" s="1"/>
  <c r="BO34" i="1"/>
  <c r="BM34" i="1"/>
  <c r="CN34" i="1" s="1"/>
  <c r="BN34" i="1"/>
  <c r="CF34" i="1" s="1"/>
  <c r="BO33" i="1"/>
  <c r="BM33" i="1"/>
  <c r="CN33" i="1" s="1"/>
  <c r="BN33" i="1"/>
  <c r="CF33" i="1" s="1"/>
  <c r="BO32" i="1"/>
  <c r="BM32" i="1"/>
  <c r="CN32" i="1" s="1"/>
  <c r="BN32" i="1"/>
  <c r="CF32" i="1" s="1"/>
  <c r="BO31" i="1"/>
  <c r="BM31" i="1"/>
  <c r="CN31" i="1" s="1"/>
  <c r="BN31" i="1"/>
  <c r="CF31" i="1" s="1"/>
  <c r="BO30" i="1"/>
  <c r="BM30" i="1"/>
  <c r="CN30" i="1" s="1"/>
  <c r="BN30" i="1"/>
  <c r="CF30" i="1" s="1"/>
  <c r="BO29" i="1"/>
  <c r="BM29" i="1"/>
  <c r="CN29" i="1" s="1"/>
  <c r="BN29" i="1"/>
  <c r="CF29" i="1" s="1"/>
  <c r="BO28" i="1"/>
  <c r="BM28" i="1"/>
  <c r="CN28" i="1" s="1"/>
  <c r="BN28" i="1"/>
  <c r="CF28" i="1" s="1"/>
  <c r="BO27" i="1"/>
  <c r="BM27" i="1"/>
  <c r="CN27" i="1" s="1"/>
  <c r="BN27" i="1"/>
  <c r="CF27" i="1" s="1"/>
  <c r="BO26" i="1"/>
  <c r="BM26" i="1"/>
  <c r="CN26" i="1" s="1"/>
  <c r="BN26" i="1"/>
  <c r="CF26" i="1" s="1"/>
  <c r="BO25" i="1"/>
  <c r="BM25" i="1"/>
  <c r="CN25" i="1" s="1"/>
  <c r="BN25" i="1"/>
  <c r="CF25" i="1" s="1"/>
  <c r="BO24" i="1"/>
  <c r="BM24" i="1"/>
  <c r="CN24" i="1" s="1"/>
  <c r="BN24" i="1"/>
  <c r="CF24" i="1" s="1"/>
  <c r="BO23" i="1"/>
  <c r="BM23" i="1"/>
  <c r="CN23" i="1" s="1"/>
  <c r="BN23" i="1"/>
  <c r="CF23" i="1" s="1"/>
  <c r="BO22" i="1"/>
  <c r="BM22" i="1"/>
  <c r="CN22" i="1" s="1"/>
  <c r="BN22" i="1"/>
  <c r="CF22" i="1" s="1"/>
  <c r="BO21" i="1"/>
  <c r="BM21" i="1"/>
  <c r="CN21" i="1" s="1"/>
  <c r="BN21" i="1"/>
  <c r="CF21" i="1" s="1"/>
  <c r="BO20" i="1"/>
  <c r="BM20" i="1"/>
  <c r="CN20" i="1" s="1"/>
  <c r="BN20" i="1"/>
  <c r="CF20" i="1" s="1"/>
  <c r="BO19" i="1"/>
  <c r="BM19" i="1"/>
  <c r="CN19" i="1" s="1"/>
  <c r="BN19" i="1"/>
  <c r="CF19" i="1" s="1"/>
  <c r="BO18" i="1"/>
  <c r="BM18" i="1"/>
  <c r="CN18" i="1" s="1"/>
  <c r="BN18" i="1"/>
  <c r="CF18" i="1" s="1"/>
  <c r="BO17" i="1"/>
  <c r="BM17" i="1"/>
  <c r="CN17" i="1" s="1"/>
  <c r="BN17" i="1"/>
  <c r="CF17" i="1" s="1"/>
  <c r="BO16" i="1"/>
  <c r="BM16" i="1"/>
  <c r="CN16" i="1" s="1"/>
  <c r="BN16" i="1"/>
  <c r="CF16" i="1" s="1"/>
  <c r="BO15" i="1"/>
  <c r="BM15" i="1"/>
  <c r="CN15" i="1" s="1"/>
  <c r="BN15" i="1"/>
  <c r="CF15" i="1" s="1"/>
  <c r="BO14" i="1"/>
  <c r="BM14" i="1"/>
  <c r="CN14" i="1" s="1"/>
  <c r="BN14" i="1"/>
  <c r="CF14" i="1" s="1"/>
  <c r="BO13" i="1"/>
  <c r="BM13" i="1"/>
  <c r="CN13" i="1" s="1"/>
  <c r="BN13" i="1"/>
  <c r="CF13" i="1" s="1"/>
  <c r="BO12" i="1"/>
  <c r="BM12" i="1"/>
  <c r="CN12" i="1" s="1"/>
  <c r="BN12" i="1"/>
  <c r="CF12" i="1" s="1"/>
  <c r="BO11" i="1"/>
  <c r="BM11" i="1"/>
  <c r="CN11" i="1" s="1"/>
  <c r="BN11" i="1"/>
  <c r="CF11" i="1" s="1"/>
  <c r="BO10" i="1"/>
  <c r="BM10" i="1"/>
  <c r="CN10" i="1" s="1"/>
  <c r="BN10" i="1"/>
  <c r="CF10" i="1" s="1"/>
  <c r="BO9" i="1"/>
  <c r="BM9" i="1"/>
  <c r="CN9" i="1" s="1"/>
  <c r="BN9" i="1"/>
  <c r="CF9" i="1" s="1"/>
  <c r="BO8" i="1"/>
  <c r="BM8" i="1"/>
  <c r="CN8" i="1" s="1"/>
  <c r="BN8" i="1"/>
  <c r="CF8" i="1" s="1"/>
  <c r="BO7" i="1"/>
  <c r="BM7" i="1"/>
  <c r="BN7" i="1"/>
  <c r="CF7" i="1" s="1"/>
  <c r="CN7" i="1" l="1"/>
  <c r="BM2" i="1"/>
  <c r="BP347" i="1"/>
  <c r="CV347" i="1"/>
  <c r="BP25" i="1"/>
  <c r="CV25" i="1"/>
  <c r="BP27" i="1"/>
  <c r="CV27" i="1"/>
  <c r="BP29" i="1"/>
  <c r="CV29" i="1"/>
  <c r="BP31" i="1"/>
  <c r="CV31" i="1"/>
  <c r="BP33" i="1"/>
  <c r="CV33" i="1"/>
  <c r="BP35" i="1"/>
  <c r="CV35" i="1"/>
  <c r="BP37" i="1"/>
  <c r="CV37" i="1"/>
  <c r="BP39" i="1"/>
  <c r="CV39" i="1"/>
  <c r="BP41" i="1"/>
  <c r="CV41" i="1"/>
  <c r="BP43" i="1"/>
  <c r="CV43" i="1"/>
  <c r="BP45" i="1"/>
  <c r="CV45" i="1"/>
  <c r="BP47" i="1"/>
  <c r="CV47" i="1"/>
  <c r="BP49" i="1"/>
  <c r="CV49" i="1"/>
  <c r="BP51" i="1"/>
  <c r="CV51" i="1"/>
  <c r="BP53" i="1"/>
  <c r="CV53" i="1"/>
  <c r="BP55" i="1"/>
  <c r="CV55" i="1"/>
  <c r="BP57" i="1"/>
  <c r="CV57" i="1"/>
  <c r="BP59" i="1"/>
  <c r="CV59" i="1"/>
  <c r="BP61" i="1"/>
  <c r="CV61" i="1"/>
  <c r="BP63" i="1"/>
  <c r="CV63" i="1"/>
  <c r="BP65" i="1"/>
  <c r="CV65" i="1"/>
  <c r="BP67" i="1"/>
  <c r="CV67" i="1"/>
  <c r="BP69" i="1"/>
  <c r="CV69" i="1"/>
  <c r="BP71" i="1"/>
  <c r="CV71" i="1"/>
  <c r="BP73" i="1"/>
  <c r="CV73" i="1"/>
  <c r="BP75" i="1"/>
  <c r="CV75" i="1"/>
  <c r="BP77" i="1"/>
  <c r="CV77" i="1"/>
  <c r="BP79" i="1"/>
  <c r="CV79" i="1"/>
  <c r="BP81" i="1"/>
  <c r="CV81" i="1"/>
  <c r="BP83" i="1"/>
  <c r="CV83" i="1"/>
  <c r="BP85" i="1"/>
  <c r="CV85" i="1"/>
  <c r="BP87" i="1"/>
  <c r="CV87" i="1"/>
  <c r="BP89" i="1"/>
  <c r="CV89" i="1"/>
  <c r="BP91" i="1"/>
  <c r="CV91" i="1"/>
  <c r="BP93" i="1"/>
  <c r="CV93" i="1"/>
  <c r="BP95" i="1"/>
  <c r="CV95" i="1"/>
  <c r="BP97" i="1"/>
  <c r="CV97" i="1"/>
  <c r="BP99" i="1"/>
  <c r="CV99" i="1"/>
  <c r="BP101" i="1"/>
  <c r="CV101" i="1"/>
  <c r="BP103" i="1"/>
  <c r="CV103" i="1"/>
  <c r="BP105" i="1"/>
  <c r="CV105" i="1"/>
  <c r="BP107" i="1"/>
  <c r="CV107" i="1"/>
  <c r="BP109" i="1"/>
  <c r="CV109" i="1"/>
  <c r="BP111" i="1"/>
  <c r="CV111" i="1"/>
  <c r="BP113" i="1"/>
  <c r="CV113" i="1"/>
  <c r="BP115" i="1"/>
  <c r="CV115" i="1"/>
  <c r="BP117" i="1"/>
  <c r="CV117" i="1"/>
  <c r="BP119" i="1"/>
  <c r="CV119" i="1"/>
  <c r="BP121" i="1"/>
  <c r="CV121" i="1"/>
  <c r="BP123" i="1"/>
  <c r="CV123" i="1"/>
  <c r="BP125" i="1"/>
  <c r="CV125" i="1"/>
  <c r="BP127" i="1"/>
  <c r="CV127" i="1"/>
  <c r="BP129" i="1"/>
  <c r="CV129" i="1"/>
  <c r="BP131" i="1"/>
  <c r="CV131" i="1"/>
  <c r="BP133" i="1"/>
  <c r="CV133" i="1"/>
  <c r="BP135" i="1"/>
  <c r="CV135" i="1"/>
  <c r="BP137" i="1"/>
  <c r="CV137" i="1"/>
  <c r="BP139" i="1"/>
  <c r="CV139" i="1"/>
  <c r="BP141" i="1"/>
  <c r="CV141" i="1"/>
  <c r="BP143" i="1"/>
  <c r="CV143" i="1"/>
  <c r="BP145" i="1"/>
  <c r="CV145" i="1"/>
  <c r="BP147" i="1"/>
  <c r="CV147" i="1"/>
  <c r="BP149" i="1"/>
  <c r="CV149" i="1"/>
  <c r="BP151" i="1"/>
  <c r="CV151" i="1"/>
  <c r="BP153" i="1"/>
  <c r="CV153" i="1"/>
  <c r="BP155" i="1"/>
  <c r="CV155" i="1"/>
  <c r="BP157" i="1"/>
  <c r="CV157" i="1"/>
  <c r="BP159" i="1"/>
  <c r="CV159" i="1"/>
  <c r="BP161" i="1"/>
  <c r="CV161" i="1"/>
  <c r="BP163" i="1"/>
  <c r="CV163" i="1"/>
  <c r="BP165" i="1"/>
  <c r="CV165" i="1"/>
  <c r="BP167" i="1"/>
  <c r="CV167" i="1"/>
  <c r="BP169" i="1"/>
  <c r="CV169" i="1"/>
  <c r="BP171" i="1"/>
  <c r="CV171" i="1"/>
  <c r="BP173" i="1"/>
  <c r="CV173" i="1"/>
  <c r="BP175" i="1"/>
  <c r="CV175" i="1"/>
  <c r="BP177" i="1"/>
  <c r="CV177" i="1"/>
  <c r="BP179" i="1"/>
  <c r="CV179" i="1"/>
  <c r="BP181" i="1"/>
  <c r="CV181" i="1"/>
  <c r="BP183" i="1"/>
  <c r="CV183" i="1"/>
  <c r="BP185" i="1"/>
  <c r="CV185" i="1"/>
  <c r="BP187" i="1"/>
  <c r="CV187" i="1"/>
  <c r="BP189" i="1"/>
  <c r="CV189" i="1"/>
  <c r="BP191" i="1"/>
  <c r="CV191" i="1"/>
  <c r="BP193" i="1"/>
  <c r="CV193" i="1"/>
  <c r="BP195" i="1"/>
  <c r="CV195" i="1"/>
  <c r="BP197" i="1"/>
  <c r="CV197" i="1"/>
  <c r="BP199" i="1"/>
  <c r="CV199" i="1"/>
  <c r="BP201" i="1"/>
  <c r="CV201" i="1"/>
  <c r="BP203" i="1"/>
  <c r="CV203" i="1"/>
  <c r="BP205" i="1"/>
  <c r="CV205" i="1"/>
  <c r="BP207" i="1"/>
  <c r="CV207" i="1"/>
  <c r="BP209" i="1"/>
  <c r="CV209" i="1"/>
  <c r="BP211" i="1"/>
  <c r="CV211" i="1"/>
  <c r="BP213" i="1"/>
  <c r="CV213" i="1"/>
  <c r="BP215" i="1"/>
  <c r="CV215" i="1"/>
  <c r="BP217" i="1"/>
  <c r="CV217" i="1"/>
  <c r="BP219" i="1"/>
  <c r="CV219" i="1"/>
  <c r="BP221" i="1"/>
  <c r="CV221" i="1"/>
  <c r="BP223" i="1"/>
  <c r="CV223" i="1"/>
  <c r="BP225" i="1"/>
  <c r="CV225" i="1"/>
  <c r="BP227" i="1"/>
  <c r="CV227" i="1"/>
  <c r="BP229" i="1"/>
  <c r="CV229" i="1"/>
  <c r="BP231" i="1"/>
  <c r="CV231" i="1"/>
  <c r="BP233" i="1"/>
  <c r="CV233" i="1"/>
  <c r="BP235" i="1"/>
  <c r="CV235" i="1"/>
  <c r="BP237" i="1"/>
  <c r="CV237" i="1"/>
  <c r="BP239" i="1"/>
  <c r="CV239" i="1"/>
  <c r="BP241" i="1"/>
  <c r="CV241" i="1"/>
  <c r="BP243" i="1"/>
  <c r="CV243" i="1"/>
  <c r="BP245" i="1"/>
  <c r="CV245" i="1"/>
  <c r="BP247" i="1"/>
  <c r="CV247" i="1"/>
  <c r="BP249" i="1"/>
  <c r="CV249" i="1"/>
  <c r="BP251" i="1"/>
  <c r="CV251" i="1"/>
  <c r="BP253" i="1"/>
  <c r="CV253" i="1"/>
  <c r="BP255" i="1"/>
  <c r="CV255" i="1"/>
  <c r="BP257" i="1"/>
  <c r="CV257" i="1"/>
  <c r="BP259" i="1"/>
  <c r="CV259" i="1"/>
  <c r="BP263" i="1"/>
  <c r="CV263" i="1"/>
  <c r="BP265" i="1"/>
  <c r="CV265" i="1"/>
  <c r="BP267" i="1"/>
  <c r="CV267" i="1"/>
  <c r="BP269" i="1"/>
  <c r="CV269" i="1"/>
  <c r="BP271" i="1"/>
  <c r="CV271" i="1"/>
  <c r="BP273" i="1"/>
  <c r="CV273" i="1"/>
  <c r="BP275" i="1"/>
  <c r="CV275" i="1"/>
  <c r="BP277" i="1"/>
  <c r="CV277" i="1"/>
  <c r="BP279" i="1"/>
  <c r="CV279" i="1"/>
  <c r="BP281" i="1"/>
  <c r="CV281" i="1"/>
  <c r="BP283" i="1"/>
  <c r="CV283" i="1"/>
  <c r="BP285" i="1"/>
  <c r="CV285" i="1"/>
  <c r="BP287" i="1"/>
  <c r="CV287" i="1"/>
  <c r="BP289" i="1"/>
  <c r="CV289" i="1"/>
  <c r="BP291" i="1"/>
  <c r="CV291" i="1"/>
  <c r="BP293" i="1"/>
  <c r="CV293" i="1"/>
  <c r="BP295" i="1"/>
  <c r="CV295" i="1"/>
  <c r="BP297" i="1"/>
  <c r="CV297" i="1"/>
  <c r="BP299" i="1"/>
  <c r="CV299" i="1"/>
  <c r="BP301" i="1"/>
  <c r="CV301" i="1"/>
  <c r="BP303" i="1"/>
  <c r="CV303" i="1"/>
  <c r="BP305" i="1"/>
  <c r="CV305" i="1"/>
  <c r="BP307" i="1"/>
  <c r="CV307" i="1"/>
  <c r="BP309" i="1"/>
  <c r="CV309" i="1"/>
  <c r="BP311" i="1"/>
  <c r="CV311" i="1"/>
  <c r="BP313" i="1"/>
  <c r="CV313" i="1"/>
  <c r="BP315" i="1"/>
  <c r="CV315" i="1"/>
  <c r="BP317" i="1"/>
  <c r="CV317" i="1"/>
  <c r="BP319" i="1"/>
  <c r="CV319" i="1"/>
  <c r="BP321" i="1"/>
  <c r="CV321" i="1"/>
  <c r="BP323" i="1"/>
  <c r="CV323" i="1"/>
  <c r="BP325" i="1"/>
  <c r="CV325" i="1"/>
  <c r="BP327" i="1"/>
  <c r="CV327" i="1"/>
  <c r="BP329" i="1"/>
  <c r="CV329" i="1"/>
  <c r="BP331" i="1"/>
  <c r="CV331" i="1"/>
  <c r="BP333" i="1"/>
  <c r="CV333" i="1"/>
  <c r="BP335" i="1"/>
  <c r="CV335" i="1"/>
  <c r="BP337" i="1"/>
  <c r="CV337" i="1"/>
  <c r="BP339" i="1"/>
  <c r="CV339" i="1"/>
  <c r="BP341" i="1"/>
  <c r="CV341" i="1"/>
  <c r="BP343" i="1"/>
  <c r="CV343" i="1"/>
  <c r="BP345" i="1"/>
  <c r="CV345" i="1"/>
  <c r="BP26" i="1"/>
  <c r="CV26" i="1"/>
  <c r="BP28" i="1"/>
  <c r="CV28" i="1"/>
  <c r="BP30" i="1"/>
  <c r="CV30" i="1"/>
  <c r="BP32" i="1"/>
  <c r="CV32" i="1"/>
  <c r="BP34" i="1"/>
  <c r="CV34" i="1"/>
  <c r="BP36" i="1"/>
  <c r="CV36" i="1"/>
  <c r="BP38" i="1"/>
  <c r="CV38" i="1"/>
  <c r="BP40" i="1"/>
  <c r="CV40" i="1"/>
  <c r="BP42" i="1"/>
  <c r="CV42" i="1"/>
  <c r="BP44" i="1"/>
  <c r="CV44" i="1"/>
  <c r="BP46" i="1"/>
  <c r="CV46" i="1"/>
  <c r="BP48" i="1"/>
  <c r="CV48" i="1"/>
  <c r="BP50" i="1"/>
  <c r="CV50" i="1"/>
  <c r="BP52" i="1"/>
  <c r="CV52" i="1"/>
  <c r="BP54" i="1"/>
  <c r="CV54" i="1"/>
  <c r="BP56" i="1"/>
  <c r="CV56" i="1"/>
  <c r="BP58" i="1"/>
  <c r="CV58" i="1"/>
  <c r="BP60" i="1"/>
  <c r="CV60" i="1"/>
  <c r="BP62" i="1"/>
  <c r="CV62" i="1"/>
  <c r="BP64" i="1"/>
  <c r="CV64" i="1"/>
  <c r="BP66" i="1"/>
  <c r="CV66" i="1"/>
  <c r="BP68" i="1"/>
  <c r="CV68" i="1"/>
  <c r="BP70" i="1"/>
  <c r="CV70" i="1"/>
  <c r="BP72" i="1"/>
  <c r="CV72" i="1"/>
  <c r="BP74" i="1"/>
  <c r="CV74" i="1"/>
  <c r="BP76" i="1"/>
  <c r="CV76" i="1"/>
  <c r="BP78" i="1"/>
  <c r="CV78" i="1"/>
  <c r="BP80" i="1"/>
  <c r="CV80" i="1"/>
  <c r="BP82" i="1"/>
  <c r="CV82" i="1"/>
  <c r="BP84" i="1"/>
  <c r="CV84" i="1"/>
  <c r="BP86" i="1"/>
  <c r="CV86" i="1"/>
  <c r="BP88" i="1"/>
  <c r="CV88" i="1"/>
  <c r="BP90" i="1"/>
  <c r="CV90" i="1"/>
  <c r="BP92" i="1"/>
  <c r="CV92" i="1"/>
  <c r="BP94" i="1"/>
  <c r="CV94" i="1"/>
  <c r="BP96" i="1"/>
  <c r="CV96" i="1"/>
  <c r="BP98" i="1"/>
  <c r="CV98" i="1"/>
  <c r="BP100" i="1"/>
  <c r="CV100" i="1"/>
  <c r="BP102" i="1"/>
  <c r="CV102" i="1"/>
  <c r="BP104" i="1"/>
  <c r="CV104" i="1"/>
  <c r="BP106" i="1"/>
  <c r="CV106" i="1"/>
  <c r="BP108" i="1"/>
  <c r="CV108" i="1"/>
  <c r="BP110" i="1"/>
  <c r="CV110" i="1"/>
  <c r="BP112" i="1"/>
  <c r="CV112" i="1"/>
  <c r="BP114" i="1"/>
  <c r="CV114" i="1"/>
  <c r="BP116" i="1"/>
  <c r="CV116" i="1"/>
  <c r="BP118" i="1"/>
  <c r="CV118" i="1"/>
  <c r="BP120" i="1"/>
  <c r="CV120" i="1"/>
  <c r="BP122" i="1"/>
  <c r="CV122" i="1"/>
  <c r="BP124" i="1"/>
  <c r="CV124" i="1"/>
  <c r="BP126" i="1"/>
  <c r="CV126" i="1"/>
  <c r="BP128" i="1"/>
  <c r="CV128" i="1"/>
  <c r="BP130" i="1"/>
  <c r="CV130" i="1"/>
  <c r="BP132" i="1"/>
  <c r="CV132" i="1"/>
  <c r="BP134" i="1"/>
  <c r="CV134" i="1"/>
  <c r="BP136" i="1"/>
  <c r="CV136" i="1"/>
  <c r="BP138" i="1"/>
  <c r="CV138" i="1"/>
  <c r="BP140" i="1"/>
  <c r="CV140" i="1"/>
  <c r="BP142" i="1"/>
  <c r="CV142" i="1"/>
  <c r="BP144" i="1"/>
  <c r="CV144" i="1"/>
  <c r="BP146" i="1"/>
  <c r="CV146" i="1"/>
  <c r="BP148" i="1"/>
  <c r="CV148" i="1"/>
  <c r="BP150" i="1"/>
  <c r="CV150" i="1"/>
  <c r="BP152" i="1"/>
  <c r="CV152" i="1"/>
  <c r="BP154" i="1"/>
  <c r="CV154" i="1"/>
  <c r="BP156" i="1"/>
  <c r="CV156" i="1"/>
  <c r="BP158" i="1"/>
  <c r="CV158" i="1"/>
  <c r="BP160" i="1"/>
  <c r="CV160" i="1"/>
  <c r="BP162" i="1"/>
  <c r="CV162" i="1"/>
  <c r="BP164" i="1"/>
  <c r="CV164" i="1"/>
  <c r="BP166" i="1"/>
  <c r="CV166" i="1"/>
  <c r="BP168" i="1"/>
  <c r="CV168" i="1"/>
  <c r="BP170" i="1"/>
  <c r="CV170" i="1"/>
  <c r="BP172" i="1"/>
  <c r="CV172" i="1"/>
  <c r="BP174" i="1"/>
  <c r="CV174" i="1"/>
  <c r="BP176" i="1"/>
  <c r="CV176" i="1"/>
  <c r="BP178" i="1"/>
  <c r="CV178" i="1"/>
  <c r="BP180" i="1"/>
  <c r="CV180" i="1"/>
  <c r="BP182" i="1"/>
  <c r="CV182" i="1"/>
  <c r="BP184" i="1"/>
  <c r="CV184" i="1"/>
  <c r="BP186" i="1"/>
  <c r="CV186" i="1"/>
  <c r="BP188" i="1"/>
  <c r="CV188" i="1"/>
  <c r="BP190" i="1"/>
  <c r="CV190" i="1"/>
  <c r="BP192" i="1"/>
  <c r="CV192" i="1"/>
  <c r="BP194" i="1"/>
  <c r="CV194" i="1"/>
  <c r="BP196" i="1"/>
  <c r="CV196" i="1"/>
  <c r="BP198" i="1"/>
  <c r="CV198" i="1"/>
  <c r="BP200" i="1"/>
  <c r="CV200" i="1"/>
  <c r="BP202" i="1"/>
  <c r="CV202" i="1"/>
  <c r="BP204" i="1"/>
  <c r="CV204" i="1"/>
  <c r="BP206" i="1"/>
  <c r="CV206" i="1"/>
  <c r="BP208" i="1"/>
  <c r="CV208" i="1"/>
  <c r="BP210" i="1"/>
  <c r="CV210" i="1"/>
  <c r="BP212" i="1"/>
  <c r="CV212" i="1"/>
  <c r="BP214" i="1"/>
  <c r="CV214" i="1"/>
  <c r="BP216" i="1"/>
  <c r="CV216" i="1"/>
  <c r="BP218" i="1"/>
  <c r="CV218" i="1"/>
  <c r="BP220" i="1"/>
  <c r="CV220" i="1"/>
  <c r="BP222" i="1"/>
  <c r="CV222" i="1"/>
  <c r="BP224" i="1"/>
  <c r="CV224" i="1"/>
  <c r="BP226" i="1"/>
  <c r="CV226" i="1"/>
  <c r="BP228" i="1"/>
  <c r="CV228" i="1"/>
  <c r="BP230" i="1"/>
  <c r="CV230" i="1"/>
  <c r="BP232" i="1"/>
  <c r="CV232" i="1"/>
  <c r="BP234" i="1"/>
  <c r="CV234" i="1"/>
  <c r="BP236" i="1"/>
  <c r="CV236" i="1"/>
  <c r="BP238" i="1"/>
  <c r="CV238" i="1"/>
  <c r="BP240" i="1"/>
  <c r="CV240" i="1"/>
  <c r="BP242" i="1"/>
  <c r="CV242" i="1"/>
  <c r="BP244" i="1"/>
  <c r="CV244" i="1"/>
  <c r="BP246" i="1"/>
  <c r="CV246" i="1"/>
  <c r="BP248" i="1"/>
  <c r="CV248" i="1"/>
  <c r="BP250" i="1"/>
  <c r="CV250" i="1"/>
  <c r="BP252" i="1"/>
  <c r="CV252" i="1"/>
  <c r="BP254" i="1"/>
  <c r="CV254" i="1"/>
  <c r="BP256" i="1"/>
  <c r="CV256" i="1"/>
  <c r="BP258" i="1"/>
  <c r="CV258" i="1"/>
  <c r="BP260" i="1"/>
  <c r="CV260" i="1"/>
  <c r="BP264" i="1"/>
  <c r="CV264" i="1"/>
  <c r="BP266" i="1"/>
  <c r="CV266" i="1"/>
  <c r="BP268" i="1"/>
  <c r="CV268" i="1"/>
  <c r="BP270" i="1"/>
  <c r="CV270" i="1"/>
  <c r="BP272" i="1"/>
  <c r="CV272" i="1"/>
  <c r="BP274" i="1"/>
  <c r="CV274" i="1"/>
  <c r="BP276" i="1"/>
  <c r="CV276" i="1"/>
  <c r="BP278" i="1"/>
  <c r="CV278" i="1"/>
  <c r="BP280" i="1"/>
  <c r="CV280" i="1"/>
  <c r="BP282" i="1"/>
  <c r="CV282" i="1"/>
  <c r="BP284" i="1"/>
  <c r="CV284" i="1"/>
  <c r="BP286" i="1"/>
  <c r="CV286" i="1"/>
  <c r="BP288" i="1"/>
  <c r="CV288" i="1"/>
  <c r="BP290" i="1"/>
  <c r="CV290" i="1"/>
  <c r="BP292" i="1"/>
  <c r="CV292" i="1"/>
  <c r="BP294" i="1"/>
  <c r="CV294" i="1"/>
  <c r="BP296" i="1"/>
  <c r="CV296" i="1"/>
  <c r="BP298" i="1"/>
  <c r="CV298" i="1"/>
  <c r="BP300" i="1"/>
  <c r="CV300" i="1"/>
  <c r="BP302" i="1"/>
  <c r="CV302" i="1"/>
  <c r="BP304" i="1"/>
  <c r="CV304" i="1"/>
  <c r="BP306" i="1"/>
  <c r="CV306" i="1"/>
  <c r="BP308" i="1"/>
  <c r="CV308" i="1"/>
  <c r="BP310" i="1"/>
  <c r="CV310" i="1"/>
  <c r="BP312" i="1"/>
  <c r="CV312" i="1"/>
  <c r="BP314" i="1"/>
  <c r="CV314" i="1"/>
  <c r="BP316" i="1"/>
  <c r="CV316" i="1"/>
  <c r="BP318" i="1"/>
  <c r="CV318" i="1"/>
  <c r="BP320" i="1"/>
  <c r="CV320" i="1"/>
  <c r="BP322" i="1"/>
  <c r="CV322" i="1"/>
  <c r="BP324" i="1"/>
  <c r="CV324" i="1"/>
  <c r="BP326" i="1"/>
  <c r="CV326" i="1"/>
  <c r="BP328" i="1"/>
  <c r="CV328" i="1"/>
  <c r="BP330" i="1"/>
  <c r="CV330" i="1"/>
  <c r="BP332" i="1"/>
  <c r="CV332" i="1"/>
  <c r="BP334" i="1"/>
  <c r="CV334" i="1"/>
  <c r="BP336" i="1"/>
  <c r="CV336" i="1"/>
  <c r="BP338" i="1"/>
  <c r="CV338" i="1"/>
  <c r="BP340" i="1"/>
  <c r="CV340" i="1"/>
  <c r="BP342" i="1"/>
  <c r="CV342" i="1"/>
  <c r="BP344" i="1"/>
  <c r="CV344" i="1"/>
  <c r="BP346" i="1"/>
  <c r="CV346" i="1"/>
  <c r="CV11" i="1"/>
  <c r="BP11" i="1"/>
  <c r="CV15" i="1"/>
  <c r="BP15" i="1"/>
  <c r="CV19" i="1"/>
  <c r="BP19" i="1"/>
  <c r="CV23" i="1"/>
  <c r="BP23" i="1"/>
  <c r="BP261" i="1"/>
  <c r="DA261" i="1" s="1"/>
  <c r="DB261" i="1"/>
  <c r="BP7" i="1"/>
  <c r="CV7" i="1"/>
  <c r="CV9" i="1"/>
  <c r="BP9" i="1"/>
  <c r="CV13" i="1"/>
  <c r="BP13" i="1"/>
  <c r="CV17" i="1"/>
  <c r="BP17" i="1"/>
  <c r="CV21" i="1"/>
  <c r="BP21" i="1"/>
  <c r="CV8" i="1"/>
  <c r="BP8" i="1"/>
  <c r="CV10" i="1"/>
  <c r="BP10" i="1"/>
  <c r="CV12" i="1"/>
  <c r="BP12" i="1"/>
  <c r="CV14" i="1"/>
  <c r="BP14" i="1"/>
  <c r="CV16" i="1"/>
  <c r="BP16" i="1"/>
  <c r="CV18" i="1"/>
  <c r="BP18" i="1"/>
  <c r="CV20" i="1"/>
  <c r="BP20" i="1"/>
  <c r="CV22" i="1"/>
  <c r="BP22" i="1"/>
  <c r="CV24" i="1"/>
  <c r="BP24" i="1"/>
  <c r="BP262" i="1"/>
  <c r="DA262" i="1" s="1"/>
  <c r="DB262" i="1"/>
  <c r="BS371" i="1"/>
  <c r="BS370" i="1"/>
  <c r="BS369" i="1"/>
  <c r="BS368" i="1"/>
  <c r="BS367" i="1"/>
  <c r="BS366" i="1"/>
  <c r="BS365" i="1"/>
  <c r="BS364" i="1"/>
  <c r="BS363" i="1"/>
  <c r="BS362" i="1"/>
  <c r="BS361" i="1"/>
  <c r="BS360" i="1"/>
  <c r="BS359" i="1"/>
  <c r="BS358" i="1"/>
  <c r="BS357" i="1"/>
  <c r="BS356" i="1"/>
  <c r="BS355" i="1"/>
  <c r="BS354" i="1"/>
  <c r="BS353" i="1"/>
  <c r="BS352" i="1"/>
  <c r="BS351" i="1"/>
  <c r="BS350" i="1"/>
  <c r="BS349" i="1"/>
  <c r="BS348" i="1"/>
  <c r="BS347" i="1"/>
  <c r="BS346" i="1"/>
  <c r="BS345" i="1"/>
  <c r="BS344" i="1"/>
  <c r="BS343" i="1"/>
  <c r="BS342" i="1"/>
  <c r="BS341" i="1"/>
  <c r="DB346" i="1" l="1"/>
  <c r="DA346" i="1"/>
  <c r="DB344" i="1"/>
  <c r="DA344" i="1"/>
  <c r="DB342" i="1"/>
  <c r="DA342" i="1"/>
  <c r="DB340" i="1"/>
  <c r="DA340" i="1"/>
  <c r="DB338" i="1"/>
  <c r="DA338" i="1"/>
  <c r="DB336" i="1"/>
  <c r="DA336" i="1"/>
  <c r="DB334" i="1"/>
  <c r="DA334" i="1"/>
  <c r="DB332" i="1"/>
  <c r="DA332" i="1"/>
  <c r="DB330" i="1"/>
  <c r="DA330" i="1"/>
  <c r="DB328" i="1"/>
  <c r="DA328" i="1"/>
  <c r="DB326" i="1"/>
  <c r="DA326" i="1"/>
  <c r="DB324" i="1"/>
  <c r="DA324" i="1"/>
  <c r="DB322" i="1"/>
  <c r="DA322" i="1"/>
  <c r="DB320" i="1"/>
  <c r="DA320" i="1"/>
  <c r="DB318" i="1"/>
  <c r="DA318" i="1"/>
  <c r="DB316" i="1"/>
  <c r="DA316" i="1"/>
  <c r="DB314" i="1"/>
  <c r="DA314" i="1"/>
  <c r="DB312" i="1"/>
  <c r="DA312" i="1"/>
  <c r="DB310" i="1"/>
  <c r="DA310" i="1"/>
  <c r="DB308" i="1"/>
  <c r="DA308" i="1"/>
  <c r="DB306" i="1"/>
  <c r="DA306" i="1"/>
  <c r="DB304" i="1"/>
  <c r="DA304" i="1"/>
  <c r="DB302" i="1"/>
  <c r="DA302" i="1"/>
  <c r="DB300" i="1"/>
  <c r="DA300" i="1"/>
  <c r="DB298" i="1"/>
  <c r="DA298" i="1"/>
  <c r="DB296" i="1"/>
  <c r="DA296" i="1"/>
  <c r="DB294" i="1"/>
  <c r="DA294" i="1"/>
  <c r="DB292" i="1"/>
  <c r="DA292" i="1"/>
  <c r="DB290" i="1"/>
  <c r="DA290" i="1"/>
  <c r="DB288" i="1"/>
  <c r="DA288" i="1"/>
  <c r="DB286" i="1"/>
  <c r="DA286" i="1"/>
  <c r="DB284" i="1"/>
  <c r="DA284" i="1"/>
  <c r="DB282" i="1"/>
  <c r="DA282" i="1"/>
  <c r="DB280" i="1"/>
  <c r="DA280" i="1"/>
  <c r="DB278" i="1"/>
  <c r="DA278" i="1"/>
  <c r="DB276" i="1"/>
  <c r="DA276" i="1"/>
  <c r="DB274" i="1"/>
  <c r="DA274" i="1"/>
  <c r="DB272" i="1"/>
  <c r="DA272" i="1"/>
  <c r="DB270" i="1"/>
  <c r="DA270" i="1"/>
  <c r="DB268" i="1"/>
  <c r="DA268" i="1"/>
  <c r="DB266" i="1"/>
  <c r="DA266" i="1"/>
  <c r="DB264" i="1"/>
  <c r="DA264" i="1"/>
  <c r="DB260" i="1"/>
  <c r="DA260" i="1"/>
  <c r="DB258" i="1"/>
  <c r="DA258" i="1"/>
  <c r="DB256" i="1"/>
  <c r="DA256" i="1"/>
  <c r="DB254" i="1"/>
  <c r="DA254" i="1"/>
  <c r="DB252" i="1"/>
  <c r="DA252" i="1"/>
  <c r="DB250" i="1"/>
  <c r="DA250" i="1"/>
  <c r="DB248" i="1"/>
  <c r="DA248" i="1"/>
  <c r="DB246" i="1"/>
  <c r="DA246" i="1"/>
  <c r="DB244" i="1"/>
  <c r="DA244" i="1"/>
  <c r="DB242" i="1"/>
  <c r="DA242" i="1"/>
  <c r="DB240" i="1"/>
  <c r="DA240" i="1"/>
  <c r="DB238" i="1"/>
  <c r="DA238" i="1"/>
  <c r="DB236" i="1"/>
  <c r="DA236" i="1"/>
  <c r="DB234" i="1"/>
  <c r="DA234" i="1"/>
  <c r="DB232" i="1"/>
  <c r="DA232" i="1"/>
  <c r="DB230" i="1"/>
  <c r="DA230" i="1"/>
  <c r="DB228" i="1"/>
  <c r="DA228" i="1"/>
  <c r="DB226" i="1"/>
  <c r="DA226" i="1"/>
  <c r="DB224" i="1"/>
  <c r="DA224" i="1"/>
  <c r="DB222" i="1"/>
  <c r="DA222" i="1"/>
  <c r="DB220" i="1"/>
  <c r="DA220" i="1"/>
  <c r="DB218" i="1"/>
  <c r="DA218" i="1"/>
  <c r="DB216" i="1"/>
  <c r="DA216" i="1"/>
  <c r="DB214" i="1"/>
  <c r="DA214" i="1"/>
  <c r="DB212" i="1"/>
  <c r="DA212" i="1"/>
  <c r="DB210" i="1"/>
  <c r="DA210" i="1"/>
  <c r="DB208" i="1"/>
  <c r="DA208" i="1"/>
  <c r="DB206" i="1"/>
  <c r="DA206" i="1"/>
  <c r="DB204" i="1"/>
  <c r="DA204" i="1"/>
  <c r="DB202" i="1"/>
  <c r="DA202" i="1"/>
  <c r="DB200" i="1"/>
  <c r="DA200" i="1"/>
  <c r="DB198" i="1"/>
  <c r="DA198" i="1"/>
  <c r="DB196" i="1"/>
  <c r="DA196" i="1"/>
  <c r="DB194" i="1"/>
  <c r="DA194" i="1"/>
  <c r="DB192" i="1"/>
  <c r="DA192" i="1"/>
  <c r="DB190" i="1"/>
  <c r="DA190" i="1"/>
  <c r="DB188" i="1"/>
  <c r="DA188" i="1"/>
  <c r="DB186" i="1"/>
  <c r="DA186" i="1"/>
  <c r="DB184" i="1"/>
  <c r="DA184" i="1"/>
  <c r="DB182" i="1"/>
  <c r="DA182" i="1"/>
  <c r="DB180" i="1"/>
  <c r="DA180" i="1"/>
  <c r="DB178" i="1"/>
  <c r="DA178" i="1"/>
  <c r="DB176" i="1"/>
  <c r="DA176" i="1"/>
  <c r="DB174" i="1"/>
  <c r="DA174" i="1"/>
  <c r="DB172" i="1"/>
  <c r="DA172" i="1"/>
  <c r="DB170" i="1"/>
  <c r="DA170" i="1"/>
  <c r="DB168" i="1"/>
  <c r="DA168" i="1"/>
  <c r="DB166" i="1"/>
  <c r="DA166" i="1"/>
  <c r="DB164" i="1"/>
  <c r="DA164" i="1"/>
  <c r="DB162" i="1"/>
  <c r="DA162" i="1"/>
  <c r="DB160" i="1"/>
  <c r="DA160" i="1"/>
  <c r="DB158" i="1"/>
  <c r="DA158" i="1"/>
  <c r="DB156" i="1"/>
  <c r="DA156" i="1"/>
  <c r="DB154" i="1"/>
  <c r="DA154" i="1"/>
  <c r="DB152" i="1"/>
  <c r="DA152" i="1"/>
  <c r="DB150" i="1"/>
  <c r="DA150" i="1"/>
  <c r="DB148" i="1"/>
  <c r="DA148" i="1"/>
  <c r="DB146" i="1"/>
  <c r="DA146" i="1"/>
  <c r="DB144" i="1"/>
  <c r="DA144" i="1"/>
  <c r="DB142" i="1"/>
  <c r="DA142" i="1"/>
  <c r="DB140" i="1"/>
  <c r="DA140" i="1"/>
  <c r="DB138" i="1"/>
  <c r="DA138" i="1"/>
  <c r="DB136" i="1"/>
  <c r="DA136" i="1"/>
  <c r="DB134" i="1"/>
  <c r="DA134" i="1"/>
  <c r="DB132" i="1"/>
  <c r="DA132" i="1"/>
  <c r="DB130" i="1"/>
  <c r="DA130" i="1"/>
  <c r="DB128" i="1"/>
  <c r="DA128" i="1"/>
  <c r="DB126" i="1"/>
  <c r="DA126" i="1"/>
  <c r="DB124" i="1"/>
  <c r="DA124" i="1"/>
  <c r="DB122" i="1"/>
  <c r="DA122" i="1"/>
  <c r="DB120" i="1"/>
  <c r="DA120" i="1"/>
  <c r="DB118" i="1"/>
  <c r="DA118" i="1"/>
  <c r="DB116" i="1"/>
  <c r="DA116" i="1"/>
  <c r="DB114" i="1"/>
  <c r="DA114" i="1"/>
  <c r="DB112" i="1"/>
  <c r="DA112" i="1"/>
  <c r="DB110" i="1"/>
  <c r="DA110" i="1"/>
  <c r="DB108" i="1"/>
  <c r="DA108" i="1"/>
  <c r="DB106" i="1"/>
  <c r="DA106" i="1"/>
  <c r="DB104" i="1"/>
  <c r="DA104" i="1"/>
  <c r="DB102" i="1"/>
  <c r="DA102" i="1"/>
  <c r="DB100" i="1"/>
  <c r="DA100" i="1"/>
  <c r="DB98" i="1"/>
  <c r="DA98" i="1"/>
  <c r="DB96" i="1"/>
  <c r="DA96" i="1"/>
  <c r="DB94" i="1"/>
  <c r="DA94" i="1"/>
  <c r="DB92" i="1"/>
  <c r="DA92" i="1"/>
  <c r="DB90" i="1"/>
  <c r="DA90" i="1"/>
  <c r="DB88" i="1"/>
  <c r="DA88" i="1"/>
  <c r="DB86" i="1"/>
  <c r="DA86" i="1"/>
  <c r="DB84" i="1"/>
  <c r="DA84" i="1"/>
  <c r="DB82" i="1"/>
  <c r="DA82" i="1"/>
  <c r="DB80" i="1"/>
  <c r="DA80" i="1"/>
  <c r="DB78" i="1"/>
  <c r="DA78" i="1"/>
  <c r="DB76" i="1"/>
  <c r="DA76" i="1"/>
  <c r="DB74" i="1"/>
  <c r="DA74" i="1"/>
  <c r="DB72" i="1"/>
  <c r="DA72" i="1"/>
  <c r="DB70" i="1"/>
  <c r="DA70" i="1"/>
  <c r="DB68" i="1"/>
  <c r="DA68" i="1"/>
  <c r="DB66" i="1"/>
  <c r="DA66" i="1"/>
  <c r="DB64" i="1"/>
  <c r="DA64" i="1"/>
  <c r="DB62" i="1"/>
  <c r="DA62" i="1"/>
  <c r="DB60" i="1"/>
  <c r="DA60" i="1"/>
  <c r="DB58" i="1"/>
  <c r="DA58" i="1"/>
  <c r="DB56" i="1"/>
  <c r="DA56" i="1"/>
  <c r="DB54" i="1"/>
  <c r="DA54" i="1"/>
  <c r="DB52" i="1"/>
  <c r="DA52" i="1"/>
  <c r="DB50" i="1"/>
  <c r="DA50" i="1"/>
  <c r="DB48" i="1"/>
  <c r="DA48" i="1"/>
  <c r="DB46" i="1"/>
  <c r="DA46" i="1"/>
  <c r="DB44" i="1"/>
  <c r="DA44" i="1"/>
  <c r="DB42" i="1"/>
  <c r="DA42" i="1"/>
  <c r="DB40" i="1"/>
  <c r="DA40" i="1"/>
  <c r="DB38" i="1"/>
  <c r="DA38" i="1"/>
  <c r="DB36" i="1"/>
  <c r="DA36" i="1"/>
  <c r="DB34" i="1"/>
  <c r="DA34" i="1"/>
  <c r="DB32" i="1"/>
  <c r="DA32" i="1"/>
  <c r="DB30" i="1"/>
  <c r="DA30" i="1"/>
  <c r="DB28" i="1"/>
  <c r="DA28" i="1"/>
  <c r="DB26" i="1"/>
  <c r="DA26" i="1"/>
  <c r="DB345" i="1"/>
  <c r="DA345" i="1"/>
  <c r="DB343" i="1"/>
  <c r="DA343" i="1"/>
  <c r="DB341" i="1"/>
  <c r="DA341" i="1"/>
  <c r="DB339" i="1"/>
  <c r="DA339" i="1"/>
  <c r="DB337" i="1"/>
  <c r="DA337" i="1"/>
  <c r="DB335" i="1"/>
  <c r="DA335" i="1"/>
  <c r="DB333" i="1"/>
  <c r="DA333" i="1"/>
  <c r="DB331" i="1"/>
  <c r="DA331" i="1"/>
  <c r="DB329" i="1"/>
  <c r="DA329" i="1"/>
  <c r="DB327" i="1"/>
  <c r="DA327" i="1"/>
  <c r="DB325" i="1"/>
  <c r="DA325" i="1"/>
  <c r="DB323" i="1"/>
  <c r="DA323" i="1"/>
  <c r="DB321" i="1"/>
  <c r="DA321" i="1"/>
  <c r="DB319" i="1"/>
  <c r="DA319" i="1"/>
  <c r="DB317" i="1"/>
  <c r="DA317" i="1"/>
  <c r="DB315" i="1"/>
  <c r="DA315" i="1"/>
  <c r="DB313" i="1"/>
  <c r="DA313" i="1"/>
  <c r="DB311" i="1"/>
  <c r="DA311" i="1"/>
  <c r="DB309" i="1"/>
  <c r="DA309" i="1"/>
  <c r="DB307" i="1"/>
  <c r="DA307" i="1"/>
  <c r="DB305" i="1"/>
  <c r="DA305" i="1"/>
  <c r="DB303" i="1"/>
  <c r="DA303" i="1"/>
  <c r="DB301" i="1"/>
  <c r="DA301" i="1"/>
  <c r="DB299" i="1"/>
  <c r="DA299" i="1"/>
  <c r="DB297" i="1"/>
  <c r="DA297" i="1"/>
  <c r="DB295" i="1"/>
  <c r="DA295" i="1"/>
  <c r="DB293" i="1"/>
  <c r="DA293" i="1"/>
  <c r="DB291" i="1"/>
  <c r="DA291" i="1"/>
  <c r="DB289" i="1"/>
  <c r="DA289" i="1"/>
  <c r="DB287" i="1"/>
  <c r="DA287" i="1"/>
  <c r="DB285" i="1"/>
  <c r="DA285" i="1"/>
  <c r="DB283" i="1"/>
  <c r="DA283" i="1"/>
  <c r="DB281" i="1"/>
  <c r="DA281" i="1"/>
  <c r="DB279" i="1"/>
  <c r="DA279" i="1"/>
  <c r="DB277" i="1"/>
  <c r="DA277" i="1"/>
  <c r="DB275" i="1"/>
  <c r="DA275" i="1"/>
  <c r="DB273" i="1"/>
  <c r="DA273" i="1"/>
  <c r="DB271" i="1"/>
  <c r="DA271" i="1"/>
  <c r="DB269" i="1"/>
  <c r="DA269" i="1"/>
  <c r="DB267" i="1"/>
  <c r="DA267" i="1"/>
  <c r="DB265" i="1"/>
  <c r="DA265" i="1"/>
  <c r="DB263" i="1"/>
  <c r="DA263" i="1"/>
  <c r="DB259" i="1"/>
  <c r="DA259" i="1"/>
  <c r="DB257" i="1"/>
  <c r="DA257" i="1"/>
  <c r="DB255" i="1"/>
  <c r="DA255" i="1"/>
  <c r="DB253" i="1"/>
  <c r="DA253" i="1"/>
  <c r="DB251" i="1"/>
  <c r="DA251" i="1"/>
  <c r="DB249" i="1"/>
  <c r="DA249" i="1"/>
  <c r="DB247" i="1"/>
  <c r="DA247" i="1"/>
  <c r="DB245" i="1"/>
  <c r="DA245" i="1"/>
  <c r="DB243" i="1"/>
  <c r="DA243" i="1"/>
  <c r="DB241" i="1"/>
  <c r="DA241" i="1"/>
  <c r="DB239" i="1"/>
  <c r="DA239" i="1"/>
  <c r="DB237" i="1"/>
  <c r="DA237" i="1"/>
  <c r="DB235" i="1"/>
  <c r="DA235" i="1"/>
  <c r="DB233" i="1"/>
  <c r="DA233" i="1"/>
  <c r="DB231" i="1"/>
  <c r="DA231" i="1"/>
  <c r="DB229" i="1"/>
  <c r="DA229" i="1"/>
  <c r="DB227" i="1"/>
  <c r="DA227" i="1"/>
  <c r="DB225" i="1"/>
  <c r="DA225" i="1"/>
  <c r="DB223" i="1"/>
  <c r="DA223" i="1"/>
  <c r="DB221" i="1"/>
  <c r="DA221" i="1"/>
  <c r="DB219" i="1"/>
  <c r="DA219" i="1"/>
  <c r="DB217" i="1"/>
  <c r="DA217" i="1"/>
  <c r="DB215" i="1"/>
  <c r="DA215" i="1"/>
  <c r="DB213" i="1"/>
  <c r="DA213" i="1"/>
  <c r="DB211" i="1"/>
  <c r="DA211" i="1"/>
  <c r="DB209" i="1"/>
  <c r="DA209" i="1"/>
  <c r="DB207" i="1"/>
  <c r="DA207" i="1"/>
  <c r="DB205" i="1"/>
  <c r="DA205" i="1"/>
  <c r="DB203" i="1"/>
  <c r="DA203" i="1"/>
  <c r="DB201" i="1"/>
  <c r="DA201" i="1"/>
  <c r="DB199" i="1"/>
  <c r="DA199" i="1"/>
  <c r="DB197" i="1"/>
  <c r="DA197" i="1"/>
  <c r="DB195" i="1"/>
  <c r="DA195" i="1"/>
  <c r="DB193" i="1"/>
  <c r="DA193" i="1"/>
  <c r="DB191" i="1"/>
  <c r="DA191" i="1"/>
  <c r="DB189" i="1"/>
  <c r="DA189" i="1"/>
  <c r="DB187" i="1"/>
  <c r="DA187" i="1"/>
  <c r="DB185" i="1"/>
  <c r="DA185" i="1"/>
  <c r="DB183" i="1"/>
  <c r="DA183" i="1"/>
  <c r="DB181" i="1"/>
  <c r="DA181" i="1"/>
  <c r="DB179" i="1"/>
  <c r="DA179" i="1"/>
  <c r="DB177" i="1"/>
  <c r="DA177" i="1"/>
  <c r="DB175" i="1"/>
  <c r="DA175" i="1"/>
  <c r="DB173" i="1"/>
  <c r="DA173" i="1"/>
  <c r="DB171" i="1"/>
  <c r="DA171" i="1"/>
  <c r="DB169" i="1"/>
  <c r="DA169" i="1"/>
  <c r="DB167" i="1"/>
  <c r="DA167" i="1"/>
  <c r="DB165" i="1"/>
  <c r="DA165" i="1"/>
  <c r="DB163" i="1"/>
  <c r="DA163" i="1"/>
  <c r="DB161" i="1"/>
  <c r="DA161" i="1"/>
  <c r="DB159" i="1"/>
  <c r="DA159" i="1"/>
  <c r="DB157" i="1"/>
  <c r="DA157" i="1"/>
  <c r="DB155" i="1"/>
  <c r="DA155" i="1"/>
  <c r="DB153" i="1"/>
  <c r="DA153" i="1"/>
  <c r="DB151" i="1"/>
  <c r="DA151" i="1"/>
  <c r="DB149" i="1"/>
  <c r="DA149" i="1"/>
  <c r="DB147" i="1"/>
  <c r="DA147" i="1"/>
  <c r="DB145" i="1"/>
  <c r="DA145" i="1"/>
  <c r="DB143" i="1"/>
  <c r="DA143" i="1"/>
  <c r="DB141" i="1"/>
  <c r="DA141" i="1"/>
  <c r="DB139" i="1"/>
  <c r="DA139" i="1"/>
  <c r="DB137" i="1"/>
  <c r="DA137" i="1"/>
  <c r="DB135" i="1"/>
  <c r="DA135" i="1"/>
  <c r="DB133" i="1"/>
  <c r="DA133" i="1"/>
  <c r="DB131" i="1"/>
  <c r="DA131" i="1"/>
  <c r="DB129" i="1"/>
  <c r="DA129" i="1"/>
  <c r="DB127" i="1"/>
  <c r="DA127" i="1"/>
  <c r="DB125" i="1"/>
  <c r="DA125" i="1"/>
  <c r="DB123" i="1"/>
  <c r="DA123" i="1"/>
  <c r="DB121" i="1"/>
  <c r="DA121" i="1"/>
  <c r="DB119" i="1"/>
  <c r="DA119" i="1"/>
  <c r="DB117" i="1"/>
  <c r="DA117" i="1"/>
  <c r="DB115" i="1"/>
  <c r="DA115" i="1"/>
  <c r="DB113" i="1"/>
  <c r="DA113" i="1"/>
  <c r="DB111" i="1"/>
  <c r="DA111" i="1"/>
  <c r="DB109" i="1"/>
  <c r="DA109" i="1"/>
  <c r="DB107" i="1"/>
  <c r="DA107" i="1"/>
  <c r="DB105" i="1"/>
  <c r="DA105" i="1"/>
  <c r="DB103" i="1"/>
  <c r="DA103" i="1"/>
  <c r="DB101" i="1"/>
  <c r="DA101" i="1"/>
  <c r="DB99" i="1"/>
  <c r="DA99" i="1"/>
  <c r="DB97" i="1"/>
  <c r="DA97" i="1"/>
  <c r="DB95" i="1"/>
  <c r="DA95" i="1"/>
  <c r="DB93" i="1"/>
  <c r="DA93" i="1"/>
  <c r="DB91" i="1"/>
  <c r="DA91" i="1"/>
  <c r="DB89" i="1"/>
  <c r="DA89" i="1"/>
  <c r="DB87" i="1"/>
  <c r="DA87" i="1"/>
  <c r="DB85" i="1"/>
  <c r="DA85" i="1"/>
  <c r="DB83" i="1"/>
  <c r="DA83" i="1"/>
  <c r="DB81" i="1"/>
  <c r="DA81" i="1"/>
  <c r="DB79" i="1"/>
  <c r="DA79" i="1"/>
  <c r="DB77" i="1"/>
  <c r="DA77" i="1"/>
  <c r="DB75" i="1"/>
  <c r="DA75" i="1"/>
  <c r="DB73" i="1"/>
  <c r="DA73" i="1"/>
  <c r="DB71" i="1"/>
  <c r="DA71" i="1"/>
  <c r="DB69" i="1"/>
  <c r="DA69" i="1"/>
  <c r="DB67" i="1"/>
  <c r="DA67" i="1"/>
  <c r="DB65" i="1"/>
  <c r="DA65" i="1"/>
  <c r="DB63" i="1"/>
  <c r="DA63" i="1"/>
  <c r="DB61" i="1"/>
  <c r="DA61" i="1"/>
  <c r="DB59" i="1"/>
  <c r="DA59" i="1"/>
  <c r="DB57" i="1"/>
  <c r="DA57" i="1"/>
  <c r="DB55" i="1"/>
  <c r="DA55" i="1"/>
  <c r="DB53" i="1"/>
  <c r="DA53" i="1"/>
  <c r="DB51" i="1"/>
  <c r="DA51" i="1"/>
  <c r="DB49" i="1"/>
  <c r="DA49" i="1"/>
  <c r="DB47" i="1"/>
  <c r="DA47" i="1"/>
  <c r="DB45" i="1"/>
  <c r="DA45" i="1"/>
  <c r="DB43" i="1"/>
  <c r="DA43" i="1"/>
  <c r="DB41" i="1"/>
  <c r="DA41" i="1"/>
  <c r="DB39" i="1"/>
  <c r="DA39" i="1"/>
  <c r="DB37" i="1"/>
  <c r="DA37" i="1"/>
  <c r="DB35" i="1"/>
  <c r="DA35" i="1"/>
  <c r="DB33" i="1"/>
  <c r="DA33" i="1"/>
  <c r="DB31" i="1"/>
  <c r="DA31" i="1"/>
  <c r="DB29" i="1"/>
  <c r="DA29" i="1"/>
  <c r="DB27" i="1"/>
  <c r="DA27" i="1"/>
  <c r="DB25" i="1"/>
  <c r="DA25" i="1"/>
  <c r="DB347" i="1"/>
  <c r="DA347" i="1"/>
  <c r="DB24" i="1"/>
  <c r="DA24" i="1"/>
  <c r="DB22" i="1"/>
  <c r="DA22" i="1"/>
  <c r="DB20" i="1"/>
  <c r="DA20" i="1"/>
  <c r="DB18" i="1"/>
  <c r="DA18" i="1"/>
  <c r="DB16" i="1"/>
  <c r="DA16" i="1"/>
  <c r="DB14" i="1"/>
  <c r="DA14" i="1"/>
  <c r="DB12" i="1"/>
  <c r="DA12" i="1"/>
  <c r="DB10" i="1"/>
  <c r="DA10" i="1"/>
  <c r="DB8" i="1"/>
  <c r="DA8" i="1"/>
  <c r="DB21" i="1"/>
  <c r="DA21" i="1"/>
  <c r="DB17" i="1"/>
  <c r="DA17" i="1"/>
  <c r="DB13" i="1"/>
  <c r="DA13" i="1"/>
  <c r="DB9" i="1"/>
  <c r="DA9" i="1"/>
  <c r="DB23" i="1"/>
  <c r="DA23" i="1"/>
  <c r="DB19" i="1"/>
  <c r="DA19" i="1"/>
  <c r="DB15" i="1"/>
  <c r="DA15" i="1"/>
  <c r="DB11" i="1"/>
  <c r="DA11" i="1"/>
  <c r="DB7" i="1"/>
  <c r="DA7" i="1"/>
  <c r="BT399" i="1"/>
  <c r="BT398" i="1"/>
  <c r="BT397" i="1"/>
  <c r="BT396" i="1"/>
  <c r="BT395" i="1"/>
  <c r="BT394" i="1"/>
  <c r="BT393" i="1"/>
  <c r="BT392" i="1"/>
  <c r="BT391" i="1"/>
  <c r="BT390" i="1"/>
  <c r="BT389" i="1"/>
  <c r="BT388" i="1"/>
  <c r="BT386" i="1"/>
  <c r="BT385" i="1"/>
  <c r="BT384" i="1"/>
  <c r="BT383" i="1"/>
  <c r="BT382" i="1"/>
  <c r="BT381" i="1"/>
  <c r="BT380" i="1"/>
  <c r="BT379" i="1"/>
  <c r="BT378" i="1"/>
  <c r="BT377" i="1"/>
  <c r="BT376" i="1"/>
  <c r="BT375" i="1"/>
  <c r="BS340" i="1"/>
  <c r="BS339" i="1"/>
  <c r="BS338" i="1"/>
  <c r="BS337" i="1"/>
  <c r="BS336" i="1"/>
  <c r="BS335" i="1"/>
  <c r="BS334" i="1"/>
  <c r="BS333" i="1"/>
  <c r="BS332" i="1"/>
  <c r="BS331" i="1"/>
  <c r="BS330" i="1"/>
  <c r="BS329" i="1"/>
  <c r="BS328" i="1"/>
  <c r="BS327" i="1"/>
  <c r="BS326" i="1"/>
  <c r="BS325" i="1"/>
  <c r="BS324" i="1"/>
  <c r="BS323" i="1"/>
  <c r="BS153" i="1" l="1"/>
  <c r="BS152" i="1"/>
  <c r="BS151" i="1"/>
  <c r="BS150" i="1"/>
  <c r="BS149" i="1"/>
  <c r="BS148" i="1"/>
  <c r="BS147" i="1"/>
  <c r="BS146" i="1"/>
  <c r="BS145" i="1"/>
  <c r="BS144" i="1"/>
  <c r="BS143" i="1"/>
  <c r="BS142" i="1"/>
  <c r="BS141" i="1"/>
  <c r="BS140" i="1"/>
  <c r="BS139" i="1"/>
  <c r="BS138" i="1"/>
  <c r="BS137" i="1"/>
  <c r="BS136" i="1"/>
  <c r="BS135" i="1"/>
  <c r="BS134" i="1"/>
  <c r="BS133" i="1"/>
  <c r="BS132" i="1"/>
  <c r="BS131" i="1"/>
  <c r="BS130" i="1"/>
  <c r="BS129" i="1"/>
  <c r="BS128" i="1"/>
  <c r="BS127" i="1"/>
  <c r="BS126" i="1"/>
  <c r="BS125" i="1"/>
  <c r="BS124" i="1"/>
  <c r="BS123" i="1"/>
  <c r="BS122" i="1"/>
  <c r="F370" i="23" l="1"/>
  <c r="E370" i="23"/>
  <c r="D370" i="23"/>
  <c r="F369" i="23"/>
  <c r="E369" i="23"/>
  <c r="D369" i="23"/>
  <c r="F368" i="23"/>
  <c r="E368" i="23"/>
  <c r="D368" i="23"/>
  <c r="F367" i="23"/>
  <c r="E367" i="23"/>
  <c r="D367" i="23"/>
  <c r="F366" i="23"/>
  <c r="E366" i="23"/>
  <c r="D366" i="23"/>
  <c r="F365" i="23"/>
  <c r="E365" i="23"/>
  <c r="D365" i="23"/>
  <c r="F364" i="23"/>
  <c r="E364" i="23"/>
  <c r="D364" i="23"/>
  <c r="F363" i="23"/>
  <c r="E363" i="23"/>
  <c r="D363" i="23"/>
  <c r="F362" i="23"/>
  <c r="E362" i="23"/>
  <c r="D362" i="23"/>
  <c r="F361" i="23"/>
  <c r="E361" i="23"/>
  <c r="D361" i="23"/>
  <c r="F360" i="23"/>
  <c r="E360" i="23"/>
  <c r="D360" i="23"/>
  <c r="F359" i="23"/>
  <c r="E359" i="23"/>
  <c r="D359" i="23"/>
  <c r="F358" i="23"/>
  <c r="E358" i="23"/>
  <c r="D358" i="23"/>
  <c r="F357" i="23"/>
  <c r="E357" i="23"/>
  <c r="D357" i="23"/>
  <c r="F356" i="23"/>
  <c r="E356" i="23"/>
  <c r="D356" i="23"/>
  <c r="F355" i="23"/>
  <c r="E355" i="23"/>
  <c r="D355" i="23"/>
  <c r="F354" i="23"/>
  <c r="E354" i="23"/>
  <c r="D354" i="23"/>
  <c r="F353" i="23"/>
  <c r="E353" i="23"/>
  <c r="D353" i="23"/>
  <c r="F352" i="23"/>
  <c r="E352" i="23"/>
  <c r="D352" i="23"/>
  <c r="F351" i="23"/>
  <c r="E351" i="23"/>
  <c r="D351" i="23"/>
  <c r="F350" i="23"/>
  <c r="E350" i="23"/>
  <c r="D350" i="23"/>
  <c r="F349" i="23"/>
  <c r="E349" i="23"/>
  <c r="D349" i="23"/>
  <c r="F348" i="23"/>
  <c r="E348" i="23"/>
  <c r="D348" i="23"/>
  <c r="E347" i="23"/>
  <c r="D347" i="23"/>
  <c r="E346" i="23"/>
  <c r="D346" i="23"/>
  <c r="E345" i="23"/>
  <c r="D345" i="23"/>
  <c r="E344" i="23"/>
  <c r="D344" i="23"/>
  <c r="E343" i="23"/>
  <c r="D343" i="23"/>
  <c r="E342" i="23"/>
  <c r="D342" i="23"/>
  <c r="E341" i="23"/>
  <c r="D341" i="23"/>
  <c r="E340" i="23"/>
  <c r="D340" i="23"/>
  <c r="E339" i="23"/>
  <c r="D339" i="23"/>
  <c r="E338" i="23"/>
  <c r="D338" i="23"/>
  <c r="E337" i="23"/>
  <c r="D337" i="23"/>
  <c r="E336" i="23"/>
  <c r="D336" i="23"/>
  <c r="E335" i="23"/>
  <c r="D335" i="23"/>
  <c r="E334" i="23"/>
  <c r="D334" i="23"/>
  <c r="E333" i="23"/>
  <c r="D333" i="23"/>
  <c r="E332" i="23"/>
  <c r="D332" i="23"/>
  <c r="E331" i="23"/>
  <c r="D331" i="23"/>
  <c r="E330" i="23"/>
  <c r="D330" i="23"/>
  <c r="E329" i="23"/>
  <c r="D329" i="23"/>
  <c r="E328" i="23"/>
  <c r="D328" i="23"/>
  <c r="E327" i="23"/>
  <c r="D327" i="23"/>
  <c r="E326" i="23"/>
  <c r="D326" i="23"/>
  <c r="E325" i="23"/>
  <c r="D325" i="23"/>
  <c r="E324" i="23"/>
  <c r="D324" i="23"/>
  <c r="E323" i="23"/>
  <c r="D323" i="23"/>
  <c r="E322" i="23"/>
  <c r="D322" i="23"/>
  <c r="E321" i="23"/>
  <c r="D321" i="23"/>
  <c r="E320" i="23"/>
  <c r="D320" i="23"/>
  <c r="E319" i="23"/>
  <c r="D319" i="23"/>
  <c r="E318" i="23"/>
  <c r="D318" i="23"/>
  <c r="E317" i="23"/>
  <c r="D317" i="23"/>
  <c r="E316" i="23"/>
  <c r="D316" i="23"/>
  <c r="E315" i="23"/>
  <c r="D315" i="23"/>
  <c r="E314" i="23"/>
  <c r="D314" i="23"/>
  <c r="E313" i="23"/>
  <c r="D313" i="23"/>
  <c r="E312" i="23"/>
  <c r="D312" i="23"/>
  <c r="E311" i="23"/>
  <c r="D311" i="23"/>
  <c r="E310" i="23"/>
  <c r="D310" i="23"/>
  <c r="E309" i="23"/>
  <c r="D309" i="23"/>
  <c r="E308" i="23"/>
  <c r="D308" i="23"/>
  <c r="E307" i="23"/>
  <c r="D307" i="23"/>
  <c r="E306" i="23"/>
  <c r="D306" i="23"/>
  <c r="E305" i="23"/>
  <c r="D305" i="23"/>
  <c r="E304" i="23"/>
  <c r="D304" i="23"/>
  <c r="E303" i="23"/>
  <c r="D303" i="23"/>
  <c r="E302" i="23"/>
  <c r="D302" i="23"/>
  <c r="E301" i="23"/>
  <c r="D301" i="23"/>
  <c r="E300" i="23"/>
  <c r="D300" i="23"/>
  <c r="E299" i="23"/>
  <c r="D299" i="23"/>
  <c r="E298" i="23"/>
  <c r="D298" i="23"/>
  <c r="E297" i="23"/>
  <c r="D297" i="23"/>
  <c r="E296" i="23"/>
  <c r="D296" i="23"/>
  <c r="E295" i="23"/>
  <c r="D295" i="23"/>
  <c r="E294" i="23"/>
  <c r="D294" i="23"/>
  <c r="E293" i="23"/>
  <c r="D293" i="23"/>
  <c r="E292" i="23"/>
  <c r="D292" i="23"/>
  <c r="E291" i="23"/>
  <c r="D291" i="23"/>
  <c r="E290" i="23"/>
  <c r="D290" i="23"/>
  <c r="E289" i="23"/>
  <c r="D289" i="23"/>
  <c r="E288" i="23"/>
  <c r="D288" i="23"/>
  <c r="E287" i="23"/>
  <c r="D287" i="23"/>
  <c r="E286" i="23"/>
  <c r="D286" i="23"/>
  <c r="E285" i="23"/>
  <c r="D285" i="23"/>
  <c r="E284" i="23"/>
  <c r="D284" i="23"/>
  <c r="E283" i="23"/>
  <c r="D283" i="23"/>
  <c r="E282" i="23"/>
  <c r="D282" i="23"/>
  <c r="E281" i="23"/>
  <c r="D281" i="23"/>
  <c r="E280" i="23"/>
  <c r="D280" i="23"/>
  <c r="E279" i="23"/>
  <c r="D279" i="23"/>
  <c r="E278" i="23"/>
  <c r="D278" i="23"/>
  <c r="E277" i="23"/>
  <c r="D277" i="23"/>
  <c r="E276" i="23"/>
  <c r="D276" i="23"/>
  <c r="E275" i="23"/>
  <c r="D275" i="23"/>
  <c r="E274" i="23"/>
  <c r="D274" i="23"/>
  <c r="E273" i="23"/>
  <c r="D273" i="23"/>
  <c r="E272" i="23"/>
  <c r="D272" i="23"/>
  <c r="E271" i="23"/>
  <c r="D271" i="23"/>
  <c r="E270" i="23"/>
  <c r="D270" i="23"/>
  <c r="E269" i="23"/>
  <c r="D269" i="23"/>
  <c r="E268" i="23"/>
  <c r="D268" i="23"/>
  <c r="E267" i="23"/>
  <c r="D267" i="23"/>
  <c r="E266" i="23"/>
  <c r="D266" i="23"/>
  <c r="E265" i="23"/>
  <c r="D265" i="23"/>
  <c r="E264" i="23"/>
  <c r="D264" i="23"/>
  <c r="E263" i="23"/>
  <c r="D263" i="23"/>
  <c r="E262" i="23"/>
  <c r="D262" i="23"/>
  <c r="E261" i="23"/>
  <c r="D261" i="23"/>
  <c r="E260" i="23"/>
  <c r="D260" i="23"/>
  <c r="E259" i="23"/>
  <c r="D259" i="23"/>
  <c r="E258" i="23"/>
  <c r="D258" i="23"/>
  <c r="E257" i="23"/>
  <c r="D257" i="23"/>
  <c r="E256" i="23"/>
  <c r="D256" i="23"/>
  <c r="E255" i="23"/>
  <c r="D255" i="23"/>
  <c r="E254" i="23"/>
  <c r="D254" i="23"/>
  <c r="E253" i="23"/>
  <c r="D253" i="23"/>
  <c r="E252" i="23"/>
  <c r="D252" i="23"/>
  <c r="E251" i="23"/>
  <c r="D251" i="23"/>
  <c r="E250" i="23"/>
  <c r="D250" i="23"/>
  <c r="E249" i="23"/>
  <c r="D249" i="23"/>
  <c r="E248" i="23"/>
  <c r="D248" i="23"/>
  <c r="E247" i="23"/>
  <c r="D247" i="23"/>
  <c r="E246" i="23"/>
  <c r="D246" i="23"/>
  <c r="E245" i="23"/>
  <c r="D245" i="23"/>
  <c r="E244" i="23"/>
  <c r="D244" i="23"/>
  <c r="E243" i="23"/>
  <c r="D243" i="23"/>
  <c r="E242" i="23"/>
  <c r="D242" i="23"/>
  <c r="E241" i="23"/>
  <c r="D241" i="23"/>
  <c r="E240" i="23"/>
  <c r="D240" i="23"/>
  <c r="E239" i="23"/>
  <c r="D239" i="23"/>
  <c r="E238" i="23"/>
  <c r="D238" i="23"/>
  <c r="E237" i="23"/>
  <c r="D237" i="23"/>
  <c r="E236" i="23"/>
  <c r="D236" i="23"/>
  <c r="E235" i="23"/>
  <c r="D235" i="23"/>
  <c r="E234" i="23"/>
  <c r="D234" i="23"/>
  <c r="E233" i="23"/>
  <c r="D233" i="23"/>
  <c r="E232" i="23"/>
  <c r="D232" i="23"/>
  <c r="E231" i="23"/>
  <c r="D231" i="23"/>
  <c r="E230" i="23"/>
  <c r="D230" i="23"/>
  <c r="E229" i="23"/>
  <c r="D229" i="23"/>
  <c r="E228" i="23"/>
  <c r="D228" i="23"/>
  <c r="E227" i="23"/>
  <c r="D227" i="23"/>
  <c r="E226" i="23"/>
  <c r="D226" i="23"/>
  <c r="E225" i="23"/>
  <c r="D225" i="23"/>
  <c r="E224" i="23"/>
  <c r="D224" i="23"/>
  <c r="E223" i="23"/>
  <c r="D223" i="23"/>
  <c r="E222" i="23"/>
  <c r="D222" i="23"/>
  <c r="E221" i="23"/>
  <c r="D221" i="23"/>
  <c r="E220" i="23"/>
  <c r="D220" i="23"/>
  <c r="E219" i="23"/>
  <c r="D219" i="23"/>
  <c r="E218" i="23"/>
  <c r="D218" i="23"/>
  <c r="E217" i="23"/>
  <c r="D217" i="23"/>
  <c r="E216" i="23"/>
  <c r="D216" i="23"/>
  <c r="E215" i="23"/>
  <c r="D215" i="23"/>
  <c r="E214" i="23"/>
  <c r="D214" i="23"/>
  <c r="E213" i="23"/>
  <c r="D213" i="23"/>
  <c r="E212" i="23"/>
  <c r="D212" i="23"/>
  <c r="E211" i="23"/>
  <c r="D211" i="23"/>
  <c r="E210" i="23"/>
  <c r="D210" i="23"/>
  <c r="E209" i="23"/>
  <c r="D209" i="23"/>
  <c r="E208" i="23"/>
  <c r="D208" i="23"/>
  <c r="E207" i="23"/>
  <c r="D207" i="23"/>
  <c r="E206" i="23"/>
  <c r="D206" i="23"/>
  <c r="E205" i="23"/>
  <c r="D205" i="23"/>
  <c r="E204" i="23"/>
  <c r="D204" i="23"/>
  <c r="E203" i="23"/>
  <c r="D203" i="23"/>
  <c r="E202" i="23"/>
  <c r="D202" i="23"/>
  <c r="E201" i="23"/>
  <c r="D201" i="23"/>
  <c r="E200" i="23"/>
  <c r="D200" i="23"/>
  <c r="E199" i="23"/>
  <c r="D199" i="23"/>
  <c r="E198" i="23"/>
  <c r="D198" i="23"/>
  <c r="E197" i="23"/>
  <c r="D197" i="23"/>
  <c r="E196" i="23"/>
  <c r="D196" i="23"/>
  <c r="E195" i="23"/>
  <c r="D195" i="23"/>
  <c r="E194" i="23"/>
  <c r="D194" i="23"/>
  <c r="E193" i="23"/>
  <c r="D193" i="23"/>
  <c r="E192" i="23"/>
  <c r="D192" i="23"/>
  <c r="E191" i="23"/>
  <c r="D191" i="23"/>
  <c r="E190" i="23"/>
  <c r="D190" i="23"/>
  <c r="E189" i="23"/>
  <c r="D189" i="23"/>
  <c r="E188" i="23"/>
  <c r="D188" i="23"/>
  <c r="E187" i="23"/>
  <c r="D187" i="23"/>
  <c r="E186" i="23"/>
  <c r="D186" i="23"/>
  <c r="E185" i="23"/>
  <c r="D185" i="23"/>
  <c r="E184" i="23"/>
  <c r="D184" i="23"/>
  <c r="E183" i="23"/>
  <c r="D183" i="23"/>
  <c r="E182" i="23"/>
  <c r="D182" i="23"/>
  <c r="E181" i="23"/>
  <c r="D181" i="23"/>
  <c r="E180" i="23"/>
  <c r="D180" i="23"/>
  <c r="E179" i="23"/>
  <c r="D179" i="23"/>
  <c r="E178" i="23"/>
  <c r="D178" i="23"/>
  <c r="E177" i="23"/>
  <c r="D177" i="23"/>
  <c r="E176" i="23"/>
  <c r="D176" i="23"/>
  <c r="E175" i="23"/>
  <c r="D175" i="23"/>
  <c r="E174" i="23"/>
  <c r="D174" i="23"/>
  <c r="E173" i="23"/>
  <c r="D173" i="23"/>
  <c r="E172" i="23"/>
  <c r="D172" i="23"/>
  <c r="E171" i="23"/>
  <c r="D171" i="23"/>
  <c r="E170" i="23"/>
  <c r="D170" i="23"/>
  <c r="E169" i="23"/>
  <c r="D169" i="23"/>
  <c r="E168" i="23"/>
  <c r="D168" i="23"/>
  <c r="E167" i="23"/>
  <c r="D167" i="23"/>
  <c r="E166" i="23"/>
  <c r="D166" i="23"/>
  <c r="E165" i="23"/>
  <c r="D165" i="23"/>
  <c r="E164" i="23"/>
  <c r="D164" i="23"/>
  <c r="E163" i="23"/>
  <c r="D163" i="23"/>
  <c r="E162" i="23"/>
  <c r="D162" i="23"/>
  <c r="E161" i="23"/>
  <c r="D161" i="23"/>
  <c r="E160" i="23"/>
  <c r="D160" i="23"/>
  <c r="E159" i="23"/>
  <c r="D159" i="23"/>
  <c r="E158" i="23"/>
  <c r="D158" i="23"/>
  <c r="E157" i="23"/>
  <c r="D157" i="23"/>
  <c r="E156" i="23"/>
  <c r="D156" i="23"/>
  <c r="E155" i="23"/>
  <c r="D155" i="23"/>
  <c r="E154" i="23"/>
  <c r="D154" i="23"/>
  <c r="E153" i="23"/>
  <c r="D153" i="23"/>
  <c r="E152" i="23"/>
  <c r="D152" i="23"/>
  <c r="E151" i="23"/>
  <c r="D151" i="23"/>
  <c r="E150" i="23"/>
  <c r="D150" i="23"/>
  <c r="E149" i="23"/>
  <c r="D149" i="23"/>
  <c r="E148" i="23"/>
  <c r="D148" i="23"/>
  <c r="E147" i="23"/>
  <c r="D147" i="23"/>
  <c r="E146" i="23"/>
  <c r="D146" i="23"/>
  <c r="E145" i="23"/>
  <c r="D145" i="23"/>
  <c r="E144" i="23"/>
  <c r="D144" i="23"/>
  <c r="E143" i="23"/>
  <c r="D143" i="23"/>
  <c r="E142" i="23"/>
  <c r="D142" i="23"/>
  <c r="E141" i="23"/>
  <c r="D141" i="23"/>
  <c r="E140" i="23"/>
  <c r="D140" i="23"/>
  <c r="E139" i="23"/>
  <c r="D139" i="23"/>
  <c r="E138" i="23"/>
  <c r="D138" i="23"/>
  <c r="E137" i="23"/>
  <c r="D137" i="23"/>
  <c r="E136" i="23"/>
  <c r="D136" i="23"/>
  <c r="E135" i="23"/>
  <c r="D135" i="23"/>
  <c r="E134" i="23"/>
  <c r="D134" i="23"/>
  <c r="E133" i="23"/>
  <c r="D133" i="23"/>
  <c r="E132" i="23"/>
  <c r="D132" i="23"/>
  <c r="E131" i="23"/>
  <c r="D131" i="23"/>
  <c r="E130" i="23"/>
  <c r="D130" i="23"/>
  <c r="E129" i="23"/>
  <c r="D129" i="23"/>
  <c r="E128" i="23"/>
  <c r="D128" i="23"/>
  <c r="E127" i="23"/>
  <c r="D127" i="23"/>
  <c r="E126" i="23"/>
  <c r="D126" i="23"/>
  <c r="E125" i="23"/>
  <c r="D125" i="23"/>
  <c r="E124" i="23"/>
  <c r="D124" i="23"/>
  <c r="E123" i="23"/>
  <c r="D123" i="23"/>
  <c r="E122" i="23"/>
  <c r="D122" i="23"/>
  <c r="E121" i="23"/>
  <c r="D121" i="23"/>
  <c r="E120" i="23"/>
  <c r="D120" i="23"/>
  <c r="E119" i="23"/>
  <c r="D119" i="23"/>
  <c r="E118" i="23"/>
  <c r="D118" i="23"/>
  <c r="E117" i="23"/>
  <c r="D117" i="23"/>
  <c r="E116" i="23"/>
  <c r="D116" i="23"/>
  <c r="E115" i="23"/>
  <c r="D115" i="23"/>
  <c r="E114" i="23"/>
  <c r="D114" i="23"/>
  <c r="E113" i="23"/>
  <c r="D113" i="23"/>
  <c r="E112" i="23"/>
  <c r="D112" i="23"/>
  <c r="E111" i="23"/>
  <c r="D111" i="23"/>
  <c r="E110" i="23"/>
  <c r="D110" i="23"/>
  <c r="E109" i="23"/>
  <c r="D109" i="23"/>
  <c r="E108" i="23"/>
  <c r="D108" i="23"/>
  <c r="E107" i="23"/>
  <c r="D107" i="23"/>
  <c r="E106" i="23"/>
  <c r="D106" i="23"/>
  <c r="E105" i="23"/>
  <c r="D105" i="23"/>
  <c r="E104" i="23"/>
  <c r="D104" i="23"/>
  <c r="E103" i="23"/>
  <c r="D103" i="23"/>
  <c r="E102" i="23"/>
  <c r="D102" i="23"/>
  <c r="E101" i="23"/>
  <c r="D101" i="23"/>
  <c r="E100" i="23"/>
  <c r="D100" i="23"/>
  <c r="E99" i="23"/>
  <c r="D99" i="23"/>
  <c r="E98" i="23"/>
  <c r="D98" i="23"/>
  <c r="E97" i="23"/>
  <c r="D97" i="23"/>
  <c r="E96" i="23"/>
  <c r="D96" i="23"/>
  <c r="E95" i="23"/>
  <c r="D95" i="23"/>
  <c r="E94" i="23"/>
  <c r="D94" i="23"/>
  <c r="E93" i="23"/>
  <c r="D93" i="23"/>
  <c r="E92" i="23"/>
  <c r="D92" i="23"/>
  <c r="E91" i="23"/>
  <c r="D91" i="23"/>
  <c r="E90" i="23"/>
  <c r="D90" i="23"/>
  <c r="E89" i="23"/>
  <c r="D89" i="23"/>
  <c r="E88" i="23"/>
  <c r="D88" i="23"/>
  <c r="E87" i="23"/>
  <c r="D87" i="23"/>
  <c r="E86" i="23"/>
  <c r="D86" i="23"/>
  <c r="E85" i="23"/>
  <c r="D85" i="23"/>
  <c r="E84" i="23"/>
  <c r="D84" i="23"/>
  <c r="E83" i="23"/>
  <c r="D83" i="23"/>
  <c r="E82" i="23"/>
  <c r="D82" i="23"/>
  <c r="E81" i="23"/>
  <c r="D81" i="23"/>
  <c r="E80" i="23"/>
  <c r="D80" i="23"/>
  <c r="E79" i="23"/>
  <c r="D79" i="23"/>
  <c r="E78" i="23"/>
  <c r="D78" i="23"/>
  <c r="E77" i="23"/>
  <c r="D77" i="23"/>
  <c r="E76" i="23"/>
  <c r="D76" i="23"/>
  <c r="E75" i="23"/>
  <c r="D75" i="23"/>
  <c r="E74" i="23"/>
  <c r="D74" i="23"/>
  <c r="E73" i="23"/>
  <c r="D73" i="23"/>
  <c r="E72" i="23"/>
  <c r="D72" i="23"/>
  <c r="E71" i="23"/>
  <c r="D71" i="23"/>
  <c r="E70" i="23"/>
  <c r="D70" i="23"/>
  <c r="E69" i="23"/>
  <c r="D69" i="23"/>
  <c r="E68" i="23"/>
  <c r="D68" i="23"/>
  <c r="E67" i="23"/>
  <c r="D67" i="23"/>
  <c r="E66" i="23"/>
  <c r="D66" i="23"/>
  <c r="E65" i="23"/>
  <c r="D65" i="23"/>
  <c r="E64" i="23"/>
  <c r="D64" i="23"/>
  <c r="E63" i="23"/>
  <c r="D63" i="23"/>
  <c r="E62" i="23"/>
  <c r="D62" i="23"/>
  <c r="E61" i="23"/>
  <c r="D61" i="23"/>
  <c r="E60" i="23"/>
  <c r="D60" i="23"/>
  <c r="E59" i="23"/>
  <c r="D59" i="23"/>
  <c r="E58" i="23"/>
  <c r="D58" i="23"/>
  <c r="E57" i="23"/>
  <c r="D57" i="23"/>
  <c r="E56" i="23"/>
  <c r="D56" i="23"/>
  <c r="E55" i="23"/>
  <c r="D55" i="23"/>
  <c r="E54" i="23"/>
  <c r="D54" i="23"/>
  <c r="E53" i="23"/>
  <c r="D53" i="23"/>
  <c r="E52" i="23"/>
  <c r="D52" i="23"/>
  <c r="E51" i="23"/>
  <c r="D51" i="23"/>
  <c r="E50" i="23"/>
  <c r="D50" i="23"/>
  <c r="E49" i="23"/>
  <c r="D49" i="23"/>
  <c r="E48" i="23"/>
  <c r="D48" i="23"/>
  <c r="E47" i="23"/>
  <c r="D47" i="23"/>
  <c r="E46" i="23"/>
  <c r="D46" i="23"/>
  <c r="E45" i="23"/>
  <c r="D45" i="23"/>
  <c r="E44" i="23"/>
  <c r="D44" i="23"/>
  <c r="E43" i="23"/>
  <c r="D43" i="23"/>
  <c r="E42" i="23"/>
  <c r="D42" i="23"/>
  <c r="E41" i="23"/>
  <c r="D41" i="23"/>
  <c r="E40" i="23"/>
  <c r="D40" i="23"/>
  <c r="E39" i="23"/>
  <c r="D39" i="23"/>
  <c r="E38" i="23"/>
  <c r="D38" i="23"/>
  <c r="E37" i="23"/>
  <c r="D37" i="23"/>
  <c r="E36" i="23"/>
  <c r="D36" i="23"/>
  <c r="E35" i="23"/>
  <c r="D35" i="23"/>
  <c r="E34" i="23"/>
  <c r="D34" i="23"/>
  <c r="E33" i="23"/>
  <c r="D33" i="23"/>
  <c r="E32" i="23"/>
  <c r="D32" i="23"/>
  <c r="E31" i="23"/>
  <c r="D31" i="23"/>
  <c r="E30" i="23"/>
  <c r="D30" i="23"/>
  <c r="E29" i="23"/>
  <c r="D29" i="23"/>
  <c r="E28" i="23"/>
  <c r="D28" i="23"/>
  <c r="E27" i="23"/>
  <c r="D27" i="23"/>
  <c r="E26" i="23"/>
  <c r="D26" i="23"/>
  <c r="E25" i="23"/>
  <c r="D25" i="23"/>
  <c r="E24" i="23"/>
  <c r="D24" i="23"/>
  <c r="E23" i="23"/>
  <c r="D23" i="23"/>
  <c r="E22" i="23"/>
  <c r="D22" i="23"/>
  <c r="E21" i="23"/>
  <c r="D21" i="23"/>
  <c r="E20" i="23"/>
  <c r="D20" i="23"/>
  <c r="E19" i="23"/>
  <c r="D19" i="23"/>
  <c r="E18" i="23"/>
  <c r="D18" i="23"/>
  <c r="E17" i="23"/>
  <c r="D17" i="23"/>
  <c r="E16" i="23"/>
  <c r="D16" i="23"/>
  <c r="E15" i="23"/>
  <c r="D15" i="23"/>
  <c r="E14" i="23"/>
  <c r="D14" i="23"/>
  <c r="E13" i="23"/>
  <c r="D13" i="23"/>
  <c r="E12" i="23"/>
  <c r="D12" i="23"/>
  <c r="E11" i="23"/>
  <c r="D11" i="23"/>
  <c r="E10" i="23"/>
  <c r="D10" i="23"/>
  <c r="E9" i="23"/>
  <c r="D9" i="23"/>
  <c r="E8" i="23"/>
  <c r="D8" i="23"/>
  <c r="E7" i="23"/>
  <c r="D7" i="23"/>
  <c r="E371" i="23"/>
  <c r="D371" i="23"/>
  <c r="BS399" i="1" l="1"/>
  <c r="BS398" i="1"/>
  <c r="BS397" i="1"/>
  <c r="BS396" i="1"/>
  <c r="BS395" i="1"/>
  <c r="BS394" i="1"/>
  <c r="BS393" i="1"/>
  <c r="BS392" i="1"/>
  <c r="BS391" i="1"/>
  <c r="BS390" i="1"/>
  <c r="BS389" i="1"/>
  <c r="BS388" i="1"/>
  <c r="BS386" i="1"/>
  <c r="BS385" i="1"/>
  <c r="BS384" i="1"/>
  <c r="BS383" i="1"/>
  <c r="BS382" i="1"/>
  <c r="BS381" i="1"/>
  <c r="BS380" i="1"/>
  <c r="BS379" i="1"/>
  <c r="BS378" i="1"/>
  <c r="BS377" i="1"/>
  <c r="BS376" i="1"/>
  <c r="BS375" i="1"/>
  <c r="T372" i="1"/>
  <c r="H145" i="23"/>
  <c r="H144" i="23"/>
  <c r="H143" i="23"/>
  <c r="Q147" i="23"/>
  <c r="BK343" i="1"/>
  <c r="BJ343" i="1"/>
  <c r="BK342" i="1"/>
  <c r="BJ342" i="1"/>
  <c r="BK341" i="1"/>
  <c r="BJ341" i="1"/>
  <c r="BK340" i="1"/>
  <c r="BJ340" i="1"/>
  <c r="BK339" i="1"/>
  <c r="BJ339" i="1"/>
  <c r="BK338" i="1"/>
  <c r="BJ338" i="1"/>
  <c r="BK337" i="1"/>
  <c r="BJ337" i="1"/>
  <c r="BK336" i="1"/>
  <c r="BJ336" i="1"/>
  <c r="BK335" i="1"/>
  <c r="BJ335" i="1"/>
  <c r="BK334" i="1"/>
  <c r="BJ334" i="1"/>
  <c r="BK333" i="1"/>
  <c r="BJ333" i="1"/>
  <c r="BK332" i="1"/>
  <c r="BJ332" i="1"/>
  <c r="BK331" i="1"/>
  <c r="BJ331" i="1"/>
  <c r="BK330" i="1"/>
  <c r="BJ330" i="1"/>
  <c r="BK329" i="1"/>
  <c r="BJ329" i="1"/>
  <c r="BK328" i="1"/>
  <c r="BJ328" i="1"/>
  <c r="BK327" i="1"/>
  <c r="BJ327" i="1"/>
  <c r="BK326" i="1"/>
  <c r="BJ326" i="1"/>
  <c r="BK325" i="1"/>
  <c r="BJ325" i="1"/>
  <c r="BK324" i="1"/>
  <c r="BJ324" i="1"/>
  <c r="BK323" i="1"/>
  <c r="BJ323" i="1"/>
  <c r="BK322" i="1"/>
  <c r="BJ322" i="1"/>
  <c r="BK321" i="1"/>
  <c r="BJ321" i="1"/>
  <c r="BK320" i="1"/>
  <c r="BJ320" i="1"/>
  <c r="BK319" i="1"/>
  <c r="BJ319" i="1"/>
  <c r="BK318" i="1"/>
  <c r="BJ318" i="1"/>
  <c r="BK317" i="1"/>
  <c r="BJ317" i="1"/>
  <c r="BK316" i="1"/>
  <c r="BJ316" i="1"/>
  <c r="BK315" i="1"/>
  <c r="BJ315" i="1"/>
  <c r="BK314" i="1"/>
  <c r="BJ314" i="1"/>
  <c r="BK313" i="1"/>
  <c r="BJ313" i="1"/>
  <c r="BK312" i="1"/>
  <c r="BJ312" i="1"/>
  <c r="BK311" i="1"/>
  <c r="BJ311" i="1"/>
  <c r="BK310" i="1"/>
  <c r="BJ310" i="1"/>
  <c r="BK309" i="1"/>
  <c r="BJ309" i="1"/>
  <c r="BK308" i="1"/>
  <c r="BJ308" i="1"/>
  <c r="BK307" i="1"/>
  <c r="BJ307" i="1"/>
  <c r="BK306" i="1"/>
  <c r="BJ306" i="1"/>
  <c r="BK305" i="1"/>
  <c r="BJ305" i="1"/>
  <c r="BK304" i="1"/>
  <c r="BJ304" i="1"/>
  <c r="BK303" i="1"/>
  <c r="BJ303" i="1"/>
  <c r="BK302" i="1"/>
  <c r="BJ302" i="1"/>
  <c r="F297" i="23"/>
  <c r="F218" i="23"/>
  <c r="BK218" i="1"/>
  <c r="BJ218" i="1"/>
  <c r="F217" i="23"/>
  <c r="BK217" i="1"/>
  <c r="BJ217" i="1"/>
  <c r="BK216" i="1"/>
  <c r="BJ216" i="1"/>
  <c r="BK215" i="1"/>
  <c r="BJ215" i="1"/>
  <c r="F214" i="23"/>
  <c r="BK214" i="1"/>
  <c r="BJ214" i="1"/>
  <c r="F213" i="23"/>
  <c r="BK213" i="1"/>
  <c r="BJ213" i="1"/>
  <c r="BK212" i="1"/>
  <c r="BJ212" i="1"/>
  <c r="BK211" i="1"/>
  <c r="BJ211" i="1"/>
  <c r="F210" i="23"/>
  <c r="BK210" i="1"/>
  <c r="BJ210" i="1"/>
  <c r="F209" i="23"/>
  <c r="BK209" i="1"/>
  <c r="BJ209" i="1"/>
  <c r="BK208" i="1"/>
  <c r="BJ208" i="1"/>
  <c r="BK207" i="1"/>
  <c r="BJ207" i="1"/>
  <c r="F206" i="23"/>
  <c r="BK206" i="1"/>
  <c r="BJ206" i="1"/>
  <c r="F205" i="23"/>
  <c r="BK205" i="1"/>
  <c r="BJ205" i="1"/>
  <c r="BK204" i="1"/>
  <c r="BJ204" i="1"/>
  <c r="BK203" i="1"/>
  <c r="BJ203" i="1"/>
  <c r="F202" i="23"/>
  <c r="BK202" i="1"/>
  <c r="BJ202" i="1"/>
  <c r="F201" i="23"/>
  <c r="BK201" i="1"/>
  <c r="BJ201" i="1"/>
  <c r="BK200" i="1"/>
  <c r="BJ200" i="1"/>
  <c r="BK199" i="1"/>
  <c r="BJ199" i="1"/>
  <c r="F198" i="23"/>
  <c r="BK198" i="1"/>
  <c r="BJ198" i="1"/>
  <c r="F197" i="23"/>
  <c r="BK197" i="1"/>
  <c r="BJ197" i="1"/>
  <c r="BK196" i="1"/>
  <c r="BJ196" i="1"/>
  <c r="BK195" i="1"/>
  <c r="BJ195" i="1"/>
  <c r="F194" i="23"/>
  <c r="BK194" i="1"/>
  <c r="BJ194" i="1"/>
  <c r="F193" i="23"/>
  <c r="BK193" i="1"/>
  <c r="BJ193" i="1"/>
  <c r="BK192" i="1"/>
  <c r="BJ192" i="1"/>
  <c r="BK191" i="1"/>
  <c r="BJ191" i="1"/>
  <c r="F190" i="23"/>
  <c r="BK190" i="1"/>
  <c r="BJ190" i="1"/>
  <c r="F189" i="23"/>
  <c r="BK189" i="1"/>
  <c r="BJ189" i="1"/>
  <c r="BK188" i="1"/>
  <c r="BJ188" i="1"/>
  <c r="BK187" i="1"/>
  <c r="BJ187" i="1"/>
  <c r="F186" i="23"/>
  <c r="BK186" i="1"/>
  <c r="BJ186" i="1"/>
  <c r="F185" i="23"/>
  <c r="BK185" i="1"/>
  <c r="BJ185" i="1"/>
  <c r="BK184" i="1"/>
  <c r="BJ184" i="1"/>
  <c r="BK183" i="1"/>
  <c r="BJ183" i="1"/>
  <c r="F182" i="23"/>
  <c r="BK182" i="1"/>
  <c r="BJ182" i="1"/>
  <c r="F181" i="23"/>
  <c r="BK181" i="1"/>
  <c r="BJ181" i="1"/>
  <c r="BK180" i="1"/>
  <c r="BJ180" i="1"/>
  <c r="BK179" i="1"/>
  <c r="BJ179" i="1"/>
  <c r="F178" i="23"/>
  <c r="BK178" i="1"/>
  <c r="BJ178" i="1"/>
  <c r="F177" i="23"/>
  <c r="BK177" i="1"/>
  <c r="BJ177" i="1"/>
  <c r="BF136" i="1"/>
  <c r="BF135" i="1"/>
  <c r="BF134" i="1"/>
  <c r="BF133" i="1"/>
  <c r="BF132" i="1"/>
  <c r="BF131" i="1"/>
  <c r="BF130" i="1"/>
  <c r="BF129" i="1"/>
  <c r="BF128" i="1"/>
  <c r="BF127" i="1"/>
  <c r="BF126" i="1"/>
  <c r="BF125" i="1"/>
  <c r="BF124" i="1"/>
  <c r="BF123" i="1"/>
  <c r="BF122" i="1"/>
  <c r="BF121" i="1"/>
  <c r="BF120" i="1"/>
  <c r="BF119" i="1"/>
  <c r="BF118" i="1"/>
  <c r="BF117" i="1"/>
  <c r="BF116" i="1"/>
  <c r="BF115" i="1"/>
  <c r="BF114" i="1"/>
  <c r="BF113" i="1"/>
  <c r="BF112" i="1"/>
  <c r="BF111" i="1"/>
  <c r="BF110" i="1"/>
  <c r="BF109" i="1"/>
  <c r="BF108" i="1"/>
  <c r="BF107" i="1"/>
  <c r="BF106" i="1"/>
  <c r="BF105" i="1"/>
  <c r="BF104" i="1"/>
  <c r="BF103" i="1"/>
  <c r="BF102" i="1"/>
  <c r="BF101" i="1"/>
  <c r="BF100" i="1"/>
  <c r="BF99" i="1"/>
  <c r="BF98" i="1"/>
  <c r="BF97" i="1"/>
  <c r="BF96" i="1"/>
  <c r="BF95" i="1"/>
  <c r="BF94" i="1"/>
  <c r="BF93" i="1"/>
  <c r="BF92" i="1"/>
  <c r="BF91" i="1"/>
  <c r="BF90" i="1"/>
  <c r="BF89" i="1"/>
  <c r="BF88" i="1"/>
  <c r="BF87" i="1"/>
  <c r="BF86" i="1"/>
  <c r="BF85" i="1"/>
  <c r="BF84" i="1"/>
  <c r="BF83" i="1"/>
  <c r="BF82" i="1"/>
  <c r="BF81" i="1"/>
  <c r="BF80" i="1"/>
  <c r="BF79" i="1"/>
  <c r="BF78" i="1"/>
  <c r="BF77" i="1"/>
  <c r="BF76" i="1"/>
  <c r="BF75" i="1"/>
  <c r="BF74" i="1"/>
  <c r="BF73" i="1"/>
  <c r="BF72" i="1"/>
  <c r="BF71" i="1"/>
  <c r="BF70" i="1"/>
  <c r="BF69" i="1"/>
  <c r="BF68" i="1"/>
  <c r="BF67" i="1"/>
  <c r="BF66" i="1"/>
  <c r="BF65" i="1"/>
  <c r="BF64" i="1"/>
  <c r="BF63" i="1"/>
  <c r="BF62" i="1"/>
  <c r="BF61" i="1"/>
  <c r="BF60" i="1"/>
  <c r="BF59" i="1"/>
  <c r="BF58" i="1"/>
  <c r="BF57" i="1"/>
  <c r="BF56" i="1"/>
  <c r="BF55" i="1"/>
  <c r="BF54" i="1"/>
  <c r="BF53" i="1"/>
  <c r="BF52" i="1"/>
  <c r="BF51" i="1"/>
  <c r="BF50" i="1"/>
  <c r="BF49" i="1"/>
  <c r="BF48" i="1"/>
  <c r="BF47" i="1"/>
  <c r="BF46" i="1"/>
  <c r="BF45" i="1"/>
  <c r="BF44" i="1"/>
  <c r="BF43" i="1"/>
  <c r="BF42" i="1"/>
  <c r="BF41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CW24" i="1" s="1"/>
  <c r="BF23" i="1"/>
  <c r="CW23" i="1" s="1"/>
  <c r="BF22" i="1"/>
  <c r="CW22" i="1" s="1"/>
  <c r="BF21" i="1"/>
  <c r="CW21" i="1" s="1"/>
  <c r="BF20" i="1"/>
  <c r="CW20" i="1" s="1"/>
  <c r="BF19" i="1"/>
  <c r="CW19" i="1" s="1"/>
  <c r="BF18" i="1"/>
  <c r="CW18" i="1" s="1"/>
  <c r="BF17" i="1"/>
  <c r="CW17" i="1" s="1"/>
  <c r="BF16" i="1"/>
  <c r="CW16" i="1" s="1"/>
  <c r="BF14" i="1"/>
  <c r="CW14" i="1" s="1"/>
  <c r="BF13" i="1"/>
  <c r="CW13" i="1" s="1"/>
  <c r="BF12" i="1"/>
  <c r="CW12" i="1" s="1"/>
  <c r="BF11" i="1"/>
  <c r="CW11" i="1" s="1"/>
  <c r="BF10" i="1"/>
  <c r="CW10" i="1" s="1"/>
  <c r="BF9" i="1"/>
  <c r="CW9" i="1" s="1"/>
  <c r="BF8" i="1"/>
  <c r="CW8" i="1" s="1"/>
  <c r="BF7" i="1"/>
  <c r="CW7" i="1" s="1"/>
  <c r="BJ344" i="1"/>
  <c r="BK344" i="1"/>
  <c r="F179" i="23" l="1"/>
  <c r="F180" i="23"/>
  <c r="F183" i="23"/>
  <c r="F184" i="23"/>
  <c r="F187" i="23"/>
  <c r="F188" i="23"/>
  <c r="F191" i="23"/>
  <c r="F192" i="23"/>
  <c r="F195" i="23"/>
  <c r="F196" i="23"/>
  <c r="F199" i="23"/>
  <c r="F200" i="23"/>
  <c r="F203" i="23"/>
  <c r="F204" i="23"/>
  <c r="F207" i="23"/>
  <c r="F208" i="23"/>
  <c r="F211" i="23"/>
  <c r="F212" i="23"/>
  <c r="F215" i="23"/>
  <c r="F216" i="23"/>
  <c r="F306" i="23"/>
  <c r="F307" i="23"/>
  <c r="F314" i="23"/>
  <c r="F315" i="23"/>
  <c r="F322" i="23"/>
  <c r="F323" i="23"/>
  <c r="F330" i="23"/>
  <c r="F331" i="23"/>
  <c r="F338" i="23"/>
  <c r="F339" i="23"/>
  <c r="F304" i="23"/>
  <c r="F305" i="23"/>
  <c r="F312" i="23"/>
  <c r="F313" i="23"/>
  <c r="F320" i="23"/>
  <c r="F321" i="23"/>
  <c r="F328" i="23"/>
  <c r="F329" i="23"/>
  <c r="F336" i="23"/>
  <c r="F337" i="23"/>
  <c r="F302" i="23"/>
  <c r="F303" i="23"/>
  <c r="F310" i="23"/>
  <c r="F311" i="23"/>
  <c r="F318" i="23"/>
  <c r="F319" i="23"/>
  <c r="F326" i="23"/>
  <c r="F327" i="23"/>
  <c r="F334" i="23"/>
  <c r="F335" i="23"/>
  <c r="F342" i="23"/>
  <c r="F343" i="23"/>
  <c r="F308" i="23"/>
  <c r="F309" i="23"/>
  <c r="F316" i="23"/>
  <c r="F317" i="23"/>
  <c r="F324" i="23"/>
  <c r="F325" i="23"/>
  <c r="F332" i="23"/>
  <c r="F333" i="23"/>
  <c r="F340" i="23"/>
  <c r="F341" i="23"/>
  <c r="F250" i="23"/>
  <c r="F262" i="23"/>
  <c r="BK262" i="1"/>
  <c r="BJ262" i="1"/>
  <c r="F347" i="23"/>
  <c r="BK347" i="1"/>
  <c r="BJ347" i="1"/>
  <c r="F346" i="23"/>
  <c r="BK346" i="1"/>
  <c r="BJ346" i="1"/>
  <c r="F345" i="23"/>
  <c r="BK345" i="1"/>
  <c r="BJ345" i="1"/>
  <c r="F344" i="23"/>
  <c r="F301" i="23"/>
  <c r="BK301" i="1"/>
  <c r="BJ301" i="1"/>
  <c r="F300" i="23"/>
  <c r="BK300" i="1"/>
  <c r="BJ300" i="1"/>
  <c r="F299" i="23"/>
  <c r="BK299" i="1"/>
  <c r="BJ299" i="1"/>
  <c r="F298" i="23"/>
  <c r="BK298" i="1"/>
  <c r="BJ298" i="1"/>
  <c r="BK297" i="1"/>
  <c r="BJ297" i="1"/>
  <c r="BJ153" i="1" l="1"/>
  <c r="BK66" i="1"/>
  <c r="BJ66" i="1"/>
  <c r="BK65" i="1"/>
  <c r="BJ65" i="1"/>
  <c r="BK64" i="1"/>
  <c r="BJ64" i="1"/>
  <c r="BK63" i="1"/>
  <c r="BJ63" i="1"/>
  <c r="BK62" i="1"/>
  <c r="BJ62" i="1"/>
  <c r="BK61" i="1"/>
  <c r="BJ61" i="1"/>
  <c r="BK60" i="1"/>
  <c r="BJ60" i="1"/>
  <c r="BK59" i="1"/>
  <c r="BJ59" i="1"/>
  <c r="BK58" i="1"/>
  <c r="BJ58" i="1"/>
  <c r="BK57" i="1"/>
  <c r="BJ57" i="1"/>
  <c r="BK56" i="1"/>
  <c r="BJ56" i="1"/>
  <c r="BK55" i="1"/>
  <c r="BJ55" i="1"/>
  <c r="BK54" i="1"/>
  <c r="BJ54" i="1"/>
  <c r="BK53" i="1"/>
  <c r="BJ53" i="1"/>
  <c r="BK52" i="1"/>
  <c r="BJ52" i="1"/>
  <c r="BK51" i="1"/>
  <c r="BJ51" i="1"/>
  <c r="BK50" i="1"/>
  <c r="BJ50" i="1"/>
  <c r="BK49" i="1"/>
  <c r="BJ49" i="1"/>
  <c r="BK48" i="1"/>
  <c r="BJ48" i="1"/>
  <c r="BK47" i="1"/>
  <c r="BJ47" i="1"/>
  <c r="BK46" i="1"/>
  <c r="BJ46" i="1"/>
  <c r="BK45" i="1"/>
  <c r="BJ45" i="1"/>
  <c r="BK44" i="1"/>
  <c r="BJ44" i="1"/>
  <c r="BK43" i="1"/>
  <c r="BJ43" i="1"/>
  <c r="BK42" i="1"/>
  <c r="BJ42" i="1"/>
  <c r="BK41" i="1"/>
  <c r="BJ41" i="1"/>
  <c r="BK40" i="1"/>
  <c r="BJ40" i="1"/>
  <c r="BK39" i="1"/>
  <c r="BJ39" i="1"/>
  <c r="BK38" i="1"/>
  <c r="BJ38" i="1"/>
  <c r="BK37" i="1"/>
  <c r="BJ37" i="1"/>
  <c r="BK36" i="1"/>
  <c r="BJ36" i="1"/>
  <c r="BK35" i="1"/>
  <c r="BJ35" i="1"/>
  <c r="BK34" i="1"/>
  <c r="BJ34" i="1"/>
  <c r="BK33" i="1"/>
  <c r="BJ33" i="1"/>
  <c r="BK32" i="1"/>
  <c r="BJ32" i="1"/>
  <c r="BK31" i="1"/>
  <c r="BJ31" i="1"/>
  <c r="BK30" i="1"/>
  <c r="BJ30" i="1"/>
  <c r="BK29" i="1"/>
  <c r="BJ29" i="1"/>
  <c r="BK28" i="1"/>
  <c r="BJ28" i="1"/>
  <c r="BK27" i="1"/>
  <c r="BJ27" i="1"/>
  <c r="BK26" i="1"/>
  <c r="BJ26" i="1"/>
  <c r="BK25" i="1"/>
  <c r="BJ25" i="1"/>
  <c r="BK24" i="1"/>
  <c r="BX24" i="1" s="1"/>
  <c r="BJ24" i="1"/>
  <c r="BW24" i="1" s="1"/>
  <c r="BK23" i="1"/>
  <c r="BX23" i="1" s="1"/>
  <c r="BJ23" i="1"/>
  <c r="BW23" i="1" s="1"/>
  <c r="BK22" i="1"/>
  <c r="BX22" i="1" s="1"/>
  <c r="BJ22" i="1"/>
  <c r="BW22" i="1" s="1"/>
  <c r="BK21" i="1"/>
  <c r="BX21" i="1" s="1"/>
  <c r="BJ21" i="1"/>
  <c r="BW21" i="1" s="1"/>
  <c r="BK20" i="1"/>
  <c r="BX20" i="1" s="1"/>
  <c r="BJ20" i="1"/>
  <c r="BW20" i="1" s="1"/>
  <c r="BK19" i="1"/>
  <c r="BX19" i="1" s="1"/>
  <c r="BJ19" i="1"/>
  <c r="BW19" i="1" s="1"/>
  <c r="BK18" i="1"/>
  <c r="BX18" i="1" s="1"/>
  <c r="BJ18" i="1"/>
  <c r="BW18" i="1" s="1"/>
  <c r="BK17" i="1"/>
  <c r="BX17" i="1" s="1"/>
  <c r="BJ17" i="1"/>
  <c r="BW17" i="1" s="1"/>
  <c r="BK16" i="1"/>
  <c r="BX16" i="1" s="1"/>
  <c r="BJ16" i="1"/>
  <c r="BW16" i="1" s="1"/>
  <c r="BK15" i="1"/>
  <c r="BX15" i="1" s="1"/>
  <c r="BJ15" i="1"/>
  <c r="BW15" i="1" s="1"/>
  <c r="BK14" i="1"/>
  <c r="BX14" i="1" s="1"/>
  <c r="BJ14" i="1"/>
  <c r="BW14" i="1" s="1"/>
  <c r="BK13" i="1"/>
  <c r="BX13" i="1" s="1"/>
  <c r="BJ13" i="1"/>
  <c r="BW13" i="1" s="1"/>
  <c r="BK12" i="1"/>
  <c r="BX12" i="1" s="1"/>
  <c r="BJ12" i="1"/>
  <c r="BW12" i="1" s="1"/>
  <c r="BK11" i="1"/>
  <c r="BX11" i="1" s="1"/>
  <c r="BJ11" i="1"/>
  <c r="BW11" i="1" s="1"/>
  <c r="BK10" i="1"/>
  <c r="BX10" i="1" s="1"/>
  <c r="BJ10" i="1"/>
  <c r="BW10" i="1" s="1"/>
  <c r="BK9" i="1"/>
  <c r="BX9" i="1" s="1"/>
  <c r="BJ9" i="1"/>
  <c r="BW9" i="1" s="1"/>
  <c r="BK8" i="1"/>
  <c r="BX8" i="1" s="1"/>
  <c r="BJ8" i="1"/>
  <c r="BW8" i="1" s="1"/>
  <c r="BK7" i="1"/>
  <c r="BX7" i="1" s="1"/>
  <c r="BJ7" i="1"/>
  <c r="BW7" i="1" s="1"/>
  <c r="F267" i="23" l="1"/>
  <c r="BK267" i="1"/>
  <c r="BJ267" i="1"/>
  <c r="F266" i="23"/>
  <c r="BK266" i="1"/>
  <c r="BJ266" i="1"/>
  <c r="F265" i="23"/>
  <c r="BK265" i="1"/>
  <c r="BJ265" i="1"/>
  <c r="F264" i="23"/>
  <c r="BK264" i="1"/>
  <c r="BJ264" i="1"/>
  <c r="F263" i="23"/>
  <c r="BK263" i="1"/>
  <c r="BJ263" i="1"/>
  <c r="F261" i="23"/>
  <c r="BK261" i="1"/>
  <c r="BJ261" i="1"/>
  <c r="F260" i="23"/>
  <c r="BK260" i="1"/>
  <c r="BJ260" i="1"/>
  <c r="F259" i="23"/>
  <c r="BK259" i="1"/>
  <c r="BJ259" i="1"/>
  <c r="F258" i="23"/>
  <c r="BK258" i="1"/>
  <c r="BJ258" i="1"/>
  <c r="F257" i="23"/>
  <c r="BK257" i="1"/>
  <c r="BJ257" i="1"/>
  <c r="F256" i="23"/>
  <c r="BK256" i="1"/>
  <c r="BJ256" i="1"/>
  <c r="F255" i="23"/>
  <c r="BK255" i="1"/>
  <c r="BJ255" i="1"/>
  <c r="F254" i="23"/>
  <c r="BK254" i="1"/>
  <c r="BJ254" i="1"/>
  <c r="F253" i="23"/>
  <c r="BK253" i="1"/>
  <c r="BJ253" i="1"/>
  <c r="F252" i="23"/>
  <c r="BK252" i="1"/>
  <c r="BJ252" i="1"/>
  <c r="F251" i="23"/>
  <c r="BK251" i="1"/>
  <c r="BJ251" i="1"/>
  <c r="BK250" i="1"/>
  <c r="BJ250" i="1"/>
  <c r="F249" i="23"/>
  <c r="BK249" i="1"/>
  <c r="BJ249" i="1"/>
  <c r="F248" i="23"/>
  <c r="BK248" i="1"/>
  <c r="BJ248" i="1"/>
  <c r="F247" i="23"/>
  <c r="BK247" i="1"/>
  <c r="BJ247" i="1"/>
  <c r="F246" i="23"/>
  <c r="BK246" i="1"/>
  <c r="BJ246" i="1"/>
  <c r="F245" i="23"/>
  <c r="BK245" i="1"/>
  <c r="BJ245" i="1"/>
  <c r="F244" i="23"/>
  <c r="BK244" i="1"/>
  <c r="BJ244" i="1"/>
  <c r="F243" i="23"/>
  <c r="BK243" i="1"/>
  <c r="BJ243" i="1"/>
  <c r="F242" i="23"/>
  <c r="BK242" i="1"/>
  <c r="BJ242" i="1"/>
  <c r="F241" i="23"/>
  <c r="BK241" i="1"/>
  <c r="BJ241" i="1"/>
  <c r="F240" i="23"/>
  <c r="BK240" i="1"/>
  <c r="BJ240" i="1"/>
  <c r="F239" i="23"/>
  <c r="BK239" i="1"/>
  <c r="BJ239" i="1"/>
  <c r="F238" i="23"/>
  <c r="BK238" i="1"/>
  <c r="BJ238" i="1"/>
  <c r="F237" i="23"/>
  <c r="BK237" i="1"/>
  <c r="BJ237" i="1"/>
  <c r="F236" i="23"/>
  <c r="BK236" i="1"/>
  <c r="BJ236" i="1"/>
  <c r="F235" i="23"/>
  <c r="BK235" i="1"/>
  <c r="BJ235" i="1"/>
  <c r="F234" i="23"/>
  <c r="BK234" i="1"/>
  <c r="BJ234" i="1"/>
  <c r="F233" i="23"/>
  <c r="BK233" i="1"/>
  <c r="BJ233" i="1"/>
  <c r="F232" i="23"/>
  <c r="BK232" i="1"/>
  <c r="BJ232" i="1"/>
  <c r="F231" i="23"/>
  <c r="BK231" i="1"/>
  <c r="BJ231" i="1"/>
  <c r="F230" i="23"/>
  <c r="BK230" i="1"/>
  <c r="BJ230" i="1"/>
  <c r="F229" i="23"/>
  <c r="BK229" i="1"/>
  <c r="BJ229" i="1"/>
  <c r="F228" i="23"/>
  <c r="BK228" i="1"/>
  <c r="BJ228" i="1"/>
  <c r="F227" i="23"/>
  <c r="BK227" i="1"/>
  <c r="BJ227" i="1"/>
  <c r="F226" i="23"/>
  <c r="BK226" i="1"/>
  <c r="BJ226" i="1"/>
  <c r="F225" i="23"/>
  <c r="BK225" i="1"/>
  <c r="BJ225" i="1"/>
  <c r="F224" i="23"/>
  <c r="BK224" i="1"/>
  <c r="BJ224" i="1"/>
  <c r="F223" i="23"/>
  <c r="BK223" i="1"/>
  <c r="BJ223" i="1"/>
  <c r="F222" i="23"/>
  <c r="BK222" i="1"/>
  <c r="BJ222" i="1"/>
  <c r="F221" i="23"/>
  <c r="BK221" i="1"/>
  <c r="BJ221" i="1"/>
  <c r="F220" i="23"/>
  <c r="BK220" i="1"/>
  <c r="BJ220" i="1"/>
  <c r="F219" i="23"/>
  <c r="BK219" i="1"/>
  <c r="BJ219" i="1"/>
  <c r="F176" i="23"/>
  <c r="BK176" i="1"/>
  <c r="BJ176" i="1"/>
  <c r="F175" i="23"/>
  <c r="BK175" i="1"/>
  <c r="BJ175" i="1"/>
  <c r="F174" i="23"/>
  <c r="BK174" i="1"/>
  <c r="BJ174" i="1"/>
  <c r="F173" i="23"/>
  <c r="BK173" i="1"/>
  <c r="BJ173" i="1"/>
  <c r="F172" i="23"/>
  <c r="BK172" i="1"/>
  <c r="BJ172" i="1"/>
  <c r="F171" i="23"/>
  <c r="BK171" i="1"/>
  <c r="BJ171" i="1"/>
  <c r="F170" i="23"/>
  <c r="BK170" i="1"/>
  <c r="BJ170" i="1"/>
  <c r="F169" i="23"/>
  <c r="BK169" i="1"/>
  <c r="BJ169" i="1"/>
  <c r="F168" i="23"/>
  <c r="BK168" i="1"/>
  <c r="BJ168" i="1"/>
  <c r="F167" i="23"/>
  <c r="BK167" i="1"/>
  <c r="BJ167" i="1"/>
  <c r="F166" i="23"/>
  <c r="BK166" i="1"/>
  <c r="BJ166" i="1"/>
  <c r="F165" i="23"/>
  <c r="BK165" i="1"/>
  <c r="BJ165" i="1"/>
  <c r="F164" i="23"/>
  <c r="BK164" i="1"/>
  <c r="BJ164" i="1"/>
  <c r="F163" i="23"/>
  <c r="BK163" i="1"/>
  <c r="BJ163" i="1"/>
  <c r="F162" i="23"/>
  <c r="BK162" i="1"/>
  <c r="BJ162" i="1"/>
  <c r="F161" i="23"/>
  <c r="BK161" i="1"/>
  <c r="BJ161" i="1"/>
  <c r="F160" i="23"/>
  <c r="BK160" i="1"/>
  <c r="BJ160" i="1"/>
  <c r="F159" i="23"/>
  <c r="BK159" i="1"/>
  <c r="BJ159" i="1"/>
  <c r="F158" i="23"/>
  <c r="BK158" i="1"/>
  <c r="BJ158" i="1"/>
  <c r="H6" i="23"/>
  <c r="F66" i="23"/>
  <c r="F65" i="23"/>
  <c r="F64" i="23"/>
  <c r="F63" i="23"/>
  <c r="F62" i="23"/>
  <c r="F61" i="23"/>
  <c r="F60" i="23"/>
  <c r="F59" i="23"/>
  <c r="F58" i="23"/>
  <c r="F57" i="23"/>
  <c r="F56" i="23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41" i="23"/>
  <c r="F40" i="23"/>
  <c r="F39" i="23"/>
  <c r="F38" i="23"/>
  <c r="F37" i="23"/>
  <c r="F36" i="23"/>
  <c r="F35" i="23"/>
  <c r="F34" i="23"/>
  <c r="F33" i="23"/>
  <c r="F32" i="23"/>
  <c r="F31" i="23"/>
  <c r="F30" i="23"/>
  <c r="F29" i="23"/>
  <c r="F28" i="23"/>
  <c r="F27" i="23"/>
  <c r="F26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F11" i="23"/>
  <c r="F10" i="23"/>
  <c r="F9" i="23"/>
  <c r="F8" i="23"/>
  <c r="F7" i="23"/>
  <c r="BF376" i="1"/>
  <c r="J371" i="23" l="1"/>
  <c r="K371" i="23" s="1"/>
  <c r="CX371" i="1" s="1"/>
  <c r="J370" i="23"/>
  <c r="K370" i="23" s="1"/>
  <c r="CX370" i="1" s="1"/>
  <c r="J369" i="23"/>
  <c r="K369" i="23" s="1"/>
  <c r="CX369" i="1" s="1"/>
  <c r="J368" i="23"/>
  <c r="K368" i="23" s="1"/>
  <c r="CX368" i="1" s="1"/>
  <c r="J367" i="23"/>
  <c r="K367" i="23" s="1"/>
  <c r="CX367" i="1" s="1"/>
  <c r="J366" i="23"/>
  <c r="K366" i="23" s="1"/>
  <c r="CX366" i="1" s="1"/>
  <c r="J365" i="23"/>
  <c r="K365" i="23" s="1"/>
  <c r="CX365" i="1" s="1"/>
  <c r="J364" i="23"/>
  <c r="K364" i="23" s="1"/>
  <c r="CX364" i="1" s="1"/>
  <c r="J363" i="23"/>
  <c r="K363" i="23" s="1"/>
  <c r="CX363" i="1" s="1"/>
  <c r="J362" i="23"/>
  <c r="K362" i="23" s="1"/>
  <c r="CX362" i="1" s="1"/>
  <c r="J361" i="23"/>
  <c r="K361" i="23" s="1"/>
  <c r="CX361" i="1" s="1"/>
  <c r="J360" i="23"/>
  <c r="K360" i="23" s="1"/>
  <c r="CX360" i="1" s="1"/>
  <c r="J359" i="23"/>
  <c r="K359" i="23" s="1"/>
  <c r="CX359" i="1" s="1"/>
  <c r="J358" i="23"/>
  <c r="K358" i="23" s="1"/>
  <c r="CX358" i="1" s="1"/>
  <c r="J357" i="23"/>
  <c r="K357" i="23" s="1"/>
  <c r="CX357" i="1" s="1"/>
  <c r="J356" i="23"/>
  <c r="K356" i="23" s="1"/>
  <c r="CX356" i="1" s="1"/>
  <c r="J355" i="23"/>
  <c r="K355" i="23" s="1"/>
  <c r="CX355" i="1" s="1"/>
  <c r="J354" i="23"/>
  <c r="K354" i="23" s="1"/>
  <c r="CX354" i="1" s="1"/>
  <c r="J353" i="23"/>
  <c r="K353" i="23" s="1"/>
  <c r="CX353" i="1" s="1"/>
  <c r="J352" i="23"/>
  <c r="K352" i="23" s="1"/>
  <c r="CX352" i="1" s="1"/>
  <c r="J351" i="23"/>
  <c r="K351" i="23" s="1"/>
  <c r="CX351" i="1" s="1"/>
  <c r="J350" i="23"/>
  <c r="K350" i="23" s="1"/>
  <c r="CX350" i="1" s="1"/>
  <c r="J349" i="23"/>
  <c r="K349" i="23" s="1"/>
  <c r="CX349" i="1" s="1"/>
  <c r="J348" i="23"/>
  <c r="K348" i="23" s="1"/>
  <c r="CX348" i="1" s="1"/>
  <c r="J347" i="23"/>
  <c r="K347" i="23" s="1"/>
  <c r="CX347" i="1" s="1"/>
  <c r="J346" i="23"/>
  <c r="K346" i="23" s="1"/>
  <c r="CX346" i="1" s="1"/>
  <c r="J345" i="23"/>
  <c r="K345" i="23" s="1"/>
  <c r="CX345" i="1" s="1"/>
  <c r="J344" i="23"/>
  <c r="K344" i="23" s="1"/>
  <c r="CX344" i="1" s="1"/>
  <c r="J343" i="23"/>
  <c r="K343" i="23" s="1"/>
  <c r="CX343" i="1" s="1"/>
  <c r="J342" i="23"/>
  <c r="K342" i="23" s="1"/>
  <c r="CX342" i="1" s="1"/>
  <c r="J341" i="23"/>
  <c r="K341" i="23" s="1"/>
  <c r="CX341" i="1" s="1"/>
  <c r="J340" i="23"/>
  <c r="K340" i="23" s="1"/>
  <c r="CX340" i="1" s="1"/>
  <c r="J339" i="23"/>
  <c r="K339" i="23" s="1"/>
  <c r="CX339" i="1" s="1"/>
  <c r="J338" i="23"/>
  <c r="K338" i="23" s="1"/>
  <c r="CX338" i="1" s="1"/>
  <c r="J337" i="23"/>
  <c r="K337" i="23" s="1"/>
  <c r="CX337" i="1" s="1"/>
  <c r="J336" i="23"/>
  <c r="K336" i="23" s="1"/>
  <c r="CX336" i="1" s="1"/>
  <c r="J335" i="23"/>
  <c r="K335" i="23" s="1"/>
  <c r="CX335" i="1" s="1"/>
  <c r="J334" i="23"/>
  <c r="K334" i="23" s="1"/>
  <c r="CX334" i="1" s="1"/>
  <c r="J333" i="23"/>
  <c r="K333" i="23" s="1"/>
  <c r="CX333" i="1" s="1"/>
  <c r="J332" i="23"/>
  <c r="K332" i="23" s="1"/>
  <c r="CX332" i="1" s="1"/>
  <c r="J331" i="23"/>
  <c r="K331" i="23" s="1"/>
  <c r="CX331" i="1" s="1"/>
  <c r="J330" i="23"/>
  <c r="K330" i="23" s="1"/>
  <c r="CX330" i="1" s="1"/>
  <c r="J329" i="23"/>
  <c r="K329" i="23" s="1"/>
  <c r="CX329" i="1" s="1"/>
  <c r="J328" i="23"/>
  <c r="K328" i="23" s="1"/>
  <c r="CX328" i="1" s="1"/>
  <c r="J327" i="23"/>
  <c r="K327" i="23" s="1"/>
  <c r="CX327" i="1" s="1"/>
  <c r="J326" i="23"/>
  <c r="K326" i="23" s="1"/>
  <c r="CX326" i="1" s="1"/>
  <c r="J325" i="23"/>
  <c r="K325" i="23" s="1"/>
  <c r="CX325" i="1" s="1"/>
  <c r="J324" i="23"/>
  <c r="K324" i="23" s="1"/>
  <c r="CX324" i="1" s="1"/>
  <c r="J323" i="23"/>
  <c r="K323" i="23" s="1"/>
  <c r="CX323" i="1" s="1"/>
  <c r="J322" i="23"/>
  <c r="K322" i="23" s="1"/>
  <c r="J321" i="23"/>
  <c r="K321" i="23" s="1"/>
  <c r="J320" i="23"/>
  <c r="K320" i="23" s="1"/>
  <c r="CX320" i="1" s="1"/>
  <c r="J319" i="23"/>
  <c r="K319" i="23" s="1"/>
  <c r="CX319" i="1" s="1"/>
  <c r="J318" i="23"/>
  <c r="K318" i="23" s="1"/>
  <c r="CX318" i="1" s="1"/>
  <c r="J317" i="23"/>
  <c r="J316" i="23"/>
  <c r="J315" i="23"/>
  <c r="J314" i="23"/>
  <c r="J313" i="23"/>
  <c r="J312" i="23"/>
  <c r="J311" i="23"/>
  <c r="J310" i="23"/>
  <c r="J309" i="23"/>
  <c r="J308" i="23"/>
  <c r="J307" i="23"/>
  <c r="J306" i="23"/>
  <c r="J305" i="23"/>
  <c r="J304" i="23"/>
  <c r="J303" i="23"/>
  <c r="J302" i="23"/>
  <c r="J301" i="23"/>
  <c r="J300" i="23"/>
  <c r="J299" i="23"/>
  <c r="J298" i="23"/>
  <c r="J297" i="23"/>
  <c r="J296" i="23"/>
  <c r="J295" i="23"/>
  <c r="J294" i="23"/>
  <c r="J293" i="23"/>
  <c r="J292" i="23"/>
  <c r="J291" i="23"/>
  <c r="J290" i="23"/>
  <c r="J289" i="23"/>
  <c r="J288" i="23"/>
  <c r="J287" i="23"/>
  <c r="J286" i="23"/>
  <c r="J285" i="23"/>
  <c r="J284" i="23"/>
  <c r="J283" i="23"/>
  <c r="J282" i="23"/>
  <c r="J281" i="23"/>
  <c r="J280" i="23"/>
  <c r="J279" i="23"/>
  <c r="J278" i="23"/>
  <c r="J277" i="23"/>
  <c r="J276" i="23"/>
  <c r="J275" i="23"/>
  <c r="J274" i="23"/>
  <c r="J273" i="23"/>
  <c r="J272" i="23"/>
  <c r="J271" i="23"/>
  <c r="J270" i="23"/>
  <c r="J269" i="23"/>
  <c r="J268" i="23"/>
  <c r="J267" i="23"/>
  <c r="J266" i="23"/>
  <c r="J265" i="23"/>
  <c r="J264" i="23"/>
  <c r="J263" i="23"/>
  <c r="J262" i="23"/>
  <c r="J261" i="23"/>
  <c r="J260" i="23"/>
  <c r="J259" i="23"/>
  <c r="J258" i="23"/>
  <c r="J257" i="23"/>
  <c r="J256" i="23"/>
  <c r="J255" i="23"/>
  <c r="J254" i="23"/>
  <c r="J253" i="23"/>
  <c r="J252" i="23"/>
  <c r="J251" i="23"/>
  <c r="J250" i="23"/>
  <c r="J249" i="23"/>
  <c r="J248" i="23"/>
  <c r="J247" i="23"/>
  <c r="J246" i="23"/>
  <c r="J245" i="23"/>
  <c r="J244" i="23"/>
  <c r="J243" i="23"/>
  <c r="J242" i="23"/>
  <c r="J241" i="23"/>
  <c r="J240" i="23"/>
  <c r="J239" i="23"/>
  <c r="J238" i="23"/>
  <c r="J237" i="23"/>
  <c r="J236" i="23"/>
  <c r="J235" i="23"/>
  <c r="J234" i="23"/>
  <c r="J233" i="23"/>
  <c r="J232" i="23"/>
  <c r="J231" i="23"/>
  <c r="J230" i="23"/>
  <c r="J229" i="23"/>
  <c r="J228" i="23"/>
  <c r="J227" i="23"/>
  <c r="J226" i="23"/>
  <c r="J225" i="23"/>
  <c r="J224" i="23"/>
  <c r="J223" i="23"/>
  <c r="J222" i="23"/>
  <c r="J221" i="23"/>
  <c r="J220" i="23"/>
  <c r="J219" i="23"/>
  <c r="J218" i="23"/>
  <c r="J217" i="23"/>
  <c r="J216" i="23"/>
  <c r="J215" i="23"/>
  <c r="J214" i="23"/>
  <c r="J213" i="23"/>
  <c r="J212" i="23"/>
  <c r="J211" i="23"/>
  <c r="J210" i="23"/>
  <c r="J209" i="23"/>
  <c r="J208" i="23"/>
  <c r="J207" i="23"/>
  <c r="J206" i="23"/>
  <c r="J205" i="23"/>
  <c r="J204" i="23"/>
  <c r="J203" i="23"/>
  <c r="J202" i="23"/>
  <c r="J201" i="23"/>
  <c r="J200" i="23"/>
  <c r="J199" i="23"/>
  <c r="J198" i="23"/>
  <c r="J197" i="23"/>
  <c r="J196" i="23"/>
  <c r="J195" i="23"/>
  <c r="J194" i="23"/>
  <c r="J193" i="23"/>
  <c r="J192" i="23"/>
  <c r="J191" i="23"/>
  <c r="J190" i="23"/>
  <c r="J189" i="23"/>
  <c r="J188" i="23"/>
  <c r="J187" i="23"/>
  <c r="J186" i="23"/>
  <c r="J185" i="23"/>
  <c r="J184" i="23"/>
  <c r="J183" i="23"/>
  <c r="J182" i="23"/>
  <c r="J181" i="23"/>
  <c r="J180" i="23"/>
  <c r="J179" i="23"/>
  <c r="J178" i="23"/>
  <c r="J177" i="23"/>
  <c r="J176" i="23"/>
  <c r="J175" i="23"/>
  <c r="J174" i="23"/>
  <c r="J173" i="23"/>
  <c r="J172" i="23"/>
  <c r="J171" i="23"/>
  <c r="J170" i="23"/>
  <c r="J169" i="23"/>
  <c r="J168" i="23"/>
  <c r="J167" i="23"/>
  <c r="J166" i="23"/>
  <c r="J165" i="23"/>
  <c r="J164" i="23"/>
  <c r="J163" i="23"/>
  <c r="J162" i="23"/>
  <c r="J161" i="23"/>
  <c r="J160" i="23"/>
  <c r="J159" i="23"/>
  <c r="J158" i="23"/>
  <c r="J157" i="23"/>
  <c r="J156" i="23"/>
  <c r="J155" i="23"/>
  <c r="J154" i="23"/>
  <c r="J153" i="23"/>
  <c r="J152" i="23"/>
  <c r="J151" i="23"/>
  <c r="J150" i="23"/>
  <c r="J149" i="23"/>
  <c r="J148" i="23"/>
  <c r="J147" i="23"/>
  <c r="J146" i="23"/>
  <c r="J145" i="23"/>
  <c r="J144" i="23"/>
  <c r="J143" i="23"/>
  <c r="J142" i="23"/>
  <c r="J141" i="23"/>
  <c r="J140" i="23"/>
  <c r="J139" i="23"/>
  <c r="J138" i="23"/>
  <c r="K138" i="23" s="1"/>
  <c r="CX138" i="1" s="1"/>
  <c r="J137" i="23"/>
  <c r="K137" i="23" s="1"/>
  <c r="CX137" i="1" s="1"/>
  <c r="J136" i="23"/>
  <c r="K136" i="23" s="1"/>
  <c r="CX136" i="1" s="1"/>
  <c r="J135" i="23"/>
  <c r="J134" i="23"/>
  <c r="J133" i="23"/>
  <c r="J132" i="23"/>
  <c r="J131" i="23"/>
  <c r="J130" i="23"/>
  <c r="J129" i="23"/>
  <c r="J128" i="23"/>
  <c r="J127" i="23"/>
  <c r="J126" i="23"/>
  <c r="J125" i="23"/>
  <c r="J124" i="23"/>
  <c r="J123" i="23"/>
  <c r="J122" i="23"/>
  <c r="J121" i="23"/>
  <c r="J120" i="23"/>
  <c r="J119" i="23"/>
  <c r="J118" i="23"/>
  <c r="J117" i="23"/>
  <c r="J116" i="23"/>
  <c r="J115" i="23"/>
  <c r="J114" i="23"/>
  <c r="J113" i="23"/>
  <c r="J112" i="23"/>
  <c r="J111" i="23"/>
  <c r="J110" i="23"/>
  <c r="J109" i="23"/>
  <c r="J108" i="23"/>
  <c r="J107" i="23"/>
  <c r="J106" i="23"/>
  <c r="J105" i="23"/>
  <c r="J104" i="23"/>
  <c r="J103" i="23"/>
  <c r="J102" i="23"/>
  <c r="J101" i="23"/>
  <c r="J100" i="23"/>
  <c r="J99" i="23"/>
  <c r="J98" i="23"/>
  <c r="J97" i="23"/>
  <c r="J96" i="23"/>
  <c r="J95" i="23"/>
  <c r="J94" i="23"/>
  <c r="J93" i="23"/>
  <c r="J92" i="23"/>
  <c r="J91" i="23"/>
  <c r="J90" i="23"/>
  <c r="J89" i="23"/>
  <c r="J88" i="23"/>
  <c r="J87" i="23"/>
  <c r="J86" i="23"/>
  <c r="J85" i="23"/>
  <c r="J84" i="23"/>
  <c r="J83" i="23"/>
  <c r="J82" i="23"/>
  <c r="J81" i="23"/>
  <c r="J80" i="23"/>
  <c r="J79" i="23"/>
  <c r="J78" i="23"/>
  <c r="J77" i="23"/>
  <c r="J76" i="23"/>
  <c r="J75" i="23"/>
  <c r="J74" i="23"/>
  <c r="J73" i="23"/>
  <c r="J72" i="23"/>
  <c r="J71" i="23"/>
  <c r="J70" i="23"/>
  <c r="J69" i="23"/>
  <c r="J68" i="23"/>
  <c r="J67" i="23"/>
  <c r="J66" i="23"/>
  <c r="J65" i="23"/>
  <c r="J64" i="23"/>
  <c r="J63" i="23"/>
  <c r="J62" i="23"/>
  <c r="J61" i="23"/>
  <c r="J60" i="23"/>
  <c r="J59" i="23"/>
  <c r="J58" i="23"/>
  <c r="J57" i="23"/>
  <c r="J56" i="23"/>
  <c r="J55" i="23"/>
  <c r="J54" i="23"/>
  <c r="J53" i="23"/>
  <c r="J52" i="23"/>
  <c r="J51" i="23"/>
  <c r="J50" i="23"/>
  <c r="J49" i="23"/>
  <c r="J48" i="23"/>
  <c r="J47" i="23"/>
  <c r="J46" i="23"/>
  <c r="J45" i="23"/>
  <c r="J44" i="23"/>
  <c r="J43" i="23"/>
  <c r="J42" i="23"/>
  <c r="J41" i="23"/>
  <c r="J40" i="23"/>
  <c r="J39" i="23"/>
  <c r="J38" i="23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M7" i="23" s="1"/>
  <c r="G371" i="23"/>
  <c r="G370" i="23"/>
  <c r="G369" i="23"/>
  <c r="G368" i="23"/>
  <c r="G367" i="23"/>
  <c r="G366" i="23"/>
  <c r="G365" i="23"/>
  <c r="G364" i="23"/>
  <c r="G363" i="23"/>
  <c r="G362" i="23"/>
  <c r="G361" i="23"/>
  <c r="G360" i="23"/>
  <c r="G359" i="23"/>
  <c r="G358" i="23"/>
  <c r="G357" i="23"/>
  <c r="G356" i="23"/>
  <c r="G355" i="23"/>
  <c r="G354" i="23"/>
  <c r="G353" i="23"/>
  <c r="G352" i="23"/>
  <c r="G351" i="23"/>
  <c r="G350" i="23"/>
  <c r="G349" i="23"/>
  <c r="G348" i="23"/>
  <c r="G347" i="23"/>
  <c r="G346" i="23"/>
  <c r="G345" i="23"/>
  <c r="G344" i="23"/>
  <c r="G343" i="23"/>
  <c r="G342" i="23"/>
  <c r="G341" i="23"/>
  <c r="G340" i="23"/>
  <c r="G339" i="23"/>
  <c r="G338" i="23"/>
  <c r="G337" i="23"/>
  <c r="G336" i="23"/>
  <c r="G335" i="23"/>
  <c r="G334" i="23"/>
  <c r="G333" i="23"/>
  <c r="G332" i="23"/>
  <c r="G331" i="23"/>
  <c r="G330" i="23"/>
  <c r="G329" i="23"/>
  <c r="G328" i="23"/>
  <c r="G327" i="23"/>
  <c r="G326" i="23"/>
  <c r="G325" i="23"/>
  <c r="G324" i="23"/>
  <c r="G323" i="23"/>
  <c r="G322" i="23"/>
  <c r="G321" i="23"/>
  <c r="G320" i="23"/>
  <c r="G319" i="23"/>
  <c r="G318" i="23"/>
  <c r="G317" i="23"/>
  <c r="G316" i="23"/>
  <c r="G315" i="23"/>
  <c r="G314" i="23"/>
  <c r="G313" i="23"/>
  <c r="G312" i="23"/>
  <c r="G311" i="23"/>
  <c r="G310" i="23"/>
  <c r="G309" i="23"/>
  <c r="G308" i="23"/>
  <c r="H307" i="23"/>
  <c r="R307" i="23" s="1"/>
  <c r="G307" i="23"/>
  <c r="K307" i="23" s="1"/>
  <c r="CX307" i="1" s="1"/>
  <c r="H306" i="23"/>
  <c r="G306" i="23"/>
  <c r="K306" i="23" s="1"/>
  <c r="CX306" i="1" s="1"/>
  <c r="H305" i="23"/>
  <c r="G305" i="23"/>
  <c r="K305" i="23" s="1"/>
  <c r="CX305" i="1" s="1"/>
  <c r="H304" i="23"/>
  <c r="G304" i="23"/>
  <c r="K304" i="23" s="1"/>
  <c r="CX304" i="1" s="1"/>
  <c r="H303" i="23"/>
  <c r="G303" i="23"/>
  <c r="K303" i="23" s="1"/>
  <c r="CX303" i="1" s="1"/>
  <c r="H302" i="23"/>
  <c r="G302" i="23"/>
  <c r="K302" i="23" s="1"/>
  <c r="CX302" i="1" s="1"/>
  <c r="H301" i="23"/>
  <c r="G301" i="23"/>
  <c r="K301" i="23" s="1"/>
  <c r="CX301" i="1" s="1"/>
  <c r="H300" i="23"/>
  <c r="G300" i="23"/>
  <c r="K300" i="23" s="1"/>
  <c r="CX300" i="1" s="1"/>
  <c r="H299" i="23"/>
  <c r="G299" i="23"/>
  <c r="K299" i="23" s="1"/>
  <c r="CX299" i="1" s="1"/>
  <c r="H298" i="23"/>
  <c r="G298" i="23"/>
  <c r="K298" i="23" s="1"/>
  <c r="CX298" i="1" s="1"/>
  <c r="H297" i="23"/>
  <c r="G297" i="23"/>
  <c r="K297" i="23" s="1"/>
  <c r="CX297" i="1" s="1"/>
  <c r="H296" i="23"/>
  <c r="G296" i="23"/>
  <c r="K296" i="23" s="1"/>
  <c r="CX296" i="1" s="1"/>
  <c r="H295" i="23"/>
  <c r="G295" i="23"/>
  <c r="K295" i="23" s="1"/>
  <c r="CX295" i="1" s="1"/>
  <c r="H294" i="23"/>
  <c r="G294" i="23"/>
  <c r="K294" i="23" s="1"/>
  <c r="CX294" i="1" s="1"/>
  <c r="H293" i="23"/>
  <c r="G293" i="23"/>
  <c r="K293" i="23" s="1"/>
  <c r="CX293" i="1" s="1"/>
  <c r="H292" i="23"/>
  <c r="G292" i="23"/>
  <c r="K292" i="23" s="1"/>
  <c r="CX292" i="1" s="1"/>
  <c r="H291" i="23"/>
  <c r="G291" i="23"/>
  <c r="K291" i="23" s="1"/>
  <c r="CX291" i="1" s="1"/>
  <c r="H290" i="23"/>
  <c r="G290" i="23"/>
  <c r="K290" i="23" s="1"/>
  <c r="CX290" i="1" s="1"/>
  <c r="H289" i="23"/>
  <c r="G289" i="23"/>
  <c r="K289" i="23" s="1"/>
  <c r="CX289" i="1" s="1"/>
  <c r="H288" i="23"/>
  <c r="G288" i="23"/>
  <c r="K288" i="23" s="1"/>
  <c r="CX288" i="1" s="1"/>
  <c r="H287" i="23"/>
  <c r="G287" i="23"/>
  <c r="K287" i="23" s="1"/>
  <c r="CX287" i="1" s="1"/>
  <c r="H286" i="23"/>
  <c r="G286" i="23"/>
  <c r="K286" i="23" s="1"/>
  <c r="CX286" i="1" s="1"/>
  <c r="H285" i="23"/>
  <c r="G285" i="23"/>
  <c r="K285" i="23" s="1"/>
  <c r="CX285" i="1" s="1"/>
  <c r="H284" i="23"/>
  <c r="G284" i="23"/>
  <c r="K284" i="23" s="1"/>
  <c r="CX284" i="1" s="1"/>
  <c r="H283" i="23"/>
  <c r="G283" i="23"/>
  <c r="K283" i="23" s="1"/>
  <c r="CX283" i="1" s="1"/>
  <c r="H282" i="23"/>
  <c r="G282" i="23"/>
  <c r="K282" i="23" s="1"/>
  <c r="CX282" i="1" s="1"/>
  <c r="H281" i="23"/>
  <c r="G281" i="23"/>
  <c r="K281" i="23" s="1"/>
  <c r="CX281" i="1" s="1"/>
  <c r="H280" i="23"/>
  <c r="G280" i="23"/>
  <c r="K280" i="23" s="1"/>
  <c r="CX280" i="1" s="1"/>
  <c r="H279" i="23"/>
  <c r="G279" i="23"/>
  <c r="K279" i="23" s="1"/>
  <c r="CX279" i="1" s="1"/>
  <c r="H278" i="23"/>
  <c r="G278" i="23"/>
  <c r="K278" i="23" s="1"/>
  <c r="CX278" i="1" s="1"/>
  <c r="H277" i="23"/>
  <c r="G277" i="23"/>
  <c r="K277" i="23" s="1"/>
  <c r="CX277" i="1" s="1"/>
  <c r="H276" i="23"/>
  <c r="G276" i="23"/>
  <c r="K276" i="23" s="1"/>
  <c r="CX276" i="1" s="1"/>
  <c r="H275" i="23"/>
  <c r="G275" i="23"/>
  <c r="K275" i="23" s="1"/>
  <c r="CX275" i="1" s="1"/>
  <c r="H274" i="23"/>
  <c r="G274" i="23"/>
  <c r="K274" i="23" s="1"/>
  <c r="CX274" i="1" s="1"/>
  <c r="H273" i="23"/>
  <c r="G273" i="23"/>
  <c r="K273" i="23" s="1"/>
  <c r="CX273" i="1" s="1"/>
  <c r="H272" i="23"/>
  <c r="G272" i="23"/>
  <c r="K272" i="23" s="1"/>
  <c r="CX272" i="1" s="1"/>
  <c r="H271" i="23"/>
  <c r="G271" i="23"/>
  <c r="K271" i="23" s="1"/>
  <c r="CX271" i="1" s="1"/>
  <c r="H270" i="23"/>
  <c r="G270" i="23"/>
  <c r="K270" i="23" s="1"/>
  <c r="CX270" i="1" s="1"/>
  <c r="H269" i="23"/>
  <c r="G269" i="23"/>
  <c r="K269" i="23" s="1"/>
  <c r="CX269" i="1" s="1"/>
  <c r="H268" i="23"/>
  <c r="G268" i="23"/>
  <c r="K268" i="23" s="1"/>
  <c r="CX268" i="1" s="1"/>
  <c r="H267" i="23"/>
  <c r="G267" i="23"/>
  <c r="K267" i="23" s="1"/>
  <c r="CX267" i="1" s="1"/>
  <c r="C267" i="23"/>
  <c r="H266" i="23"/>
  <c r="G266" i="23"/>
  <c r="K266" i="23" s="1"/>
  <c r="CX266" i="1" s="1"/>
  <c r="C266" i="23"/>
  <c r="H265" i="23"/>
  <c r="G265" i="23"/>
  <c r="K265" i="23" s="1"/>
  <c r="CX265" i="1" s="1"/>
  <c r="C265" i="23"/>
  <c r="H264" i="23"/>
  <c r="G264" i="23"/>
  <c r="K264" i="23" s="1"/>
  <c r="CX264" i="1" s="1"/>
  <c r="C264" i="23"/>
  <c r="H263" i="23"/>
  <c r="G263" i="23"/>
  <c r="K263" i="23" s="1"/>
  <c r="CX263" i="1" s="1"/>
  <c r="C263" i="23"/>
  <c r="H262" i="23"/>
  <c r="G262" i="23"/>
  <c r="K262" i="23" s="1"/>
  <c r="CX262" i="1" s="1"/>
  <c r="C262" i="23"/>
  <c r="H261" i="23"/>
  <c r="G261" i="23"/>
  <c r="K261" i="23" s="1"/>
  <c r="CX261" i="1" s="1"/>
  <c r="C261" i="23"/>
  <c r="H260" i="23"/>
  <c r="G260" i="23"/>
  <c r="K260" i="23" s="1"/>
  <c r="CX260" i="1" s="1"/>
  <c r="C260" i="23"/>
  <c r="H259" i="23"/>
  <c r="G259" i="23"/>
  <c r="K259" i="23" s="1"/>
  <c r="CX259" i="1" s="1"/>
  <c r="C259" i="23"/>
  <c r="H258" i="23"/>
  <c r="G258" i="23"/>
  <c r="K258" i="23" s="1"/>
  <c r="CX258" i="1" s="1"/>
  <c r="C258" i="23"/>
  <c r="H257" i="23"/>
  <c r="G257" i="23"/>
  <c r="K257" i="23" s="1"/>
  <c r="CX257" i="1" s="1"/>
  <c r="C257" i="23"/>
  <c r="H256" i="23"/>
  <c r="G256" i="23"/>
  <c r="K256" i="23" s="1"/>
  <c r="CX256" i="1" s="1"/>
  <c r="C256" i="23"/>
  <c r="H255" i="23"/>
  <c r="G255" i="23"/>
  <c r="K255" i="23" s="1"/>
  <c r="CX255" i="1" s="1"/>
  <c r="C255" i="23"/>
  <c r="H254" i="23"/>
  <c r="G254" i="23"/>
  <c r="K254" i="23" s="1"/>
  <c r="CX254" i="1" s="1"/>
  <c r="C254" i="23"/>
  <c r="H253" i="23"/>
  <c r="G253" i="23"/>
  <c r="K253" i="23" s="1"/>
  <c r="CX253" i="1" s="1"/>
  <c r="C253" i="23"/>
  <c r="H252" i="23"/>
  <c r="G252" i="23"/>
  <c r="K252" i="23" s="1"/>
  <c r="CX252" i="1" s="1"/>
  <c r="C252" i="23"/>
  <c r="H251" i="23"/>
  <c r="G251" i="23"/>
  <c r="K251" i="23" s="1"/>
  <c r="CX251" i="1" s="1"/>
  <c r="C251" i="23"/>
  <c r="H250" i="23"/>
  <c r="G250" i="23"/>
  <c r="K250" i="23" s="1"/>
  <c r="CX250" i="1" s="1"/>
  <c r="C250" i="23"/>
  <c r="H249" i="23"/>
  <c r="G249" i="23"/>
  <c r="K249" i="23" s="1"/>
  <c r="CX249" i="1" s="1"/>
  <c r="C249" i="23"/>
  <c r="H248" i="23"/>
  <c r="G248" i="23"/>
  <c r="K248" i="23" s="1"/>
  <c r="CX248" i="1" s="1"/>
  <c r="C248" i="23"/>
  <c r="H247" i="23"/>
  <c r="G247" i="23"/>
  <c r="K247" i="23" s="1"/>
  <c r="CX247" i="1" s="1"/>
  <c r="C247" i="23"/>
  <c r="H246" i="23"/>
  <c r="G246" i="23"/>
  <c r="K246" i="23" s="1"/>
  <c r="CX246" i="1" s="1"/>
  <c r="C246" i="23"/>
  <c r="H245" i="23"/>
  <c r="G245" i="23"/>
  <c r="K245" i="23" s="1"/>
  <c r="CX245" i="1" s="1"/>
  <c r="C245" i="23"/>
  <c r="H244" i="23"/>
  <c r="G244" i="23"/>
  <c r="K244" i="23" s="1"/>
  <c r="CX244" i="1" s="1"/>
  <c r="C244" i="23"/>
  <c r="H243" i="23"/>
  <c r="G243" i="23"/>
  <c r="K243" i="23" s="1"/>
  <c r="CX243" i="1" s="1"/>
  <c r="C243" i="23"/>
  <c r="H242" i="23"/>
  <c r="G242" i="23"/>
  <c r="K242" i="23" s="1"/>
  <c r="CX242" i="1" s="1"/>
  <c r="C242" i="23"/>
  <c r="H241" i="23"/>
  <c r="G241" i="23"/>
  <c r="K241" i="23" s="1"/>
  <c r="CX241" i="1" s="1"/>
  <c r="C241" i="23"/>
  <c r="H240" i="23"/>
  <c r="G240" i="23"/>
  <c r="K240" i="23" s="1"/>
  <c r="CX240" i="1" s="1"/>
  <c r="C240" i="23"/>
  <c r="H239" i="23"/>
  <c r="G239" i="23"/>
  <c r="K239" i="23" s="1"/>
  <c r="CX239" i="1" s="1"/>
  <c r="C239" i="23"/>
  <c r="H238" i="23"/>
  <c r="G238" i="23"/>
  <c r="K238" i="23" s="1"/>
  <c r="CX238" i="1" s="1"/>
  <c r="C238" i="23"/>
  <c r="H237" i="23"/>
  <c r="G237" i="23"/>
  <c r="K237" i="23" s="1"/>
  <c r="CX237" i="1" s="1"/>
  <c r="C237" i="23"/>
  <c r="H236" i="23"/>
  <c r="G236" i="23"/>
  <c r="K236" i="23" s="1"/>
  <c r="CX236" i="1" s="1"/>
  <c r="C236" i="23"/>
  <c r="H235" i="23"/>
  <c r="G235" i="23"/>
  <c r="K235" i="23" s="1"/>
  <c r="CX235" i="1" s="1"/>
  <c r="C235" i="23"/>
  <c r="H234" i="23"/>
  <c r="G234" i="23"/>
  <c r="K234" i="23" s="1"/>
  <c r="CX234" i="1" s="1"/>
  <c r="C234" i="23"/>
  <c r="H233" i="23"/>
  <c r="G233" i="23"/>
  <c r="K233" i="23" s="1"/>
  <c r="CX233" i="1" s="1"/>
  <c r="C233" i="23"/>
  <c r="H232" i="23"/>
  <c r="G232" i="23"/>
  <c r="K232" i="23" s="1"/>
  <c r="CX232" i="1" s="1"/>
  <c r="C232" i="23"/>
  <c r="H231" i="23"/>
  <c r="G231" i="23"/>
  <c r="K231" i="23" s="1"/>
  <c r="CX231" i="1" s="1"/>
  <c r="C231" i="23"/>
  <c r="H230" i="23"/>
  <c r="G230" i="23"/>
  <c r="K230" i="23" s="1"/>
  <c r="CX230" i="1" s="1"/>
  <c r="C230" i="23"/>
  <c r="H229" i="23"/>
  <c r="G229" i="23"/>
  <c r="K229" i="23" s="1"/>
  <c r="CX229" i="1" s="1"/>
  <c r="C229" i="23"/>
  <c r="H228" i="23"/>
  <c r="G228" i="23"/>
  <c r="K228" i="23" s="1"/>
  <c r="CX228" i="1" s="1"/>
  <c r="C228" i="23"/>
  <c r="H227" i="23"/>
  <c r="G227" i="23"/>
  <c r="K227" i="23" s="1"/>
  <c r="CX227" i="1" s="1"/>
  <c r="C227" i="23"/>
  <c r="H226" i="23"/>
  <c r="G226" i="23"/>
  <c r="K226" i="23" s="1"/>
  <c r="CX226" i="1" s="1"/>
  <c r="C226" i="23"/>
  <c r="H225" i="23"/>
  <c r="G225" i="23"/>
  <c r="K225" i="23" s="1"/>
  <c r="CX225" i="1" s="1"/>
  <c r="C225" i="23"/>
  <c r="H224" i="23"/>
  <c r="G224" i="23"/>
  <c r="K224" i="23" s="1"/>
  <c r="CX224" i="1" s="1"/>
  <c r="C224" i="23"/>
  <c r="H223" i="23"/>
  <c r="G223" i="23"/>
  <c r="K223" i="23" s="1"/>
  <c r="CX223" i="1" s="1"/>
  <c r="C223" i="23"/>
  <c r="H222" i="23"/>
  <c r="G222" i="23"/>
  <c r="K222" i="23" s="1"/>
  <c r="CX222" i="1" s="1"/>
  <c r="C222" i="23"/>
  <c r="H221" i="23"/>
  <c r="G221" i="23"/>
  <c r="K221" i="23" s="1"/>
  <c r="CX221" i="1" s="1"/>
  <c r="C221" i="23"/>
  <c r="H220" i="23"/>
  <c r="G220" i="23"/>
  <c r="K220" i="23" s="1"/>
  <c r="CX220" i="1" s="1"/>
  <c r="C220" i="23"/>
  <c r="H219" i="23"/>
  <c r="G219" i="23"/>
  <c r="K219" i="23" s="1"/>
  <c r="CX219" i="1" s="1"/>
  <c r="C219" i="23"/>
  <c r="H218" i="23"/>
  <c r="G218" i="23"/>
  <c r="K218" i="23" s="1"/>
  <c r="CX218" i="1" s="1"/>
  <c r="C218" i="23"/>
  <c r="H217" i="23"/>
  <c r="G217" i="23"/>
  <c r="K217" i="23" s="1"/>
  <c r="CX217" i="1" s="1"/>
  <c r="C217" i="23"/>
  <c r="H216" i="23"/>
  <c r="G216" i="23"/>
  <c r="K216" i="23" s="1"/>
  <c r="CX216" i="1" s="1"/>
  <c r="C216" i="23"/>
  <c r="H215" i="23"/>
  <c r="G215" i="23"/>
  <c r="K215" i="23" s="1"/>
  <c r="CX215" i="1" s="1"/>
  <c r="C215" i="23"/>
  <c r="H214" i="23"/>
  <c r="G214" i="23"/>
  <c r="K214" i="23" s="1"/>
  <c r="CX214" i="1" s="1"/>
  <c r="C214" i="23"/>
  <c r="H213" i="23"/>
  <c r="G213" i="23"/>
  <c r="K213" i="23" s="1"/>
  <c r="CX213" i="1" s="1"/>
  <c r="C213" i="23"/>
  <c r="H212" i="23"/>
  <c r="G212" i="23"/>
  <c r="K212" i="23" s="1"/>
  <c r="CX212" i="1" s="1"/>
  <c r="C212" i="23"/>
  <c r="H211" i="23"/>
  <c r="G211" i="23"/>
  <c r="K211" i="23" s="1"/>
  <c r="CX211" i="1" s="1"/>
  <c r="C211" i="23"/>
  <c r="H210" i="23"/>
  <c r="G210" i="23"/>
  <c r="K210" i="23" s="1"/>
  <c r="CX210" i="1" s="1"/>
  <c r="C210" i="23"/>
  <c r="H209" i="23"/>
  <c r="G209" i="23"/>
  <c r="K209" i="23" s="1"/>
  <c r="CX209" i="1" s="1"/>
  <c r="C209" i="23"/>
  <c r="H208" i="23"/>
  <c r="G208" i="23"/>
  <c r="K208" i="23" s="1"/>
  <c r="CX208" i="1" s="1"/>
  <c r="C208" i="23"/>
  <c r="H207" i="23"/>
  <c r="G207" i="23"/>
  <c r="K207" i="23" s="1"/>
  <c r="CX207" i="1" s="1"/>
  <c r="C207" i="23"/>
  <c r="H206" i="23"/>
  <c r="G206" i="23"/>
  <c r="K206" i="23" s="1"/>
  <c r="CX206" i="1" s="1"/>
  <c r="C206" i="23"/>
  <c r="H205" i="23"/>
  <c r="G205" i="23"/>
  <c r="K205" i="23" s="1"/>
  <c r="CX205" i="1" s="1"/>
  <c r="C205" i="23"/>
  <c r="H204" i="23"/>
  <c r="G204" i="23"/>
  <c r="K204" i="23" s="1"/>
  <c r="CX204" i="1" s="1"/>
  <c r="C204" i="23"/>
  <c r="H203" i="23"/>
  <c r="G203" i="23"/>
  <c r="K203" i="23" s="1"/>
  <c r="CX203" i="1" s="1"/>
  <c r="C203" i="23"/>
  <c r="H202" i="23"/>
  <c r="G202" i="23"/>
  <c r="K202" i="23" s="1"/>
  <c r="CX202" i="1" s="1"/>
  <c r="C202" i="23"/>
  <c r="H201" i="23"/>
  <c r="G201" i="23"/>
  <c r="K201" i="23" s="1"/>
  <c r="CX201" i="1" s="1"/>
  <c r="C201" i="23"/>
  <c r="H200" i="23"/>
  <c r="G200" i="23"/>
  <c r="K200" i="23" s="1"/>
  <c r="CX200" i="1" s="1"/>
  <c r="C200" i="23"/>
  <c r="H199" i="23"/>
  <c r="G199" i="23"/>
  <c r="K199" i="23" s="1"/>
  <c r="CX199" i="1" s="1"/>
  <c r="C199" i="23"/>
  <c r="H198" i="23"/>
  <c r="G198" i="23"/>
  <c r="K198" i="23" s="1"/>
  <c r="CX198" i="1" s="1"/>
  <c r="C198" i="23"/>
  <c r="H197" i="23"/>
  <c r="G197" i="23"/>
  <c r="K197" i="23" s="1"/>
  <c r="CX197" i="1" s="1"/>
  <c r="C197" i="23"/>
  <c r="H196" i="23"/>
  <c r="G196" i="23"/>
  <c r="K196" i="23" s="1"/>
  <c r="CX196" i="1" s="1"/>
  <c r="C196" i="23"/>
  <c r="H195" i="23"/>
  <c r="G195" i="23"/>
  <c r="K195" i="23" s="1"/>
  <c r="CX195" i="1" s="1"/>
  <c r="C195" i="23"/>
  <c r="H194" i="23"/>
  <c r="G194" i="23"/>
  <c r="K194" i="23" s="1"/>
  <c r="CX194" i="1" s="1"/>
  <c r="C194" i="23"/>
  <c r="H193" i="23"/>
  <c r="G193" i="23"/>
  <c r="K193" i="23" s="1"/>
  <c r="CX193" i="1" s="1"/>
  <c r="C193" i="23"/>
  <c r="H192" i="23"/>
  <c r="G192" i="23"/>
  <c r="K192" i="23" s="1"/>
  <c r="CX192" i="1" s="1"/>
  <c r="C192" i="23"/>
  <c r="H191" i="23"/>
  <c r="G191" i="23"/>
  <c r="K191" i="23" s="1"/>
  <c r="CX191" i="1" s="1"/>
  <c r="C191" i="23"/>
  <c r="H190" i="23"/>
  <c r="G190" i="23"/>
  <c r="K190" i="23" s="1"/>
  <c r="CX190" i="1" s="1"/>
  <c r="C190" i="23"/>
  <c r="H189" i="23"/>
  <c r="G189" i="23"/>
  <c r="K189" i="23" s="1"/>
  <c r="CX189" i="1" s="1"/>
  <c r="C189" i="23"/>
  <c r="H188" i="23"/>
  <c r="G188" i="23"/>
  <c r="K188" i="23" s="1"/>
  <c r="CX188" i="1" s="1"/>
  <c r="C188" i="23"/>
  <c r="H187" i="23"/>
  <c r="G187" i="23"/>
  <c r="K187" i="23" s="1"/>
  <c r="CX187" i="1" s="1"/>
  <c r="C187" i="23"/>
  <c r="H186" i="23"/>
  <c r="G186" i="23"/>
  <c r="K186" i="23" s="1"/>
  <c r="CX186" i="1" s="1"/>
  <c r="C186" i="23"/>
  <c r="H185" i="23"/>
  <c r="G185" i="23"/>
  <c r="K185" i="23" s="1"/>
  <c r="CX185" i="1" s="1"/>
  <c r="C185" i="23"/>
  <c r="H184" i="23"/>
  <c r="G184" i="23"/>
  <c r="K184" i="23" s="1"/>
  <c r="CX184" i="1" s="1"/>
  <c r="C184" i="23"/>
  <c r="H183" i="23"/>
  <c r="G183" i="23"/>
  <c r="K183" i="23" s="1"/>
  <c r="CX183" i="1" s="1"/>
  <c r="C183" i="23"/>
  <c r="H182" i="23"/>
  <c r="G182" i="23"/>
  <c r="K182" i="23" s="1"/>
  <c r="CX182" i="1" s="1"/>
  <c r="C182" i="23"/>
  <c r="H181" i="23"/>
  <c r="G181" i="23"/>
  <c r="K181" i="23" s="1"/>
  <c r="CX181" i="1" s="1"/>
  <c r="C181" i="23"/>
  <c r="H180" i="23"/>
  <c r="G180" i="23"/>
  <c r="K180" i="23" s="1"/>
  <c r="CX180" i="1" s="1"/>
  <c r="C180" i="23"/>
  <c r="H179" i="23"/>
  <c r="G179" i="23"/>
  <c r="K179" i="23" s="1"/>
  <c r="CX179" i="1" s="1"/>
  <c r="C179" i="23"/>
  <c r="H178" i="23"/>
  <c r="G178" i="23"/>
  <c r="K178" i="23" s="1"/>
  <c r="CX178" i="1" s="1"/>
  <c r="C178" i="23"/>
  <c r="H177" i="23"/>
  <c r="G177" i="23"/>
  <c r="K177" i="23" s="1"/>
  <c r="CX177" i="1" s="1"/>
  <c r="C177" i="23"/>
  <c r="H176" i="23"/>
  <c r="G176" i="23"/>
  <c r="K176" i="23" s="1"/>
  <c r="CX176" i="1" s="1"/>
  <c r="C176" i="23"/>
  <c r="H175" i="23"/>
  <c r="G175" i="23"/>
  <c r="K175" i="23" s="1"/>
  <c r="CX175" i="1" s="1"/>
  <c r="C175" i="23"/>
  <c r="H174" i="23"/>
  <c r="G174" i="23"/>
  <c r="K174" i="23" s="1"/>
  <c r="CX174" i="1" s="1"/>
  <c r="C174" i="23"/>
  <c r="H173" i="23"/>
  <c r="G173" i="23"/>
  <c r="K173" i="23" s="1"/>
  <c r="CX173" i="1" s="1"/>
  <c r="C173" i="23"/>
  <c r="H172" i="23"/>
  <c r="G172" i="23"/>
  <c r="K172" i="23" s="1"/>
  <c r="CX172" i="1" s="1"/>
  <c r="C172" i="23"/>
  <c r="H171" i="23"/>
  <c r="G171" i="23"/>
  <c r="K171" i="23" s="1"/>
  <c r="CX171" i="1" s="1"/>
  <c r="C171" i="23"/>
  <c r="H170" i="23"/>
  <c r="G170" i="23"/>
  <c r="K170" i="23" s="1"/>
  <c r="CX170" i="1" s="1"/>
  <c r="C170" i="23"/>
  <c r="H169" i="23"/>
  <c r="G169" i="23"/>
  <c r="K169" i="23" s="1"/>
  <c r="CX169" i="1" s="1"/>
  <c r="C169" i="23"/>
  <c r="H168" i="23"/>
  <c r="G168" i="23"/>
  <c r="K168" i="23" s="1"/>
  <c r="CX168" i="1" s="1"/>
  <c r="C168" i="23"/>
  <c r="H167" i="23"/>
  <c r="G167" i="23"/>
  <c r="K167" i="23" s="1"/>
  <c r="CX167" i="1" s="1"/>
  <c r="C167" i="23"/>
  <c r="H166" i="23"/>
  <c r="G166" i="23"/>
  <c r="K166" i="23" s="1"/>
  <c r="CX166" i="1" s="1"/>
  <c r="C166" i="23"/>
  <c r="H165" i="23"/>
  <c r="G165" i="23"/>
  <c r="K165" i="23" s="1"/>
  <c r="CX165" i="1" s="1"/>
  <c r="C165" i="23"/>
  <c r="H164" i="23"/>
  <c r="G164" i="23"/>
  <c r="K164" i="23" s="1"/>
  <c r="CX164" i="1" s="1"/>
  <c r="C164" i="23"/>
  <c r="H163" i="23"/>
  <c r="G163" i="23"/>
  <c r="K163" i="23" s="1"/>
  <c r="CX163" i="1" s="1"/>
  <c r="C163" i="23"/>
  <c r="H162" i="23"/>
  <c r="G162" i="23"/>
  <c r="K162" i="23" s="1"/>
  <c r="CX162" i="1" s="1"/>
  <c r="C162" i="23"/>
  <c r="H161" i="23"/>
  <c r="G161" i="23"/>
  <c r="K161" i="23" s="1"/>
  <c r="CX161" i="1" s="1"/>
  <c r="C161" i="23"/>
  <c r="H160" i="23"/>
  <c r="G160" i="23"/>
  <c r="K160" i="23" s="1"/>
  <c r="CX160" i="1" s="1"/>
  <c r="C160" i="23"/>
  <c r="H159" i="23"/>
  <c r="G159" i="23"/>
  <c r="K159" i="23" s="1"/>
  <c r="CX159" i="1" s="1"/>
  <c r="C159" i="23"/>
  <c r="H158" i="23"/>
  <c r="G158" i="23"/>
  <c r="K158" i="23" s="1"/>
  <c r="CX158" i="1" s="1"/>
  <c r="C158" i="23"/>
  <c r="G157" i="23"/>
  <c r="K157" i="23" s="1"/>
  <c r="CX157" i="1" s="1"/>
  <c r="G156" i="23"/>
  <c r="K156" i="23" s="1"/>
  <c r="CX156" i="1" s="1"/>
  <c r="G155" i="23"/>
  <c r="K155" i="23" s="1"/>
  <c r="CX155" i="1" s="1"/>
  <c r="G154" i="23"/>
  <c r="K154" i="23" s="1"/>
  <c r="CX154" i="1" s="1"/>
  <c r="G153" i="23"/>
  <c r="K153" i="23" s="1"/>
  <c r="CX153" i="1" s="1"/>
  <c r="C153" i="23"/>
  <c r="G152" i="23"/>
  <c r="K152" i="23" s="1"/>
  <c r="CX152" i="1" s="1"/>
  <c r="G151" i="23"/>
  <c r="K151" i="23" s="1"/>
  <c r="CX151" i="1" s="1"/>
  <c r="G150" i="23"/>
  <c r="K150" i="23" s="1"/>
  <c r="CX150" i="1" s="1"/>
  <c r="G149" i="23"/>
  <c r="K149" i="23" s="1"/>
  <c r="CX149" i="1" s="1"/>
  <c r="G148" i="23"/>
  <c r="K148" i="23" s="1"/>
  <c r="CX148" i="1" s="1"/>
  <c r="G147" i="23"/>
  <c r="K147" i="23" s="1"/>
  <c r="CX147" i="1" s="1"/>
  <c r="G146" i="23"/>
  <c r="K146" i="23" s="1"/>
  <c r="CX146" i="1" s="1"/>
  <c r="G145" i="23"/>
  <c r="K145" i="23" s="1"/>
  <c r="CX145" i="1" s="1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H110" i="23"/>
  <c r="G110" i="23"/>
  <c r="G109" i="23"/>
  <c r="G108" i="23"/>
  <c r="G107" i="23"/>
  <c r="G106" i="23"/>
  <c r="G105" i="23"/>
  <c r="G104" i="23"/>
  <c r="G103" i="23"/>
  <c r="H102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H66" i="23"/>
  <c r="G66" i="23"/>
  <c r="C66" i="23"/>
  <c r="H65" i="23"/>
  <c r="G65" i="23"/>
  <c r="C65" i="23"/>
  <c r="H64" i="23"/>
  <c r="G64" i="23"/>
  <c r="C64" i="23"/>
  <c r="H63" i="23"/>
  <c r="G63" i="23"/>
  <c r="C63" i="23"/>
  <c r="H62" i="23"/>
  <c r="G62" i="23"/>
  <c r="C62" i="23"/>
  <c r="H61" i="23"/>
  <c r="G61" i="23"/>
  <c r="C61" i="23"/>
  <c r="H60" i="23"/>
  <c r="G60" i="23"/>
  <c r="C60" i="23"/>
  <c r="H59" i="23"/>
  <c r="G59" i="23"/>
  <c r="C59" i="23"/>
  <c r="H58" i="23"/>
  <c r="G58" i="23"/>
  <c r="C58" i="23"/>
  <c r="H57" i="23"/>
  <c r="G57" i="23"/>
  <c r="C57" i="23"/>
  <c r="H56" i="23"/>
  <c r="G56" i="23"/>
  <c r="C56" i="23"/>
  <c r="H55" i="23"/>
  <c r="G55" i="23"/>
  <c r="C55" i="23"/>
  <c r="H54" i="23"/>
  <c r="G54" i="23"/>
  <c r="C54" i="23"/>
  <c r="H53" i="23"/>
  <c r="G53" i="23"/>
  <c r="C53" i="23"/>
  <c r="H52" i="23"/>
  <c r="G52" i="23"/>
  <c r="C52" i="23"/>
  <c r="H51" i="23"/>
  <c r="G51" i="23"/>
  <c r="C51" i="23"/>
  <c r="H50" i="23"/>
  <c r="G50" i="23"/>
  <c r="C50" i="23"/>
  <c r="H49" i="23"/>
  <c r="G49" i="23"/>
  <c r="C49" i="23"/>
  <c r="H48" i="23"/>
  <c r="G48" i="23"/>
  <c r="C48" i="23"/>
  <c r="H47" i="23"/>
  <c r="G47" i="23"/>
  <c r="C47" i="23"/>
  <c r="H46" i="23"/>
  <c r="G46" i="23"/>
  <c r="C46" i="23"/>
  <c r="H45" i="23"/>
  <c r="G45" i="23"/>
  <c r="C45" i="23"/>
  <c r="H44" i="23"/>
  <c r="G44" i="23"/>
  <c r="C44" i="23"/>
  <c r="H43" i="23"/>
  <c r="G43" i="23"/>
  <c r="C43" i="23"/>
  <c r="H42" i="23"/>
  <c r="G42" i="23"/>
  <c r="C42" i="23"/>
  <c r="H41" i="23"/>
  <c r="G41" i="23"/>
  <c r="C41" i="23"/>
  <c r="H40" i="23"/>
  <c r="G40" i="23"/>
  <c r="C40" i="23"/>
  <c r="H39" i="23"/>
  <c r="G39" i="23"/>
  <c r="C39" i="23"/>
  <c r="H38" i="23"/>
  <c r="G38" i="23"/>
  <c r="C38" i="23"/>
  <c r="H37" i="23"/>
  <c r="G37" i="23"/>
  <c r="C37" i="23"/>
  <c r="H36" i="23"/>
  <c r="G36" i="23"/>
  <c r="C36" i="23"/>
  <c r="H35" i="23"/>
  <c r="G35" i="23"/>
  <c r="C35" i="23"/>
  <c r="H34" i="23"/>
  <c r="G34" i="23"/>
  <c r="C34" i="23"/>
  <c r="H33" i="23"/>
  <c r="G33" i="23"/>
  <c r="C33" i="23"/>
  <c r="H32" i="23"/>
  <c r="G32" i="23"/>
  <c r="C32" i="23"/>
  <c r="H31" i="23"/>
  <c r="G31" i="23"/>
  <c r="C31" i="23"/>
  <c r="H30" i="23"/>
  <c r="G30" i="23"/>
  <c r="C30" i="23"/>
  <c r="H29" i="23"/>
  <c r="G29" i="23"/>
  <c r="C29" i="23"/>
  <c r="H28" i="23"/>
  <c r="G28" i="23"/>
  <c r="C28" i="23"/>
  <c r="H27" i="23"/>
  <c r="G27" i="23"/>
  <c r="C27" i="23"/>
  <c r="H26" i="23"/>
  <c r="G26" i="23"/>
  <c r="C26" i="23"/>
  <c r="H25" i="23"/>
  <c r="G25" i="23"/>
  <c r="C25" i="23"/>
  <c r="H24" i="23"/>
  <c r="G24" i="23"/>
  <c r="C24" i="23"/>
  <c r="H23" i="23"/>
  <c r="G23" i="23"/>
  <c r="C23" i="23"/>
  <c r="H22" i="23"/>
  <c r="G22" i="23"/>
  <c r="C22" i="23"/>
  <c r="H21" i="23"/>
  <c r="G21" i="23"/>
  <c r="C21" i="23"/>
  <c r="H20" i="23"/>
  <c r="G20" i="23"/>
  <c r="C20" i="23"/>
  <c r="H19" i="23"/>
  <c r="G19" i="23"/>
  <c r="C19" i="23"/>
  <c r="H18" i="23"/>
  <c r="G18" i="23"/>
  <c r="C18" i="23"/>
  <c r="H17" i="23"/>
  <c r="G17" i="23"/>
  <c r="C17" i="23"/>
  <c r="H16" i="23"/>
  <c r="G16" i="23"/>
  <c r="C16" i="23"/>
  <c r="H15" i="23"/>
  <c r="G15" i="23"/>
  <c r="C15" i="23"/>
  <c r="H14" i="23"/>
  <c r="G14" i="23"/>
  <c r="C14" i="23"/>
  <c r="H13" i="23"/>
  <c r="G13" i="23"/>
  <c r="C13" i="23"/>
  <c r="H12" i="23"/>
  <c r="G12" i="23"/>
  <c r="C12" i="23"/>
  <c r="H11" i="23"/>
  <c r="G11" i="23"/>
  <c r="C11" i="23"/>
  <c r="H10" i="23"/>
  <c r="G10" i="23"/>
  <c r="C10" i="23"/>
  <c r="H9" i="23"/>
  <c r="G9" i="23"/>
  <c r="C9" i="23"/>
  <c r="H8" i="23"/>
  <c r="G8" i="23"/>
  <c r="C8" i="23"/>
  <c r="G7" i="23"/>
  <c r="H7" i="23"/>
  <c r="C7" i="23"/>
  <c r="Q6" i="23"/>
  <c r="R6" i="23"/>
  <c r="BO395" i="1"/>
  <c r="BO394" i="1"/>
  <c r="BO393" i="1"/>
  <c r="BO389" i="1"/>
  <c r="BO388" i="1"/>
  <c r="BJ395" i="1"/>
  <c r="BJ394" i="1"/>
  <c r="BJ393" i="1"/>
  <c r="BJ389" i="1"/>
  <c r="BJ388" i="1"/>
  <c r="BF396" i="1"/>
  <c r="BF395" i="1"/>
  <c r="BF394" i="1"/>
  <c r="BF393" i="1"/>
  <c r="BF389" i="1"/>
  <c r="BF388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AO386" i="1"/>
  <c r="AO385" i="1"/>
  <c r="AO384" i="1"/>
  <c r="AO383" i="1"/>
  <c r="AO382" i="1"/>
  <c r="AO381" i="1"/>
  <c r="AO380" i="1"/>
  <c r="AO379" i="1"/>
  <c r="AO378" i="1"/>
  <c r="AO377" i="1"/>
  <c r="AO376" i="1"/>
  <c r="AO375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V375" i="1"/>
  <c r="W375" i="1"/>
  <c r="X375" i="1"/>
  <c r="V376" i="1"/>
  <c r="W376" i="1"/>
  <c r="X376" i="1"/>
  <c r="V377" i="1"/>
  <c r="W377" i="1"/>
  <c r="X377" i="1"/>
  <c r="V378" i="1"/>
  <c r="W378" i="1"/>
  <c r="X378" i="1"/>
  <c r="V379" i="1"/>
  <c r="W379" i="1"/>
  <c r="X379" i="1"/>
  <c r="V380" i="1"/>
  <c r="W380" i="1"/>
  <c r="X380" i="1"/>
  <c r="V381" i="1"/>
  <c r="W381" i="1"/>
  <c r="X381" i="1"/>
  <c r="V382" i="1"/>
  <c r="W382" i="1"/>
  <c r="X382" i="1"/>
  <c r="V383" i="1"/>
  <c r="W383" i="1"/>
  <c r="X383" i="1"/>
  <c r="V384" i="1"/>
  <c r="W384" i="1"/>
  <c r="X384" i="1"/>
  <c r="V385" i="1"/>
  <c r="W385" i="1"/>
  <c r="X385" i="1"/>
  <c r="V386" i="1"/>
  <c r="W386" i="1"/>
  <c r="X386" i="1"/>
  <c r="P375" i="1"/>
  <c r="Q375" i="1"/>
  <c r="R375" i="1"/>
  <c r="S375" i="1"/>
  <c r="P376" i="1"/>
  <c r="Q376" i="1"/>
  <c r="R376" i="1"/>
  <c r="S376" i="1"/>
  <c r="P377" i="1"/>
  <c r="Q377" i="1"/>
  <c r="R377" i="1"/>
  <c r="S377" i="1"/>
  <c r="P378" i="1"/>
  <c r="Q378" i="1"/>
  <c r="R378" i="1"/>
  <c r="S378" i="1"/>
  <c r="P379" i="1"/>
  <c r="Q379" i="1"/>
  <c r="R379" i="1"/>
  <c r="S379" i="1"/>
  <c r="P380" i="1"/>
  <c r="Q380" i="1"/>
  <c r="R380" i="1"/>
  <c r="S380" i="1"/>
  <c r="P381" i="1"/>
  <c r="Q381" i="1"/>
  <c r="R381" i="1"/>
  <c r="S381" i="1"/>
  <c r="P382" i="1"/>
  <c r="Q382" i="1"/>
  <c r="R382" i="1"/>
  <c r="S382" i="1"/>
  <c r="P383" i="1"/>
  <c r="Q383" i="1"/>
  <c r="R383" i="1"/>
  <c r="S383" i="1"/>
  <c r="P384" i="1"/>
  <c r="Q384" i="1"/>
  <c r="R384" i="1"/>
  <c r="S384" i="1"/>
  <c r="P385" i="1"/>
  <c r="Q385" i="1"/>
  <c r="R385" i="1"/>
  <c r="S385" i="1"/>
  <c r="P386" i="1"/>
  <c r="Q386" i="1"/>
  <c r="R386" i="1"/>
  <c r="S386" i="1"/>
  <c r="L375" i="1"/>
  <c r="M375" i="1"/>
  <c r="N375" i="1"/>
  <c r="L376" i="1"/>
  <c r="M376" i="1"/>
  <c r="N376" i="1"/>
  <c r="L377" i="1"/>
  <c r="M377" i="1"/>
  <c r="N377" i="1"/>
  <c r="L378" i="1"/>
  <c r="M378" i="1"/>
  <c r="N378" i="1"/>
  <c r="L379" i="1"/>
  <c r="M379" i="1"/>
  <c r="N379" i="1"/>
  <c r="L380" i="1"/>
  <c r="M380" i="1"/>
  <c r="N380" i="1"/>
  <c r="L381" i="1"/>
  <c r="M381" i="1"/>
  <c r="N381" i="1"/>
  <c r="L382" i="1"/>
  <c r="M382" i="1"/>
  <c r="N382" i="1"/>
  <c r="L383" i="1"/>
  <c r="M383" i="1"/>
  <c r="N383" i="1"/>
  <c r="L384" i="1"/>
  <c r="M384" i="1"/>
  <c r="N384" i="1"/>
  <c r="L385" i="1"/>
  <c r="M385" i="1"/>
  <c r="N385" i="1"/>
  <c r="L386" i="1"/>
  <c r="M386" i="1"/>
  <c r="N386" i="1"/>
  <c r="BF383" i="1"/>
  <c r="BF375" i="1"/>
  <c r="BR382" i="1"/>
  <c r="BO382" i="1"/>
  <c r="BR381" i="1"/>
  <c r="BO381" i="1"/>
  <c r="BR380" i="1"/>
  <c r="BO380" i="1"/>
  <c r="BR376" i="1"/>
  <c r="BO376" i="1"/>
  <c r="BR375" i="1"/>
  <c r="BO375" i="1"/>
  <c r="AD375" i="1"/>
  <c r="AE375" i="1"/>
  <c r="AF375" i="1"/>
  <c r="AG375" i="1"/>
  <c r="AH375" i="1"/>
  <c r="AI375" i="1"/>
  <c r="AJ375" i="1"/>
  <c r="AK375" i="1"/>
  <c r="AL375" i="1"/>
  <c r="AD376" i="1"/>
  <c r="AE376" i="1"/>
  <c r="AF376" i="1"/>
  <c r="AG376" i="1"/>
  <c r="AH376" i="1"/>
  <c r="AI376" i="1"/>
  <c r="AJ376" i="1"/>
  <c r="AK376" i="1"/>
  <c r="AL376" i="1"/>
  <c r="AD377" i="1"/>
  <c r="AE377" i="1"/>
  <c r="AF377" i="1"/>
  <c r="AG377" i="1"/>
  <c r="AH377" i="1"/>
  <c r="AI377" i="1"/>
  <c r="AJ377" i="1"/>
  <c r="AK377" i="1"/>
  <c r="AL377" i="1"/>
  <c r="AD378" i="1"/>
  <c r="AE378" i="1"/>
  <c r="AF378" i="1"/>
  <c r="AG378" i="1"/>
  <c r="AH378" i="1"/>
  <c r="AI378" i="1"/>
  <c r="AJ378" i="1"/>
  <c r="AK378" i="1"/>
  <c r="AL378" i="1"/>
  <c r="AD379" i="1"/>
  <c r="AE379" i="1"/>
  <c r="AF379" i="1"/>
  <c r="AG379" i="1"/>
  <c r="AH379" i="1"/>
  <c r="AI379" i="1"/>
  <c r="AJ379" i="1"/>
  <c r="AK379" i="1"/>
  <c r="AL379" i="1"/>
  <c r="AD380" i="1"/>
  <c r="AE380" i="1"/>
  <c r="AF380" i="1"/>
  <c r="AG380" i="1"/>
  <c r="AH380" i="1"/>
  <c r="AI380" i="1"/>
  <c r="AJ380" i="1"/>
  <c r="AK380" i="1"/>
  <c r="AL380" i="1"/>
  <c r="AD381" i="1"/>
  <c r="AE381" i="1"/>
  <c r="AF381" i="1"/>
  <c r="AG381" i="1"/>
  <c r="AH381" i="1"/>
  <c r="AI381" i="1"/>
  <c r="AJ381" i="1"/>
  <c r="AK381" i="1"/>
  <c r="AL381" i="1"/>
  <c r="AD382" i="1"/>
  <c r="AE382" i="1"/>
  <c r="AF382" i="1"/>
  <c r="AG382" i="1"/>
  <c r="AH382" i="1"/>
  <c r="AI382" i="1"/>
  <c r="AJ382" i="1"/>
  <c r="AK382" i="1"/>
  <c r="AL382" i="1"/>
  <c r="AD383" i="1"/>
  <c r="AE383" i="1"/>
  <c r="AF383" i="1"/>
  <c r="AG383" i="1"/>
  <c r="AH383" i="1"/>
  <c r="AI383" i="1"/>
  <c r="AJ383" i="1"/>
  <c r="AK383" i="1"/>
  <c r="AL383" i="1"/>
  <c r="AD384" i="1"/>
  <c r="AE384" i="1"/>
  <c r="AF384" i="1"/>
  <c r="AG384" i="1"/>
  <c r="AH384" i="1"/>
  <c r="AI384" i="1"/>
  <c r="AJ384" i="1"/>
  <c r="AK384" i="1"/>
  <c r="AL384" i="1"/>
  <c r="AD385" i="1"/>
  <c r="AE385" i="1"/>
  <c r="AF385" i="1"/>
  <c r="AG385" i="1"/>
  <c r="AH385" i="1"/>
  <c r="AI385" i="1"/>
  <c r="AJ385" i="1"/>
  <c r="AK385" i="1"/>
  <c r="AL385" i="1"/>
  <c r="AD386" i="1"/>
  <c r="AE386" i="1"/>
  <c r="AF386" i="1"/>
  <c r="AG386" i="1"/>
  <c r="AH386" i="1"/>
  <c r="AI386" i="1"/>
  <c r="AJ386" i="1"/>
  <c r="AK386" i="1"/>
  <c r="AL386" i="1"/>
  <c r="BK395" i="1"/>
  <c r="BK394" i="1"/>
  <c r="BK393" i="1"/>
  <c r="BK389" i="1"/>
  <c r="BK388" i="1"/>
  <c r="BK382" i="1"/>
  <c r="BJ382" i="1"/>
  <c r="BK381" i="1"/>
  <c r="BJ381" i="1"/>
  <c r="BK380" i="1"/>
  <c r="BJ380" i="1"/>
  <c r="BK376" i="1"/>
  <c r="BJ376" i="1"/>
  <c r="BK375" i="1"/>
  <c r="BJ375" i="1"/>
  <c r="AQ399" i="1"/>
  <c r="AP399" i="1"/>
  <c r="AO399" i="1"/>
  <c r="AL399" i="1"/>
  <c r="AK399" i="1"/>
  <c r="AJ399" i="1"/>
  <c r="AI399" i="1"/>
  <c r="AH399" i="1"/>
  <c r="AG399" i="1"/>
  <c r="AF399" i="1"/>
  <c r="AE399" i="1"/>
  <c r="AD399" i="1"/>
  <c r="AA399" i="1"/>
  <c r="X399" i="1"/>
  <c r="W399" i="1"/>
  <c r="V399" i="1"/>
  <c r="U399" i="1"/>
  <c r="T399" i="1"/>
  <c r="S399" i="1"/>
  <c r="R399" i="1"/>
  <c r="Q399" i="1"/>
  <c r="N399" i="1"/>
  <c r="M399" i="1"/>
  <c r="L399" i="1"/>
  <c r="I399" i="1"/>
  <c r="H399" i="1"/>
  <c r="G399" i="1"/>
  <c r="F399" i="1"/>
  <c r="E399" i="1"/>
  <c r="D399" i="1"/>
  <c r="C399" i="1"/>
  <c r="AQ398" i="1"/>
  <c r="AP398" i="1"/>
  <c r="AO398" i="1"/>
  <c r="AL398" i="1"/>
  <c r="AK398" i="1"/>
  <c r="AJ398" i="1"/>
  <c r="AI398" i="1"/>
  <c r="AH398" i="1"/>
  <c r="AG398" i="1"/>
  <c r="AF398" i="1"/>
  <c r="AE398" i="1"/>
  <c r="AD398" i="1"/>
  <c r="AA398" i="1"/>
  <c r="X398" i="1"/>
  <c r="W398" i="1"/>
  <c r="V398" i="1"/>
  <c r="U398" i="1"/>
  <c r="T398" i="1"/>
  <c r="S398" i="1"/>
  <c r="R398" i="1"/>
  <c r="Q398" i="1"/>
  <c r="N398" i="1"/>
  <c r="M398" i="1"/>
  <c r="L398" i="1"/>
  <c r="I398" i="1"/>
  <c r="H398" i="1"/>
  <c r="G398" i="1"/>
  <c r="F398" i="1"/>
  <c r="E398" i="1"/>
  <c r="D398" i="1"/>
  <c r="C398" i="1"/>
  <c r="AQ397" i="1"/>
  <c r="AP397" i="1"/>
  <c r="AO397" i="1"/>
  <c r="AL397" i="1"/>
  <c r="AK397" i="1"/>
  <c r="AJ397" i="1"/>
  <c r="AI397" i="1"/>
  <c r="AH397" i="1"/>
  <c r="AG397" i="1"/>
  <c r="AF397" i="1"/>
  <c r="AE397" i="1"/>
  <c r="AD397" i="1"/>
  <c r="AA397" i="1"/>
  <c r="X397" i="1"/>
  <c r="W397" i="1"/>
  <c r="V397" i="1"/>
  <c r="U397" i="1"/>
  <c r="T397" i="1"/>
  <c r="S397" i="1"/>
  <c r="R397" i="1"/>
  <c r="Q397" i="1"/>
  <c r="N397" i="1"/>
  <c r="M397" i="1"/>
  <c r="L397" i="1"/>
  <c r="I397" i="1"/>
  <c r="H397" i="1"/>
  <c r="G397" i="1"/>
  <c r="F397" i="1"/>
  <c r="E397" i="1"/>
  <c r="D397" i="1"/>
  <c r="C397" i="1"/>
  <c r="AQ396" i="1"/>
  <c r="AP396" i="1"/>
  <c r="AO396" i="1"/>
  <c r="AL396" i="1"/>
  <c r="AK396" i="1"/>
  <c r="AJ396" i="1"/>
  <c r="AI396" i="1"/>
  <c r="AH396" i="1"/>
  <c r="AG396" i="1"/>
  <c r="AF396" i="1"/>
  <c r="AE396" i="1"/>
  <c r="AD396" i="1"/>
  <c r="AA396" i="1"/>
  <c r="X396" i="1"/>
  <c r="W396" i="1"/>
  <c r="V396" i="1"/>
  <c r="U396" i="1"/>
  <c r="T396" i="1"/>
  <c r="S396" i="1"/>
  <c r="R396" i="1"/>
  <c r="Q396" i="1"/>
  <c r="N396" i="1"/>
  <c r="M396" i="1"/>
  <c r="L396" i="1"/>
  <c r="I396" i="1"/>
  <c r="H396" i="1"/>
  <c r="G396" i="1"/>
  <c r="F396" i="1"/>
  <c r="E396" i="1"/>
  <c r="D396" i="1"/>
  <c r="C396" i="1"/>
  <c r="AQ395" i="1"/>
  <c r="AP395" i="1"/>
  <c r="AO395" i="1"/>
  <c r="AL395" i="1"/>
  <c r="AK395" i="1"/>
  <c r="AJ395" i="1"/>
  <c r="AI395" i="1"/>
  <c r="AH395" i="1"/>
  <c r="AG395" i="1"/>
  <c r="AF395" i="1"/>
  <c r="AE395" i="1"/>
  <c r="AD395" i="1"/>
  <c r="AA395" i="1"/>
  <c r="X395" i="1"/>
  <c r="W395" i="1"/>
  <c r="V395" i="1"/>
  <c r="U395" i="1"/>
  <c r="T395" i="1"/>
  <c r="S395" i="1"/>
  <c r="R395" i="1"/>
  <c r="Q395" i="1"/>
  <c r="N395" i="1"/>
  <c r="M395" i="1"/>
  <c r="L395" i="1"/>
  <c r="I395" i="1"/>
  <c r="H395" i="1"/>
  <c r="G395" i="1"/>
  <c r="F395" i="1"/>
  <c r="E395" i="1"/>
  <c r="D395" i="1"/>
  <c r="C395" i="1"/>
  <c r="AQ394" i="1"/>
  <c r="AP394" i="1"/>
  <c r="AO394" i="1"/>
  <c r="AL394" i="1"/>
  <c r="AK394" i="1"/>
  <c r="AJ394" i="1"/>
  <c r="AI394" i="1"/>
  <c r="AH394" i="1"/>
  <c r="AG394" i="1"/>
  <c r="AF394" i="1"/>
  <c r="AE394" i="1"/>
  <c r="AD394" i="1"/>
  <c r="AA394" i="1"/>
  <c r="X394" i="1"/>
  <c r="W394" i="1"/>
  <c r="V394" i="1"/>
  <c r="U394" i="1"/>
  <c r="T394" i="1"/>
  <c r="S394" i="1"/>
  <c r="R394" i="1"/>
  <c r="Q394" i="1"/>
  <c r="N394" i="1"/>
  <c r="M394" i="1"/>
  <c r="L394" i="1"/>
  <c r="I394" i="1"/>
  <c r="H394" i="1"/>
  <c r="G394" i="1"/>
  <c r="F394" i="1"/>
  <c r="E394" i="1"/>
  <c r="D394" i="1"/>
  <c r="C394" i="1"/>
  <c r="AQ393" i="1"/>
  <c r="AP393" i="1"/>
  <c r="AO393" i="1"/>
  <c r="AL393" i="1"/>
  <c r="AK393" i="1"/>
  <c r="AJ393" i="1"/>
  <c r="AI393" i="1"/>
  <c r="AH393" i="1"/>
  <c r="AG393" i="1"/>
  <c r="AF393" i="1"/>
  <c r="AE393" i="1"/>
  <c r="AD393" i="1"/>
  <c r="AA393" i="1"/>
  <c r="X393" i="1"/>
  <c r="W393" i="1"/>
  <c r="V393" i="1"/>
  <c r="U393" i="1"/>
  <c r="T393" i="1"/>
  <c r="S393" i="1"/>
  <c r="R393" i="1"/>
  <c r="Q393" i="1"/>
  <c r="N393" i="1"/>
  <c r="M393" i="1"/>
  <c r="L393" i="1"/>
  <c r="I393" i="1"/>
  <c r="H393" i="1"/>
  <c r="G393" i="1"/>
  <c r="F393" i="1"/>
  <c r="E393" i="1"/>
  <c r="D393" i="1"/>
  <c r="C393" i="1"/>
  <c r="AQ392" i="1"/>
  <c r="AP392" i="1"/>
  <c r="AO392" i="1"/>
  <c r="AL392" i="1"/>
  <c r="AK392" i="1"/>
  <c r="AJ392" i="1"/>
  <c r="AI392" i="1"/>
  <c r="AH392" i="1"/>
  <c r="AG392" i="1"/>
  <c r="AF392" i="1"/>
  <c r="AE392" i="1"/>
  <c r="AD392" i="1"/>
  <c r="AA392" i="1"/>
  <c r="X392" i="1"/>
  <c r="W392" i="1"/>
  <c r="V392" i="1"/>
  <c r="U392" i="1"/>
  <c r="T392" i="1"/>
  <c r="S392" i="1"/>
  <c r="R392" i="1"/>
  <c r="Q392" i="1"/>
  <c r="N392" i="1"/>
  <c r="M392" i="1"/>
  <c r="L392" i="1"/>
  <c r="I392" i="1"/>
  <c r="H392" i="1"/>
  <c r="G392" i="1"/>
  <c r="F392" i="1"/>
  <c r="E392" i="1"/>
  <c r="D392" i="1"/>
  <c r="C392" i="1"/>
  <c r="AQ391" i="1"/>
  <c r="AP391" i="1"/>
  <c r="AO391" i="1"/>
  <c r="AL391" i="1"/>
  <c r="AK391" i="1"/>
  <c r="AJ391" i="1"/>
  <c r="AI391" i="1"/>
  <c r="AH391" i="1"/>
  <c r="AG391" i="1"/>
  <c r="AF391" i="1"/>
  <c r="AE391" i="1"/>
  <c r="AD391" i="1"/>
  <c r="AA391" i="1"/>
  <c r="X391" i="1"/>
  <c r="W391" i="1"/>
  <c r="V391" i="1"/>
  <c r="U391" i="1"/>
  <c r="T391" i="1"/>
  <c r="S391" i="1"/>
  <c r="R391" i="1"/>
  <c r="Q391" i="1"/>
  <c r="N391" i="1"/>
  <c r="M391" i="1"/>
  <c r="L391" i="1"/>
  <c r="I391" i="1"/>
  <c r="H391" i="1"/>
  <c r="G391" i="1"/>
  <c r="F391" i="1"/>
  <c r="E391" i="1"/>
  <c r="D391" i="1"/>
  <c r="C391" i="1"/>
  <c r="AQ390" i="1"/>
  <c r="AP390" i="1"/>
  <c r="AO390" i="1"/>
  <c r="AL390" i="1"/>
  <c r="AK390" i="1"/>
  <c r="AJ390" i="1"/>
  <c r="AI390" i="1"/>
  <c r="AH390" i="1"/>
  <c r="AG390" i="1"/>
  <c r="AF390" i="1"/>
  <c r="AE390" i="1"/>
  <c r="AD390" i="1"/>
  <c r="AA390" i="1"/>
  <c r="X390" i="1"/>
  <c r="W390" i="1"/>
  <c r="V390" i="1"/>
  <c r="U390" i="1"/>
  <c r="T390" i="1"/>
  <c r="S390" i="1"/>
  <c r="R390" i="1"/>
  <c r="Q390" i="1"/>
  <c r="N390" i="1"/>
  <c r="M390" i="1"/>
  <c r="L390" i="1"/>
  <c r="I390" i="1"/>
  <c r="H390" i="1"/>
  <c r="G390" i="1"/>
  <c r="F390" i="1"/>
  <c r="E390" i="1"/>
  <c r="D390" i="1"/>
  <c r="C390" i="1"/>
  <c r="AQ389" i="1"/>
  <c r="AP389" i="1"/>
  <c r="AO389" i="1"/>
  <c r="AL389" i="1"/>
  <c r="AK389" i="1"/>
  <c r="AJ389" i="1"/>
  <c r="AI389" i="1"/>
  <c r="AH389" i="1"/>
  <c r="AG389" i="1"/>
  <c r="AF389" i="1"/>
  <c r="AE389" i="1"/>
  <c r="AD389" i="1"/>
  <c r="AA389" i="1"/>
  <c r="X389" i="1"/>
  <c r="W389" i="1"/>
  <c r="V389" i="1"/>
  <c r="U389" i="1"/>
  <c r="T389" i="1"/>
  <c r="S389" i="1"/>
  <c r="R389" i="1"/>
  <c r="Q389" i="1"/>
  <c r="N389" i="1"/>
  <c r="M389" i="1"/>
  <c r="L389" i="1"/>
  <c r="I389" i="1"/>
  <c r="H389" i="1"/>
  <c r="G389" i="1"/>
  <c r="F389" i="1"/>
  <c r="E389" i="1"/>
  <c r="D389" i="1"/>
  <c r="C389" i="1"/>
  <c r="AQ388" i="1"/>
  <c r="AP388" i="1"/>
  <c r="AO388" i="1"/>
  <c r="AL388" i="1"/>
  <c r="AK388" i="1"/>
  <c r="AJ388" i="1"/>
  <c r="AI388" i="1"/>
  <c r="AH388" i="1"/>
  <c r="AG388" i="1"/>
  <c r="AF388" i="1"/>
  <c r="AE388" i="1"/>
  <c r="AD388" i="1"/>
  <c r="AA388" i="1"/>
  <c r="X388" i="1"/>
  <c r="W388" i="1"/>
  <c r="V388" i="1"/>
  <c r="U388" i="1"/>
  <c r="T388" i="1"/>
  <c r="S388" i="1"/>
  <c r="R388" i="1"/>
  <c r="Q388" i="1"/>
  <c r="N388" i="1"/>
  <c r="M388" i="1"/>
  <c r="L388" i="1"/>
  <c r="I388" i="1"/>
  <c r="H388" i="1"/>
  <c r="G388" i="1"/>
  <c r="F388" i="1"/>
  <c r="E388" i="1"/>
  <c r="D388" i="1"/>
  <c r="C388" i="1"/>
  <c r="I386" i="1"/>
  <c r="H386" i="1"/>
  <c r="G386" i="1"/>
  <c r="F386" i="1"/>
  <c r="E386" i="1"/>
  <c r="D386" i="1"/>
  <c r="C386" i="1"/>
  <c r="I385" i="1"/>
  <c r="H385" i="1"/>
  <c r="G385" i="1"/>
  <c r="F385" i="1"/>
  <c r="E385" i="1"/>
  <c r="D385" i="1"/>
  <c r="C385" i="1"/>
  <c r="I384" i="1"/>
  <c r="H384" i="1"/>
  <c r="G384" i="1"/>
  <c r="F384" i="1"/>
  <c r="E384" i="1"/>
  <c r="D384" i="1"/>
  <c r="C384" i="1"/>
  <c r="I383" i="1"/>
  <c r="H383" i="1"/>
  <c r="G383" i="1"/>
  <c r="F383" i="1"/>
  <c r="E383" i="1"/>
  <c r="D383" i="1"/>
  <c r="C383" i="1"/>
  <c r="I382" i="1"/>
  <c r="H382" i="1"/>
  <c r="G382" i="1"/>
  <c r="F382" i="1"/>
  <c r="E382" i="1"/>
  <c r="D382" i="1"/>
  <c r="C382" i="1"/>
  <c r="I381" i="1"/>
  <c r="H381" i="1"/>
  <c r="G381" i="1"/>
  <c r="F381" i="1"/>
  <c r="E381" i="1"/>
  <c r="D381" i="1"/>
  <c r="C381" i="1"/>
  <c r="I380" i="1"/>
  <c r="H380" i="1"/>
  <c r="G380" i="1"/>
  <c r="F380" i="1"/>
  <c r="E380" i="1"/>
  <c r="D380" i="1"/>
  <c r="C380" i="1"/>
  <c r="I379" i="1"/>
  <c r="H379" i="1"/>
  <c r="G379" i="1"/>
  <c r="F379" i="1"/>
  <c r="E379" i="1"/>
  <c r="D379" i="1"/>
  <c r="C379" i="1"/>
  <c r="I378" i="1"/>
  <c r="H378" i="1"/>
  <c r="G378" i="1"/>
  <c r="F378" i="1"/>
  <c r="E378" i="1"/>
  <c r="D378" i="1"/>
  <c r="C378" i="1"/>
  <c r="I377" i="1"/>
  <c r="H377" i="1"/>
  <c r="G377" i="1"/>
  <c r="F377" i="1"/>
  <c r="E377" i="1"/>
  <c r="D377" i="1"/>
  <c r="C377" i="1"/>
  <c r="I376" i="1"/>
  <c r="H376" i="1"/>
  <c r="G376" i="1"/>
  <c r="F376" i="1"/>
  <c r="E376" i="1"/>
  <c r="D376" i="1"/>
  <c r="C376" i="1"/>
  <c r="I375" i="1"/>
  <c r="H375" i="1"/>
  <c r="G375" i="1"/>
  <c r="F375" i="1"/>
  <c r="E375" i="1"/>
  <c r="D375" i="1"/>
  <c r="C375" i="1"/>
  <c r="CX322" i="1" l="1"/>
  <c r="H321" i="23"/>
  <c r="BF321" i="1" s="1"/>
  <c r="CW321" i="1" s="1"/>
  <c r="CX321" i="1"/>
  <c r="K381" i="23"/>
  <c r="K379" i="23"/>
  <c r="K382" i="23"/>
  <c r="K380" i="23"/>
  <c r="K385" i="23"/>
  <c r="I173" i="23"/>
  <c r="I170" i="23"/>
  <c r="BU376" i="1"/>
  <c r="BQ389" i="1"/>
  <c r="I45" i="23"/>
  <c r="K45" i="23" s="1"/>
  <c r="CX45" i="1" s="1"/>
  <c r="I49" i="23"/>
  <c r="K49" i="23" s="1"/>
  <c r="CX49" i="1" s="1"/>
  <c r="I53" i="23"/>
  <c r="K53" i="23" s="1"/>
  <c r="CX53" i="1" s="1"/>
  <c r="I15" i="23"/>
  <c r="K15" i="23" s="1"/>
  <c r="CX15" i="1" s="1"/>
  <c r="I19" i="23"/>
  <c r="K19" i="23" s="1"/>
  <c r="CX19" i="1" s="1"/>
  <c r="I172" i="23"/>
  <c r="BU382" i="1"/>
  <c r="BU375" i="1"/>
  <c r="I25" i="23"/>
  <c r="K25" i="23" s="1"/>
  <c r="CX25" i="1" s="1"/>
  <c r="I29" i="23"/>
  <c r="K29" i="23" s="1"/>
  <c r="CX29" i="1" s="1"/>
  <c r="I33" i="23"/>
  <c r="K33" i="23" s="1"/>
  <c r="CX33" i="1" s="1"/>
  <c r="I57" i="23"/>
  <c r="K57" i="23" s="1"/>
  <c r="CX57" i="1" s="1"/>
  <c r="I171" i="23"/>
  <c r="I36" i="23"/>
  <c r="K36" i="23" s="1"/>
  <c r="CX36" i="1" s="1"/>
  <c r="BQ394" i="1"/>
  <c r="I17" i="23"/>
  <c r="K17" i="23" s="1"/>
  <c r="CX17" i="1" s="1"/>
  <c r="I21" i="23"/>
  <c r="K21" i="23" s="1"/>
  <c r="CX21" i="1" s="1"/>
  <c r="I14" i="23"/>
  <c r="K14" i="23" s="1"/>
  <c r="CX14" i="1" s="1"/>
  <c r="I18" i="23"/>
  <c r="K18" i="23" s="1"/>
  <c r="CX18" i="1" s="1"/>
  <c r="I31" i="23"/>
  <c r="K31" i="23" s="1"/>
  <c r="CX31" i="1" s="1"/>
  <c r="BQ395" i="1"/>
  <c r="BQ381" i="1"/>
  <c r="BQ393" i="1"/>
  <c r="BQ376" i="1"/>
  <c r="BQ388" i="1"/>
  <c r="BU381" i="1"/>
  <c r="I16" i="23"/>
  <c r="K16" i="23" s="1"/>
  <c r="CX16" i="1" s="1"/>
  <c r="I20" i="23"/>
  <c r="K20" i="23" s="1"/>
  <c r="CX20" i="1" s="1"/>
  <c r="I23" i="23"/>
  <c r="K23" i="23" s="1"/>
  <c r="CX23" i="1" s="1"/>
  <c r="I27" i="23"/>
  <c r="K27" i="23" s="1"/>
  <c r="CX27" i="1" s="1"/>
  <c r="I39" i="23"/>
  <c r="K39" i="23" s="1"/>
  <c r="CX39" i="1" s="1"/>
  <c r="I43" i="23"/>
  <c r="K43" i="23" s="1"/>
  <c r="CX43" i="1" s="1"/>
  <c r="I47" i="23"/>
  <c r="K47" i="23" s="1"/>
  <c r="CX47" i="1" s="1"/>
  <c r="I51" i="23"/>
  <c r="K51" i="23" s="1"/>
  <c r="CX51" i="1" s="1"/>
  <c r="I55" i="23"/>
  <c r="K55" i="23" s="1"/>
  <c r="CX55" i="1" s="1"/>
  <c r="BU380" i="1"/>
  <c r="I42" i="23"/>
  <c r="K42" i="23" s="1"/>
  <c r="CX42" i="1" s="1"/>
  <c r="BQ375" i="1"/>
  <c r="BQ380" i="1"/>
  <c r="BQ382" i="1"/>
  <c r="I66" i="23"/>
  <c r="K66" i="23" s="1"/>
  <c r="CX66" i="1" s="1"/>
  <c r="I164" i="23"/>
  <c r="I168" i="23"/>
  <c r="I13" i="23"/>
  <c r="K13" i="23" s="1"/>
  <c r="CX13" i="1" s="1"/>
  <c r="I166" i="23"/>
  <c r="I12" i="23"/>
  <c r="K12" i="23" s="1"/>
  <c r="CX12" i="1" s="1"/>
  <c r="I59" i="23"/>
  <c r="K59" i="23" s="1"/>
  <c r="CX59" i="1" s="1"/>
  <c r="I61" i="23"/>
  <c r="K61" i="23" s="1"/>
  <c r="CX61" i="1" s="1"/>
  <c r="I63" i="23"/>
  <c r="K63" i="23" s="1"/>
  <c r="CX63" i="1" s="1"/>
  <c r="I65" i="23"/>
  <c r="K65" i="23" s="1"/>
  <c r="CX65" i="1" s="1"/>
  <c r="I162" i="23"/>
  <c r="I163" i="23"/>
  <c r="I165" i="23"/>
  <c r="I167" i="23"/>
  <c r="I169" i="23"/>
  <c r="I11" i="23"/>
  <c r="K11" i="23" s="1"/>
  <c r="CX11" i="1" s="1"/>
  <c r="I175" i="23"/>
  <c r="I177" i="23"/>
  <c r="I179" i="23"/>
  <c r="I181" i="23"/>
  <c r="I183" i="23"/>
  <c r="I185" i="23"/>
  <c r="I187" i="23"/>
  <c r="I189" i="23"/>
  <c r="I191" i="23"/>
  <c r="I193" i="23"/>
  <c r="I195" i="23"/>
  <c r="I197" i="23"/>
  <c r="I199" i="23"/>
  <c r="I201" i="23"/>
  <c r="I203" i="23"/>
  <c r="I205" i="23"/>
  <c r="I207" i="23"/>
  <c r="I209" i="23"/>
  <c r="I211" i="23"/>
  <c r="I213" i="23"/>
  <c r="I215" i="23"/>
  <c r="I217" i="23"/>
  <c r="I219" i="23"/>
  <c r="I221" i="23"/>
  <c r="I223" i="23"/>
  <c r="I225" i="23"/>
  <c r="I227" i="23"/>
  <c r="I229" i="23"/>
  <c r="I231" i="23"/>
  <c r="I233" i="23"/>
  <c r="I235" i="23"/>
  <c r="I237" i="23"/>
  <c r="I239" i="23"/>
  <c r="I241" i="23"/>
  <c r="I243" i="23"/>
  <c r="I245" i="23"/>
  <c r="I247" i="23"/>
  <c r="I249" i="23"/>
  <c r="I251" i="23"/>
  <c r="I253" i="23"/>
  <c r="I255" i="23"/>
  <c r="I257" i="23"/>
  <c r="I259" i="23"/>
  <c r="I10" i="23"/>
  <c r="K10" i="23" s="1"/>
  <c r="CX10" i="1" s="1"/>
  <c r="I161" i="23"/>
  <c r="I160" i="23"/>
  <c r="I261" i="23"/>
  <c r="I263" i="23"/>
  <c r="I9" i="23"/>
  <c r="K9" i="23" s="1"/>
  <c r="CX9" i="1" s="1"/>
  <c r="I22" i="23"/>
  <c r="K22" i="23" s="1"/>
  <c r="CX22" i="1" s="1"/>
  <c r="I24" i="23"/>
  <c r="K24" i="23" s="1"/>
  <c r="CX24" i="1" s="1"/>
  <c r="I26" i="23"/>
  <c r="K26" i="23" s="1"/>
  <c r="CX26" i="1" s="1"/>
  <c r="I28" i="23"/>
  <c r="K28" i="23" s="1"/>
  <c r="CX28" i="1" s="1"/>
  <c r="I30" i="23"/>
  <c r="K30" i="23" s="1"/>
  <c r="CX30" i="1" s="1"/>
  <c r="I32" i="23"/>
  <c r="K32" i="23" s="1"/>
  <c r="CX32" i="1" s="1"/>
  <c r="I37" i="23"/>
  <c r="K37" i="23" s="1"/>
  <c r="CX37" i="1" s="1"/>
  <c r="I38" i="23"/>
  <c r="K38" i="23" s="1"/>
  <c r="CX38" i="1" s="1"/>
  <c r="I40" i="23"/>
  <c r="K40" i="23" s="1"/>
  <c r="CX40" i="1" s="1"/>
  <c r="I44" i="23"/>
  <c r="K44" i="23" s="1"/>
  <c r="CX44" i="1" s="1"/>
  <c r="I46" i="23"/>
  <c r="K46" i="23" s="1"/>
  <c r="CX46" i="1" s="1"/>
  <c r="I48" i="23"/>
  <c r="K48" i="23" s="1"/>
  <c r="CX48" i="1" s="1"/>
  <c r="I50" i="23"/>
  <c r="K50" i="23" s="1"/>
  <c r="CX50" i="1" s="1"/>
  <c r="I52" i="23"/>
  <c r="K52" i="23" s="1"/>
  <c r="CX52" i="1" s="1"/>
  <c r="I54" i="23"/>
  <c r="K54" i="23" s="1"/>
  <c r="CX54" i="1" s="1"/>
  <c r="I56" i="23"/>
  <c r="K56" i="23" s="1"/>
  <c r="CX56" i="1" s="1"/>
  <c r="I58" i="23"/>
  <c r="K58" i="23" s="1"/>
  <c r="CX58" i="1" s="1"/>
  <c r="I60" i="23"/>
  <c r="K60" i="23" s="1"/>
  <c r="CX60" i="1" s="1"/>
  <c r="I62" i="23"/>
  <c r="K62" i="23" s="1"/>
  <c r="CX62" i="1" s="1"/>
  <c r="I64" i="23"/>
  <c r="K64" i="23" s="1"/>
  <c r="CX64" i="1" s="1"/>
  <c r="I159" i="23"/>
  <c r="I265" i="23"/>
  <c r="I8" i="23"/>
  <c r="K8" i="23" s="1"/>
  <c r="CX8" i="1" s="1"/>
  <c r="I34" i="23"/>
  <c r="K34" i="23" s="1"/>
  <c r="CX34" i="1" s="1"/>
  <c r="I35" i="23"/>
  <c r="K35" i="23" s="1"/>
  <c r="CX35" i="1" s="1"/>
  <c r="I41" i="23"/>
  <c r="K41" i="23" s="1"/>
  <c r="CX41" i="1" s="1"/>
  <c r="I267" i="23"/>
  <c r="I269" i="23"/>
  <c r="I271" i="23"/>
  <c r="I273" i="23"/>
  <c r="I275" i="23"/>
  <c r="I277" i="23"/>
  <c r="I279" i="23"/>
  <c r="I281" i="23"/>
  <c r="I283" i="23"/>
  <c r="I285" i="23"/>
  <c r="I287" i="23"/>
  <c r="I289" i="23"/>
  <c r="I291" i="23"/>
  <c r="I293" i="23"/>
  <c r="I295" i="23"/>
  <c r="I297" i="23"/>
  <c r="I299" i="23"/>
  <c r="I301" i="23"/>
  <c r="I303" i="23"/>
  <c r="I305" i="23"/>
  <c r="I7" i="23"/>
  <c r="K7" i="23" s="1"/>
  <c r="CX7" i="1" s="1"/>
  <c r="I307" i="23"/>
  <c r="I174" i="23"/>
  <c r="I176" i="23"/>
  <c r="I178" i="23"/>
  <c r="I180" i="23"/>
  <c r="I182" i="23"/>
  <c r="I184" i="23"/>
  <c r="I186" i="23"/>
  <c r="I188" i="23"/>
  <c r="I190" i="23"/>
  <c r="I192" i="23"/>
  <c r="I194" i="23"/>
  <c r="I196" i="23"/>
  <c r="I198" i="23"/>
  <c r="I200" i="23"/>
  <c r="I202" i="23"/>
  <c r="I204" i="23"/>
  <c r="I206" i="23"/>
  <c r="I208" i="23"/>
  <c r="I210" i="23"/>
  <c r="I212" i="23"/>
  <c r="I214" i="23"/>
  <c r="I216" i="23"/>
  <c r="I218" i="23"/>
  <c r="I220" i="23"/>
  <c r="I222" i="23"/>
  <c r="I224" i="23"/>
  <c r="I226" i="23"/>
  <c r="I228" i="23"/>
  <c r="I230" i="23"/>
  <c r="I232" i="23"/>
  <c r="I234" i="23"/>
  <c r="I236" i="23"/>
  <c r="I238" i="23"/>
  <c r="I240" i="23"/>
  <c r="I242" i="23"/>
  <c r="I244" i="23"/>
  <c r="I246" i="23"/>
  <c r="I248" i="23"/>
  <c r="I250" i="23"/>
  <c r="I252" i="23"/>
  <c r="I254" i="23"/>
  <c r="I256" i="23"/>
  <c r="I258" i="23"/>
  <c r="I260" i="23"/>
  <c r="I262" i="23"/>
  <c r="I264" i="23"/>
  <c r="I266" i="23"/>
  <c r="I268" i="23"/>
  <c r="I270" i="23"/>
  <c r="I272" i="23"/>
  <c r="I274" i="23"/>
  <c r="I276" i="23"/>
  <c r="I278" i="23"/>
  <c r="I280" i="23"/>
  <c r="I282" i="23"/>
  <c r="I284" i="23"/>
  <c r="I286" i="23"/>
  <c r="I288" i="23"/>
  <c r="I290" i="23"/>
  <c r="I292" i="23"/>
  <c r="I294" i="23"/>
  <c r="I296" i="23"/>
  <c r="I298" i="23"/>
  <c r="I300" i="23"/>
  <c r="I302" i="23"/>
  <c r="I304" i="23"/>
  <c r="I306" i="23"/>
  <c r="M8" i="23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36" i="23" s="1"/>
  <c r="M37" i="23" s="1"/>
  <c r="M38" i="23" s="1"/>
  <c r="M39" i="23" s="1"/>
  <c r="M40" i="23" s="1"/>
  <c r="M41" i="23" s="1"/>
  <c r="M42" i="23" s="1"/>
  <c r="M43" i="23" s="1"/>
  <c r="M44" i="23" s="1"/>
  <c r="M45" i="23" s="1"/>
  <c r="M46" i="23" s="1"/>
  <c r="M47" i="23" s="1"/>
  <c r="M48" i="23" s="1"/>
  <c r="M49" i="23" s="1"/>
  <c r="M50" i="23" s="1"/>
  <c r="M51" i="23" s="1"/>
  <c r="M52" i="23" s="1"/>
  <c r="M53" i="23" s="1"/>
  <c r="M54" i="23" s="1"/>
  <c r="M55" i="23" s="1"/>
  <c r="M56" i="23" s="1"/>
  <c r="M57" i="23" s="1"/>
  <c r="M58" i="23" s="1"/>
  <c r="M59" i="23" s="1"/>
  <c r="M60" i="23" s="1"/>
  <c r="M61" i="23" s="1"/>
  <c r="M62" i="23" s="1"/>
  <c r="M63" i="23" s="1"/>
  <c r="M64" i="23" s="1"/>
  <c r="M65" i="23" s="1"/>
  <c r="M66" i="23" s="1"/>
  <c r="M67" i="23" s="1"/>
  <c r="M68" i="23" s="1"/>
  <c r="M69" i="23" s="1"/>
  <c r="M70" i="23" s="1"/>
  <c r="M71" i="23" s="1"/>
  <c r="M72" i="23" s="1"/>
  <c r="M73" i="23" s="1"/>
  <c r="M74" i="23" s="1"/>
  <c r="M75" i="23" s="1"/>
  <c r="M76" i="23" s="1"/>
  <c r="M77" i="23" s="1"/>
  <c r="M78" i="23" s="1"/>
  <c r="M79" i="23" s="1"/>
  <c r="M80" i="23" s="1"/>
  <c r="M81" i="23" s="1"/>
  <c r="M82" i="23" s="1"/>
  <c r="M83" i="23" s="1"/>
  <c r="M84" i="23" s="1"/>
  <c r="M85" i="23" s="1"/>
  <c r="M86" i="23" s="1"/>
  <c r="M87" i="23" s="1"/>
  <c r="M88" i="23" s="1"/>
  <c r="M89" i="23" s="1"/>
  <c r="M90" i="23" s="1"/>
  <c r="M91" i="23" s="1"/>
  <c r="M92" i="23" s="1"/>
  <c r="M93" i="23" s="1"/>
  <c r="M94" i="23" s="1"/>
  <c r="M95" i="23" s="1"/>
  <c r="M96" i="23" s="1"/>
  <c r="M97" i="23" s="1"/>
  <c r="M98" i="23" s="1"/>
  <c r="M99" i="23" s="1"/>
  <c r="M100" i="23" s="1"/>
  <c r="M101" i="23" s="1"/>
  <c r="M102" i="23" s="1"/>
  <c r="M103" i="23" s="1"/>
  <c r="M104" i="23" s="1"/>
  <c r="M105" i="23" s="1"/>
  <c r="M106" i="23" s="1"/>
  <c r="M107" i="23" s="1"/>
  <c r="M108" i="23" s="1"/>
  <c r="M109" i="23" s="1"/>
  <c r="M110" i="23" s="1"/>
  <c r="M111" i="23" s="1"/>
  <c r="M112" i="23" s="1"/>
  <c r="M113" i="23" s="1"/>
  <c r="M114" i="23" s="1"/>
  <c r="M115" i="23" s="1"/>
  <c r="M116" i="23" s="1"/>
  <c r="M117" i="23" s="1"/>
  <c r="M118" i="23" s="1"/>
  <c r="M119" i="23" s="1"/>
  <c r="M120" i="23" s="1"/>
  <c r="M121" i="23" s="1"/>
  <c r="M122" i="23" s="1"/>
  <c r="M123" i="23" s="1"/>
  <c r="M124" i="23" s="1"/>
  <c r="M125" i="23" s="1"/>
  <c r="M126" i="23" s="1"/>
  <c r="M127" i="23" s="1"/>
  <c r="M128" i="23" s="1"/>
  <c r="M129" i="23" s="1"/>
  <c r="M130" i="23" s="1"/>
  <c r="M131" i="23" s="1"/>
  <c r="M132" i="23" s="1"/>
  <c r="M133" i="23" s="1"/>
  <c r="M134" i="23" s="1"/>
  <c r="M135" i="23" s="1"/>
  <c r="M136" i="23" s="1"/>
  <c r="M137" i="23" s="1"/>
  <c r="M138" i="23" s="1"/>
  <c r="M139" i="23" s="1"/>
  <c r="M140" i="23" s="1"/>
  <c r="M141" i="23" s="1"/>
  <c r="M142" i="23" s="1"/>
  <c r="M143" i="23" s="1"/>
  <c r="M144" i="23" s="1"/>
  <c r="M145" i="23" s="1"/>
  <c r="M146" i="23" s="1"/>
  <c r="M147" i="23" s="1"/>
  <c r="M148" i="23" s="1"/>
  <c r="M149" i="23" s="1"/>
  <c r="M150" i="23" s="1"/>
  <c r="M151" i="23" s="1"/>
  <c r="M152" i="23" s="1"/>
  <c r="M153" i="23" s="1"/>
  <c r="M154" i="23" s="1"/>
  <c r="M155" i="23" s="1"/>
  <c r="M156" i="23" s="1"/>
  <c r="M157" i="23" s="1"/>
  <c r="M158" i="23" s="1"/>
  <c r="M159" i="23" s="1"/>
  <c r="M160" i="23" s="1"/>
  <c r="M161" i="23" s="1"/>
  <c r="M162" i="23" s="1"/>
  <c r="M163" i="23" s="1"/>
  <c r="M164" i="23" s="1"/>
  <c r="M165" i="23" s="1"/>
  <c r="M166" i="23" s="1"/>
  <c r="M167" i="23" s="1"/>
  <c r="M168" i="23" s="1"/>
  <c r="M169" i="23" s="1"/>
  <c r="M170" i="23" s="1"/>
  <c r="M171" i="23" s="1"/>
  <c r="M172" i="23" s="1"/>
  <c r="M173" i="23" s="1"/>
  <c r="M174" i="23" s="1"/>
  <c r="M175" i="23" s="1"/>
  <c r="M176" i="23" s="1"/>
  <c r="M177" i="23" s="1"/>
  <c r="M178" i="23" s="1"/>
  <c r="M179" i="23" s="1"/>
  <c r="M180" i="23" s="1"/>
  <c r="M181" i="23" s="1"/>
  <c r="M182" i="23" s="1"/>
  <c r="M183" i="23" s="1"/>
  <c r="M184" i="23" s="1"/>
  <c r="M185" i="23" s="1"/>
  <c r="M186" i="23" s="1"/>
  <c r="M187" i="23" s="1"/>
  <c r="M188" i="23" s="1"/>
  <c r="M189" i="23" s="1"/>
  <c r="M190" i="23" s="1"/>
  <c r="M191" i="23" s="1"/>
  <c r="M192" i="23" s="1"/>
  <c r="M193" i="23" s="1"/>
  <c r="M194" i="23" s="1"/>
  <c r="M195" i="23" s="1"/>
  <c r="M196" i="23" s="1"/>
  <c r="M197" i="23" s="1"/>
  <c r="M198" i="23" s="1"/>
  <c r="M199" i="23" s="1"/>
  <c r="M200" i="23" s="1"/>
  <c r="M201" i="23" s="1"/>
  <c r="M202" i="23" s="1"/>
  <c r="M203" i="23" s="1"/>
  <c r="M204" i="23" s="1"/>
  <c r="M205" i="23" s="1"/>
  <c r="M206" i="23" s="1"/>
  <c r="M207" i="23" s="1"/>
  <c r="M208" i="23" s="1"/>
  <c r="M209" i="23" s="1"/>
  <c r="M210" i="23" s="1"/>
  <c r="M211" i="23" s="1"/>
  <c r="M212" i="23" s="1"/>
  <c r="M213" i="23" s="1"/>
  <c r="M214" i="23" s="1"/>
  <c r="M215" i="23" s="1"/>
  <c r="M216" i="23" s="1"/>
  <c r="M217" i="23" s="1"/>
  <c r="M218" i="23" s="1"/>
  <c r="M219" i="23" s="1"/>
  <c r="M220" i="23" s="1"/>
  <c r="M221" i="23" s="1"/>
  <c r="M222" i="23" s="1"/>
  <c r="M223" i="23" s="1"/>
  <c r="M224" i="23" s="1"/>
  <c r="M225" i="23" s="1"/>
  <c r="M226" i="23" s="1"/>
  <c r="M227" i="23" s="1"/>
  <c r="M228" i="23" s="1"/>
  <c r="M229" i="23" s="1"/>
  <c r="M230" i="23" s="1"/>
  <c r="M231" i="23" s="1"/>
  <c r="M232" i="23" s="1"/>
  <c r="M233" i="23" s="1"/>
  <c r="M234" i="23" s="1"/>
  <c r="M235" i="23" s="1"/>
  <c r="M236" i="23" s="1"/>
  <c r="M237" i="23" s="1"/>
  <c r="M238" i="23" s="1"/>
  <c r="M239" i="23" s="1"/>
  <c r="M240" i="23" s="1"/>
  <c r="M241" i="23" s="1"/>
  <c r="M242" i="23" s="1"/>
  <c r="M243" i="23" s="1"/>
  <c r="M244" i="23" s="1"/>
  <c r="M245" i="23" s="1"/>
  <c r="M246" i="23" s="1"/>
  <c r="M247" i="23" s="1"/>
  <c r="M248" i="23" s="1"/>
  <c r="M249" i="23" s="1"/>
  <c r="M250" i="23" s="1"/>
  <c r="M251" i="23" s="1"/>
  <c r="M252" i="23" s="1"/>
  <c r="M253" i="23" s="1"/>
  <c r="M254" i="23" s="1"/>
  <c r="M255" i="23" s="1"/>
  <c r="M256" i="23" s="1"/>
  <c r="M257" i="23" s="1"/>
  <c r="M258" i="23" s="1"/>
  <c r="M259" i="23" s="1"/>
  <c r="M260" i="23" s="1"/>
  <c r="M261" i="23" s="1"/>
  <c r="M262" i="23" s="1"/>
  <c r="M263" i="23" s="1"/>
  <c r="M264" i="23" s="1"/>
  <c r="M265" i="23" s="1"/>
  <c r="M266" i="23" s="1"/>
  <c r="M267" i="23" s="1"/>
  <c r="M268" i="23" s="1"/>
  <c r="M269" i="23" s="1"/>
  <c r="M270" i="23" s="1"/>
  <c r="M271" i="23" s="1"/>
  <c r="M272" i="23" s="1"/>
  <c r="M273" i="23" s="1"/>
  <c r="M274" i="23" s="1"/>
  <c r="M275" i="23" s="1"/>
  <c r="M276" i="23" s="1"/>
  <c r="M277" i="23" s="1"/>
  <c r="M278" i="23" s="1"/>
  <c r="M279" i="23" s="1"/>
  <c r="M280" i="23" s="1"/>
  <c r="M281" i="23" s="1"/>
  <c r="M282" i="23" s="1"/>
  <c r="M283" i="23" s="1"/>
  <c r="M284" i="23" s="1"/>
  <c r="M285" i="23" s="1"/>
  <c r="M286" i="23" s="1"/>
  <c r="M287" i="23" s="1"/>
  <c r="M288" i="23" s="1"/>
  <c r="M289" i="23" s="1"/>
  <c r="M290" i="23" s="1"/>
  <c r="M291" i="23" s="1"/>
  <c r="M292" i="23" s="1"/>
  <c r="M293" i="23" s="1"/>
  <c r="M294" i="23" s="1"/>
  <c r="M295" i="23" s="1"/>
  <c r="M296" i="23" s="1"/>
  <c r="M297" i="23" s="1"/>
  <c r="M298" i="23" s="1"/>
  <c r="M299" i="23" s="1"/>
  <c r="M300" i="23" s="1"/>
  <c r="M301" i="23" s="1"/>
  <c r="M302" i="23" s="1"/>
  <c r="M303" i="23" s="1"/>
  <c r="M304" i="23" s="1"/>
  <c r="M305" i="23" s="1"/>
  <c r="M306" i="23" s="1"/>
  <c r="M307" i="23" s="1"/>
  <c r="M308" i="23" s="1"/>
  <c r="M309" i="23" s="1"/>
  <c r="M310" i="23" s="1"/>
  <c r="M311" i="23" s="1"/>
  <c r="M312" i="23" s="1"/>
  <c r="M313" i="23" s="1"/>
  <c r="M314" i="23" s="1"/>
  <c r="M315" i="23" s="1"/>
  <c r="M316" i="23" s="1"/>
  <c r="M317" i="23" s="1"/>
  <c r="M318" i="23" s="1"/>
  <c r="M319" i="23" s="1"/>
  <c r="M320" i="23" s="1"/>
  <c r="M321" i="23" s="1"/>
  <c r="M322" i="23" s="1"/>
  <c r="M323" i="23" s="1"/>
  <c r="M324" i="23" s="1"/>
  <c r="M325" i="23" s="1"/>
  <c r="M326" i="23" s="1"/>
  <c r="M327" i="23" s="1"/>
  <c r="M328" i="23" s="1"/>
  <c r="M329" i="23" s="1"/>
  <c r="M330" i="23" s="1"/>
  <c r="M331" i="23" s="1"/>
  <c r="M332" i="23" s="1"/>
  <c r="M333" i="23" s="1"/>
  <c r="M334" i="23" s="1"/>
  <c r="M335" i="23" s="1"/>
  <c r="M336" i="23" s="1"/>
  <c r="M337" i="23" s="1"/>
  <c r="M338" i="23" s="1"/>
  <c r="M339" i="23" s="1"/>
  <c r="M340" i="23" s="1"/>
  <c r="M341" i="23" s="1"/>
  <c r="M342" i="23" s="1"/>
  <c r="M343" i="23" s="1"/>
  <c r="M344" i="23" s="1"/>
  <c r="M345" i="23" s="1"/>
  <c r="M346" i="23" s="1"/>
  <c r="M347" i="23" s="1"/>
  <c r="M348" i="23" s="1"/>
  <c r="M349" i="23" s="1"/>
  <c r="M350" i="23" s="1"/>
  <c r="M351" i="23" s="1"/>
  <c r="M352" i="23" s="1"/>
  <c r="M353" i="23" s="1"/>
  <c r="M354" i="23" s="1"/>
  <c r="M355" i="23" s="1"/>
  <c r="M356" i="23" s="1"/>
  <c r="M357" i="23" s="1"/>
  <c r="M358" i="23" s="1"/>
  <c r="M359" i="23" s="1"/>
  <c r="M360" i="23" s="1"/>
  <c r="M361" i="23" s="1"/>
  <c r="M362" i="23" s="1"/>
  <c r="M363" i="23" s="1"/>
  <c r="M364" i="23" s="1"/>
  <c r="M365" i="23" s="1"/>
  <c r="M366" i="23" s="1"/>
  <c r="M367" i="23" s="1"/>
  <c r="M368" i="23" s="1"/>
  <c r="M369" i="23" s="1"/>
  <c r="M370" i="23" s="1"/>
  <c r="M371" i="23" s="1"/>
  <c r="H322" i="23" l="1"/>
  <c r="H323" i="23" s="1"/>
  <c r="H324" i="23" s="1"/>
  <c r="H325" i="23" s="1"/>
  <c r="H326" i="23" s="1"/>
  <c r="H327" i="23" s="1"/>
  <c r="H328" i="23" s="1"/>
  <c r="H329" i="23" s="1"/>
  <c r="H330" i="23" s="1"/>
  <c r="H331" i="23" s="1"/>
  <c r="H332" i="23" s="1"/>
  <c r="H333" i="23" s="1"/>
  <c r="H334" i="23" s="1"/>
  <c r="H335" i="23" s="1"/>
  <c r="H336" i="23" s="1"/>
  <c r="H337" i="23" s="1"/>
  <c r="H338" i="23" s="1"/>
  <c r="H339" i="23" s="1"/>
  <c r="H340" i="23" s="1"/>
  <c r="H341" i="23" s="1"/>
  <c r="H342" i="23" s="1"/>
  <c r="H343" i="23" s="1"/>
  <c r="H344" i="23" s="1"/>
  <c r="H345" i="23" s="1"/>
  <c r="H346" i="23" s="1"/>
  <c r="H347" i="23" s="1"/>
  <c r="H348" i="23" s="1"/>
  <c r="H349" i="23" s="1"/>
  <c r="H350" i="23" s="1"/>
  <c r="H351" i="23" s="1"/>
  <c r="H352" i="23" s="1"/>
  <c r="H353" i="23" s="1"/>
  <c r="H354" i="23" s="1"/>
  <c r="H355" i="23" s="1"/>
  <c r="H356" i="23" s="1"/>
  <c r="H357" i="23" s="1"/>
  <c r="H358" i="23" s="1"/>
  <c r="H359" i="23" s="1"/>
  <c r="H360" i="23" s="1"/>
  <c r="H361" i="23" s="1"/>
  <c r="H362" i="23" s="1"/>
  <c r="H363" i="23" s="1"/>
  <c r="H364" i="23" s="1"/>
  <c r="H365" i="23" s="1"/>
  <c r="H366" i="23" s="1"/>
  <c r="H367" i="23" s="1"/>
  <c r="H368" i="23" s="1"/>
  <c r="H369" i="23" s="1"/>
  <c r="H370" i="23" s="1"/>
  <c r="H371" i="23" s="1"/>
  <c r="K374" i="23"/>
  <c r="K375" i="23"/>
  <c r="P7" i="23"/>
  <c r="Q7" i="23" s="1"/>
  <c r="R7" i="23" s="1"/>
  <c r="S7" i="23" s="1"/>
  <c r="T7" i="23" s="1"/>
  <c r="N7" i="23"/>
  <c r="N8" i="23" s="1"/>
  <c r="N9" i="23" s="1"/>
  <c r="N10" i="23" s="1"/>
  <c r="N11" i="23" s="1"/>
  <c r="N12" i="23" s="1"/>
  <c r="N13" i="23" s="1"/>
  <c r="N14" i="23" s="1"/>
  <c r="N15" i="23" s="1"/>
  <c r="N16" i="23" s="1"/>
  <c r="N17" i="23" s="1"/>
  <c r="N18" i="23" s="1"/>
  <c r="N19" i="23" s="1"/>
  <c r="N20" i="23" s="1"/>
  <c r="N21" i="23" s="1"/>
  <c r="N22" i="23" s="1"/>
  <c r="N23" i="23" s="1"/>
  <c r="N24" i="23" s="1"/>
  <c r="N25" i="23" s="1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N36" i="23" s="1"/>
  <c r="N37" i="23" s="1"/>
  <c r="N38" i="23" s="1"/>
  <c r="N39" i="23" s="1"/>
  <c r="N40" i="23" s="1"/>
  <c r="N41" i="23" s="1"/>
  <c r="N42" i="23" s="1"/>
  <c r="N43" i="23" s="1"/>
  <c r="N44" i="23" s="1"/>
  <c r="N45" i="23" s="1"/>
  <c r="N46" i="23" s="1"/>
  <c r="N47" i="23" s="1"/>
  <c r="N48" i="23" s="1"/>
  <c r="N49" i="23" s="1"/>
  <c r="N50" i="23" s="1"/>
  <c r="N51" i="23" s="1"/>
  <c r="N52" i="23" s="1"/>
  <c r="N53" i="23" s="1"/>
  <c r="N54" i="23" s="1"/>
  <c r="N55" i="23" s="1"/>
  <c r="N56" i="23" s="1"/>
  <c r="N57" i="23" s="1"/>
  <c r="N58" i="23" s="1"/>
  <c r="N59" i="23" s="1"/>
  <c r="N60" i="23" s="1"/>
  <c r="N61" i="23" s="1"/>
  <c r="N62" i="23" s="1"/>
  <c r="N63" i="23" s="1"/>
  <c r="N64" i="23" s="1"/>
  <c r="N65" i="23" s="1"/>
  <c r="N66" i="23" s="1"/>
  <c r="P8" i="23" l="1"/>
  <c r="Q8" i="23" s="1"/>
  <c r="R8" i="23" s="1"/>
  <c r="S8" i="23" s="1"/>
  <c r="T8" i="23" s="1"/>
  <c r="F371" i="23"/>
  <c r="F296" i="23"/>
  <c r="F295" i="23"/>
  <c r="F294" i="23"/>
  <c r="F293" i="23"/>
  <c r="F292" i="23"/>
  <c r="F291" i="23"/>
  <c r="F290" i="23"/>
  <c r="F289" i="23"/>
  <c r="F288" i="23"/>
  <c r="F287" i="23"/>
  <c r="F286" i="23"/>
  <c r="F285" i="23"/>
  <c r="F284" i="23"/>
  <c r="F283" i="23"/>
  <c r="F282" i="23"/>
  <c r="F281" i="23"/>
  <c r="F280" i="23"/>
  <c r="F279" i="23"/>
  <c r="F278" i="23"/>
  <c r="F277" i="23"/>
  <c r="F276" i="23"/>
  <c r="F275" i="23"/>
  <c r="F274" i="23"/>
  <c r="F273" i="23"/>
  <c r="F272" i="23"/>
  <c r="F271" i="23"/>
  <c r="F270" i="23"/>
  <c r="F269" i="23"/>
  <c r="F268" i="23"/>
  <c r="F157" i="23"/>
  <c r="F156" i="23"/>
  <c r="F155" i="23"/>
  <c r="F154" i="23"/>
  <c r="F153" i="23"/>
  <c r="F152" i="23"/>
  <c r="F151" i="23"/>
  <c r="F150" i="23"/>
  <c r="F149" i="23"/>
  <c r="F148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135" i="23"/>
  <c r="F134" i="23"/>
  <c r="F133" i="23"/>
  <c r="F132" i="23"/>
  <c r="F131" i="23"/>
  <c r="F130" i="23"/>
  <c r="F129" i="23"/>
  <c r="F128" i="23"/>
  <c r="F127" i="23"/>
  <c r="F126" i="23"/>
  <c r="F125" i="23"/>
  <c r="F124" i="23"/>
  <c r="F123" i="23"/>
  <c r="F122" i="23"/>
  <c r="F121" i="23"/>
  <c r="F120" i="23"/>
  <c r="F119" i="23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104" i="23"/>
  <c r="F103" i="23"/>
  <c r="F102" i="23"/>
  <c r="F101" i="23"/>
  <c r="F100" i="23"/>
  <c r="F99" i="23"/>
  <c r="F98" i="23"/>
  <c r="F97" i="23"/>
  <c r="F96" i="23"/>
  <c r="F95" i="23"/>
  <c r="F94" i="23"/>
  <c r="F93" i="23"/>
  <c r="F92" i="23"/>
  <c r="F91" i="23"/>
  <c r="F90" i="23"/>
  <c r="F89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73" i="23"/>
  <c r="F72" i="23"/>
  <c r="F71" i="23"/>
  <c r="F70" i="23"/>
  <c r="F69" i="23"/>
  <c r="F68" i="23"/>
  <c r="F67" i="23"/>
  <c r="C371" i="23"/>
  <c r="C370" i="23"/>
  <c r="BI1" i="1"/>
  <c r="C369" i="23"/>
  <c r="C368" i="23"/>
  <c r="C367" i="23"/>
  <c r="C366" i="23"/>
  <c r="C365" i="23"/>
  <c r="C364" i="23"/>
  <c r="C363" i="23"/>
  <c r="C362" i="23"/>
  <c r="C361" i="23"/>
  <c r="C360" i="23"/>
  <c r="C359" i="23"/>
  <c r="C358" i="23"/>
  <c r="C357" i="23"/>
  <c r="C356" i="23"/>
  <c r="C355" i="23"/>
  <c r="C354" i="23"/>
  <c r="C353" i="23"/>
  <c r="C352" i="23"/>
  <c r="C351" i="23"/>
  <c r="C350" i="23"/>
  <c r="C349" i="23"/>
  <c r="C348" i="23"/>
  <c r="C347" i="23"/>
  <c r="C346" i="23"/>
  <c r="C345" i="23"/>
  <c r="C344" i="23"/>
  <c r="C343" i="23"/>
  <c r="C342" i="23"/>
  <c r="C340" i="23"/>
  <c r="C339" i="23"/>
  <c r="C338" i="23"/>
  <c r="C337" i="23"/>
  <c r="C336" i="23"/>
  <c r="C335" i="23"/>
  <c r="C334" i="23"/>
  <c r="C333" i="23"/>
  <c r="C332" i="23"/>
  <c r="C331" i="23"/>
  <c r="C330" i="23"/>
  <c r="C329" i="23"/>
  <c r="C328" i="23"/>
  <c r="C327" i="23"/>
  <c r="C326" i="23"/>
  <c r="C325" i="23"/>
  <c r="C324" i="23"/>
  <c r="C323" i="23"/>
  <c r="C322" i="23"/>
  <c r="C321" i="23"/>
  <c r="C320" i="23"/>
  <c r="C319" i="23"/>
  <c r="C318" i="23"/>
  <c r="C317" i="23"/>
  <c r="C316" i="23"/>
  <c r="C315" i="23"/>
  <c r="C314" i="23"/>
  <c r="C313" i="23"/>
  <c r="C312" i="23"/>
  <c r="C310" i="23"/>
  <c r="C309" i="23"/>
  <c r="C308" i="23"/>
  <c r="C307" i="23"/>
  <c r="C306" i="23"/>
  <c r="C305" i="23"/>
  <c r="C304" i="23"/>
  <c r="C303" i="23"/>
  <c r="C302" i="23"/>
  <c r="C301" i="23"/>
  <c r="C300" i="23"/>
  <c r="C299" i="23"/>
  <c r="C298" i="23"/>
  <c r="C297" i="23"/>
  <c r="BK296" i="1"/>
  <c r="BJ296" i="1"/>
  <c r="C296" i="23" s="1"/>
  <c r="BK295" i="1"/>
  <c r="BJ295" i="1"/>
  <c r="C295" i="23" s="1"/>
  <c r="BK294" i="1"/>
  <c r="BJ294" i="1"/>
  <c r="C294" i="23" s="1"/>
  <c r="BK293" i="1"/>
  <c r="BJ293" i="1"/>
  <c r="C293" i="23" s="1"/>
  <c r="BK292" i="1"/>
  <c r="BJ292" i="1"/>
  <c r="C292" i="23" s="1"/>
  <c r="BK291" i="1"/>
  <c r="BJ291" i="1"/>
  <c r="C291" i="23" s="1"/>
  <c r="BK290" i="1"/>
  <c r="BJ290" i="1"/>
  <c r="C290" i="23" s="1"/>
  <c r="BK289" i="1"/>
  <c r="BJ289" i="1"/>
  <c r="C289" i="23" s="1"/>
  <c r="BK288" i="1"/>
  <c r="BJ288" i="1"/>
  <c r="C288" i="23" s="1"/>
  <c r="BK287" i="1"/>
  <c r="BJ287" i="1"/>
  <c r="C287" i="23" s="1"/>
  <c r="BK286" i="1"/>
  <c r="BJ286" i="1"/>
  <c r="C286" i="23" s="1"/>
  <c r="BK285" i="1"/>
  <c r="BJ285" i="1"/>
  <c r="C285" i="23" s="1"/>
  <c r="BK284" i="1"/>
  <c r="BJ284" i="1"/>
  <c r="C284" i="23" s="1"/>
  <c r="BK283" i="1"/>
  <c r="BJ283" i="1"/>
  <c r="C283" i="23" s="1"/>
  <c r="BK282" i="1"/>
  <c r="BJ282" i="1"/>
  <c r="C282" i="23" s="1"/>
  <c r="BK281" i="1"/>
  <c r="BJ281" i="1"/>
  <c r="C281" i="23" s="1"/>
  <c r="BK280" i="1"/>
  <c r="BJ280" i="1"/>
  <c r="BK279" i="1"/>
  <c r="BJ279" i="1"/>
  <c r="C279" i="23" s="1"/>
  <c r="BK278" i="1"/>
  <c r="BJ278" i="1"/>
  <c r="C278" i="23" s="1"/>
  <c r="BK277" i="1"/>
  <c r="BJ277" i="1"/>
  <c r="C277" i="23" s="1"/>
  <c r="BK276" i="1"/>
  <c r="BJ276" i="1"/>
  <c r="C276" i="23" s="1"/>
  <c r="BK275" i="1"/>
  <c r="BJ275" i="1"/>
  <c r="C275" i="23" s="1"/>
  <c r="BK274" i="1"/>
  <c r="BJ274" i="1"/>
  <c r="C274" i="23" s="1"/>
  <c r="BK273" i="1"/>
  <c r="BJ273" i="1"/>
  <c r="C273" i="23" s="1"/>
  <c r="BK272" i="1"/>
  <c r="BJ272" i="1"/>
  <c r="C272" i="23" s="1"/>
  <c r="BK271" i="1"/>
  <c r="BJ271" i="1"/>
  <c r="C271" i="23" s="1"/>
  <c r="BK270" i="1"/>
  <c r="BJ270" i="1"/>
  <c r="C270" i="23" s="1"/>
  <c r="BK269" i="1"/>
  <c r="BJ269" i="1"/>
  <c r="C269" i="23" s="1"/>
  <c r="BK268" i="1"/>
  <c r="BJ268" i="1"/>
  <c r="BK157" i="1"/>
  <c r="BJ157" i="1"/>
  <c r="C157" i="23" s="1"/>
  <c r="BK155" i="1"/>
  <c r="BJ155" i="1"/>
  <c r="C155" i="23" s="1"/>
  <c r="BK154" i="1"/>
  <c r="BJ154" i="1"/>
  <c r="C154" i="23" s="1"/>
  <c r="BK153" i="1"/>
  <c r="BK152" i="1"/>
  <c r="BJ152" i="1"/>
  <c r="C152" i="23" s="1"/>
  <c r="BK151" i="1"/>
  <c r="BJ151" i="1"/>
  <c r="C151" i="23" s="1"/>
  <c r="BK150" i="1"/>
  <c r="BJ150" i="1"/>
  <c r="C150" i="23" s="1"/>
  <c r="BK149" i="1"/>
  <c r="BJ149" i="1"/>
  <c r="C149" i="23" s="1"/>
  <c r="BK148" i="1"/>
  <c r="BJ148" i="1"/>
  <c r="C148" i="23" s="1"/>
  <c r="BK147" i="1"/>
  <c r="BJ147" i="1"/>
  <c r="C147" i="23" s="1"/>
  <c r="BK146" i="1"/>
  <c r="BJ146" i="1"/>
  <c r="C146" i="23" s="1"/>
  <c r="BK145" i="1"/>
  <c r="BJ145" i="1"/>
  <c r="C145" i="23" s="1"/>
  <c r="BK144" i="1"/>
  <c r="BJ144" i="1"/>
  <c r="C144" i="23" s="1"/>
  <c r="BK143" i="1"/>
  <c r="BJ143" i="1"/>
  <c r="C143" i="23" s="1"/>
  <c r="BK142" i="1"/>
  <c r="BJ142" i="1"/>
  <c r="C142" i="23" s="1"/>
  <c r="BK141" i="1"/>
  <c r="BJ141" i="1"/>
  <c r="C141" i="23" s="1"/>
  <c r="BK140" i="1"/>
  <c r="BJ140" i="1"/>
  <c r="C140" i="23" s="1"/>
  <c r="BK139" i="1"/>
  <c r="BJ139" i="1"/>
  <c r="C139" i="23" s="1"/>
  <c r="BK138" i="1"/>
  <c r="BJ138" i="1"/>
  <c r="C138" i="23" s="1"/>
  <c r="BK137" i="1"/>
  <c r="BJ137" i="1"/>
  <c r="C137" i="23" s="1"/>
  <c r="BK136" i="1"/>
  <c r="BJ136" i="1"/>
  <c r="C136" i="23" s="1"/>
  <c r="BK135" i="1"/>
  <c r="BJ135" i="1"/>
  <c r="C135" i="23" s="1"/>
  <c r="BK134" i="1"/>
  <c r="BJ134" i="1"/>
  <c r="C134" i="23" s="1"/>
  <c r="BK133" i="1"/>
  <c r="BJ133" i="1"/>
  <c r="C133" i="23" s="1"/>
  <c r="BK132" i="1"/>
  <c r="BJ132" i="1"/>
  <c r="C132" i="23" s="1"/>
  <c r="BK131" i="1"/>
  <c r="BJ131" i="1"/>
  <c r="C131" i="23" s="1"/>
  <c r="BK130" i="1"/>
  <c r="BJ130" i="1"/>
  <c r="C130" i="23" s="1"/>
  <c r="BK129" i="1"/>
  <c r="BJ129" i="1"/>
  <c r="C129" i="23" s="1"/>
  <c r="BK128" i="1"/>
  <c r="BJ128" i="1"/>
  <c r="C128" i="23" s="1"/>
  <c r="BK127" i="1"/>
  <c r="BJ127" i="1"/>
  <c r="BK126" i="1"/>
  <c r="BJ126" i="1"/>
  <c r="C126" i="23" s="1"/>
  <c r="BK125" i="1"/>
  <c r="BJ125" i="1"/>
  <c r="C125" i="23" s="1"/>
  <c r="BK124" i="1"/>
  <c r="BJ124" i="1"/>
  <c r="C124" i="23" s="1"/>
  <c r="BK123" i="1"/>
  <c r="BJ123" i="1"/>
  <c r="C123" i="23" s="1"/>
  <c r="BK122" i="1"/>
  <c r="BJ122" i="1"/>
  <c r="C122" i="23" s="1"/>
  <c r="BK121" i="1"/>
  <c r="BJ121" i="1"/>
  <c r="C121" i="23" s="1"/>
  <c r="BK120" i="1"/>
  <c r="BJ120" i="1"/>
  <c r="C120" i="23" s="1"/>
  <c r="BK119" i="1"/>
  <c r="BJ119" i="1"/>
  <c r="C119" i="23" s="1"/>
  <c r="BK118" i="1"/>
  <c r="BJ118" i="1"/>
  <c r="C118" i="23" s="1"/>
  <c r="BK117" i="1"/>
  <c r="BJ117" i="1"/>
  <c r="C117" i="23" s="1"/>
  <c r="BK116" i="1"/>
  <c r="BJ116" i="1"/>
  <c r="C116" i="23" s="1"/>
  <c r="BK115" i="1"/>
  <c r="BJ115" i="1"/>
  <c r="C115" i="23" s="1"/>
  <c r="BK114" i="1"/>
  <c r="BJ114" i="1"/>
  <c r="C114" i="23" s="1"/>
  <c r="BK113" i="1"/>
  <c r="BJ113" i="1"/>
  <c r="C113" i="23" s="1"/>
  <c r="BK112" i="1"/>
  <c r="BJ112" i="1"/>
  <c r="C112" i="23" s="1"/>
  <c r="BK111" i="1"/>
  <c r="BJ111" i="1"/>
  <c r="C111" i="23" s="1"/>
  <c r="BK110" i="1"/>
  <c r="BJ110" i="1"/>
  <c r="C110" i="23" s="1"/>
  <c r="BK109" i="1"/>
  <c r="BJ109" i="1"/>
  <c r="C109" i="23" s="1"/>
  <c r="BK108" i="1"/>
  <c r="BJ108" i="1"/>
  <c r="C108" i="23" s="1"/>
  <c r="BK107" i="1"/>
  <c r="BJ107" i="1"/>
  <c r="C107" i="23" s="1"/>
  <c r="BK106" i="1"/>
  <c r="BJ106" i="1"/>
  <c r="C106" i="23" s="1"/>
  <c r="BK105" i="1"/>
  <c r="BJ105" i="1"/>
  <c r="C105" i="23" s="1"/>
  <c r="BK104" i="1"/>
  <c r="BJ104" i="1"/>
  <c r="C104" i="23" s="1"/>
  <c r="BK103" i="1"/>
  <c r="BJ103" i="1"/>
  <c r="C103" i="23" s="1"/>
  <c r="BK102" i="1"/>
  <c r="BJ102" i="1"/>
  <c r="C102" i="23" s="1"/>
  <c r="BK101" i="1"/>
  <c r="BJ101" i="1"/>
  <c r="C101" i="23" s="1"/>
  <c r="BK100" i="1"/>
  <c r="BJ100" i="1"/>
  <c r="C100" i="23" s="1"/>
  <c r="BK99" i="1"/>
  <c r="BJ99" i="1"/>
  <c r="C99" i="23" s="1"/>
  <c r="BK98" i="1"/>
  <c r="BJ98" i="1"/>
  <c r="C98" i="23" s="1"/>
  <c r="BK97" i="1"/>
  <c r="BJ97" i="1"/>
  <c r="BK96" i="1"/>
  <c r="BJ96" i="1"/>
  <c r="C96" i="23" s="1"/>
  <c r="BK95" i="1"/>
  <c r="BJ95" i="1"/>
  <c r="C95" i="23" s="1"/>
  <c r="BK94" i="1"/>
  <c r="BJ94" i="1"/>
  <c r="C94" i="23" s="1"/>
  <c r="BK93" i="1"/>
  <c r="BJ93" i="1"/>
  <c r="C93" i="23" s="1"/>
  <c r="BK92" i="1"/>
  <c r="BJ92" i="1"/>
  <c r="C92" i="23" s="1"/>
  <c r="BK91" i="1"/>
  <c r="BJ91" i="1"/>
  <c r="C91" i="23" s="1"/>
  <c r="BK90" i="1"/>
  <c r="BJ90" i="1"/>
  <c r="C90" i="23" s="1"/>
  <c r="BK89" i="1"/>
  <c r="BJ89" i="1"/>
  <c r="C89" i="23" s="1"/>
  <c r="BK88" i="1"/>
  <c r="BJ88" i="1"/>
  <c r="C88" i="23" s="1"/>
  <c r="BK87" i="1"/>
  <c r="BJ87" i="1"/>
  <c r="C87" i="23" s="1"/>
  <c r="BK86" i="1"/>
  <c r="BJ86" i="1"/>
  <c r="C86" i="23" s="1"/>
  <c r="BK85" i="1"/>
  <c r="BJ85" i="1"/>
  <c r="C85" i="23" s="1"/>
  <c r="BK84" i="1"/>
  <c r="BJ84" i="1"/>
  <c r="C84" i="23" s="1"/>
  <c r="BK83" i="1"/>
  <c r="BJ83" i="1"/>
  <c r="C83" i="23" s="1"/>
  <c r="BK82" i="1"/>
  <c r="BJ82" i="1"/>
  <c r="C82" i="23" s="1"/>
  <c r="BK81" i="1"/>
  <c r="BJ81" i="1"/>
  <c r="C81" i="23" s="1"/>
  <c r="BK80" i="1"/>
  <c r="BJ80" i="1"/>
  <c r="C80" i="23" s="1"/>
  <c r="BK79" i="1"/>
  <c r="BJ79" i="1"/>
  <c r="C79" i="23" s="1"/>
  <c r="BK78" i="1"/>
  <c r="BJ78" i="1"/>
  <c r="C78" i="23" s="1"/>
  <c r="BK77" i="1"/>
  <c r="BJ77" i="1"/>
  <c r="C77" i="23" s="1"/>
  <c r="BK76" i="1"/>
  <c r="BJ76" i="1"/>
  <c r="C76" i="23" s="1"/>
  <c r="BK75" i="1"/>
  <c r="BJ75" i="1"/>
  <c r="C75" i="23" s="1"/>
  <c r="BK74" i="1"/>
  <c r="BJ74" i="1"/>
  <c r="C74" i="23" s="1"/>
  <c r="BK73" i="1"/>
  <c r="BJ73" i="1"/>
  <c r="C73" i="23" s="1"/>
  <c r="BK72" i="1"/>
  <c r="BJ72" i="1"/>
  <c r="C72" i="23" s="1"/>
  <c r="BK71" i="1"/>
  <c r="BJ71" i="1"/>
  <c r="C71" i="23" s="1"/>
  <c r="BK70" i="1"/>
  <c r="BJ70" i="1"/>
  <c r="C70" i="23" s="1"/>
  <c r="BK69" i="1"/>
  <c r="BJ69" i="1"/>
  <c r="C69" i="23" s="1"/>
  <c r="BK68" i="1"/>
  <c r="BJ68" i="1"/>
  <c r="C68" i="23" s="1"/>
  <c r="BK67" i="1"/>
  <c r="BJ67" i="1"/>
  <c r="H156" i="23"/>
  <c r="H155" i="23"/>
  <c r="H154" i="23"/>
  <c r="H153" i="23"/>
  <c r="H152" i="23"/>
  <c r="H151" i="23"/>
  <c r="H150" i="23"/>
  <c r="H149" i="23"/>
  <c r="H148" i="23"/>
  <c r="H147" i="23"/>
  <c r="R147" i="23" s="1"/>
  <c r="H146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I111" i="23" s="1"/>
  <c r="K111" i="23" s="1"/>
  <c r="CX111" i="1" s="1"/>
  <c r="H109" i="23"/>
  <c r="H108" i="23"/>
  <c r="H107" i="23"/>
  <c r="H106" i="23"/>
  <c r="H105" i="23"/>
  <c r="H104" i="23"/>
  <c r="H103" i="23"/>
  <c r="I103" i="23" s="1"/>
  <c r="K103" i="23" s="1"/>
  <c r="CX103" i="1" s="1"/>
  <c r="H101" i="23"/>
  <c r="H100" i="23"/>
  <c r="H99" i="23"/>
  <c r="H98" i="23"/>
  <c r="H97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I67" i="23" s="1"/>
  <c r="K67" i="23" s="1"/>
  <c r="CX67" i="1" s="1"/>
  <c r="BI40" i="1" l="1"/>
  <c r="BI359" i="1"/>
  <c r="BI301" i="1"/>
  <c r="P9" i="23"/>
  <c r="Q9" i="23" s="1"/>
  <c r="R9" i="23" s="1"/>
  <c r="P10" i="23" s="1"/>
  <c r="Q10" i="23" s="1"/>
  <c r="R10" i="23" s="1"/>
  <c r="BI21" i="1"/>
  <c r="BI111" i="1"/>
  <c r="BI61" i="1"/>
  <c r="BI236" i="1"/>
  <c r="BI15" i="1"/>
  <c r="BI31" i="1"/>
  <c r="BI43" i="1"/>
  <c r="BI59" i="1"/>
  <c r="BI75" i="1"/>
  <c r="BI83" i="1"/>
  <c r="BI99" i="1"/>
  <c r="BI115" i="1"/>
  <c r="BI127" i="1"/>
  <c r="BI143" i="1"/>
  <c r="BI159" i="1"/>
  <c r="BI175" i="1"/>
  <c r="BI233" i="1"/>
  <c r="BI368" i="1"/>
  <c r="BI8" i="1"/>
  <c r="BI29" i="1"/>
  <c r="BI53" i="1"/>
  <c r="BI161" i="1"/>
  <c r="BI267" i="1"/>
  <c r="BI283" i="1"/>
  <c r="BI11" i="1"/>
  <c r="BI27" i="1"/>
  <c r="BI39" i="1"/>
  <c r="BI55" i="1"/>
  <c r="BI67" i="1"/>
  <c r="BI87" i="1"/>
  <c r="BI103" i="1"/>
  <c r="BI119" i="1"/>
  <c r="BI135" i="1"/>
  <c r="BI147" i="1"/>
  <c r="BI167" i="1"/>
  <c r="BI13" i="1"/>
  <c r="BI37" i="1"/>
  <c r="BI56" i="1"/>
  <c r="BI156" i="1"/>
  <c r="BI220" i="1"/>
  <c r="BI339" i="1"/>
  <c r="BI331" i="1"/>
  <c r="BI323" i="1"/>
  <c r="BI307" i="1"/>
  <c r="BI337" i="1"/>
  <c r="BI329" i="1"/>
  <c r="BI321" i="1"/>
  <c r="BI313" i="1"/>
  <c r="BI305" i="1"/>
  <c r="BI311" i="1"/>
  <c r="BI303" i="1"/>
  <c r="BI216" i="1"/>
  <c r="BI212" i="1"/>
  <c r="BI208" i="1"/>
  <c r="BI204" i="1"/>
  <c r="BI200" i="1"/>
  <c r="BI196" i="1"/>
  <c r="BI192" i="1"/>
  <c r="BI188" i="1"/>
  <c r="BI184" i="1"/>
  <c r="BI180" i="1"/>
  <c r="BI315" i="1"/>
  <c r="BI309" i="1"/>
  <c r="BI327" i="1"/>
  <c r="BI343" i="1"/>
  <c r="BI207" i="1"/>
  <c r="BI195" i="1"/>
  <c r="BI177" i="1"/>
  <c r="BI193" i="1"/>
  <c r="BI209" i="1"/>
  <c r="BI312" i="1"/>
  <c r="BI178" i="1"/>
  <c r="BI194" i="1"/>
  <c r="BI210" i="1"/>
  <c r="BI314" i="1"/>
  <c r="BI316" i="1"/>
  <c r="BI302" i="1"/>
  <c r="BI334" i="1"/>
  <c r="BI317" i="1"/>
  <c r="BI333" i="1"/>
  <c r="BI183" i="1"/>
  <c r="BI215" i="1"/>
  <c r="BI203" i="1"/>
  <c r="BI181" i="1"/>
  <c r="BI197" i="1"/>
  <c r="BI213" i="1"/>
  <c r="BI320" i="1"/>
  <c r="BI182" i="1"/>
  <c r="BI198" i="1"/>
  <c r="BI214" i="1"/>
  <c r="BI322" i="1"/>
  <c r="BI324" i="1"/>
  <c r="BI310" i="1"/>
  <c r="BI319" i="1"/>
  <c r="BI335" i="1"/>
  <c r="BI191" i="1"/>
  <c r="BI179" i="1"/>
  <c r="BI211" i="1"/>
  <c r="BI185" i="1"/>
  <c r="BI201" i="1"/>
  <c r="BI217" i="1"/>
  <c r="BI328" i="1"/>
  <c r="BI186" i="1"/>
  <c r="BI202" i="1"/>
  <c r="BI218" i="1"/>
  <c r="BI330" i="1"/>
  <c r="BI332" i="1"/>
  <c r="BI318" i="1"/>
  <c r="BI325" i="1"/>
  <c r="BI341" i="1"/>
  <c r="BI199" i="1"/>
  <c r="BI187" i="1"/>
  <c r="BI308" i="1"/>
  <c r="BI189" i="1"/>
  <c r="BI205" i="1"/>
  <c r="BI304" i="1"/>
  <c r="BI336" i="1"/>
  <c r="BI190" i="1"/>
  <c r="BI206" i="1"/>
  <c r="BI306" i="1"/>
  <c r="BI338" i="1"/>
  <c r="BI340" i="1"/>
  <c r="BI326" i="1"/>
  <c r="BI342" i="1"/>
  <c r="BI262" i="1"/>
  <c r="BI366" i="1"/>
  <c r="BI363" i="1"/>
  <c r="BI347" i="1"/>
  <c r="BI299" i="1"/>
  <c r="BI293" i="1"/>
  <c r="BI287" i="1"/>
  <c r="BI275" i="1"/>
  <c r="BI164" i="1"/>
  <c r="BI157" i="1"/>
  <c r="BI64" i="1"/>
  <c r="BI48" i="1"/>
  <c r="BI32" i="1"/>
  <c r="BI16" i="1"/>
  <c r="BI367" i="1"/>
  <c r="BI355" i="1"/>
  <c r="BI291" i="1"/>
  <c r="BI281" i="1"/>
  <c r="BI269" i="1"/>
  <c r="BI263" i="1"/>
  <c r="BI172" i="1"/>
  <c r="BI351" i="1"/>
  <c r="BI295" i="1"/>
  <c r="BI292" i="1"/>
  <c r="BI289" i="1"/>
  <c r="BI279" i="1"/>
  <c r="BI260" i="1"/>
  <c r="BI244" i="1"/>
  <c r="BI228" i="1"/>
  <c r="BI169" i="1"/>
  <c r="BI7" i="1"/>
  <c r="BI19" i="1"/>
  <c r="BI23" i="1"/>
  <c r="BI35" i="1"/>
  <c r="BI47" i="1"/>
  <c r="BI51" i="1"/>
  <c r="BI63" i="1"/>
  <c r="BI71" i="1"/>
  <c r="BI79" i="1"/>
  <c r="BI91" i="1"/>
  <c r="BI95" i="1"/>
  <c r="BI107" i="1"/>
  <c r="BI123" i="1"/>
  <c r="BI131" i="1"/>
  <c r="BI139" i="1"/>
  <c r="BI151" i="1"/>
  <c r="BI155" i="1"/>
  <c r="BI163" i="1"/>
  <c r="BI171" i="1"/>
  <c r="BI221" i="1"/>
  <c r="BI225" i="1"/>
  <c r="BI229" i="1"/>
  <c r="BI237" i="1"/>
  <c r="BI241" i="1"/>
  <c r="BI249" i="1"/>
  <c r="BI257" i="1"/>
  <c r="BI24" i="1"/>
  <c r="BI45" i="1"/>
  <c r="BI252" i="1"/>
  <c r="BI271" i="1"/>
  <c r="BI9" i="1"/>
  <c r="BI17" i="1"/>
  <c r="BI25" i="1"/>
  <c r="BI33" i="1"/>
  <c r="BI41" i="1"/>
  <c r="BI49" i="1"/>
  <c r="BI57" i="1"/>
  <c r="BI65" i="1"/>
  <c r="BI69" i="1"/>
  <c r="BI73" i="1"/>
  <c r="BI77" i="1"/>
  <c r="BI81" i="1"/>
  <c r="BI85" i="1"/>
  <c r="BI89" i="1"/>
  <c r="BI93" i="1"/>
  <c r="BI97" i="1"/>
  <c r="BI101" i="1"/>
  <c r="BI105" i="1"/>
  <c r="BI109" i="1"/>
  <c r="BI113" i="1"/>
  <c r="BI117" i="1"/>
  <c r="BI121" i="1"/>
  <c r="BI125" i="1"/>
  <c r="BI129" i="1"/>
  <c r="BI133" i="1"/>
  <c r="BI137" i="1"/>
  <c r="BI141" i="1"/>
  <c r="BI145" i="1"/>
  <c r="BI149" i="1"/>
  <c r="BI153" i="1"/>
  <c r="BI165" i="1"/>
  <c r="BI173" i="1"/>
  <c r="BI219" i="1"/>
  <c r="BI223" i="1"/>
  <c r="BI227" i="1"/>
  <c r="BI231" i="1"/>
  <c r="BI235" i="1"/>
  <c r="BI239" i="1"/>
  <c r="BI243" i="1"/>
  <c r="BI247" i="1"/>
  <c r="BI251" i="1"/>
  <c r="BI255" i="1"/>
  <c r="BI259" i="1"/>
  <c r="BI264" i="1"/>
  <c r="BI268" i="1"/>
  <c r="BI272" i="1"/>
  <c r="BI276" i="1"/>
  <c r="BI280" i="1"/>
  <c r="BI284" i="1"/>
  <c r="BI288" i="1"/>
  <c r="BI296" i="1"/>
  <c r="BI300" i="1"/>
  <c r="BI346" i="1"/>
  <c r="BI350" i="1"/>
  <c r="BI354" i="1"/>
  <c r="BI358" i="1"/>
  <c r="BI362" i="1"/>
  <c r="BI10" i="1"/>
  <c r="BI14" i="1"/>
  <c r="BI18" i="1"/>
  <c r="BI22" i="1"/>
  <c r="BI26" i="1"/>
  <c r="BI30" i="1"/>
  <c r="BI34" i="1"/>
  <c r="BI38" i="1"/>
  <c r="BI42" i="1"/>
  <c r="BI46" i="1"/>
  <c r="BI50" i="1"/>
  <c r="BI54" i="1"/>
  <c r="BI58" i="1"/>
  <c r="BI62" i="1"/>
  <c r="BI66" i="1"/>
  <c r="BI70" i="1"/>
  <c r="BI74" i="1"/>
  <c r="BI78" i="1"/>
  <c r="BI82" i="1"/>
  <c r="BI86" i="1"/>
  <c r="BI90" i="1"/>
  <c r="BI94" i="1"/>
  <c r="BI98" i="1"/>
  <c r="BI102" i="1"/>
  <c r="BI106" i="1"/>
  <c r="BI110" i="1"/>
  <c r="BI114" i="1"/>
  <c r="BI118" i="1"/>
  <c r="BI122" i="1"/>
  <c r="BI126" i="1"/>
  <c r="BI130" i="1"/>
  <c r="BI134" i="1"/>
  <c r="BI138" i="1"/>
  <c r="BI142" i="1"/>
  <c r="BI146" i="1"/>
  <c r="BI150" i="1"/>
  <c r="BI154" i="1"/>
  <c r="BI158" i="1"/>
  <c r="BI162" i="1"/>
  <c r="BI166" i="1"/>
  <c r="BI170" i="1"/>
  <c r="BI174" i="1"/>
  <c r="BI224" i="1"/>
  <c r="BI232" i="1"/>
  <c r="BI240" i="1"/>
  <c r="BI248" i="1"/>
  <c r="BI256" i="1"/>
  <c r="BI265" i="1"/>
  <c r="BI273" i="1"/>
  <c r="BI277" i="1"/>
  <c r="BI285" i="1"/>
  <c r="BI297" i="1"/>
  <c r="BI245" i="1"/>
  <c r="BI253" i="1"/>
  <c r="BI261" i="1"/>
  <c r="BI266" i="1"/>
  <c r="BI270" i="1"/>
  <c r="BI274" i="1"/>
  <c r="BI278" i="1"/>
  <c r="BI282" i="1"/>
  <c r="BI286" i="1"/>
  <c r="BI290" i="1"/>
  <c r="BI294" i="1"/>
  <c r="BI298" i="1"/>
  <c r="BI344" i="1"/>
  <c r="BI348" i="1"/>
  <c r="BI352" i="1"/>
  <c r="BI356" i="1"/>
  <c r="BI360" i="1"/>
  <c r="BI364" i="1"/>
  <c r="BI12" i="1"/>
  <c r="BI20" i="1"/>
  <c r="BI28" i="1"/>
  <c r="BI36" i="1"/>
  <c r="BI44" i="1"/>
  <c r="BI52" i="1"/>
  <c r="BI60" i="1"/>
  <c r="BI68" i="1"/>
  <c r="BI72" i="1"/>
  <c r="BI76" i="1"/>
  <c r="BI80" i="1"/>
  <c r="BI84" i="1"/>
  <c r="BI88" i="1"/>
  <c r="BI92" i="1"/>
  <c r="BI96" i="1"/>
  <c r="BI100" i="1"/>
  <c r="BI104" i="1"/>
  <c r="BI108" i="1"/>
  <c r="BI112" i="1"/>
  <c r="BI116" i="1"/>
  <c r="BI120" i="1"/>
  <c r="BI124" i="1"/>
  <c r="BI128" i="1"/>
  <c r="BI132" i="1"/>
  <c r="BI136" i="1"/>
  <c r="BI140" i="1"/>
  <c r="BI144" i="1"/>
  <c r="BI148" i="1"/>
  <c r="BI152" i="1"/>
  <c r="BI160" i="1"/>
  <c r="BI168" i="1"/>
  <c r="BI176" i="1"/>
  <c r="BI222" i="1"/>
  <c r="BI226" i="1"/>
  <c r="BI230" i="1"/>
  <c r="BI234" i="1"/>
  <c r="BI238" i="1"/>
  <c r="BI242" i="1"/>
  <c r="BI246" i="1"/>
  <c r="BI250" i="1"/>
  <c r="BI254" i="1"/>
  <c r="BI258" i="1"/>
  <c r="BI345" i="1"/>
  <c r="BI349" i="1"/>
  <c r="BI353" i="1"/>
  <c r="BI357" i="1"/>
  <c r="BI361" i="1"/>
  <c r="BI365" i="1"/>
  <c r="BI369" i="1"/>
  <c r="N67" i="23"/>
  <c r="I69" i="23"/>
  <c r="K69" i="23" s="1"/>
  <c r="CX69" i="1" s="1"/>
  <c r="I71" i="23"/>
  <c r="K71" i="23" s="1"/>
  <c r="CX71" i="1" s="1"/>
  <c r="I73" i="23"/>
  <c r="K73" i="23" s="1"/>
  <c r="CX73" i="1" s="1"/>
  <c r="I75" i="23"/>
  <c r="K75" i="23" s="1"/>
  <c r="CX75" i="1" s="1"/>
  <c r="I77" i="23"/>
  <c r="K77" i="23" s="1"/>
  <c r="CX77" i="1" s="1"/>
  <c r="I79" i="23"/>
  <c r="K79" i="23" s="1"/>
  <c r="CX79" i="1" s="1"/>
  <c r="I81" i="23"/>
  <c r="K81" i="23" s="1"/>
  <c r="CX81" i="1" s="1"/>
  <c r="I83" i="23"/>
  <c r="K83" i="23" s="1"/>
  <c r="CX83" i="1" s="1"/>
  <c r="I85" i="23"/>
  <c r="K85" i="23" s="1"/>
  <c r="CX85" i="1" s="1"/>
  <c r="I87" i="23"/>
  <c r="K87" i="23" s="1"/>
  <c r="CX87" i="1" s="1"/>
  <c r="I89" i="23"/>
  <c r="K89" i="23" s="1"/>
  <c r="CX89" i="1" s="1"/>
  <c r="I91" i="23"/>
  <c r="K91" i="23" s="1"/>
  <c r="CX91" i="1" s="1"/>
  <c r="I93" i="23"/>
  <c r="K93" i="23" s="1"/>
  <c r="CX93" i="1" s="1"/>
  <c r="I95" i="23"/>
  <c r="K95" i="23" s="1"/>
  <c r="CX95" i="1" s="1"/>
  <c r="I98" i="23"/>
  <c r="K98" i="23" s="1"/>
  <c r="CX98" i="1" s="1"/>
  <c r="I100" i="23"/>
  <c r="K100" i="23" s="1"/>
  <c r="CX100" i="1" s="1"/>
  <c r="I105" i="23"/>
  <c r="K105" i="23" s="1"/>
  <c r="CX105" i="1" s="1"/>
  <c r="I107" i="23"/>
  <c r="K107" i="23" s="1"/>
  <c r="CX107" i="1" s="1"/>
  <c r="I112" i="23"/>
  <c r="K112" i="23" s="1"/>
  <c r="CX112" i="1" s="1"/>
  <c r="I114" i="23"/>
  <c r="K114" i="23" s="1"/>
  <c r="CX114" i="1" s="1"/>
  <c r="I116" i="23"/>
  <c r="K116" i="23" s="1"/>
  <c r="CX116" i="1" s="1"/>
  <c r="I118" i="23"/>
  <c r="K118" i="23" s="1"/>
  <c r="CX118" i="1" s="1"/>
  <c r="I120" i="23"/>
  <c r="K120" i="23" s="1"/>
  <c r="CX120" i="1" s="1"/>
  <c r="I122" i="23"/>
  <c r="K122" i="23" s="1"/>
  <c r="CX122" i="1" s="1"/>
  <c r="I124" i="23"/>
  <c r="K124" i="23" s="1"/>
  <c r="CX124" i="1" s="1"/>
  <c r="I129" i="23"/>
  <c r="K129" i="23" s="1"/>
  <c r="CX129" i="1" s="1"/>
  <c r="I131" i="23"/>
  <c r="K131" i="23" s="1"/>
  <c r="CX131" i="1" s="1"/>
  <c r="I133" i="23"/>
  <c r="K133" i="23" s="1"/>
  <c r="CX133" i="1" s="1"/>
  <c r="I135" i="23"/>
  <c r="K135" i="23" s="1"/>
  <c r="CX135" i="1" s="1"/>
  <c r="I137" i="23"/>
  <c r="I141" i="23"/>
  <c r="K141" i="23" s="1"/>
  <c r="CX141" i="1" s="1"/>
  <c r="I143" i="23"/>
  <c r="K143" i="23" s="1"/>
  <c r="CX143" i="1" s="1"/>
  <c r="I145" i="23"/>
  <c r="I147" i="23"/>
  <c r="I149" i="23"/>
  <c r="I151" i="23"/>
  <c r="I153" i="23"/>
  <c r="I155" i="23"/>
  <c r="I110" i="23"/>
  <c r="K110" i="23" s="1"/>
  <c r="CX110" i="1" s="1"/>
  <c r="I109" i="23"/>
  <c r="K109" i="23" s="1"/>
  <c r="CX109" i="1" s="1"/>
  <c r="BF377" i="1"/>
  <c r="H96" i="23"/>
  <c r="I96" i="23" s="1"/>
  <c r="K96" i="23" s="1"/>
  <c r="CX96" i="1" s="1"/>
  <c r="BF384" i="1"/>
  <c r="I68" i="23"/>
  <c r="K68" i="23" s="1"/>
  <c r="CX68" i="1" s="1"/>
  <c r="I70" i="23"/>
  <c r="K70" i="23" s="1"/>
  <c r="CX70" i="1" s="1"/>
  <c r="I72" i="23"/>
  <c r="K72" i="23" s="1"/>
  <c r="CX72" i="1" s="1"/>
  <c r="I74" i="23"/>
  <c r="K74" i="23" s="1"/>
  <c r="CX74" i="1" s="1"/>
  <c r="I76" i="23"/>
  <c r="K76" i="23" s="1"/>
  <c r="CX76" i="1" s="1"/>
  <c r="I78" i="23"/>
  <c r="K78" i="23" s="1"/>
  <c r="CX78" i="1" s="1"/>
  <c r="I80" i="23"/>
  <c r="K80" i="23" s="1"/>
  <c r="CX80" i="1" s="1"/>
  <c r="I82" i="23"/>
  <c r="K82" i="23" s="1"/>
  <c r="CX82" i="1" s="1"/>
  <c r="I84" i="23"/>
  <c r="K84" i="23" s="1"/>
  <c r="CX84" i="1" s="1"/>
  <c r="I86" i="23"/>
  <c r="K86" i="23" s="1"/>
  <c r="CX86" i="1" s="1"/>
  <c r="I88" i="23"/>
  <c r="K88" i="23" s="1"/>
  <c r="CX88" i="1" s="1"/>
  <c r="I90" i="23"/>
  <c r="K90" i="23" s="1"/>
  <c r="CX90" i="1" s="1"/>
  <c r="I92" i="23"/>
  <c r="K92" i="23" s="1"/>
  <c r="CX92" i="1" s="1"/>
  <c r="I94" i="23"/>
  <c r="K94" i="23" s="1"/>
  <c r="CX94" i="1" s="1"/>
  <c r="I99" i="23"/>
  <c r="K99" i="23" s="1"/>
  <c r="CX99" i="1" s="1"/>
  <c r="I101" i="23"/>
  <c r="K101" i="23" s="1"/>
  <c r="CX101" i="1" s="1"/>
  <c r="I102" i="23"/>
  <c r="K102" i="23" s="1"/>
  <c r="CX102" i="1" s="1"/>
  <c r="I104" i="23"/>
  <c r="K104" i="23" s="1"/>
  <c r="CX104" i="1" s="1"/>
  <c r="I106" i="23"/>
  <c r="K106" i="23" s="1"/>
  <c r="CX106" i="1" s="1"/>
  <c r="I108" i="23"/>
  <c r="K108" i="23" s="1"/>
  <c r="CX108" i="1" s="1"/>
  <c r="I113" i="23"/>
  <c r="K113" i="23" s="1"/>
  <c r="CX113" i="1" s="1"/>
  <c r="I115" i="23"/>
  <c r="K115" i="23" s="1"/>
  <c r="CX115" i="1" s="1"/>
  <c r="I117" i="23"/>
  <c r="K117" i="23" s="1"/>
  <c r="CX117" i="1" s="1"/>
  <c r="I119" i="23"/>
  <c r="K119" i="23" s="1"/>
  <c r="CX119" i="1" s="1"/>
  <c r="I121" i="23"/>
  <c r="K121" i="23" s="1"/>
  <c r="CX121" i="1" s="1"/>
  <c r="I123" i="23"/>
  <c r="K123" i="23" s="1"/>
  <c r="CX123" i="1" s="1"/>
  <c r="I125" i="23"/>
  <c r="K125" i="23" s="1"/>
  <c r="CX125" i="1" s="1"/>
  <c r="I128" i="23"/>
  <c r="K128" i="23" s="1"/>
  <c r="CX128" i="1" s="1"/>
  <c r="I130" i="23"/>
  <c r="K130" i="23" s="1"/>
  <c r="CX130" i="1" s="1"/>
  <c r="I132" i="23"/>
  <c r="K132" i="23" s="1"/>
  <c r="CX132" i="1" s="1"/>
  <c r="I134" i="23"/>
  <c r="K134" i="23" s="1"/>
  <c r="CX134" i="1" s="1"/>
  <c r="I136" i="23"/>
  <c r="I138" i="23"/>
  <c r="I140" i="23"/>
  <c r="K140" i="23" s="1"/>
  <c r="CX140" i="1" s="1"/>
  <c r="I142" i="23"/>
  <c r="K142" i="23" s="1"/>
  <c r="CX142" i="1" s="1"/>
  <c r="I144" i="23"/>
  <c r="K144" i="23" s="1"/>
  <c r="CX144" i="1" s="1"/>
  <c r="I146" i="23"/>
  <c r="I148" i="23"/>
  <c r="I150" i="23"/>
  <c r="I152" i="23"/>
  <c r="I154" i="23"/>
  <c r="I156" i="23"/>
  <c r="BF378" i="1"/>
  <c r="H126" i="23"/>
  <c r="I126" i="23" s="1"/>
  <c r="K126" i="23" s="1"/>
  <c r="CX126" i="1" s="1"/>
  <c r="BK377" i="1"/>
  <c r="BK390" i="1"/>
  <c r="BK391" i="1"/>
  <c r="BK378" i="1"/>
  <c r="BK396" i="1"/>
  <c r="BK383" i="1"/>
  <c r="BK397" i="1"/>
  <c r="BK384" i="1"/>
  <c r="BK398" i="1"/>
  <c r="BK385" i="1"/>
  <c r="I139" i="23"/>
  <c r="K139" i="23" s="1"/>
  <c r="CX139" i="1" s="1"/>
  <c r="BF379" i="1"/>
  <c r="H157" i="23"/>
  <c r="C67" i="23"/>
  <c r="BJ377" i="1"/>
  <c r="BJ390" i="1"/>
  <c r="C97" i="23"/>
  <c r="BJ391" i="1"/>
  <c r="BJ378" i="1"/>
  <c r="C127" i="23"/>
  <c r="C268" i="23"/>
  <c r="BJ383" i="1"/>
  <c r="BJ396" i="1"/>
  <c r="C280" i="23"/>
  <c r="BJ397" i="1"/>
  <c r="BJ384" i="1"/>
  <c r="C311" i="23"/>
  <c r="BJ385" i="1"/>
  <c r="BJ398" i="1"/>
  <c r="C341" i="23"/>
  <c r="BJ399" i="1"/>
  <c r="BJ386" i="1"/>
  <c r="BO390" i="1"/>
  <c r="BO377" i="1"/>
  <c r="BR377" i="1"/>
  <c r="BR378" i="1"/>
  <c r="BO391" i="1"/>
  <c r="BO378" i="1"/>
  <c r="BR379" i="1"/>
  <c r="BO379" i="1"/>
  <c r="BO392" i="1"/>
  <c r="BO396" i="1"/>
  <c r="BR383" i="1"/>
  <c r="BO383" i="1"/>
  <c r="BO397" i="1"/>
  <c r="BO384" i="1"/>
  <c r="BR384" i="1"/>
  <c r="BO398" i="1"/>
  <c r="BR385" i="1"/>
  <c r="BO385" i="1"/>
  <c r="BO399" i="1"/>
  <c r="BO386" i="1"/>
  <c r="BR386" i="1"/>
  <c r="BF391" i="1"/>
  <c r="BF390" i="1"/>
  <c r="BF392" i="1"/>
  <c r="BF397" i="1"/>
  <c r="BI370" i="1"/>
  <c r="BK156" i="1"/>
  <c r="BK379" i="1" s="1"/>
  <c r="BK386" i="1"/>
  <c r="BJ156" i="1"/>
  <c r="C156" i="23" s="1"/>
  <c r="BI371" i="1"/>
  <c r="S9" i="23" l="1"/>
  <c r="T9" i="23" s="1"/>
  <c r="K376" i="23"/>
  <c r="I97" i="23"/>
  <c r="K97" i="23" s="1"/>
  <c r="P11" i="23"/>
  <c r="Q11" i="23" s="1"/>
  <c r="R11" i="23" s="1"/>
  <c r="S10" i="23"/>
  <c r="T10" i="23" s="1"/>
  <c r="N68" i="23"/>
  <c r="N69" i="23" s="1"/>
  <c r="N70" i="23" s="1"/>
  <c r="N71" i="23" s="1"/>
  <c r="N72" i="23" s="1"/>
  <c r="N73" i="23" s="1"/>
  <c r="N74" i="23" s="1"/>
  <c r="N75" i="23" s="1"/>
  <c r="N76" i="23" s="1"/>
  <c r="N77" i="23" s="1"/>
  <c r="N78" i="23" s="1"/>
  <c r="N79" i="23" s="1"/>
  <c r="N80" i="23" s="1"/>
  <c r="N81" i="23" s="1"/>
  <c r="N82" i="23" s="1"/>
  <c r="N83" i="23" s="1"/>
  <c r="N84" i="23" s="1"/>
  <c r="N85" i="23" s="1"/>
  <c r="N86" i="23" s="1"/>
  <c r="N87" i="23" s="1"/>
  <c r="N88" i="23" s="1"/>
  <c r="N89" i="23" s="1"/>
  <c r="N90" i="23" s="1"/>
  <c r="N91" i="23" s="1"/>
  <c r="N92" i="23" s="1"/>
  <c r="N93" i="23" s="1"/>
  <c r="N94" i="23" s="1"/>
  <c r="N95" i="23" s="1"/>
  <c r="N96" i="23" s="1"/>
  <c r="N97" i="23" s="1"/>
  <c r="N98" i="23" s="1"/>
  <c r="N99" i="23" s="1"/>
  <c r="N100" i="23" s="1"/>
  <c r="N101" i="23" s="1"/>
  <c r="N102" i="23" s="1"/>
  <c r="N103" i="23" s="1"/>
  <c r="N104" i="23" s="1"/>
  <c r="N105" i="23" s="1"/>
  <c r="N106" i="23" s="1"/>
  <c r="N107" i="23" s="1"/>
  <c r="N108" i="23" s="1"/>
  <c r="N109" i="23" s="1"/>
  <c r="N110" i="23" s="1"/>
  <c r="N111" i="23" s="1"/>
  <c r="N112" i="23" s="1"/>
  <c r="N113" i="23" s="1"/>
  <c r="N114" i="23" s="1"/>
  <c r="N115" i="23" s="1"/>
  <c r="N116" i="23" s="1"/>
  <c r="N117" i="23" s="1"/>
  <c r="N118" i="23" s="1"/>
  <c r="N119" i="23" s="1"/>
  <c r="N120" i="23" s="1"/>
  <c r="N121" i="23" s="1"/>
  <c r="N122" i="23" s="1"/>
  <c r="N123" i="23" s="1"/>
  <c r="N124" i="23" s="1"/>
  <c r="N125" i="23" s="1"/>
  <c r="N126" i="23" s="1"/>
  <c r="I127" i="23"/>
  <c r="K127" i="23" s="1"/>
  <c r="BQ397" i="1"/>
  <c r="BQ396" i="1"/>
  <c r="BQ398" i="1"/>
  <c r="BU385" i="1"/>
  <c r="BQ385" i="1"/>
  <c r="BQ391" i="1"/>
  <c r="BQ378" i="1"/>
  <c r="BU378" i="1"/>
  <c r="BJ392" i="1"/>
  <c r="BK399" i="1"/>
  <c r="BK392" i="1"/>
  <c r="BQ384" i="1"/>
  <c r="BU384" i="1"/>
  <c r="BU383" i="1"/>
  <c r="BU386" i="1"/>
  <c r="BQ399" i="1"/>
  <c r="BQ386" i="1"/>
  <c r="BQ392" i="1"/>
  <c r="BQ379" i="1"/>
  <c r="BU379" i="1"/>
  <c r="BQ377" i="1"/>
  <c r="BQ390" i="1"/>
  <c r="BU377" i="1"/>
  <c r="BJ379" i="1"/>
  <c r="I158" i="23"/>
  <c r="I157" i="23"/>
  <c r="BQ383" i="1"/>
  <c r="K378" i="23" l="1"/>
  <c r="CX127" i="1"/>
  <c r="K377" i="23"/>
  <c r="CX97" i="1"/>
  <c r="S11" i="23"/>
  <c r="T11" i="23" s="1"/>
  <c r="P12" i="23"/>
  <c r="Q12" i="23" s="1"/>
  <c r="R12" i="23" s="1"/>
  <c r="N127" i="23"/>
  <c r="N128" i="23" s="1"/>
  <c r="N129" i="23" s="1"/>
  <c r="N130" i="23" s="1"/>
  <c r="N131" i="23" s="1"/>
  <c r="N132" i="23" s="1"/>
  <c r="N133" i="23" s="1"/>
  <c r="N134" i="23" s="1"/>
  <c r="N135" i="23" s="1"/>
  <c r="N136" i="23" s="1"/>
  <c r="N137" i="23" s="1"/>
  <c r="N138" i="23" s="1"/>
  <c r="N139" i="23" s="1"/>
  <c r="N140" i="23" s="1"/>
  <c r="N141" i="23" s="1"/>
  <c r="N142" i="23" s="1"/>
  <c r="N143" i="23" s="1"/>
  <c r="N144" i="23" s="1"/>
  <c r="N145" i="23" s="1"/>
  <c r="N146" i="23" s="1"/>
  <c r="N147" i="23" s="1"/>
  <c r="N148" i="23" s="1"/>
  <c r="N149" i="23" s="1"/>
  <c r="N150" i="23" s="1"/>
  <c r="N151" i="23" s="1"/>
  <c r="N152" i="23" s="1"/>
  <c r="N153" i="23" s="1"/>
  <c r="N154" i="23" s="1"/>
  <c r="N155" i="23" s="1"/>
  <c r="N156" i="23" s="1"/>
  <c r="N157" i="23" s="1"/>
  <c r="N158" i="23" s="1"/>
  <c r="N159" i="23" s="1"/>
  <c r="N160" i="23" s="1"/>
  <c r="N161" i="23" s="1"/>
  <c r="N162" i="23" s="1"/>
  <c r="N163" i="23" s="1"/>
  <c r="N164" i="23" s="1"/>
  <c r="N165" i="23" s="1"/>
  <c r="N166" i="23" s="1"/>
  <c r="N167" i="23" s="1"/>
  <c r="N168" i="23" s="1"/>
  <c r="N169" i="23" s="1"/>
  <c r="N170" i="23" s="1"/>
  <c r="N171" i="23" s="1"/>
  <c r="N172" i="23" s="1"/>
  <c r="N173" i="23" s="1"/>
  <c r="N174" i="23" s="1"/>
  <c r="N175" i="23" s="1"/>
  <c r="N176" i="23" s="1"/>
  <c r="N177" i="23" s="1"/>
  <c r="N178" i="23" s="1"/>
  <c r="N179" i="23" s="1"/>
  <c r="N180" i="23" s="1"/>
  <c r="N181" i="23" s="1"/>
  <c r="N182" i="23" s="1"/>
  <c r="N183" i="23" s="1"/>
  <c r="N184" i="23" s="1"/>
  <c r="N185" i="23" s="1"/>
  <c r="N186" i="23" s="1"/>
  <c r="N187" i="23" s="1"/>
  <c r="N188" i="23" s="1"/>
  <c r="N189" i="23" s="1"/>
  <c r="N190" i="23" s="1"/>
  <c r="N191" i="23" s="1"/>
  <c r="N192" i="23" s="1"/>
  <c r="N193" i="23" s="1"/>
  <c r="N194" i="23" s="1"/>
  <c r="N195" i="23" s="1"/>
  <c r="N196" i="23" s="1"/>
  <c r="N197" i="23" s="1"/>
  <c r="N198" i="23" s="1"/>
  <c r="N199" i="23" s="1"/>
  <c r="N200" i="23" s="1"/>
  <c r="N201" i="23" s="1"/>
  <c r="N202" i="23" s="1"/>
  <c r="N203" i="23" s="1"/>
  <c r="N204" i="23" s="1"/>
  <c r="N205" i="23" s="1"/>
  <c r="N206" i="23" s="1"/>
  <c r="N207" i="23" s="1"/>
  <c r="N208" i="23" s="1"/>
  <c r="N209" i="23" s="1"/>
  <c r="N210" i="23" s="1"/>
  <c r="N211" i="23" s="1"/>
  <c r="N212" i="23" s="1"/>
  <c r="N213" i="23" s="1"/>
  <c r="N214" i="23" s="1"/>
  <c r="N215" i="23" s="1"/>
  <c r="N216" i="23" s="1"/>
  <c r="N217" i="23" s="1"/>
  <c r="N218" i="23" s="1"/>
  <c r="N219" i="23" s="1"/>
  <c r="N220" i="23" s="1"/>
  <c r="N221" i="23" s="1"/>
  <c r="N222" i="23" s="1"/>
  <c r="N223" i="23" s="1"/>
  <c r="N224" i="23" s="1"/>
  <c r="N225" i="23" s="1"/>
  <c r="N226" i="23" s="1"/>
  <c r="N227" i="23" s="1"/>
  <c r="N228" i="23" s="1"/>
  <c r="N229" i="23" s="1"/>
  <c r="N230" i="23" s="1"/>
  <c r="N231" i="23" s="1"/>
  <c r="N232" i="23" s="1"/>
  <c r="N233" i="23" s="1"/>
  <c r="N234" i="23" s="1"/>
  <c r="N235" i="23" s="1"/>
  <c r="N236" i="23" s="1"/>
  <c r="N237" i="23" s="1"/>
  <c r="N238" i="23" s="1"/>
  <c r="N239" i="23" s="1"/>
  <c r="N240" i="23" s="1"/>
  <c r="N241" i="23" s="1"/>
  <c r="N242" i="23" s="1"/>
  <c r="N243" i="23" s="1"/>
  <c r="N244" i="23" s="1"/>
  <c r="N245" i="23" s="1"/>
  <c r="N246" i="23" s="1"/>
  <c r="N247" i="23" s="1"/>
  <c r="N248" i="23" s="1"/>
  <c r="N249" i="23" s="1"/>
  <c r="N250" i="23" s="1"/>
  <c r="N251" i="23" s="1"/>
  <c r="N252" i="23" s="1"/>
  <c r="N253" i="23" s="1"/>
  <c r="N254" i="23" s="1"/>
  <c r="N255" i="23" s="1"/>
  <c r="N256" i="23" s="1"/>
  <c r="N257" i="23" s="1"/>
  <c r="N258" i="23" s="1"/>
  <c r="N259" i="23" s="1"/>
  <c r="N260" i="23" s="1"/>
  <c r="N261" i="23" s="1"/>
  <c r="N262" i="23" s="1"/>
  <c r="N263" i="23" s="1"/>
  <c r="N264" i="23" s="1"/>
  <c r="N265" i="23" s="1"/>
  <c r="N266" i="23" s="1"/>
  <c r="N267" i="23" s="1"/>
  <c r="N268" i="23" s="1"/>
  <c r="N269" i="23" s="1"/>
  <c r="N270" i="23" s="1"/>
  <c r="N271" i="23" s="1"/>
  <c r="N272" i="23" s="1"/>
  <c r="N273" i="23" s="1"/>
  <c r="N274" i="23" s="1"/>
  <c r="N275" i="23" s="1"/>
  <c r="N276" i="23" s="1"/>
  <c r="N277" i="23" s="1"/>
  <c r="N278" i="23" s="1"/>
  <c r="N279" i="23" s="1"/>
  <c r="N280" i="23" s="1"/>
  <c r="N281" i="23" s="1"/>
  <c r="N282" i="23" s="1"/>
  <c r="N283" i="23" s="1"/>
  <c r="N284" i="23" s="1"/>
  <c r="N285" i="23" s="1"/>
  <c r="N286" i="23" s="1"/>
  <c r="N287" i="23" s="1"/>
  <c r="N288" i="23" s="1"/>
  <c r="N289" i="23" s="1"/>
  <c r="N290" i="23" s="1"/>
  <c r="N291" i="23" s="1"/>
  <c r="N292" i="23" s="1"/>
  <c r="N293" i="23" s="1"/>
  <c r="N294" i="23" s="1"/>
  <c r="N295" i="23" s="1"/>
  <c r="N296" i="23" s="1"/>
  <c r="N297" i="23" s="1"/>
  <c r="N298" i="23" s="1"/>
  <c r="N299" i="23" s="1"/>
  <c r="N300" i="23" s="1"/>
  <c r="N301" i="23" s="1"/>
  <c r="N302" i="23" s="1"/>
  <c r="N303" i="23" s="1"/>
  <c r="N304" i="23" s="1"/>
  <c r="N305" i="23" s="1"/>
  <c r="N306" i="23" s="1"/>
  <c r="N307" i="23" s="1"/>
  <c r="S12" i="23" l="1"/>
  <c r="T12" i="23" s="1"/>
  <c r="P13" i="23"/>
  <c r="Q13" i="23" s="1"/>
  <c r="R13" i="23" s="1"/>
  <c r="S13" i="23" l="1"/>
  <c r="T13" i="23" s="1"/>
  <c r="P14" i="23"/>
  <c r="Q14" i="23" s="1"/>
  <c r="R14" i="23" s="1"/>
  <c r="P15" i="23" l="1"/>
  <c r="Q15" i="23" s="1"/>
  <c r="R15" i="23" s="1"/>
  <c r="S14" i="23"/>
  <c r="T14" i="23" s="1"/>
  <c r="P16" i="23" l="1"/>
  <c r="Q16" i="23" s="1"/>
  <c r="R16" i="23" s="1"/>
  <c r="S15" i="23"/>
  <c r="T15" i="23" s="1"/>
  <c r="S16" i="23" l="1"/>
  <c r="T16" i="23" s="1"/>
  <c r="P17" i="23"/>
  <c r="Q17" i="23" s="1"/>
  <c r="R17" i="23" s="1"/>
  <c r="P18" i="23" l="1"/>
  <c r="Q18" i="23" s="1"/>
  <c r="R18" i="23" s="1"/>
  <c r="S17" i="23"/>
  <c r="T17" i="23" s="1"/>
  <c r="P19" i="23" l="1"/>
  <c r="Q19" i="23" s="1"/>
  <c r="R19" i="23" s="1"/>
  <c r="S18" i="23"/>
  <c r="T18" i="23" s="1"/>
  <c r="S19" i="23" l="1"/>
  <c r="T19" i="23" s="1"/>
  <c r="P20" i="23"/>
  <c r="Q20" i="23" s="1"/>
  <c r="R20" i="23" s="1"/>
  <c r="S20" i="23" l="1"/>
  <c r="T20" i="23" s="1"/>
  <c r="P21" i="23"/>
  <c r="Q21" i="23" s="1"/>
  <c r="R21" i="23" s="1"/>
  <c r="P22" i="23" l="1"/>
  <c r="Q22" i="23" s="1"/>
  <c r="R22" i="23" s="1"/>
  <c r="S21" i="23"/>
  <c r="T21" i="23" s="1"/>
  <c r="P23" i="23" l="1"/>
  <c r="Q23" i="23" s="1"/>
  <c r="R23" i="23" s="1"/>
  <c r="S22" i="23"/>
  <c r="T22" i="23" s="1"/>
  <c r="S23" i="23" l="1"/>
  <c r="T23" i="23" s="1"/>
  <c r="P24" i="23"/>
  <c r="Q24" i="23" s="1"/>
  <c r="R24" i="23" s="1"/>
  <c r="S24" i="23" l="1"/>
  <c r="T24" i="23" s="1"/>
  <c r="P25" i="23"/>
  <c r="Q25" i="23" s="1"/>
  <c r="R25" i="23" s="1"/>
  <c r="P26" i="23" l="1"/>
  <c r="Q26" i="23" s="1"/>
  <c r="R26" i="23" s="1"/>
  <c r="S25" i="23"/>
  <c r="T25" i="23" s="1"/>
  <c r="P27" i="23" l="1"/>
  <c r="Q27" i="23" s="1"/>
  <c r="R27" i="23" s="1"/>
  <c r="S26" i="23"/>
  <c r="T26" i="23" s="1"/>
  <c r="P28" i="23" l="1"/>
  <c r="Q28" i="23" s="1"/>
  <c r="R28" i="23" s="1"/>
  <c r="S27" i="23"/>
  <c r="T27" i="23" s="1"/>
  <c r="S28" i="23" l="1"/>
  <c r="T28" i="23" s="1"/>
  <c r="P29" i="23"/>
  <c r="Q29" i="23" s="1"/>
  <c r="R29" i="23" s="1"/>
  <c r="P30" i="23" l="1"/>
  <c r="Q30" i="23" s="1"/>
  <c r="R30" i="23" s="1"/>
  <c r="S29" i="23"/>
  <c r="T29" i="23" s="1"/>
  <c r="P31" i="23" l="1"/>
  <c r="Q31" i="23" s="1"/>
  <c r="R31" i="23" s="1"/>
  <c r="S30" i="23"/>
  <c r="T30" i="23" s="1"/>
  <c r="S31" i="23" l="1"/>
  <c r="T31" i="23" s="1"/>
  <c r="P32" i="23"/>
  <c r="Q32" i="23" s="1"/>
  <c r="R32" i="23" s="1"/>
  <c r="S32" i="23" l="1"/>
  <c r="T32" i="23" s="1"/>
  <c r="P33" i="23"/>
  <c r="Q33" i="23" s="1"/>
  <c r="R33" i="23" s="1"/>
  <c r="P34" i="23" l="1"/>
  <c r="Q34" i="23" s="1"/>
  <c r="R34" i="23" s="1"/>
  <c r="S33" i="23"/>
  <c r="T33" i="23" s="1"/>
  <c r="P35" i="23" l="1"/>
  <c r="Q35" i="23" s="1"/>
  <c r="R35" i="23" s="1"/>
  <c r="S34" i="23"/>
  <c r="T34" i="23" s="1"/>
  <c r="S35" i="23" l="1"/>
  <c r="T35" i="23" s="1"/>
  <c r="P36" i="23"/>
  <c r="Q36" i="23" l="1"/>
  <c r="R36" i="23" s="1"/>
  <c r="P37" i="23" l="1"/>
  <c r="Q37" i="23" s="1"/>
  <c r="R37" i="23" s="1"/>
  <c r="S36" i="23"/>
  <c r="T36" i="23" s="1"/>
  <c r="P38" i="23" l="1"/>
  <c r="Q38" i="23" s="1"/>
  <c r="R38" i="23" s="1"/>
  <c r="S37" i="23"/>
  <c r="T37" i="23" s="1"/>
  <c r="P39" i="23" l="1"/>
  <c r="Q39" i="23" s="1"/>
  <c r="R39" i="23" s="1"/>
  <c r="S38" i="23"/>
  <c r="T38" i="23" s="1"/>
  <c r="P40" i="23" l="1"/>
  <c r="Q40" i="23" s="1"/>
  <c r="R40" i="23" s="1"/>
  <c r="S39" i="23"/>
  <c r="T39" i="23" s="1"/>
  <c r="P41" i="23" l="1"/>
  <c r="Q41" i="23" s="1"/>
  <c r="R41" i="23" s="1"/>
  <c r="S40" i="23"/>
  <c r="T40" i="23" s="1"/>
  <c r="P42" i="23" l="1"/>
  <c r="Q42" i="23" s="1"/>
  <c r="R42" i="23" s="1"/>
  <c r="S41" i="23"/>
  <c r="T41" i="23" s="1"/>
  <c r="P43" i="23" l="1"/>
  <c r="Q43" i="23" s="1"/>
  <c r="R43" i="23" s="1"/>
  <c r="S42" i="23"/>
  <c r="T42" i="23" s="1"/>
  <c r="P44" i="23" l="1"/>
  <c r="Q44" i="23" s="1"/>
  <c r="R44" i="23" s="1"/>
  <c r="S43" i="23"/>
  <c r="T43" i="23" s="1"/>
  <c r="P45" i="23" l="1"/>
  <c r="Q45" i="23" s="1"/>
  <c r="R45" i="23" s="1"/>
  <c r="S44" i="23"/>
  <c r="T44" i="23" s="1"/>
  <c r="P46" i="23" l="1"/>
  <c r="Q46" i="23" s="1"/>
  <c r="R46" i="23" s="1"/>
  <c r="S45" i="23"/>
  <c r="T45" i="23" s="1"/>
  <c r="P47" i="23" l="1"/>
  <c r="Q47" i="23" s="1"/>
  <c r="R47" i="23" s="1"/>
  <c r="S46" i="23"/>
  <c r="T46" i="23" s="1"/>
  <c r="P48" i="23" l="1"/>
  <c r="Q48" i="23" s="1"/>
  <c r="R48" i="23" s="1"/>
  <c r="S47" i="23"/>
  <c r="T47" i="23" s="1"/>
  <c r="P49" i="23" l="1"/>
  <c r="Q49" i="23" s="1"/>
  <c r="R49" i="23" s="1"/>
  <c r="S48" i="23"/>
  <c r="T48" i="23" s="1"/>
  <c r="P50" i="23" l="1"/>
  <c r="Q50" i="23" s="1"/>
  <c r="R50" i="23" s="1"/>
  <c r="S49" i="23"/>
  <c r="T49" i="23" s="1"/>
  <c r="P51" i="23" l="1"/>
  <c r="Q51" i="23" s="1"/>
  <c r="R51" i="23" s="1"/>
  <c r="S50" i="23"/>
  <c r="T50" i="23" s="1"/>
  <c r="P52" i="23" l="1"/>
  <c r="Q52" i="23" s="1"/>
  <c r="R52" i="23" s="1"/>
  <c r="S51" i="23"/>
  <c r="T51" i="23" s="1"/>
  <c r="P53" i="23" l="1"/>
  <c r="Q53" i="23" s="1"/>
  <c r="R53" i="23" s="1"/>
  <c r="S52" i="23"/>
  <c r="T52" i="23" s="1"/>
  <c r="P54" i="23" l="1"/>
  <c r="Q54" i="23" s="1"/>
  <c r="R54" i="23" s="1"/>
  <c r="S53" i="23"/>
  <c r="T53" i="23" s="1"/>
  <c r="P55" i="23" l="1"/>
  <c r="Q55" i="23" s="1"/>
  <c r="R55" i="23" s="1"/>
  <c r="S54" i="23"/>
  <c r="T54" i="23" s="1"/>
  <c r="S55" i="23" l="1"/>
  <c r="T55" i="23" s="1"/>
  <c r="P56" i="23"/>
  <c r="Q56" i="23" s="1"/>
  <c r="R56" i="23" s="1"/>
  <c r="S56" i="23" l="1"/>
  <c r="T56" i="23" s="1"/>
  <c r="P57" i="23"/>
  <c r="Q57" i="23" s="1"/>
  <c r="R57" i="23" s="1"/>
  <c r="P58" i="23" l="1"/>
  <c r="Q58" i="23" s="1"/>
  <c r="R58" i="23" s="1"/>
  <c r="S57" i="23"/>
  <c r="T57" i="23" s="1"/>
  <c r="S58" i="23" l="1"/>
  <c r="T58" i="23" s="1"/>
  <c r="P59" i="23"/>
  <c r="Q59" i="23" s="1"/>
  <c r="R59" i="23" s="1"/>
  <c r="P60" i="23" l="1"/>
  <c r="Q60" i="23" s="1"/>
  <c r="R60" i="23" s="1"/>
  <c r="S59" i="23"/>
  <c r="T59" i="23" s="1"/>
  <c r="P61" i="23" l="1"/>
  <c r="Q61" i="23" s="1"/>
  <c r="R61" i="23" s="1"/>
  <c r="S60" i="23"/>
  <c r="T60" i="23" s="1"/>
  <c r="P62" i="23" l="1"/>
  <c r="Q62" i="23" s="1"/>
  <c r="R62" i="23" s="1"/>
  <c r="S61" i="23"/>
  <c r="T61" i="23" s="1"/>
  <c r="P63" i="23" l="1"/>
  <c r="Q63" i="23" s="1"/>
  <c r="R63" i="23" s="1"/>
  <c r="S62" i="23"/>
  <c r="T62" i="23" s="1"/>
  <c r="P64" i="23" l="1"/>
  <c r="Q64" i="23" s="1"/>
  <c r="R64" i="23" s="1"/>
  <c r="S63" i="23"/>
  <c r="T63" i="23" s="1"/>
  <c r="P65" i="23" l="1"/>
  <c r="Q65" i="23" s="1"/>
  <c r="R65" i="23" s="1"/>
  <c r="S64" i="23"/>
  <c r="T64" i="23" s="1"/>
  <c r="P66" i="23" l="1"/>
  <c r="Q66" i="23" s="1"/>
  <c r="R66" i="23" s="1"/>
  <c r="S65" i="23"/>
  <c r="T65" i="23" s="1"/>
  <c r="P67" i="23" l="1"/>
  <c r="Q67" i="23" s="1"/>
  <c r="R67" i="23" s="1"/>
  <c r="S66" i="23"/>
  <c r="T66" i="23" s="1"/>
  <c r="S67" i="23" l="1"/>
  <c r="T67" i="23" s="1"/>
  <c r="P68" i="23"/>
  <c r="Q68" i="23" s="1"/>
  <c r="R68" i="23" s="1"/>
  <c r="S68" i="23" l="1"/>
  <c r="T68" i="23" s="1"/>
  <c r="P69" i="23"/>
  <c r="Q69" i="23" s="1"/>
  <c r="R69" i="23" s="1"/>
  <c r="S69" i="23" l="1"/>
  <c r="T69" i="23" s="1"/>
  <c r="P70" i="23"/>
  <c r="Q70" i="23" s="1"/>
  <c r="R70" i="23" s="1"/>
  <c r="S70" i="23" l="1"/>
  <c r="T70" i="23" s="1"/>
  <c r="P71" i="23"/>
  <c r="Q71" i="23" s="1"/>
  <c r="R71" i="23" s="1"/>
  <c r="S71" i="23" l="1"/>
  <c r="T71" i="23" s="1"/>
  <c r="P72" i="23"/>
  <c r="Q72" i="23" s="1"/>
  <c r="R72" i="23" s="1"/>
  <c r="S72" i="23" l="1"/>
  <c r="T72" i="23" s="1"/>
  <c r="P73" i="23"/>
  <c r="Q73" i="23" s="1"/>
  <c r="R73" i="23" s="1"/>
  <c r="P74" i="23" l="1"/>
  <c r="Q74" i="23" s="1"/>
  <c r="R74" i="23" s="1"/>
  <c r="S73" i="23"/>
  <c r="T73" i="23" s="1"/>
  <c r="S74" i="23" l="1"/>
  <c r="T74" i="23" s="1"/>
  <c r="P75" i="23"/>
  <c r="Q75" i="23" s="1"/>
  <c r="R75" i="23" s="1"/>
  <c r="S75" i="23" l="1"/>
  <c r="T75" i="23" s="1"/>
  <c r="P76" i="23"/>
  <c r="Q76" i="23" s="1"/>
  <c r="R76" i="23" s="1"/>
  <c r="P77" i="23" l="1"/>
  <c r="Q77" i="23" s="1"/>
  <c r="R77" i="23" s="1"/>
  <c r="S76" i="23"/>
  <c r="T76" i="23" s="1"/>
  <c r="P78" i="23" l="1"/>
  <c r="Q78" i="23" s="1"/>
  <c r="R78" i="23" s="1"/>
  <c r="S77" i="23"/>
  <c r="T77" i="23" s="1"/>
  <c r="P79" i="23" l="1"/>
  <c r="Q79" i="23" s="1"/>
  <c r="R79" i="23" s="1"/>
  <c r="S78" i="23"/>
  <c r="T78" i="23" s="1"/>
  <c r="P80" i="23" l="1"/>
  <c r="Q80" i="23" s="1"/>
  <c r="R80" i="23" s="1"/>
  <c r="S79" i="23"/>
  <c r="T79" i="23" s="1"/>
  <c r="P81" i="23" l="1"/>
  <c r="Q81" i="23" s="1"/>
  <c r="R81" i="23" s="1"/>
  <c r="S80" i="23"/>
  <c r="T80" i="23" s="1"/>
  <c r="P82" i="23" l="1"/>
  <c r="Q82" i="23" s="1"/>
  <c r="R82" i="23" s="1"/>
  <c r="S81" i="23"/>
  <c r="T81" i="23" s="1"/>
  <c r="P83" i="23" l="1"/>
  <c r="Q83" i="23" s="1"/>
  <c r="R83" i="23" s="1"/>
  <c r="S82" i="23"/>
  <c r="T82" i="23" s="1"/>
  <c r="S83" i="23" l="1"/>
  <c r="T83" i="23" s="1"/>
  <c r="P84" i="23"/>
  <c r="Q84" i="23" s="1"/>
  <c r="R84" i="23" s="1"/>
  <c r="P85" i="23" l="1"/>
  <c r="Q85" i="23" s="1"/>
  <c r="R85" i="23" s="1"/>
  <c r="S84" i="23"/>
  <c r="T84" i="23" s="1"/>
  <c r="S85" i="23" l="1"/>
  <c r="T85" i="23" s="1"/>
  <c r="P86" i="23"/>
  <c r="Q86" i="23" s="1"/>
  <c r="R86" i="23" s="1"/>
  <c r="P87" i="23" l="1"/>
  <c r="Q87" i="23" s="1"/>
  <c r="R87" i="23" s="1"/>
  <c r="S86" i="23"/>
  <c r="T86" i="23" s="1"/>
  <c r="S87" i="23" l="1"/>
  <c r="T87" i="23" s="1"/>
  <c r="P88" i="23"/>
  <c r="Q88" i="23" s="1"/>
  <c r="R88" i="23" s="1"/>
  <c r="S88" i="23" l="1"/>
  <c r="T88" i="23" s="1"/>
  <c r="P89" i="23"/>
  <c r="Q89" i="23" s="1"/>
  <c r="R89" i="23" s="1"/>
  <c r="S89" i="23" l="1"/>
  <c r="T89" i="23" s="1"/>
  <c r="P90" i="23"/>
  <c r="Q90" i="23" s="1"/>
  <c r="R90" i="23" s="1"/>
  <c r="P91" i="23" l="1"/>
  <c r="Q91" i="23" s="1"/>
  <c r="R91" i="23" s="1"/>
  <c r="S90" i="23"/>
  <c r="T90" i="23" s="1"/>
  <c r="S91" i="23" l="1"/>
  <c r="T91" i="23" s="1"/>
  <c r="P92" i="23"/>
  <c r="Q92" i="23" s="1"/>
  <c r="R92" i="23" s="1"/>
  <c r="P93" i="23" l="1"/>
  <c r="Q93" i="23" s="1"/>
  <c r="R93" i="23" s="1"/>
  <c r="S92" i="23"/>
  <c r="T92" i="23" s="1"/>
  <c r="S93" i="23" l="1"/>
  <c r="T93" i="23" s="1"/>
  <c r="P94" i="23"/>
  <c r="Q94" i="23" s="1"/>
  <c r="R94" i="23" s="1"/>
  <c r="P95" i="23" l="1"/>
  <c r="Q95" i="23" s="1"/>
  <c r="R95" i="23" s="1"/>
  <c r="S94" i="23"/>
  <c r="T94" i="23" s="1"/>
  <c r="S95" i="23" l="1"/>
  <c r="T95" i="23" s="1"/>
  <c r="P96" i="23"/>
  <c r="Q96" i="23" s="1"/>
  <c r="R96" i="23" s="1"/>
  <c r="P97" i="23" l="1"/>
  <c r="Q97" i="23" s="1"/>
  <c r="R97" i="23" s="1"/>
  <c r="S96" i="23"/>
  <c r="T96" i="23" s="1"/>
  <c r="S97" i="23" l="1"/>
  <c r="T97" i="23" s="1"/>
  <c r="P98" i="23"/>
  <c r="Q98" i="23" s="1"/>
  <c r="R98" i="23" s="1"/>
  <c r="P99" i="23" l="1"/>
  <c r="Q99" i="23" s="1"/>
  <c r="R99" i="23" s="1"/>
  <c r="S98" i="23"/>
  <c r="T98" i="23" s="1"/>
  <c r="S99" i="23" l="1"/>
  <c r="T99" i="23" s="1"/>
  <c r="P100" i="23"/>
  <c r="Q100" i="23" s="1"/>
  <c r="R100" i="23" s="1"/>
  <c r="P101" i="23" l="1"/>
  <c r="Q101" i="23" s="1"/>
  <c r="R101" i="23" s="1"/>
  <c r="S100" i="23"/>
  <c r="T100" i="23" s="1"/>
  <c r="S101" i="23" l="1"/>
  <c r="T101" i="23" s="1"/>
  <c r="P102" i="23"/>
  <c r="Q102" i="23" s="1"/>
  <c r="R102" i="23" s="1"/>
  <c r="P103" i="23" l="1"/>
  <c r="Q103" i="23" s="1"/>
  <c r="R103" i="23" s="1"/>
  <c r="S102" i="23"/>
  <c r="T102" i="23" s="1"/>
  <c r="P104" i="23" l="1"/>
  <c r="Q104" i="23" s="1"/>
  <c r="R104" i="23" s="1"/>
  <c r="S103" i="23"/>
  <c r="T103" i="23" s="1"/>
  <c r="P105" i="23" l="1"/>
  <c r="Q105" i="23" s="1"/>
  <c r="R105" i="23" s="1"/>
  <c r="S104" i="23"/>
  <c r="T104" i="23" s="1"/>
  <c r="P106" i="23" l="1"/>
  <c r="Q106" i="23" s="1"/>
  <c r="R106" i="23" s="1"/>
  <c r="S105" i="23"/>
  <c r="T105" i="23" s="1"/>
  <c r="S106" i="23" l="1"/>
  <c r="T106" i="23" s="1"/>
  <c r="P107" i="23"/>
  <c r="Q107" i="23" s="1"/>
  <c r="R107" i="23" s="1"/>
  <c r="P108" i="23" l="1"/>
  <c r="Q108" i="23" s="1"/>
  <c r="R108" i="23" s="1"/>
  <c r="S107" i="23"/>
  <c r="T107" i="23" s="1"/>
  <c r="S108" i="23" l="1"/>
  <c r="T108" i="23" s="1"/>
  <c r="P109" i="23"/>
  <c r="Q109" i="23" s="1"/>
  <c r="R109" i="23" s="1"/>
  <c r="S109" i="23" l="1"/>
  <c r="T109" i="23" s="1"/>
  <c r="P110" i="23"/>
  <c r="Q110" i="23" s="1"/>
  <c r="R110" i="23" s="1"/>
  <c r="P111" i="23" l="1"/>
  <c r="Q111" i="23" s="1"/>
  <c r="R111" i="23" s="1"/>
  <c r="S110" i="23"/>
  <c r="T110" i="23" s="1"/>
  <c r="P112" i="23" l="1"/>
  <c r="Q112" i="23" s="1"/>
  <c r="R112" i="23" s="1"/>
  <c r="S111" i="23"/>
  <c r="T111" i="23" s="1"/>
  <c r="P113" i="23" l="1"/>
  <c r="Q113" i="23" s="1"/>
  <c r="R113" i="23" s="1"/>
  <c r="S112" i="23"/>
  <c r="T112" i="23" s="1"/>
  <c r="S113" i="23" l="1"/>
  <c r="T113" i="23" s="1"/>
  <c r="P114" i="23"/>
  <c r="Q114" i="23" s="1"/>
  <c r="R114" i="23" s="1"/>
  <c r="S114" i="23" l="1"/>
  <c r="T114" i="23" s="1"/>
  <c r="P115" i="23"/>
  <c r="Q115" i="23" s="1"/>
  <c r="R115" i="23" s="1"/>
  <c r="P116" i="23" l="1"/>
  <c r="Q116" i="23" s="1"/>
  <c r="R116" i="23" s="1"/>
  <c r="S115" i="23"/>
  <c r="T115" i="23" s="1"/>
  <c r="P117" i="23" l="1"/>
  <c r="Q117" i="23" s="1"/>
  <c r="R117" i="23" s="1"/>
  <c r="S116" i="23"/>
  <c r="T116" i="23" s="1"/>
  <c r="P118" i="23" l="1"/>
  <c r="Q118" i="23" s="1"/>
  <c r="R118" i="23" s="1"/>
  <c r="S117" i="23"/>
  <c r="T117" i="23" s="1"/>
  <c r="P119" i="23" l="1"/>
  <c r="Q119" i="23" s="1"/>
  <c r="R119" i="23" s="1"/>
  <c r="S118" i="23"/>
  <c r="T118" i="23" s="1"/>
  <c r="S119" i="23" l="1"/>
  <c r="T119" i="23" s="1"/>
  <c r="P120" i="23"/>
  <c r="Q120" i="23" s="1"/>
  <c r="R120" i="23" s="1"/>
  <c r="P121" i="23" l="1"/>
  <c r="Q121" i="23" s="1"/>
  <c r="R121" i="23" s="1"/>
  <c r="S120" i="23"/>
  <c r="T120" i="23" s="1"/>
  <c r="S121" i="23" l="1"/>
  <c r="T121" i="23" s="1"/>
  <c r="P122" i="23"/>
  <c r="Q122" i="23" s="1"/>
  <c r="R122" i="23" s="1"/>
  <c r="S122" i="23" l="1"/>
  <c r="T122" i="23" s="1"/>
  <c r="P123" i="23"/>
  <c r="Q123" i="23" s="1"/>
  <c r="R123" i="23" s="1"/>
  <c r="S123" i="23" l="1"/>
  <c r="T123" i="23" s="1"/>
  <c r="P124" i="23"/>
  <c r="Q124" i="23" s="1"/>
  <c r="R124" i="23" s="1"/>
  <c r="P125" i="23" l="1"/>
  <c r="Q125" i="23" s="1"/>
  <c r="R125" i="23" s="1"/>
  <c r="S124" i="23"/>
  <c r="T124" i="23" s="1"/>
  <c r="P126" i="23" l="1"/>
  <c r="Q126" i="23" s="1"/>
  <c r="R126" i="23" s="1"/>
  <c r="S125" i="23"/>
  <c r="T125" i="23" s="1"/>
  <c r="P127" i="23" l="1"/>
  <c r="Q127" i="23" s="1"/>
  <c r="R127" i="23" s="1"/>
  <c r="S126" i="23"/>
  <c r="T126" i="23" s="1"/>
  <c r="P128" i="23" l="1"/>
  <c r="Q128" i="23" s="1"/>
  <c r="R128" i="23" s="1"/>
  <c r="S127" i="23"/>
  <c r="T127" i="23" s="1"/>
  <c r="P129" i="23" l="1"/>
  <c r="Q129" i="23" s="1"/>
  <c r="R129" i="23" s="1"/>
  <c r="S128" i="23"/>
  <c r="T128" i="23" s="1"/>
  <c r="P130" i="23" l="1"/>
  <c r="Q130" i="23" s="1"/>
  <c r="R130" i="23" s="1"/>
  <c r="S129" i="23"/>
  <c r="T129" i="23" s="1"/>
  <c r="S130" i="23" l="1"/>
  <c r="T130" i="23" s="1"/>
  <c r="P131" i="23"/>
  <c r="Q131" i="23" s="1"/>
  <c r="R131" i="23" s="1"/>
  <c r="P132" i="23" l="1"/>
  <c r="Q132" i="23" s="1"/>
  <c r="R132" i="23" s="1"/>
  <c r="S131" i="23"/>
  <c r="T131" i="23" s="1"/>
  <c r="S132" i="23" l="1"/>
  <c r="T132" i="23" s="1"/>
  <c r="P133" i="23"/>
  <c r="Q133" i="23" s="1"/>
  <c r="R133" i="23" s="1"/>
  <c r="P134" i="23" l="1"/>
  <c r="Q134" i="23" s="1"/>
  <c r="R134" i="23" s="1"/>
  <c r="S133" i="23"/>
  <c r="T133" i="23" s="1"/>
  <c r="P135" i="23" l="1"/>
  <c r="Q135" i="23" s="1"/>
  <c r="R135" i="23" s="1"/>
  <c r="S134" i="23"/>
  <c r="T134" i="23" s="1"/>
  <c r="P136" i="23" l="1"/>
  <c r="Q136" i="23" s="1"/>
  <c r="R136" i="23" s="1"/>
  <c r="S135" i="23"/>
  <c r="T135" i="23" s="1"/>
  <c r="S136" i="23" l="1"/>
  <c r="T136" i="23" s="1"/>
  <c r="P137" i="23"/>
  <c r="Q137" i="23" s="1"/>
  <c r="R137" i="23" s="1"/>
  <c r="P138" i="23" l="1"/>
  <c r="Q138" i="23" s="1"/>
  <c r="R138" i="23" s="1"/>
  <c r="S137" i="23"/>
  <c r="T137" i="23" s="1"/>
  <c r="S138" i="23" l="1"/>
  <c r="T138" i="23" s="1"/>
  <c r="P139" i="23"/>
  <c r="Q139" i="23" s="1"/>
  <c r="R139" i="23" s="1"/>
  <c r="P140" i="23" l="1"/>
  <c r="Q140" i="23" s="1"/>
  <c r="R140" i="23" s="1"/>
  <c r="S139" i="23"/>
  <c r="T139" i="23" s="1"/>
  <c r="S140" i="23" l="1"/>
  <c r="T140" i="23" s="1"/>
  <c r="P141" i="23"/>
  <c r="Q141" i="23" s="1"/>
  <c r="R141" i="23" s="1"/>
  <c r="P142" i="23" l="1"/>
  <c r="Q142" i="23" s="1"/>
  <c r="R142" i="23" s="1"/>
  <c r="S141" i="23"/>
  <c r="T141" i="23" s="1"/>
  <c r="S142" i="23" l="1"/>
  <c r="T142" i="23" s="1"/>
  <c r="P143" i="23"/>
  <c r="Q143" i="23" s="1"/>
  <c r="R143" i="23" s="1"/>
  <c r="P144" i="23" l="1"/>
  <c r="Q144" i="23" s="1"/>
  <c r="R144" i="23" s="1"/>
  <c r="S143" i="23"/>
  <c r="T143" i="23" s="1"/>
  <c r="S144" i="23" l="1"/>
  <c r="T144" i="23" s="1"/>
  <c r="P145" i="23"/>
  <c r="Q145" i="23" s="1"/>
  <c r="R145" i="23" s="1"/>
  <c r="P146" i="23" l="1"/>
  <c r="Q146" i="23" s="1"/>
  <c r="R146" i="23" s="1"/>
  <c r="S145" i="23"/>
  <c r="T145" i="23" s="1"/>
  <c r="S147" i="23" l="1"/>
  <c r="T147" i="23" s="1"/>
  <c r="S146" i="23"/>
  <c r="T146" i="23" s="1"/>
  <c r="I308" i="23" l="1"/>
  <c r="K308" i="23" s="1"/>
  <c r="I309" i="23"/>
  <c r="K309" i="23" s="1"/>
  <c r="I310" i="23"/>
  <c r="K310" i="23" s="1"/>
  <c r="I311" i="23"/>
  <c r="K311" i="23" s="1"/>
  <c r="I312" i="23"/>
  <c r="K312" i="23" s="1"/>
  <c r="I313" i="23"/>
  <c r="K313" i="23" s="1"/>
  <c r="I314" i="23"/>
  <c r="K314" i="23" s="1"/>
  <c r="I315" i="23"/>
  <c r="K315" i="23" s="1"/>
  <c r="I316" i="23"/>
  <c r="K316" i="23" s="1"/>
  <c r="I317" i="23"/>
  <c r="K317" i="23" s="1"/>
  <c r="I318" i="23"/>
  <c r="I319" i="23"/>
  <c r="I320" i="23"/>
  <c r="I321" i="23"/>
  <c r="K384" i="23"/>
  <c r="I322" i="23" l="1"/>
  <c r="BF322" i="1"/>
  <c r="BF324" i="1"/>
  <c r="CW324" i="1" s="1"/>
  <c r="CX311" i="1"/>
  <c r="CX317" i="1"/>
  <c r="CX316" i="1"/>
  <c r="CX315" i="1"/>
  <c r="CX314" i="1"/>
  <c r="CX313" i="1"/>
  <c r="CX312" i="1"/>
  <c r="CX310" i="1"/>
  <c r="P308" i="23"/>
  <c r="Q308" i="23" s="1"/>
  <c r="R308" i="23" s="1"/>
  <c r="K383" i="23"/>
  <c r="K387" i="23" s="1"/>
  <c r="CX308" i="1"/>
  <c r="N308" i="23"/>
  <c r="CX309" i="1"/>
  <c r="N309" i="23"/>
  <c r="N310" i="23" s="1"/>
  <c r="N311" i="23" s="1"/>
  <c r="N312" i="23" s="1"/>
  <c r="N313" i="23" s="1"/>
  <c r="N314" i="23" s="1"/>
  <c r="N315" i="23" s="1"/>
  <c r="N316" i="23" s="1"/>
  <c r="N317" i="23" s="1"/>
  <c r="N318" i="23" s="1"/>
  <c r="N319" i="23" s="1"/>
  <c r="N320" i="23" s="1"/>
  <c r="N321" i="23" s="1"/>
  <c r="N322" i="23" s="1"/>
  <c r="N323" i="23" s="1"/>
  <c r="N324" i="23" s="1"/>
  <c r="N325" i="23" s="1"/>
  <c r="N326" i="23" s="1"/>
  <c r="N327" i="23" s="1"/>
  <c r="N328" i="23" s="1"/>
  <c r="N329" i="23" s="1"/>
  <c r="N330" i="23" s="1"/>
  <c r="N331" i="23" s="1"/>
  <c r="N332" i="23" s="1"/>
  <c r="N333" i="23" s="1"/>
  <c r="N334" i="23" s="1"/>
  <c r="N335" i="23" s="1"/>
  <c r="N336" i="23" s="1"/>
  <c r="N337" i="23" s="1"/>
  <c r="N338" i="23" s="1"/>
  <c r="N339" i="23" s="1"/>
  <c r="N340" i="23" s="1"/>
  <c r="N341" i="23" s="1"/>
  <c r="N342" i="23" s="1"/>
  <c r="N343" i="23" s="1"/>
  <c r="N344" i="23" s="1"/>
  <c r="N345" i="23" s="1"/>
  <c r="N346" i="23" s="1"/>
  <c r="N347" i="23" s="1"/>
  <c r="N348" i="23" s="1"/>
  <c r="N349" i="23" s="1"/>
  <c r="N350" i="23" s="1"/>
  <c r="N351" i="23" s="1"/>
  <c r="N352" i="23" s="1"/>
  <c r="N353" i="23" s="1"/>
  <c r="N354" i="23" s="1"/>
  <c r="N355" i="23" s="1"/>
  <c r="N356" i="23" s="1"/>
  <c r="N357" i="23" s="1"/>
  <c r="N358" i="23" s="1"/>
  <c r="N359" i="23" s="1"/>
  <c r="N360" i="23" s="1"/>
  <c r="N361" i="23" s="1"/>
  <c r="N362" i="23" s="1"/>
  <c r="N363" i="23" s="1"/>
  <c r="N364" i="23" s="1"/>
  <c r="N365" i="23" s="1"/>
  <c r="N366" i="23" s="1"/>
  <c r="N367" i="23" s="1"/>
  <c r="N368" i="23" s="1"/>
  <c r="N369" i="23" s="1"/>
  <c r="N370" i="23" s="1"/>
  <c r="N371" i="23" s="1"/>
  <c r="CW322" i="1" l="1"/>
  <c r="I323" i="23"/>
  <c r="BF323" i="1"/>
  <c r="CW323" i="1" s="1"/>
  <c r="I324" i="23"/>
  <c r="BF325" i="1"/>
  <c r="CW325" i="1" s="1"/>
  <c r="P309" i="23"/>
  <c r="Q309" i="23" s="1"/>
  <c r="R309" i="23" s="1"/>
  <c r="S308" i="23"/>
  <c r="T308" i="23" s="1"/>
  <c r="I325" i="23" l="1"/>
  <c r="BF326" i="1"/>
  <c r="CW326" i="1" s="1"/>
  <c r="P310" i="23"/>
  <c r="Q310" i="23" s="1"/>
  <c r="R310" i="23" s="1"/>
  <c r="S309" i="23"/>
  <c r="T309" i="23" s="1"/>
  <c r="I326" i="23" l="1"/>
  <c r="BF327" i="1"/>
  <c r="CW327" i="1" s="1"/>
  <c r="P311" i="23"/>
  <c r="Q311" i="23" s="1"/>
  <c r="R311" i="23" s="1"/>
  <c r="S310" i="23"/>
  <c r="T310" i="23" s="1"/>
  <c r="I327" i="23" l="1"/>
  <c r="BF328" i="1"/>
  <c r="CW328" i="1" s="1"/>
  <c r="P312" i="23"/>
  <c r="Q312" i="23" s="1"/>
  <c r="R312" i="23" s="1"/>
  <c r="S311" i="23"/>
  <c r="T311" i="23" s="1"/>
  <c r="I328" i="23" l="1"/>
  <c r="BF329" i="1"/>
  <c r="P313" i="23"/>
  <c r="Q313" i="23" s="1"/>
  <c r="R313" i="23" s="1"/>
  <c r="S312" i="23"/>
  <c r="T312" i="23" s="1"/>
  <c r="CW329" i="1" l="1"/>
  <c r="I329" i="23"/>
  <c r="BF330" i="1"/>
  <c r="CW330" i="1" s="1"/>
  <c r="P314" i="23"/>
  <c r="Q314" i="23" s="1"/>
  <c r="R314" i="23" s="1"/>
  <c r="S313" i="23"/>
  <c r="T313" i="23" s="1"/>
  <c r="I330" i="23" l="1"/>
  <c r="BF331" i="1"/>
  <c r="CW331" i="1" s="1"/>
  <c r="P315" i="23"/>
  <c r="Q315" i="23" s="1"/>
  <c r="R315" i="23" s="1"/>
  <c r="S314" i="23"/>
  <c r="T314" i="23" s="1"/>
  <c r="I331" i="23" l="1"/>
  <c r="BF332" i="1"/>
  <c r="CW332" i="1" s="1"/>
  <c r="P316" i="23"/>
  <c r="Q316" i="23" s="1"/>
  <c r="R316" i="23" s="1"/>
  <c r="S315" i="23"/>
  <c r="T315" i="23" s="1"/>
  <c r="I332" i="23" l="1"/>
  <c r="BF333" i="1"/>
  <c r="CW333" i="1" s="1"/>
  <c r="P317" i="23"/>
  <c r="Q317" i="23" s="1"/>
  <c r="R317" i="23" s="1"/>
  <c r="S316" i="23"/>
  <c r="T316" i="23" s="1"/>
  <c r="I333" i="23" l="1"/>
  <c r="BF334" i="1"/>
  <c r="CW334" i="1" s="1"/>
  <c r="S317" i="23"/>
  <c r="T317" i="23" s="1"/>
  <c r="P318" i="23"/>
  <c r="Q318" i="23" s="1"/>
  <c r="R318" i="23" s="1"/>
  <c r="I334" i="23" l="1"/>
  <c r="BF335" i="1"/>
  <c r="CW335" i="1" s="1"/>
  <c r="S318" i="23"/>
  <c r="T318" i="23" s="1"/>
  <c r="P319" i="23"/>
  <c r="Q319" i="23" s="1"/>
  <c r="R319" i="23" s="1"/>
  <c r="I335" i="23" l="1"/>
  <c r="BF336" i="1"/>
  <c r="CW336" i="1" s="1"/>
  <c r="S319" i="23"/>
  <c r="T319" i="23" s="1"/>
  <c r="P320" i="23"/>
  <c r="Q320" i="23" s="1"/>
  <c r="R320" i="23" s="1"/>
  <c r="I336" i="23" l="1"/>
  <c r="BF337" i="1"/>
  <c r="CW337" i="1" s="1"/>
  <c r="S320" i="23"/>
  <c r="T320" i="23" s="1"/>
  <c r="P321" i="23"/>
  <c r="Q321" i="23" s="1"/>
  <c r="R321" i="23" s="1"/>
  <c r="I337" i="23" l="1"/>
  <c r="BF338" i="1"/>
  <c r="CW338" i="1" s="1"/>
  <c r="S321" i="23"/>
  <c r="T321" i="23" s="1"/>
  <c r="P322" i="23"/>
  <c r="Q322" i="23" s="1"/>
  <c r="R322" i="23" s="1"/>
  <c r="I338" i="23" l="1"/>
  <c r="BF339" i="1"/>
  <c r="CW339" i="1" s="1"/>
  <c r="S322" i="23"/>
  <c r="T322" i="23" s="1"/>
  <c r="P323" i="23"/>
  <c r="Q323" i="23" s="1"/>
  <c r="R323" i="23" s="1"/>
  <c r="I339" i="23" l="1"/>
  <c r="BF340" i="1"/>
  <c r="S323" i="23"/>
  <c r="T323" i="23" s="1"/>
  <c r="P324" i="23"/>
  <c r="Q324" i="23" s="1"/>
  <c r="R324" i="23" s="1"/>
  <c r="CW340" i="1" l="1"/>
  <c r="BF385" i="1"/>
  <c r="BF398" i="1"/>
  <c r="I340" i="23"/>
  <c r="BF341" i="1"/>
  <c r="S324" i="23"/>
  <c r="T324" i="23" s="1"/>
  <c r="P325" i="23"/>
  <c r="Q325" i="23" s="1"/>
  <c r="R325" i="23" s="1"/>
  <c r="CW341" i="1" l="1"/>
  <c r="I341" i="23"/>
  <c r="BF342" i="1"/>
  <c r="CW342" i="1" s="1"/>
  <c r="S325" i="23"/>
  <c r="T325" i="23" s="1"/>
  <c r="P326" i="23"/>
  <c r="Q326" i="23" s="1"/>
  <c r="R326" i="23" s="1"/>
  <c r="I342" i="23" l="1"/>
  <c r="BF343" i="1"/>
  <c r="CW343" i="1" s="1"/>
  <c r="S326" i="23"/>
  <c r="T326" i="23" s="1"/>
  <c r="P327" i="23"/>
  <c r="Q327" i="23" s="1"/>
  <c r="R327" i="23" s="1"/>
  <c r="I343" i="23" l="1"/>
  <c r="BF344" i="1"/>
  <c r="CW344" i="1" s="1"/>
  <c r="S327" i="23"/>
  <c r="T327" i="23" s="1"/>
  <c r="P328" i="23"/>
  <c r="Q328" i="23" s="1"/>
  <c r="R328" i="23" s="1"/>
  <c r="I344" i="23" l="1"/>
  <c r="BF345" i="1"/>
  <c r="CW345" i="1" s="1"/>
  <c r="S328" i="23"/>
  <c r="T328" i="23" s="1"/>
  <c r="P329" i="23"/>
  <c r="Q329" i="23" s="1"/>
  <c r="R329" i="23" s="1"/>
  <c r="I345" i="23" l="1"/>
  <c r="BF346" i="1"/>
  <c r="CW346" i="1" s="1"/>
  <c r="S329" i="23"/>
  <c r="T329" i="23" s="1"/>
  <c r="P330" i="23"/>
  <c r="Q330" i="23" s="1"/>
  <c r="R330" i="23" s="1"/>
  <c r="I346" i="23" l="1"/>
  <c r="BF347" i="1"/>
  <c r="CW347" i="1" s="1"/>
  <c r="S330" i="23"/>
  <c r="T330" i="23" s="1"/>
  <c r="P331" i="23"/>
  <c r="Q331" i="23" s="1"/>
  <c r="R331" i="23" s="1"/>
  <c r="I347" i="23" l="1"/>
  <c r="BF348" i="1"/>
  <c r="CW348" i="1" s="1"/>
  <c r="S331" i="23"/>
  <c r="T331" i="23" s="1"/>
  <c r="P332" i="23"/>
  <c r="Q332" i="23" s="1"/>
  <c r="R332" i="23" s="1"/>
  <c r="I348" i="23" l="1"/>
  <c r="BF349" i="1"/>
  <c r="CW349" i="1" s="1"/>
  <c r="S332" i="23"/>
  <c r="T332" i="23" s="1"/>
  <c r="P333" i="23"/>
  <c r="Q333" i="23" s="1"/>
  <c r="R333" i="23" s="1"/>
  <c r="I349" i="23" l="1"/>
  <c r="BF350" i="1"/>
  <c r="CW350" i="1" s="1"/>
  <c r="S333" i="23"/>
  <c r="T333" i="23" s="1"/>
  <c r="P334" i="23"/>
  <c r="Q334" i="23" s="1"/>
  <c r="R334" i="23" s="1"/>
  <c r="I350" i="23" l="1"/>
  <c r="BF351" i="1"/>
  <c r="CW351" i="1" s="1"/>
  <c r="S334" i="23"/>
  <c r="T334" i="23" s="1"/>
  <c r="P335" i="23"/>
  <c r="Q335" i="23" s="1"/>
  <c r="R335" i="23" s="1"/>
  <c r="I351" i="23" l="1"/>
  <c r="BF352" i="1"/>
  <c r="CW352" i="1" s="1"/>
  <c r="S335" i="23"/>
  <c r="T335" i="23" s="1"/>
  <c r="P336" i="23"/>
  <c r="Q336" i="23" s="1"/>
  <c r="R336" i="23" s="1"/>
  <c r="I352" i="23" l="1"/>
  <c r="BF353" i="1"/>
  <c r="CW353" i="1" s="1"/>
  <c r="S336" i="23"/>
  <c r="T336" i="23" s="1"/>
  <c r="P337" i="23"/>
  <c r="Q337" i="23" s="1"/>
  <c r="R337" i="23" s="1"/>
  <c r="I353" i="23" l="1"/>
  <c r="BF354" i="1"/>
  <c r="CW354" i="1" s="1"/>
  <c r="S337" i="23"/>
  <c r="T337" i="23" s="1"/>
  <c r="P338" i="23"/>
  <c r="Q338" i="23" s="1"/>
  <c r="R338" i="23" s="1"/>
  <c r="I354" i="23" l="1"/>
  <c r="BF355" i="1"/>
  <c r="CW355" i="1" s="1"/>
  <c r="S338" i="23"/>
  <c r="T338" i="23" s="1"/>
  <c r="P339" i="23"/>
  <c r="Q339" i="23" s="1"/>
  <c r="R339" i="23" s="1"/>
  <c r="I355" i="23" l="1"/>
  <c r="BF356" i="1"/>
  <c r="CW356" i="1" s="1"/>
  <c r="S339" i="23"/>
  <c r="T339" i="23" s="1"/>
  <c r="P340" i="23"/>
  <c r="Q340" i="23" s="1"/>
  <c r="R340" i="23" s="1"/>
  <c r="I356" i="23" l="1"/>
  <c r="BF357" i="1"/>
  <c r="CW357" i="1" s="1"/>
  <c r="S340" i="23"/>
  <c r="T340" i="23" s="1"/>
  <c r="P341" i="23"/>
  <c r="Q341" i="23" s="1"/>
  <c r="R341" i="23" s="1"/>
  <c r="I357" i="23" l="1"/>
  <c r="BF358" i="1"/>
  <c r="CW358" i="1" s="1"/>
  <c r="S341" i="23"/>
  <c r="T341" i="23" s="1"/>
  <c r="P342" i="23"/>
  <c r="Q342" i="23" s="1"/>
  <c r="R342" i="23" s="1"/>
  <c r="I358" i="23" l="1"/>
  <c r="BF359" i="1"/>
  <c r="CW359" i="1" s="1"/>
  <c r="S342" i="23"/>
  <c r="T342" i="23" s="1"/>
  <c r="P343" i="23"/>
  <c r="Q343" i="23" s="1"/>
  <c r="R343" i="23" s="1"/>
  <c r="I359" i="23" l="1"/>
  <c r="BF360" i="1"/>
  <c r="CW360" i="1" s="1"/>
  <c r="S343" i="23"/>
  <c r="T343" i="23" s="1"/>
  <c r="P344" i="23"/>
  <c r="Q344" i="23" s="1"/>
  <c r="R344" i="23" s="1"/>
  <c r="BF361" i="1" l="1"/>
  <c r="CW361" i="1" s="1"/>
  <c r="I360" i="23"/>
  <c r="S344" i="23"/>
  <c r="T344" i="23" s="1"/>
  <c r="P345" i="23"/>
  <c r="Q345" i="23" s="1"/>
  <c r="R345" i="23" s="1"/>
  <c r="BF362" i="1" l="1"/>
  <c r="CW362" i="1" s="1"/>
  <c r="I361" i="23"/>
  <c r="S345" i="23"/>
  <c r="T345" i="23" s="1"/>
  <c r="P346" i="23"/>
  <c r="Q346" i="23" s="1"/>
  <c r="R346" i="23" s="1"/>
  <c r="I362" i="23" l="1"/>
  <c r="BF363" i="1"/>
  <c r="CW363" i="1" s="1"/>
  <c r="S346" i="23"/>
  <c r="T346" i="23" s="1"/>
  <c r="P347" i="23"/>
  <c r="Q347" i="23" s="1"/>
  <c r="R347" i="23" s="1"/>
  <c r="I363" i="23" l="1"/>
  <c r="BF364" i="1"/>
  <c r="CW364" i="1" s="1"/>
  <c r="S347" i="23"/>
  <c r="T347" i="23" s="1"/>
  <c r="P348" i="23"/>
  <c r="Q348" i="23" s="1"/>
  <c r="R348" i="23" s="1"/>
  <c r="BF365" i="1" l="1"/>
  <c r="CW365" i="1" s="1"/>
  <c r="I364" i="23"/>
  <c r="S348" i="23"/>
  <c r="T348" i="23" s="1"/>
  <c r="P349" i="23"/>
  <c r="Q349" i="23" s="1"/>
  <c r="R349" i="23" s="1"/>
  <c r="BF366" i="1" l="1"/>
  <c r="CW366" i="1" s="1"/>
  <c r="I365" i="23"/>
  <c r="S349" i="23"/>
  <c r="T349" i="23" s="1"/>
  <c r="P350" i="23"/>
  <c r="Q350" i="23" s="1"/>
  <c r="R350" i="23" s="1"/>
  <c r="BF367" i="1" l="1"/>
  <c r="CW367" i="1" s="1"/>
  <c r="I366" i="23"/>
  <c r="S350" i="23"/>
  <c r="T350" i="23" s="1"/>
  <c r="P351" i="23"/>
  <c r="Q351" i="23" s="1"/>
  <c r="R351" i="23" s="1"/>
  <c r="I367" i="23" l="1"/>
  <c r="BF368" i="1"/>
  <c r="CW368" i="1" s="1"/>
  <c r="S351" i="23"/>
  <c r="T351" i="23" s="1"/>
  <c r="P352" i="23"/>
  <c r="Q352" i="23" s="1"/>
  <c r="R352" i="23" s="1"/>
  <c r="BF369" i="1" l="1"/>
  <c r="CW369" i="1" s="1"/>
  <c r="I368" i="23"/>
  <c r="S352" i="23"/>
  <c r="T352" i="23" s="1"/>
  <c r="P353" i="23"/>
  <c r="Q353" i="23" s="1"/>
  <c r="R353" i="23" s="1"/>
  <c r="I369" i="23" l="1"/>
  <c r="BF370" i="1"/>
  <c r="CW370" i="1" s="1"/>
  <c r="S353" i="23"/>
  <c r="T353" i="23" s="1"/>
  <c r="P354" i="23"/>
  <c r="Q354" i="23" s="1"/>
  <c r="R354" i="23" s="1"/>
  <c r="I370" i="23" l="1"/>
  <c r="S354" i="23"/>
  <c r="T354" i="23" s="1"/>
  <c r="P355" i="23"/>
  <c r="Q355" i="23" s="1"/>
  <c r="R355" i="23" s="1"/>
  <c r="I371" i="23" l="1"/>
  <c r="BF371" i="1"/>
  <c r="S355" i="23"/>
  <c r="T355" i="23" s="1"/>
  <c r="P356" i="23"/>
  <c r="Q356" i="23" s="1"/>
  <c r="R356" i="23" s="1"/>
  <c r="CW371" i="1" l="1"/>
  <c r="BF386" i="1"/>
  <c r="BF399" i="1"/>
  <c r="S356" i="23"/>
  <c r="T356" i="23" s="1"/>
  <c r="P357" i="23"/>
  <c r="Q357" i="23" s="1"/>
  <c r="R357" i="23" s="1"/>
  <c r="S357" i="23" l="1"/>
  <c r="T357" i="23" s="1"/>
  <c r="P358" i="23"/>
  <c r="Q358" i="23" s="1"/>
  <c r="R358" i="23" s="1"/>
  <c r="S358" i="23" l="1"/>
  <c r="T358" i="23" s="1"/>
  <c r="P359" i="23"/>
  <c r="Q359" i="23" s="1"/>
  <c r="R359" i="23" s="1"/>
  <c r="S359" i="23" l="1"/>
  <c r="T359" i="23" s="1"/>
  <c r="P360" i="23"/>
  <c r="Q360" i="23" s="1"/>
  <c r="R360" i="23" s="1"/>
  <c r="S360" i="23" l="1"/>
  <c r="T360" i="23" s="1"/>
  <c r="P361" i="23"/>
  <c r="Q361" i="23" s="1"/>
  <c r="R361" i="23" s="1"/>
  <c r="S361" i="23" l="1"/>
  <c r="T361" i="23" s="1"/>
  <c r="P362" i="23"/>
  <c r="Q362" i="23" s="1"/>
  <c r="R362" i="23" s="1"/>
  <c r="S362" i="23" l="1"/>
  <c r="T362" i="23" s="1"/>
  <c r="P363" i="23"/>
  <c r="Q363" i="23" s="1"/>
  <c r="R363" i="23" s="1"/>
  <c r="S363" i="23" l="1"/>
  <c r="T363" i="23" s="1"/>
  <c r="P364" i="23"/>
  <c r="Q364" i="23" s="1"/>
  <c r="R364" i="23" s="1"/>
  <c r="S364" i="23" l="1"/>
  <c r="T364" i="23" s="1"/>
  <c r="P365" i="23"/>
  <c r="Q365" i="23" s="1"/>
  <c r="R365" i="23" s="1"/>
  <c r="S365" i="23" l="1"/>
  <c r="T365" i="23" s="1"/>
  <c r="P366" i="23"/>
  <c r="Q366" i="23" s="1"/>
  <c r="R366" i="23" s="1"/>
  <c r="S366" i="23" l="1"/>
  <c r="T366" i="23" s="1"/>
  <c r="P367" i="23"/>
  <c r="Q367" i="23" s="1"/>
  <c r="R367" i="23" s="1"/>
  <c r="S367" i="23" l="1"/>
  <c r="T367" i="23" s="1"/>
  <c r="P368" i="23"/>
  <c r="Q368" i="23" s="1"/>
  <c r="R368" i="23" s="1"/>
  <c r="S368" i="23" l="1"/>
  <c r="T368" i="23" s="1"/>
  <c r="P369" i="23"/>
  <c r="Q369" i="23" s="1"/>
  <c r="R369" i="23" s="1"/>
  <c r="S369" i="23" l="1"/>
  <c r="T369" i="23" s="1"/>
  <c r="P370" i="23"/>
  <c r="Q370" i="23" s="1"/>
  <c r="R370" i="23" s="1"/>
  <c r="S370" i="23" l="1"/>
  <c r="T370" i="23" s="1"/>
  <c r="P371" i="23"/>
  <c r="Q371" i="23" s="1"/>
  <c r="R371" i="23" s="1"/>
  <c r="S371" i="23" s="1"/>
  <c r="T371" i="23" s="1"/>
</calcChain>
</file>

<file path=xl/sharedStrings.xml><?xml version="1.0" encoding="utf-8"?>
<sst xmlns="http://schemas.openxmlformats.org/spreadsheetml/2006/main" count="1064" uniqueCount="236">
  <si>
    <t>TOTAL</t>
  </si>
  <si>
    <t>MEAN</t>
  </si>
  <si>
    <t>MAX.</t>
  </si>
  <si>
    <t>TIME</t>
  </si>
  <si>
    <t>MAX</t>
  </si>
  <si>
    <t>MIN</t>
  </si>
  <si>
    <t>Wind Rose:</t>
  </si>
  <si>
    <t>SOLAR</t>
  </si>
  <si>
    <t>PAR</t>
  </si>
  <si>
    <t>Ta 6m</t>
  </si>
  <si>
    <t>RH</t>
  </si>
  <si>
    <t>Ta 3m</t>
  </si>
  <si>
    <t>Ta 1.5m</t>
  </si>
  <si>
    <t>Ta 0.25m</t>
  </si>
  <si>
    <t>Tsoil</t>
  </si>
  <si>
    <t>SHORT</t>
  </si>
  <si>
    <t>WIND</t>
  </si>
  <si>
    <t>RAIN</t>
  </si>
  <si>
    <t>tA 6m</t>
  </si>
  <si>
    <t>WIND SPD</t>
  </si>
  <si>
    <t>MAX U</t>
  </si>
  <si>
    <t>DAILY AVG</t>
  </si>
  <si>
    <t>DISTANCE</t>
  </si>
  <si>
    <t>BATT.</t>
  </si>
  <si>
    <t>WEST</t>
  </si>
  <si>
    <t>EAST</t>
  </si>
  <si>
    <t>duff</t>
  </si>
  <si>
    <t>15cm</t>
  </si>
  <si>
    <t>50cm</t>
  </si>
  <si>
    <t>(mV)</t>
  </si>
  <si>
    <t>(m/s)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</si>
  <si>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</si>
  <si>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</si>
  <si>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</si>
  <si>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</si>
  <si>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</si>
  <si>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</si>
  <si>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</si>
  <si>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</si>
  <si>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PANEL T</t>
  </si>
  <si>
    <t>(mm)</t>
  </si>
  <si>
    <t>(V)</t>
  </si>
  <si>
    <t>Date</t>
  </si>
  <si>
    <t>m/s</t>
  </si>
  <si>
    <t>kPa</t>
  </si>
  <si>
    <t>Snow depth</t>
  </si>
  <si>
    <t>mm</t>
  </si>
  <si>
    <t xml:space="preserve">Distance </t>
  </si>
  <si>
    <t>Min</t>
  </si>
  <si>
    <t>Max</t>
  </si>
  <si>
    <t>Identity</t>
  </si>
  <si>
    <t>Empty cell indicates no data</t>
  </si>
  <si>
    <t>MJ/m2/d</t>
  </si>
  <si>
    <t>mol/m2/d</t>
  </si>
  <si>
    <t>C</t>
  </si>
  <si>
    <t>%</t>
  </si>
  <si>
    <t>Tstem</t>
  </si>
  <si>
    <t>Recalibrated 30/07/07</t>
  </si>
  <si>
    <t>Revised</t>
  </si>
  <si>
    <t>Solar</t>
  </si>
  <si>
    <t>Solarmax</t>
  </si>
  <si>
    <t>PARmax</t>
  </si>
  <si>
    <t>RHAvg</t>
  </si>
  <si>
    <t>RHMax</t>
  </si>
  <si>
    <t>RHMin</t>
  </si>
  <si>
    <t>Precip.from</t>
  </si>
  <si>
    <t>snow depth</t>
  </si>
  <si>
    <t>UseRHcor</t>
  </si>
  <si>
    <t>Monthly Averages</t>
  </si>
  <si>
    <t>Tsoil_Duff</t>
  </si>
  <si>
    <t xml:space="preserve">Tsoil_0.15 </t>
  </si>
  <si>
    <t>Tsoil_0.5</t>
  </si>
  <si>
    <t>Wind</t>
  </si>
  <si>
    <t>Rain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</si>
  <si>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</si>
  <si>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</si>
  <si>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</si>
  <si>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</si>
  <si>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</si>
  <si>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</si>
  <si>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</si>
  <si>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</si>
  <si>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</si>
  <si>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</si>
  <si>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</si>
  <si>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</si>
  <si>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</si>
  <si>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vpd</t>
  </si>
  <si>
    <t>vpdxx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</si>
  <si>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</si>
  <si>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</si>
  <si>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</si>
  <si>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</si>
  <si>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</si>
  <si>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</si>
  <si>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</si>
  <si>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</si>
  <si>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</si>
  <si>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</si>
  <si>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</si>
  <si>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</si>
  <si>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</si>
  <si>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</si>
  <si>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</si>
  <si>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FWS</t>
  </si>
  <si>
    <t>Precipitation</t>
  </si>
  <si>
    <t>Max density</t>
  </si>
  <si>
    <t>SnowDepthChange</t>
  </si>
  <si>
    <t>Start Density</t>
  </si>
  <si>
    <t>Total</t>
  </si>
  <si>
    <t>FWS*</t>
  </si>
  <si>
    <t>Tmax</t>
  </si>
  <si>
    <t>Tmin</t>
  </si>
  <si>
    <t>Rhmin</t>
  </si>
  <si>
    <t>SnowD</t>
  </si>
  <si>
    <t>Sicamous</t>
  </si>
  <si>
    <t>density</t>
  </si>
  <si>
    <t>SWE</t>
  </si>
  <si>
    <t>dSWE</t>
  </si>
  <si>
    <t>Melt</t>
  </si>
  <si>
    <t>DoY</t>
  </si>
  <si>
    <t>g/cm3</t>
  </si>
  <si>
    <t>Monthly Totals</t>
  </si>
  <si>
    <t>Sicamous Creek 1995 Daily data</t>
  </si>
  <si>
    <t>No data Dec 7 onwards</t>
  </si>
  <si>
    <t>UPC</t>
  </si>
  <si>
    <t>UPC to FWS</t>
  </si>
  <si>
    <t xml:space="preserve">UPC*1.4*1.05 </t>
  </si>
  <si>
    <t>MoTISicamous</t>
  </si>
  <si>
    <t>MoTISicamous*1.5</t>
  </si>
  <si>
    <t>%norm</t>
  </si>
  <si>
    <t>Enderby Snow 1F04 course 50 39 11.97N, 118 55 37.0 W 1947 m</t>
  </si>
  <si>
    <t>SWE cm</t>
  </si>
  <si>
    <t>Depth cm</t>
  </si>
  <si>
    <t>Rh_adjustment for Max=100 and min 20=20</t>
  </si>
  <si>
    <t>Tav</t>
  </si>
  <si>
    <t>Rhav</t>
  </si>
  <si>
    <t>Meta data for Sicamous base station</t>
  </si>
  <si>
    <t>Solar W/m2</t>
  </si>
  <si>
    <t>Incomplete</t>
  </si>
  <si>
    <t>Kmax from 10 min simulation</t>
  </si>
  <si>
    <t>PAR mol/m2/d</t>
  </si>
  <si>
    <t>LiCor PAR sensor 6 m above surface. Calibration drift adjustment</t>
  </si>
  <si>
    <t xml:space="preserve">Tair C </t>
  </si>
  <si>
    <t>HMP35C in RMYoung pie plate sheild at 6 m</t>
  </si>
  <si>
    <t>Thermocouples referenced to termistor on panel at 3 m, 1.5 m and 0.25 m</t>
  </si>
  <si>
    <t>RH %</t>
  </si>
  <si>
    <t>Corrected RH based on Rhmax=100. Calculated vpres (kPa)</t>
  </si>
  <si>
    <t>Soil temperature C</t>
  </si>
  <si>
    <t>Thermocouples referenced to thermistor on panel at 0.15 m and 0.5 m depths</t>
  </si>
  <si>
    <t>Precipitation mm</t>
  </si>
  <si>
    <t>Siera Misco tipping bucket</t>
  </si>
  <si>
    <t>Snow depth m, mm</t>
  </si>
  <si>
    <t>CSI  UDG01</t>
  </si>
  <si>
    <t>Wind m/s</t>
  </si>
  <si>
    <t xml:space="preserve">MetOne anemometer at 6 m </t>
  </si>
  <si>
    <t xml:space="preserve">MetOne Wind vane at 6 m </t>
  </si>
  <si>
    <t>See columns BZ to DC</t>
  </si>
  <si>
    <t>Temperature</t>
  </si>
  <si>
    <t>21X data logger and storage module</t>
  </si>
  <si>
    <t xml:space="preserve">Gap filling of temperature and humidity using relationships between Sicamous Creek and Sicamous FWS </t>
  </si>
  <si>
    <t>LiCor silicon Pyranometer at 6 m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</si>
  <si>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</si>
  <si>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</si>
  <si>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</si>
  <si>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</si>
  <si>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</si>
  <si>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</si>
  <si>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</si>
  <si>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</si>
  <si>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</si>
  <si>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</si>
  <si>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Tave</t>
  </si>
  <si>
    <t>March-May</t>
  </si>
  <si>
    <t>Jan-Feb</t>
  </si>
  <si>
    <t xml:space="preserve">Based on regressions against UPC station </t>
  </si>
  <si>
    <t>Tave C  = UPC* 1.19 - 0.2,  R2=0.922</t>
  </si>
  <si>
    <t>Tmin C  = UPC* 0.95 - 0.5,  R2=0.752</t>
  </si>
  <si>
    <t>Tmin C  = UPC* 1.1 - 1,  R2=0.856</t>
  </si>
  <si>
    <t>Dec 8 - 31</t>
  </si>
  <si>
    <t>June-Aug</t>
  </si>
  <si>
    <t>March-Aug</t>
  </si>
  <si>
    <t>Vpres</t>
  </si>
  <si>
    <t>VPDx</t>
  </si>
  <si>
    <t>Summary</t>
  </si>
  <si>
    <t>Midnight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</si>
  <si>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</si>
  <si>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</si>
  <si>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</si>
  <si>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</si>
  <si>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</si>
  <si>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</si>
  <si>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</si>
  <si>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</si>
  <si>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</si>
  <si>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</si>
  <si>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</si>
  <si>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</si>
  <si>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</si>
  <si>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</si>
  <si>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</si>
  <si>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</si>
  <si>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</si>
  <si>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</si>
  <si>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</si>
  <si>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</si>
  <si>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</si>
  <si>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</si>
  <si>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</si>
  <si>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</si>
  <si>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Vapres</t>
  </si>
  <si>
    <t>vpdX</t>
  </si>
  <si>
    <t>BatV</t>
  </si>
  <si>
    <t>mm/d</t>
  </si>
  <si>
    <t>V</t>
  </si>
  <si>
    <t>NA</t>
  </si>
  <si>
    <t>Wind direction degrees</t>
  </si>
  <si>
    <t>PPT= snow+rain</t>
  </si>
  <si>
    <t>Snow = Daily increase in pack depth and assumed compacted density of 0.13 Mg/m3</t>
  </si>
  <si>
    <t xml:space="preserve">Rain = Rain gauge. 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</si>
  <si>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</si>
  <si>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</si>
  <si>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Vapour pressure kPa</t>
  </si>
  <si>
    <t>Calculated from the daily maximum temperature and mininimum relative humdity: esat(Tmax)*RHmin/100</t>
  </si>
  <si>
    <t>If no RHmin vpres = esat(Tmin)</t>
  </si>
  <si>
    <t>Maximum vapour presure deficit</t>
  </si>
  <si>
    <t>Calculated from the daily maximum temperature and mininimum relative humdity: esat(Tmax)*(1-RHmin/100)</t>
  </si>
  <si>
    <t>If no RHmin vpd = esat(Tmax) - esat(Tmin)</t>
  </si>
  <si>
    <t>Last edit 16/04/25</t>
  </si>
  <si>
    <t>esat(tmin)</t>
  </si>
  <si>
    <t>esat(tx)-esat(Tn)</t>
  </si>
  <si>
    <t>Modelled Nov-Dec using precipitation and estimate of snow pack density</t>
  </si>
  <si>
    <t>Last edit 17/04/25</t>
  </si>
  <si>
    <t>Sicamous Fire Weather Station rainfall adjusted by *1.05 and MoTI Malakwa*1.4*1.05 and UPC*1.4</t>
  </si>
  <si>
    <t>Need better density change model</t>
  </si>
  <si>
    <t>Last edit 21/04/25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</si>
</sst>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_)"/>
    <numFmt numFmtId="165" formatCode="0.000"/>
    <numFmt numFmtId="166" formatCode="0.00_)"/>
    <numFmt numFmtId="167" formatCode="0.0"/>
  </numFmts>
  <fonts count="5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Border="1"/>
    <xf numFmtId="167" fontId="2" fillId="0" borderId="0" xfId="0" applyNumberFormat="1" applyFont="1" applyBorder="1"/>
    <xf numFmtId="0" fontId="2" fillId="0" borderId="0" xfId="0" applyFont="1"/>
    <xf numFmtId="165" fontId="2" fillId="0" borderId="0" xfId="0" applyNumberFormat="1" applyFont="1" applyBorder="1"/>
    <xf numFmtId="0" fontId="2" fillId="0" borderId="0" xfId="0" applyFont="1" applyAlignment="1">
      <alignment horizontal="right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left"/>
    </xf>
    <xf numFmtId="0" fontId="2" fillId="0" borderId="0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/>
    <xf numFmtId="166" fontId="2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Border="1"/>
    <xf numFmtId="1" fontId="2" fillId="0" borderId="0" xfId="0" applyNumberFormat="1" applyFont="1" applyBorder="1"/>
    <xf numFmtId="1" fontId="2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 applyFill="1"/>
    <xf numFmtId="166" fontId="2" fillId="0" borderId="0" xfId="0" applyNumberFormat="1" applyFont="1" applyFill="1"/>
    <xf numFmtId="167" fontId="2" fillId="0" borderId="0" xfId="0" applyNumberFormat="1" applyFont="1"/>
    <xf numFmtId="166" fontId="2" fillId="0" borderId="0" xfId="0" applyNumberFormat="1" applyFont="1" applyFill="1" applyBorder="1"/>
    <xf numFmtId="164" fontId="2" fillId="0" borderId="0" xfId="0" applyNumberFormat="1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2" fillId="5" borderId="0" xfId="0" applyFont="1" applyFill="1" applyBorder="1" applyAlignment="1">
      <alignment horizontal="right"/>
    </xf>
    <xf numFmtId="165" fontId="2" fillId="6" borderId="0" xfId="0" applyNumberFormat="1" applyFont="1" applyFill="1"/>
    <xf numFmtId="1" fontId="2" fillId="6" borderId="0" xfId="0" applyNumberFormat="1" applyFont="1" applyFill="1"/>
    <xf numFmtId="164" fontId="2" fillId="4" borderId="0" xfId="0" applyNumberFormat="1" applyFont="1" applyFill="1" applyBorder="1"/>
    <xf numFmtId="165" fontId="2" fillId="2" borderId="0" xfId="0" applyNumberFormat="1" applyFont="1" applyFill="1"/>
    <xf numFmtId="165" fontId="2" fillId="0" borderId="0" xfId="0" applyNumberFormat="1" applyFont="1" applyFill="1"/>
    <xf numFmtId="1" fontId="2" fillId="0" borderId="0" xfId="0" applyNumberFormat="1" applyFont="1" applyFill="1"/>
    <xf numFmtId="167" fontId="2" fillId="0" borderId="0" xfId="0" applyNumberFormat="1" applyFont="1" applyFill="1"/>
    <xf numFmtId="0" fontId="2" fillId="0" borderId="0" xfId="0" applyFont="1" applyFill="1"/>
    <xf numFmtId="164" fontId="2" fillId="4" borderId="0" xfId="0" applyNumberFormat="1" applyFont="1" applyFill="1"/>
    <xf numFmtId="0" fontId="2" fillId="5" borderId="0" xfId="0" applyFont="1" applyFill="1"/>
    <xf numFmtId="2" fontId="2" fillId="0" borderId="0" xfId="0" applyNumberFormat="1" applyFont="1" applyFill="1" applyBorder="1"/>
    <xf numFmtId="15" fontId="2" fillId="0" borderId="0" xfId="0" applyNumberFormat="1" applyFont="1"/>
    <xf numFmtId="0" fontId="2" fillId="2" borderId="0" xfId="0" applyFont="1" applyFill="1"/>
    <xf numFmtId="0" fontId="2" fillId="0" borderId="0" xfId="0" applyFont="1" applyProtection="1"/>
    <xf numFmtId="0" fontId="2" fillId="6" borderId="0" xfId="0" applyFont="1" applyFill="1"/>
    <xf numFmtId="0" fontId="2" fillId="7" borderId="0" xfId="0" applyFont="1" applyFill="1" applyBorder="1"/>
    <xf numFmtId="164" fontId="2" fillId="7" borderId="0" xfId="0" applyNumberFormat="1" applyFont="1" applyFill="1"/>
    <xf numFmtId="164" fontId="2" fillId="3" borderId="0" xfId="0" applyNumberFormat="1" applyFont="1" applyFill="1"/>
    <xf numFmtId="164" fontId="2" fillId="3" borderId="0" xfId="0" applyNumberFormat="1" applyFont="1" applyFill="1" applyBorder="1"/>
    <xf numFmtId="167" fontId="2" fillId="7" borderId="0" xfId="0" applyNumberFormat="1" applyFont="1" applyFill="1" applyBorder="1"/>
    <xf numFmtId="164" fontId="2" fillId="7" borderId="0" xfId="0" applyNumberFormat="1" applyFont="1" applyFill="1" applyBorder="1"/>
    <xf numFmtId="0" fontId="2" fillId="7" borderId="0" xfId="0" applyFont="1" applyFill="1"/>
    <xf numFmtId="0" fontId="2" fillId="8" borderId="0" xfId="0" applyFont="1" applyFill="1" applyBorder="1"/>
    <xf numFmtId="167" fontId="2" fillId="8" borderId="0" xfId="0" applyNumberFormat="1" applyFont="1" applyFill="1" applyBorder="1"/>
    <xf numFmtId="164" fontId="2" fillId="8" borderId="0" xfId="0" applyNumberFormat="1" applyFont="1" applyFill="1"/>
    <xf numFmtId="164" fontId="2" fillId="8" borderId="0" xfId="0" applyNumberFormat="1" applyFont="1" applyFill="1" applyBorder="1"/>
    <xf numFmtId="0" fontId="2" fillId="8" borderId="0" xfId="0" applyFont="1" applyFill="1"/>
    <xf numFmtId="14" fontId="3" fillId="0" borderId="0" xfId="0" applyNumberFormat="1" applyFon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2" fillId="9" borderId="0" xfId="0" applyFont="1" applyFill="1"/>
    <xf numFmtId="2" fontId="2" fillId="0" borderId="0" xfId="0" applyNumberFormat="1" applyFont="1" applyFill="1"/>
    <xf numFmtId="165" fontId="2" fillId="0" borderId="0" xfId="0" applyNumberFormat="1" applyFont="1" applyProtection="1"/>
    <xf numFmtId="0" fontId="4" fillId="0" borderId="0" xfId="0" applyFont="1"/>
    <xf numFmtId="1" fontId="2" fillId="0" borderId="0" xfId="0" applyNumberFormat="1" applyFont="1" applyFill="1" applyBorder="1"/>
    <xf numFmtId="1" fontId="2" fillId="10" borderId="0" xfId="0" applyNumberFormat="1" applyFont="1" applyFill="1"/>
    <xf numFmtId="165" fontId="2" fillId="11" borderId="0" xfId="0" applyNumberFormat="1" applyFont="1" applyFill="1" applyProtection="1"/>
    <xf numFmtId="0" fontId="2" fillId="11" borderId="0" xfId="0" applyFont="1" applyFill="1" applyBorder="1" applyAlignment="1" applyProtection="1">
      <alignment horizontal="center"/>
    </xf>
    <xf numFmtId="0" fontId="2" fillId="11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00"/>
      <color rgb="FFFF66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calcChain" Target="calcChain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styles" Target="styles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PPTest!$N$7:$N$371</c:f>
              <c:numCache>
                <c:formatCode>0.0</c:formatCode>
                <c:ptCount val="365"/>
                <c:pt idx="0" formatCode="0.0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0.4</c:v>
                </c:pt>
                <c:pt idx="7">
                  <c:v>6.9</c:v>
                </c:pt>
                <c:pt idx="8">
                  <c:v>12.2</c:v>
                </c:pt>
                <c:pt idx="9">
                  <c:v>21</c:v>
                </c:pt>
                <c:pt idx="10">
                  <c:v>26.1</c:v>
                </c:pt>
                <c:pt idx="11">
                  <c:v>26.1</c:v>
                </c:pt>
                <c:pt idx="12">
                  <c:v>29</c:v>
                </c:pt>
                <c:pt idx="13">
                  <c:v>32.299999999999997</c:v>
                </c:pt>
                <c:pt idx="14">
                  <c:v>33.199999999999996</c:v>
                </c:pt>
                <c:pt idx="15">
                  <c:v>33.499999999999993</c:v>
                </c:pt>
                <c:pt idx="16">
                  <c:v>33.499999999999993</c:v>
                </c:pt>
                <c:pt idx="17">
                  <c:v>40.099999999999994</c:v>
                </c:pt>
                <c:pt idx="18">
                  <c:v>40.099999999999994</c:v>
                </c:pt>
                <c:pt idx="19">
                  <c:v>40.099999999999994</c:v>
                </c:pt>
                <c:pt idx="20">
                  <c:v>40.099999999999994</c:v>
                </c:pt>
                <c:pt idx="21">
                  <c:v>40.099999999999994</c:v>
                </c:pt>
                <c:pt idx="22">
                  <c:v>40.099999999999994</c:v>
                </c:pt>
                <c:pt idx="23">
                  <c:v>40.099999999999994</c:v>
                </c:pt>
                <c:pt idx="24">
                  <c:v>40.099999999999994</c:v>
                </c:pt>
                <c:pt idx="25">
                  <c:v>45.199999999999996</c:v>
                </c:pt>
                <c:pt idx="26">
                  <c:v>45.199999999999996</c:v>
                </c:pt>
                <c:pt idx="27">
                  <c:v>45.199999999999996</c:v>
                </c:pt>
                <c:pt idx="28">
                  <c:v>54.699999999999996</c:v>
                </c:pt>
                <c:pt idx="29">
                  <c:v>56.3</c:v>
                </c:pt>
                <c:pt idx="30">
                  <c:v>58.599999999999994</c:v>
                </c:pt>
                <c:pt idx="31">
                  <c:v>58.599999999999994</c:v>
                </c:pt>
                <c:pt idx="32">
                  <c:v>60.699999999999996</c:v>
                </c:pt>
                <c:pt idx="33">
                  <c:v>60.699999999999996</c:v>
                </c:pt>
                <c:pt idx="34">
                  <c:v>60.699999999999996</c:v>
                </c:pt>
                <c:pt idx="35">
                  <c:v>60.699999999999996</c:v>
                </c:pt>
                <c:pt idx="36">
                  <c:v>66.599999999999994</c:v>
                </c:pt>
                <c:pt idx="37">
                  <c:v>66.599999999999994</c:v>
                </c:pt>
                <c:pt idx="38">
                  <c:v>66.599999999999994</c:v>
                </c:pt>
                <c:pt idx="39">
                  <c:v>66.599999999999994</c:v>
                </c:pt>
                <c:pt idx="40">
                  <c:v>66.599999999999994</c:v>
                </c:pt>
                <c:pt idx="41">
                  <c:v>66.599999999999994</c:v>
                </c:pt>
                <c:pt idx="42">
                  <c:v>66.599999999999994</c:v>
                </c:pt>
                <c:pt idx="43">
                  <c:v>68.399999999999991</c:v>
                </c:pt>
                <c:pt idx="44">
                  <c:v>69.199999999999989</c:v>
                </c:pt>
                <c:pt idx="45">
                  <c:v>77.899999999999991</c:v>
                </c:pt>
                <c:pt idx="46">
                  <c:v>84.499999999999986</c:v>
                </c:pt>
                <c:pt idx="47">
                  <c:v>84.499999999999986</c:v>
                </c:pt>
                <c:pt idx="48">
                  <c:v>94.09999999999998</c:v>
                </c:pt>
                <c:pt idx="49">
                  <c:v>94.09999999999998</c:v>
                </c:pt>
                <c:pt idx="50">
                  <c:v>94.09999999999998</c:v>
                </c:pt>
                <c:pt idx="51">
                  <c:v>94.09999999999998</c:v>
                </c:pt>
                <c:pt idx="52">
                  <c:v>94.199999999999974</c:v>
                </c:pt>
                <c:pt idx="53">
                  <c:v>94.199999999999974</c:v>
                </c:pt>
                <c:pt idx="54">
                  <c:v>94.199999999999974</c:v>
                </c:pt>
                <c:pt idx="55">
                  <c:v>94.199999999999974</c:v>
                </c:pt>
                <c:pt idx="56">
                  <c:v>94.199999999999974</c:v>
                </c:pt>
                <c:pt idx="57">
                  <c:v>94.899999999999977</c:v>
                </c:pt>
                <c:pt idx="58">
                  <c:v>94.899999999999977</c:v>
                </c:pt>
                <c:pt idx="59">
                  <c:v>94.899999999999977</c:v>
                </c:pt>
                <c:pt idx="60">
                  <c:v>94.899999999999977</c:v>
                </c:pt>
                <c:pt idx="61">
                  <c:v>94.899999999999977</c:v>
                </c:pt>
                <c:pt idx="62">
                  <c:v>96.699999999999974</c:v>
                </c:pt>
                <c:pt idx="63">
                  <c:v>97.199999999999974</c:v>
                </c:pt>
                <c:pt idx="64">
                  <c:v>97.199999999999974</c:v>
                </c:pt>
                <c:pt idx="65">
                  <c:v>97.199999999999974</c:v>
                </c:pt>
                <c:pt idx="66">
                  <c:v>107.29999999999997</c:v>
                </c:pt>
                <c:pt idx="67">
                  <c:v>107.29999999999997</c:v>
                </c:pt>
                <c:pt idx="68">
                  <c:v>107.29999999999997</c:v>
                </c:pt>
                <c:pt idx="69">
                  <c:v>108.89999999999996</c:v>
                </c:pt>
                <c:pt idx="70">
                  <c:v>109.19999999999996</c:v>
                </c:pt>
                <c:pt idx="71">
                  <c:v>109.19999999999996</c:v>
                </c:pt>
                <c:pt idx="72">
                  <c:v>109.19999999999996</c:v>
                </c:pt>
                <c:pt idx="73">
                  <c:v>109.19999999999996</c:v>
                </c:pt>
                <c:pt idx="74">
                  <c:v>109.19999999999996</c:v>
                </c:pt>
                <c:pt idx="75">
                  <c:v>109.59999999999997</c:v>
                </c:pt>
                <c:pt idx="76">
                  <c:v>109.69999999999996</c:v>
                </c:pt>
                <c:pt idx="77">
                  <c:v>109.79999999999995</c:v>
                </c:pt>
                <c:pt idx="78">
                  <c:v>118.29999999999995</c:v>
                </c:pt>
                <c:pt idx="79">
                  <c:v>118.29999999999995</c:v>
                </c:pt>
                <c:pt idx="80">
                  <c:v>118.29999999999995</c:v>
                </c:pt>
                <c:pt idx="81">
                  <c:v>133.09999999999997</c:v>
                </c:pt>
                <c:pt idx="82">
                  <c:v>133.39999999999998</c:v>
                </c:pt>
                <c:pt idx="83">
                  <c:v>133.39999999999998</c:v>
                </c:pt>
                <c:pt idx="84">
                  <c:v>133.39999999999998</c:v>
                </c:pt>
                <c:pt idx="85">
                  <c:v>133.39999999999998</c:v>
                </c:pt>
                <c:pt idx="86">
                  <c:v>133.39999999999998</c:v>
                </c:pt>
                <c:pt idx="87">
                  <c:v>133.39999999999998</c:v>
                </c:pt>
                <c:pt idx="88">
                  <c:v>133.39999999999998</c:v>
                </c:pt>
                <c:pt idx="89">
                  <c:v>133.39999999999998</c:v>
                </c:pt>
                <c:pt idx="90">
                  <c:v>135.69999999999999</c:v>
                </c:pt>
                <c:pt idx="91">
                  <c:v>136.6</c:v>
                </c:pt>
                <c:pt idx="92">
                  <c:v>136.6</c:v>
                </c:pt>
                <c:pt idx="93">
                  <c:v>136.6</c:v>
                </c:pt>
                <c:pt idx="94">
                  <c:v>137</c:v>
                </c:pt>
                <c:pt idx="95">
                  <c:v>137</c:v>
                </c:pt>
                <c:pt idx="96">
                  <c:v>165.5</c:v>
                </c:pt>
                <c:pt idx="97">
                  <c:v>165.6</c:v>
                </c:pt>
                <c:pt idx="98">
                  <c:v>166.79999999999998</c:v>
                </c:pt>
                <c:pt idx="99">
                  <c:v>166.79999999999998</c:v>
                </c:pt>
                <c:pt idx="100">
                  <c:v>166.79999999999998</c:v>
                </c:pt>
                <c:pt idx="101">
                  <c:v>166.79999999999998</c:v>
                </c:pt>
                <c:pt idx="102">
                  <c:v>171.99999999999997</c:v>
                </c:pt>
                <c:pt idx="103">
                  <c:v>172.79999999999998</c:v>
                </c:pt>
                <c:pt idx="104">
                  <c:v>172.79999999999998</c:v>
                </c:pt>
                <c:pt idx="105">
                  <c:v>172.79999999999998</c:v>
                </c:pt>
                <c:pt idx="106">
                  <c:v>172.79999999999998</c:v>
                </c:pt>
                <c:pt idx="107">
                  <c:v>172.79999999999998</c:v>
                </c:pt>
                <c:pt idx="108">
                  <c:v>181.29999999999998</c:v>
                </c:pt>
                <c:pt idx="109">
                  <c:v>181.29999999999998</c:v>
                </c:pt>
                <c:pt idx="110">
                  <c:v>181.29999999999998</c:v>
                </c:pt>
                <c:pt idx="111">
                  <c:v>181.29999999999998</c:v>
                </c:pt>
                <c:pt idx="112">
                  <c:v>181.29999999999998</c:v>
                </c:pt>
                <c:pt idx="113">
                  <c:v>181.29999999999998</c:v>
                </c:pt>
                <c:pt idx="114">
                  <c:v>181.29999999999998</c:v>
                </c:pt>
                <c:pt idx="115">
                  <c:v>181.29999999999998</c:v>
                </c:pt>
                <c:pt idx="116">
                  <c:v>181.29999999999998</c:v>
                </c:pt>
                <c:pt idx="117">
                  <c:v>181.29999999999998</c:v>
                </c:pt>
                <c:pt idx="118">
                  <c:v>181.29999999999998</c:v>
                </c:pt>
                <c:pt idx="119">
                  <c:v>181.29999999999998</c:v>
                </c:pt>
                <c:pt idx="120">
                  <c:v>181.29999999999998</c:v>
                </c:pt>
                <c:pt idx="121">
                  <c:v>181.29999999999998</c:v>
                </c:pt>
                <c:pt idx="122">
                  <c:v>182.49999999999997</c:v>
                </c:pt>
                <c:pt idx="123">
                  <c:v>182.49999999999997</c:v>
                </c:pt>
                <c:pt idx="124">
                  <c:v>182.49999999999997</c:v>
                </c:pt>
                <c:pt idx="125">
                  <c:v>182.49999999999997</c:v>
                </c:pt>
                <c:pt idx="126">
                  <c:v>182.49999999999997</c:v>
                </c:pt>
                <c:pt idx="127">
                  <c:v>182.49999999999997</c:v>
                </c:pt>
                <c:pt idx="128">
                  <c:v>182.49999999999997</c:v>
                </c:pt>
                <c:pt idx="129">
                  <c:v>188.37999999999997</c:v>
                </c:pt>
                <c:pt idx="130">
                  <c:v>204.54999999999995</c:v>
                </c:pt>
                <c:pt idx="131">
                  <c:v>210.42999999999995</c:v>
                </c:pt>
                <c:pt idx="132">
                  <c:v>210.42999999999995</c:v>
                </c:pt>
                <c:pt idx="133">
                  <c:v>210.42999999999995</c:v>
                </c:pt>
                <c:pt idx="134">
                  <c:v>210.42999999999995</c:v>
                </c:pt>
                <c:pt idx="135">
                  <c:v>210.42999999999995</c:v>
                </c:pt>
                <c:pt idx="136">
                  <c:v>210.42999999999995</c:v>
                </c:pt>
                <c:pt idx="137">
                  <c:v>210.42999999999995</c:v>
                </c:pt>
                <c:pt idx="138">
                  <c:v>210.42999999999995</c:v>
                </c:pt>
                <c:pt idx="139">
                  <c:v>211.42999999999995</c:v>
                </c:pt>
                <c:pt idx="140">
                  <c:v>211.42999999999995</c:v>
                </c:pt>
                <c:pt idx="141">
                  <c:v>211.42999999999995</c:v>
                </c:pt>
                <c:pt idx="142">
                  <c:v>211.42999999999995</c:v>
                </c:pt>
                <c:pt idx="143">
                  <c:v>211.42999999999995</c:v>
                </c:pt>
                <c:pt idx="144">
                  <c:v>211.42999999999995</c:v>
                </c:pt>
                <c:pt idx="145">
                  <c:v>211.42999999999995</c:v>
                </c:pt>
                <c:pt idx="146">
                  <c:v>211.42999999999995</c:v>
                </c:pt>
                <c:pt idx="147">
                  <c:v>211.42999999999995</c:v>
                </c:pt>
                <c:pt idx="148">
                  <c:v>211.42999999999995</c:v>
                </c:pt>
                <c:pt idx="149">
                  <c:v>211.42999999999995</c:v>
                </c:pt>
                <c:pt idx="150">
                  <c:v>211.42999999999995</c:v>
                </c:pt>
                <c:pt idx="151">
                  <c:v>211.42999999999995</c:v>
                </c:pt>
                <c:pt idx="152">
                  <c:v>211.42999999999995</c:v>
                </c:pt>
                <c:pt idx="153">
                  <c:v>211.42999999999995</c:v>
                </c:pt>
                <c:pt idx="154">
                  <c:v>217.42999999999995</c:v>
                </c:pt>
                <c:pt idx="155">
                  <c:v>234.42999999999995</c:v>
                </c:pt>
                <c:pt idx="156">
                  <c:v>234.42999999999995</c:v>
                </c:pt>
                <c:pt idx="157">
                  <c:v>234.42999999999995</c:v>
                </c:pt>
                <c:pt idx="158">
                  <c:v>234.42999999999995</c:v>
                </c:pt>
                <c:pt idx="159">
                  <c:v>234.42999999999995</c:v>
                </c:pt>
                <c:pt idx="160">
                  <c:v>234.42999999999995</c:v>
                </c:pt>
                <c:pt idx="161">
                  <c:v>242.42999999999995</c:v>
                </c:pt>
                <c:pt idx="162">
                  <c:v>249.42999999999995</c:v>
                </c:pt>
                <c:pt idx="163">
                  <c:v>252.42999999999995</c:v>
                </c:pt>
                <c:pt idx="164">
                  <c:v>258.42999999999995</c:v>
                </c:pt>
                <c:pt idx="165">
                  <c:v>260.42999999999995</c:v>
                </c:pt>
                <c:pt idx="166">
                  <c:v>260.42999999999995</c:v>
                </c:pt>
                <c:pt idx="167">
                  <c:v>262.42999999999995</c:v>
                </c:pt>
                <c:pt idx="168">
                  <c:v>263.42999999999995</c:v>
                </c:pt>
                <c:pt idx="169">
                  <c:v>263.42999999999995</c:v>
                </c:pt>
                <c:pt idx="170">
                  <c:v>264.42999999999995</c:v>
                </c:pt>
                <c:pt idx="171">
                  <c:v>265.42999999999995</c:v>
                </c:pt>
                <c:pt idx="172">
                  <c:v>265.42999999999995</c:v>
                </c:pt>
                <c:pt idx="173">
                  <c:v>266.42999999999995</c:v>
                </c:pt>
                <c:pt idx="174">
                  <c:v>266.42999999999995</c:v>
                </c:pt>
                <c:pt idx="175">
                  <c:v>267.42999999999995</c:v>
                </c:pt>
                <c:pt idx="176">
                  <c:v>267.42999999999995</c:v>
                </c:pt>
                <c:pt idx="177">
                  <c:v>276.42999999999995</c:v>
                </c:pt>
                <c:pt idx="178">
                  <c:v>276.42999999999995</c:v>
                </c:pt>
                <c:pt idx="179">
                  <c:v>276.42999999999995</c:v>
                </c:pt>
                <c:pt idx="180">
                  <c:v>276.42999999999995</c:v>
                </c:pt>
                <c:pt idx="181">
                  <c:v>276.42999999999995</c:v>
                </c:pt>
                <c:pt idx="182">
                  <c:v>284.42999999999995</c:v>
                </c:pt>
                <c:pt idx="183">
                  <c:v>284.42999999999995</c:v>
                </c:pt>
                <c:pt idx="184">
                  <c:v>289.42999999999995</c:v>
                </c:pt>
                <c:pt idx="185">
                  <c:v>291.42999999999995</c:v>
                </c:pt>
                <c:pt idx="186">
                  <c:v>294.42999999999995</c:v>
                </c:pt>
                <c:pt idx="187">
                  <c:v>294.42999999999995</c:v>
                </c:pt>
                <c:pt idx="188">
                  <c:v>294.42999999999995</c:v>
                </c:pt>
                <c:pt idx="189">
                  <c:v>305.42999999999995</c:v>
                </c:pt>
                <c:pt idx="190">
                  <c:v>310.42999999999995</c:v>
                </c:pt>
                <c:pt idx="191">
                  <c:v>310.42999999999995</c:v>
                </c:pt>
                <c:pt idx="192">
                  <c:v>310.42999999999995</c:v>
                </c:pt>
                <c:pt idx="193">
                  <c:v>310.42999999999995</c:v>
                </c:pt>
                <c:pt idx="194">
                  <c:v>310.42999999999995</c:v>
                </c:pt>
                <c:pt idx="195">
                  <c:v>310.42999999999995</c:v>
                </c:pt>
                <c:pt idx="196">
                  <c:v>310.42999999999995</c:v>
                </c:pt>
                <c:pt idx="197">
                  <c:v>310.42999999999995</c:v>
                </c:pt>
                <c:pt idx="198">
                  <c:v>310.42999999999995</c:v>
                </c:pt>
                <c:pt idx="199">
                  <c:v>310.42999999999995</c:v>
                </c:pt>
                <c:pt idx="200">
                  <c:v>310.42999999999995</c:v>
                </c:pt>
                <c:pt idx="201">
                  <c:v>310.42999999999995</c:v>
                </c:pt>
                <c:pt idx="202">
                  <c:v>311.42999999999995</c:v>
                </c:pt>
                <c:pt idx="203">
                  <c:v>315.42999999999995</c:v>
                </c:pt>
                <c:pt idx="204">
                  <c:v>316.42999999999995</c:v>
                </c:pt>
                <c:pt idx="205">
                  <c:v>324.42999999999995</c:v>
                </c:pt>
                <c:pt idx="206">
                  <c:v>334.42999999999995</c:v>
                </c:pt>
                <c:pt idx="207">
                  <c:v>337.42999999999995</c:v>
                </c:pt>
                <c:pt idx="208">
                  <c:v>339.42999999999995</c:v>
                </c:pt>
                <c:pt idx="209">
                  <c:v>342.42999999999995</c:v>
                </c:pt>
                <c:pt idx="210">
                  <c:v>342.42999999999995</c:v>
                </c:pt>
                <c:pt idx="211">
                  <c:v>344.42999999999995</c:v>
                </c:pt>
                <c:pt idx="212">
                  <c:v>347.42999999999995</c:v>
                </c:pt>
                <c:pt idx="213">
                  <c:v>347.42999999999995</c:v>
                </c:pt>
                <c:pt idx="214">
                  <c:v>347.42999999999995</c:v>
                </c:pt>
                <c:pt idx="215">
                  <c:v>347.42999999999995</c:v>
                </c:pt>
                <c:pt idx="216">
                  <c:v>349.42999999999995</c:v>
                </c:pt>
                <c:pt idx="217">
                  <c:v>354.42999999999995</c:v>
                </c:pt>
                <c:pt idx="218">
                  <c:v>357.42999999999995</c:v>
                </c:pt>
                <c:pt idx="219">
                  <c:v>359.42999999999995</c:v>
                </c:pt>
                <c:pt idx="220">
                  <c:v>363.42999999999995</c:v>
                </c:pt>
                <c:pt idx="221">
                  <c:v>366.42999999999995</c:v>
                </c:pt>
                <c:pt idx="222">
                  <c:v>367.42999999999995</c:v>
                </c:pt>
                <c:pt idx="223">
                  <c:v>368.42999999999995</c:v>
                </c:pt>
                <c:pt idx="224">
                  <c:v>370.42999999999995</c:v>
                </c:pt>
                <c:pt idx="225">
                  <c:v>372.42999999999995</c:v>
                </c:pt>
                <c:pt idx="226">
                  <c:v>373.42999999999995</c:v>
                </c:pt>
                <c:pt idx="227">
                  <c:v>374.42999999999995</c:v>
                </c:pt>
                <c:pt idx="228">
                  <c:v>375.42999999999995</c:v>
                </c:pt>
                <c:pt idx="229">
                  <c:v>375.42999999999995</c:v>
                </c:pt>
                <c:pt idx="230">
                  <c:v>376.42999999999995</c:v>
                </c:pt>
                <c:pt idx="231">
                  <c:v>390.42999999999995</c:v>
                </c:pt>
                <c:pt idx="232">
                  <c:v>419.42999999999995</c:v>
                </c:pt>
                <c:pt idx="233">
                  <c:v>431.42999999999995</c:v>
                </c:pt>
                <c:pt idx="234">
                  <c:v>433.42999999999995</c:v>
                </c:pt>
                <c:pt idx="235">
                  <c:v>433.42999999999995</c:v>
                </c:pt>
                <c:pt idx="236">
                  <c:v>433.42999999999995</c:v>
                </c:pt>
                <c:pt idx="237">
                  <c:v>433.42999999999995</c:v>
                </c:pt>
                <c:pt idx="238">
                  <c:v>434.42999999999995</c:v>
                </c:pt>
                <c:pt idx="239">
                  <c:v>441.42999999999995</c:v>
                </c:pt>
                <c:pt idx="240">
                  <c:v>453.42999999999995</c:v>
                </c:pt>
                <c:pt idx="241">
                  <c:v>454.42999999999995</c:v>
                </c:pt>
                <c:pt idx="242">
                  <c:v>454.42999999999995</c:v>
                </c:pt>
                <c:pt idx="243">
                  <c:v>454.42999999999995</c:v>
                </c:pt>
                <c:pt idx="244">
                  <c:v>454.42999999999995</c:v>
                </c:pt>
                <c:pt idx="245">
                  <c:v>454.42999999999995</c:v>
                </c:pt>
                <c:pt idx="246">
                  <c:v>454.42999999999995</c:v>
                </c:pt>
                <c:pt idx="247">
                  <c:v>474.42999999999995</c:v>
                </c:pt>
                <c:pt idx="248">
                  <c:v>474.42999999999995</c:v>
                </c:pt>
                <c:pt idx="249">
                  <c:v>474.42999999999995</c:v>
                </c:pt>
                <c:pt idx="250">
                  <c:v>474.42999999999995</c:v>
                </c:pt>
                <c:pt idx="251">
                  <c:v>474.42999999999995</c:v>
                </c:pt>
                <c:pt idx="252">
                  <c:v>474.42999999999995</c:v>
                </c:pt>
                <c:pt idx="253">
                  <c:v>474.42999999999995</c:v>
                </c:pt>
                <c:pt idx="254">
                  <c:v>474.42999999999995</c:v>
                </c:pt>
                <c:pt idx="255">
                  <c:v>474.42999999999995</c:v>
                </c:pt>
                <c:pt idx="256">
                  <c:v>474.42999999999995</c:v>
                </c:pt>
                <c:pt idx="257">
                  <c:v>474.42999999999995</c:v>
                </c:pt>
                <c:pt idx="258">
                  <c:v>474.42999999999995</c:v>
                </c:pt>
                <c:pt idx="259">
                  <c:v>474.42999999999995</c:v>
                </c:pt>
                <c:pt idx="260">
                  <c:v>474.42999999999995</c:v>
                </c:pt>
                <c:pt idx="261">
                  <c:v>474.42999999999995</c:v>
                </c:pt>
                <c:pt idx="262">
                  <c:v>474.42999999999995</c:v>
                </c:pt>
                <c:pt idx="263">
                  <c:v>474.42999999999995</c:v>
                </c:pt>
                <c:pt idx="264">
                  <c:v>474.42999999999995</c:v>
                </c:pt>
                <c:pt idx="265">
                  <c:v>474.42999999999995</c:v>
                </c:pt>
                <c:pt idx="266">
                  <c:v>474.42999999999995</c:v>
                </c:pt>
                <c:pt idx="267">
                  <c:v>474.42999999999995</c:v>
                </c:pt>
                <c:pt idx="268">
                  <c:v>474.42999999999995</c:v>
                </c:pt>
                <c:pt idx="269">
                  <c:v>474.42999999999995</c:v>
                </c:pt>
                <c:pt idx="270">
                  <c:v>481.42999999999995</c:v>
                </c:pt>
                <c:pt idx="271">
                  <c:v>483.42999999999995</c:v>
                </c:pt>
                <c:pt idx="272">
                  <c:v>486.42999999999995</c:v>
                </c:pt>
                <c:pt idx="273">
                  <c:v>500.42999999999995</c:v>
                </c:pt>
                <c:pt idx="274">
                  <c:v>501.42999999999995</c:v>
                </c:pt>
                <c:pt idx="275">
                  <c:v>504.42999999999995</c:v>
                </c:pt>
                <c:pt idx="276">
                  <c:v>515.42999999999995</c:v>
                </c:pt>
                <c:pt idx="277">
                  <c:v>516.42999999999995</c:v>
                </c:pt>
                <c:pt idx="278">
                  <c:v>521.42999999999995</c:v>
                </c:pt>
                <c:pt idx="279">
                  <c:v>521.42999999999995</c:v>
                </c:pt>
                <c:pt idx="280">
                  <c:v>530.42999999999995</c:v>
                </c:pt>
                <c:pt idx="281">
                  <c:v>531.42999999999995</c:v>
                </c:pt>
                <c:pt idx="282">
                  <c:v>532.42999999999995</c:v>
                </c:pt>
                <c:pt idx="283">
                  <c:v>539.42999999999995</c:v>
                </c:pt>
                <c:pt idx="284">
                  <c:v>542.42999999999995</c:v>
                </c:pt>
                <c:pt idx="285">
                  <c:v>543.42999999999995</c:v>
                </c:pt>
                <c:pt idx="286">
                  <c:v>569.42999999999995</c:v>
                </c:pt>
                <c:pt idx="287">
                  <c:v>572.42999999999995</c:v>
                </c:pt>
                <c:pt idx="288">
                  <c:v>581.42999999999995</c:v>
                </c:pt>
                <c:pt idx="289">
                  <c:v>596.42999999999995</c:v>
                </c:pt>
                <c:pt idx="290">
                  <c:v>597.42999999999995</c:v>
                </c:pt>
                <c:pt idx="291">
                  <c:v>602.42999999999995</c:v>
                </c:pt>
                <c:pt idx="292">
                  <c:v>604.42999999999995</c:v>
                </c:pt>
                <c:pt idx="293">
                  <c:v>604.42999999999995</c:v>
                </c:pt>
                <c:pt idx="294">
                  <c:v>605.42999999999995</c:v>
                </c:pt>
                <c:pt idx="295">
                  <c:v>605.42999999999995</c:v>
                </c:pt>
                <c:pt idx="296">
                  <c:v>607.42999999999995</c:v>
                </c:pt>
                <c:pt idx="297">
                  <c:v>607.42999999999995</c:v>
                </c:pt>
                <c:pt idx="298">
                  <c:v>609.42999999999995</c:v>
                </c:pt>
                <c:pt idx="299">
                  <c:v>610.42999999999995</c:v>
                </c:pt>
                <c:pt idx="300">
                  <c:v>611.42999999999995</c:v>
                </c:pt>
                <c:pt idx="301">
                  <c:v>612.7299999999999</c:v>
                </c:pt>
                <c:pt idx="302">
                  <c:v>612.7299999999999</c:v>
                </c:pt>
                <c:pt idx="303">
                  <c:v>612.7299999999999</c:v>
                </c:pt>
                <c:pt idx="304">
                  <c:v>612.7299999999999</c:v>
                </c:pt>
                <c:pt idx="305">
                  <c:v>612.7299999999999</c:v>
                </c:pt>
                <c:pt idx="306">
                  <c:v>612.7299999999999</c:v>
                </c:pt>
                <c:pt idx="307">
                  <c:v>612.7299999999999</c:v>
                </c:pt>
                <c:pt idx="308">
                  <c:v>613.42999999999995</c:v>
                </c:pt>
                <c:pt idx="309">
                  <c:v>614.13</c:v>
                </c:pt>
                <c:pt idx="310">
                  <c:v>614.13</c:v>
                </c:pt>
                <c:pt idx="311">
                  <c:v>625.15499999999997</c:v>
                </c:pt>
                <c:pt idx="312">
                  <c:v>625.15499999999997</c:v>
                </c:pt>
                <c:pt idx="313">
                  <c:v>625.15499999999997</c:v>
                </c:pt>
                <c:pt idx="314">
                  <c:v>647.20499999999993</c:v>
                </c:pt>
                <c:pt idx="315">
                  <c:v>647.20499999999993</c:v>
                </c:pt>
                <c:pt idx="316">
                  <c:v>656.44499999999994</c:v>
                </c:pt>
                <c:pt idx="317">
                  <c:v>659.69999999999993</c:v>
                </c:pt>
                <c:pt idx="318">
                  <c:v>661.90499999999997</c:v>
                </c:pt>
                <c:pt idx="319">
                  <c:v>662.745</c:v>
                </c:pt>
                <c:pt idx="320">
                  <c:v>667.05</c:v>
                </c:pt>
                <c:pt idx="321">
                  <c:v>668.52</c:v>
                </c:pt>
                <c:pt idx="322">
                  <c:v>669.56999999999994</c:v>
                </c:pt>
                <c:pt idx="323">
                  <c:v>669.56999999999994</c:v>
                </c:pt>
                <c:pt idx="324">
                  <c:v>669.56999999999994</c:v>
                </c:pt>
                <c:pt idx="325">
                  <c:v>669.56999999999994</c:v>
                </c:pt>
                <c:pt idx="326">
                  <c:v>670.19999999999993</c:v>
                </c:pt>
                <c:pt idx="327">
                  <c:v>682.58999999999992</c:v>
                </c:pt>
                <c:pt idx="328">
                  <c:v>683.74499999999989</c:v>
                </c:pt>
                <c:pt idx="329">
                  <c:v>685.84499999999991</c:v>
                </c:pt>
                <c:pt idx="330">
                  <c:v>712.61999999999989</c:v>
                </c:pt>
                <c:pt idx="331">
                  <c:v>719.65499999999986</c:v>
                </c:pt>
                <c:pt idx="332">
                  <c:v>723.43499999999983</c:v>
                </c:pt>
                <c:pt idx="333">
                  <c:v>723.43499999999983</c:v>
                </c:pt>
                <c:pt idx="334">
                  <c:v>723.43499999999983</c:v>
                </c:pt>
                <c:pt idx="335">
                  <c:v>723.43499999999983</c:v>
                </c:pt>
                <c:pt idx="336">
                  <c:v>723.43499999999983</c:v>
                </c:pt>
                <c:pt idx="337">
                  <c:v>726.58499999999981</c:v>
                </c:pt>
                <c:pt idx="338">
                  <c:v>726.58499999999981</c:v>
                </c:pt>
                <c:pt idx="339">
                  <c:v>726.58499999999981</c:v>
                </c:pt>
                <c:pt idx="340">
                  <c:v>728.15999999999985</c:v>
                </c:pt>
                <c:pt idx="341">
                  <c:v>728.15999999999985</c:v>
                </c:pt>
                <c:pt idx="342">
                  <c:v>728.15999999999985</c:v>
                </c:pt>
                <c:pt idx="343">
                  <c:v>756.50999999999988</c:v>
                </c:pt>
                <c:pt idx="344">
                  <c:v>776.9849999999999</c:v>
                </c:pt>
                <c:pt idx="345">
                  <c:v>776.9849999999999</c:v>
                </c:pt>
                <c:pt idx="346">
                  <c:v>783.28499999999985</c:v>
                </c:pt>
                <c:pt idx="347">
                  <c:v>783.28499999999985</c:v>
                </c:pt>
                <c:pt idx="348">
                  <c:v>783.28499999999985</c:v>
                </c:pt>
                <c:pt idx="349">
                  <c:v>783.28499999999985</c:v>
                </c:pt>
                <c:pt idx="350">
                  <c:v>783.28499999999985</c:v>
                </c:pt>
                <c:pt idx="351">
                  <c:v>784.8599999999999</c:v>
                </c:pt>
                <c:pt idx="352">
                  <c:v>784.8599999999999</c:v>
                </c:pt>
                <c:pt idx="353">
                  <c:v>784.8599999999999</c:v>
                </c:pt>
                <c:pt idx="354">
                  <c:v>784.8599999999999</c:v>
                </c:pt>
                <c:pt idx="355">
                  <c:v>784.8599999999999</c:v>
                </c:pt>
                <c:pt idx="356">
                  <c:v>784.8599999999999</c:v>
                </c:pt>
                <c:pt idx="357">
                  <c:v>784.8599999999999</c:v>
                </c:pt>
                <c:pt idx="358">
                  <c:v>784.8599999999999</c:v>
                </c:pt>
                <c:pt idx="359">
                  <c:v>784.8599999999999</c:v>
                </c:pt>
                <c:pt idx="360">
                  <c:v>784.8599999999999</c:v>
                </c:pt>
                <c:pt idx="361">
                  <c:v>784.8599999999999</c:v>
                </c:pt>
                <c:pt idx="362">
                  <c:v>792.7349999999999</c:v>
                </c:pt>
                <c:pt idx="363">
                  <c:v>795.88499999999988</c:v>
                </c:pt>
                <c:pt idx="364">
                  <c:v>800.6099999999999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PPTest!$M$7:$M$371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0.3</c:v>
                </c:pt>
                <c:pt idx="29">
                  <c:v>0.3</c:v>
                </c:pt>
                <c:pt idx="30">
                  <c:v>15.8</c:v>
                </c:pt>
                <c:pt idx="31">
                  <c:v>35.700000000000003</c:v>
                </c:pt>
                <c:pt idx="32">
                  <c:v>37.1</c:v>
                </c:pt>
                <c:pt idx="33">
                  <c:v>37.6</c:v>
                </c:pt>
                <c:pt idx="34">
                  <c:v>37.6</c:v>
                </c:pt>
                <c:pt idx="35">
                  <c:v>38.700000000000003</c:v>
                </c:pt>
                <c:pt idx="36">
                  <c:v>45.6</c:v>
                </c:pt>
                <c:pt idx="37">
                  <c:v>49</c:v>
                </c:pt>
                <c:pt idx="38">
                  <c:v>49.3</c:v>
                </c:pt>
                <c:pt idx="39">
                  <c:v>50.4</c:v>
                </c:pt>
                <c:pt idx="40">
                  <c:v>50.4</c:v>
                </c:pt>
                <c:pt idx="41">
                  <c:v>50.4</c:v>
                </c:pt>
                <c:pt idx="42">
                  <c:v>50.4</c:v>
                </c:pt>
                <c:pt idx="43">
                  <c:v>50.4</c:v>
                </c:pt>
                <c:pt idx="44">
                  <c:v>50.4</c:v>
                </c:pt>
                <c:pt idx="45">
                  <c:v>50.4</c:v>
                </c:pt>
                <c:pt idx="46">
                  <c:v>52.6</c:v>
                </c:pt>
                <c:pt idx="47">
                  <c:v>52.6</c:v>
                </c:pt>
                <c:pt idx="48">
                  <c:v>65.7</c:v>
                </c:pt>
                <c:pt idx="49">
                  <c:v>75.900000000000006</c:v>
                </c:pt>
                <c:pt idx="50">
                  <c:v>75.900000000000006</c:v>
                </c:pt>
                <c:pt idx="51">
                  <c:v>75.900000000000006</c:v>
                </c:pt>
                <c:pt idx="52">
                  <c:v>75.900000000000006</c:v>
                </c:pt>
                <c:pt idx="53">
                  <c:v>76.2</c:v>
                </c:pt>
                <c:pt idx="54">
                  <c:v>76.2</c:v>
                </c:pt>
                <c:pt idx="55">
                  <c:v>76.2</c:v>
                </c:pt>
                <c:pt idx="56">
                  <c:v>76.2</c:v>
                </c:pt>
                <c:pt idx="57">
                  <c:v>76.2</c:v>
                </c:pt>
                <c:pt idx="58">
                  <c:v>76.2</c:v>
                </c:pt>
                <c:pt idx="59">
                  <c:v>76.2</c:v>
                </c:pt>
                <c:pt idx="60">
                  <c:v>76.2</c:v>
                </c:pt>
                <c:pt idx="61">
                  <c:v>76.2</c:v>
                </c:pt>
                <c:pt idx="62">
                  <c:v>76.2</c:v>
                </c:pt>
                <c:pt idx="63">
                  <c:v>76.2</c:v>
                </c:pt>
                <c:pt idx="64">
                  <c:v>76.2</c:v>
                </c:pt>
                <c:pt idx="65">
                  <c:v>76.2</c:v>
                </c:pt>
                <c:pt idx="66">
                  <c:v>76.2</c:v>
                </c:pt>
                <c:pt idx="67">
                  <c:v>76.2</c:v>
                </c:pt>
                <c:pt idx="68">
                  <c:v>78.3</c:v>
                </c:pt>
                <c:pt idx="69">
                  <c:v>101.19999999999999</c:v>
                </c:pt>
                <c:pt idx="70">
                  <c:v>102.29999999999998</c:v>
                </c:pt>
                <c:pt idx="71">
                  <c:v>102.29999999999998</c:v>
                </c:pt>
                <c:pt idx="72">
                  <c:v>103.89999999999998</c:v>
                </c:pt>
                <c:pt idx="73">
                  <c:v>103.89999999999998</c:v>
                </c:pt>
                <c:pt idx="74">
                  <c:v>103.89999999999998</c:v>
                </c:pt>
                <c:pt idx="75">
                  <c:v>103.89999999999998</c:v>
                </c:pt>
                <c:pt idx="76">
                  <c:v>104.99999999999997</c:v>
                </c:pt>
                <c:pt idx="77">
                  <c:v>105.59999999999997</c:v>
                </c:pt>
                <c:pt idx="78">
                  <c:v>107.59999999999997</c:v>
                </c:pt>
                <c:pt idx="79">
                  <c:v>114.49999999999997</c:v>
                </c:pt>
                <c:pt idx="80">
                  <c:v>115.09999999999997</c:v>
                </c:pt>
                <c:pt idx="81">
                  <c:v>116.29999999999997</c:v>
                </c:pt>
                <c:pt idx="82">
                  <c:v>123.99999999999997</c:v>
                </c:pt>
                <c:pt idx="83">
                  <c:v>124.59999999999997</c:v>
                </c:pt>
                <c:pt idx="84">
                  <c:v>124.59999999999997</c:v>
                </c:pt>
                <c:pt idx="85">
                  <c:v>124.59999999999997</c:v>
                </c:pt>
                <c:pt idx="86">
                  <c:v>124.59999999999997</c:v>
                </c:pt>
                <c:pt idx="87">
                  <c:v>124.59999999999997</c:v>
                </c:pt>
                <c:pt idx="88">
                  <c:v>124.59999999999997</c:v>
                </c:pt>
                <c:pt idx="89">
                  <c:v>124.59999999999997</c:v>
                </c:pt>
                <c:pt idx="90">
                  <c:v>128.89999999999998</c:v>
                </c:pt>
                <c:pt idx="91">
                  <c:v>130.49999999999997</c:v>
                </c:pt>
                <c:pt idx="92">
                  <c:v>130.49999999999997</c:v>
                </c:pt>
                <c:pt idx="93">
                  <c:v>132.79999999999998</c:v>
                </c:pt>
                <c:pt idx="94">
                  <c:v>132.79999999999998</c:v>
                </c:pt>
                <c:pt idx="95">
                  <c:v>132.79999999999998</c:v>
                </c:pt>
                <c:pt idx="96">
                  <c:v>138.69999999999999</c:v>
                </c:pt>
                <c:pt idx="97">
                  <c:v>154.39999999999998</c:v>
                </c:pt>
                <c:pt idx="98">
                  <c:v>155.39999999999998</c:v>
                </c:pt>
                <c:pt idx="99">
                  <c:v>155.99999999999997</c:v>
                </c:pt>
                <c:pt idx="100">
                  <c:v>159.09999999999997</c:v>
                </c:pt>
                <c:pt idx="101">
                  <c:v>159.09999999999997</c:v>
                </c:pt>
                <c:pt idx="102">
                  <c:v>169.79999999999995</c:v>
                </c:pt>
                <c:pt idx="103">
                  <c:v>170.09999999999997</c:v>
                </c:pt>
                <c:pt idx="104">
                  <c:v>170.69999999999996</c:v>
                </c:pt>
                <c:pt idx="105">
                  <c:v>170.69999999999996</c:v>
                </c:pt>
                <c:pt idx="106">
                  <c:v>170.69999999999996</c:v>
                </c:pt>
                <c:pt idx="107">
                  <c:v>170.69999999999996</c:v>
                </c:pt>
                <c:pt idx="108">
                  <c:v>176.29999999999995</c:v>
                </c:pt>
                <c:pt idx="109">
                  <c:v>176.59999999999997</c:v>
                </c:pt>
                <c:pt idx="110">
                  <c:v>176.59999999999997</c:v>
                </c:pt>
                <c:pt idx="111">
                  <c:v>176.59999999999997</c:v>
                </c:pt>
                <c:pt idx="112">
                  <c:v>176.59999999999997</c:v>
                </c:pt>
                <c:pt idx="113">
                  <c:v>176.59999999999997</c:v>
                </c:pt>
                <c:pt idx="114">
                  <c:v>176.59999999999997</c:v>
                </c:pt>
                <c:pt idx="115">
                  <c:v>176.59999999999997</c:v>
                </c:pt>
                <c:pt idx="116">
                  <c:v>177.99999999999997</c:v>
                </c:pt>
                <c:pt idx="117">
                  <c:v>177.99999999999997</c:v>
                </c:pt>
                <c:pt idx="118">
                  <c:v>177.99999999999997</c:v>
                </c:pt>
                <c:pt idx="119">
                  <c:v>179.39999999999998</c:v>
                </c:pt>
                <c:pt idx="120">
                  <c:v>179.39999999999998</c:v>
                </c:pt>
                <c:pt idx="121">
                  <c:v>182.2</c:v>
                </c:pt>
                <c:pt idx="122">
                  <c:v>185</c:v>
                </c:pt>
                <c:pt idx="123">
                  <c:v>185</c:v>
                </c:pt>
                <c:pt idx="124">
                  <c:v>185</c:v>
                </c:pt>
                <c:pt idx="125">
                  <c:v>185</c:v>
                </c:pt>
                <c:pt idx="126">
                  <c:v>196.2</c:v>
                </c:pt>
                <c:pt idx="127">
                  <c:v>197.6</c:v>
                </c:pt>
                <c:pt idx="128">
                  <c:v>197.6</c:v>
                </c:pt>
                <c:pt idx="129">
                  <c:v>203.2</c:v>
                </c:pt>
                <c:pt idx="130">
                  <c:v>218.6</c:v>
                </c:pt>
                <c:pt idx="131">
                  <c:v>224.2</c:v>
                </c:pt>
                <c:pt idx="132">
                  <c:v>224.2</c:v>
                </c:pt>
                <c:pt idx="133">
                  <c:v>224.2</c:v>
                </c:pt>
                <c:pt idx="134">
                  <c:v>224.2</c:v>
                </c:pt>
                <c:pt idx="135">
                  <c:v>224.2</c:v>
                </c:pt>
                <c:pt idx="136">
                  <c:v>224.2</c:v>
                </c:pt>
                <c:pt idx="137">
                  <c:v>224.2</c:v>
                </c:pt>
                <c:pt idx="138">
                  <c:v>224.2</c:v>
                </c:pt>
                <c:pt idx="139">
                  <c:v>225.6</c:v>
                </c:pt>
                <c:pt idx="140">
                  <c:v>225.6</c:v>
                </c:pt>
                <c:pt idx="141">
                  <c:v>227</c:v>
                </c:pt>
                <c:pt idx="142">
                  <c:v>227</c:v>
                </c:pt>
                <c:pt idx="143">
                  <c:v>227</c:v>
                </c:pt>
                <c:pt idx="144">
                  <c:v>227</c:v>
                </c:pt>
                <c:pt idx="145">
                  <c:v>227</c:v>
                </c:pt>
                <c:pt idx="146">
                  <c:v>227</c:v>
                </c:pt>
                <c:pt idx="147">
                  <c:v>227</c:v>
                </c:pt>
                <c:pt idx="148">
                  <c:v>227</c:v>
                </c:pt>
                <c:pt idx="149">
                  <c:v>227</c:v>
                </c:pt>
                <c:pt idx="150">
                  <c:v>227</c:v>
                </c:pt>
                <c:pt idx="151">
                  <c:v>227</c:v>
                </c:pt>
                <c:pt idx="152">
                  <c:v>227</c:v>
                </c:pt>
                <c:pt idx="153">
                  <c:v>227</c:v>
                </c:pt>
                <c:pt idx="154">
                  <c:v>232.9</c:v>
                </c:pt>
                <c:pt idx="155">
                  <c:v>263.8</c:v>
                </c:pt>
                <c:pt idx="156">
                  <c:v>280.3</c:v>
                </c:pt>
                <c:pt idx="157">
                  <c:v>280.3</c:v>
                </c:pt>
                <c:pt idx="158">
                  <c:v>280.3</c:v>
                </c:pt>
                <c:pt idx="159">
                  <c:v>280.3</c:v>
                </c:pt>
                <c:pt idx="160">
                  <c:v>280.3</c:v>
                </c:pt>
                <c:pt idx="161">
                  <c:v>286.10000000000002</c:v>
                </c:pt>
                <c:pt idx="162">
                  <c:v>293.60000000000002</c:v>
                </c:pt>
                <c:pt idx="163">
                  <c:v>297.20000000000005</c:v>
                </c:pt>
                <c:pt idx="164">
                  <c:v>302.20000000000005</c:v>
                </c:pt>
                <c:pt idx="165">
                  <c:v>302.50000000000006</c:v>
                </c:pt>
                <c:pt idx="166">
                  <c:v>302.50000000000006</c:v>
                </c:pt>
                <c:pt idx="167">
                  <c:v>304.40000000000003</c:v>
                </c:pt>
                <c:pt idx="168">
                  <c:v>307.3</c:v>
                </c:pt>
                <c:pt idx="169">
                  <c:v>310.60000000000002</c:v>
                </c:pt>
                <c:pt idx="170">
                  <c:v>321.70000000000005</c:v>
                </c:pt>
                <c:pt idx="171">
                  <c:v>321.70000000000005</c:v>
                </c:pt>
                <c:pt idx="172">
                  <c:v>321.70000000000005</c:v>
                </c:pt>
                <c:pt idx="173">
                  <c:v>321.70000000000005</c:v>
                </c:pt>
                <c:pt idx="174">
                  <c:v>321.70000000000005</c:v>
                </c:pt>
                <c:pt idx="175">
                  <c:v>321.70000000000005</c:v>
                </c:pt>
                <c:pt idx="176">
                  <c:v>321.70000000000005</c:v>
                </c:pt>
                <c:pt idx="177">
                  <c:v>321.70000000000005</c:v>
                </c:pt>
                <c:pt idx="178">
                  <c:v>321.70000000000005</c:v>
                </c:pt>
                <c:pt idx="179">
                  <c:v>321.70000000000005</c:v>
                </c:pt>
                <c:pt idx="180">
                  <c:v>321.70000000000005</c:v>
                </c:pt>
                <c:pt idx="181">
                  <c:v>321.70000000000005</c:v>
                </c:pt>
                <c:pt idx="182">
                  <c:v>329.90000000000003</c:v>
                </c:pt>
                <c:pt idx="183">
                  <c:v>330.20000000000005</c:v>
                </c:pt>
                <c:pt idx="184">
                  <c:v>332.6</c:v>
                </c:pt>
                <c:pt idx="185">
                  <c:v>337.70000000000005</c:v>
                </c:pt>
                <c:pt idx="186">
                  <c:v>340.90000000000003</c:v>
                </c:pt>
                <c:pt idx="187">
                  <c:v>344.6</c:v>
                </c:pt>
                <c:pt idx="188">
                  <c:v>344.6</c:v>
                </c:pt>
                <c:pt idx="189">
                  <c:v>348.40000000000003</c:v>
                </c:pt>
                <c:pt idx="190">
                  <c:v>354.50000000000006</c:v>
                </c:pt>
                <c:pt idx="191">
                  <c:v>354.80000000000007</c:v>
                </c:pt>
                <c:pt idx="192">
                  <c:v>354.80000000000007</c:v>
                </c:pt>
                <c:pt idx="193">
                  <c:v>354.80000000000007</c:v>
                </c:pt>
                <c:pt idx="194">
                  <c:v>354.80000000000007</c:v>
                </c:pt>
                <c:pt idx="195">
                  <c:v>354.80000000000007</c:v>
                </c:pt>
                <c:pt idx="196">
                  <c:v>354.80000000000007</c:v>
                </c:pt>
                <c:pt idx="197">
                  <c:v>354.80000000000007</c:v>
                </c:pt>
                <c:pt idx="198">
                  <c:v>354.80000000000007</c:v>
                </c:pt>
                <c:pt idx="199">
                  <c:v>354.80000000000007</c:v>
                </c:pt>
                <c:pt idx="200">
                  <c:v>355.10000000000008</c:v>
                </c:pt>
                <c:pt idx="201">
                  <c:v>355.90000000000009</c:v>
                </c:pt>
                <c:pt idx="202">
                  <c:v>357.7000000000001</c:v>
                </c:pt>
                <c:pt idx="203">
                  <c:v>363.10000000000008</c:v>
                </c:pt>
                <c:pt idx="204">
                  <c:v>363.10000000000008</c:v>
                </c:pt>
                <c:pt idx="205">
                  <c:v>372.2000000000001</c:v>
                </c:pt>
                <c:pt idx="206">
                  <c:v>376.80000000000013</c:v>
                </c:pt>
                <c:pt idx="207">
                  <c:v>381.10000000000014</c:v>
                </c:pt>
                <c:pt idx="208">
                  <c:v>381.70000000000016</c:v>
                </c:pt>
                <c:pt idx="209">
                  <c:v>388.10000000000014</c:v>
                </c:pt>
                <c:pt idx="210">
                  <c:v>388.10000000000014</c:v>
                </c:pt>
                <c:pt idx="211">
                  <c:v>388.40000000000015</c:v>
                </c:pt>
                <c:pt idx="212">
                  <c:v>390.70000000000016</c:v>
                </c:pt>
                <c:pt idx="213">
                  <c:v>390.70000000000016</c:v>
                </c:pt>
                <c:pt idx="214">
                  <c:v>390.70000000000016</c:v>
                </c:pt>
                <c:pt idx="215">
                  <c:v>390.70000000000016</c:v>
                </c:pt>
                <c:pt idx="216">
                  <c:v>395.80000000000018</c:v>
                </c:pt>
                <c:pt idx="217">
                  <c:v>409.4000000000002</c:v>
                </c:pt>
                <c:pt idx="218">
                  <c:v>426.10000000000019</c:v>
                </c:pt>
                <c:pt idx="219">
                  <c:v>430.20000000000022</c:v>
                </c:pt>
                <c:pt idx="220">
                  <c:v>430.70000000000022</c:v>
                </c:pt>
                <c:pt idx="221">
                  <c:v>435.60000000000019</c:v>
                </c:pt>
                <c:pt idx="222">
                  <c:v>449.4000000000002</c:v>
                </c:pt>
                <c:pt idx="223">
                  <c:v>458.80000000000018</c:v>
                </c:pt>
                <c:pt idx="224">
                  <c:v>458.80000000000018</c:v>
                </c:pt>
                <c:pt idx="225">
                  <c:v>462.00000000000017</c:v>
                </c:pt>
                <c:pt idx="226">
                  <c:v>468.40000000000015</c:v>
                </c:pt>
                <c:pt idx="227">
                  <c:v>468.40000000000015</c:v>
                </c:pt>
                <c:pt idx="228">
                  <c:v>475.40000000000015</c:v>
                </c:pt>
                <c:pt idx="229">
                  <c:v>480.30000000000013</c:v>
                </c:pt>
                <c:pt idx="230">
                  <c:v>481.40000000000015</c:v>
                </c:pt>
                <c:pt idx="231">
                  <c:v>481.40000000000015</c:v>
                </c:pt>
                <c:pt idx="232">
                  <c:v>481.40000000000015</c:v>
                </c:pt>
                <c:pt idx="233">
                  <c:v>481.40000000000015</c:v>
                </c:pt>
                <c:pt idx="234">
                  <c:v>481.40000000000015</c:v>
                </c:pt>
                <c:pt idx="235">
                  <c:v>481.40000000000015</c:v>
                </c:pt>
                <c:pt idx="236">
                  <c:v>481.40000000000015</c:v>
                </c:pt>
                <c:pt idx="237">
                  <c:v>481.70000000000016</c:v>
                </c:pt>
                <c:pt idx="238">
                  <c:v>482.00000000000017</c:v>
                </c:pt>
                <c:pt idx="239">
                  <c:v>489.80000000000018</c:v>
                </c:pt>
                <c:pt idx="240">
                  <c:v>498.70000000000016</c:v>
                </c:pt>
                <c:pt idx="241">
                  <c:v>501.30000000000018</c:v>
                </c:pt>
                <c:pt idx="242">
                  <c:v>501.30000000000018</c:v>
                </c:pt>
                <c:pt idx="243">
                  <c:v>501.30000000000018</c:v>
                </c:pt>
                <c:pt idx="244">
                  <c:v>501.30000000000018</c:v>
                </c:pt>
                <c:pt idx="245">
                  <c:v>501.30000000000018</c:v>
                </c:pt>
                <c:pt idx="246">
                  <c:v>501.30000000000018</c:v>
                </c:pt>
                <c:pt idx="247">
                  <c:v>516.9000000000002</c:v>
                </c:pt>
                <c:pt idx="248">
                  <c:v>517.20000000000016</c:v>
                </c:pt>
                <c:pt idx="249">
                  <c:v>517.20000000000016</c:v>
                </c:pt>
                <c:pt idx="250">
                  <c:v>517.20000000000016</c:v>
                </c:pt>
                <c:pt idx="251">
                  <c:v>517.20000000000016</c:v>
                </c:pt>
                <c:pt idx="252">
                  <c:v>517.20000000000016</c:v>
                </c:pt>
                <c:pt idx="253">
                  <c:v>517.20000000000016</c:v>
                </c:pt>
                <c:pt idx="254">
                  <c:v>517.20000000000016</c:v>
                </c:pt>
                <c:pt idx="255">
                  <c:v>517.20000000000016</c:v>
                </c:pt>
                <c:pt idx="256">
                  <c:v>517.20000000000016</c:v>
                </c:pt>
                <c:pt idx="257">
                  <c:v>517.20000000000016</c:v>
                </c:pt>
                <c:pt idx="258">
                  <c:v>517.20000000000016</c:v>
                </c:pt>
                <c:pt idx="259">
                  <c:v>517.20000000000016</c:v>
                </c:pt>
                <c:pt idx="260">
                  <c:v>517.20000000000016</c:v>
                </c:pt>
                <c:pt idx="261">
                  <c:v>517.20000000000016</c:v>
                </c:pt>
                <c:pt idx="262">
                  <c:v>517.20000000000016</c:v>
                </c:pt>
                <c:pt idx="263">
                  <c:v>517.20000000000016</c:v>
                </c:pt>
                <c:pt idx="264">
                  <c:v>517.20000000000016</c:v>
                </c:pt>
                <c:pt idx="265">
                  <c:v>517.20000000000016</c:v>
                </c:pt>
                <c:pt idx="266">
                  <c:v>517.20000000000016</c:v>
                </c:pt>
                <c:pt idx="267">
                  <c:v>517.20000000000016</c:v>
                </c:pt>
                <c:pt idx="268">
                  <c:v>517.20000000000016</c:v>
                </c:pt>
                <c:pt idx="269">
                  <c:v>517.50000001192109</c:v>
                </c:pt>
                <c:pt idx="270">
                  <c:v>531.19999982118622</c:v>
                </c:pt>
                <c:pt idx="271">
                  <c:v>534.79999972581879</c:v>
                </c:pt>
                <c:pt idx="272">
                  <c:v>541.09999991655366</c:v>
                </c:pt>
                <c:pt idx="273">
                  <c:v>550.20000029802338</c:v>
                </c:pt>
                <c:pt idx="274">
                  <c:v>551.20000029802338</c:v>
                </c:pt>
                <c:pt idx="275">
                  <c:v>568.20000029802338</c:v>
                </c:pt>
                <c:pt idx="276">
                  <c:v>568.50000030994431</c:v>
                </c:pt>
                <c:pt idx="277">
                  <c:v>568.50000030994431</c:v>
                </c:pt>
                <c:pt idx="278">
                  <c:v>572.80000050067918</c:v>
                </c:pt>
                <c:pt idx="279">
                  <c:v>576.10000045299546</c:v>
                </c:pt>
                <c:pt idx="280">
                  <c:v>580.20000035762803</c:v>
                </c:pt>
                <c:pt idx="281">
                  <c:v>585.8000002622606</c:v>
                </c:pt>
                <c:pt idx="282">
                  <c:v>587.8000002622606</c:v>
                </c:pt>
                <c:pt idx="283">
                  <c:v>595.40000016689316</c:v>
                </c:pt>
                <c:pt idx="284">
                  <c:v>610.0999999761583</c:v>
                </c:pt>
                <c:pt idx="285">
                  <c:v>614.69999988079087</c:v>
                </c:pt>
                <c:pt idx="286">
                  <c:v>632.49999911785142</c:v>
                </c:pt>
                <c:pt idx="287">
                  <c:v>632.79999912977235</c:v>
                </c:pt>
                <c:pt idx="288">
                  <c:v>642.19999874830262</c:v>
                </c:pt>
                <c:pt idx="289">
                  <c:v>665.29999912977235</c:v>
                </c:pt>
                <c:pt idx="290">
                  <c:v>667.79999912977235</c:v>
                </c:pt>
                <c:pt idx="291">
                  <c:v>668.29999912977235</c:v>
                </c:pt>
                <c:pt idx="292">
                  <c:v>671.59999908208863</c:v>
                </c:pt>
                <c:pt idx="293">
                  <c:v>671.59999908208863</c:v>
                </c:pt>
                <c:pt idx="294">
                  <c:v>671.59999908208863</c:v>
                </c:pt>
                <c:pt idx="295">
                  <c:v>671.59999908208863</c:v>
                </c:pt>
                <c:pt idx="296">
                  <c:v>674.39999903440491</c:v>
                </c:pt>
                <c:pt idx="297">
                  <c:v>677.1999989867212</c:v>
                </c:pt>
                <c:pt idx="298">
                  <c:v>690.6999989867212</c:v>
                </c:pt>
                <c:pt idx="299">
                  <c:v>690.6999989867212</c:v>
                </c:pt>
                <c:pt idx="300">
                  <c:v>690.99999899864213</c:v>
                </c:pt>
                <c:pt idx="301">
                  <c:v>690.99999899864213</c:v>
                </c:pt>
                <c:pt idx="302">
                  <c:v>690.99999899864213</c:v>
                </c:pt>
                <c:pt idx="303">
                  <c:v>690.99999899864213</c:v>
                </c:pt>
                <c:pt idx="304">
                  <c:v>690.99999899864213</c:v>
                </c:pt>
                <c:pt idx="305">
                  <c:v>690.99999899864213</c:v>
                </c:pt>
                <c:pt idx="306">
                  <c:v>690.99999899864213</c:v>
                </c:pt>
                <c:pt idx="307">
                  <c:v>690.99999899864213</c:v>
                </c:pt>
                <c:pt idx="308">
                  <c:v>690.99999899864213</c:v>
                </c:pt>
                <c:pt idx="309">
                  <c:v>690.99999899864213</c:v>
                </c:pt>
                <c:pt idx="310">
                  <c:v>695.49999899864213</c:v>
                </c:pt>
                <c:pt idx="311">
                  <c:v>705.99999899864213</c:v>
                </c:pt>
                <c:pt idx="312">
                  <c:v>705.99999899864213</c:v>
                </c:pt>
                <c:pt idx="313">
                  <c:v>705.99999899864213</c:v>
                </c:pt>
                <c:pt idx="314">
                  <c:v>726.99999899864213</c:v>
                </c:pt>
                <c:pt idx="315">
                  <c:v>726.99999899864213</c:v>
                </c:pt>
                <c:pt idx="316">
                  <c:v>735.79999899864208</c:v>
                </c:pt>
                <c:pt idx="317">
                  <c:v>738.8999989986421</c:v>
                </c:pt>
                <c:pt idx="318">
                  <c:v>740.99999899864213</c:v>
                </c:pt>
                <c:pt idx="319">
                  <c:v>741.79999899864208</c:v>
                </c:pt>
                <c:pt idx="320">
                  <c:v>745.8999989986421</c:v>
                </c:pt>
                <c:pt idx="321">
                  <c:v>747.29999899864208</c:v>
                </c:pt>
                <c:pt idx="322">
                  <c:v>748.29999899864208</c:v>
                </c:pt>
                <c:pt idx="323">
                  <c:v>748.29999899864208</c:v>
                </c:pt>
                <c:pt idx="324">
                  <c:v>748.29999899864208</c:v>
                </c:pt>
                <c:pt idx="325">
                  <c:v>748.29999899864208</c:v>
                </c:pt>
                <c:pt idx="326">
                  <c:v>748.8999989986421</c:v>
                </c:pt>
                <c:pt idx="327">
                  <c:v>760.69999899864206</c:v>
                </c:pt>
                <c:pt idx="328">
                  <c:v>761.79999899864208</c:v>
                </c:pt>
                <c:pt idx="329">
                  <c:v>763.79999899864208</c:v>
                </c:pt>
                <c:pt idx="330">
                  <c:v>789.29999899864208</c:v>
                </c:pt>
                <c:pt idx="331">
                  <c:v>795.99999899864213</c:v>
                </c:pt>
                <c:pt idx="332">
                  <c:v>799.59999899864215</c:v>
                </c:pt>
                <c:pt idx="333">
                  <c:v>799.59999899864215</c:v>
                </c:pt>
                <c:pt idx="334">
                  <c:v>799.59999899864215</c:v>
                </c:pt>
                <c:pt idx="335">
                  <c:v>799.59999899864215</c:v>
                </c:pt>
                <c:pt idx="336">
                  <c:v>799.59999899864215</c:v>
                </c:pt>
                <c:pt idx="337">
                  <c:v>802.59999899864215</c:v>
                </c:pt>
                <c:pt idx="338">
                  <c:v>802.59999899864215</c:v>
                </c:pt>
                <c:pt idx="339">
                  <c:v>802.59999899864215</c:v>
                </c:pt>
                <c:pt idx="340">
                  <c:v>804.09999899864215</c:v>
                </c:pt>
                <c:pt idx="341">
                  <c:v>804.09999899864215</c:v>
                </c:pt>
                <c:pt idx="342">
                  <c:v>804.09999899864215</c:v>
                </c:pt>
                <c:pt idx="343">
                  <c:v>831.09999899864215</c:v>
                </c:pt>
                <c:pt idx="344">
                  <c:v>850.59999899864215</c:v>
                </c:pt>
                <c:pt idx="345">
                  <c:v>850.59999899864215</c:v>
                </c:pt>
                <c:pt idx="346">
                  <c:v>856.59999899864215</c:v>
                </c:pt>
                <c:pt idx="347">
                  <c:v>856.59999899864215</c:v>
                </c:pt>
                <c:pt idx="348">
                  <c:v>856.59999899864215</c:v>
                </c:pt>
                <c:pt idx="349">
                  <c:v>856.59999899864215</c:v>
                </c:pt>
                <c:pt idx="350">
                  <c:v>856.59999899864215</c:v>
                </c:pt>
                <c:pt idx="351">
                  <c:v>858.09999899864215</c:v>
                </c:pt>
                <c:pt idx="352">
                  <c:v>858.09999899864215</c:v>
                </c:pt>
                <c:pt idx="353">
                  <c:v>858.09999899864215</c:v>
                </c:pt>
                <c:pt idx="354">
                  <c:v>858.09999899864215</c:v>
                </c:pt>
                <c:pt idx="355">
                  <c:v>858.09999899864215</c:v>
                </c:pt>
                <c:pt idx="356">
                  <c:v>858.09999899864215</c:v>
                </c:pt>
                <c:pt idx="357">
                  <c:v>858.09999899864215</c:v>
                </c:pt>
                <c:pt idx="358">
                  <c:v>858.09999899864215</c:v>
                </c:pt>
                <c:pt idx="359">
                  <c:v>858.09999899864215</c:v>
                </c:pt>
                <c:pt idx="360">
                  <c:v>858.09999899864215</c:v>
                </c:pt>
                <c:pt idx="361">
                  <c:v>858.09999899864215</c:v>
                </c:pt>
                <c:pt idx="362">
                  <c:v>865.59999899864215</c:v>
                </c:pt>
                <c:pt idx="363">
                  <c:v>868.59999899864215</c:v>
                </c:pt>
                <c:pt idx="364">
                  <c:v>873.09999899864215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323968"/>
        <c:axId val="234325504"/>
      </c:lineChart>
      <c:catAx>
        <c:axId val="2343239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4325504"/>
        <c:crosses val="autoZero"/>
        <c:auto val="1"/>
        <c:lblAlgn val="ctr"/>
        <c:lblOffset val="100"/>
        <c:tickMarkSkip val="15"/>
        <c:noMultiLvlLbl val="0"/>
      </c:catAx>
      <c:valAx>
        <c:axId val="234325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34323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PPTest!$R$7:$R$371</c:f>
              <c:numCache>
                <c:formatCode>0</c:formatCode>
                <c:ptCount val="365"/>
                <c:pt idx="0">
                  <c:v>202.922</c:v>
                </c:pt>
                <c:pt idx="1">
                  <c:v>202.922</c:v>
                </c:pt>
                <c:pt idx="2">
                  <c:v>202.922</c:v>
                </c:pt>
                <c:pt idx="3">
                  <c:v>202.922</c:v>
                </c:pt>
                <c:pt idx="4">
                  <c:v>202.922</c:v>
                </c:pt>
                <c:pt idx="5">
                  <c:v>202.922</c:v>
                </c:pt>
                <c:pt idx="6">
                  <c:v>203.322</c:v>
                </c:pt>
                <c:pt idx="7">
                  <c:v>209.822</c:v>
                </c:pt>
                <c:pt idx="8">
                  <c:v>215.12200000000001</c:v>
                </c:pt>
                <c:pt idx="9">
                  <c:v>223.92200000000003</c:v>
                </c:pt>
                <c:pt idx="10">
                  <c:v>229.02200000000002</c:v>
                </c:pt>
                <c:pt idx="11">
                  <c:v>229.02200000000002</c:v>
                </c:pt>
                <c:pt idx="12">
                  <c:v>231.92200000000003</c:v>
                </c:pt>
                <c:pt idx="13">
                  <c:v>235.22200000000004</c:v>
                </c:pt>
                <c:pt idx="14">
                  <c:v>236.12200000000004</c:v>
                </c:pt>
                <c:pt idx="15">
                  <c:v>236.42200000000005</c:v>
                </c:pt>
                <c:pt idx="16">
                  <c:v>236.42200000000005</c:v>
                </c:pt>
                <c:pt idx="17">
                  <c:v>243.02200000000005</c:v>
                </c:pt>
                <c:pt idx="18">
                  <c:v>243.02200000000005</c:v>
                </c:pt>
                <c:pt idx="19">
                  <c:v>243.02200000000005</c:v>
                </c:pt>
                <c:pt idx="20">
                  <c:v>243.02200000000005</c:v>
                </c:pt>
                <c:pt idx="21">
                  <c:v>243.02200000000005</c:v>
                </c:pt>
                <c:pt idx="22">
                  <c:v>243.02200000000005</c:v>
                </c:pt>
                <c:pt idx="23">
                  <c:v>243.02200000000005</c:v>
                </c:pt>
                <c:pt idx="24">
                  <c:v>243.02200000000005</c:v>
                </c:pt>
                <c:pt idx="25">
                  <c:v>248.12200000000004</c:v>
                </c:pt>
                <c:pt idx="26">
                  <c:v>248.12200000000004</c:v>
                </c:pt>
                <c:pt idx="27">
                  <c:v>248.12200000000004</c:v>
                </c:pt>
                <c:pt idx="28">
                  <c:v>257.62200000000007</c:v>
                </c:pt>
                <c:pt idx="29">
                  <c:v>259.22200000000009</c:v>
                </c:pt>
                <c:pt idx="30">
                  <c:v>261.52200000000011</c:v>
                </c:pt>
                <c:pt idx="31">
                  <c:v>261.52200000000011</c:v>
                </c:pt>
                <c:pt idx="32">
                  <c:v>263.62200000000013</c:v>
                </c:pt>
                <c:pt idx="33">
                  <c:v>263.62200000000013</c:v>
                </c:pt>
                <c:pt idx="34">
                  <c:v>263.62200000000013</c:v>
                </c:pt>
                <c:pt idx="35">
                  <c:v>263.62200000000013</c:v>
                </c:pt>
                <c:pt idx="36">
                  <c:v>269.52200000000011</c:v>
                </c:pt>
                <c:pt idx="37">
                  <c:v>269.52200000000011</c:v>
                </c:pt>
                <c:pt idx="38">
                  <c:v>269.52200000000011</c:v>
                </c:pt>
                <c:pt idx="39">
                  <c:v>269.52200000000011</c:v>
                </c:pt>
                <c:pt idx="40">
                  <c:v>269.52200000000011</c:v>
                </c:pt>
                <c:pt idx="41">
                  <c:v>269.52200000000011</c:v>
                </c:pt>
                <c:pt idx="42">
                  <c:v>269.52200000000011</c:v>
                </c:pt>
                <c:pt idx="43">
                  <c:v>271.32200000000012</c:v>
                </c:pt>
                <c:pt idx="44">
                  <c:v>272.12200000000013</c:v>
                </c:pt>
                <c:pt idx="45">
                  <c:v>280.82200000000012</c:v>
                </c:pt>
                <c:pt idx="46">
                  <c:v>287.42200000000014</c:v>
                </c:pt>
                <c:pt idx="47">
                  <c:v>287.42200000000014</c:v>
                </c:pt>
                <c:pt idx="48">
                  <c:v>297.02200000000016</c:v>
                </c:pt>
                <c:pt idx="49">
                  <c:v>297.02200000000016</c:v>
                </c:pt>
                <c:pt idx="50">
                  <c:v>297.02200000000016</c:v>
                </c:pt>
                <c:pt idx="51">
                  <c:v>297.02200000000016</c:v>
                </c:pt>
                <c:pt idx="52">
                  <c:v>297.12200000000018</c:v>
                </c:pt>
                <c:pt idx="53">
                  <c:v>297.12200000000018</c:v>
                </c:pt>
                <c:pt idx="54">
                  <c:v>297.12200000000018</c:v>
                </c:pt>
                <c:pt idx="55">
                  <c:v>297.12200000000013</c:v>
                </c:pt>
                <c:pt idx="56">
                  <c:v>297.12200000000013</c:v>
                </c:pt>
                <c:pt idx="57">
                  <c:v>297.82200000000012</c:v>
                </c:pt>
                <c:pt idx="58">
                  <c:v>297.82200000000012</c:v>
                </c:pt>
                <c:pt idx="59">
                  <c:v>297.82200000000012</c:v>
                </c:pt>
                <c:pt idx="60">
                  <c:v>297.82200000000012</c:v>
                </c:pt>
                <c:pt idx="61">
                  <c:v>297.82200000000012</c:v>
                </c:pt>
                <c:pt idx="62">
                  <c:v>299.62200000000013</c:v>
                </c:pt>
                <c:pt idx="63">
                  <c:v>300.12200000000013</c:v>
                </c:pt>
                <c:pt idx="64">
                  <c:v>300.12200000000013</c:v>
                </c:pt>
                <c:pt idx="65">
                  <c:v>300.12200000000013</c:v>
                </c:pt>
                <c:pt idx="66">
                  <c:v>310.22200000000015</c:v>
                </c:pt>
                <c:pt idx="67">
                  <c:v>310.22200000000015</c:v>
                </c:pt>
                <c:pt idx="68">
                  <c:v>310.22200000000015</c:v>
                </c:pt>
                <c:pt idx="69">
                  <c:v>311.82200000000017</c:v>
                </c:pt>
                <c:pt idx="70">
                  <c:v>312.12200000000018</c:v>
                </c:pt>
                <c:pt idx="71">
                  <c:v>312.12200000000018</c:v>
                </c:pt>
                <c:pt idx="72">
                  <c:v>312.12200000000018</c:v>
                </c:pt>
                <c:pt idx="73">
                  <c:v>312.12200000000018</c:v>
                </c:pt>
                <c:pt idx="74">
                  <c:v>312.12200000000018</c:v>
                </c:pt>
                <c:pt idx="75">
                  <c:v>312.52200000000016</c:v>
                </c:pt>
                <c:pt idx="76">
                  <c:v>312.62200000000018</c:v>
                </c:pt>
                <c:pt idx="77">
                  <c:v>312.72200000000021</c:v>
                </c:pt>
                <c:pt idx="78">
                  <c:v>321.22200000000021</c:v>
                </c:pt>
                <c:pt idx="79">
                  <c:v>321.22200000000015</c:v>
                </c:pt>
                <c:pt idx="80">
                  <c:v>321.22200000000021</c:v>
                </c:pt>
                <c:pt idx="81">
                  <c:v>336.02200000000022</c:v>
                </c:pt>
                <c:pt idx="82">
                  <c:v>336.32200000000017</c:v>
                </c:pt>
                <c:pt idx="83">
                  <c:v>336.32200000000023</c:v>
                </c:pt>
                <c:pt idx="84">
                  <c:v>336.32200000000023</c:v>
                </c:pt>
                <c:pt idx="85">
                  <c:v>336.32200000000023</c:v>
                </c:pt>
                <c:pt idx="86">
                  <c:v>336.32200000000029</c:v>
                </c:pt>
                <c:pt idx="87">
                  <c:v>336.32200000000029</c:v>
                </c:pt>
                <c:pt idx="88">
                  <c:v>336.32200000000029</c:v>
                </c:pt>
                <c:pt idx="89">
                  <c:v>336.32200000000029</c:v>
                </c:pt>
                <c:pt idx="90">
                  <c:v>338.6220000000003</c:v>
                </c:pt>
                <c:pt idx="91">
                  <c:v>339.52200000000028</c:v>
                </c:pt>
                <c:pt idx="92">
                  <c:v>339.52200000000028</c:v>
                </c:pt>
                <c:pt idx="93">
                  <c:v>339.52200000000028</c:v>
                </c:pt>
                <c:pt idx="94">
                  <c:v>339.92200000000025</c:v>
                </c:pt>
                <c:pt idx="95">
                  <c:v>339.92200000000025</c:v>
                </c:pt>
                <c:pt idx="96">
                  <c:v>368.42200000000031</c:v>
                </c:pt>
                <c:pt idx="97">
                  <c:v>368.52200000000033</c:v>
                </c:pt>
                <c:pt idx="98">
                  <c:v>369.72200000000032</c:v>
                </c:pt>
                <c:pt idx="99">
                  <c:v>369.72200000000032</c:v>
                </c:pt>
                <c:pt idx="100">
                  <c:v>369.72200000000032</c:v>
                </c:pt>
                <c:pt idx="101">
                  <c:v>369.72200000000032</c:v>
                </c:pt>
                <c:pt idx="102">
                  <c:v>374.92200000000031</c:v>
                </c:pt>
                <c:pt idx="103">
                  <c:v>375.72200000000032</c:v>
                </c:pt>
                <c:pt idx="104">
                  <c:v>375.72200000000038</c:v>
                </c:pt>
                <c:pt idx="105">
                  <c:v>375.72200000000038</c:v>
                </c:pt>
                <c:pt idx="106">
                  <c:v>375.72200000000038</c:v>
                </c:pt>
                <c:pt idx="107">
                  <c:v>375.72200000000038</c:v>
                </c:pt>
                <c:pt idx="108">
                  <c:v>384.22200000000038</c:v>
                </c:pt>
                <c:pt idx="109">
                  <c:v>384.22200000000038</c:v>
                </c:pt>
                <c:pt idx="110">
                  <c:v>384.22200000000038</c:v>
                </c:pt>
                <c:pt idx="111">
                  <c:v>384.22200000000038</c:v>
                </c:pt>
                <c:pt idx="112">
                  <c:v>384.22200000000038</c:v>
                </c:pt>
                <c:pt idx="113">
                  <c:v>384.22200000000038</c:v>
                </c:pt>
                <c:pt idx="114">
                  <c:v>384.22200000000038</c:v>
                </c:pt>
                <c:pt idx="115">
                  <c:v>384.22200000000038</c:v>
                </c:pt>
                <c:pt idx="116">
                  <c:v>384.22200000000038</c:v>
                </c:pt>
                <c:pt idx="117">
                  <c:v>377.20000000000005</c:v>
                </c:pt>
                <c:pt idx="118">
                  <c:v>367.6</c:v>
                </c:pt>
                <c:pt idx="119">
                  <c:v>364.40000000000003</c:v>
                </c:pt>
                <c:pt idx="120">
                  <c:v>348.40000000000003</c:v>
                </c:pt>
                <c:pt idx="121">
                  <c:v>338.40000000000003</c:v>
                </c:pt>
                <c:pt idx="122">
                  <c:v>339.6</c:v>
                </c:pt>
                <c:pt idx="123">
                  <c:v>334.40000000000003</c:v>
                </c:pt>
                <c:pt idx="124">
                  <c:v>327.60000000000002</c:v>
                </c:pt>
                <c:pt idx="125">
                  <c:v>306</c:v>
                </c:pt>
                <c:pt idx="126">
                  <c:v>287.2</c:v>
                </c:pt>
                <c:pt idx="127">
                  <c:v>267.2</c:v>
                </c:pt>
                <c:pt idx="128">
                  <c:v>252</c:v>
                </c:pt>
                <c:pt idx="129">
                  <c:v>237.20000000000002</c:v>
                </c:pt>
                <c:pt idx="130">
                  <c:v>220</c:v>
                </c:pt>
                <c:pt idx="131">
                  <c:v>200</c:v>
                </c:pt>
                <c:pt idx="132">
                  <c:v>180</c:v>
                </c:pt>
                <c:pt idx="133">
                  <c:v>160</c:v>
                </c:pt>
                <c:pt idx="134">
                  <c:v>140</c:v>
                </c:pt>
                <c:pt idx="135">
                  <c:v>120</c:v>
                </c:pt>
                <c:pt idx="136">
                  <c:v>100</c:v>
                </c:pt>
                <c:pt idx="137">
                  <c:v>80</c:v>
                </c:pt>
                <c:pt idx="138">
                  <c:v>52</c:v>
                </c:pt>
                <c:pt idx="139">
                  <c:v>28</c:v>
                </c:pt>
                <c:pt idx="140">
                  <c:v>0</c:v>
                </c:pt>
                <c:pt idx="300">
                  <c:v>0</c:v>
                </c:pt>
                <c:pt idx="301">
                  <c:v>1.3</c:v>
                </c:pt>
                <c:pt idx="302">
                  <c:v>1.3</c:v>
                </c:pt>
                <c:pt idx="303">
                  <c:v>1.3</c:v>
                </c:pt>
                <c:pt idx="304">
                  <c:v>1.3</c:v>
                </c:pt>
                <c:pt idx="305">
                  <c:v>1.3</c:v>
                </c:pt>
                <c:pt idx="306">
                  <c:v>1.3</c:v>
                </c:pt>
                <c:pt idx="307">
                  <c:v>1.3</c:v>
                </c:pt>
                <c:pt idx="308">
                  <c:v>2</c:v>
                </c:pt>
                <c:pt idx="309">
                  <c:v>2.7</c:v>
                </c:pt>
                <c:pt idx="310">
                  <c:v>2.7</c:v>
                </c:pt>
                <c:pt idx="311">
                  <c:v>13.725000000000001</c:v>
                </c:pt>
                <c:pt idx="312">
                  <c:v>13.725000000000001</c:v>
                </c:pt>
                <c:pt idx="313">
                  <c:v>13.725000000000001</c:v>
                </c:pt>
                <c:pt idx="314">
                  <c:v>35.775000000000006</c:v>
                </c:pt>
                <c:pt idx="315">
                  <c:v>35.775000000000006</c:v>
                </c:pt>
                <c:pt idx="316">
                  <c:v>45.015000000000008</c:v>
                </c:pt>
                <c:pt idx="317">
                  <c:v>48.27000000000001</c:v>
                </c:pt>
                <c:pt idx="318">
                  <c:v>50.475000000000009</c:v>
                </c:pt>
                <c:pt idx="319">
                  <c:v>51.315000000000012</c:v>
                </c:pt>
                <c:pt idx="320">
                  <c:v>55.620000000000012</c:v>
                </c:pt>
                <c:pt idx="321">
                  <c:v>57.090000000000018</c:v>
                </c:pt>
                <c:pt idx="322">
                  <c:v>58.140000000000015</c:v>
                </c:pt>
                <c:pt idx="323">
                  <c:v>58.140000000000015</c:v>
                </c:pt>
                <c:pt idx="324">
                  <c:v>58.140000000000015</c:v>
                </c:pt>
                <c:pt idx="325">
                  <c:v>58.140000000000015</c:v>
                </c:pt>
                <c:pt idx="326">
                  <c:v>58.77000000000001</c:v>
                </c:pt>
                <c:pt idx="327">
                  <c:v>71.160000000000011</c:v>
                </c:pt>
                <c:pt idx="328">
                  <c:v>72.315000000000012</c:v>
                </c:pt>
                <c:pt idx="329">
                  <c:v>74.415000000000006</c:v>
                </c:pt>
                <c:pt idx="330">
                  <c:v>101.19000000000003</c:v>
                </c:pt>
                <c:pt idx="331">
                  <c:v>108.22500000000002</c:v>
                </c:pt>
                <c:pt idx="332">
                  <c:v>112.00500000000004</c:v>
                </c:pt>
                <c:pt idx="333">
                  <c:v>112.00500000000004</c:v>
                </c:pt>
                <c:pt idx="334">
                  <c:v>112.00500000000002</c:v>
                </c:pt>
                <c:pt idx="335">
                  <c:v>112.00500000000002</c:v>
                </c:pt>
                <c:pt idx="336">
                  <c:v>112.00500000000001</c:v>
                </c:pt>
                <c:pt idx="337">
                  <c:v>115.15500000000003</c:v>
                </c:pt>
                <c:pt idx="338">
                  <c:v>115.15500000000003</c:v>
                </c:pt>
                <c:pt idx="339">
                  <c:v>115.15500000000003</c:v>
                </c:pt>
                <c:pt idx="340">
                  <c:v>116.73000000000005</c:v>
                </c:pt>
                <c:pt idx="341">
                  <c:v>116.73000000000005</c:v>
                </c:pt>
                <c:pt idx="342">
                  <c:v>116.73000000000005</c:v>
                </c:pt>
                <c:pt idx="343">
                  <c:v>145.08000000000004</c:v>
                </c:pt>
                <c:pt idx="344">
                  <c:v>165.55500000000004</c:v>
                </c:pt>
                <c:pt idx="345">
                  <c:v>165.55500000000004</c:v>
                </c:pt>
                <c:pt idx="346">
                  <c:v>171.85500000000005</c:v>
                </c:pt>
                <c:pt idx="347">
                  <c:v>171.85500000000005</c:v>
                </c:pt>
                <c:pt idx="348">
                  <c:v>171.85500000000005</c:v>
                </c:pt>
                <c:pt idx="349">
                  <c:v>171.85500000000005</c:v>
                </c:pt>
                <c:pt idx="350">
                  <c:v>171.85500000000005</c:v>
                </c:pt>
                <c:pt idx="351">
                  <c:v>173.43000000000004</c:v>
                </c:pt>
                <c:pt idx="352">
                  <c:v>173.43000000000004</c:v>
                </c:pt>
                <c:pt idx="353">
                  <c:v>173.43000000000004</c:v>
                </c:pt>
                <c:pt idx="354">
                  <c:v>173.43000000000004</c:v>
                </c:pt>
                <c:pt idx="355">
                  <c:v>173.43000000000004</c:v>
                </c:pt>
                <c:pt idx="356">
                  <c:v>173.43000000000004</c:v>
                </c:pt>
                <c:pt idx="357">
                  <c:v>173.43000000000004</c:v>
                </c:pt>
                <c:pt idx="358">
                  <c:v>173.43000000000004</c:v>
                </c:pt>
                <c:pt idx="359">
                  <c:v>173.43000000000004</c:v>
                </c:pt>
                <c:pt idx="360">
                  <c:v>173.43000000000004</c:v>
                </c:pt>
                <c:pt idx="361">
                  <c:v>173.43000000000004</c:v>
                </c:pt>
                <c:pt idx="362">
                  <c:v>181.30500000000004</c:v>
                </c:pt>
                <c:pt idx="363">
                  <c:v>184.45500000000004</c:v>
                </c:pt>
                <c:pt idx="364">
                  <c:v>189.18000000000004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703872"/>
        <c:axId val="236757760"/>
      </c:lineChart>
      <c:catAx>
        <c:axId val="2347038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6757760"/>
        <c:crosses val="autoZero"/>
        <c:auto val="1"/>
        <c:lblAlgn val="ctr"/>
        <c:lblOffset val="100"/>
        <c:tickMarkSkip val="18"/>
        <c:noMultiLvlLbl val="0"/>
      </c:catAx>
      <c:valAx>
        <c:axId val="2367577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34703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PPTest!$T$7:$T$371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-5.6621374255882984E-15</c:v>
                </c:pt>
                <c:pt idx="7">
                  <c:v>0</c:v>
                </c:pt>
                <c:pt idx="8">
                  <c:v>-1.1546319456101628E-14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-5.773159728050814E-15</c:v>
                </c:pt>
                <c:pt idx="13">
                  <c:v>-1.1546319456101628E-14</c:v>
                </c:pt>
                <c:pt idx="14">
                  <c:v>-5.6621374255882984E-15</c:v>
                </c:pt>
                <c:pt idx="15">
                  <c:v>-1.1379786002407855E-14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-2.8421709430404007E-14</c:v>
                </c:pt>
                <c:pt idx="29">
                  <c:v>-2.2648549702353193E-14</c:v>
                </c:pt>
                <c:pt idx="30">
                  <c:v>-1.1546319456101628E-14</c:v>
                </c:pt>
                <c:pt idx="31">
                  <c:v>0</c:v>
                </c:pt>
                <c:pt idx="32">
                  <c:v>-2.2648549702353193E-14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2.3092638912203256E-14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-1.1324274851176597E-14</c:v>
                </c:pt>
                <c:pt idx="44">
                  <c:v>-1.1324274851176597E-14</c:v>
                </c:pt>
                <c:pt idx="45">
                  <c:v>0</c:v>
                </c:pt>
                <c:pt idx="46">
                  <c:v>-2.3092638912203256E-14</c:v>
                </c:pt>
                <c:pt idx="47">
                  <c:v>0</c:v>
                </c:pt>
                <c:pt idx="48">
                  <c:v>-2.3092638912203256E-14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-2.273181642920008E-14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1.1324274851176597E-14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-1.1324274851176597E-14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-2.3092638912203256E-14</c:v>
                </c:pt>
                <c:pt idx="67">
                  <c:v>0</c:v>
                </c:pt>
                <c:pt idx="68">
                  <c:v>0</c:v>
                </c:pt>
                <c:pt idx="69">
                  <c:v>-2.2648549702353193E-14</c:v>
                </c:pt>
                <c:pt idx="70">
                  <c:v>-1.1379786002407855E-14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2.2759572004815709E-14</c:v>
                </c:pt>
                <c:pt idx="76">
                  <c:v>-2.273181642920008E-14</c:v>
                </c:pt>
                <c:pt idx="77">
                  <c:v>-2.273181642920008E-14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4.546363285840016E-14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-1.1546319456101628E-14</c:v>
                </c:pt>
                <c:pt idx="91">
                  <c:v>2.2759572004815709E-14</c:v>
                </c:pt>
                <c:pt idx="92">
                  <c:v>0</c:v>
                </c:pt>
                <c:pt idx="93">
                  <c:v>0</c:v>
                </c:pt>
                <c:pt idx="94">
                  <c:v>2.2759572004815709E-14</c:v>
                </c:pt>
                <c:pt idx="95">
                  <c:v>0</c:v>
                </c:pt>
                <c:pt idx="96">
                  <c:v>-5.6843418860808015E-14</c:v>
                </c:pt>
                <c:pt idx="97">
                  <c:v>-2.273181642920008E-14</c:v>
                </c:pt>
                <c:pt idx="98">
                  <c:v>1.1324274851176597E-14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1.1546319456101628E-14</c:v>
                </c:pt>
                <c:pt idx="103">
                  <c:v>-1.1324274851176597E-14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7.0220000000003324</c:v>
                </c:pt>
                <c:pt idx="118">
                  <c:v>9.6000000000000227</c:v>
                </c:pt>
                <c:pt idx="119">
                  <c:v>3.1999999999999886</c:v>
                </c:pt>
                <c:pt idx="120">
                  <c:v>16</c:v>
                </c:pt>
                <c:pt idx="121">
                  <c:v>10</c:v>
                </c:pt>
                <c:pt idx="122">
                  <c:v>1.1324274851176597E-14</c:v>
                </c:pt>
                <c:pt idx="123">
                  <c:v>5.1999999999999886</c:v>
                </c:pt>
                <c:pt idx="124">
                  <c:v>6.8000000000000114</c:v>
                </c:pt>
                <c:pt idx="125">
                  <c:v>21.600000000000023</c:v>
                </c:pt>
                <c:pt idx="126">
                  <c:v>18.800000000000011</c:v>
                </c:pt>
                <c:pt idx="127">
                  <c:v>20</c:v>
                </c:pt>
                <c:pt idx="128">
                  <c:v>15.199999999999989</c:v>
                </c:pt>
                <c:pt idx="129">
                  <c:v>20.679999999999982</c:v>
                </c:pt>
                <c:pt idx="130">
                  <c:v>33.370000000000019</c:v>
                </c:pt>
                <c:pt idx="131">
                  <c:v>25.88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28</c:v>
                </c:pt>
                <c:pt idx="139">
                  <c:v>25</c:v>
                </c:pt>
                <c:pt idx="140">
                  <c:v>28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-3.3306690738754696E-15</c:v>
                </c:pt>
                <c:pt idx="320">
                  <c:v>0</c:v>
                </c:pt>
                <c:pt idx="321">
                  <c:v>-5.9952043329758453E-15</c:v>
                </c:pt>
                <c:pt idx="322">
                  <c:v>2.886579864025407E-15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4.5519144009631418E-15</c:v>
                </c:pt>
                <c:pt idx="327">
                  <c:v>0</c:v>
                </c:pt>
                <c:pt idx="328">
                  <c:v>0</c:v>
                </c:pt>
                <c:pt idx="329">
                  <c:v>5.773159728050814E-15</c:v>
                </c:pt>
                <c:pt idx="330">
                  <c:v>0</c:v>
                </c:pt>
                <c:pt idx="331">
                  <c:v>0</c:v>
                </c:pt>
                <c:pt idx="332">
                  <c:v>-1.5099033134902129E-14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-1.9539925233402755E-14</c:v>
                </c:pt>
                <c:pt idx="338">
                  <c:v>0</c:v>
                </c:pt>
                <c:pt idx="339">
                  <c:v>0</c:v>
                </c:pt>
                <c:pt idx="340">
                  <c:v>-1.6875389974302379E-14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-1.0658141036401503E-14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1.1546319456101628E-14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-5.3290705182007514E-15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841024"/>
        <c:axId val="237855104"/>
      </c:barChart>
      <c:catAx>
        <c:axId val="2378410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7855104"/>
        <c:crosses val="autoZero"/>
        <c:auto val="1"/>
        <c:lblAlgn val="ctr"/>
        <c:lblOffset val="100"/>
        <c:tickMarkSkip val="18"/>
        <c:noMultiLvlLbl val="0"/>
      </c:catAx>
      <c:valAx>
        <c:axId val="237855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37841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PPTest!$Q$7:$Q$371</c:f>
              <c:numCache>
                <c:formatCode>0.000</c:formatCode>
                <c:ptCount val="365"/>
                <c:pt idx="0">
                  <c:v>0.24099999999999999</c:v>
                </c:pt>
                <c:pt idx="1">
                  <c:v>0.24128656361474435</c:v>
                </c:pt>
                <c:pt idx="2">
                  <c:v>0.24389663461538461</c:v>
                </c:pt>
                <c:pt idx="3">
                  <c:v>0.24656379100850545</c:v>
                </c:pt>
                <c:pt idx="4">
                  <c:v>0.24776800976800978</c:v>
                </c:pt>
                <c:pt idx="5">
                  <c:v>0.25176426799007445</c:v>
                </c:pt>
                <c:pt idx="6">
                  <c:v>0.25132509270704573</c:v>
                </c:pt>
                <c:pt idx="7">
                  <c:v>0.24426309662398138</c:v>
                </c:pt>
                <c:pt idx="8">
                  <c:v>0.23902444444444446</c:v>
                </c:pt>
                <c:pt idx="9">
                  <c:v>0.23132438016528928</c:v>
                </c:pt>
                <c:pt idx="10">
                  <c:v>0.22742999006951342</c:v>
                </c:pt>
                <c:pt idx="11">
                  <c:v>0.22971113340020063</c:v>
                </c:pt>
                <c:pt idx="12">
                  <c:v>0.22759764474975469</c:v>
                </c:pt>
                <c:pt idx="13">
                  <c:v>0.225308429118774</c:v>
                </c:pt>
                <c:pt idx="14">
                  <c:v>0.22466412940057093</c:v>
                </c:pt>
                <c:pt idx="15">
                  <c:v>0.22452231718898391</c:v>
                </c:pt>
                <c:pt idx="16">
                  <c:v>0.22689251439539351</c:v>
                </c:pt>
                <c:pt idx="17">
                  <c:v>0.2223440073193047</c:v>
                </c:pt>
                <c:pt idx="18">
                  <c:v>0.22861900282220135</c:v>
                </c:pt>
                <c:pt idx="19">
                  <c:v>0.23345052833813645</c:v>
                </c:pt>
                <c:pt idx="20">
                  <c:v>0.2377906066536204</c:v>
                </c:pt>
                <c:pt idx="21">
                  <c:v>0.24326526526526532</c:v>
                </c:pt>
                <c:pt idx="22">
                  <c:v>0.24375325977933807</c:v>
                </c:pt>
                <c:pt idx="23">
                  <c:v>0.24572497472194141</c:v>
                </c:pt>
                <c:pt idx="24">
                  <c:v>0.24874309109518941</c:v>
                </c:pt>
                <c:pt idx="25">
                  <c:v>0.2442145669291339</c:v>
                </c:pt>
                <c:pt idx="26">
                  <c:v>0.25164503042596353</c:v>
                </c:pt>
                <c:pt idx="27">
                  <c:v>0.25190050761421323</c:v>
                </c:pt>
                <c:pt idx="28">
                  <c:v>0.24349905482041595</c:v>
                </c:pt>
                <c:pt idx="29">
                  <c:v>0.24226355140186925</c:v>
                </c:pt>
                <c:pt idx="30">
                  <c:v>0.24036948529411775</c:v>
                </c:pt>
                <c:pt idx="31">
                  <c:v>0.24765340909090919</c:v>
                </c:pt>
                <c:pt idx="32">
                  <c:v>0.24591604477611953</c:v>
                </c:pt>
                <c:pt idx="33">
                  <c:v>0.24987867298578212</c:v>
                </c:pt>
                <c:pt idx="34">
                  <c:v>0.25130791229742622</c:v>
                </c:pt>
                <c:pt idx="35">
                  <c:v>0.25299616122840701</c:v>
                </c:pt>
                <c:pt idx="36">
                  <c:v>0.24795032198712061</c:v>
                </c:pt>
                <c:pt idx="37">
                  <c:v>0.2484073732718895</c:v>
                </c:pt>
                <c:pt idx="38">
                  <c:v>0.25141977611940308</c:v>
                </c:pt>
                <c:pt idx="39">
                  <c:v>0.25498770104068125</c:v>
                </c:pt>
                <c:pt idx="40">
                  <c:v>0.25644338725023796</c:v>
                </c:pt>
                <c:pt idx="41">
                  <c:v>0.25990549662487955</c:v>
                </c:pt>
                <c:pt idx="42">
                  <c:v>0.26346236559139796</c:v>
                </c:pt>
                <c:pt idx="43">
                  <c:v>0.26164127290260375</c:v>
                </c:pt>
                <c:pt idx="44">
                  <c:v>0.26090316395014396</c:v>
                </c:pt>
                <c:pt idx="45">
                  <c:v>0.25299279279279291</c:v>
                </c:pt>
                <c:pt idx="46">
                  <c:v>0.24756416881998289</c:v>
                </c:pt>
                <c:pt idx="47">
                  <c:v>0.25435575221238949</c:v>
                </c:pt>
                <c:pt idx="48">
                  <c:v>0.24669601328903668</c:v>
                </c:pt>
                <c:pt idx="49">
                  <c:v>0.25671737251512544</c:v>
                </c:pt>
                <c:pt idx="50">
                  <c:v>0.26928558476881248</c:v>
                </c:pt>
                <c:pt idx="51">
                  <c:v>0.27350092081031324</c:v>
                </c:pt>
                <c:pt idx="52">
                  <c:v>0.27334130634774628</c:v>
                </c:pt>
                <c:pt idx="53">
                  <c:v>0.27334130634774628</c:v>
                </c:pt>
                <c:pt idx="54">
                  <c:v>0.27359300184162078</c:v>
                </c:pt>
                <c:pt idx="55">
                  <c:v>0.27690773532152857</c:v>
                </c:pt>
                <c:pt idx="56">
                  <c:v>0.27820411985018739</c:v>
                </c:pt>
                <c:pt idx="57">
                  <c:v>0.27756011183597401</c:v>
                </c:pt>
                <c:pt idx="58">
                  <c:v>0.27833831775700946</c:v>
                </c:pt>
                <c:pt idx="59">
                  <c:v>0.27912089971883797</c:v>
                </c:pt>
                <c:pt idx="60">
                  <c:v>0.28017121354656643</c:v>
                </c:pt>
                <c:pt idx="61">
                  <c:v>0.28069934024505194</c:v>
                </c:pt>
                <c:pt idx="62">
                  <c:v>0.27871813953488384</c:v>
                </c:pt>
                <c:pt idx="63">
                  <c:v>0.27814828544949038</c:v>
                </c:pt>
                <c:pt idx="64">
                  <c:v>0.27840630797773669</c:v>
                </c:pt>
                <c:pt idx="65">
                  <c:v>0.27840630797773669</c:v>
                </c:pt>
                <c:pt idx="66">
                  <c:v>0.2683581314878894</c:v>
                </c:pt>
                <c:pt idx="67">
                  <c:v>0.27069982547993032</c:v>
                </c:pt>
                <c:pt idx="68">
                  <c:v>0.27698392857142873</c:v>
                </c:pt>
                <c:pt idx="69">
                  <c:v>0.27546113074204964</c:v>
                </c:pt>
                <c:pt idx="70">
                  <c:v>0.27523985890652575</c:v>
                </c:pt>
                <c:pt idx="71">
                  <c:v>0.27572614840989418</c:v>
                </c:pt>
                <c:pt idx="72">
                  <c:v>0.27967921146953423</c:v>
                </c:pt>
                <c:pt idx="73">
                  <c:v>0.27993004484304951</c:v>
                </c:pt>
                <c:pt idx="74">
                  <c:v>0.2827192028985509</c:v>
                </c:pt>
                <c:pt idx="75">
                  <c:v>0.28231436314363156</c:v>
                </c:pt>
                <c:pt idx="76">
                  <c:v>0.28214981949458501</c:v>
                </c:pt>
                <c:pt idx="77">
                  <c:v>0.28198557258791723</c:v>
                </c:pt>
                <c:pt idx="78">
                  <c:v>0.27361328790459982</c:v>
                </c:pt>
                <c:pt idx="79">
                  <c:v>0.27667700258397948</c:v>
                </c:pt>
                <c:pt idx="80">
                  <c:v>0.27787370242214549</c:v>
                </c:pt>
                <c:pt idx="81">
                  <c:v>0.2645842519685041</c:v>
                </c:pt>
                <c:pt idx="82">
                  <c:v>0.26440408805031462</c:v>
                </c:pt>
                <c:pt idx="83">
                  <c:v>0.27144632768361598</c:v>
                </c:pt>
                <c:pt idx="84">
                  <c:v>0.27544799344799364</c:v>
                </c:pt>
                <c:pt idx="85">
                  <c:v>0.28167671691792312</c:v>
                </c:pt>
                <c:pt idx="86">
                  <c:v>0.28696416382252582</c:v>
                </c:pt>
                <c:pt idx="87">
                  <c:v>0.29424496937882788</c:v>
                </c:pt>
                <c:pt idx="88">
                  <c:v>0.30244784172661898</c:v>
                </c:pt>
                <c:pt idx="89">
                  <c:v>0.30968876611418072</c:v>
                </c:pt>
                <c:pt idx="90">
                  <c:v>0.30672282608695678</c:v>
                </c:pt>
                <c:pt idx="91">
                  <c:v>0.30560036003600383</c:v>
                </c:pt>
                <c:pt idx="92">
                  <c:v>0.31350138504155151</c:v>
                </c:pt>
                <c:pt idx="93">
                  <c:v>0.32212713472485793</c:v>
                </c:pt>
                <c:pt idx="94">
                  <c:v>0.32159129612109766</c:v>
                </c:pt>
                <c:pt idx="95">
                  <c:v>0.32842705314009685</c:v>
                </c:pt>
                <c:pt idx="96">
                  <c:v>0.29379744816586945</c:v>
                </c:pt>
                <c:pt idx="97">
                  <c:v>0.29364302788844648</c:v>
                </c:pt>
                <c:pt idx="98">
                  <c:v>0.29250158227848128</c:v>
                </c:pt>
                <c:pt idx="99">
                  <c:v>0.30181387755102068</c:v>
                </c:pt>
                <c:pt idx="100">
                  <c:v>0.30354844006568171</c:v>
                </c:pt>
                <c:pt idx="101">
                  <c:v>0.30784512905911765</c:v>
                </c:pt>
                <c:pt idx="102">
                  <c:v>0.3021128122481872</c:v>
                </c:pt>
                <c:pt idx="103">
                  <c:v>0.30130072173215744</c:v>
                </c:pt>
                <c:pt idx="104">
                  <c:v>0.306461663947798</c:v>
                </c:pt>
                <c:pt idx="105">
                  <c:v>0.31840847457627153</c:v>
                </c:pt>
                <c:pt idx="106">
                  <c:v>0.32112991452991485</c:v>
                </c:pt>
                <c:pt idx="107">
                  <c:v>0.32671478260869596</c:v>
                </c:pt>
                <c:pt idx="108">
                  <c:v>0.3162320987654324</c:v>
                </c:pt>
                <c:pt idx="109">
                  <c:v>0.32783447098976143</c:v>
                </c:pt>
                <c:pt idx="110">
                  <c:v>0.33585839160839193</c:v>
                </c:pt>
                <c:pt idx="111">
                  <c:v>0.34834270172257514</c:v>
                </c:pt>
                <c:pt idx="112">
                  <c:v>0.3669742120343843</c:v>
                </c:pt>
                <c:pt idx="113">
                  <c:v>0.37339358600583128</c:v>
                </c:pt>
                <c:pt idx="114">
                  <c:v>0.384606606606607</c:v>
                </c:pt>
                <c:pt idx="115">
                  <c:v>0.38928267477203687</c:v>
                </c:pt>
                <c:pt idx="116">
                  <c:v>0.39774534161490721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0.39719298245614038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301">
                  <c:v>0.13</c:v>
                </c:pt>
                <c:pt idx="302">
                  <c:v>0.13</c:v>
                </c:pt>
                <c:pt idx="303">
                  <c:v>0.13</c:v>
                </c:pt>
                <c:pt idx="304">
                  <c:v>0.13</c:v>
                </c:pt>
                <c:pt idx="305">
                  <c:v>0.13</c:v>
                </c:pt>
                <c:pt idx="306">
                  <c:v>0.13</c:v>
                </c:pt>
                <c:pt idx="307">
                  <c:v>0.13</c:v>
                </c:pt>
                <c:pt idx="308">
                  <c:v>0.13333333333333333</c:v>
                </c:pt>
                <c:pt idx="309">
                  <c:v>0.13500000000000001</c:v>
                </c:pt>
                <c:pt idx="310">
                  <c:v>0.13500000000000001</c:v>
                </c:pt>
                <c:pt idx="311">
                  <c:v>0.27450000000000002</c:v>
                </c:pt>
                <c:pt idx="312">
                  <c:v>0.27450000000000002</c:v>
                </c:pt>
                <c:pt idx="313">
                  <c:v>0.27450000000000002</c:v>
                </c:pt>
                <c:pt idx="314">
                  <c:v>0.16261363636363638</c:v>
                </c:pt>
                <c:pt idx="315">
                  <c:v>0.17887500000000003</c:v>
                </c:pt>
                <c:pt idx="316">
                  <c:v>0.16610701107011072</c:v>
                </c:pt>
                <c:pt idx="317">
                  <c:v>0.16307432432432437</c:v>
                </c:pt>
                <c:pt idx="318">
                  <c:v>0.16126198083067095</c:v>
                </c:pt>
                <c:pt idx="319">
                  <c:v>0.16086206896551727</c:v>
                </c:pt>
                <c:pt idx="320">
                  <c:v>0.15801136363636367</c:v>
                </c:pt>
                <c:pt idx="321">
                  <c:v>0.15727272727272731</c:v>
                </c:pt>
                <c:pt idx="322">
                  <c:v>0.15671159029649601</c:v>
                </c:pt>
                <c:pt idx="323">
                  <c:v>0.16564102564102567</c:v>
                </c:pt>
                <c:pt idx="324">
                  <c:v>0.1756495468277946</c:v>
                </c:pt>
                <c:pt idx="325">
                  <c:v>0.18694533762057883</c:v>
                </c:pt>
                <c:pt idx="326">
                  <c:v>0.18598101265822789</c:v>
                </c:pt>
                <c:pt idx="327">
                  <c:v>0.17313868613138689</c:v>
                </c:pt>
                <c:pt idx="328">
                  <c:v>0.17217857142857146</c:v>
                </c:pt>
                <c:pt idx="329">
                  <c:v>0.17067660550458716</c:v>
                </c:pt>
                <c:pt idx="330">
                  <c:v>0.15761682242990657</c:v>
                </c:pt>
                <c:pt idx="331">
                  <c:v>0.15549568965517244</c:v>
                </c:pt>
                <c:pt idx="332">
                  <c:v>0.15448965517241384</c:v>
                </c:pt>
                <c:pt idx="333">
                  <c:v>0.15887234042553197</c:v>
                </c:pt>
                <c:pt idx="334">
                  <c:v>0.16351094890510953</c:v>
                </c:pt>
                <c:pt idx="335">
                  <c:v>0.16842857142857146</c:v>
                </c:pt>
                <c:pt idx="336">
                  <c:v>0.1736511627906977</c:v>
                </c:pt>
                <c:pt idx="337">
                  <c:v>0.17213004484304936</c:v>
                </c:pt>
                <c:pt idx="338">
                  <c:v>0.17743451463790452</c:v>
                </c:pt>
                <c:pt idx="339">
                  <c:v>0.18307631160572341</c:v>
                </c:pt>
                <c:pt idx="340">
                  <c:v>0.1821060842433698</c:v>
                </c:pt>
                <c:pt idx="341">
                  <c:v>0.18797101449275369</c:v>
                </c:pt>
                <c:pt idx="342">
                  <c:v>0.19422628951747095</c:v>
                </c:pt>
                <c:pt idx="343">
                  <c:v>0.17714285714285719</c:v>
                </c:pt>
                <c:pt idx="344">
                  <c:v>0.16945240532241559</c:v>
                </c:pt>
                <c:pt idx="345">
                  <c:v>0.17299373040752355</c:v>
                </c:pt>
                <c:pt idx="346">
                  <c:v>0.17100000000000004</c:v>
                </c:pt>
                <c:pt idx="347">
                  <c:v>0.17447208121827415</c:v>
                </c:pt>
                <c:pt idx="348">
                  <c:v>0.17808808290155445</c:v>
                </c:pt>
                <c:pt idx="349">
                  <c:v>0.18185714285714291</c:v>
                </c:pt>
                <c:pt idx="350">
                  <c:v>0.18578918918918924</c:v>
                </c:pt>
                <c:pt idx="351">
                  <c:v>0.18509071504802566</c:v>
                </c:pt>
                <c:pt idx="352">
                  <c:v>0.18912758996728465</c:v>
                </c:pt>
                <c:pt idx="353">
                  <c:v>0.1933444816053512</c:v>
                </c:pt>
                <c:pt idx="354">
                  <c:v>0.1977537058152794</c:v>
                </c:pt>
                <c:pt idx="355">
                  <c:v>0.20236872812135359</c:v>
                </c:pt>
                <c:pt idx="356">
                  <c:v>0.20720430107526885</c:v>
                </c:pt>
                <c:pt idx="357">
                  <c:v>0.21227662178702575</c:v>
                </c:pt>
                <c:pt idx="358">
                  <c:v>0.21760351317440407</c:v>
                </c:pt>
                <c:pt idx="359">
                  <c:v>0.22320463320463324</c:v>
                </c:pt>
                <c:pt idx="360">
                  <c:v>0.22910171730515197</c:v>
                </c:pt>
                <c:pt idx="361">
                  <c:v>0.23531886024423343</c:v>
                </c:pt>
                <c:pt idx="362">
                  <c:v>0.22719924812030079</c:v>
                </c:pt>
                <c:pt idx="363">
                  <c:v>0.22439781021897814</c:v>
                </c:pt>
                <c:pt idx="364">
                  <c:v>0.22048951048951054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213376"/>
        <c:axId val="238268416"/>
      </c:lineChart>
      <c:catAx>
        <c:axId val="2382133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8268416"/>
        <c:crosses val="autoZero"/>
        <c:auto val="1"/>
        <c:lblAlgn val="ctr"/>
        <c:lblOffset val="100"/>
        <c:tickMarkSkip val="18"/>
        <c:noMultiLvlLbl val="0"/>
      </c:catAx>
      <c:valAx>
        <c:axId val="2382684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38213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Data!$DX$66:$DX$157</c:f>
              <c:numCache>
                <c:formatCode>General</c:formatCode>
                <c:ptCount val="92"/>
                <c:pt idx="0">
                  <c:v>-6.4</c:v>
                </c:pt>
                <c:pt idx="1">
                  <c:v>1.3</c:v>
                </c:pt>
                <c:pt idx="2">
                  <c:v>1</c:v>
                </c:pt>
                <c:pt idx="3">
                  <c:v>-3.6</c:v>
                </c:pt>
                <c:pt idx="4">
                  <c:v>-8.8000000000000007</c:v>
                </c:pt>
                <c:pt idx="5">
                  <c:v>-5.9</c:v>
                </c:pt>
                <c:pt idx="6">
                  <c:v>-1.6</c:v>
                </c:pt>
                <c:pt idx="7">
                  <c:v>-2.2999999999999998</c:v>
                </c:pt>
                <c:pt idx="8">
                  <c:v>3.8</c:v>
                </c:pt>
                <c:pt idx="9">
                  <c:v>3.5</c:v>
                </c:pt>
                <c:pt idx="10">
                  <c:v>4.0999999999999996</c:v>
                </c:pt>
                <c:pt idx="11">
                  <c:v>0.4</c:v>
                </c:pt>
                <c:pt idx="12">
                  <c:v>0.5</c:v>
                </c:pt>
                <c:pt idx="13">
                  <c:v>3.1</c:v>
                </c:pt>
                <c:pt idx="14">
                  <c:v>1</c:v>
                </c:pt>
                <c:pt idx="15">
                  <c:v>3.5</c:v>
                </c:pt>
                <c:pt idx="16">
                  <c:v>4.9000000000000004</c:v>
                </c:pt>
                <c:pt idx="17">
                  <c:v>4.5999999999999996</c:v>
                </c:pt>
                <c:pt idx="18">
                  <c:v>4.8</c:v>
                </c:pt>
                <c:pt idx="19">
                  <c:v>1</c:v>
                </c:pt>
                <c:pt idx="20">
                  <c:v>-0.6</c:v>
                </c:pt>
                <c:pt idx="21">
                  <c:v>-1.3</c:v>
                </c:pt>
                <c:pt idx="22">
                  <c:v>0.6</c:v>
                </c:pt>
                <c:pt idx="23">
                  <c:v>-0.1</c:v>
                </c:pt>
                <c:pt idx="24">
                  <c:v>0.5</c:v>
                </c:pt>
                <c:pt idx="25">
                  <c:v>3.5</c:v>
                </c:pt>
                <c:pt idx="26">
                  <c:v>8</c:v>
                </c:pt>
                <c:pt idx="27">
                  <c:v>8.3000000000000007</c:v>
                </c:pt>
                <c:pt idx="28">
                  <c:v>9.8000000000000007</c:v>
                </c:pt>
                <c:pt idx="29">
                  <c:v>11.7</c:v>
                </c:pt>
                <c:pt idx="30">
                  <c:v>10.5</c:v>
                </c:pt>
                <c:pt idx="31">
                  <c:v>3.7</c:v>
                </c:pt>
                <c:pt idx="32">
                  <c:v>1.8</c:v>
                </c:pt>
                <c:pt idx="33">
                  <c:v>11.3</c:v>
                </c:pt>
                <c:pt idx="34">
                  <c:v>6.4</c:v>
                </c:pt>
                <c:pt idx="35">
                  <c:v>3.5</c:v>
                </c:pt>
                <c:pt idx="36">
                  <c:v>4.0999999999999996</c:v>
                </c:pt>
                <c:pt idx="37">
                  <c:v>4.8</c:v>
                </c:pt>
                <c:pt idx="38">
                  <c:v>1.3</c:v>
                </c:pt>
                <c:pt idx="39">
                  <c:v>4.5</c:v>
                </c:pt>
                <c:pt idx="40">
                  <c:v>1.4</c:v>
                </c:pt>
                <c:pt idx="41">
                  <c:v>3.7</c:v>
                </c:pt>
                <c:pt idx="42">
                  <c:v>2.9</c:v>
                </c:pt>
                <c:pt idx="43">
                  <c:v>2.8</c:v>
                </c:pt>
                <c:pt idx="44">
                  <c:v>-0.7</c:v>
                </c:pt>
                <c:pt idx="45">
                  <c:v>2.2000000000000002</c:v>
                </c:pt>
                <c:pt idx="46">
                  <c:v>6.2</c:v>
                </c:pt>
                <c:pt idx="47">
                  <c:v>3.4</c:v>
                </c:pt>
                <c:pt idx="48">
                  <c:v>3</c:v>
                </c:pt>
                <c:pt idx="49">
                  <c:v>3</c:v>
                </c:pt>
                <c:pt idx="50">
                  <c:v>4.9000000000000004</c:v>
                </c:pt>
                <c:pt idx="51">
                  <c:v>7</c:v>
                </c:pt>
                <c:pt idx="52">
                  <c:v>10.1</c:v>
                </c:pt>
                <c:pt idx="53">
                  <c:v>12.3</c:v>
                </c:pt>
                <c:pt idx="54">
                  <c:v>6.4</c:v>
                </c:pt>
                <c:pt idx="55">
                  <c:v>11.6</c:v>
                </c:pt>
                <c:pt idx="56">
                  <c:v>8.4</c:v>
                </c:pt>
                <c:pt idx="57">
                  <c:v>9.1</c:v>
                </c:pt>
                <c:pt idx="58">
                  <c:v>7.6</c:v>
                </c:pt>
                <c:pt idx="59">
                  <c:v>6.4</c:v>
                </c:pt>
                <c:pt idx="60">
                  <c:v>9</c:v>
                </c:pt>
                <c:pt idx="61">
                  <c:v>9.6999999999999993</c:v>
                </c:pt>
                <c:pt idx="62">
                  <c:v>5.5</c:v>
                </c:pt>
                <c:pt idx="63">
                  <c:v>7.8</c:v>
                </c:pt>
                <c:pt idx="64">
                  <c:v>10.3</c:v>
                </c:pt>
                <c:pt idx="65">
                  <c:v>6.3</c:v>
                </c:pt>
                <c:pt idx="66">
                  <c:v>10.4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10.199999999999999</c:v>
                </c:pt>
                <c:pt idx="71">
                  <c:v>5.3</c:v>
                </c:pt>
                <c:pt idx="72">
                  <c:v>4.5999999999999996</c:v>
                </c:pt>
                <c:pt idx="73">
                  <c:v>12.2</c:v>
                </c:pt>
                <c:pt idx="74">
                  <c:v>16.100000000000001</c:v>
                </c:pt>
                <c:pt idx="75">
                  <c:v>14.6</c:v>
                </c:pt>
                <c:pt idx="76">
                  <c:v>16</c:v>
                </c:pt>
                <c:pt idx="77">
                  <c:v>11</c:v>
                </c:pt>
                <c:pt idx="78">
                  <c:v>8.1</c:v>
                </c:pt>
                <c:pt idx="79">
                  <c:v>12.5</c:v>
                </c:pt>
                <c:pt idx="80">
                  <c:v>10.9</c:v>
                </c:pt>
                <c:pt idx="81">
                  <c:v>11.1</c:v>
                </c:pt>
                <c:pt idx="82">
                  <c:v>15.3</c:v>
                </c:pt>
                <c:pt idx="83">
                  <c:v>16.100000000000001</c:v>
                </c:pt>
                <c:pt idx="84">
                  <c:v>16.100000000000001</c:v>
                </c:pt>
                <c:pt idx="85">
                  <c:v>13.3</c:v>
                </c:pt>
                <c:pt idx="86">
                  <c:v>16</c:v>
                </c:pt>
                <c:pt idx="87">
                  <c:v>19.5</c:v>
                </c:pt>
                <c:pt idx="88">
                  <c:v>22.7</c:v>
                </c:pt>
                <c:pt idx="89">
                  <c:v>23.2</c:v>
                </c:pt>
                <c:pt idx="90">
                  <c:v>19.899999999999999</c:v>
                </c:pt>
                <c:pt idx="91">
                  <c:v>19</c:v>
                </c:pt>
              </c:numCache>
            </c:numRef>
          </c:xVal>
          <c:yVal>
            <c:numRef>
              <c:f>Data!$R$66:$R$157</c:f>
              <c:numCache>
                <c:formatCode>General</c:formatCode>
                <c:ptCount val="92"/>
                <c:pt idx="0">
                  <c:v>-3.5259999999999998</c:v>
                </c:pt>
                <c:pt idx="1">
                  <c:v>-2.2959999999999998</c:v>
                </c:pt>
                <c:pt idx="2">
                  <c:v>1.5660000000000001</c:v>
                </c:pt>
                <c:pt idx="3">
                  <c:v>-5.9359999999999999</c:v>
                </c:pt>
                <c:pt idx="4">
                  <c:v>-10.92</c:v>
                </c:pt>
                <c:pt idx="5">
                  <c:v>-9.48</c:v>
                </c:pt>
                <c:pt idx="6">
                  <c:v>-4.4969999999999999</c:v>
                </c:pt>
                <c:pt idx="7">
                  <c:v>-1.9950000000000001</c:v>
                </c:pt>
                <c:pt idx="8">
                  <c:v>4.05</c:v>
                </c:pt>
                <c:pt idx="9">
                  <c:v>4.827</c:v>
                </c:pt>
                <c:pt idx="10">
                  <c:v>5.4279999999999999</c:v>
                </c:pt>
                <c:pt idx="11">
                  <c:v>1.9339999999999999</c:v>
                </c:pt>
                <c:pt idx="12">
                  <c:v>1.6339999999999999</c:v>
                </c:pt>
                <c:pt idx="13">
                  <c:v>6.24</c:v>
                </c:pt>
                <c:pt idx="14">
                  <c:v>2.7650000000000001</c:v>
                </c:pt>
                <c:pt idx="15">
                  <c:v>5.4160000000000004</c:v>
                </c:pt>
                <c:pt idx="16">
                  <c:v>5.226</c:v>
                </c:pt>
                <c:pt idx="17">
                  <c:v>3.0070000000000001</c:v>
                </c:pt>
                <c:pt idx="18">
                  <c:v>4.3659999999999997</c:v>
                </c:pt>
                <c:pt idx="19">
                  <c:v>2.899</c:v>
                </c:pt>
                <c:pt idx="20">
                  <c:v>0.89200000000000002</c:v>
                </c:pt>
                <c:pt idx="21">
                  <c:v>2.472</c:v>
                </c:pt>
                <c:pt idx="22">
                  <c:v>1.3620000000000001</c:v>
                </c:pt>
                <c:pt idx="23">
                  <c:v>-3.9E-2</c:v>
                </c:pt>
                <c:pt idx="24">
                  <c:v>1.149</c:v>
                </c:pt>
                <c:pt idx="25">
                  <c:v>3.004</c:v>
                </c:pt>
                <c:pt idx="26">
                  <c:v>7.94</c:v>
                </c:pt>
                <c:pt idx="27">
                  <c:v>8.9700000000000006</c:v>
                </c:pt>
                <c:pt idx="28">
                  <c:v>9.5299999999999994</c:v>
                </c:pt>
                <c:pt idx="29">
                  <c:v>11.35</c:v>
                </c:pt>
                <c:pt idx="30">
                  <c:v>11.33</c:v>
                </c:pt>
                <c:pt idx="31">
                  <c:v>4.359</c:v>
                </c:pt>
                <c:pt idx="32">
                  <c:v>0.60399999999999998</c:v>
                </c:pt>
                <c:pt idx="33">
                  <c:v>9.2200000000000006</c:v>
                </c:pt>
                <c:pt idx="34">
                  <c:v>5.3819999999999997</c:v>
                </c:pt>
                <c:pt idx="35">
                  <c:v>3.2530000000000001</c:v>
                </c:pt>
                <c:pt idx="36">
                  <c:v>6.4539999999999997</c:v>
                </c:pt>
                <c:pt idx="37">
                  <c:v>5.27</c:v>
                </c:pt>
                <c:pt idx="38">
                  <c:v>1.1739999999999999</c:v>
                </c:pt>
                <c:pt idx="39">
                  <c:v>4.05</c:v>
                </c:pt>
                <c:pt idx="40">
                  <c:v>3.2759999999999998</c:v>
                </c:pt>
                <c:pt idx="41">
                  <c:v>2.9369999999999998</c:v>
                </c:pt>
                <c:pt idx="42">
                  <c:v>3.5609999999999999</c:v>
                </c:pt>
                <c:pt idx="43">
                  <c:v>2.044</c:v>
                </c:pt>
                <c:pt idx="44">
                  <c:v>-0.30199999999999999</c:v>
                </c:pt>
                <c:pt idx="45">
                  <c:v>2.41</c:v>
                </c:pt>
                <c:pt idx="46">
                  <c:v>5.4640000000000004</c:v>
                </c:pt>
                <c:pt idx="47">
                  <c:v>3.1040000000000001</c:v>
                </c:pt>
                <c:pt idx="48">
                  <c:v>4.9989999999999997</c:v>
                </c:pt>
                <c:pt idx="49">
                  <c:v>0.52100000000000002</c:v>
                </c:pt>
                <c:pt idx="50">
                  <c:v>5.59</c:v>
                </c:pt>
                <c:pt idx="51">
                  <c:v>7.06</c:v>
                </c:pt>
                <c:pt idx="52">
                  <c:v>9.77</c:v>
                </c:pt>
                <c:pt idx="53">
                  <c:v>11.54</c:v>
                </c:pt>
                <c:pt idx="54">
                  <c:v>6.9370000000000003</c:v>
                </c:pt>
                <c:pt idx="55">
                  <c:v>10.58</c:v>
                </c:pt>
                <c:pt idx="56">
                  <c:v>6.8280000000000003</c:v>
                </c:pt>
                <c:pt idx="57">
                  <c:v>9.5</c:v>
                </c:pt>
                <c:pt idx="58">
                  <c:v>9.2100000000000009</c:v>
                </c:pt>
                <c:pt idx="59">
                  <c:v>6.4340000000000002</c:v>
                </c:pt>
                <c:pt idx="60">
                  <c:v>5.01</c:v>
                </c:pt>
                <c:pt idx="61">
                  <c:v>9.02</c:v>
                </c:pt>
                <c:pt idx="62">
                  <c:v>8.7799999999999994</c:v>
                </c:pt>
                <c:pt idx="63">
                  <c:v>5.1159999999999997</c:v>
                </c:pt>
                <c:pt idx="64">
                  <c:v>8.23</c:v>
                </c:pt>
                <c:pt idx="65">
                  <c:v>6.5780000000000003</c:v>
                </c:pt>
                <c:pt idx="66">
                  <c:v>10.06</c:v>
                </c:pt>
                <c:pt idx="67">
                  <c:v>11.32</c:v>
                </c:pt>
                <c:pt idx="68">
                  <c:v>12.76</c:v>
                </c:pt>
                <c:pt idx="69">
                  <c:v>13.83</c:v>
                </c:pt>
                <c:pt idx="70">
                  <c:v>10.19</c:v>
                </c:pt>
                <c:pt idx="71">
                  <c:v>4.1909999999999998</c:v>
                </c:pt>
                <c:pt idx="72">
                  <c:v>5.4480000000000004</c:v>
                </c:pt>
                <c:pt idx="73">
                  <c:v>14.47</c:v>
                </c:pt>
                <c:pt idx="74">
                  <c:v>13.6</c:v>
                </c:pt>
                <c:pt idx="75">
                  <c:v>14.73</c:v>
                </c:pt>
                <c:pt idx="76">
                  <c:v>16.59</c:v>
                </c:pt>
                <c:pt idx="77">
                  <c:v>10.49</c:v>
                </c:pt>
                <c:pt idx="78">
                  <c:v>7.27</c:v>
                </c:pt>
                <c:pt idx="79">
                  <c:v>9.8800000000000008</c:v>
                </c:pt>
                <c:pt idx="80">
                  <c:v>7</c:v>
                </c:pt>
                <c:pt idx="81">
                  <c:v>11.18</c:v>
                </c:pt>
                <c:pt idx="82">
                  <c:v>14.13</c:v>
                </c:pt>
                <c:pt idx="83">
                  <c:v>15.99</c:v>
                </c:pt>
                <c:pt idx="84">
                  <c:v>15.7</c:v>
                </c:pt>
                <c:pt idx="85">
                  <c:v>12.89</c:v>
                </c:pt>
                <c:pt idx="86">
                  <c:v>15.05</c:v>
                </c:pt>
                <c:pt idx="87">
                  <c:v>19.2</c:v>
                </c:pt>
                <c:pt idx="88">
                  <c:v>22.07</c:v>
                </c:pt>
                <c:pt idx="89">
                  <c:v>22.49</c:v>
                </c:pt>
                <c:pt idx="90">
                  <c:v>19.34</c:v>
                </c:pt>
                <c:pt idx="91">
                  <c:v>17.34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607744"/>
        <c:axId val="251084800"/>
      </c:scatterChart>
      <c:valAx>
        <c:axId val="23860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1084800"/>
        <c:crosses val="autoZero"/>
        <c:crossBetween val="midCat"/>
      </c:valAx>
      <c:valAx>
        <c:axId val="251084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86077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049925634295713"/>
                  <c:y val="-8.3094196558763489E-2"/>
                </c:manualLayout>
              </c:layout>
              <c:numFmt formatCode="General" sourceLinked="0"/>
            </c:trendlineLbl>
          </c:trendline>
          <c:xVal>
            <c:numRef>
              <c:f>Data!$DY$66:$DY$157</c:f>
              <c:numCache>
                <c:formatCode>General</c:formatCode>
                <c:ptCount val="92"/>
                <c:pt idx="0">
                  <c:v>-16.2</c:v>
                </c:pt>
                <c:pt idx="1">
                  <c:v>-18.7</c:v>
                </c:pt>
                <c:pt idx="2">
                  <c:v>-16.5</c:v>
                </c:pt>
                <c:pt idx="3">
                  <c:v>-14.7</c:v>
                </c:pt>
                <c:pt idx="4">
                  <c:v>-17.899999999999999</c:v>
                </c:pt>
                <c:pt idx="5">
                  <c:v>-21.7</c:v>
                </c:pt>
                <c:pt idx="6">
                  <c:v>-11.8</c:v>
                </c:pt>
                <c:pt idx="7">
                  <c:v>-7.3</c:v>
                </c:pt>
                <c:pt idx="8">
                  <c:v>-2.6</c:v>
                </c:pt>
                <c:pt idx="9">
                  <c:v>-1.8</c:v>
                </c:pt>
                <c:pt idx="10">
                  <c:v>-1.4</c:v>
                </c:pt>
                <c:pt idx="11">
                  <c:v>-6.3</c:v>
                </c:pt>
                <c:pt idx="12">
                  <c:v>-5.8</c:v>
                </c:pt>
                <c:pt idx="13">
                  <c:v>-3.1</c:v>
                </c:pt>
                <c:pt idx="14">
                  <c:v>-7.7</c:v>
                </c:pt>
                <c:pt idx="15">
                  <c:v>-9.9</c:v>
                </c:pt>
                <c:pt idx="16">
                  <c:v>-7.4</c:v>
                </c:pt>
                <c:pt idx="17">
                  <c:v>-1.4</c:v>
                </c:pt>
                <c:pt idx="18">
                  <c:v>-2.2999999999999998</c:v>
                </c:pt>
                <c:pt idx="19">
                  <c:v>-3.5</c:v>
                </c:pt>
                <c:pt idx="20">
                  <c:v>-7.7</c:v>
                </c:pt>
                <c:pt idx="21">
                  <c:v>-7.4</c:v>
                </c:pt>
                <c:pt idx="22">
                  <c:v>-5.5</c:v>
                </c:pt>
                <c:pt idx="23">
                  <c:v>-12.2</c:v>
                </c:pt>
                <c:pt idx="24">
                  <c:v>-13.9</c:v>
                </c:pt>
                <c:pt idx="25">
                  <c:v>-13.2</c:v>
                </c:pt>
                <c:pt idx="26">
                  <c:v>-8.1999999999999993</c:v>
                </c:pt>
                <c:pt idx="27">
                  <c:v>-7.2</c:v>
                </c:pt>
                <c:pt idx="28">
                  <c:v>-6.1</c:v>
                </c:pt>
                <c:pt idx="29">
                  <c:v>-4.3</c:v>
                </c:pt>
                <c:pt idx="30">
                  <c:v>-4.7</c:v>
                </c:pt>
                <c:pt idx="31">
                  <c:v>-3.4</c:v>
                </c:pt>
                <c:pt idx="32">
                  <c:v>-2.9</c:v>
                </c:pt>
                <c:pt idx="33">
                  <c:v>-3.4</c:v>
                </c:pt>
                <c:pt idx="34">
                  <c:v>-3.8</c:v>
                </c:pt>
                <c:pt idx="35">
                  <c:v>-8.1</c:v>
                </c:pt>
                <c:pt idx="36">
                  <c:v>-7.7</c:v>
                </c:pt>
                <c:pt idx="37">
                  <c:v>-2</c:v>
                </c:pt>
                <c:pt idx="38">
                  <c:v>-4.3</c:v>
                </c:pt>
                <c:pt idx="39">
                  <c:v>-8.1</c:v>
                </c:pt>
                <c:pt idx="40">
                  <c:v>-10.7</c:v>
                </c:pt>
                <c:pt idx="41">
                  <c:v>-6.7</c:v>
                </c:pt>
                <c:pt idx="42">
                  <c:v>-6.9</c:v>
                </c:pt>
                <c:pt idx="43">
                  <c:v>-4</c:v>
                </c:pt>
                <c:pt idx="44">
                  <c:v>-12</c:v>
                </c:pt>
                <c:pt idx="45">
                  <c:v>-14.5</c:v>
                </c:pt>
                <c:pt idx="46">
                  <c:v>-12.2</c:v>
                </c:pt>
                <c:pt idx="47">
                  <c:v>-7</c:v>
                </c:pt>
                <c:pt idx="48">
                  <c:v>-5.7</c:v>
                </c:pt>
                <c:pt idx="49">
                  <c:v>-6.8</c:v>
                </c:pt>
                <c:pt idx="50">
                  <c:v>-9.6999999999999993</c:v>
                </c:pt>
                <c:pt idx="51">
                  <c:v>-9.1</c:v>
                </c:pt>
                <c:pt idx="52">
                  <c:v>-5.0999999999999996</c:v>
                </c:pt>
                <c:pt idx="53">
                  <c:v>-4.8</c:v>
                </c:pt>
                <c:pt idx="54">
                  <c:v>-3.2</c:v>
                </c:pt>
                <c:pt idx="55">
                  <c:v>-1</c:v>
                </c:pt>
                <c:pt idx="56">
                  <c:v>-2.5</c:v>
                </c:pt>
                <c:pt idx="57">
                  <c:v>-1.6</c:v>
                </c:pt>
                <c:pt idx="58">
                  <c:v>-2.7</c:v>
                </c:pt>
                <c:pt idx="59">
                  <c:v>-2.9</c:v>
                </c:pt>
                <c:pt idx="60">
                  <c:v>-2.6</c:v>
                </c:pt>
                <c:pt idx="61">
                  <c:v>-3</c:v>
                </c:pt>
                <c:pt idx="62">
                  <c:v>0.2</c:v>
                </c:pt>
                <c:pt idx="63">
                  <c:v>-3.4</c:v>
                </c:pt>
                <c:pt idx="64">
                  <c:v>-4.2</c:v>
                </c:pt>
                <c:pt idx="65">
                  <c:v>0.8</c:v>
                </c:pt>
                <c:pt idx="66">
                  <c:v>1</c:v>
                </c:pt>
                <c:pt idx="67">
                  <c:v>0.4</c:v>
                </c:pt>
                <c:pt idx="68">
                  <c:v>0.3</c:v>
                </c:pt>
                <c:pt idx="69">
                  <c:v>0.2</c:v>
                </c:pt>
                <c:pt idx="70">
                  <c:v>2.2999999999999998</c:v>
                </c:pt>
                <c:pt idx="71">
                  <c:v>-0.3</c:v>
                </c:pt>
                <c:pt idx="72">
                  <c:v>-1.3</c:v>
                </c:pt>
                <c:pt idx="73">
                  <c:v>-1.4</c:v>
                </c:pt>
                <c:pt idx="74">
                  <c:v>-1.5</c:v>
                </c:pt>
                <c:pt idx="75">
                  <c:v>0.5</c:v>
                </c:pt>
                <c:pt idx="76">
                  <c:v>-1</c:v>
                </c:pt>
                <c:pt idx="77">
                  <c:v>-1.9</c:v>
                </c:pt>
                <c:pt idx="78">
                  <c:v>-2.8</c:v>
                </c:pt>
                <c:pt idx="79">
                  <c:v>-4.5</c:v>
                </c:pt>
                <c:pt idx="80">
                  <c:v>-2.7</c:v>
                </c:pt>
                <c:pt idx="81">
                  <c:v>-2.7</c:v>
                </c:pt>
                <c:pt idx="82">
                  <c:v>-3.1</c:v>
                </c:pt>
                <c:pt idx="83">
                  <c:v>-1.7</c:v>
                </c:pt>
                <c:pt idx="84">
                  <c:v>-0.1</c:v>
                </c:pt>
                <c:pt idx="85">
                  <c:v>0</c:v>
                </c:pt>
                <c:pt idx="86">
                  <c:v>-2</c:v>
                </c:pt>
                <c:pt idx="87">
                  <c:v>-0.5</c:v>
                </c:pt>
                <c:pt idx="88">
                  <c:v>1.1000000000000001</c:v>
                </c:pt>
                <c:pt idx="89">
                  <c:v>3.1</c:v>
                </c:pt>
                <c:pt idx="90">
                  <c:v>3.9</c:v>
                </c:pt>
                <c:pt idx="91">
                  <c:v>0.2</c:v>
                </c:pt>
              </c:numCache>
            </c:numRef>
          </c:xVal>
          <c:yVal>
            <c:numRef>
              <c:f>Data!$AF$66:$AF$157</c:f>
              <c:numCache>
                <c:formatCode>General</c:formatCode>
                <c:ptCount val="92"/>
                <c:pt idx="0">
                  <c:v>-26.18</c:v>
                </c:pt>
                <c:pt idx="1">
                  <c:v>-23.26</c:v>
                </c:pt>
                <c:pt idx="2">
                  <c:v>-18.91</c:v>
                </c:pt>
                <c:pt idx="3">
                  <c:v>-14.7</c:v>
                </c:pt>
                <c:pt idx="4">
                  <c:v>-24.61</c:v>
                </c:pt>
                <c:pt idx="5">
                  <c:v>-27.55</c:v>
                </c:pt>
                <c:pt idx="6">
                  <c:v>-22.54</c:v>
                </c:pt>
                <c:pt idx="7">
                  <c:v>-8.7100000000000009</c:v>
                </c:pt>
                <c:pt idx="8">
                  <c:v>-1.9570000000000001</c:v>
                </c:pt>
                <c:pt idx="9">
                  <c:v>0.60499999999999998</c:v>
                </c:pt>
                <c:pt idx="10">
                  <c:v>8.6999999999999994E-2</c:v>
                </c:pt>
                <c:pt idx="11">
                  <c:v>-9.17</c:v>
                </c:pt>
                <c:pt idx="12">
                  <c:v>-9.81</c:v>
                </c:pt>
                <c:pt idx="13">
                  <c:v>-1.3740000000000001</c:v>
                </c:pt>
                <c:pt idx="14">
                  <c:v>-4.8529999999999998</c:v>
                </c:pt>
                <c:pt idx="15">
                  <c:v>-9.0500000000000007</c:v>
                </c:pt>
                <c:pt idx="16">
                  <c:v>-5.1219999999999999</c:v>
                </c:pt>
                <c:pt idx="17">
                  <c:v>-0.79</c:v>
                </c:pt>
                <c:pt idx="18">
                  <c:v>-2.9670000000000001</c:v>
                </c:pt>
                <c:pt idx="19">
                  <c:v>-3.4359999999999999</c:v>
                </c:pt>
                <c:pt idx="20">
                  <c:v>-6.2910000000000004</c:v>
                </c:pt>
                <c:pt idx="21">
                  <c:v>-8.01</c:v>
                </c:pt>
                <c:pt idx="22">
                  <c:v>-5.2939999999999996</c:v>
                </c:pt>
                <c:pt idx="23">
                  <c:v>-7.07</c:v>
                </c:pt>
                <c:pt idx="24">
                  <c:v>-16.7</c:v>
                </c:pt>
                <c:pt idx="25">
                  <c:v>-17.149999999999999</c:v>
                </c:pt>
                <c:pt idx="26">
                  <c:v>-14.04</c:v>
                </c:pt>
                <c:pt idx="27">
                  <c:v>-11.71</c:v>
                </c:pt>
                <c:pt idx="28">
                  <c:v>-8.5399999999999991</c:v>
                </c:pt>
                <c:pt idx="29">
                  <c:v>-6.2380000000000004</c:v>
                </c:pt>
                <c:pt idx="30">
                  <c:v>-7.34</c:v>
                </c:pt>
                <c:pt idx="31">
                  <c:v>-2.391</c:v>
                </c:pt>
                <c:pt idx="32">
                  <c:v>-4.2619999999999996</c:v>
                </c:pt>
                <c:pt idx="33">
                  <c:v>-1.464</c:v>
                </c:pt>
                <c:pt idx="34">
                  <c:v>-7.95</c:v>
                </c:pt>
                <c:pt idx="35">
                  <c:v>-8.6300000000000008</c:v>
                </c:pt>
                <c:pt idx="36">
                  <c:v>-5.0789999999999997</c:v>
                </c:pt>
                <c:pt idx="37">
                  <c:v>-1.67</c:v>
                </c:pt>
                <c:pt idx="38">
                  <c:v>-3.3690000000000002</c:v>
                </c:pt>
                <c:pt idx="39">
                  <c:v>-3.246</c:v>
                </c:pt>
                <c:pt idx="40">
                  <c:v>-7.97</c:v>
                </c:pt>
                <c:pt idx="41">
                  <c:v>-12.25</c:v>
                </c:pt>
                <c:pt idx="42">
                  <c:v>-13.51</c:v>
                </c:pt>
                <c:pt idx="43">
                  <c:v>-3.0190000000000001</c:v>
                </c:pt>
                <c:pt idx="44">
                  <c:v>-4.0860000000000003</c:v>
                </c:pt>
                <c:pt idx="45">
                  <c:v>-11.04</c:v>
                </c:pt>
                <c:pt idx="46">
                  <c:v>-14.68</c:v>
                </c:pt>
                <c:pt idx="47">
                  <c:v>-5.375</c:v>
                </c:pt>
                <c:pt idx="48">
                  <c:v>-4.9349999999999996</c:v>
                </c:pt>
                <c:pt idx="49">
                  <c:v>-6.1159999999999997</c:v>
                </c:pt>
                <c:pt idx="50">
                  <c:v>-7.64</c:v>
                </c:pt>
                <c:pt idx="51">
                  <c:v>-10.01</c:v>
                </c:pt>
                <c:pt idx="52">
                  <c:v>-7.89</c:v>
                </c:pt>
                <c:pt idx="53">
                  <c:v>-7.35</c:v>
                </c:pt>
                <c:pt idx="54">
                  <c:v>-3.081</c:v>
                </c:pt>
                <c:pt idx="55">
                  <c:v>-5.867</c:v>
                </c:pt>
                <c:pt idx="56">
                  <c:v>-4.0670000000000002</c:v>
                </c:pt>
                <c:pt idx="57">
                  <c:v>-0.32500000000000001</c:v>
                </c:pt>
                <c:pt idx="58">
                  <c:v>-1.825</c:v>
                </c:pt>
                <c:pt idx="59">
                  <c:v>-1.538</c:v>
                </c:pt>
                <c:pt idx="60">
                  <c:v>-1.8009999999999999</c:v>
                </c:pt>
                <c:pt idx="61">
                  <c:v>-2.665</c:v>
                </c:pt>
                <c:pt idx="62">
                  <c:v>-1.369</c:v>
                </c:pt>
                <c:pt idx="63">
                  <c:v>-2.0089999999999999</c:v>
                </c:pt>
                <c:pt idx="64">
                  <c:v>-4.1150000000000002</c:v>
                </c:pt>
                <c:pt idx="65">
                  <c:v>-2.74</c:v>
                </c:pt>
                <c:pt idx="66">
                  <c:v>-1.802</c:v>
                </c:pt>
                <c:pt idx="67">
                  <c:v>-1.274</c:v>
                </c:pt>
                <c:pt idx="68">
                  <c:v>-1.613</c:v>
                </c:pt>
                <c:pt idx="69">
                  <c:v>-0.35799999999999998</c:v>
                </c:pt>
                <c:pt idx="70">
                  <c:v>0.13900000000000001</c:v>
                </c:pt>
                <c:pt idx="71">
                  <c:v>0.58499999999999996</c:v>
                </c:pt>
                <c:pt idx="72">
                  <c:v>-0.80400000000000005</c:v>
                </c:pt>
                <c:pt idx="73">
                  <c:v>-3.569</c:v>
                </c:pt>
                <c:pt idx="74">
                  <c:v>-2.0649999999999999</c:v>
                </c:pt>
                <c:pt idx="75">
                  <c:v>-0.96899999999999997</c:v>
                </c:pt>
                <c:pt idx="76">
                  <c:v>-1.7589999999999999</c:v>
                </c:pt>
                <c:pt idx="77">
                  <c:v>1.0409999999999999</c:v>
                </c:pt>
                <c:pt idx="78">
                  <c:v>-2.5369999999999999</c:v>
                </c:pt>
                <c:pt idx="79">
                  <c:v>-5.4580000000000002</c:v>
                </c:pt>
                <c:pt idx="80">
                  <c:v>-3.407</c:v>
                </c:pt>
                <c:pt idx="81">
                  <c:v>-5.3239999999999998</c:v>
                </c:pt>
                <c:pt idx="82">
                  <c:v>-4.4809999999999999</c:v>
                </c:pt>
                <c:pt idx="83">
                  <c:v>-2.835</c:v>
                </c:pt>
                <c:pt idx="84">
                  <c:v>-1.599</c:v>
                </c:pt>
                <c:pt idx="85">
                  <c:v>-0.89900000000000002</c:v>
                </c:pt>
                <c:pt idx="86">
                  <c:v>-3.1139999999999999</c:v>
                </c:pt>
                <c:pt idx="87">
                  <c:v>-1.863</c:v>
                </c:pt>
                <c:pt idx="88">
                  <c:v>-0.38600000000000001</c:v>
                </c:pt>
                <c:pt idx="89">
                  <c:v>1.1819999999999999</c:v>
                </c:pt>
                <c:pt idx="90">
                  <c:v>1.8069999999999999</c:v>
                </c:pt>
                <c:pt idx="91">
                  <c:v>-0.307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413696"/>
        <c:axId val="258416000"/>
      </c:scatterChart>
      <c:valAx>
        <c:axId val="25841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416000"/>
        <c:crosses val="autoZero"/>
        <c:crossBetween val="midCat"/>
      </c:valAx>
      <c:valAx>
        <c:axId val="258416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84136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Data!$DW$66:$DW$157</c:f>
              <c:numCache>
                <c:formatCode>General</c:formatCode>
                <c:ptCount val="92"/>
                <c:pt idx="0">
                  <c:v>-10.5</c:v>
                </c:pt>
                <c:pt idx="1">
                  <c:v>-9.5</c:v>
                </c:pt>
                <c:pt idx="2">
                  <c:v>-8.1</c:v>
                </c:pt>
                <c:pt idx="3">
                  <c:v>-8.9</c:v>
                </c:pt>
                <c:pt idx="4">
                  <c:v>-14.7</c:v>
                </c:pt>
                <c:pt idx="5">
                  <c:v>-12.6</c:v>
                </c:pt>
                <c:pt idx="6">
                  <c:v>-7.6</c:v>
                </c:pt>
                <c:pt idx="7">
                  <c:v>-4.7</c:v>
                </c:pt>
                <c:pt idx="8">
                  <c:v>1.1000000000000001</c:v>
                </c:pt>
                <c:pt idx="9">
                  <c:v>1.4</c:v>
                </c:pt>
                <c:pt idx="10">
                  <c:v>1.4</c:v>
                </c:pt>
                <c:pt idx="11">
                  <c:v>-2.2999999999999998</c:v>
                </c:pt>
                <c:pt idx="12">
                  <c:v>-2.1</c:v>
                </c:pt>
                <c:pt idx="13">
                  <c:v>0.5</c:v>
                </c:pt>
                <c:pt idx="14">
                  <c:v>-1.8</c:v>
                </c:pt>
                <c:pt idx="15">
                  <c:v>-3.3</c:v>
                </c:pt>
                <c:pt idx="16">
                  <c:v>-0.5</c:v>
                </c:pt>
                <c:pt idx="17">
                  <c:v>0.6</c:v>
                </c:pt>
                <c:pt idx="18">
                  <c:v>0.2</c:v>
                </c:pt>
                <c:pt idx="19">
                  <c:v>-1.7</c:v>
                </c:pt>
                <c:pt idx="20">
                  <c:v>-3.5</c:v>
                </c:pt>
                <c:pt idx="21">
                  <c:v>-3.7</c:v>
                </c:pt>
                <c:pt idx="22">
                  <c:v>-2.7</c:v>
                </c:pt>
                <c:pt idx="23">
                  <c:v>-6.2</c:v>
                </c:pt>
                <c:pt idx="24">
                  <c:v>-7.1</c:v>
                </c:pt>
                <c:pt idx="25">
                  <c:v>-4.3</c:v>
                </c:pt>
                <c:pt idx="26">
                  <c:v>-0.4</c:v>
                </c:pt>
                <c:pt idx="27">
                  <c:v>-0.1</c:v>
                </c:pt>
                <c:pt idx="28">
                  <c:v>1.3</c:v>
                </c:pt>
                <c:pt idx="29">
                  <c:v>2.6</c:v>
                </c:pt>
                <c:pt idx="30">
                  <c:v>3.8</c:v>
                </c:pt>
                <c:pt idx="31">
                  <c:v>0.3</c:v>
                </c:pt>
                <c:pt idx="32">
                  <c:v>-0.5</c:v>
                </c:pt>
                <c:pt idx="33">
                  <c:v>3.3</c:v>
                </c:pt>
                <c:pt idx="34">
                  <c:v>0.5</c:v>
                </c:pt>
                <c:pt idx="35">
                  <c:v>-1.8</c:v>
                </c:pt>
                <c:pt idx="36">
                  <c:v>-0.6</c:v>
                </c:pt>
                <c:pt idx="37">
                  <c:v>0.6</c:v>
                </c:pt>
                <c:pt idx="38">
                  <c:v>-1.5</c:v>
                </c:pt>
                <c:pt idx="39">
                  <c:v>-1.8</c:v>
                </c:pt>
                <c:pt idx="40">
                  <c:v>-3.3</c:v>
                </c:pt>
                <c:pt idx="41">
                  <c:v>-2</c:v>
                </c:pt>
                <c:pt idx="42">
                  <c:v>-1</c:v>
                </c:pt>
                <c:pt idx="43">
                  <c:v>-1</c:v>
                </c:pt>
                <c:pt idx="44">
                  <c:v>-4.5999999999999996</c:v>
                </c:pt>
                <c:pt idx="45">
                  <c:v>-5.6</c:v>
                </c:pt>
                <c:pt idx="46">
                  <c:v>-2.5</c:v>
                </c:pt>
                <c:pt idx="47">
                  <c:v>-1.3</c:v>
                </c:pt>
                <c:pt idx="48">
                  <c:v>-1.1000000000000001</c:v>
                </c:pt>
                <c:pt idx="49">
                  <c:v>-2.2000000000000002</c:v>
                </c:pt>
                <c:pt idx="50">
                  <c:v>-2.4</c:v>
                </c:pt>
                <c:pt idx="51">
                  <c:v>-0.1</c:v>
                </c:pt>
                <c:pt idx="52">
                  <c:v>2.1</c:v>
                </c:pt>
                <c:pt idx="53">
                  <c:v>3.8</c:v>
                </c:pt>
                <c:pt idx="54">
                  <c:v>2.2000000000000002</c:v>
                </c:pt>
                <c:pt idx="55">
                  <c:v>4.2</c:v>
                </c:pt>
                <c:pt idx="56">
                  <c:v>3.4</c:v>
                </c:pt>
                <c:pt idx="57">
                  <c:v>4.4000000000000004</c:v>
                </c:pt>
                <c:pt idx="58">
                  <c:v>2.8</c:v>
                </c:pt>
                <c:pt idx="59">
                  <c:v>2.1</c:v>
                </c:pt>
                <c:pt idx="60">
                  <c:v>2.7</c:v>
                </c:pt>
                <c:pt idx="61">
                  <c:v>3.7</c:v>
                </c:pt>
                <c:pt idx="62">
                  <c:v>2.6</c:v>
                </c:pt>
                <c:pt idx="63">
                  <c:v>2.1</c:v>
                </c:pt>
                <c:pt idx="64">
                  <c:v>3</c:v>
                </c:pt>
                <c:pt idx="65">
                  <c:v>3.1</c:v>
                </c:pt>
                <c:pt idx="66">
                  <c:v>6</c:v>
                </c:pt>
                <c:pt idx="67">
                  <c:v>3.9</c:v>
                </c:pt>
                <c:pt idx="68">
                  <c:v>5.8</c:v>
                </c:pt>
                <c:pt idx="69">
                  <c:v>5.2</c:v>
                </c:pt>
                <c:pt idx="70">
                  <c:v>5.2</c:v>
                </c:pt>
                <c:pt idx="71">
                  <c:v>1.9</c:v>
                </c:pt>
                <c:pt idx="72">
                  <c:v>1.6</c:v>
                </c:pt>
                <c:pt idx="73">
                  <c:v>5.4</c:v>
                </c:pt>
                <c:pt idx="74">
                  <c:v>8.8000000000000007</c:v>
                </c:pt>
                <c:pt idx="75">
                  <c:v>8.1999999999999993</c:v>
                </c:pt>
                <c:pt idx="76">
                  <c:v>8.4</c:v>
                </c:pt>
                <c:pt idx="77">
                  <c:v>5</c:v>
                </c:pt>
                <c:pt idx="78">
                  <c:v>3.1</c:v>
                </c:pt>
                <c:pt idx="79">
                  <c:v>3.8</c:v>
                </c:pt>
                <c:pt idx="80">
                  <c:v>4.0999999999999996</c:v>
                </c:pt>
                <c:pt idx="81">
                  <c:v>4.5</c:v>
                </c:pt>
                <c:pt idx="82">
                  <c:v>6.7</c:v>
                </c:pt>
                <c:pt idx="83">
                  <c:v>8.4</c:v>
                </c:pt>
                <c:pt idx="84">
                  <c:v>9.5</c:v>
                </c:pt>
                <c:pt idx="85">
                  <c:v>7.8</c:v>
                </c:pt>
                <c:pt idx="86">
                  <c:v>7.2</c:v>
                </c:pt>
                <c:pt idx="87">
                  <c:v>10.1</c:v>
                </c:pt>
                <c:pt idx="88">
                  <c:v>12.8</c:v>
                </c:pt>
                <c:pt idx="89">
                  <c:v>14.4</c:v>
                </c:pt>
                <c:pt idx="90">
                  <c:v>12.8</c:v>
                </c:pt>
                <c:pt idx="91">
                  <c:v>11.1</c:v>
                </c:pt>
              </c:numCache>
            </c:numRef>
          </c:xVal>
          <c:yVal>
            <c:numRef>
              <c:f>Data!$E$66:$E$157</c:f>
              <c:numCache>
                <c:formatCode>General</c:formatCode>
                <c:ptCount val="92"/>
                <c:pt idx="0">
                  <c:v>-16.059999999999999</c:v>
                </c:pt>
                <c:pt idx="1">
                  <c:v>-13.12</c:v>
                </c:pt>
                <c:pt idx="2">
                  <c:v>-9.5399999999999991</c:v>
                </c:pt>
                <c:pt idx="3">
                  <c:v>-10.81</c:v>
                </c:pt>
                <c:pt idx="4">
                  <c:v>-16.93</c:v>
                </c:pt>
                <c:pt idx="5">
                  <c:v>-18.899999999999999</c:v>
                </c:pt>
                <c:pt idx="6">
                  <c:v>-10.95</c:v>
                </c:pt>
                <c:pt idx="7">
                  <c:v>-4.7300000000000004</c:v>
                </c:pt>
                <c:pt idx="8">
                  <c:v>1.2090000000000001</c:v>
                </c:pt>
                <c:pt idx="9">
                  <c:v>2.2909999999999999</c:v>
                </c:pt>
                <c:pt idx="10">
                  <c:v>1.9510000000000001</c:v>
                </c:pt>
                <c:pt idx="11">
                  <c:v>-1.024</c:v>
                </c:pt>
                <c:pt idx="12">
                  <c:v>-2.4159999999999999</c:v>
                </c:pt>
                <c:pt idx="13">
                  <c:v>1.5980000000000001</c:v>
                </c:pt>
                <c:pt idx="14">
                  <c:v>-1.026</c:v>
                </c:pt>
                <c:pt idx="15">
                  <c:v>-1.609</c:v>
                </c:pt>
                <c:pt idx="16">
                  <c:v>0.91300000000000003</c:v>
                </c:pt>
                <c:pt idx="17">
                  <c:v>1.0469999999999999</c:v>
                </c:pt>
                <c:pt idx="18">
                  <c:v>0.42499999999999999</c:v>
                </c:pt>
                <c:pt idx="19">
                  <c:v>-0.85</c:v>
                </c:pt>
                <c:pt idx="20">
                  <c:v>-2.8380000000000001</c:v>
                </c:pt>
                <c:pt idx="21">
                  <c:v>-2.9809999999999999</c:v>
                </c:pt>
                <c:pt idx="22">
                  <c:v>-2.165</c:v>
                </c:pt>
                <c:pt idx="23">
                  <c:v>-4.0030000000000001</c:v>
                </c:pt>
                <c:pt idx="24">
                  <c:v>-7.9</c:v>
                </c:pt>
                <c:pt idx="25">
                  <c:v>-6.72</c:v>
                </c:pt>
                <c:pt idx="26">
                  <c:v>-3.39</c:v>
                </c:pt>
                <c:pt idx="27">
                  <c:v>-1.5069999999999999</c:v>
                </c:pt>
                <c:pt idx="28">
                  <c:v>-4.5999999999999999E-2</c:v>
                </c:pt>
                <c:pt idx="29">
                  <c:v>1.456</c:v>
                </c:pt>
                <c:pt idx="30">
                  <c:v>3.3879999999999999</c:v>
                </c:pt>
                <c:pt idx="31">
                  <c:v>0.36399999999999999</c:v>
                </c:pt>
                <c:pt idx="32">
                  <c:v>-1.321</c:v>
                </c:pt>
                <c:pt idx="33">
                  <c:v>2.645</c:v>
                </c:pt>
                <c:pt idx="34">
                  <c:v>1.0840000000000001</c:v>
                </c:pt>
                <c:pt idx="35">
                  <c:v>-2.0209999999999999</c:v>
                </c:pt>
                <c:pt idx="36">
                  <c:v>1.2130000000000001</c:v>
                </c:pt>
                <c:pt idx="37">
                  <c:v>1.357</c:v>
                </c:pt>
                <c:pt idx="38">
                  <c:v>-1.0009999999999999</c:v>
                </c:pt>
                <c:pt idx="39">
                  <c:v>-0.85499999999999998</c:v>
                </c:pt>
                <c:pt idx="40">
                  <c:v>-1.8859999999999999</c:v>
                </c:pt>
                <c:pt idx="41">
                  <c:v>-3.2080000000000002</c:v>
                </c:pt>
                <c:pt idx="42">
                  <c:v>-2.7869999999999999</c:v>
                </c:pt>
                <c:pt idx="43">
                  <c:v>-0.57299999999999995</c:v>
                </c:pt>
                <c:pt idx="44">
                  <c:v>-3.105</c:v>
                </c:pt>
                <c:pt idx="45">
                  <c:v>-3.3940000000000001</c:v>
                </c:pt>
                <c:pt idx="46">
                  <c:v>-3.6230000000000002</c:v>
                </c:pt>
                <c:pt idx="47">
                  <c:v>-0.48099999999999998</c:v>
                </c:pt>
                <c:pt idx="48">
                  <c:v>-0.64200000000000002</c:v>
                </c:pt>
                <c:pt idx="49">
                  <c:v>-1.7969999999999999</c:v>
                </c:pt>
                <c:pt idx="50">
                  <c:v>-1.766</c:v>
                </c:pt>
                <c:pt idx="51">
                  <c:v>-0.47299999999999998</c:v>
                </c:pt>
                <c:pt idx="52">
                  <c:v>1.383</c:v>
                </c:pt>
                <c:pt idx="53">
                  <c:v>2.9590000000000001</c:v>
                </c:pt>
                <c:pt idx="54">
                  <c:v>2.448</c:v>
                </c:pt>
                <c:pt idx="55">
                  <c:v>2.1949999999999998</c:v>
                </c:pt>
                <c:pt idx="56">
                  <c:v>2.0129999999999999</c:v>
                </c:pt>
                <c:pt idx="57">
                  <c:v>6.1630000000000003</c:v>
                </c:pt>
                <c:pt idx="58">
                  <c:v>3.746</c:v>
                </c:pt>
                <c:pt idx="59">
                  <c:v>2.0459999999999998</c:v>
                </c:pt>
                <c:pt idx="60">
                  <c:v>1.4139999999999999</c:v>
                </c:pt>
                <c:pt idx="61">
                  <c:v>3.4809999999999999</c:v>
                </c:pt>
                <c:pt idx="62">
                  <c:v>3.5169999999999999</c:v>
                </c:pt>
                <c:pt idx="63">
                  <c:v>1.3580000000000001</c:v>
                </c:pt>
                <c:pt idx="64">
                  <c:v>1.915</c:v>
                </c:pt>
                <c:pt idx="65">
                  <c:v>2.6080000000000001</c:v>
                </c:pt>
                <c:pt idx="66">
                  <c:v>4.7050000000000001</c:v>
                </c:pt>
                <c:pt idx="67">
                  <c:v>5.6669999999999998</c:v>
                </c:pt>
                <c:pt idx="68">
                  <c:v>6.407</c:v>
                </c:pt>
                <c:pt idx="69">
                  <c:v>7.09</c:v>
                </c:pt>
                <c:pt idx="70">
                  <c:v>4.6319999999999997</c:v>
                </c:pt>
                <c:pt idx="71">
                  <c:v>2.1960000000000002</c:v>
                </c:pt>
                <c:pt idx="72">
                  <c:v>1.756</c:v>
                </c:pt>
                <c:pt idx="73">
                  <c:v>5.3570000000000002</c:v>
                </c:pt>
                <c:pt idx="74">
                  <c:v>6.4580000000000002</c:v>
                </c:pt>
                <c:pt idx="75">
                  <c:v>7.01</c:v>
                </c:pt>
                <c:pt idx="76">
                  <c:v>7.84</c:v>
                </c:pt>
                <c:pt idx="77">
                  <c:v>4.702</c:v>
                </c:pt>
                <c:pt idx="78">
                  <c:v>3.1619999999999999</c:v>
                </c:pt>
                <c:pt idx="79">
                  <c:v>2.6379999999999999</c:v>
                </c:pt>
                <c:pt idx="80">
                  <c:v>2.3940000000000001</c:v>
                </c:pt>
                <c:pt idx="81">
                  <c:v>3.569</c:v>
                </c:pt>
                <c:pt idx="82">
                  <c:v>5.6459999999999999</c:v>
                </c:pt>
                <c:pt idx="83">
                  <c:v>7.43</c:v>
                </c:pt>
                <c:pt idx="84">
                  <c:v>7.45</c:v>
                </c:pt>
                <c:pt idx="85">
                  <c:v>6.5330000000000004</c:v>
                </c:pt>
                <c:pt idx="86">
                  <c:v>6.2960000000000003</c:v>
                </c:pt>
                <c:pt idx="87">
                  <c:v>9.1</c:v>
                </c:pt>
                <c:pt idx="88">
                  <c:v>11.42</c:v>
                </c:pt>
                <c:pt idx="89">
                  <c:v>12.64</c:v>
                </c:pt>
                <c:pt idx="90">
                  <c:v>11.17</c:v>
                </c:pt>
                <c:pt idx="91">
                  <c:v>9.48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83680"/>
        <c:axId val="150819200"/>
      </c:scatterChart>
      <c:valAx>
        <c:axId val="49383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0819200"/>
        <c:crosses val="autoZero"/>
        <c:crossBetween val="midCat"/>
      </c:valAx>
      <c:valAx>
        <c:axId val="150819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93836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740485564304464"/>
                  <c:y val="-0.15506051326917469"/>
                </c:manualLayout>
              </c:layout>
              <c:numFmt formatCode="General" sourceLinked="0"/>
            </c:trendlineLbl>
          </c:trendline>
          <c:xVal>
            <c:numRef>
              <c:f>Data!$DX$7:$DX$65</c:f>
              <c:numCache>
                <c:formatCode>General</c:formatCode>
                <c:ptCount val="59"/>
                <c:pt idx="0">
                  <c:v>-2.5</c:v>
                </c:pt>
                <c:pt idx="1">
                  <c:v>-1.8</c:v>
                </c:pt>
                <c:pt idx="2">
                  <c:v>-0.6</c:v>
                </c:pt>
                <c:pt idx="3">
                  <c:v>-2.2999999999999998</c:v>
                </c:pt>
                <c:pt idx="4">
                  <c:v>3.2</c:v>
                </c:pt>
                <c:pt idx="5">
                  <c:v>-4</c:v>
                </c:pt>
                <c:pt idx="6">
                  <c:v>-3.1</c:v>
                </c:pt>
                <c:pt idx="7">
                  <c:v>-1.2</c:v>
                </c:pt>
                <c:pt idx="8">
                  <c:v>1.8</c:v>
                </c:pt>
                <c:pt idx="9">
                  <c:v>1.1000000000000001</c:v>
                </c:pt>
                <c:pt idx="10">
                  <c:v>1.9</c:v>
                </c:pt>
                <c:pt idx="11">
                  <c:v>-0.2</c:v>
                </c:pt>
                <c:pt idx="12">
                  <c:v>-1.4</c:v>
                </c:pt>
                <c:pt idx="13">
                  <c:v>0.3</c:v>
                </c:pt>
                <c:pt idx="14">
                  <c:v>-0.3</c:v>
                </c:pt>
                <c:pt idx="15">
                  <c:v>-1.2</c:v>
                </c:pt>
                <c:pt idx="16">
                  <c:v>-3.1</c:v>
                </c:pt>
                <c:pt idx="17">
                  <c:v>-1.7</c:v>
                </c:pt>
                <c:pt idx="18">
                  <c:v>1.4</c:v>
                </c:pt>
                <c:pt idx="19">
                  <c:v>1.6</c:v>
                </c:pt>
                <c:pt idx="20">
                  <c:v>5.4</c:v>
                </c:pt>
                <c:pt idx="21">
                  <c:v>2.8</c:v>
                </c:pt>
                <c:pt idx="22">
                  <c:v>3.6</c:v>
                </c:pt>
                <c:pt idx="23">
                  <c:v>4.4000000000000004</c:v>
                </c:pt>
                <c:pt idx="24">
                  <c:v>2.4</c:v>
                </c:pt>
                <c:pt idx="25">
                  <c:v>2</c:v>
                </c:pt>
                <c:pt idx="26">
                  <c:v>0.4</c:v>
                </c:pt>
                <c:pt idx="27">
                  <c:v>-2</c:v>
                </c:pt>
                <c:pt idx="28">
                  <c:v>1.9</c:v>
                </c:pt>
                <c:pt idx="29">
                  <c:v>0.5</c:v>
                </c:pt>
                <c:pt idx="30">
                  <c:v>2.5</c:v>
                </c:pt>
                <c:pt idx="31">
                  <c:v>4.4000000000000004</c:v>
                </c:pt>
                <c:pt idx="32">
                  <c:v>3.1</c:v>
                </c:pt>
                <c:pt idx="33">
                  <c:v>1.2</c:v>
                </c:pt>
                <c:pt idx="34">
                  <c:v>7.8</c:v>
                </c:pt>
                <c:pt idx="35">
                  <c:v>6.9</c:v>
                </c:pt>
                <c:pt idx="36">
                  <c:v>4.9000000000000004</c:v>
                </c:pt>
                <c:pt idx="37">
                  <c:v>-0.9</c:v>
                </c:pt>
                <c:pt idx="38">
                  <c:v>0.9</c:v>
                </c:pt>
                <c:pt idx="39">
                  <c:v>2.7</c:v>
                </c:pt>
                <c:pt idx="40">
                  <c:v>-2.1</c:v>
                </c:pt>
                <c:pt idx="41">
                  <c:v>-6.7</c:v>
                </c:pt>
                <c:pt idx="42">
                  <c:v>-10.7</c:v>
                </c:pt>
                <c:pt idx="43">
                  <c:v>-13.2</c:v>
                </c:pt>
                <c:pt idx="44">
                  <c:v>-11.4</c:v>
                </c:pt>
                <c:pt idx="45">
                  <c:v>-6.6</c:v>
                </c:pt>
                <c:pt idx="46">
                  <c:v>-3.2</c:v>
                </c:pt>
                <c:pt idx="47">
                  <c:v>1.8</c:v>
                </c:pt>
                <c:pt idx="48">
                  <c:v>0.6</c:v>
                </c:pt>
                <c:pt idx="49">
                  <c:v>5</c:v>
                </c:pt>
                <c:pt idx="50">
                  <c:v>7.7</c:v>
                </c:pt>
                <c:pt idx="51">
                  <c:v>5.4</c:v>
                </c:pt>
                <c:pt idx="52">
                  <c:v>5.5</c:v>
                </c:pt>
                <c:pt idx="53">
                  <c:v>6</c:v>
                </c:pt>
                <c:pt idx="54">
                  <c:v>3.5</c:v>
                </c:pt>
                <c:pt idx="55">
                  <c:v>2.2999999999999998</c:v>
                </c:pt>
                <c:pt idx="56">
                  <c:v>-4</c:v>
                </c:pt>
                <c:pt idx="57">
                  <c:v>-7.2</c:v>
                </c:pt>
                <c:pt idx="58">
                  <c:v>-5.8</c:v>
                </c:pt>
              </c:numCache>
            </c:numRef>
          </c:xVal>
          <c:yVal>
            <c:numRef>
              <c:f>Data!$R$7:$R$65</c:f>
              <c:numCache>
                <c:formatCode>General</c:formatCode>
                <c:ptCount val="59"/>
                <c:pt idx="0">
                  <c:v>-4.4539999999999997</c:v>
                </c:pt>
                <c:pt idx="1">
                  <c:v>-5.7160000000000002</c:v>
                </c:pt>
                <c:pt idx="2">
                  <c:v>-5.7060000000000004</c:v>
                </c:pt>
                <c:pt idx="3">
                  <c:v>-4.87</c:v>
                </c:pt>
                <c:pt idx="4">
                  <c:v>-5.734</c:v>
                </c:pt>
                <c:pt idx="5">
                  <c:v>-5.7720000000000002</c:v>
                </c:pt>
                <c:pt idx="6">
                  <c:v>-5.2670000000000003</c:v>
                </c:pt>
                <c:pt idx="7">
                  <c:v>-5.0000000000000001E-3</c:v>
                </c:pt>
                <c:pt idx="8">
                  <c:v>1.1919999999999999</c:v>
                </c:pt>
                <c:pt idx="9">
                  <c:v>2.2080000000000002</c:v>
                </c:pt>
                <c:pt idx="10">
                  <c:v>-0.377</c:v>
                </c:pt>
                <c:pt idx="11">
                  <c:v>1.0620000000000001</c:v>
                </c:pt>
                <c:pt idx="12">
                  <c:v>-0.26300000000000001</c:v>
                </c:pt>
                <c:pt idx="13">
                  <c:v>-0.32900000000000001</c:v>
                </c:pt>
                <c:pt idx="14">
                  <c:v>0.501</c:v>
                </c:pt>
                <c:pt idx="15">
                  <c:v>-3.26</c:v>
                </c:pt>
                <c:pt idx="16">
                  <c:v>-4.9640000000000004</c:v>
                </c:pt>
                <c:pt idx="17">
                  <c:v>-1.4339999999999999</c:v>
                </c:pt>
                <c:pt idx="18">
                  <c:v>3.0710000000000002</c:v>
                </c:pt>
                <c:pt idx="19">
                  <c:v>3.4790000000000001</c:v>
                </c:pt>
                <c:pt idx="20">
                  <c:v>1.1579999999999999</c:v>
                </c:pt>
                <c:pt idx="21">
                  <c:v>2.0680000000000001</c:v>
                </c:pt>
                <c:pt idx="22">
                  <c:v>1.0049999999999999</c:v>
                </c:pt>
                <c:pt idx="23">
                  <c:v>5.4969999999999999</c:v>
                </c:pt>
                <c:pt idx="24">
                  <c:v>3.415</c:v>
                </c:pt>
                <c:pt idx="25">
                  <c:v>0.88600000000000001</c:v>
                </c:pt>
                <c:pt idx="26">
                  <c:v>2.4</c:v>
                </c:pt>
                <c:pt idx="27">
                  <c:v>0.49399999999999999</c:v>
                </c:pt>
                <c:pt idx="28">
                  <c:v>1.6659999999999999</c:v>
                </c:pt>
                <c:pt idx="29">
                  <c:v>2.0470000000000002</c:v>
                </c:pt>
                <c:pt idx="30">
                  <c:v>3.2559999999999998</c:v>
                </c:pt>
                <c:pt idx="31">
                  <c:v>3.121</c:v>
                </c:pt>
                <c:pt idx="32">
                  <c:v>2.7309999999999999</c:v>
                </c:pt>
                <c:pt idx="33">
                  <c:v>1.0940000000000001</c:v>
                </c:pt>
                <c:pt idx="34">
                  <c:v>5.9989999999999997</c:v>
                </c:pt>
                <c:pt idx="35">
                  <c:v>12.53</c:v>
                </c:pt>
                <c:pt idx="36">
                  <c:v>3.9420000000000002</c:v>
                </c:pt>
                <c:pt idx="37">
                  <c:v>6.7220000000000004</c:v>
                </c:pt>
                <c:pt idx="38">
                  <c:v>-0.83699999999999997</c:v>
                </c:pt>
                <c:pt idx="39">
                  <c:v>0.315</c:v>
                </c:pt>
                <c:pt idx="40">
                  <c:v>-3.5489999999999999</c:v>
                </c:pt>
                <c:pt idx="41">
                  <c:v>-6.38</c:v>
                </c:pt>
                <c:pt idx="42">
                  <c:v>-12.82</c:v>
                </c:pt>
                <c:pt idx="43">
                  <c:v>-10.69</c:v>
                </c:pt>
                <c:pt idx="44">
                  <c:v>-11.96</c:v>
                </c:pt>
                <c:pt idx="45">
                  <c:v>-6.1539999999999999</c:v>
                </c:pt>
                <c:pt idx="46">
                  <c:v>-2.9390000000000001</c:v>
                </c:pt>
                <c:pt idx="47">
                  <c:v>0.47099999999999997</c:v>
                </c:pt>
                <c:pt idx="48">
                  <c:v>2.3170000000000002</c:v>
                </c:pt>
                <c:pt idx="49">
                  <c:v>3.8519999999999999</c:v>
                </c:pt>
                <c:pt idx="50">
                  <c:v>7.81</c:v>
                </c:pt>
                <c:pt idx="51">
                  <c:v>2.6960000000000002</c:v>
                </c:pt>
                <c:pt idx="52">
                  <c:v>2.0110000000000001</c:v>
                </c:pt>
                <c:pt idx="53">
                  <c:v>4.5110000000000001</c:v>
                </c:pt>
                <c:pt idx="54">
                  <c:v>4.8099999999999996</c:v>
                </c:pt>
                <c:pt idx="55">
                  <c:v>0.54300000000000004</c:v>
                </c:pt>
                <c:pt idx="56">
                  <c:v>-7.18</c:v>
                </c:pt>
                <c:pt idx="57">
                  <c:v>-7.22</c:v>
                </c:pt>
                <c:pt idx="58">
                  <c:v>-5.1760000000000002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53120"/>
        <c:axId val="150855040"/>
      </c:scatterChart>
      <c:valAx>
        <c:axId val="15085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0855040"/>
        <c:crosses val="autoZero"/>
        <c:crossBetween val="midCat"/>
      </c:valAx>
      <c:valAx>
        <c:axId val="1508550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08531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740485564304464"/>
                  <c:y val="-0.15506051326917469"/>
                </c:manualLayout>
              </c:layout>
              <c:numFmt formatCode="General" sourceLinked="0"/>
            </c:trendlineLbl>
          </c:trendline>
          <c:xVal>
            <c:numRef>
              <c:f>Data!$DW$7:$DW$65</c:f>
              <c:numCache>
                <c:formatCode>General</c:formatCode>
                <c:ptCount val="59"/>
                <c:pt idx="0">
                  <c:v>-13.6</c:v>
                </c:pt>
                <c:pt idx="1">
                  <c:v>-12.5</c:v>
                </c:pt>
                <c:pt idx="2">
                  <c:v>-12.6</c:v>
                </c:pt>
                <c:pt idx="3">
                  <c:v>-12</c:v>
                </c:pt>
                <c:pt idx="4">
                  <c:v>-11.5</c:v>
                </c:pt>
                <c:pt idx="5">
                  <c:v>-12.9</c:v>
                </c:pt>
                <c:pt idx="6">
                  <c:v>-9.6</c:v>
                </c:pt>
                <c:pt idx="7">
                  <c:v>-4.5</c:v>
                </c:pt>
                <c:pt idx="8">
                  <c:v>-1.6</c:v>
                </c:pt>
                <c:pt idx="9">
                  <c:v>-0.7</c:v>
                </c:pt>
                <c:pt idx="10">
                  <c:v>-2.2999999999999998</c:v>
                </c:pt>
                <c:pt idx="11">
                  <c:v>-3</c:v>
                </c:pt>
                <c:pt idx="12">
                  <c:v>-2.8</c:v>
                </c:pt>
                <c:pt idx="13">
                  <c:v>-1.9</c:v>
                </c:pt>
                <c:pt idx="14">
                  <c:v>-4.2</c:v>
                </c:pt>
                <c:pt idx="15">
                  <c:v>-4.9000000000000004</c:v>
                </c:pt>
                <c:pt idx="16">
                  <c:v>-6.2</c:v>
                </c:pt>
                <c:pt idx="17">
                  <c:v>-4.8</c:v>
                </c:pt>
                <c:pt idx="18">
                  <c:v>-6</c:v>
                </c:pt>
                <c:pt idx="19">
                  <c:v>-5.2</c:v>
                </c:pt>
                <c:pt idx="20">
                  <c:v>-7.6</c:v>
                </c:pt>
                <c:pt idx="21">
                  <c:v>-8.6999999999999993</c:v>
                </c:pt>
                <c:pt idx="22">
                  <c:v>-8.1</c:v>
                </c:pt>
                <c:pt idx="23">
                  <c:v>-3.4</c:v>
                </c:pt>
                <c:pt idx="24">
                  <c:v>-0.6</c:v>
                </c:pt>
                <c:pt idx="25">
                  <c:v>-2.7</c:v>
                </c:pt>
                <c:pt idx="26">
                  <c:v>-5.6</c:v>
                </c:pt>
                <c:pt idx="27">
                  <c:v>-3.9</c:v>
                </c:pt>
                <c:pt idx="28">
                  <c:v>-0.9</c:v>
                </c:pt>
                <c:pt idx="29">
                  <c:v>-1.8</c:v>
                </c:pt>
                <c:pt idx="30">
                  <c:v>0</c:v>
                </c:pt>
                <c:pt idx="31">
                  <c:v>0.2</c:v>
                </c:pt>
                <c:pt idx="32">
                  <c:v>-1</c:v>
                </c:pt>
                <c:pt idx="33">
                  <c:v>-1.7</c:v>
                </c:pt>
                <c:pt idx="34">
                  <c:v>-2.2999999999999998</c:v>
                </c:pt>
                <c:pt idx="35">
                  <c:v>-0.1</c:v>
                </c:pt>
                <c:pt idx="36">
                  <c:v>0.8</c:v>
                </c:pt>
                <c:pt idx="37">
                  <c:v>-2.2000000000000002</c:v>
                </c:pt>
                <c:pt idx="38">
                  <c:v>-4.0999999999999996</c:v>
                </c:pt>
                <c:pt idx="39">
                  <c:v>-1.7</c:v>
                </c:pt>
                <c:pt idx="40">
                  <c:v>-5.3</c:v>
                </c:pt>
                <c:pt idx="41">
                  <c:v>-8.3000000000000007</c:v>
                </c:pt>
                <c:pt idx="42">
                  <c:v>-15.2</c:v>
                </c:pt>
                <c:pt idx="43">
                  <c:v>-20.3</c:v>
                </c:pt>
                <c:pt idx="44">
                  <c:v>-17.899999999999999</c:v>
                </c:pt>
                <c:pt idx="45">
                  <c:v>-10.9</c:v>
                </c:pt>
                <c:pt idx="46">
                  <c:v>-6</c:v>
                </c:pt>
                <c:pt idx="47">
                  <c:v>-1.1000000000000001</c:v>
                </c:pt>
                <c:pt idx="48">
                  <c:v>-1.7</c:v>
                </c:pt>
                <c:pt idx="49">
                  <c:v>2.2000000000000002</c:v>
                </c:pt>
                <c:pt idx="50">
                  <c:v>3.1</c:v>
                </c:pt>
                <c:pt idx="51">
                  <c:v>1.2</c:v>
                </c:pt>
                <c:pt idx="52">
                  <c:v>-1.9</c:v>
                </c:pt>
                <c:pt idx="53">
                  <c:v>-0.7</c:v>
                </c:pt>
                <c:pt idx="54">
                  <c:v>0</c:v>
                </c:pt>
                <c:pt idx="55">
                  <c:v>-1.6</c:v>
                </c:pt>
                <c:pt idx="56">
                  <c:v>-9.1</c:v>
                </c:pt>
                <c:pt idx="57">
                  <c:v>-14</c:v>
                </c:pt>
                <c:pt idx="58">
                  <c:v>-10.5</c:v>
                </c:pt>
              </c:numCache>
            </c:numRef>
          </c:xVal>
          <c:yVal>
            <c:numRef>
              <c:f>Data!$E$7:$E$65</c:f>
              <c:numCache>
                <c:formatCode>General</c:formatCode>
                <c:ptCount val="59"/>
                <c:pt idx="0">
                  <c:v>-15.64</c:v>
                </c:pt>
                <c:pt idx="1">
                  <c:v>-16.37</c:v>
                </c:pt>
                <c:pt idx="2">
                  <c:v>-16.09</c:v>
                </c:pt>
                <c:pt idx="3">
                  <c:v>-15.33</c:v>
                </c:pt>
                <c:pt idx="4">
                  <c:v>-17.11</c:v>
                </c:pt>
                <c:pt idx="5">
                  <c:v>-16.649999999999999</c:v>
                </c:pt>
                <c:pt idx="6">
                  <c:v>-15.76</c:v>
                </c:pt>
                <c:pt idx="7">
                  <c:v>-3.8719999999999999</c:v>
                </c:pt>
                <c:pt idx="8">
                  <c:v>-1.153</c:v>
                </c:pt>
                <c:pt idx="9">
                  <c:v>-0.35399999999999998</c:v>
                </c:pt>
                <c:pt idx="10">
                  <c:v>-3.7240000000000002</c:v>
                </c:pt>
                <c:pt idx="11">
                  <c:v>-3.7759999999999998</c:v>
                </c:pt>
                <c:pt idx="12">
                  <c:v>-1.742</c:v>
                </c:pt>
                <c:pt idx="13">
                  <c:v>-2.7229999999999999</c:v>
                </c:pt>
                <c:pt idx="14">
                  <c:v>-2.8330000000000002</c:v>
                </c:pt>
                <c:pt idx="15">
                  <c:v>-4.2350000000000003</c:v>
                </c:pt>
                <c:pt idx="16">
                  <c:v>-5.7759999999999998</c:v>
                </c:pt>
                <c:pt idx="17">
                  <c:v>-3.617</c:v>
                </c:pt>
                <c:pt idx="18">
                  <c:v>-6.2939999999999996</c:v>
                </c:pt>
                <c:pt idx="19">
                  <c:v>-8.48</c:v>
                </c:pt>
                <c:pt idx="20">
                  <c:v>-10.09</c:v>
                </c:pt>
                <c:pt idx="21">
                  <c:v>-11.63</c:v>
                </c:pt>
                <c:pt idx="22">
                  <c:v>-12.02</c:v>
                </c:pt>
                <c:pt idx="23">
                  <c:v>-7.38</c:v>
                </c:pt>
                <c:pt idx="24">
                  <c:v>-1.409</c:v>
                </c:pt>
                <c:pt idx="25">
                  <c:v>-1.8779999999999999</c:v>
                </c:pt>
                <c:pt idx="26">
                  <c:v>-6.96</c:v>
                </c:pt>
                <c:pt idx="27">
                  <c:v>-5.9329999999999998</c:v>
                </c:pt>
                <c:pt idx="28">
                  <c:v>0.224</c:v>
                </c:pt>
                <c:pt idx="29">
                  <c:v>-0.252</c:v>
                </c:pt>
                <c:pt idx="30">
                  <c:v>1.6</c:v>
                </c:pt>
                <c:pt idx="31">
                  <c:v>1.377</c:v>
                </c:pt>
                <c:pt idx="32">
                  <c:v>-0.997</c:v>
                </c:pt>
                <c:pt idx="33">
                  <c:v>-0.89600000000000002</c:v>
                </c:pt>
                <c:pt idx="34">
                  <c:v>-4.5039999999999996</c:v>
                </c:pt>
                <c:pt idx="35">
                  <c:v>-0.48799999999999999</c:v>
                </c:pt>
                <c:pt idx="36">
                  <c:v>0.90600000000000003</c:v>
                </c:pt>
                <c:pt idx="37">
                  <c:v>-1.889</c:v>
                </c:pt>
                <c:pt idx="38">
                  <c:v>-6.742</c:v>
                </c:pt>
                <c:pt idx="39">
                  <c:v>-6.3440000000000003</c:v>
                </c:pt>
                <c:pt idx="40">
                  <c:v>-6.8250000000000002</c:v>
                </c:pt>
                <c:pt idx="41">
                  <c:v>-12.17</c:v>
                </c:pt>
                <c:pt idx="42">
                  <c:v>-16</c:v>
                </c:pt>
                <c:pt idx="43">
                  <c:v>-20.64</c:v>
                </c:pt>
                <c:pt idx="44">
                  <c:v>-19.46</c:v>
                </c:pt>
                <c:pt idx="45">
                  <c:v>-11.32</c:v>
                </c:pt>
                <c:pt idx="46">
                  <c:v>-5.6639999999999997</c:v>
                </c:pt>
                <c:pt idx="47">
                  <c:v>-0.98799999999999999</c:v>
                </c:pt>
                <c:pt idx="48">
                  <c:v>-0.92</c:v>
                </c:pt>
                <c:pt idx="49">
                  <c:v>2.254</c:v>
                </c:pt>
                <c:pt idx="50">
                  <c:v>3.9409999999999998</c:v>
                </c:pt>
                <c:pt idx="51">
                  <c:v>-0.17399999999999999</c:v>
                </c:pt>
                <c:pt idx="52">
                  <c:v>-5.0090000000000003</c:v>
                </c:pt>
                <c:pt idx="53">
                  <c:v>-2.3159999999999998</c:v>
                </c:pt>
                <c:pt idx="54">
                  <c:v>1.927</c:v>
                </c:pt>
                <c:pt idx="55">
                  <c:v>-3.0089999999999999</c:v>
                </c:pt>
                <c:pt idx="56">
                  <c:v>-11.87</c:v>
                </c:pt>
                <c:pt idx="57">
                  <c:v>-16.27</c:v>
                </c:pt>
                <c:pt idx="58">
                  <c:v>-16.89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708416"/>
        <c:axId val="151710336"/>
      </c:scatterChart>
      <c:valAx>
        <c:axId val="15170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1710336"/>
        <c:crosses val="autoZero"/>
        <c:crossBetween val="midCat"/>
      </c:valAx>
      <c:valAx>
        <c:axId val="1517103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17084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740485564304464"/>
                  <c:y val="-0.15506051326917469"/>
                </c:manualLayout>
              </c:layout>
              <c:numFmt formatCode="General" sourceLinked="0"/>
            </c:trendlineLbl>
          </c:trendline>
          <c:xVal>
            <c:numRef>
              <c:f>Data!$DY$7:$DY$65</c:f>
              <c:numCache>
                <c:formatCode>General</c:formatCode>
                <c:ptCount val="59"/>
                <c:pt idx="0">
                  <c:v>-18.5</c:v>
                </c:pt>
                <c:pt idx="1">
                  <c:v>-19.399999999999999</c:v>
                </c:pt>
                <c:pt idx="2">
                  <c:v>-19.2</c:v>
                </c:pt>
                <c:pt idx="3">
                  <c:v>-16.899999999999999</c:v>
                </c:pt>
                <c:pt idx="4">
                  <c:v>-17</c:v>
                </c:pt>
                <c:pt idx="5">
                  <c:v>-16.8</c:v>
                </c:pt>
                <c:pt idx="6">
                  <c:v>-17.7</c:v>
                </c:pt>
                <c:pt idx="7">
                  <c:v>-7.6</c:v>
                </c:pt>
                <c:pt idx="8">
                  <c:v>-4.5</c:v>
                </c:pt>
                <c:pt idx="9">
                  <c:v>-3.7</c:v>
                </c:pt>
                <c:pt idx="10">
                  <c:v>-4</c:v>
                </c:pt>
                <c:pt idx="11">
                  <c:v>-6.1</c:v>
                </c:pt>
                <c:pt idx="12">
                  <c:v>-5.2</c:v>
                </c:pt>
                <c:pt idx="13">
                  <c:v>-3.9</c:v>
                </c:pt>
                <c:pt idx="14">
                  <c:v>-6.4</c:v>
                </c:pt>
                <c:pt idx="15">
                  <c:v>-7.9</c:v>
                </c:pt>
                <c:pt idx="16">
                  <c:v>-8.1999999999999993</c:v>
                </c:pt>
                <c:pt idx="17">
                  <c:v>-6.9</c:v>
                </c:pt>
                <c:pt idx="18">
                  <c:v>-11.1</c:v>
                </c:pt>
                <c:pt idx="19">
                  <c:v>-11.7</c:v>
                </c:pt>
                <c:pt idx="20">
                  <c:v>-13.7</c:v>
                </c:pt>
                <c:pt idx="21">
                  <c:v>-15.7</c:v>
                </c:pt>
                <c:pt idx="22">
                  <c:v>-15.1</c:v>
                </c:pt>
                <c:pt idx="23">
                  <c:v>-9</c:v>
                </c:pt>
                <c:pt idx="24">
                  <c:v>-3.1</c:v>
                </c:pt>
                <c:pt idx="25">
                  <c:v>-7.6</c:v>
                </c:pt>
                <c:pt idx="26">
                  <c:v>-10.199999999999999</c:v>
                </c:pt>
                <c:pt idx="27">
                  <c:v>-5.6</c:v>
                </c:pt>
                <c:pt idx="28">
                  <c:v>-3.4</c:v>
                </c:pt>
                <c:pt idx="29">
                  <c:v>-4.9000000000000004</c:v>
                </c:pt>
                <c:pt idx="30">
                  <c:v>-2.4</c:v>
                </c:pt>
                <c:pt idx="31">
                  <c:v>-2.1</c:v>
                </c:pt>
                <c:pt idx="32">
                  <c:v>-3.7</c:v>
                </c:pt>
                <c:pt idx="33">
                  <c:v>-5.4</c:v>
                </c:pt>
                <c:pt idx="34">
                  <c:v>-9.1</c:v>
                </c:pt>
                <c:pt idx="35">
                  <c:v>-5</c:v>
                </c:pt>
                <c:pt idx="36">
                  <c:v>-1.8</c:v>
                </c:pt>
                <c:pt idx="37">
                  <c:v>-3.5</c:v>
                </c:pt>
                <c:pt idx="38">
                  <c:v>-9</c:v>
                </c:pt>
                <c:pt idx="39">
                  <c:v>-9.6</c:v>
                </c:pt>
                <c:pt idx="40">
                  <c:v>-9.1999999999999993</c:v>
                </c:pt>
                <c:pt idx="41">
                  <c:v>-10.7</c:v>
                </c:pt>
                <c:pt idx="42">
                  <c:v>-22.8</c:v>
                </c:pt>
                <c:pt idx="43">
                  <c:v>-25.7</c:v>
                </c:pt>
                <c:pt idx="44">
                  <c:v>-26.4</c:v>
                </c:pt>
                <c:pt idx="45">
                  <c:v>-15.3</c:v>
                </c:pt>
                <c:pt idx="46">
                  <c:v>-9.9</c:v>
                </c:pt>
                <c:pt idx="47">
                  <c:v>-3.9</c:v>
                </c:pt>
                <c:pt idx="48">
                  <c:v>-3.9</c:v>
                </c:pt>
                <c:pt idx="49">
                  <c:v>0.2</c:v>
                </c:pt>
                <c:pt idx="50">
                  <c:v>0.8</c:v>
                </c:pt>
                <c:pt idx="51">
                  <c:v>-1.8</c:v>
                </c:pt>
                <c:pt idx="52">
                  <c:v>-6.9</c:v>
                </c:pt>
                <c:pt idx="53">
                  <c:v>-6.3</c:v>
                </c:pt>
                <c:pt idx="54">
                  <c:v>-4.9000000000000004</c:v>
                </c:pt>
                <c:pt idx="55">
                  <c:v>-6.1</c:v>
                </c:pt>
                <c:pt idx="56">
                  <c:v>-17.8</c:v>
                </c:pt>
                <c:pt idx="57">
                  <c:v>-21.9</c:v>
                </c:pt>
                <c:pt idx="58">
                  <c:v>-14.6</c:v>
                </c:pt>
              </c:numCache>
            </c:numRef>
          </c:xVal>
          <c:yVal>
            <c:numRef>
              <c:f>Data!$AF$7:$AF$65</c:f>
              <c:numCache>
                <c:formatCode>General</c:formatCode>
                <c:ptCount val="59"/>
                <c:pt idx="0">
                  <c:v>-20.36</c:v>
                </c:pt>
                <c:pt idx="1">
                  <c:v>-21.33</c:v>
                </c:pt>
                <c:pt idx="2">
                  <c:v>-21.81</c:v>
                </c:pt>
                <c:pt idx="3">
                  <c:v>-20.18</c:v>
                </c:pt>
                <c:pt idx="4">
                  <c:v>-22.01</c:v>
                </c:pt>
                <c:pt idx="5">
                  <c:v>-21.43</c:v>
                </c:pt>
                <c:pt idx="6">
                  <c:v>-24.24</c:v>
                </c:pt>
                <c:pt idx="7">
                  <c:v>-7.66</c:v>
                </c:pt>
                <c:pt idx="8">
                  <c:v>-5.8129999999999997</c:v>
                </c:pt>
                <c:pt idx="9">
                  <c:v>-3.7909999999999999</c:v>
                </c:pt>
                <c:pt idx="10">
                  <c:v>-6.7960000000000003</c:v>
                </c:pt>
                <c:pt idx="11">
                  <c:v>-7.77</c:v>
                </c:pt>
                <c:pt idx="12">
                  <c:v>-2.8540000000000001</c:v>
                </c:pt>
                <c:pt idx="13">
                  <c:v>-6.5529999999999999</c:v>
                </c:pt>
                <c:pt idx="14">
                  <c:v>-5.8949999999999996</c:v>
                </c:pt>
                <c:pt idx="15">
                  <c:v>-6.0010000000000003</c:v>
                </c:pt>
                <c:pt idx="16">
                  <c:v>-7.27</c:v>
                </c:pt>
                <c:pt idx="17">
                  <c:v>-6.19</c:v>
                </c:pt>
                <c:pt idx="18">
                  <c:v>-12.8</c:v>
                </c:pt>
                <c:pt idx="19">
                  <c:v>-13.74</c:v>
                </c:pt>
                <c:pt idx="20">
                  <c:v>-15.99</c:v>
                </c:pt>
                <c:pt idx="21">
                  <c:v>-17.53</c:v>
                </c:pt>
                <c:pt idx="22">
                  <c:v>-18.68</c:v>
                </c:pt>
                <c:pt idx="23">
                  <c:v>-14.79</c:v>
                </c:pt>
                <c:pt idx="24">
                  <c:v>-8.06</c:v>
                </c:pt>
                <c:pt idx="25">
                  <c:v>-5.8520000000000003</c:v>
                </c:pt>
                <c:pt idx="26">
                  <c:v>-12.43</c:v>
                </c:pt>
                <c:pt idx="27">
                  <c:v>-14.96</c:v>
                </c:pt>
                <c:pt idx="28">
                  <c:v>-1.091</c:v>
                </c:pt>
                <c:pt idx="29">
                  <c:v>-4.4379999999999997</c:v>
                </c:pt>
                <c:pt idx="30">
                  <c:v>-1.0999999999999999E-2</c:v>
                </c:pt>
                <c:pt idx="31">
                  <c:v>-0.998</c:v>
                </c:pt>
                <c:pt idx="32">
                  <c:v>-5.0590000000000002</c:v>
                </c:pt>
                <c:pt idx="33">
                  <c:v>-7.54</c:v>
                </c:pt>
                <c:pt idx="34">
                  <c:v>-11.17</c:v>
                </c:pt>
                <c:pt idx="35">
                  <c:v>-6.5679999999999996</c:v>
                </c:pt>
                <c:pt idx="36">
                  <c:v>-1.2989999999999999</c:v>
                </c:pt>
                <c:pt idx="37">
                  <c:v>-9.66</c:v>
                </c:pt>
                <c:pt idx="38">
                  <c:v>-11.19</c:v>
                </c:pt>
                <c:pt idx="39">
                  <c:v>-12.92</c:v>
                </c:pt>
                <c:pt idx="40">
                  <c:v>-14.41</c:v>
                </c:pt>
                <c:pt idx="41">
                  <c:v>-18.7</c:v>
                </c:pt>
                <c:pt idx="42">
                  <c:v>-19.63</c:v>
                </c:pt>
                <c:pt idx="43">
                  <c:v>-28.29</c:v>
                </c:pt>
                <c:pt idx="44">
                  <c:v>-28.57</c:v>
                </c:pt>
                <c:pt idx="45">
                  <c:v>-14.03</c:v>
                </c:pt>
                <c:pt idx="46">
                  <c:v>-7.44</c:v>
                </c:pt>
                <c:pt idx="47">
                  <c:v>-3.351</c:v>
                </c:pt>
                <c:pt idx="48">
                  <c:v>-2.84</c:v>
                </c:pt>
                <c:pt idx="49">
                  <c:v>-0.246</c:v>
                </c:pt>
                <c:pt idx="50">
                  <c:v>0.53400000000000003</c:v>
                </c:pt>
                <c:pt idx="51">
                  <c:v>-5.7649999999999997</c:v>
                </c:pt>
                <c:pt idx="52">
                  <c:v>-10.77</c:v>
                </c:pt>
                <c:pt idx="53">
                  <c:v>-11.1</c:v>
                </c:pt>
                <c:pt idx="54">
                  <c:v>-1.1100000000000001</c:v>
                </c:pt>
                <c:pt idx="55">
                  <c:v>-10.36</c:v>
                </c:pt>
                <c:pt idx="56">
                  <c:v>-19.309999999999999</c:v>
                </c:pt>
                <c:pt idx="57">
                  <c:v>-25.03</c:v>
                </c:pt>
                <c:pt idx="58">
                  <c:v>-25.43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46048"/>
        <c:axId val="153347968"/>
      </c:scatterChart>
      <c:valAx>
        <c:axId val="153346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3347968"/>
        <c:crosses val="autoZero"/>
        <c:crossBetween val="midCat"/>
      </c:valAx>
      <c:valAx>
        <c:axId val="153347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33460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6m</c:v>
          </c:tx>
          <c:marker>
            <c:symbol val="none"/>
          </c:marker>
          <c:val>
            <c:numRef>
              <c:f>Data!$E$7:$E$371</c:f>
              <c:numCache>
                <c:formatCode>General</c:formatCode>
                <c:ptCount val="365"/>
                <c:pt idx="0">
                  <c:v>-15.64</c:v>
                </c:pt>
                <c:pt idx="1">
                  <c:v>-16.37</c:v>
                </c:pt>
                <c:pt idx="2">
                  <c:v>-16.09</c:v>
                </c:pt>
                <c:pt idx="3">
                  <c:v>-15.33</c:v>
                </c:pt>
                <c:pt idx="4">
                  <c:v>-17.11</c:v>
                </c:pt>
                <c:pt idx="5">
                  <c:v>-16.649999999999999</c:v>
                </c:pt>
                <c:pt idx="6">
                  <c:v>-15.76</c:v>
                </c:pt>
                <c:pt idx="7">
                  <c:v>-3.8719999999999999</c:v>
                </c:pt>
                <c:pt idx="8">
                  <c:v>-1.153</c:v>
                </c:pt>
                <c:pt idx="9">
                  <c:v>-0.35399999999999998</c:v>
                </c:pt>
                <c:pt idx="10">
                  <c:v>-3.7240000000000002</c:v>
                </c:pt>
                <c:pt idx="11">
                  <c:v>-3.7759999999999998</c:v>
                </c:pt>
                <c:pt idx="12">
                  <c:v>-1.742</c:v>
                </c:pt>
                <c:pt idx="13">
                  <c:v>-2.7229999999999999</c:v>
                </c:pt>
                <c:pt idx="14">
                  <c:v>-2.8330000000000002</c:v>
                </c:pt>
                <c:pt idx="15">
                  <c:v>-4.2350000000000003</c:v>
                </c:pt>
                <c:pt idx="16">
                  <c:v>-5.7759999999999998</c:v>
                </c:pt>
                <c:pt idx="17">
                  <c:v>-3.617</c:v>
                </c:pt>
                <c:pt idx="18">
                  <c:v>-6.2939999999999996</c:v>
                </c:pt>
                <c:pt idx="19">
                  <c:v>-8.48</c:v>
                </c:pt>
                <c:pt idx="20">
                  <c:v>-10.09</c:v>
                </c:pt>
                <c:pt idx="21">
                  <c:v>-11.63</c:v>
                </c:pt>
                <c:pt idx="22">
                  <c:v>-12.02</c:v>
                </c:pt>
                <c:pt idx="23">
                  <c:v>-7.38</c:v>
                </c:pt>
                <c:pt idx="24">
                  <c:v>-1.409</c:v>
                </c:pt>
                <c:pt idx="25">
                  <c:v>-1.8779999999999999</c:v>
                </c:pt>
                <c:pt idx="26">
                  <c:v>-6.96</c:v>
                </c:pt>
                <c:pt idx="27">
                  <c:v>-5.9329999999999998</c:v>
                </c:pt>
                <c:pt idx="28">
                  <c:v>0.224</c:v>
                </c:pt>
                <c:pt idx="29">
                  <c:v>-0.252</c:v>
                </c:pt>
                <c:pt idx="30">
                  <c:v>1.6</c:v>
                </c:pt>
                <c:pt idx="31">
                  <c:v>1.377</c:v>
                </c:pt>
                <c:pt idx="32">
                  <c:v>-0.997</c:v>
                </c:pt>
                <c:pt idx="33">
                  <c:v>-0.89600000000000002</c:v>
                </c:pt>
                <c:pt idx="34">
                  <c:v>-4.5039999999999996</c:v>
                </c:pt>
                <c:pt idx="35">
                  <c:v>-0.48799999999999999</c:v>
                </c:pt>
                <c:pt idx="36">
                  <c:v>0.90600000000000003</c:v>
                </c:pt>
                <c:pt idx="37">
                  <c:v>-1.889</c:v>
                </c:pt>
                <c:pt idx="38">
                  <c:v>-6.742</c:v>
                </c:pt>
                <c:pt idx="39">
                  <c:v>-6.3440000000000003</c:v>
                </c:pt>
                <c:pt idx="40">
                  <c:v>-6.8250000000000002</c:v>
                </c:pt>
                <c:pt idx="41">
                  <c:v>-12.17</c:v>
                </c:pt>
                <c:pt idx="42">
                  <c:v>-16</c:v>
                </c:pt>
                <c:pt idx="43">
                  <c:v>-20.64</c:v>
                </c:pt>
                <c:pt idx="44">
                  <c:v>-19.46</c:v>
                </c:pt>
                <c:pt idx="45">
                  <c:v>-11.32</c:v>
                </c:pt>
                <c:pt idx="46">
                  <c:v>-5.6639999999999997</c:v>
                </c:pt>
                <c:pt idx="47">
                  <c:v>-0.98799999999999999</c:v>
                </c:pt>
                <c:pt idx="48">
                  <c:v>-0.92</c:v>
                </c:pt>
                <c:pt idx="49">
                  <c:v>2.254</c:v>
                </c:pt>
                <c:pt idx="50">
                  <c:v>3.9409999999999998</c:v>
                </c:pt>
                <c:pt idx="51">
                  <c:v>-0.17399999999999999</c:v>
                </c:pt>
                <c:pt idx="52">
                  <c:v>-5.0090000000000003</c:v>
                </c:pt>
                <c:pt idx="53">
                  <c:v>-2.3159999999999998</c:v>
                </c:pt>
                <c:pt idx="54">
                  <c:v>1.927</c:v>
                </c:pt>
                <c:pt idx="55">
                  <c:v>-3.0089999999999999</c:v>
                </c:pt>
                <c:pt idx="56">
                  <c:v>-11.87</c:v>
                </c:pt>
                <c:pt idx="57">
                  <c:v>-16.27</c:v>
                </c:pt>
                <c:pt idx="58">
                  <c:v>-16.89</c:v>
                </c:pt>
                <c:pt idx="59">
                  <c:v>-16.059999999999999</c:v>
                </c:pt>
                <c:pt idx="60">
                  <c:v>-13.12</c:v>
                </c:pt>
                <c:pt idx="61">
                  <c:v>-9.5399999999999991</c:v>
                </c:pt>
                <c:pt idx="62">
                  <c:v>-10.81</c:v>
                </c:pt>
                <c:pt idx="63">
                  <c:v>-16.93</c:v>
                </c:pt>
                <c:pt idx="64">
                  <c:v>-18.899999999999999</c:v>
                </c:pt>
                <c:pt idx="65">
                  <c:v>-10.95</c:v>
                </c:pt>
                <c:pt idx="66">
                  <c:v>-4.7300000000000004</c:v>
                </c:pt>
                <c:pt idx="67">
                  <c:v>1.2090000000000001</c:v>
                </c:pt>
                <c:pt idx="68">
                  <c:v>2.2909999999999999</c:v>
                </c:pt>
                <c:pt idx="69">
                  <c:v>1.9510000000000001</c:v>
                </c:pt>
                <c:pt idx="70">
                  <c:v>-1.024</c:v>
                </c:pt>
                <c:pt idx="71">
                  <c:v>-2.4159999999999999</c:v>
                </c:pt>
                <c:pt idx="72">
                  <c:v>1.5980000000000001</c:v>
                </c:pt>
                <c:pt idx="73">
                  <c:v>-1.026</c:v>
                </c:pt>
                <c:pt idx="74">
                  <c:v>-1.609</c:v>
                </c:pt>
                <c:pt idx="75">
                  <c:v>0.91300000000000003</c:v>
                </c:pt>
                <c:pt idx="76">
                  <c:v>1.0469999999999999</c:v>
                </c:pt>
                <c:pt idx="77">
                  <c:v>0.42499999999999999</c:v>
                </c:pt>
                <c:pt idx="78">
                  <c:v>-0.85</c:v>
                </c:pt>
                <c:pt idx="79">
                  <c:v>-2.8380000000000001</c:v>
                </c:pt>
                <c:pt idx="80">
                  <c:v>-2.9809999999999999</c:v>
                </c:pt>
                <c:pt idx="81">
                  <c:v>-2.165</c:v>
                </c:pt>
                <c:pt idx="82">
                  <c:v>-4.0030000000000001</c:v>
                </c:pt>
                <c:pt idx="83">
                  <c:v>-7.9</c:v>
                </c:pt>
                <c:pt idx="84">
                  <c:v>-6.72</c:v>
                </c:pt>
                <c:pt idx="85">
                  <c:v>-3.39</c:v>
                </c:pt>
                <c:pt idx="86">
                  <c:v>-1.5069999999999999</c:v>
                </c:pt>
                <c:pt idx="87">
                  <c:v>-4.5999999999999999E-2</c:v>
                </c:pt>
                <c:pt idx="88">
                  <c:v>1.456</c:v>
                </c:pt>
                <c:pt idx="89">
                  <c:v>3.3879999999999999</c:v>
                </c:pt>
                <c:pt idx="90">
                  <c:v>0.36399999999999999</c:v>
                </c:pt>
                <c:pt idx="91">
                  <c:v>-1.321</c:v>
                </c:pt>
                <c:pt idx="92">
                  <c:v>2.645</c:v>
                </c:pt>
                <c:pt idx="93">
                  <c:v>1.0840000000000001</c:v>
                </c:pt>
                <c:pt idx="94">
                  <c:v>-2.0209999999999999</c:v>
                </c:pt>
                <c:pt idx="95">
                  <c:v>1.2130000000000001</c:v>
                </c:pt>
                <c:pt idx="96">
                  <c:v>1.357</c:v>
                </c:pt>
                <c:pt idx="97">
                  <c:v>-1.0009999999999999</c:v>
                </c:pt>
                <c:pt idx="98">
                  <c:v>-0.85499999999999998</c:v>
                </c:pt>
                <c:pt idx="99">
                  <c:v>-1.8859999999999999</c:v>
                </c:pt>
                <c:pt idx="100">
                  <c:v>-3.2080000000000002</c:v>
                </c:pt>
                <c:pt idx="101">
                  <c:v>-2.7869999999999999</c:v>
                </c:pt>
                <c:pt idx="102">
                  <c:v>-0.57299999999999995</c:v>
                </c:pt>
                <c:pt idx="103">
                  <c:v>-3.105</c:v>
                </c:pt>
                <c:pt idx="104">
                  <c:v>-3.3940000000000001</c:v>
                </c:pt>
                <c:pt idx="105">
                  <c:v>-3.6230000000000002</c:v>
                </c:pt>
                <c:pt idx="106">
                  <c:v>-0.48099999999999998</c:v>
                </c:pt>
                <c:pt idx="107">
                  <c:v>-0.64200000000000002</c:v>
                </c:pt>
                <c:pt idx="108">
                  <c:v>-1.7969999999999999</c:v>
                </c:pt>
                <c:pt idx="109">
                  <c:v>-1.766</c:v>
                </c:pt>
                <c:pt idx="110">
                  <c:v>-0.47299999999999998</c:v>
                </c:pt>
                <c:pt idx="111">
                  <c:v>1.383</c:v>
                </c:pt>
                <c:pt idx="112">
                  <c:v>2.9590000000000001</c:v>
                </c:pt>
                <c:pt idx="113">
                  <c:v>2.448</c:v>
                </c:pt>
                <c:pt idx="114">
                  <c:v>2.1949999999999998</c:v>
                </c:pt>
                <c:pt idx="115">
                  <c:v>2.0129999999999999</c:v>
                </c:pt>
                <c:pt idx="116">
                  <c:v>6.1630000000000003</c:v>
                </c:pt>
                <c:pt idx="117">
                  <c:v>3.746</c:v>
                </c:pt>
                <c:pt idx="118">
                  <c:v>2.0459999999999998</c:v>
                </c:pt>
                <c:pt idx="119">
                  <c:v>1.4139999999999999</c:v>
                </c:pt>
                <c:pt idx="120">
                  <c:v>3.4809999999999999</c:v>
                </c:pt>
                <c:pt idx="121">
                  <c:v>3.5169999999999999</c:v>
                </c:pt>
                <c:pt idx="122">
                  <c:v>1.3580000000000001</c:v>
                </c:pt>
                <c:pt idx="123">
                  <c:v>1.915</c:v>
                </c:pt>
                <c:pt idx="124">
                  <c:v>2.6080000000000001</c:v>
                </c:pt>
                <c:pt idx="125">
                  <c:v>4.7050000000000001</c:v>
                </c:pt>
                <c:pt idx="126">
                  <c:v>5.6669999999999998</c:v>
                </c:pt>
                <c:pt idx="127">
                  <c:v>6.407</c:v>
                </c:pt>
                <c:pt idx="128">
                  <c:v>7.09</c:v>
                </c:pt>
                <c:pt idx="129">
                  <c:v>4.6319999999999997</c:v>
                </c:pt>
                <c:pt idx="130">
                  <c:v>2.1960000000000002</c:v>
                </c:pt>
                <c:pt idx="131">
                  <c:v>1.756</c:v>
                </c:pt>
                <c:pt idx="132">
                  <c:v>5.3570000000000002</c:v>
                </c:pt>
                <c:pt idx="133">
                  <c:v>6.4580000000000002</c:v>
                </c:pt>
                <c:pt idx="134">
                  <c:v>7.01</c:v>
                </c:pt>
                <c:pt idx="135">
                  <c:v>7.84</c:v>
                </c:pt>
                <c:pt idx="136">
                  <c:v>4.702</c:v>
                </c:pt>
                <c:pt idx="137">
                  <c:v>3.1619999999999999</c:v>
                </c:pt>
                <c:pt idx="138">
                  <c:v>2.6379999999999999</c:v>
                </c:pt>
                <c:pt idx="139">
                  <c:v>2.3940000000000001</c:v>
                </c:pt>
                <c:pt idx="140">
                  <c:v>3.569</c:v>
                </c:pt>
                <c:pt idx="141">
                  <c:v>5.6459999999999999</c:v>
                </c:pt>
                <c:pt idx="142">
                  <c:v>7.43</c:v>
                </c:pt>
                <c:pt idx="143">
                  <c:v>7.45</c:v>
                </c:pt>
                <c:pt idx="144">
                  <c:v>6.5330000000000004</c:v>
                </c:pt>
                <c:pt idx="145">
                  <c:v>6.2960000000000003</c:v>
                </c:pt>
                <c:pt idx="146">
                  <c:v>9.1</c:v>
                </c:pt>
                <c:pt idx="147">
                  <c:v>11.42</c:v>
                </c:pt>
                <c:pt idx="148">
                  <c:v>12.64</c:v>
                </c:pt>
                <c:pt idx="149">
                  <c:v>11.17</c:v>
                </c:pt>
                <c:pt idx="150">
                  <c:v>9.48</c:v>
                </c:pt>
                <c:pt idx="151">
                  <c:v>11.09</c:v>
                </c:pt>
                <c:pt idx="152">
                  <c:v>11.2</c:v>
                </c:pt>
                <c:pt idx="153">
                  <c:v>11.3</c:v>
                </c:pt>
                <c:pt idx="154">
                  <c:v>10.16</c:v>
                </c:pt>
                <c:pt idx="155">
                  <c:v>4.1950000000000003</c:v>
                </c:pt>
                <c:pt idx="156">
                  <c:v>4.8929999999999998</c:v>
                </c:pt>
                <c:pt idx="157">
                  <c:v>8.7100000000000009</c:v>
                </c:pt>
                <c:pt idx="158">
                  <c:v>9.7100000000000009</c:v>
                </c:pt>
                <c:pt idx="159">
                  <c:v>9.8699999999999992</c:v>
                </c:pt>
                <c:pt idx="160">
                  <c:v>10.07</c:v>
                </c:pt>
                <c:pt idx="161">
                  <c:v>7.56</c:v>
                </c:pt>
                <c:pt idx="162">
                  <c:v>8.2799999999999994</c:v>
                </c:pt>
                <c:pt idx="163">
                  <c:v>5.798</c:v>
                </c:pt>
                <c:pt idx="164">
                  <c:v>6.4169999999999998</c:v>
                </c:pt>
                <c:pt idx="165">
                  <c:v>8.3000000000000007</c:v>
                </c:pt>
                <c:pt idx="166">
                  <c:v>9.49</c:v>
                </c:pt>
                <c:pt idx="167">
                  <c:v>7.85</c:v>
                </c:pt>
                <c:pt idx="168">
                  <c:v>7.4</c:v>
                </c:pt>
                <c:pt idx="169">
                  <c:v>7.01</c:v>
                </c:pt>
                <c:pt idx="170">
                  <c:v>7.75</c:v>
                </c:pt>
                <c:pt idx="171">
                  <c:v>9.67</c:v>
                </c:pt>
                <c:pt idx="172">
                  <c:v>10.6</c:v>
                </c:pt>
                <c:pt idx="173">
                  <c:v>12.65</c:v>
                </c:pt>
                <c:pt idx="174">
                  <c:v>13.12</c:v>
                </c:pt>
                <c:pt idx="175">
                  <c:v>10.98</c:v>
                </c:pt>
                <c:pt idx="176">
                  <c:v>8.5399999999999991</c:v>
                </c:pt>
                <c:pt idx="177">
                  <c:v>9.16</c:v>
                </c:pt>
                <c:pt idx="178">
                  <c:v>12.54</c:v>
                </c:pt>
                <c:pt idx="179">
                  <c:v>13.84</c:v>
                </c:pt>
                <c:pt idx="180">
                  <c:v>15.45</c:v>
                </c:pt>
                <c:pt idx="181">
                  <c:v>16.62</c:v>
                </c:pt>
                <c:pt idx="182">
                  <c:v>11.64</c:v>
                </c:pt>
                <c:pt idx="183">
                  <c:v>10.119999999999999</c:v>
                </c:pt>
                <c:pt idx="184">
                  <c:v>8.5</c:v>
                </c:pt>
                <c:pt idx="185">
                  <c:v>9.73</c:v>
                </c:pt>
                <c:pt idx="186">
                  <c:v>10.15</c:v>
                </c:pt>
                <c:pt idx="187">
                  <c:v>11.31</c:v>
                </c:pt>
                <c:pt idx="188">
                  <c:v>11.85</c:v>
                </c:pt>
                <c:pt idx="189">
                  <c:v>13.84</c:v>
                </c:pt>
                <c:pt idx="190">
                  <c:v>9.26</c:v>
                </c:pt>
                <c:pt idx="191">
                  <c:v>8.85</c:v>
                </c:pt>
                <c:pt idx="192">
                  <c:v>8.99</c:v>
                </c:pt>
                <c:pt idx="193">
                  <c:v>11.33</c:v>
                </c:pt>
                <c:pt idx="194">
                  <c:v>11.23</c:v>
                </c:pt>
                <c:pt idx="195">
                  <c:v>11.2</c:v>
                </c:pt>
                <c:pt idx="196">
                  <c:v>13.1</c:v>
                </c:pt>
                <c:pt idx="197">
                  <c:v>13.59</c:v>
                </c:pt>
                <c:pt idx="198">
                  <c:v>13.66</c:v>
                </c:pt>
                <c:pt idx="199">
                  <c:v>14.4</c:v>
                </c:pt>
                <c:pt idx="200">
                  <c:v>15.56</c:v>
                </c:pt>
                <c:pt idx="201">
                  <c:v>12.96</c:v>
                </c:pt>
                <c:pt idx="202">
                  <c:v>14.32</c:v>
                </c:pt>
                <c:pt idx="203">
                  <c:v>11.49</c:v>
                </c:pt>
                <c:pt idx="204">
                  <c:v>11.59</c:v>
                </c:pt>
                <c:pt idx="205">
                  <c:v>10.72</c:v>
                </c:pt>
                <c:pt idx="206">
                  <c:v>10.91</c:v>
                </c:pt>
                <c:pt idx="207">
                  <c:v>7.69</c:v>
                </c:pt>
                <c:pt idx="208">
                  <c:v>9.83</c:v>
                </c:pt>
                <c:pt idx="209">
                  <c:v>5.1589999999999998</c:v>
                </c:pt>
                <c:pt idx="210">
                  <c:v>8.6</c:v>
                </c:pt>
                <c:pt idx="211">
                  <c:v>10.7</c:v>
                </c:pt>
                <c:pt idx="212">
                  <c:v>9.92</c:v>
                </c:pt>
                <c:pt idx="213">
                  <c:v>10.07</c:v>
                </c:pt>
                <c:pt idx="214">
                  <c:v>11.88</c:v>
                </c:pt>
                <c:pt idx="215">
                  <c:v>16.12</c:v>
                </c:pt>
                <c:pt idx="216">
                  <c:v>12.28</c:v>
                </c:pt>
                <c:pt idx="217">
                  <c:v>5.4340000000000002</c:v>
                </c:pt>
                <c:pt idx="218">
                  <c:v>6.65</c:v>
                </c:pt>
                <c:pt idx="219">
                  <c:v>5.7880000000000003</c:v>
                </c:pt>
                <c:pt idx="220">
                  <c:v>8.43</c:v>
                </c:pt>
                <c:pt idx="221">
                  <c:v>10.08</c:v>
                </c:pt>
                <c:pt idx="222">
                  <c:v>8.26</c:v>
                </c:pt>
                <c:pt idx="223">
                  <c:v>4.5990000000000002</c:v>
                </c:pt>
                <c:pt idx="224">
                  <c:v>7.57</c:v>
                </c:pt>
                <c:pt idx="225">
                  <c:v>8.4</c:v>
                </c:pt>
                <c:pt idx="226">
                  <c:v>6.3310000000000004</c:v>
                </c:pt>
                <c:pt idx="227">
                  <c:v>5.4589999999999996</c:v>
                </c:pt>
                <c:pt idx="228">
                  <c:v>3.6150000000000002</c:v>
                </c:pt>
                <c:pt idx="229">
                  <c:v>5.774</c:v>
                </c:pt>
                <c:pt idx="230">
                  <c:v>7.97</c:v>
                </c:pt>
                <c:pt idx="231">
                  <c:v>9.9</c:v>
                </c:pt>
                <c:pt idx="232">
                  <c:v>12.33</c:v>
                </c:pt>
                <c:pt idx="233">
                  <c:v>9.48</c:v>
                </c:pt>
                <c:pt idx="234">
                  <c:v>9.7899999999999991</c:v>
                </c:pt>
                <c:pt idx="235">
                  <c:v>6.1130000000000004</c:v>
                </c:pt>
                <c:pt idx="236">
                  <c:v>6.8460000000000001</c:v>
                </c:pt>
                <c:pt idx="237">
                  <c:v>7.52</c:v>
                </c:pt>
                <c:pt idx="238">
                  <c:v>8.24</c:v>
                </c:pt>
                <c:pt idx="239">
                  <c:v>9.7899999999999991</c:v>
                </c:pt>
                <c:pt idx="240">
                  <c:v>5.69</c:v>
                </c:pt>
                <c:pt idx="241">
                  <c:v>6.6950000000000003</c:v>
                </c:pt>
                <c:pt idx="242">
                  <c:v>7.98</c:v>
                </c:pt>
                <c:pt idx="243">
                  <c:v>9.8800000000000008</c:v>
                </c:pt>
                <c:pt idx="244">
                  <c:v>10.86</c:v>
                </c:pt>
                <c:pt idx="245">
                  <c:v>11.29</c:v>
                </c:pt>
                <c:pt idx="246">
                  <c:v>15.03</c:v>
                </c:pt>
                <c:pt idx="247">
                  <c:v>9.39</c:v>
                </c:pt>
                <c:pt idx="248">
                  <c:v>9.07</c:v>
                </c:pt>
                <c:pt idx="249">
                  <c:v>10</c:v>
                </c:pt>
                <c:pt idx="250">
                  <c:v>9.99</c:v>
                </c:pt>
                <c:pt idx="251">
                  <c:v>10.42</c:v>
                </c:pt>
                <c:pt idx="252">
                  <c:v>10.87</c:v>
                </c:pt>
                <c:pt idx="253">
                  <c:v>9.73</c:v>
                </c:pt>
                <c:pt idx="254">
                  <c:v>9.2100000000000009</c:v>
                </c:pt>
                <c:pt idx="255">
                  <c:v>9.39</c:v>
                </c:pt>
                <c:pt idx="256">
                  <c:v>8.93</c:v>
                </c:pt>
                <c:pt idx="257">
                  <c:v>9.11</c:v>
                </c:pt>
                <c:pt idx="258">
                  <c:v>7.18</c:v>
                </c:pt>
                <c:pt idx="259">
                  <c:v>7.24</c:v>
                </c:pt>
                <c:pt idx="260">
                  <c:v>6.7380000000000004</c:v>
                </c:pt>
                <c:pt idx="261">
                  <c:v>4.9560000000000004</c:v>
                </c:pt>
                <c:pt idx="262">
                  <c:v>3.448</c:v>
                </c:pt>
                <c:pt idx="263">
                  <c:v>3.3170000000000002</c:v>
                </c:pt>
                <c:pt idx="264">
                  <c:v>4.5919999999999996</c:v>
                </c:pt>
                <c:pt idx="265">
                  <c:v>7.86</c:v>
                </c:pt>
                <c:pt idx="266">
                  <c:v>8.06</c:v>
                </c:pt>
                <c:pt idx="267">
                  <c:v>7.05</c:v>
                </c:pt>
                <c:pt idx="268">
                  <c:v>5.5330000000000004</c:v>
                </c:pt>
                <c:pt idx="269">
                  <c:v>6.3470000000000004</c:v>
                </c:pt>
                <c:pt idx="270">
                  <c:v>6.2270000000000003</c:v>
                </c:pt>
                <c:pt idx="271">
                  <c:v>5.6609999999999996</c:v>
                </c:pt>
                <c:pt idx="272">
                  <c:v>3.0979999999999999</c:v>
                </c:pt>
                <c:pt idx="273">
                  <c:v>-0.154</c:v>
                </c:pt>
                <c:pt idx="274">
                  <c:v>2.2810000000000001</c:v>
                </c:pt>
                <c:pt idx="275">
                  <c:v>1.107</c:v>
                </c:pt>
                <c:pt idx="276">
                  <c:v>-0.66</c:v>
                </c:pt>
                <c:pt idx="277">
                  <c:v>2.0470000000000002</c:v>
                </c:pt>
                <c:pt idx="278">
                  <c:v>2.0430000000000001</c:v>
                </c:pt>
                <c:pt idx="279">
                  <c:v>2.827</c:v>
                </c:pt>
                <c:pt idx="280">
                  <c:v>2.121</c:v>
                </c:pt>
                <c:pt idx="281">
                  <c:v>2.056</c:v>
                </c:pt>
                <c:pt idx="282">
                  <c:v>4.57</c:v>
                </c:pt>
                <c:pt idx="283">
                  <c:v>0.85299999999999998</c:v>
                </c:pt>
                <c:pt idx="284">
                  <c:v>1.2999999999999999E-2</c:v>
                </c:pt>
                <c:pt idx="285">
                  <c:v>-0.41799999999999998</c:v>
                </c:pt>
                <c:pt idx="286">
                  <c:v>2.9950000000000001</c:v>
                </c:pt>
                <c:pt idx="287">
                  <c:v>4.8310000000000004</c:v>
                </c:pt>
                <c:pt idx="288">
                  <c:v>2.2690000000000001</c:v>
                </c:pt>
                <c:pt idx="289">
                  <c:v>1.63</c:v>
                </c:pt>
                <c:pt idx="290">
                  <c:v>-1.153</c:v>
                </c:pt>
                <c:pt idx="291">
                  <c:v>0.13600000000000001</c:v>
                </c:pt>
                <c:pt idx="292">
                  <c:v>1.4219999999999999</c:v>
                </c:pt>
                <c:pt idx="293">
                  <c:v>-0.82199999999999995</c:v>
                </c:pt>
                <c:pt idx="294">
                  <c:v>-1.0149999999999999</c:v>
                </c:pt>
                <c:pt idx="295">
                  <c:v>-0.46700000000000003</c:v>
                </c:pt>
                <c:pt idx="296">
                  <c:v>-0.41299999999999998</c:v>
                </c:pt>
                <c:pt idx="297">
                  <c:v>-0.33200000000000002</c:v>
                </c:pt>
                <c:pt idx="298">
                  <c:v>0.6</c:v>
                </c:pt>
                <c:pt idx="299">
                  <c:v>-3.2610000000000001</c:v>
                </c:pt>
                <c:pt idx="300">
                  <c:v>-5.819</c:v>
                </c:pt>
                <c:pt idx="301">
                  <c:v>-8.85</c:v>
                </c:pt>
                <c:pt idx="302">
                  <c:v>-11.63</c:v>
                </c:pt>
                <c:pt idx="303">
                  <c:v>-9.25</c:v>
                </c:pt>
                <c:pt idx="304">
                  <c:v>-13.23</c:v>
                </c:pt>
                <c:pt idx="305">
                  <c:v>-10.71</c:v>
                </c:pt>
                <c:pt idx="306">
                  <c:v>-9.09</c:v>
                </c:pt>
                <c:pt idx="307">
                  <c:v>-4.7549999999999999</c:v>
                </c:pt>
                <c:pt idx="308">
                  <c:v>-5.5890000000000004</c:v>
                </c:pt>
                <c:pt idx="309">
                  <c:v>-7.7</c:v>
                </c:pt>
                <c:pt idx="310">
                  <c:v>-6.6959999999999997</c:v>
                </c:pt>
                <c:pt idx="311">
                  <c:v>1.359</c:v>
                </c:pt>
                <c:pt idx="312">
                  <c:v>-7.66</c:v>
                </c:pt>
                <c:pt idx="313">
                  <c:v>-13.06</c:v>
                </c:pt>
                <c:pt idx="314">
                  <c:v>-3.5259999999999998</c:v>
                </c:pt>
                <c:pt idx="315">
                  <c:v>-1.798</c:v>
                </c:pt>
                <c:pt idx="316">
                  <c:v>-1.2709999999999999</c:v>
                </c:pt>
                <c:pt idx="317">
                  <c:v>0.91900000000000004</c:v>
                </c:pt>
                <c:pt idx="318">
                  <c:v>2.6709999999999998</c:v>
                </c:pt>
                <c:pt idx="319">
                  <c:v>1.738</c:v>
                </c:pt>
                <c:pt idx="320">
                  <c:v>3.3889999999999998</c:v>
                </c:pt>
                <c:pt idx="321">
                  <c:v>1.647</c:v>
                </c:pt>
                <c:pt idx="322">
                  <c:v>-4.5439999999999996</c:v>
                </c:pt>
                <c:pt idx="323">
                  <c:v>-4.0940000000000003</c:v>
                </c:pt>
                <c:pt idx="324">
                  <c:v>-0.70699999999999996</c:v>
                </c:pt>
                <c:pt idx="325">
                  <c:v>1.014</c:v>
                </c:pt>
                <c:pt idx="326">
                  <c:v>1.8009999999999999</c:v>
                </c:pt>
                <c:pt idx="327">
                  <c:v>2.6139999999999999</c:v>
                </c:pt>
                <c:pt idx="328">
                  <c:v>-0.185</c:v>
                </c:pt>
                <c:pt idx="329">
                  <c:v>-1.833</c:v>
                </c:pt>
                <c:pt idx="330">
                  <c:v>-3.3380000000000001</c:v>
                </c:pt>
                <c:pt idx="331">
                  <c:v>-1.0820000000000001</c:v>
                </c:pt>
                <c:pt idx="332">
                  <c:v>4.359</c:v>
                </c:pt>
                <c:pt idx="333">
                  <c:v>0.41099999999999998</c:v>
                </c:pt>
                <c:pt idx="334">
                  <c:v>-1.88</c:v>
                </c:pt>
                <c:pt idx="335">
                  <c:v>-5.5869999999999997</c:v>
                </c:pt>
                <c:pt idx="336">
                  <c:v>-4.9619999999999997</c:v>
                </c:pt>
                <c:pt idx="337">
                  <c:v>-11.03</c:v>
                </c:pt>
                <c:pt idx="338">
                  <c:v>-20.32</c:v>
                </c:pt>
                <c:pt idx="339">
                  <c:v>-15</c:v>
                </c:pt>
                <c:pt idx="340">
                  <c:v>-19.829999999999998</c:v>
                </c:pt>
                <c:pt idx="341">
                  <c:v>-28.6</c:v>
                </c:pt>
                <c:pt idx="342">
                  <c:v>-18.5</c:v>
                </c:pt>
                <c:pt idx="343">
                  <c:v>-9.1999999999999993</c:v>
                </c:pt>
                <c:pt idx="344">
                  <c:v>-3.1</c:v>
                </c:pt>
                <c:pt idx="345">
                  <c:v>0.3</c:v>
                </c:pt>
                <c:pt idx="346">
                  <c:v>-1.7</c:v>
                </c:pt>
                <c:pt idx="347">
                  <c:v>-5</c:v>
                </c:pt>
                <c:pt idx="348">
                  <c:v>-7.6</c:v>
                </c:pt>
                <c:pt idx="349">
                  <c:v>-8.3000000000000007</c:v>
                </c:pt>
                <c:pt idx="350">
                  <c:v>-7.9</c:v>
                </c:pt>
                <c:pt idx="351">
                  <c:v>-6.6</c:v>
                </c:pt>
                <c:pt idx="352">
                  <c:v>-5.9</c:v>
                </c:pt>
                <c:pt idx="353">
                  <c:v>-5.3</c:v>
                </c:pt>
                <c:pt idx="354">
                  <c:v>-7.5</c:v>
                </c:pt>
                <c:pt idx="355">
                  <c:v>-10.3</c:v>
                </c:pt>
                <c:pt idx="356">
                  <c:v>-12.9</c:v>
                </c:pt>
                <c:pt idx="357">
                  <c:v>-11.1</c:v>
                </c:pt>
                <c:pt idx="358">
                  <c:v>-12.6</c:v>
                </c:pt>
                <c:pt idx="359">
                  <c:v>-11.9</c:v>
                </c:pt>
                <c:pt idx="360">
                  <c:v>-10.1</c:v>
                </c:pt>
                <c:pt idx="361">
                  <c:v>-8.8000000000000007</c:v>
                </c:pt>
                <c:pt idx="362">
                  <c:v>-7.2</c:v>
                </c:pt>
                <c:pt idx="363">
                  <c:v>-5.6</c:v>
                </c:pt>
                <c:pt idx="364">
                  <c:v>-3.4</c:v>
                </c:pt>
              </c:numCache>
            </c:numRef>
          </c:val>
          <c:smooth val="0"/>
        </c:ser>
        <c:ser>
          <c:idx val="1"/>
          <c:order val="1"/>
          <c:tx>
            <c:v>3m</c:v>
          </c:tx>
          <c:marker>
            <c:symbol val="none"/>
          </c:marker>
          <c:val>
            <c:numRef>
              <c:f>Data!$G$7:$G$371</c:f>
              <c:numCache>
                <c:formatCode>General</c:formatCode>
                <c:ptCount val="365"/>
                <c:pt idx="0">
                  <c:v>-16.52</c:v>
                </c:pt>
                <c:pt idx="1">
                  <c:v>-17.3</c:v>
                </c:pt>
                <c:pt idx="2">
                  <c:v>-17.010000000000002</c:v>
                </c:pt>
                <c:pt idx="3">
                  <c:v>-16.3</c:v>
                </c:pt>
                <c:pt idx="4">
                  <c:v>-17.989999999999998</c:v>
                </c:pt>
                <c:pt idx="5">
                  <c:v>-17.100000000000001</c:v>
                </c:pt>
                <c:pt idx="6">
                  <c:v>-16.61</c:v>
                </c:pt>
                <c:pt idx="7">
                  <c:v>-4.2839999999999998</c:v>
                </c:pt>
                <c:pt idx="8">
                  <c:v>-1.5169999999999999</c:v>
                </c:pt>
                <c:pt idx="9">
                  <c:v>-0.93799999999999994</c:v>
                </c:pt>
                <c:pt idx="10">
                  <c:v>-4.3449999999999998</c:v>
                </c:pt>
                <c:pt idx="11">
                  <c:v>-4.4349999999999996</c:v>
                </c:pt>
                <c:pt idx="12">
                  <c:v>-2.0449999999999999</c:v>
                </c:pt>
                <c:pt idx="13">
                  <c:v>-3.3010000000000002</c:v>
                </c:pt>
                <c:pt idx="14">
                  <c:v>-3.2650000000000001</c:v>
                </c:pt>
                <c:pt idx="15">
                  <c:v>-4.6769999999999996</c:v>
                </c:pt>
                <c:pt idx="16">
                  <c:v>-6.1870000000000003</c:v>
                </c:pt>
                <c:pt idx="17">
                  <c:v>-3.9449999999999998</c:v>
                </c:pt>
                <c:pt idx="18">
                  <c:v>-6.9859999999999998</c:v>
                </c:pt>
                <c:pt idx="19">
                  <c:v>-9.41</c:v>
                </c:pt>
                <c:pt idx="20">
                  <c:v>-11.1</c:v>
                </c:pt>
                <c:pt idx="21">
                  <c:v>-12.67</c:v>
                </c:pt>
                <c:pt idx="22">
                  <c:v>-13.12</c:v>
                </c:pt>
                <c:pt idx="23">
                  <c:v>-8.4499999999999993</c:v>
                </c:pt>
                <c:pt idx="24">
                  <c:v>-2.13</c:v>
                </c:pt>
                <c:pt idx="25">
                  <c:v>-2.4849999999999999</c:v>
                </c:pt>
                <c:pt idx="26">
                  <c:v>-7.61</c:v>
                </c:pt>
                <c:pt idx="27">
                  <c:v>-6.5830000000000002</c:v>
                </c:pt>
                <c:pt idx="28">
                  <c:v>-0.189</c:v>
                </c:pt>
                <c:pt idx="29">
                  <c:v>-0.84899999999999998</c:v>
                </c:pt>
                <c:pt idx="30">
                  <c:v>1.0720000000000001</c:v>
                </c:pt>
                <c:pt idx="31">
                  <c:v>0.81100000000000005</c:v>
                </c:pt>
                <c:pt idx="32">
                  <c:v>-1.639</c:v>
                </c:pt>
                <c:pt idx="33">
                  <c:v>-1.583</c:v>
                </c:pt>
                <c:pt idx="34">
                  <c:v>-5.3920000000000003</c:v>
                </c:pt>
                <c:pt idx="35">
                  <c:v>-1.232</c:v>
                </c:pt>
                <c:pt idx="36">
                  <c:v>0.36899999999999999</c:v>
                </c:pt>
                <c:pt idx="37">
                  <c:v>-2.617</c:v>
                </c:pt>
                <c:pt idx="38">
                  <c:v>-7.22</c:v>
                </c:pt>
                <c:pt idx="39">
                  <c:v>-6.83</c:v>
                </c:pt>
                <c:pt idx="40">
                  <c:v>-7.49</c:v>
                </c:pt>
                <c:pt idx="41">
                  <c:v>-12.78</c:v>
                </c:pt>
                <c:pt idx="42">
                  <c:v>-16.329999999999998</c:v>
                </c:pt>
                <c:pt idx="43">
                  <c:v>-21.16</c:v>
                </c:pt>
                <c:pt idx="44">
                  <c:v>-19.75</c:v>
                </c:pt>
                <c:pt idx="45">
                  <c:v>-11.48</c:v>
                </c:pt>
                <c:pt idx="46">
                  <c:v>-5.9219999999999997</c:v>
                </c:pt>
                <c:pt idx="47">
                  <c:v>-1.4319999999999999</c:v>
                </c:pt>
                <c:pt idx="48">
                  <c:v>-1.4019999999999999</c:v>
                </c:pt>
                <c:pt idx="49">
                  <c:v>1.5349999999999999</c:v>
                </c:pt>
                <c:pt idx="50">
                  <c:v>3.1859999999999999</c:v>
                </c:pt>
                <c:pt idx="51">
                  <c:v>-1.111</c:v>
                </c:pt>
                <c:pt idx="52">
                  <c:v>-5.7290000000000001</c:v>
                </c:pt>
                <c:pt idx="53">
                  <c:v>-3.1760000000000002</c:v>
                </c:pt>
                <c:pt idx="54">
                  <c:v>1.1299999999999999</c:v>
                </c:pt>
                <c:pt idx="55">
                  <c:v>-3.6419999999999999</c:v>
                </c:pt>
                <c:pt idx="56">
                  <c:v>-12.58</c:v>
                </c:pt>
                <c:pt idx="57">
                  <c:v>-16.72</c:v>
                </c:pt>
                <c:pt idx="58">
                  <c:v>-17.309999999999999</c:v>
                </c:pt>
                <c:pt idx="59">
                  <c:v>-16.54</c:v>
                </c:pt>
                <c:pt idx="60">
                  <c:v>-13.63</c:v>
                </c:pt>
                <c:pt idx="61">
                  <c:v>-10.15</c:v>
                </c:pt>
                <c:pt idx="62">
                  <c:v>-11.13</c:v>
                </c:pt>
                <c:pt idx="63">
                  <c:v>-17.27</c:v>
                </c:pt>
                <c:pt idx="64">
                  <c:v>-19.059999999999999</c:v>
                </c:pt>
                <c:pt idx="65">
                  <c:v>-11.21</c:v>
                </c:pt>
                <c:pt idx="66">
                  <c:v>-5.1669999999999998</c:v>
                </c:pt>
                <c:pt idx="67">
                  <c:v>0.86799999999999999</c:v>
                </c:pt>
                <c:pt idx="68">
                  <c:v>1.7949999999999999</c:v>
                </c:pt>
                <c:pt idx="69">
                  <c:v>1.5940000000000001</c:v>
                </c:pt>
                <c:pt idx="70">
                  <c:v>-1.516</c:v>
                </c:pt>
                <c:pt idx="71">
                  <c:v>-3</c:v>
                </c:pt>
                <c:pt idx="72">
                  <c:v>1.079</c:v>
                </c:pt>
                <c:pt idx="73">
                  <c:v>-1.5720000000000001</c:v>
                </c:pt>
                <c:pt idx="74">
                  <c:v>-2.1829999999999998</c:v>
                </c:pt>
                <c:pt idx="75">
                  <c:v>0.33500000000000002</c:v>
                </c:pt>
                <c:pt idx="76">
                  <c:v>0.52300000000000002</c:v>
                </c:pt>
                <c:pt idx="77">
                  <c:v>-0.124</c:v>
                </c:pt>
                <c:pt idx="78">
                  <c:v>-1.069</c:v>
                </c:pt>
                <c:pt idx="79">
                  <c:v>-2.8809999999999998</c:v>
                </c:pt>
                <c:pt idx="80">
                  <c:v>-3.4289999999999998</c:v>
                </c:pt>
                <c:pt idx="81">
                  <c:v>-2.5310000000000001</c:v>
                </c:pt>
                <c:pt idx="82">
                  <c:v>-4.1239999999999997</c:v>
                </c:pt>
                <c:pt idx="83">
                  <c:v>-7.82</c:v>
                </c:pt>
                <c:pt idx="84">
                  <c:v>-7.1</c:v>
                </c:pt>
                <c:pt idx="85">
                  <c:v>-3.8519999999999999</c:v>
                </c:pt>
                <c:pt idx="86">
                  <c:v>-2.181</c:v>
                </c:pt>
                <c:pt idx="87">
                  <c:v>-0.60199999999999998</c:v>
                </c:pt>
                <c:pt idx="88">
                  <c:v>0.91900000000000004</c:v>
                </c:pt>
                <c:pt idx="89">
                  <c:v>2.6720000000000002</c:v>
                </c:pt>
                <c:pt idx="90">
                  <c:v>-0.114</c:v>
                </c:pt>
                <c:pt idx="91">
                  <c:v>-1.7330000000000001</c:v>
                </c:pt>
                <c:pt idx="92">
                  <c:v>2.3330000000000002</c:v>
                </c:pt>
                <c:pt idx="93">
                  <c:v>0.41799999999999998</c:v>
                </c:pt>
                <c:pt idx="94">
                  <c:v>-2.3439999999999999</c:v>
                </c:pt>
                <c:pt idx="95">
                  <c:v>0.93500000000000005</c:v>
                </c:pt>
                <c:pt idx="96">
                  <c:v>0.89500000000000002</c:v>
                </c:pt>
                <c:pt idx="97">
                  <c:v>-1.498</c:v>
                </c:pt>
                <c:pt idx="98">
                  <c:v>-1.0980000000000001</c:v>
                </c:pt>
                <c:pt idx="99">
                  <c:v>-2.052</c:v>
                </c:pt>
                <c:pt idx="100">
                  <c:v>-3.3620000000000001</c:v>
                </c:pt>
                <c:pt idx="101">
                  <c:v>-3.298</c:v>
                </c:pt>
                <c:pt idx="102">
                  <c:v>-0.69</c:v>
                </c:pt>
                <c:pt idx="103">
                  <c:v>-3.286</c:v>
                </c:pt>
                <c:pt idx="104">
                  <c:v>-3.665</c:v>
                </c:pt>
                <c:pt idx="105">
                  <c:v>-4.0019999999999998</c:v>
                </c:pt>
                <c:pt idx="106">
                  <c:v>-1.246</c:v>
                </c:pt>
                <c:pt idx="107">
                  <c:v>-0.92300000000000004</c:v>
                </c:pt>
                <c:pt idx="108">
                  <c:v>-2.093</c:v>
                </c:pt>
                <c:pt idx="109">
                  <c:v>-1.7689999999999999</c:v>
                </c:pt>
                <c:pt idx="110">
                  <c:v>-0.76300000000000001</c:v>
                </c:pt>
                <c:pt idx="111">
                  <c:v>1.0149999999999999</c:v>
                </c:pt>
                <c:pt idx="112">
                  <c:v>2.5249999999999999</c:v>
                </c:pt>
                <c:pt idx="113">
                  <c:v>1.9259999999999999</c:v>
                </c:pt>
                <c:pt idx="114">
                  <c:v>1.653</c:v>
                </c:pt>
                <c:pt idx="115">
                  <c:v>1.494</c:v>
                </c:pt>
                <c:pt idx="116">
                  <c:v>5.6749999999999998</c:v>
                </c:pt>
                <c:pt idx="117">
                  <c:v>3.0310000000000001</c:v>
                </c:pt>
                <c:pt idx="118">
                  <c:v>1.69</c:v>
                </c:pt>
                <c:pt idx="119">
                  <c:v>1.02</c:v>
                </c:pt>
                <c:pt idx="120">
                  <c:v>2.9430000000000001</c:v>
                </c:pt>
                <c:pt idx="121">
                  <c:v>3.0489999999999999</c:v>
                </c:pt>
                <c:pt idx="122">
                  <c:v>1.0629999999999999</c:v>
                </c:pt>
                <c:pt idx="123">
                  <c:v>1.4370000000000001</c:v>
                </c:pt>
                <c:pt idx="124">
                  <c:v>2.0150000000000001</c:v>
                </c:pt>
                <c:pt idx="125">
                  <c:v>4.28</c:v>
                </c:pt>
                <c:pt idx="126">
                  <c:v>5.21</c:v>
                </c:pt>
                <c:pt idx="127">
                  <c:v>5.77</c:v>
                </c:pt>
                <c:pt idx="128">
                  <c:v>6.46</c:v>
                </c:pt>
                <c:pt idx="129">
                  <c:v>4.1820000000000004</c:v>
                </c:pt>
                <c:pt idx="130">
                  <c:v>1.823</c:v>
                </c:pt>
                <c:pt idx="131">
                  <c:v>1.5780000000000001</c:v>
                </c:pt>
                <c:pt idx="132">
                  <c:v>5.056</c:v>
                </c:pt>
                <c:pt idx="133">
                  <c:v>5.8280000000000003</c:v>
                </c:pt>
                <c:pt idx="134">
                  <c:v>6.61</c:v>
                </c:pt>
                <c:pt idx="135">
                  <c:v>7.5</c:v>
                </c:pt>
                <c:pt idx="136">
                  <c:v>4.3280000000000003</c:v>
                </c:pt>
                <c:pt idx="137">
                  <c:v>3.06</c:v>
                </c:pt>
                <c:pt idx="138">
                  <c:v>2.524</c:v>
                </c:pt>
                <c:pt idx="139">
                  <c:v>2.12</c:v>
                </c:pt>
                <c:pt idx="140">
                  <c:v>3.3759999999999999</c:v>
                </c:pt>
                <c:pt idx="141">
                  <c:v>5.33</c:v>
                </c:pt>
                <c:pt idx="142">
                  <c:v>7.15</c:v>
                </c:pt>
                <c:pt idx="143">
                  <c:v>7.29</c:v>
                </c:pt>
                <c:pt idx="144">
                  <c:v>6.4009999999999998</c:v>
                </c:pt>
                <c:pt idx="145">
                  <c:v>6.3070000000000004</c:v>
                </c:pt>
                <c:pt idx="146">
                  <c:v>9.08</c:v>
                </c:pt>
                <c:pt idx="147">
                  <c:v>11.36</c:v>
                </c:pt>
                <c:pt idx="148">
                  <c:v>12.56</c:v>
                </c:pt>
                <c:pt idx="149">
                  <c:v>11.07</c:v>
                </c:pt>
                <c:pt idx="150">
                  <c:v>9.4499999999999993</c:v>
                </c:pt>
                <c:pt idx="151">
                  <c:v>11.17</c:v>
                </c:pt>
                <c:pt idx="152">
                  <c:v>11.09</c:v>
                </c:pt>
                <c:pt idx="153">
                  <c:v>11.35</c:v>
                </c:pt>
                <c:pt idx="154">
                  <c:v>10.1</c:v>
                </c:pt>
                <c:pt idx="155">
                  <c:v>4.0590000000000002</c:v>
                </c:pt>
                <c:pt idx="156">
                  <c:v>4.798</c:v>
                </c:pt>
                <c:pt idx="157">
                  <c:v>8.75</c:v>
                </c:pt>
                <c:pt idx="158">
                  <c:v>9.51</c:v>
                </c:pt>
                <c:pt idx="159">
                  <c:v>9.8699999999999992</c:v>
                </c:pt>
                <c:pt idx="160">
                  <c:v>9.9700000000000006</c:v>
                </c:pt>
                <c:pt idx="161">
                  <c:v>7.54</c:v>
                </c:pt>
                <c:pt idx="162">
                  <c:v>8.2200000000000006</c:v>
                </c:pt>
                <c:pt idx="163">
                  <c:v>5.9329999999999998</c:v>
                </c:pt>
                <c:pt idx="164">
                  <c:v>6.3949999999999996</c:v>
                </c:pt>
                <c:pt idx="165">
                  <c:v>8.3800000000000008</c:v>
                </c:pt>
                <c:pt idx="166">
                  <c:v>9.41</c:v>
                </c:pt>
                <c:pt idx="167">
                  <c:v>7.8</c:v>
                </c:pt>
                <c:pt idx="168">
                  <c:v>7.41</c:v>
                </c:pt>
                <c:pt idx="169">
                  <c:v>7.02</c:v>
                </c:pt>
                <c:pt idx="170">
                  <c:v>7.65</c:v>
                </c:pt>
                <c:pt idx="171">
                  <c:v>9.83</c:v>
                </c:pt>
                <c:pt idx="172">
                  <c:v>10.58</c:v>
                </c:pt>
                <c:pt idx="173">
                  <c:v>12.63</c:v>
                </c:pt>
                <c:pt idx="174">
                  <c:v>12.94</c:v>
                </c:pt>
                <c:pt idx="175">
                  <c:v>10.81</c:v>
                </c:pt>
                <c:pt idx="176">
                  <c:v>8.23</c:v>
                </c:pt>
                <c:pt idx="177">
                  <c:v>8.9600000000000009</c:v>
                </c:pt>
                <c:pt idx="178">
                  <c:v>12.33</c:v>
                </c:pt>
                <c:pt idx="179">
                  <c:v>13.56</c:v>
                </c:pt>
                <c:pt idx="180">
                  <c:v>15.2</c:v>
                </c:pt>
                <c:pt idx="181">
                  <c:v>16.39</c:v>
                </c:pt>
                <c:pt idx="182">
                  <c:v>11.46</c:v>
                </c:pt>
                <c:pt idx="183">
                  <c:v>10.06</c:v>
                </c:pt>
                <c:pt idx="184">
                  <c:v>8.4600000000000009</c:v>
                </c:pt>
                <c:pt idx="185">
                  <c:v>9.7200000000000006</c:v>
                </c:pt>
                <c:pt idx="186">
                  <c:v>9.94</c:v>
                </c:pt>
                <c:pt idx="187">
                  <c:v>11.2</c:v>
                </c:pt>
                <c:pt idx="188">
                  <c:v>11.68</c:v>
                </c:pt>
                <c:pt idx="189">
                  <c:v>13.74</c:v>
                </c:pt>
                <c:pt idx="190">
                  <c:v>9.23</c:v>
                </c:pt>
                <c:pt idx="191">
                  <c:v>8.75</c:v>
                </c:pt>
                <c:pt idx="192">
                  <c:v>8.9</c:v>
                </c:pt>
                <c:pt idx="193">
                  <c:v>11.19</c:v>
                </c:pt>
                <c:pt idx="194">
                  <c:v>11.16</c:v>
                </c:pt>
                <c:pt idx="195">
                  <c:v>11.03</c:v>
                </c:pt>
                <c:pt idx="196">
                  <c:v>12.99</c:v>
                </c:pt>
                <c:pt idx="197">
                  <c:v>13.4</c:v>
                </c:pt>
                <c:pt idx="198">
                  <c:v>13.47</c:v>
                </c:pt>
                <c:pt idx="199">
                  <c:v>14.18</c:v>
                </c:pt>
                <c:pt idx="200">
                  <c:v>15.24</c:v>
                </c:pt>
                <c:pt idx="201">
                  <c:v>12.73</c:v>
                </c:pt>
                <c:pt idx="202">
                  <c:v>14.18</c:v>
                </c:pt>
                <c:pt idx="203">
                  <c:v>11.33</c:v>
                </c:pt>
                <c:pt idx="204">
                  <c:v>11.56</c:v>
                </c:pt>
                <c:pt idx="205">
                  <c:v>10.63</c:v>
                </c:pt>
                <c:pt idx="206">
                  <c:v>10.85</c:v>
                </c:pt>
                <c:pt idx="207">
                  <c:v>7.71</c:v>
                </c:pt>
                <c:pt idx="208">
                  <c:v>9.64</c:v>
                </c:pt>
                <c:pt idx="209">
                  <c:v>5.01</c:v>
                </c:pt>
                <c:pt idx="210">
                  <c:v>8.6999999999999993</c:v>
                </c:pt>
                <c:pt idx="211">
                  <c:v>10.6</c:v>
                </c:pt>
                <c:pt idx="212">
                  <c:v>9.7899999999999991</c:v>
                </c:pt>
                <c:pt idx="213">
                  <c:v>9.9499999999999993</c:v>
                </c:pt>
                <c:pt idx="214">
                  <c:v>11.85</c:v>
                </c:pt>
                <c:pt idx="215">
                  <c:v>15.97</c:v>
                </c:pt>
                <c:pt idx="216">
                  <c:v>11.98</c:v>
                </c:pt>
                <c:pt idx="217">
                  <c:v>5.3810000000000002</c:v>
                </c:pt>
                <c:pt idx="218">
                  <c:v>6.6059999999999999</c:v>
                </c:pt>
                <c:pt idx="219">
                  <c:v>5.6429999999999998</c:v>
                </c:pt>
                <c:pt idx="220">
                  <c:v>8.42</c:v>
                </c:pt>
                <c:pt idx="221">
                  <c:v>9.73</c:v>
                </c:pt>
                <c:pt idx="222">
                  <c:v>8.15</c:v>
                </c:pt>
                <c:pt idx="223">
                  <c:v>4.5</c:v>
                </c:pt>
                <c:pt idx="224">
                  <c:v>7.56</c:v>
                </c:pt>
                <c:pt idx="225">
                  <c:v>8.01</c:v>
                </c:pt>
                <c:pt idx="226">
                  <c:v>6.1029999999999998</c:v>
                </c:pt>
                <c:pt idx="227">
                  <c:v>5.4160000000000004</c:v>
                </c:pt>
                <c:pt idx="228">
                  <c:v>3.4260000000000002</c:v>
                </c:pt>
                <c:pt idx="229">
                  <c:v>5.6760000000000002</c:v>
                </c:pt>
                <c:pt idx="230">
                  <c:v>7.83</c:v>
                </c:pt>
                <c:pt idx="231">
                  <c:v>9.6</c:v>
                </c:pt>
                <c:pt idx="232">
                  <c:v>11.9</c:v>
                </c:pt>
                <c:pt idx="233">
                  <c:v>9.1999999999999993</c:v>
                </c:pt>
                <c:pt idx="234">
                  <c:v>9.5399999999999991</c:v>
                </c:pt>
                <c:pt idx="235">
                  <c:v>5.8730000000000002</c:v>
                </c:pt>
                <c:pt idx="236">
                  <c:v>6.6660000000000004</c:v>
                </c:pt>
                <c:pt idx="237">
                  <c:v>7.29</c:v>
                </c:pt>
                <c:pt idx="238">
                  <c:v>8.0299999999999994</c:v>
                </c:pt>
                <c:pt idx="239">
                  <c:v>9.7799999999999994</c:v>
                </c:pt>
                <c:pt idx="240">
                  <c:v>5.4829999999999997</c:v>
                </c:pt>
                <c:pt idx="241">
                  <c:v>6.569</c:v>
                </c:pt>
                <c:pt idx="242">
                  <c:v>7.78</c:v>
                </c:pt>
                <c:pt idx="243">
                  <c:v>9.5399999999999991</c:v>
                </c:pt>
                <c:pt idx="244">
                  <c:v>10.56</c:v>
                </c:pt>
                <c:pt idx="245">
                  <c:v>10.93</c:v>
                </c:pt>
                <c:pt idx="246">
                  <c:v>14.42</c:v>
                </c:pt>
                <c:pt idx="247">
                  <c:v>9.01</c:v>
                </c:pt>
                <c:pt idx="248">
                  <c:v>8.8699999999999992</c:v>
                </c:pt>
                <c:pt idx="249">
                  <c:v>9.6199999999999992</c:v>
                </c:pt>
                <c:pt idx="250">
                  <c:v>9.82</c:v>
                </c:pt>
                <c:pt idx="251">
                  <c:v>10.199999999999999</c:v>
                </c:pt>
                <c:pt idx="252">
                  <c:v>10.71</c:v>
                </c:pt>
                <c:pt idx="253">
                  <c:v>9.5299999999999994</c:v>
                </c:pt>
                <c:pt idx="254">
                  <c:v>9.0500000000000007</c:v>
                </c:pt>
                <c:pt idx="255">
                  <c:v>9.06</c:v>
                </c:pt>
                <c:pt idx="256">
                  <c:v>8.75</c:v>
                </c:pt>
                <c:pt idx="257">
                  <c:v>8.9700000000000006</c:v>
                </c:pt>
                <c:pt idx="258">
                  <c:v>7.04</c:v>
                </c:pt>
                <c:pt idx="259">
                  <c:v>7.11</c:v>
                </c:pt>
                <c:pt idx="260">
                  <c:v>6.5060000000000002</c:v>
                </c:pt>
                <c:pt idx="261">
                  <c:v>4.8499999999999996</c:v>
                </c:pt>
                <c:pt idx="262">
                  <c:v>3.1179999999999999</c:v>
                </c:pt>
                <c:pt idx="263">
                  <c:v>3.1859999999999999</c:v>
                </c:pt>
                <c:pt idx="264">
                  <c:v>4.391</c:v>
                </c:pt>
                <c:pt idx="265">
                  <c:v>7.57</c:v>
                </c:pt>
                <c:pt idx="266">
                  <c:v>7.76</c:v>
                </c:pt>
                <c:pt idx="267">
                  <c:v>6.7670000000000003</c:v>
                </c:pt>
                <c:pt idx="268">
                  <c:v>5.452</c:v>
                </c:pt>
                <c:pt idx="269">
                  <c:v>6.218</c:v>
                </c:pt>
                <c:pt idx="270">
                  <c:v>6.1390000000000002</c:v>
                </c:pt>
                <c:pt idx="271">
                  <c:v>5.6420000000000003</c:v>
                </c:pt>
                <c:pt idx="272">
                  <c:v>2.9460000000000002</c:v>
                </c:pt>
                <c:pt idx="273">
                  <c:v>1.4999999999999999E-2</c:v>
                </c:pt>
                <c:pt idx="274">
                  <c:v>2.202</c:v>
                </c:pt>
                <c:pt idx="275">
                  <c:v>0.88900000000000001</c:v>
                </c:pt>
                <c:pt idx="276">
                  <c:v>-0.58699999999999997</c:v>
                </c:pt>
                <c:pt idx="277">
                  <c:v>1.7789999999999999</c:v>
                </c:pt>
                <c:pt idx="278">
                  <c:v>1.976</c:v>
                </c:pt>
                <c:pt idx="279">
                  <c:v>2.7759999999999998</c:v>
                </c:pt>
                <c:pt idx="280">
                  <c:v>1.9259999999999999</c:v>
                </c:pt>
                <c:pt idx="281">
                  <c:v>1.851</c:v>
                </c:pt>
                <c:pt idx="282">
                  <c:v>4.3339999999999996</c:v>
                </c:pt>
                <c:pt idx="283">
                  <c:v>0.65700000000000003</c:v>
                </c:pt>
                <c:pt idx="284">
                  <c:v>-0.121</c:v>
                </c:pt>
                <c:pt idx="285">
                  <c:v>-0.54100000000000004</c:v>
                </c:pt>
                <c:pt idx="286">
                  <c:v>2.593</c:v>
                </c:pt>
                <c:pt idx="287">
                  <c:v>4.3479999999999999</c:v>
                </c:pt>
                <c:pt idx="288">
                  <c:v>1.972</c:v>
                </c:pt>
                <c:pt idx="289">
                  <c:v>1.258</c:v>
                </c:pt>
                <c:pt idx="290">
                  <c:v>-1.3580000000000001</c:v>
                </c:pt>
                <c:pt idx="291">
                  <c:v>-0.251</c:v>
                </c:pt>
                <c:pt idx="292">
                  <c:v>1.0429999999999999</c:v>
                </c:pt>
                <c:pt idx="293">
                  <c:v>-1.081</c:v>
                </c:pt>
                <c:pt idx="294">
                  <c:v>-1.2410000000000001</c:v>
                </c:pt>
                <c:pt idx="295">
                  <c:v>-0.77600000000000002</c:v>
                </c:pt>
                <c:pt idx="296">
                  <c:v>-0.66700000000000004</c:v>
                </c:pt>
                <c:pt idx="297">
                  <c:v>-0.55500000000000005</c:v>
                </c:pt>
                <c:pt idx="298">
                  <c:v>0.318</c:v>
                </c:pt>
                <c:pt idx="299">
                  <c:v>-3.677</c:v>
                </c:pt>
                <c:pt idx="300">
                  <c:v>-6.1360000000000001</c:v>
                </c:pt>
                <c:pt idx="301">
                  <c:v>-9.36</c:v>
                </c:pt>
                <c:pt idx="302">
                  <c:v>-11.91</c:v>
                </c:pt>
                <c:pt idx="303">
                  <c:v>-9.44</c:v>
                </c:pt>
                <c:pt idx="304">
                  <c:v>-13.6</c:v>
                </c:pt>
                <c:pt idx="305">
                  <c:v>-11.01</c:v>
                </c:pt>
                <c:pt idx="306">
                  <c:v>-9.4600000000000009</c:v>
                </c:pt>
                <c:pt idx="307">
                  <c:v>-5.0590000000000002</c:v>
                </c:pt>
                <c:pt idx="308">
                  <c:v>-5.8220000000000001</c:v>
                </c:pt>
                <c:pt idx="309">
                  <c:v>-8</c:v>
                </c:pt>
                <c:pt idx="310">
                  <c:v>-6.9349999999999996</c:v>
                </c:pt>
                <c:pt idx="311">
                  <c:v>1.0369999999999999</c:v>
                </c:pt>
                <c:pt idx="312">
                  <c:v>-7.84</c:v>
                </c:pt>
                <c:pt idx="313">
                  <c:v>-13.16</c:v>
                </c:pt>
                <c:pt idx="314">
                  <c:v>-3.371</c:v>
                </c:pt>
                <c:pt idx="315">
                  <c:v>-1.9419999999999999</c:v>
                </c:pt>
                <c:pt idx="316">
                  <c:v>-1.575</c:v>
                </c:pt>
                <c:pt idx="317">
                  <c:v>0.40500000000000003</c:v>
                </c:pt>
                <c:pt idx="318">
                  <c:v>1.9870000000000001</c:v>
                </c:pt>
                <c:pt idx="319">
                  <c:v>1.286</c:v>
                </c:pt>
                <c:pt idx="320">
                  <c:v>2.75</c:v>
                </c:pt>
                <c:pt idx="321">
                  <c:v>1.0629999999999999</c:v>
                </c:pt>
                <c:pt idx="322">
                  <c:v>-5.3070000000000004</c:v>
                </c:pt>
                <c:pt idx="323">
                  <c:v>-5.2389999999999999</c:v>
                </c:pt>
                <c:pt idx="324">
                  <c:v>-1.5149999999999999</c:v>
                </c:pt>
                <c:pt idx="325">
                  <c:v>0.48799999999999999</c:v>
                </c:pt>
                <c:pt idx="326">
                  <c:v>1.1850000000000001</c:v>
                </c:pt>
                <c:pt idx="327">
                  <c:v>1.917</c:v>
                </c:pt>
                <c:pt idx="328">
                  <c:v>-0.78900000000000003</c:v>
                </c:pt>
                <c:pt idx="329">
                  <c:v>-2.2879999999999998</c:v>
                </c:pt>
                <c:pt idx="330">
                  <c:v>-3.7639999999999998</c:v>
                </c:pt>
                <c:pt idx="331">
                  <c:v>-1.5409999999999999</c:v>
                </c:pt>
                <c:pt idx="332">
                  <c:v>3.67</c:v>
                </c:pt>
                <c:pt idx="333">
                  <c:v>-0.2</c:v>
                </c:pt>
                <c:pt idx="334">
                  <c:v>-2.4849999999999999</c:v>
                </c:pt>
                <c:pt idx="335">
                  <c:v>-6.1550000000000002</c:v>
                </c:pt>
                <c:pt idx="336">
                  <c:v>-5.4450000000000003</c:v>
                </c:pt>
                <c:pt idx="337">
                  <c:v>-11.47</c:v>
                </c:pt>
                <c:pt idx="338">
                  <c:v>-21.32</c:v>
                </c:pt>
                <c:pt idx="339">
                  <c:v>-15.56</c:v>
                </c:pt>
                <c:pt idx="340">
                  <c:v>-20.38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541632"/>
        <c:axId val="153703168"/>
      </c:lineChart>
      <c:catAx>
        <c:axId val="153541632"/>
        <c:scaling>
          <c:orientation val="minMax"/>
        </c:scaling>
        <c:delete val="0"/>
        <c:axPos val="b"/>
        <c:majorTickMark val="cross"/>
        <c:minorTickMark val="none"/>
        <c:tickLblPos val="nextTo"/>
        <c:crossAx val="153703168"/>
        <c:crosses val="autoZero"/>
        <c:auto val="1"/>
        <c:lblAlgn val="ctr"/>
        <c:lblOffset val="100"/>
        <c:tickMarkSkip val="12"/>
        <c:noMultiLvlLbl val="0"/>
      </c:catAx>
      <c:valAx>
        <c:axId val="153703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35416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6m</c:v>
          </c:tx>
          <c:marker>
            <c:symbol val="none"/>
          </c:marker>
          <c:val>
            <c:numRef>
              <c:f>Data!$R$7:$R$371</c:f>
              <c:numCache>
                <c:formatCode>General</c:formatCode>
                <c:ptCount val="365"/>
                <c:pt idx="0">
                  <c:v>-4.4539999999999997</c:v>
                </c:pt>
                <c:pt idx="1">
                  <c:v>-5.7160000000000002</c:v>
                </c:pt>
                <c:pt idx="2">
                  <c:v>-5.7060000000000004</c:v>
                </c:pt>
                <c:pt idx="3">
                  <c:v>-4.87</c:v>
                </c:pt>
                <c:pt idx="4">
                  <c:v>-5.734</c:v>
                </c:pt>
                <c:pt idx="5">
                  <c:v>-5.7720000000000002</c:v>
                </c:pt>
                <c:pt idx="6">
                  <c:v>-5.2670000000000003</c:v>
                </c:pt>
                <c:pt idx="7">
                  <c:v>-5.0000000000000001E-3</c:v>
                </c:pt>
                <c:pt idx="8">
                  <c:v>1.1919999999999999</c:v>
                </c:pt>
                <c:pt idx="9">
                  <c:v>2.2080000000000002</c:v>
                </c:pt>
                <c:pt idx="10">
                  <c:v>-0.377</c:v>
                </c:pt>
                <c:pt idx="11">
                  <c:v>1.0620000000000001</c:v>
                </c:pt>
                <c:pt idx="12">
                  <c:v>-0.26300000000000001</c:v>
                </c:pt>
                <c:pt idx="13">
                  <c:v>-0.32900000000000001</c:v>
                </c:pt>
                <c:pt idx="14">
                  <c:v>0.501</c:v>
                </c:pt>
                <c:pt idx="15">
                  <c:v>-3.26</c:v>
                </c:pt>
                <c:pt idx="16">
                  <c:v>-4.9640000000000004</c:v>
                </c:pt>
                <c:pt idx="17">
                  <c:v>-1.4339999999999999</c:v>
                </c:pt>
                <c:pt idx="18">
                  <c:v>3.0710000000000002</c:v>
                </c:pt>
                <c:pt idx="19">
                  <c:v>3.4790000000000001</c:v>
                </c:pt>
                <c:pt idx="20">
                  <c:v>1.1579999999999999</c:v>
                </c:pt>
                <c:pt idx="21">
                  <c:v>2.0680000000000001</c:v>
                </c:pt>
                <c:pt idx="22">
                  <c:v>1.0049999999999999</c:v>
                </c:pt>
                <c:pt idx="23">
                  <c:v>5.4969999999999999</c:v>
                </c:pt>
                <c:pt idx="24">
                  <c:v>3.415</c:v>
                </c:pt>
                <c:pt idx="25">
                  <c:v>0.88600000000000001</c:v>
                </c:pt>
                <c:pt idx="26">
                  <c:v>2.4</c:v>
                </c:pt>
                <c:pt idx="27">
                  <c:v>0.49399999999999999</c:v>
                </c:pt>
                <c:pt idx="28">
                  <c:v>1.6659999999999999</c:v>
                </c:pt>
                <c:pt idx="29">
                  <c:v>2.0470000000000002</c:v>
                </c:pt>
                <c:pt idx="30">
                  <c:v>3.2559999999999998</c:v>
                </c:pt>
                <c:pt idx="31">
                  <c:v>3.121</c:v>
                </c:pt>
                <c:pt idx="32">
                  <c:v>2.7309999999999999</c:v>
                </c:pt>
                <c:pt idx="33">
                  <c:v>1.0940000000000001</c:v>
                </c:pt>
                <c:pt idx="34">
                  <c:v>5.9989999999999997</c:v>
                </c:pt>
                <c:pt idx="35">
                  <c:v>12.53</c:v>
                </c:pt>
                <c:pt idx="36">
                  <c:v>3.9420000000000002</c:v>
                </c:pt>
                <c:pt idx="37">
                  <c:v>6.7220000000000004</c:v>
                </c:pt>
                <c:pt idx="38">
                  <c:v>-0.83699999999999997</c:v>
                </c:pt>
                <c:pt idx="39">
                  <c:v>0.315</c:v>
                </c:pt>
                <c:pt idx="40">
                  <c:v>-3.5489999999999999</c:v>
                </c:pt>
                <c:pt idx="41">
                  <c:v>-6.38</c:v>
                </c:pt>
                <c:pt idx="42">
                  <c:v>-12.82</c:v>
                </c:pt>
                <c:pt idx="43">
                  <c:v>-10.69</c:v>
                </c:pt>
                <c:pt idx="44">
                  <c:v>-11.96</c:v>
                </c:pt>
                <c:pt idx="45">
                  <c:v>-6.1539999999999999</c:v>
                </c:pt>
                <c:pt idx="46">
                  <c:v>-2.9390000000000001</c:v>
                </c:pt>
                <c:pt idx="47">
                  <c:v>0.47099999999999997</c:v>
                </c:pt>
                <c:pt idx="48">
                  <c:v>2.3170000000000002</c:v>
                </c:pt>
                <c:pt idx="49">
                  <c:v>3.8519999999999999</c:v>
                </c:pt>
                <c:pt idx="50">
                  <c:v>7.81</c:v>
                </c:pt>
                <c:pt idx="51">
                  <c:v>2.6960000000000002</c:v>
                </c:pt>
                <c:pt idx="52">
                  <c:v>2.0110000000000001</c:v>
                </c:pt>
                <c:pt idx="53">
                  <c:v>4.5110000000000001</c:v>
                </c:pt>
                <c:pt idx="54">
                  <c:v>4.8099999999999996</c:v>
                </c:pt>
                <c:pt idx="55">
                  <c:v>0.54300000000000004</c:v>
                </c:pt>
                <c:pt idx="56">
                  <c:v>-7.18</c:v>
                </c:pt>
                <c:pt idx="57">
                  <c:v>-7.22</c:v>
                </c:pt>
                <c:pt idx="58">
                  <c:v>-5.1760000000000002</c:v>
                </c:pt>
                <c:pt idx="59">
                  <c:v>-3.5259999999999998</c:v>
                </c:pt>
                <c:pt idx="60">
                  <c:v>-2.2959999999999998</c:v>
                </c:pt>
                <c:pt idx="61">
                  <c:v>1.5660000000000001</c:v>
                </c:pt>
                <c:pt idx="62">
                  <c:v>-5.9359999999999999</c:v>
                </c:pt>
                <c:pt idx="63">
                  <c:v>-10.92</c:v>
                </c:pt>
                <c:pt idx="64">
                  <c:v>-9.48</c:v>
                </c:pt>
                <c:pt idx="65">
                  <c:v>-4.4969999999999999</c:v>
                </c:pt>
                <c:pt idx="66">
                  <c:v>-1.9950000000000001</c:v>
                </c:pt>
                <c:pt idx="67">
                  <c:v>4.05</c:v>
                </c:pt>
                <c:pt idx="68">
                  <c:v>4.827</c:v>
                </c:pt>
                <c:pt idx="69">
                  <c:v>5.4279999999999999</c:v>
                </c:pt>
                <c:pt idx="70">
                  <c:v>1.9339999999999999</c:v>
                </c:pt>
                <c:pt idx="71">
                  <c:v>1.6339999999999999</c:v>
                </c:pt>
                <c:pt idx="72">
                  <c:v>6.24</c:v>
                </c:pt>
                <c:pt idx="73">
                  <c:v>2.7650000000000001</c:v>
                </c:pt>
                <c:pt idx="74">
                  <c:v>5.4160000000000004</c:v>
                </c:pt>
                <c:pt idx="75">
                  <c:v>5.226</c:v>
                </c:pt>
                <c:pt idx="76">
                  <c:v>3.0070000000000001</c:v>
                </c:pt>
                <c:pt idx="77">
                  <c:v>4.3659999999999997</c:v>
                </c:pt>
                <c:pt idx="78">
                  <c:v>2.899</c:v>
                </c:pt>
                <c:pt idx="79">
                  <c:v>0.89200000000000002</c:v>
                </c:pt>
                <c:pt idx="80">
                  <c:v>2.472</c:v>
                </c:pt>
                <c:pt idx="81">
                  <c:v>1.3620000000000001</c:v>
                </c:pt>
                <c:pt idx="82">
                  <c:v>-3.9E-2</c:v>
                </c:pt>
                <c:pt idx="83">
                  <c:v>1.149</c:v>
                </c:pt>
                <c:pt idx="84">
                  <c:v>3.004</c:v>
                </c:pt>
                <c:pt idx="85">
                  <c:v>7.94</c:v>
                </c:pt>
                <c:pt idx="86">
                  <c:v>8.9700000000000006</c:v>
                </c:pt>
                <c:pt idx="87">
                  <c:v>9.5299999999999994</c:v>
                </c:pt>
                <c:pt idx="88">
                  <c:v>11.35</c:v>
                </c:pt>
                <c:pt idx="89">
                  <c:v>11.33</c:v>
                </c:pt>
                <c:pt idx="90">
                  <c:v>4.359</c:v>
                </c:pt>
                <c:pt idx="91">
                  <c:v>0.60399999999999998</c:v>
                </c:pt>
                <c:pt idx="92">
                  <c:v>9.2200000000000006</c:v>
                </c:pt>
                <c:pt idx="93">
                  <c:v>5.3819999999999997</c:v>
                </c:pt>
                <c:pt idx="94">
                  <c:v>3.2530000000000001</c:v>
                </c:pt>
                <c:pt idx="95">
                  <c:v>6.4539999999999997</c:v>
                </c:pt>
                <c:pt idx="96">
                  <c:v>5.27</c:v>
                </c:pt>
                <c:pt idx="97">
                  <c:v>1.1739999999999999</c:v>
                </c:pt>
                <c:pt idx="98">
                  <c:v>4.05</c:v>
                </c:pt>
                <c:pt idx="99">
                  <c:v>3.2759999999999998</c:v>
                </c:pt>
                <c:pt idx="100">
                  <c:v>2.9369999999999998</c:v>
                </c:pt>
                <c:pt idx="101">
                  <c:v>3.5609999999999999</c:v>
                </c:pt>
                <c:pt idx="102">
                  <c:v>2.044</c:v>
                </c:pt>
                <c:pt idx="103">
                  <c:v>-0.30199999999999999</c:v>
                </c:pt>
                <c:pt idx="104">
                  <c:v>2.41</c:v>
                </c:pt>
                <c:pt idx="105">
                  <c:v>5.4640000000000004</c:v>
                </c:pt>
                <c:pt idx="106">
                  <c:v>3.1040000000000001</c:v>
                </c:pt>
                <c:pt idx="107">
                  <c:v>4.9989999999999997</c:v>
                </c:pt>
                <c:pt idx="108">
                  <c:v>0.52100000000000002</c:v>
                </c:pt>
                <c:pt idx="109">
                  <c:v>5.59</c:v>
                </c:pt>
                <c:pt idx="110">
                  <c:v>7.06</c:v>
                </c:pt>
                <c:pt idx="111">
                  <c:v>9.77</c:v>
                </c:pt>
                <c:pt idx="112">
                  <c:v>11.54</c:v>
                </c:pt>
                <c:pt idx="113">
                  <c:v>6.9370000000000003</c:v>
                </c:pt>
                <c:pt idx="114">
                  <c:v>10.58</c:v>
                </c:pt>
                <c:pt idx="115">
                  <c:v>6.8280000000000003</c:v>
                </c:pt>
                <c:pt idx="116">
                  <c:v>9.5</c:v>
                </c:pt>
                <c:pt idx="117">
                  <c:v>9.2100000000000009</c:v>
                </c:pt>
                <c:pt idx="118">
                  <c:v>6.4340000000000002</c:v>
                </c:pt>
                <c:pt idx="119">
                  <c:v>5.01</c:v>
                </c:pt>
                <c:pt idx="120">
                  <c:v>9.02</c:v>
                </c:pt>
                <c:pt idx="121">
                  <c:v>8.7799999999999994</c:v>
                </c:pt>
                <c:pt idx="122">
                  <c:v>5.1159999999999997</c:v>
                </c:pt>
                <c:pt idx="123">
                  <c:v>8.23</c:v>
                </c:pt>
                <c:pt idx="124">
                  <c:v>6.5780000000000003</c:v>
                </c:pt>
                <c:pt idx="125">
                  <c:v>10.06</c:v>
                </c:pt>
                <c:pt idx="126">
                  <c:v>11.32</c:v>
                </c:pt>
                <c:pt idx="127">
                  <c:v>12.76</c:v>
                </c:pt>
                <c:pt idx="128">
                  <c:v>13.83</c:v>
                </c:pt>
                <c:pt idx="129">
                  <c:v>10.19</c:v>
                </c:pt>
                <c:pt idx="130">
                  <c:v>4.1909999999999998</c:v>
                </c:pt>
                <c:pt idx="131">
                  <c:v>5.4480000000000004</c:v>
                </c:pt>
                <c:pt idx="132">
                  <c:v>14.47</c:v>
                </c:pt>
                <c:pt idx="133">
                  <c:v>13.6</c:v>
                </c:pt>
                <c:pt idx="134">
                  <c:v>14.73</c:v>
                </c:pt>
                <c:pt idx="135">
                  <c:v>16.59</c:v>
                </c:pt>
                <c:pt idx="136">
                  <c:v>10.49</c:v>
                </c:pt>
                <c:pt idx="137">
                  <c:v>7.27</c:v>
                </c:pt>
                <c:pt idx="138">
                  <c:v>9.8800000000000008</c:v>
                </c:pt>
                <c:pt idx="139">
                  <c:v>7</c:v>
                </c:pt>
                <c:pt idx="140">
                  <c:v>11.18</c:v>
                </c:pt>
                <c:pt idx="141">
                  <c:v>14.13</c:v>
                </c:pt>
                <c:pt idx="142">
                  <c:v>15.99</c:v>
                </c:pt>
                <c:pt idx="143">
                  <c:v>15.7</c:v>
                </c:pt>
                <c:pt idx="144">
                  <c:v>12.89</c:v>
                </c:pt>
                <c:pt idx="145">
                  <c:v>15.05</c:v>
                </c:pt>
                <c:pt idx="146">
                  <c:v>19.2</c:v>
                </c:pt>
                <c:pt idx="147">
                  <c:v>22.07</c:v>
                </c:pt>
                <c:pt idx="148">
                  <c:v>22.49</c:v>
                </c:pt>
                <c:pt idx="149">
                  <c:v>19.34</c:v>
                </c:pt>
                <c:pt idx="150">
                  <c:v>17.34</c:v>
                </c:pt>
                <c:pt idx="151">
                  <c:v>19.47</c:v>
                </c:pt>
                <c:pt idx="152">
                  <c:v>17.32</c:v>
                </c:pt>
                <c:pt idx="153">
                  <c:v>19.93</c:v>
                </c:pt>
                <c:pt idx="154">
                  <c:v>16.86</c:v>
                </c:pt>
                <c:pt idx="155">
                  <c:v>5.9390000000000001</c:v>
                </c:pt>
                <c:pt idx="156">
                  <c:v>7.59</c:v>
                </c:pt>
                <c:pt idx="157">
                  <c:v>16.36</c:v>
                </c:pt>
                <c:pt idx="158">
                  <c:v>17.850000000000001</c:v>
                </c:pt>
                <c:pt idx="159">
                  <c:v>18</c:v>
                </c:pt>
                <c:pt idx="160">
                  <c:v>17.329999999999998</c:v>
                </c:pt>
                <c:pt idx="161">
                  <c:v>10.49</c:v>
                </c:pt>
                <c:pt idx="162">
                  <c:v>13.25</c:v>
                </c:pt>
                <c:pt idx="163">
                  <c:v>10.6</c:v>
                </c:pt>
                <c:pt idx="164">
                  <c:v>9.7799999999999994</c:v>
                </c:pt>
                <c:pt idx="165">
                  <c:v>13.71</c:v>
                </c:pt>
                <c:pt idx="166">
                  <c:v>14.42</c:v>
                </c:pt>
                <c:pt idx="167">
                  <c:v>11.57</c:v>
                </c:pt>
                <c:pt idx="168">
                  <c:v>12.68</c:v>
                </c:pt>
                <c:pt idx="169">
                  <c:v>10.56</c:v>
                </c:pt>
                <c:pt idx="170">
                  <c:v>9.49</c:v>
                </c:pt>
                <c:pt idx="171">
                  <c:v>15.87</c:v>
                </c:pt>
                <c:pt idx="172">
                  <c:v>17.73</c:v>
                </c:pt>
                <c:pt idx="173">
                  <c:v>19.73</c:v>
                </c:pt>
                <c:pt idx="174">
                  <c:v>18.91</c:v>
                </c:pt>
                <c:pt idx="175">
                  <c:v>18.13</c:v>
                </c:pt>
                <c:pt idx="176">
                  <c:v>13.5</c:v>
                </c:pt>
                <c:pt idx="177">
                  <c:v>17.100000000000001</c:v>
                </c:pt>
                <c:pt idx="178">
                  <c:v>21.13</c:v>
                </c:pt>
                <c:pt idx="179">
                  <c:v>22.11</c:v>
                </c:pt>
                <c:pt idx="180">
                  <c:v>23.38</c:v>
                </c:pt>
                <c:pt idx="181">
                  <c:v>23.26</c:v>
                </c:pt>
                <c:pt idx="182">
                  <c:v>16.12</c:v>
                </c:pt>
                <c:pt idx="183">
                  <c:v>15.29</c:v>
                </c:pt>
                <c:pt idx="184">
                  <c:v>12.02</c:v>
                </c:pt>
                <c:pt idx="185">
                  <c:v>16.18</c:v>
                </c:pt>
                <c:pt idx="186">
                  <c:v>15.25</c:v>
                </c:pt>
                <c:pt idx="187">
                  <c:v>16.239999999999998</c:v>
                </c:pt>
                <c:pt idx="188">
                  <c:v>18.16</c:v>
                </c:pt>
                <c:pt idx="189">
                  <c:v>20.149999999999999</c:v>
                </c:pt>
                <c:pt idx="190">
                  <c:v>13.76</c:v>
                </c:pt>
                <c:pt idx="191">
                  <c:v>14.61</c:v>
                </c:pt>
                <c:pt idx="192">
                  <c:v>16.43</c:v>
                </c:pt>
                <c:pt idx="193">
                  <c:v>17.86</c:v>
                </c:pt>
                <c:pt idx="194">
                  <c:v>16.649999999999999</c:v>
                </c:pt>
                <c:pt idx="195">
                  <c:v>18.510000000000002</c:v>
                </c:pt>
                <c:pt idx="196">
                  <c:v>20.239999999999998</c:v>
                </c:pt>
                <c:pt idx="197">
                  <c:v>21.09</c:v>
                </c:pt>
                <c:pt idx="198">
                  <c:v>20.93</c:v>
                </c:pt>
                <c:pt idx="199">
                  <c:v>22.91</c:v>
                </c:pt>
                <c:pt idx="200">
                  <c:v>21.05</c:v>
                </c:pt>
                <c:pt idx="201">
                  <c:v>19.04</c:v>
                </c:pt>
                <c:pt idx="202">
                  <c:v>21.46</c:v>
                </c:pt>
                <c:pt idx="203">
                  <c:v>14.66</c:v>
                </c:pt>
                <c:pt idx="204">
                  <c:v>15.61</c:v>
                </c:pt>
                <c:pt idx="205">
                  <c:v>14.05</c:v>
                </c:pt>
                <c:pt idx="206">
                  <c:v>14.46</c:v>
                </c:pt>
                <c:pt idx="207">
                  <c:v>12.77</c:v>
                </c:pt>
                <c:pt idx="208">
                  <c:v>16.21</c:v>
                </c:pt>
                <c:pt idx="209">
                  <c:v>8.82</c:v>
                </c:pt>
                <c:pt idx="210">
                  <c:v>14.47</c:v>
                </c:pt>
                <c:pt idx="211">
                  <c:v>15.75</c:v>
                </c:pt>
                <c:pt idx="212">
                  <c:v>14.25</c:v>
                </c:pt>
                <c:pt idx="213">
                  <c:v>14.07</c:v>
                </c:pt>
                <c:pt idx="214">
                  <c:v>19.190000000000001</c:v>
                </c:pt>
                <c:pt idx="215">
                  <c:v>23.83</c:v>
                </c:pt>
                <c:pt idx="216">
                  <c:v>15.59</c:v>
                </c:pt>
                <c:pt idx="217">
                  <c:v>7.58</c:v>
                </c:pt>
                <c:pt idx="218">
                  <c:v>9.5</c:v>
                </c:pt>
                <c:pt idx="219">
                  <c:v>8.9600000000000009</c:v>
                </c:pt>
                <c:pt idx="220">
                  <c:v>15.09</c:v>
                </c:pt>
                <c:pt idx="221">
                  <c:v>16.260000000000002</c:v>
                </c:pt>
                <c:pt idx="222">
                  <c:v>12.15</c:v>
                </c:pt>
                <c:pt idx="223">
                  <c:v>5.6630000000000003</c:v>
                </c:pt>
                <c:pt idx="224">
                  <c:v>13.92</c:v>
                </c:pt>
                <c:pt idx="225">
                  <c:v>10.01</c:v>
                </c:pt>
                <c:pt idx="226">
                  <c:v>9.9499999999999993</c:v>
                </c:pt>
                <c:pt idx="227">
                  <c:v>10.02</c:v>
                </c:pt>
                <c:pt idx="228">
                  <c:v>6.9109999999999996</c:v>
                </c:pt>
                <c:pt idx="229">
                  <c:v>9.4499999999999993</c:v>
                </c:pt>
                <c:pt idx="230">
                  <c:v>13.51</c:v>
                </c:pt>
                <c:pt idx="231">
                  <c:v>17.37</c:v>
                </c:pt>
                <c:pt idx="232">
                  <c:v>18.89</c:v>
                </c:pt>
                <c:pt idx="233">
                  <c:v>18.05</c:v>
                </c:pt>
                <c:pt idx="234">
                  <c:v>17.64</c:v>
                </c:pt>
                <c:pt idx="235">
                  <c:v>11.56</c:v>
                </c:pt>
                <c:pt idx="236">
                  <c:v>15.19</c:v>
                </c:pt>
                <c:pt idx="237">
                  <c:v>13.2</c:v>
                </c:pt>
                <c:pt idx="238">
                  <c:v>15.24</c:v>
                </c:pt>
                <c:pt idx="239">
                  <c:v>17.54</c:v>
                </c:pt>
                <c:pt idx="240">
                  <c:v>9.8000000000000007</c:v>
                </c:pt>
                <c:pt idx="241">
                  <c:v>13.73</c:v>
                </c:pt>
                <c:pt idx="242">
                  <c:v>17.21</c:v>
                </c:pt>
                <c:pt idx="243">
                  <c:v>19.46</c:v>
                </c:pt>
                <c:pt idx="244">
                  <c:v>21.47</c:v>
                </c:pt>
                <c:pt idx="245">
                  <c:v>22.76</c:v>
                </c:pt>
                <c:pt idx="246">
                  <c:v>27.01</c:v>
                </c:pt>
                <c:pt idx="247">
                  <c:v>13.53</c:v>
                </c:pt>
                <c:pt idx="248">
                  <c:v>15.94</c:v>
                </c:pt>
                <c:pt idx="249">
                  <c:v>18.78</c:v>
                </c:pt>
                <c:pt idx="250">
                  <c:v>19.09</c:v>
                </c:pt>
                <c:pt idx="251">
                  <c:v>19.63</c:v>
                </c:pt>
                <c:pt idx="252">
                  <c:v>20.22</c:v>
                </c:pt>
                <c:pt idx="253">
                  <c:v>19.09</c:v>
                </c:pt>
                <c:pt idx="254">
                  <c:v>17.68</c:v>
                </c:pt>
                <c:pt idx="255">
                  <c:v>19.09</c:v>
                </c:pt>
                <c:pt idx="256">
                  <c:v>18.809999999999999</c:v>
                </c:pt>
                <c:pt idx="257">
                  <c:v>17.11</c:v>
                </c:pt>
                <c:pt idx="258">
                  <c:v>16.510000000000002</c:v>
                </c:pt>
                <c:pt idx="259">
                  <c:v>17.47</c:v>
                </c:pt>
                <c:pt idx="260">
                  <c:v>13.24</c:v>
                </c:pt>
                <c:pt idx="261">
                  <c:v>12.27</c:v>
                </c:pt>
                <c:pt idx="262">
                  <c:v>13.38</c:v>
                </c:pt>
                <c:pt idx="263">
                  <c:v>13.65</c:v>
                </c:pt>
                <c:pt idx="264">
                  <c:v>15.55</c:v>
                </c:pt>
                <c:pt idx="265">
                  <c:v>18.77</c:v>
                </c:pt>
                <c:pt idx="266">
                  <c:v>19.36</c:v>
                </c:pt>
                <c:pt idx="267">
                  <c:v>17.29</c:v>
                </c:pt>
                <c:pt idx="268">
                  <c:v>12.16</c:v>
                </c:pt>
                <c:pt idx="269">
                  <c:v>10.38</c:v>
                </c:pt>
                <c:pt idx="270">
                  <c:v>10.41</c:v>
                </c:pt>
                <c:pt idx="271">
                  <c:v>10.82</c:v>
                </c:pt>
                <c:pt idx="272">
                  <c:v>7.57</c:v>
                </c:pt>
                <c:pt idx="273">
                  <c:v>3.7130000000000001</c:v>
                </c:pt>
                <c:pt idx="274">
                  <c:v>4.3019999999999996</c:v>
                </c:pt>
                <c:pt idx="275">
                  <c:v>3.84</c:v>
                </c:pt>
                <c:pt idx="276">
                  <c:v>5.4279999999999999</c:v>
                </c:pt>
                <c:pt idx="277">
                  <c:v>5.5540000000000003</c:v>
                </c:pt>
                <c:pt idx="278">
                  <c:v>5.4909999999999997</c:v>
                </c:pt>
                <c:pt idx="279">
                  <c:v>5.7089999999999996</c:v>
                </c:pt>
                <c:pt idx="280">
                  <c:v>5.2329999999999997</c:v>
                </c:pt>
                <c:pt idx="281">
                  <c:v>3.8109999999999999</c:v>
                </c:pt>
                <c:pt idx="282">
                  <c:v>8.0399999999999991</c:v>
                </c:pt>
                <c:pt idx="283">
                  <c:v>2.613</c:v>
                </c:pt>
                <c:pt idx="284">
                  <c:v>2.1120000000000001</c:v>
                </c:pt>
                <c:pt idx="285">
                  <c:v>0.501</c:v>
                </c:pt>
                <c:pt idx="286">
                  <c:v>6.4939999999999998</c:v>
                </c:pt>
                <c:pt idx="287">
                  <c:v>9.4499999999999993</c:v>
                </c:pt>
                <c:pt idx="288">
                  <c:v>5.4569999999999999</c:v>
                </c:pt>
                <c:pt idx="289">
                  <c:v>3.43</c:v>
                </c:pt>
                <c:pt idx="290">
                  <c:v>2.2669999999999999</c:v>
                </c:pt>
                <c:pt idx="291">
                  <c:v>6.2939999999999996</c:v>
                </c:pt>
                <c:pt idx="292">
                  <c:v>3.9380000000000002</c:v>
                </c:pt>
                <c:pt idx="293">
                  <c:v>1.9</c:v>
                </c:pt>
                <c:pt idx="294">
                  <c:v>2.9460000000000002</c:v>
                </c:pt>
                <c:pt idx="295">
                  <c:v>1.0920000000000001</c:v>
                </c:pt>
                <c:pt idx="296">
                  <c:v>1.3180000000000001</c:v>
                </c:pt>
                <c:pt idx="297">
                  <c:v>1.0920000000000001</c:v>
                </c:pt>
                <c:pt idx="298">
                  <c:v>3.2080000000000002</c:v>
                </c:pt>
                <c:pt idx="299">
                  <c:v>1.7999999999999999E-2</c:v>
                </c:pt>
                <c:pt idx="300">
                  <c:v>0.215</c:v>
                </c:pt>
                <c:pt idx="301">
                  <c:v>-0.308</c:v>
                </c:pt>
                <c:pt idx="302">
                  <c:v>-5.0739999999999998</c:v>
                </c:pt>
                <c:pt idx="303">
                  <c:v>-2.92</c:v>
                </c:pt>
                <c:pt idx="304">
                  <c:v>-4.0670000000000002</c:v>
                </c:pt>
                <c:pt idx="305">
                  <c:v>-2.4340000000000002</c:v>
                </c:pt>
                <c:pt idx="306">
                  <c:v>-1.411</c:v>
                </c:pt>
                <c:pt idx="307">
                  <c:v>-2.4049999999999998</c:v>
                </c:pt>
                <c:pt idx="308">
                  <c:v>-3.7679999999999998</c:v>
                </c:pt>
                <c:pt idx="309">
                  <c:v>-4.992</c:v>
                </c:pt>
                <c:pt idx="310">
                  <c:v>-4.0810000000000004</c:v>
                </c:pt>
                <c:pt idx="311">
                  <c:v>4.7610000000000001</c:v>
                </c:pt>
                <c:pt idx="312">
                  <c:v>-4.6959999999999997</c:v>
                </c:pt>
                <c:pt idx="313">
                  <c:v>-7.76</c:v>
                </c:pt>
                <c:pt idx="314">
                  <c:v>3.5999999999999997E-2</c:v>
                </c:pt>
                <c:pt idx="315">
                  <c:v>0.26100000000000001</c:v>
                </c:pt>
                <c:pt idx="316">
                  <c:v>0.313</c:v>
                </c:pt>
                <c:pt idx="317">
                  <c:v>3.4649999999999999</c:v>
                </c:pt>
                <c:pt idx="318">
                  <c:v>6.51</c:v>
                </c:pt>
                <c:pt idx="319">
                  <c:v>4.7880000000000003</c:v>
                </c:pt>
                <c:pt idx="320">
                  <c:v>6.31</c:v>
                </c:pt>
                <c:pt idx="321">
                  <c:v>6.1150000000000002</c:v>
                </c:pt>
                <c:pt idx="322">
                  <c:v>3.367</c:v>
                </c:pt>
                <c:pt idx="323">
                  <c:v>9.1199999999999992</c:v>
                </c:pt>
                <c:pt idx="324">
                  <c:v>5.1909999999999998</c:v>
                </c:pt>
                <c:pt idx="325">
                  <c:v>2.706</c:v>
                </c:pt>
                <c:pt idx="326">
                  <c:v>3.7789999999999999</c:v>
                </c:pt>
                <c:pt idx="327">
                  <c:v>5.0730000000000004</c:v>
                </c:pt>
                <c:pt idx="328">
                  <c:v>3.1059999999999999</c:v>
                </c:pt>
                <c:pt idx="329">
                  <c:v>-0.85599999999999998</c:v>
                </c:pt>
                <c:pt idx="330">
                  <c:v>-2.4140000000000001</c:v>
                </c:pt>
                <c:pt idx="331">
                  <c:v>4.5490000000000004</c:v>
                </c:pt>
                <c:pt idx="332">
                  <c:v>6.1040000000000001</c:v>
                </c:pt>
                <c:pt idx="333">
                  <c:v>1.9039999999999999</c:v>
                </c:pt>
                <c:pt idx="334">
                  <c:v>0.10199999999999999</c:v>
                </c:pt>
                <c:pt idx="335">
                  <c:v>-3.7770000000000001</c:v>
                </c:pt>
                <c:pt idx="336">
                  <c:v>-3.7250000000000001</c:v>
                </c:pt>
                <c:pt idx="337">
                  <c:v>-3.6920000000000002</c:v>
                </c:pt>
                <c:pt idx="338">
                  <c:v>-7.97</c:v>
                </c:pt>
                <c:pt idx="339">
                  <c:v>-8.02</c:v>
                </c:pt>
                <c:pt idx="340">
                  <c:v>-9.1199999999999992</c:v>
                </c:pt>
                <c:pt idx="341">
                  <c:v>-12.2</c:v>
                </c:pt>
                <c:pt idx="342">
                  <c:v>-10</c:v>
                </c:pt>
                <c:pt idx="343">
                  <c:v>-3.3</c:v>
                </c:pt>
                <c:pt idx="344">
                  <c:v>1.8</c:v>
                </c:pt>
                <c:pt idx="345">
                  <c:v>3.9</c:v>
                </c:pt>
                <c:pt idx="346">
                  <c:v>2.4</c:v>
                </c:pt>
                <c:pt idx="347">
                  <c:v>-0.5</c:v>
                </c:pt>
                <c:pt idx="348">
                  <c:v>-2.9</c:v>
                </c:pt>
                <c:pt idx="349">
                  <c:v>1.7</c:v>
                </c:pt>
                <c:pt idx="350">
                  <c:v>-4.7</c:v>
                </c:pt>
                <c:pt idx="351">
                  <c:v>-3.7</c:v>
                </c:pt>
                <c:pt idx="352">
                  <c:v>-1.9</c:v>
                </c:pt>
                <c:pt idx="353">
                  <c:v>-0.7</c:v>
                </c:pt>
                <c:pt idx="354">
                  <c:v>-5.2</c:v>
                </c:pt>
                <c:pt idx="355">
                  <c:v>-7.1</c:v>
                </c:pt>
                <c:pt idx="356">
                  <c:v>-1.3</c:v>
                </c:pt>
                <c:pt idx="357">
                  <c:v>0.6</c:v>
                </c:pt>
                <c:pt idx="358">
                  <c:v>-2.9</c:v>
                </c:pt>
                <c:pt idx="359">
                  <c:v>-1.7</c:v>
                </c:pt>
                <c:pt idx="360">
                  <c:v>-2.7</c:v>
                </c:pt>
                <c:pt idx="361">
                  <c:v>-6</c:v>
                </c:pt>
                <c:pt idx="362">
                  <c:v>-2.2000000000000002</c:v>
                </c:pt>
                <c:pt idx="363">
                  <c:v>-1.1000000000000001</c:v>
                </c:pt>
                <c:pt idx="364">
                  <c:v>-0.2</c:v>
                </c:pt>
              </c:numCache>
            </c:numRef>
          </c:val>
          <c:smooth val="0"/>
        </c:ser>
        <c:ser>
          <c:idx val="1"/>
          <c:order val="1"/>
          <c:tx>
            <c:v>3m</c:v>
          </c:tx>
          <c:marker>
            <c:symbol val="none"/>
          </c:marker>
          <c:val>
            <c:numRef>
              <c:f>Data!$V$7:$V$371</c:f>
              <c:numCache>
                <c:formatCode>General</c:formatCode>
                <c:ptCount val="365"/>
                <c:pt idx="0">
                  <c:v>-4.7469999999999999</c:v>
                </c:pt>
                <c:pt idx="1">
                  <c:v>-6.915</c:v>
                </c:pt>
                <c:pt idx="2">
                  <c:v>-5.7050000000000001</c:v>
                </c:pt>
                <c:pt idx="3">
                  <c:v>-5.5570000000000004</c:v>
                </c:pt>
                <c:pt idx="4">
                  <c:v>-4.9580000000000002</c:v>
                </c:pt>
                <c:pt idx="5">
                  <c:v>-4.03</c:v>
                </c:pt>
                <c:pt idx="6">
                  <c:v>-5.3650000000000002</c:v>
                </c:pt>
                <c:pt idx="7">
                  <c:v>-0.16500000000000001</c:v>
                </c:pt>
                <c:pt idx="8">
                  <c:v>1.583</c:v>
                </c:pt>
                <c:pt idx="9">
                  <c:v>2.2149999999999999</c:v>
                </c:pt>
                <c:pt idx="10">
                  <c:v>0.28699999999999998</c:v>
                </c:pt>
                <c:pt idx="11">
                  <c:v>0.64700000000000002</c:v>
                </c:pt>
                <c:pt idx="12">
                  <c:v>-0.32700000000000001</c:v>
                </c:pt>
                <c:pt idx="13">
                  <c:v>6.5000000000000002E-2</c:v>
                </c:pt>
                <c:pt idx="14">
                  <c:v>1.5629999999999999</c:v>
                </c:pt>
                <c:pt idx="15">
                  <c:v>-2.9119999999999999</c:v>
                </c:pt>
                <c:pt idx="16">
                  <c:v>-4.907</c:v>
                </c:pt>
                <c:pt idx="17">
                  <c:v>-1.7230000000000001</c:v>
                </c:pt>
                <c:pt idx="18">
                  <c:v>5.4720000000000004</c:v>
                </c:pt>
                <c:pt idx="19">
                  <c:v>3.3220000000000001</c:v>
                </c:pt>
                <c:pt idx="20">
                  <c:v>1.135</c:v>
                </c:pt>
                <c:pt idx="21">
                  <c:v>1.8340000000000001</c:v>
                </c:pt>
                <c:pt idx="22">
                  <c:v>1.2649999999999999</c:v>
                </c:pt>
                <c:pt idx="23">
                  <c:v>4.5780000000000003</c:v>
                </c:pt>
                <c:pt idx="24">
                  <c:v>4.5179999999999998</c:v>
                </c:pt>
                <c:pt idx="25">
                  <c:v>1.617</c:v>
                </c:pt>
                <c:pt idx="26">
                  <c:v>3.806</c:v>
                </c:pt>
                <c:pt idx="27">
                  <c:v>1.498</c:v>
                </c:pt>
                <c:pt idx="28">
                  <c:v>1.4470000000000001</c:v>
                </c:pt>
                <c:pt idx="29">
                  <c:v>1.7390000000000001</c:v>
                </c:pt>
                <c:pt idx="30">
                  <c:v>3.6520000000000001</c:v>
                </c:pt>
                <c:pt idx="31">
                  <c:v>3.016</c:v>
                </c:pt>
                <c:pt idx="32">
                  <c:v>4.3339999999999996</c:v>
                </c:pt>
                <c:pt idx="33">
                  <c:v>0.505</c:v>
                </c:pt>
                <c:pt idx="34">
                  <c:v>7.06</c:v>
                </c:pt>
                <c:pt idx="35">
                  <c:v>12.79</c:v>
                </c:pt>
                <c:pt idx="36">
                  <c:v>4.2939999999999996</c:v>
                </c:pt>
                <c:pt idx="37">
                  <c:v>6.7279999999999998</c:v>
                </c:pt>
                <c:pt idx="38">
                  <c:v>-0.28299999999999997</c:v>
                </c:pt>
                <c:pt idx="39">
                  <c:v>3.1</c:v>
                </c:pt>
                <c:pt idx="40">
                  <c:v>-2.657</c:v>
                </c:pt>
                <c:pt idx="41">
                  <c:v>-4.1509999999999998</c:v>
                </c:pt>
                <c:pt idx="42">
                  <c:v>-12.44</c:v>
                </c:pt>
                <c:pt idx="43">
                  <c:v>-6.8170000000000002</c:v>
                </c:pt>
                <c:pt idx="44">
                  <c:v>-10.77</c:v>
                </c:pt>
                <c:pt idx="45">
                  <c:v>-2.4700000000000002</c:v>
                </c:pt>
                <c:pt idx="46">
                  <c:v>-3.0339999999999998</c:v>
                </c:pt>
                <c:pt idx="47">
                  <c:v>1.121</c:v>
                </c:pt>
                <c:pt idx="48">
                  <c:v>1.9890000000000001</c:v>
                </c:pt>
                <c:pt idx="49">
                  <c:v>4.08</c:v>
                </c:pt>
                <c:pt idx="50">
                  <c:v>8.02</c:v>
                </c:pt>
                <c:pt idx="51">
                  <c:v>1.9910000000000001</c:v>
                </c:pt>
                <c:pt idx="52">
                  <c:v>3.907</c:v>
                </c:pt>
                <c:pt idx="53">
                  <c:v>4.4779999999999998</c:v>
                </c:pt>
                <c:pt idx="54">
                  <c:v>4.0469999999999997</c:v>
                </c:pt>
                <c:pt idx="55">
                  <c:v>1.1359999999999999</c:v>
                </c:pt>
                <c:pt idx="56">
                  <c:v>-5.8529999999999998</c:v>
                </c:pt>
                <c:pt idx="57">
                  <c:v>-4.6849999999999996</c:v>
                </c:pt>
                <c:pt idx="58">
                  <c:v>-3.4780000000000002</c:v>
                </c:pt>
                <c:pt idx="59">
                  <c:v>-0.106</c:v>
                </c:pt>
                <c:pt idx="60">
                  <c:v>-0.54</c:v>
                </c:pt>
                <c:pt idx="61">
                  <c:v>3.5209999999999999</c:v>
                </c:pt>
                <c:pt idx="62">
                  <c:v>-4.7389999999999999</c:v>
                </c:pt>
                <c:pt idx="63">
                  <c:v>-9.32</c:v>
                </c:pt>
                <c:pt idx="64">
                  <c:v>-6.4379999999999997</c:v>
                </c:pt>
                <c:pt idx="65">
                  <c:v>-3.0379999999999998</c:v>
                </c:pt>
                <c:pt idx="66">
                  <c:v>-1.9850000000000001</c:v>
                </c:pt>
                <c:pt idx="67">
                  <c:v>3.5659999999999998</c:v>
                </c:pt>
                <c:pt idx="68">
                  <c:v>6.0209999999999999</c:v>
                </c:pt>
                <c:pt idx="69">
                  <c:v>7.79</c:v>
                </c:pt>
                <c:pt idx="70">
                  <c:v>2.0670000000000002</c:v>
                </c:pt>
                <c:pt idx="71">
                  <c:v>2.6379999999999999</c:v>
                </c:pt>
                <c:pt idx="72">
                  <c:v>7.74</c:v>
                </c:pt>
                <c:pt idx="73">
                  <c:v>3.1859999999999999</c:v>
                </c:pt>
                <c:pt idx="74">
                  <c:v>7.01</c:v>
                </c:pt>
                <c:pt idx="75">
                  <c:v>6.915</c:v>
                </c:pt>
                <c:pt idx="76">
                  <c:v>3.24</c:v>
                </c:pt>
                <c:pt idx="77">
                  <c:v>6.0220000000000002</c:v>
                </c:pt>
                <c:pt idx="78">
                  <c:v>5.3220000000000001</c:v>
                </c:pt>
                <c:pt idx="79">
                  <c:v>3.6520000000000001</c:v>
                </c:pt>
                <c:pt idx="80">
                  <c:v>4.2460000000000004</c:v>
                </c:pt>
                <c:pt idx="81">
                  <c:v>2.4940000000000002</c:v>
                </c:pt>
                <c:pt idx="82">
                  <c:v>2.5619999999999998</c:v>
                </c:pt>
                <c:pt idx="83">
                  <c:v>5.617</c:v>
                </c:pt>
                <c:pt idx="84">
                  <c:v>5.2649999999999997</c:v>
                </c:pt>
                <c:pt idx="85">
                  <c:v>10.1</c:v>
                </c:pt>
                <c:pt idx="86">
                  <c:v>10.72</c:v>
                </c:pt>
                <c:pt idx="87">
                  <c:v>11.17</c:v>
                </c:pt>
                <c:pt idx="88">
                  <c:v>13.9</c:v>
                </c:pt>
                <c:pt idx="89">
                  <c:v>12.33</c:v>
                </c:pt>
                <c:pt idx="90">
                  <c:v>5.5309999999999997</c:v>
                </c:pt>
                <c:pt idx="91">
                  <c:v>0.91700000000000004</c:v>
                </c:pt>
                <c:pt idx="92">
                  <c:v>10.87</c:v>
                </c:pt>
                <c:pt idx="93">
                  <c:v>5.4960000000000004</c:v>
                </c:pt>
                <c:pt idx="94">
                  <c:v>4.758</c:v>
                </c:pt>
                <c:pt idx="95">
                  <c:v>8.76</c:v>
                </c:pt>
                <c:pt idx="96">
                  <c:v>6.6470000000000002</c:v>
                </c:pt>
                <c:pt idx="97">
                  <c:v>1.3009999999999999</c:v>
                </c:pt>
                <c:pt idx="98">
                  <c:v>7.24</c:v>
                </c:pt>
                <c:pt idx="99">
                  <c:v>5.1829999999999998</c:v>
                </c:pt>
                <c:pt idx="100">
                  <c:v>7.09</c:v>
                </c:pt>
                <c:pt idx="101">
                  <c:v>5.266</c:v>
                </c:pt>
                <c:pt idx="102">
                  <c:v>3.7069999999999999</c:v>
                </c:pt>
                <c:pt idx="103">
                  <c:v>1.4810000000000001</c:v>
                </c:pt>
                <c:pt idx="104">
                  <c:v>5.3319999999999999</c:v>
                </c:pt>
                <c:pt idx="105">
                  <c:v>7.82</c:v>
                </c:pt>
                <c:pt idx="106">
                  <c:v>4.2069999999999999</c:v>
                </c:pt>
                <c:pt idx="107">
                  <c:v>8.4600000000000009</c:v>
                </c:pt>
                <c:pt idx="108">
                  <c:v>2.2709999999999999</c:v>
                </c:pt>
                <c:pt idx="109">
                  <c:v>7.87</c:v>
                </c:pt>
                <c:pt idx="110">
                  <c:v>9.33</c:v>
                </c:pt>
                <c:pt idx="111">
                  <c:v>12.02</c:v>
                </c:pt>
                <c:pt idx="112">
                  <c:v>13.12</c:v>
                </c:pt>
                <c:pt idx="113">
                  <c:v>7.56</c:v>
                </c:pt>
                <c:pt idx="114">
                  <c:v>12.97</c:v>
                </c:pt>
                <c:pt idx="115">
                  <c:v>6.734</c:v>
                </c:pt>
                <c:pt idx="116">
                  <c:v>10.67</c:v>
                </c:pt>
                <c:pt idx="117">
                  <c:v>9.8000000000000007</c:v>
                </c:pt>
                <c:pt idx="118">
                  <c:v>8.7799999999999994</c:v>
                </c:pt>
                <c:pt idx="119">
                  <c:v>6.01</c:v>
                </c:pt>
                <c:pt idx="120">
                  <c:v>10.62</c:v>
                </c:pt>
                <c:pt idx="121">
                  <c:v>9.4499999999999993</c:v>
                </c:pt>
                <c:pt idx="122">
                  <c:v>8.68</c:v>
                </c:pt>
                <c:pt idx="123">
                  <c:v>12.35</c:v>
                </c:pt>
                <c:pt idx="124">
                  <c:v>6.3440000000000003</c:v>
                </c:pt>
                <c:pt idx="125">
                  <c:v>12.55</c:v>
                </c:pt>
                <c:pt idx="126">
                  <c:v>12.84</c:v>
                </c:pt>
                <c:pt idx="127">
                  <c:v>13.57</c:v>
                </c:pt>
                <c:pt idx="128">
                  <c:v>15.23</c:v>
                </c:pt>
                <c:pt idx="129">
                  <c:v>12.59</c:v>
                </c:pt>
                <c:pt idx="130">
                  <c:v>4.556</c:v>
                </c:pt>
                <c:pt idx="131">
                  <c:v>7.85</c:v>
                </c:pt>
                <c:pt idx="132">
                  <c:v>16.64</c:v>
                </c:pt>
                <c:pt idx="133">
                  <c:v>13.97</c:v>
                </c:pt>
                <c:pt idx="134">
                  <c:v>16.170000000000002</c:v>
                </c:pt>
                <c:pt idx="135">
                  <c:v>18.850000000000001</c:v>
                </c:pt>
                <c:pt idx="136">
                  <c:v>12.24</c:v>
                </c:pt>
                <c:pt idx="137">
                  <c:v>8.6999999999999993</c:v>
                </c:pt>
                <c:pt idx="138">
                  <c:v>11.22</c:v>
                </c:pt>
                <c:pt idx="139">
                  <c:v>8.31</c:v>
                </c:pt>
                <c:pt idx="140">
                  <c:v>13.1</c:v>
                </c:pt>
                <c:pt idx="141">
                  <c:v>15.83</c:v>
                </c:pt>
                <c:pt idx="142">
                  <c:v>17.420000000000002</c:v>
                </c:pt>
                <c:pt idx="143">
                  <c:v>16.95</c:v>
                </c:pt>
                <c:pt idx="144">
                  <c:v>15.45</c:v>
                </c:pt>
                <c:pt idx="145">
                  <c:v>16.57</c:v>
                </c:pt>
                <c:pt idx="146">
                  <c:v>20.48</c:v>
                </c:pt>
                <c:pt idx="147">
                  <c:v>24.03</c:v>
                </c:pt>
                <c:pt idx="148">
                  <c:v>23.63</c:v>
                </c:pt>
                <c:pt idx="149">
                  <c:v>20.87</c:v>
                </c:pt>
                <c:pt idx="150">
                  <c:v>18.75</c:v>
                </c:pt>
                <c:pt idx="151">
                  <c:v>21.86</c:v>
                </c:pt>
                <c:pt idx="152">
                  <c:v>19.36</c:v>
                </c:pt>
                <c:pt idx="153">
                  <c:v>21.57</c:v>
                </c:pt>
                <c:pt idx="154">
                  <c:v>18.57</c:v>
                </c:pt>
                <c:pt idx="155">
                  <c:v>5.7930000000000001</c:v>
                </c:pt>
                <c:pt idx="156">
                  <c:v>8.11</c:v>
                </c:pt>
                <c:pt idx="157">
                  <c:v>18.940000000000001</c:v>
                </c:pt>
                <c:pt idx="158">
                  <c:v>19.2</c:v>
                </c:pt>
                <c:pt idx="159">
                  <c:v>19.809999999999999</c:v>
                </c:pt>
                <c:pt idx="160">
                  <c:v>19.37</c:v>
                </c:pt>
                <c:pt idx="161">
                  <c:v>12.01</c:v>
                </c:pt>
                <c:pt idx="162">
                  <c:v>14.84</c:v>
                </c:pt>
                <c:pt idx="163">
                  <c:v>12.12</c:v>
                </c:pt>
                <c:pt idx="164">
                  <c:v>10.32</c:v>
                </c:pt>
                <c:pt idx="165">
                  <c:v>14.71</c:v>
                </c:pt>
                <c:pt idx="166">
                  <c:v>16.37</c:v>
                </c:pt>
                <c:pt idx="167">
                  <c:v>12.53</c:v>
                </c:pt>
                <c:pt idx="168">
                  <c:v>13.51</c:v>
                </c:pt>
                <c:pt idx="169">
                  <c:v>11.23</c:v>
                </c:pt>
                <c:pt idx="170">
                  <c:v>9.82</c:v>
                </c:pt>
                <c:pt idx="171">
                  <c:v>17.600000000000001</c:v>
                </c:pt>
                <c:pt idx="172">
                  <c:v>20.14</c:v>
                </c:pt>
                <c:pt idx="173">
                  <c:v>20.83</c:v>
                </c:pt>
                <c:pt idx="174">
                  <c:v>20.13</c:v>
                </c:pt>
                <c:pt idx="175">
                  <c:v>19.170000000000002</c:v>
                </c:pt>
                <c:pt idx="176">
                  <c:v>14.7</c:v>
                </c:pt>
                <c:pt idx="177">
                  <c:v>18.55</c:v>
                </c:pt>
                <c:pt idx="178">
                  <c:v>22.42</c:v>
                </c:pt>
                <c:pt idx="179">
                  <c:v>23.67</c:v>
                </c:pt>
                <c:pt idx="180">
                  <c:v>24.49</c:v>
                </c:pt>
                <c:pt idx="181">
                  <c:v>24.31</c:v>
                </c:pt>
                <c:pt idx="182">
                  <c:v>15.77</c:v>
                </c:pt>
                <c:pt idx="183">
                  <c:v>16.88</c:v>
                </c:pt>
                <c:pt idx="184">
                  <c:v>13.02</c:v>
                </c:pt>
                <c:pt idx="185">
                  <c:v>17.309999999999999</c:v>
                </c:pt>
                <c:pt idx="186">
                  <c:v>16.97</c:v>
                </c:pt>
                <c:pt idx="187">
                  <c:v>17.670000000000002</c:v>
                </c:pt>
                <c:pt idx="188">
                  <c:v>20.11</c:v>
                </c:pt>
                <c:pt idx="189">
                  <c:v>21.58</c:v>
                </c:pt>
                <c:pt idx="190">
                  <c:v>14.99</c:v>
                </c:pt>
                <c:pt idx="191">
                  <c:v>15.61</c:v>
                </c:pt>
                <c:pt idx="192">
                  <c:v>17.82</c:v>
                </c:pt>
                <c:pt idx="193">
                  <c:v>19.350000000000001</c:v>
                </c:pt>
                <c:pt idx="194">
                  <c:v>17.899999999999999</c:v>
                </c:pt>
                <c:pt idx="195">
                  <c:v>20.13</c:v>
                </c:pt>
                <c:pt idx="196">
                  <c:v>21.78</c:v>
                </c:pt>
                <c:pt idx="197">
                  <c:v>22.67</c:v>
                </c:pt>
                <c:pt idx="198">
                  <c:v>22.1</c:v>
                </c:pt>
                <c:pt idx="199">
                  <c:v>24.83</c:v>
                </c:pt>
                <c:pt idx="200">
                  <c:v>21.96</c:v>
                </c:pt>
                <c:pt idx="201">
                  <c:v>21.41</c:v>
                </c:pt>
                <c:pt idx="202">
                  <c:v>22.65</c:v>
                </c:pt>
                <c:pt idx="203">
                  <c:v>15.61</c:v>
                </c:pt>
                <c:pt idx="204">
                  <c:v>16.53</c:v>
                </c:pt>
                <c:pt idx="205">
                  <c:v>14.97</c:v>
                </c:pt>
                <c:pt idx="206">
                  <c:v>15.2</c:v>
                </c:pt>
                <c:pt idx="207">
                  <c:v>14.13</c:v>
                </c:pt>
                <c:pt idx="208">
                  <c:v>17.510000000000002</c:v>
                </c:pt>
                <c:pt idx="209">
                  <c:v>8.4600000000000009</c:v>
                </c:pt>
                <c:pt idx="210">
                  <c:v>16.66</c:v>
                </c:pt>
                <c:pt idx="211">
                  <c:v>17.07</c:v>
                </c:pt>
                <c:pt idx="212">
                  <c:v>15.17</c:v>
                </c:pt>
                <c:pt idx="213">
                  <c:v>16.02</c:v>
                </c:pt>
                <c:pt idx="214">
                  <c:v>21.05</c:v>
                </c:pt>
                <c:pt idx="215">
                  <c:v>25.2</c:v>
                </c:pt>
                <c:pt idx="216">
                  <c:v>15.18</c:v>
                </c:pt>
                <c:pt idx="217">
                  <c:v>7.62</c:v>
                </c:pt>
                <c:pt idx="218">
                  <c:v>11.03</c:v>
                </c:pt>
                <c:pt idx="219">
                  <c:v>9.94</c:v>
                </c:pt>
                <c:pt idx="220">
                  <c:v>16.55</c:v>
                </c:pt>
                <c:pt idx="221">
                  <c:v>16.649999999999999</c:v>
                </c:pt>
                <c:pt idx="222">
                  <c:v>13.8</c:v>
                </c:pt>
                <c:pt idx="223">
                  <c:v>5.9169999999999998</c:v>
                </c:pt>
                <c:pt idx="224">
                  <c:v>15.58</c:v>
                </c:pt>
                <c:pt idx="225">
                  <c:v>11.64</c:v>
                </c:pt>
                <c:pt idx="226">
                  <c:v>11.19</c:v>
                </c:pt>
                <c:pt idx="227">
                  <c:v>11.69</c:v>
                </c:pt>
                <c:pt idx="228">
                  <c:v>7.27</c:v>
                </c:pt>
                <c:pt idx="229">
                  <c:v>9.91</c:v>
                </c:pt>
                <c:pt idx="230">
                  <c:v>14.83</c:v>
                </c:pt>
                <c:pt idx="231">
                  <c:v>18.920000000000002</c:v>
                </c:pt>
                <c:pt idx="232">
                  <c:v>20.55</c:v>
                </c:pt>
                <c:pt idx="233">
                  <c:v>20.07</c:v>
                </c:pt>
                <c:pt idx="234">
                  <c:v>18.2</c:v>
                </c:pt>
                <c:pt idx="235">
                  <c:v>12.83</c:v>
                </c:pt>
                <c:pt idx="236">
                  <c:v>16.079999999999998</c:v>
                </c:pt>
                <c:pt idx="237">
                  <c:v>13.93</c:v>
                </c:pt>
                <c:pt idx="238">
                  <c:v>16.41</c:v>
                </c:pt>
                <c:pt idx="239">
                  <c:v>17.88</c:v>
                </c:pt>
                <c:pt idx="240">
                  <c:v>10.87</c:v>
                </c:pt>
                <c:pt idx="241">
                  <c:v>14.99</c:v>
                </c:pt>
                <c:pt idx="242">
                  <c:v>17.489999999999998</c:v>
                </c:pt>
                <c:pt idx="243">
                  <c:v>19.62</c:v>
                </c:pt>
                <c:pt idx="244">
                  <c:v>21.23</c:v>
                </c:pt>
                <c:pt idx="245">
                  <c:v>22.98</c:v>
                </c:pt>
                <c:pt idx="246">
                  <c:v>27.78</c:v>
                </c:pt>
                <c:pt idx="247">
                  <c:v>13.1</c:v>
                </c:pt>
                <c:pt idx="248">
                  <c:v>15.9</c:v>
                </c:pt>
                <c:pt idx="249">
                  <c:v>19.190000000000001</c:v>
                </c:pt>
                <c:pt idx="250">
                  <c:v>19.5</c:v>
                </c:pt>
                <c:pt idx="251">
                  <c:v>20.23</c:v>
                </c:pt>
                <c:pt idx="252">
                  <c:v>20.57</c:v>
                </c:pt>
                <c:pt idx="253">
                  <c:v>18.989999999999998</c:v>
                </c:pt>
                <c:pt idx="254">
                  <c:v>17.989999999999998</c:v>
                </c:pt>
                <c:pt idx="255">
                  <c:v>19.21</c:v>
                </c:pt>
                <c:pt idx="256">
                  <c:v>19.190000000000001</c:v>
                </c:pt>
                <c:pt idx="257">
                  <c:v>17.47</c:v>
                </c:pt>
                <c:pt idx="258">
                  <c:v>16.84</c:v>
                </c:pt>
                <c:pt idx="259">
                  <c:v>18.04</c:v>
                </c:pt>
                <c:pt idx="260">
                  <c:v>14.37</c:v>
                </c:pt>
                <c:pt idx="261">
                  <c:v>13.07</c:v>
                </c:pt>
                <c:pt idx="262">
                  <c:v>13.28</c:v>
                </c:pt>
                <c:pt idx="263">
                  <c:v>14.52</c:v>
                </c:pt>
                <c:pt idx="264">
                  <c:v>16.11</c:v>
                </c:pt>
                <c:pt idx="265">
                  <c:v>19.48</c:v>
                </c:pt>
                <c:pt idx="266">
                  <c:v>19.23</c:v>
                </c:pt>
                <c:pt idx="267">
                  <c:v>18.66</c:v>
                </c:pt>
                <c:pt idx="268">
                  <c:v>13.91</c:v>
                </c:pt>
                <c:pt idx="269">
                  <c:v>11.68</c:v>
                </c:pt>
                <c:pt idx="270">
                  <c:v>11.29</c:v>
                </c:pt>
                <c:pt idx="271">
                  <c:v>11.58</c:v>
                </c:pt>
                <c:pt idx="272">
                  <c:v>8.2100000000000009</c:v>
                </c:pt>
                <c:pt idx="273">
                  <c:v>5.0830000000000002</c:v>
                </c:pt>
                <c:pt idx="274">
                  <c:v>5.3</c:v>
                </c:pt>
                <c:pt idx="275">
                  <c:v>3.6059999999999999</c:v>
                </c:pt>
                <c:pt idx="276">
                  <c:v>5.8789999999999996</c:v>
                </c:pt>
                <c:pt idx="277">
                  <c:v>5.96</c:v>
                </c:pt>
                <c:pt idx="278">
                  <c:v>6.57</c:v>
                </c:pt>
                <c:pt idx="279">
                  <c:v>6.7389999999999999</c:v>
                </c:pt>
                <c:pt idx="280">
                  <c:v>5.9720000000000004</c:v>
                </c:pt>
                <c:pt idx="281">
                  <c:v>3.9910000000000001</c:v>
                </c:pt>
                <c:pt idx="282">
                  <c:v>8.52</c:v>
                </c:pt>
                <c:pt idx="283">
                  <c:v>2.2730000000000001</c:v>
                </c:pt>
                <c:pt idx="284">
                  <c:v>3.8650000000000002</c:v>
                </c:pt>
                <c:pt idx="285">
                  <c:v>0.39500000000000002</c:v>
                </c:pt>
                <c:pt idx="286">
                  <c:v>6.1970000000000001</c:v>
                </c:pt>
                <c:pt idx="287">
                  <c:v>9.1199999999999992</c:v>
                </c:pt>
                <c:pt idx="288">
                  <c:v>5.27</c:v>
                </c:pt>
                <c:pt idx="289">
                  <c:v>3.2909999999999999</c:v>
                </c:pt>
                <c:pt idx="290">
                  <c:v>2.8929999999999998</c:v>
                </c:pt>
                <c:pt idx="291">
                  <c:v>5.7720000000000002</c:v>
                </c:pt>
                <c:pt idx="292">
                  <c:v>4.2039999999999997</c:v>
                </c:pt>
                <c:pt idx="293">
                  <c:v>2.4620000000000002</c:v>
                </c:pt>
                <c:pt idx="294">
                  <c:v>3.25</c:v>
                </c:pt>
                <c:pt idx="295">
                  <c:v>1.2190000000000001</c:v>
                </c:pt>
                <c:pt idx="296">
                  <c:v>1.363</c:v>
                </c:pt>
                <c:pt idx="297">
                  <c:v>0.754</c:v>
                </c:pt>
                <c:pt idx="298">
                  <c:v>4.05</c:v>
                </c:pt>
                <c:pt idx="299">
                  <c:v>0.52800000000000002</c:v>
                </c:pt>
                <c:pt idx="300">
                  <c:v>0.68500000000000005</c:v>
                </c:pt>
                <c:pt idx="301">
                  <c:v>-1.7000000000000001E-2</c:v>
                </c:pt>
                <c:pt idx="302">
                  <c:v>-3.7679999999999998</c:v>
                </c:pt>
                <c:pt idx="303">
                  <c:v>-2.2869999999999999</c:v>
                </c:pt>
                <c:pt idx="304">
                  <c:v>-3.7549999999999999</c:v>
                </c:pt>
                <c:pt idx="305">
                  <c:v>-2.11</c:v>
                </c:pt>
                <c:pt idx="306">
                  <c:v>-1.208</c:v>
                </c:pt>
                <c:pt idx="307">
                  <c:v>-2.5760000000000001</c:v>
                </c:pt>
                <c:pt idx="308">
                  <c:v>-3.3359999999999999</c:v>
                </c:pt>
                <c:pt idx="309">
                  <c:v>-4.4340000000000002</c:v>
                </c:pt>
                <c:pt idx="310">
                  <c:v>-4.0060000000000002</c:v>
                </c:pt>
                <c:pt idx="311">
                  <c:v>4.4980000000000002</c:v>
                </c:pt>
                <c:pt idx="312">
                  <c:v>-4.3239999999999998</c:v>
                </c:pt>
                <c:pt idx="313">
                  <c:v>-7.29</c:v>
                </c:pt>
                <c:pt idx="314">
                  <c:v>1.8240000000000001</c:v>
                </c:pt>
                <c:pt idx="315">
                  <c:v>1.2050000000000001</c:v>
                </c:pt>
                <c:pt idx="316">
                  <c:v>0.11</c:v>
                </c:pt>
                <c:pt idx="317">
                  <c:v>3.0960000000000001</c:v>
                </c:pt>
                <c:pt idx="318">
                  <c:v>6.2649999999999997</c:v>
                </c:pt>
                <c:pt idx="319">
                  <c:v>5.1440000000000001</c:v>
                </c:pt>
                <c:pt idx="320">
                  <c:v>5.6619999999999999</c:v>
                </c:pt>
                <c:pt idx="321">
                  <c:v>5.4210000000000003</c:v>
                </c:pt>
                <c:pt idx="322">
                  <c:v>2.2429999999999999</c:v>
                </c:pt>
                <c:pt idx="323">
                  <c:v>7.57</c:v>
                </c:pt>
                <c:pt idx="324">
                  <c:v>4.5069999999999997</c:v>
                </c:pt>
                <c:pt idx="325">
                  <c:v>2.1070000000000002</c:v>
                </c:pt>
                <c:pt idx="326">
                  <c:v>3.302</c:v>
                </c:pt>
                <c:pt idx="327">
                  <c:v>5.2789999999999999</c:v>
                </c:pt>
                <c:pt idx="328">
                  <c:v>2.4649999999999999</c:v>
                </c:pt>
                <c:pt idx="329">
                  <c:v>-0.82</c:v>
                </c:pt>
                <c:pt idx="330">
                  <c:v>-2.3250000000000002</c:v>
                </c:pt>
                <c:pt idx="331">
                  <c:v>3.944</c:v>
                </c:pt>
                <c:pt idx="332">
                  <c:v>5.7770000000000001</c:v>
                </c:pt>
                <c:pt idx="333">
                  <c:v>2.0070000000000001</c:v>
                </c:pt>
                <c:pt idx="334">
                  <c:v>-0.501</c:v>
                </c:pt>
                <c:pt idx="335">
                  <c:v>-4.1900000000000004</c:v>
                </c:pt>
                <c:pt idx="336">
                  <c:v>-3.895</c:v>
                </c:pt>
                <c:pt idx="337">
                  <c:v>-3.9089999999999998</c:v>
                </c:pt>
                <c:pt idx="338">
                  <c:v>-9.9</c:v>
                </c:pt>
                <c:pt idx="339">
                  <c:v>-8.4</c:v>
                </c:pt>
                <c:pt idx="340">
                  <c:v>-9.4700000000000006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260800"/>
        <c:axId val="155262336"/>
      </c:lineChart>
      <c:catAx>
        <c:axId val="155260800"/>
        <c:scaling>
          <c:orientation val="minMax"/>
        </c:scaling>
        <c:delete val="0"/>
        <c:axPos val="b"/>
        <c:majorTickMark val="cross"/>
        <c:minorTickMark val="none"/>
        <c:tickLblPos val="nextTo"/>
        <c:crossAx val="155262336"/>
        <c:crosses val="autoZero"/>
        <c:auto val="1"/>
        <c:lblAlgn val="ctr"/>
        <c:lblOffset val="100"/>
        <c:tickMarkSkip val="12"/>
        <c:noMultiLvlLbl val="0"/>
      </c:catAx>
      <c:valAx>
        <c:axId val="1552623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5260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6m</c:v>
          </c:tx>
          <c:marker>
            <c:symbol val="none"/>
          </c:marker>
          <c:val>
            <c:numRef>
              <c:f>Data!$AF$7:$AF$371</c:f>
              <c:numCache>
                <c:formatCode>General</c:formatCode>
                <c:ptCount val="365"/>
                <c:pt idx="0">
                  <c:v>-20.36</c:v>
                </c:pt>
                <c:pt idx="1">
                  <c:v>-21.33</c:v>
                </c:pt>
                <c:pt idx="2">
                  <c:v>-21.81</c:v>
                </c:pt>
                <c:pt idx="3">
                  <c:v>-20.18</c:v>
                </c:pt>
                <c:pt idx="4">
                  <c:v>-22.01</c:v>
                </c:pt>
                <c:pt idx="5">
                  <c:v>-21.43</c:v>
                </c:pt>
                <c:pt idx="6">
                  <c:v>-24.24</c:v>
                </c:pt>
                <c:pt idx="7">
                  <c:v>-7.66</c:v>
                </c:pt>
                <c:pt idx="8">
                  <c:v>-5.8129999999999997</c:v>
                </c:pt>
                <c:pt idx="9">
                  <c:v>-3.7909999999999999</c:v>
                </c:pt>
                <c:pt idx="10">
                  <c:v>-6.7960000000000003</c:v>
                </c:pt>
                <c:pt idx="11">
                  <c:v>-7.77</c:v>
                </c:pt>
                <c:pt idx="12">
                  <c:v>-2.8540000000000001</c:v>
                </c:pt>
                <c:pt idx="13">
                  <c:v>-6.5529999999999999</c:v>
                </c:pt>
                <c:pt idx="14">
                  <c:v>-5.8949999999999996</c:v>
                </c:pt>
                <c:pt idx="15">
                  <c:v>-6.0010000000000003</c:v>
                </c:pt>
                <c:pt idx="16">
                  <c:v>-7.27</c:v>
                </c:pt>
                <c:pt idx="17">
                  <c:v>-6.19</c:v>
                </c:pt>
                <c:pt idx="18">
                  <c:v>-12.8</c:v>
                </c:pt>
                <c:pt idx="19">
                  <c:v>-13.74</c:v>
                </c:pt>
                <c:pt idx="20">
                  <c:v>-15.99</c:v>
                </c:pt>
                <c:pt idx="21">
                  <c:v>-17.53</c:v>
                </c:pt>
                <c:pt idx="22">
                  <c:v>-18.68</c:v>
                </c:pt>
                <c:pt idx="23">
                  <c:v>-14.79</c:v>
                </c:pt>
                <c:pt idx="24">
                  <c:v>-8.06</c:v>
                </c:pt>
                <c:pt idx="25">
                  <c:v>-5.8520000000000003</c:v>
                </c:pt>
                <c:pt idx="26">
                  <c:v>-12.43</c:v>
                </c:pt>
                <c:pt idx="27">
                  <c:v>-14.96</c:v>
                </c:pt>
                <c:pt idx="28">
                  <c:v>-1.091</c:v>
                </c:pt>
                <c:pt idx="29">
                  <c:v>-4.4379999999999997</c:v>
                </c:pt>
                <c:pt idx="30">
                  <c:v>-1.0999999999999999E-2</c:v>
                </c:pt>
                <c:pt idx="31">
                  <c:v>-0.998</c:v>
                </c:pt>
                <c:pt idx="32">
                  <c:v>-5.0590000000000002</c:v>
                </c:pt>
                <c:pt idx="33">
                  <c:v>-7.54</c:v>
                </c:pt>
                <c:pt idx="34">
                  <c:v>-11.17</c:v>
                </c:pt>
                <c:pt idx="35">
                  <c:v>-6.5679999999999996</c:v>
                </c:pt>
                <c:pt idx="36">
                  <c:v>-1.2989999999999999</c:v>
                </c:pt>
                <c:pt idx="37">
                  <c:v>-9.66</c:v>
                </c:pt>
                <c:pt idx="38">
                  <c:v>-11.19</c:v>
                </c:pt>
                <c:pt idx="39">
                  <c:v>-12.92</c:v>
                </c:pt>
                <c:pt idx="40">
                  <c:v>-14.41</c:v>
                </c:pt>
                <c:pt idx="41">
                  <c:v>-18.7</c:v>
                </c:pt>
                <c:pt idx="42">
                  <c:v>-19.63</c:v>
                </c:pt>
                <c:pt idx="43">
                  <c:v>-28.29</c:v>
                </c:pt>
                <c:pt idx="44">
                  <c:v>-28.57</c:v>
                </c:pt>
                <c:pt idx="45">
                  <c:v>-14.03</c:v>
                </c:pt>
                <c:pt idx="46">
                  <c:v>-7.44</c:v>
                </c:pt>
                <c:pt idx="47">
                  <c:v>-3.351</c:v>
                </c:pt>
                <c:pt idx="48">
                  <c:v>-2.84</c:v>
                </c:pt>
                <c:pt idx="49">
                  <c:v>-0.246</c:v>
                </c:pt>
                <c:pt idx="50">
                  <c:v>0.53400000000000003</c:v>
                </c:pt>
                <c:pt idx="51">
                  <c:v>-5.7649999999999997</c:v>
                </c:pt>
                <c:pt idx="52">
                  <c:v>-10.77</c:v>
                </c:pt>
                <c:pt idx="53">
                  <c:v>-11.1</c:v>
                </c:pt>
                <c:pt idx="54">
                  <c:v>-1.1100000000000001</c:v>
                </c:pt>
                <c:pt idx="55">
                  <c:v>-10.36</c:v>
                </c:pt>
                <c:pt idx="56">
                  <c:v>-19.309999999999999</c:v>
                </c:pt>
                <c:pt idx="57">
                  <c:v>-25.03</c:v>
                </c:pt>
                <c:pt idx="58">
                  <c:v>-25.43</c:v>
                </c:pt>
                <c:pt idx="59">
                  <c:v>-26.18</c:v>
                </c:pt>
                <c:pt idx="60">
                  <c:v>-23.26</c:v>
                </c:pt>
                <c:pt idx="61">
                  <c:v>-18.91</c:v>
                </c:pt>
                <c:pt idx="62">
                  <c:v>-14.7</c:v>
                </c:pt>
                <c:pt idx="63">
                  <c:v>-24.61</c:v>
                </c:pt>
                <c:pt idx="64">
                  <c:v>-27.55</c:v>
                </c:pt>
                <c:pt idx="65">
                  <c:v>-22.54</c:v>
                </c:pt>
                <c:pt idx="66">
                  <c:v>-8.7100000000000009</c:v>
                </c:pt>
                <c:pt idx="67">
                  <c:v>-1.9570000000000001</c:v>
                </c:pt>
                <c:pt idx="68">
                  <c:v>0.60499999999999998</c:v>
                </c:pt>
                <c:pt idx="69">
                  <c:v>8.6999999999999994E-2</c:v>
                </c:pt>
                <c:pt idx="70">
                  <c:v>-9.17</c:v>
                </c:pt>
                <c:pt idx="71">
                  <c:v>-9.81</c:v>
                </c:pt>
                <c:pt idx="72">
                  <c:v>-1.3740000000000001</c:v>
                </c:pt>
                <c:pt idx="73">
                  <c:v>-4.8529999999999998</c:v>
                </c:pt>
                <c:pt idx="74">
                  <c:v>-9.0500000000000007</c:v>
                </c:pt>
                <c:pt idx="75">
                  <c:v>-5.1219999999999999</c:v>
                </c:pt>
                <c:pt idx="76">
                  <c:v>-0.79</c:v>
                </c:pt>
                <c:pt idx="77">
                  <c:v>-2.9670000000000001</c:v>
                </c:pt>
                <c:pt idx="78">
                  <c:v>-3.4359999999999999</c:v>
                </c:pt>
                <c:pt idx="79">
                  <c:v>-6.2910000000000004</c:v>
                </c:pt>
                <c:pt idx="80">
                  <c:v>-8.01</c:v>
                </c:pt>
                <c:pt idx="81">
                  <c:v>-5.2939999999999996</c:v>
                </c:pt>
                <c:pt idx="82">
                  <c:v>-7.07</c:v>
                </c:pt>
                <c:pt idx="83">
                  <c:v>-16.7</c:v>
                </c:pt>
                <c:pt idx="84">
                  <c:v>-17.149999999999999</c:v>
                </c:pt>
                <c:pt idx="85">
                  <c:v>-14.04</c:v>
                </c:pt>
                <c:pt idx="86">
                  <c:v>-11.71</c:v>
                </c:pt>
                <c:pt idx="87">
                  <c:v>-8.5399999999999991</c:v>
                </c:pt>
                <c:pt idx="88">
                  <c:v>-6.2380000000000004</c:v>
                </c:pt>
                <c:pt idx="89">
                  <c:v>-7.34</c:v>
                </c:pt>
                <c:pt idx="90">
                  <c:v>-2.391</c:v>
                </c:pt>
                <c:pt idx="91">
                  <c:v>-4.2619999999999996</c:v>
                </c:pt>
                <c:pt idx="92">
                  <c:v>-1.464</c:v>
                </c:pt>
                <c:pt idx="93">
                  <c:v>-7.95</c:v>
                </c:pt>
                <c:pt idx="94">
                  <c:v>-8.6300000000000008</c:v>
                </c:pt>
                <c:pt idx="95">
                  <c:v>-5.0789999999999997</c:v>
                </c:pt>
                <c:pt idx="96">
                  <c:v>-1.67</c:v>
                </c:pt>
                <c:pt idx="97">
                  <c:v>-3.3690000000000002</c:v>
                </c:pt>
                <c:pt idx="98">
                  <c:v>-3.246</c:v>
                </c:pt>
                <c:pt idx="99">
                  <c:v>-7.97</c:v>
                </c:pt>
                <c:pt idx="100">
                  <c:v>-12.25</c:v>
                </c:pt>
                <c:pt idx="101">
                  <c:v>-13.51</c:v>
                </c:pt>
                <c:pt idx="102">
                  <c:v>-3.0190000000000001</c:v>
                </c:pt>
                <c:pt idx="103">
                  <c:v>-4.0860000000000003</c:v>
                </c:pt>
                <c:pt idx="104">
                  <c:v>-11.04</c:v>
                </c:pt>
                <c:pt idx="105">
                  <c:v>-14.68</c:v>
                </c:pt>
                <c:pt idx="106">
                  <c:v>-5.375</c:v>
                </c:pt>
                <c:pt idx="107">
                  <c:v>-4.9349999999999996</c:v>
                </c:pt>
                <c:pt idx="108">
                  <c:v>-6.1159999999999997</c:v>
                </c:pt>
                <c:pt idx="109">
                  <c:v>-7.64</c:v>
                </c:pt>
                <c:pt idx="110">
                  <c:v>-10.01</c:v>
                </c:pt>
                <c:pt idx="111">
                  <c:v>-7.89</c:v>
                </c:pt>
                <c:pt idx="112">
                  <c:v>-7.35</c:v>
                </c:pt>
                <c:pt idx="113">
                  <c:v>-3.081</c:v>
                </c:pt>
                <c:pt idx="114">
                  <c:v>-5.867</c:v>
                </c:pt>
                <c:pt idx="115">
                  <c:v>-4.0670000000000002</c:v>
                </c:pt>
                <c:pt idx="116">
                  <c:v>-0.32500000000000001</c:v>
                </c:pt>
                <c:pt idx="117">
                  <c:v>-1.825</c:v>
                </c:pt>
                <c:pt idx="118">
                  <c:v>-1.538</c:v>
                </c:pt>
                <c:pt idx="119">
                  <c:v>-1.8009999999999999</c:v>
                </c:pt>
                <c:pt idx="120">
                  <c:v>-2.665</c:v>
                </c:pt>
                <c:pt idx="121">
                  <c:v>-1.369</c:v>
                </c:pt>
                <c:pt idx="122">
                  <c:v>-2.0089999999999999</c:v>
                </c:pt>
                <c:pt idx="123">
                  <c:v>-4.1150000000000002</c:v>
                </c:pt>
                <c:pt idx="124">
                  <c:v>-2.74</c:v>
                </c:pt>
                <c:pt idx="125">
                  <c:v>-1.802</c:v>
                </c:pt>
                <c:pt idx="126">
                  <c:v>-1.274</c:v>
                </c:pt>
                <c:pt idx="127">
                  <c:v>-1.613</c:v>
                </c:pt>
                <c:pt idx="128">
                  <c:v>-0.35799999999999998</c:v>
                </c:pt>
                <c:pt idx="129">
                  <c:v>0.13900000000000001</c:v>
                </c:pt>
                <c:pt idx="130">
                  <c:v>0.58499999999999996</c:v>
                </c:pt>
                <c:pt idx="131">
                  <c:v>-0.80400000000000005</c:v>
                </c:pt>
                <c:pt idx="132">
                  <c:v>-3.569</c:v>
                </c:pt>
                <c:pt idx="133">
                  <c:v>-2.0649999999999999</c:v>
                </c:pt>
                <c:pt idx="134">
                  <c:v>-0.96899999999999997</c:v>
                </c:pt>
                <c:pt idx="135">
                  <c:v>-1.7589999999999999</c:v>
                </c:pt>
                <c:pt idx="136">
                  <c:v>1.0409999999999999</c:v>
                </c:pt>
                <c:pt idx="137">
                  <c:v>-2.5369999999999999</c:v>
                </c:pt>
                <c:pt idx="138">
                  <c:v>-5.4580000000000002</c:v>
                </c:pt>
                <c:pt idx="139">
                  <c:v>-3.407</c:v>
                </c:pt>
                <c:pt idx="140">
                  <c:v>-5.3239999999999998</c:v>
                </c:pt>
                <c:pt idx="141">
                  <c:v>-4.4809999999999999</c:v>
                </c:pt>
                <c:pt idx="142">
                  <c:v>-2.835</c:v>
                </c:pt>
                <c:pt idx="143">
                  <c:v>-1.599</c:v>
                </c:pt>
                <c:pt idx="144">
                  <c:v>-0.89900000000000002</c:v>
                </c:pt>
                <c:pt idx="145">
                  <c:v>-3.1139999999999999</c:v>
                </c:pt>
                <c:pt idx="146">
                  <c:v>-1.863</c:v>
                </c:pt>
                <c:pt idx="147">
                  <c:v>-0.38600000000000001</c:v>
                </c:pt>
                <c:pt idx="148">
                  <c:v>1.1819999999999999</c:v>
                </c:pt>
                <c:pt idx="149">
                  <c:v>1.8069999999999999</c:v>
                </c:pt>
                <c:pt idx="150">
                  <c:v>-0.307</c:v>
                </c:pt>
                <c:pt idx="151">
                  <c:v>1.6040000000000001</c:v>
                </c:pt>
                <c:pt idx="152">
                  <c:v>2.681</c:v>
                </c:pt>
                <c:pt idx="153">
                  <c:v>1.5049999999999999</c:v>
                </c:pt>
                <c:pt idx="154">
                  <c:v>3.3479999999999999</c:v>
                </c:pt>
                <c:pt idx="155">
                  <c:v>2.2839999999999998</c:v>
                </c:pt>
                <c:pt idx="156">
                  <c:v>0.56599999999999995</c:v>
                </c:pt>
                <c:pt idx="157">
                  <c:v>0.182</c:v>
                </c:pt>
                <c:pt idx="158">
                  <c:v>-1.0489999999999999</c:v>
                </c:pt>
                <c:pt idx="159">
                  <c:v>-0.42499999999999999</c:v>
                </c:pt>
                <c:pt idx="160">
                  <c:v>0.57599999999999996</c:v>
                </c:pt>
                <c:pt idx="161">
                  <c:v>4.9020000000000001</c:v>
                </c:pt>
                <c:pt idx="162">
                  <c:v>2.0270000000000001</c:v>
                </c:pt>
                <c:pt idx="163">
                  <c:v>2.4220000000000002</c:v>
                </c:pt>
                <c:pt idx="164">
                  <c:v>3.4140000000000001</c:v>
                </c:pt>
                <c:pt idx="165">
                  <c:v>5.0510000000000002</c:v>
                </c:pt>
                <c:pt idx="166">
                  <c:v>1.7270000000000001</c:v>
                </c:pt>
                <c:pt idx="167">
                  <c:v>5.2489999999999997</c:v>
                </c:pt>
                <c:pt idx="168">
                  <c:v>3.9420000000000002</c:v>
                </c:pt>
                <c:pt idx="169">
                  <c:v>2.5950000000000002</c:v>
                </c:pt>
                <c:pt idx="170">
                  <c:v>6.1779999999999999</c:v>
                </c:pt>
                <c:pt idx="171">
                  <c:v>7.44</c:v>
                </c:pt>
                <c:pt idx="172">
                  <c:v>3.41</c:v>
                </c:pt>
                <c:pt idx="173">
                  <c:v>4.3609999999999998</c:v>
                </c:pt>
                <c:pt idx="174">
                  <c:v>6.4260000000000002</c:v>
                </c:pt>
                <c:pt idx="175">
                  <c:v>1.9370000000000001</c:v>
                </c:pt>
                <c:pt idx="176">
                  <c:v>0.247</c:v>
                </c:pt>
                <c:pt idx="177">
                  <c:v>-1.59</c:v>
                </c:pt>
                <c:pt idx="178">
                  <c:v>1.0409999999999999</c:v>
                </c:pt>
                <c:pt idx="179">
                  <c:v>3.452</c:v>
                </c:pt>
                <c:pt idx="180">
                  <c:v>4.6959999999999997</c:v>
                </c:pt>
                <c:pt idx="181">
                  <c:v>7.07</c:v>
                </c:pt>
                <c:pt idx="182">
                  <c:v>8.81</c:v>
                </c:pt>
                <c:pt idx="183">
                  <c:v>5.7869999999999999</c:v>
                </c:pt>
                <c:pt idx="184">
                  <c:v>4.8010000000000002</c:v>
                </c:pt>
                <c:pt idx="185">
                  <c:v>5.952</c:v>
                </c:pt>
                <c:pt idx="186">
                  <c:v>2.4910000000000001</c:v>
                </c:pt>
                <c:pt idx="187">
                  <c:v>8.0500000000000007</c:v>
                </c:pt>
                <c:pt idx="188">
                  <c:v>6.3460000000000001</c:v>
                </c:pt>
                <c:pt idx="189">
                  <c:v>7.8</c:v>
                </c:pt>
                <c:pt idx="190">
                  <c:v>5.4340000000000002</c:v>
                </c:pt>
                <c:pt idx="191">
                  <c:v>-7.32</c:v>
                </c:pt>
                <c:pt idx="192">
                  <c:v>-0.26500000000000001</c:v>
                </c:pt>
                <c:pt idx="193">
                  <c:v>1.627</c:v>
                </c:pt>
                <c:pt idx="194">
                  <c:v>4.8949999999999996</c:v>
                </c:pt>
                <c:pt idx="195">
                  <c:v>2.056</c:v>
                </c:pt>
                <c:pt idx="196">
                  <c:v>5.0970000000000004</c:v>
                </c:pt>
                <c:pt idx="197">
                  <c:v>3.5129999999999999</c:v>
                </c:pt>
                <c:pt idx="198">
                  <c:v>5.508</c:v>
                </c:pt>
                <c:pt idx="199">
                  <c:v>3.8769999999999998</c:v>
                </c:pt>
                <c:pt idx="200">
                  <c:v>7.09</c:v>
                </c:pt>
                <c:pt idx="201">
                  <c:v>6.61</c:v>
                </c:pt>
                <c:pt idx="202">
                  <c:v>4.2309999999999999</c:v>
                </c:pt>
                <c:pt idx="203">
                  <c:v>8.25</c:v>
                </c:pt>
                <c:pt idx="204">
                  <c:v>8.57</c:v>
                </c:pt>
                <c:pt idx="205">
                  <c:v>8.91</c:v>
                </c:pt>
                <c:pt idx="206">
                  <c:v>8.6</c:v>
                </c:pt>
                <c:pt idx="207">
                  <c:v>1.284</c:v>
                </c:pt>
                <c:pt idx="208">
                  <c:v>0.49099999999999999</c:v>
                </c:pt>
                <c:pt idx="209">
                  <c:v>3.2149999999999999</c:v>
                </c:pt>
                <c:pt idx="210">
                  <c:v>4.9400000000000004</c:v>
                </c:pt>
                <c:pt idx="211">
                  <c:v>6.0529999999999999</c:v>
                </c:pt>
                <c:pt idx="212">
                  <c:v>5.431</c:v>
                </c:pt>
                <c:pt idx="213">
                  <c:v>4.641</c:v>
                </c:pt>
                <c:pt idx="214">
                  <c:v>4.3579999999999997</c:v>
                </c:pt>
                <c:pt idx="215">
                  <c:v>5.5640000000000001</c:v>
                </c:pt>
                <c:pt idx="216">
                  <c:v>5.3049999999999997</c:v>
                </c:pt>
                <c:pt idx="217">
                  <c:v>4.1470000000000002</c:v>
                </c:pt>
                <c:pt idx="218">
                  <c:v>2.621</c:v>
                </c:pt>
                <c:pt idx="219">
                  <c:v>4.2300000000000004</c:v>
                </c:pt>
                <c:pt idx="220">
                  <c:v>3.5990000000000002</c:v>
                </c:pt>
                <c:pt idx="221">
                  <c:v>1.333</c:v>
                </c:pt>
                <c:pt idx="222">
                  <c:v>5.5670000000000002</c:v>
                </c:pt>
                <c:pt idx="223">
                  <c:v>3.5219999999999998</c:v>
                </c:pt>
                <c:pt idx="224">
                  <c:v>3.7810000000000001</c:v>
                </c:pt>
                <c:pt idx="225">
                  <c:v>4.1929999999999996</c:v>
                </c:pt>
                <c:pt idx="226">
                  <c:v>2.8029999999999999</c:v>
                </c:pt>
                <c:pt idx="227">
                  <c:v>1.8520000000000001</c:v>
                </c:pt>
                <c:pt idx="228">
                  <c:v>1.2290000000000001</c:v>
                </c:pt>
                <c:pt idx="229">
                  <c:v>3.6880000000000002</c:v>
                </c:pt>
                <c:pt idx="230">
                  <c:v>4.3150000000000004</c:v>
                </c:pt>
                <c:pt idx="231">
                  <c:v>0.46700000000000003</c:v>
                </c:pt>
                <c:pt idx="232">
                  <c:v>4.8070000000000004</c:v>
                </c:pt>
                <c:pt idx="233">
                  <c:v>2.8490000000000002</c:v>
                </c:pt>
                <c:pt idx="234">
                  <c:v>0.34499999999999997</c:v>
                </c:pt>
                <c:pt idx="235">
                  <c:v>-1.002</c:v>
                </c:pt>
                <c:pt idx="236">
                  <c:v>-2.419</c:v>
                </c:pt>
                <c:pt idx="237">
                  <c:v>0.84299999999999997</c:v>
                </c:pt>
                <c:pt idx="238">
                  <c:v>-1.3320000000000001</c:v>
                </c:pt>
                <c:pt idx="239">
                  <c:v>0.63600000000000001</c:v>
                </c:pt>
                <c:pt idx="240">
                  <c:v>1.839</c:v>
                </c:pt>
                <c:pt idx="241">
                  <c:v>0.33600000000000002</c:v>
                </c:pt>
                <c:pt idx="242">
                  <c:v>-1.077</c:v>
                </c:pt>
                <c:pt idx="243">
                  <c:v>0.32400000000000001</c:v>
                </c:pt>
                <c:pt idx="244">
                  <c:v>1.609</c:v>
                </c:pt>
                <c:pt idx="245">
                  <c:v>0.67</c:v>
                </c:pt>
                <c:pt idx="246">
                  <c:v>3.3860000000000001</c:v>
                </c:pt>
                <c:pt idx="247">
                  <c:v>5.5149999999999997</c:v>
                </c:pt>
                <c:pt idx="248">
                  <c:v>3.5649999999999999</c:v>
                </c:pt>
                <c:pt idx="249">
                  <c:v>1.6559999999999999</c:v>
                </c:pt>
                <c:pt idx="250">
                  <c:v>1.8069999999999999</c:v>
                </c:pt>
                <c:pt idx="251">
                  <c:v>2.383</c:v>
                </c:pt>
                <c:pt idx="252">
                  <c:v>2.3170000000000002</c:v>
                </c:pt>
                <c:pt idx="253">
                  <c:v>2.121</c:v>
                </c:pt>
                <c:pt idx="254">
                  <c:v>0.53400000000000003</c:v>
                </c:pt>
                <c:pt idx="255">
                  <c:v>2.093</c:v>
                </c:pt>
                <c:pt idx="256">
                  <c:v>0.50600000000000001</c:v>
                </c:pt>
                <c:pt idx="257">
                  <c:v>1.2569999999999999</c:v>
                </c:pt>
                <c:pt idx="258">
                  <c:v>-1.0069999999999999</c:v>
                </c:pt>
                <c:pt idx="259">
                  <c:v>-1.214</c:v>
                </c:pt>
                <c:pt idx="260">
                  <c:v>0.83299999999999996</c:v>
                </c:pt>
                <c:pt idx="261">
                  <c:v>-2.4430000000000001</c:v>
                </c:pt>
                <c:pt idx="262">
                  <c:v>-4.4050000000000002</c:v>
                </c:pt>
                <c:pt idx="263">
                  <c:v>-5.2510000000000003</c:v>
                </c:pt>
                <c:pt idx="264">
                  <c:v>-3.625</c:v>
                </c:pt>
                <c:pt idx="265">
                  <c:v>-1.218</c:v>
                </c:pt>
                <c:pt idx="266">
                  <c:v>-0.54600000000000004</c:v>
                </c:pt>
                <c:pt idx="267">
                  <c:v>-2.226</c:v>
                </c:pt>
                <c:pt idx="268">
                  <c:v>-1.599</c:v>
                </c:pt>
                <c:pt idx="269">
                  <c:v>3.01</c:v>
                </c:pt>
                <c:pt idx="270">
                  <c:v>3.1349999999999998</c:v>
                </c:pt>
                <c:pt idx="271">
                  <c:v>3.4950000000000001</c:v>
                </c:pt>
                <c:pt idx="272">
                  <c:v>-0.34</c:v>
                </c:pt>
                <c:pt idx="273">
                  <c:v>-3.82</c:v>
                </c:pt>
                <c:pt idx="274">
                  <c:v>-0.65900000000000003</c:v>
                </c:pt>
                <c:pt idx="275">
                  <c:v>-0.77700000000000002</c:v>
                </c:pt>
                <c:pt idx="276">
                  <c:v>-4.7779999999999996</c:v>
                </c:pt>
                <c:pt idx="277">
                  <c:v>-4.0620000000000003</c:v>
                </c:pt>
                <c:pt idx="278">
                  <c:v>0.374</c:v>
                </c:pt>
                <c:pt idx="279">
                  <c:v>0.52900000000000003</c:v>
                </c:pt>
                <c:pt idx="280">
                  <c:v>7.3999999999999996E-2</c:v>
                </c:pt>
                <c:pt idx="281">
                  <c:v>-0.93100000000000005</c:v>
                </c:pt>
                <c:pt idx="282">
                  <c:v>0.2</c:v>
                </c:pt>
                <c:pt idx="283">
                  <c:v>-0.13800000000000001</c:v>
                </c:pt>
                <c:pt idx="284">
                  <c:v>-1.3120000000000001</c:v>
                </c:pt>
                <c:pt idx="285">
                  <c:v>-1.534</c:v>
                </c:pt>
                <c:pt idx="286">
                  <c:v>0.10100000000000001</c:v>
                </c:pt>
                <c:pt idx="287">
                  <c:v>1.796</c:v>
                </c:pt>
                <c:pt idx="288">
                  <c:v>-0.19</c:v>
                </c:pt>
                <c:pt idx="289">
                  <c:v>6.4000000000000001E-2</c:v>
                </c:pt>
                <c:pt idx="290">
                  <c:v>-5.2809999999999997</c:v>
                </c:pt>
                <c:pt idx="291">
                  <c:v>-6.5350000000000001</c:v>
                </c:pt>
                <c:pt idx="292">
                  <c:v>-1.8580000000000001</c:v>
                </c:pt>
                <c:pt idx="293">
                  <c:v>-3.63</c:v>
                </c:pt>
                <c:pt idx="294">
                  <c:v>-4.9880000000000004</c:v>
                </c:pt>
                <c:pt idx="295">
                  <c:v>-2.8490000000000002</c:v>
                </c:pt>
                <c:pt idx="296">
                  <c:v>-1.8120000000000001</c:v>
                </c:pt>
                <c:pt idx="297">
                  <c:v>-1.863</c:v>
                </c:pt>
                <c:pt idx="298">
                  <c:v>-1.661</c:v>
                </c:pt>
                <c:pt idx="299">
                  <c:v>-7.77</c:v>
                </c:pt>
                <c:pt idx="300">
                  <c:v>-12.72</c:v>
                </c:pt>
                <c:pt idx="301">
                  <c:v>-14.67</c:v>
                </c:pt>
                <c:pt idx="302">
                  <c:v>-16.84</c:v>
                </c:pt>
                <c:pt idx="303">
                  <c:v>-17.04</c:v>
                </c:pt>
                <c:pt idx="304">
                  <c:v>-19.47</c:v>
                </c:pt>
                <c:pt idx="305">
                  <c:v>-16.97</c:v>
                </c:pt>
                <c:pt idx="306">
                  <c:v>-15.65</c:v>
                </c:pt>
                <c:pt idx="307">
                  <c:v>-10.4</c:v>
                </c:pt>
                <c:pt idx="308">
                  <c:v>-8.84</c:v>
                </c:pt>
                <c:pt idx="309">
                  <c:v>-11.67</c:v>
                </c:pt>
                <c:pt idx="310">
                  <c:v>-13.56</c:v>
                </c:pt>
                <c:pt idx="311">
                  <c:v>-4.758</c:v>
                </c:pt>
                <c:pt idx="312">
                  <c:v>-15.91</c:v>
                </c:pt>
                <c:pt idx="313">
                  <c:v>-16.27</c:v>
                </c:pt>
                <c:pt idx="314">
                  <c:v>-7.75</c:v>
                </c:pt>
                <c:pt idx="315">
                  <c:v>-3.0049999999999999</c:v>
                </c:pt>
                <c:pt idx="316">
                  <c:v>-2.2309999999999999</c:v>
                </c:pt>
                <c:pt idx="317">
                  <c:v>0.219</c:v>
                </c:pt>
                <c:pt idx="318">
                  <c:v>-0.02</c:v>
                </c:pt>
                <c:pt idx="319">
                  <c:v>0.154</c:v>
                </c:pt>
                <c:pt idx="320">
                  <c:v>0.41599999999999998</c:v>
                </c:pt>
                <c:pt idx="321">
                  <c:v>-1.6419999999999999</c:v>
                </c:pt>
                <c:pt idx="322">
                  <c:v>-11.24</c:v>
                </c:pt>
                <c:pt idx="323">
                  <c:v>-12.21</c:v>
                </c:pt>
                <c:pt idx="324">
                  <c:v>-6.173</c:v>
                </c:pt>
                <c:pt idx="325">
                  <c:v>-0.14699999999999999</c:v>
                </c:pt>
                <c:pt idx="326">
                  <c:v>-0.71499999999999997</c:v>
                </c:pt>
                <c:pt idx="327">
                  <c:v>0.37</c:v>
                </c:pt>
                <c:pt idx="328">
                  <c:v>-3.54</c:v>
                </c:pt>
                <c:pt idx="329">
                  <c:v>-3.298</c:v>
                </c:pt>
                <c:pt idx="330">
                  <c:v>-4.5720000000000001</c:v>
                </c:pt>
                <c:pt idx="331">
                  <c:v>-3.7440000000000002</c:v>
                </c:pt>
                <c:pt idx="332">
                  <c:v>1.718</c:v>
                </c:pt>
                <c:pt idx="333">
                  <c:v>-0.17499999999999999</c:v>
                </c:pt>
                <c:pt idx="334">
                  <c:v>-4.907</c:v>
                </c:pt>
                <c:pt idx="335">
                  <c:v>-8.26</c:v>
                </c:pt>
                <c:pt idx="336">
                  <c:v>-6.3280000000000003</c:v>
                </c:pt>
                <c:pt idx="337">
                  <c:v>-18.510000000000002</c:v>
                </c:pt>
                <c:pt idx="338">
                  <c:v>-25.76</c:v>
                </c:pt>
                <c:pt idx="339">
                  <c:v>-25.21</c:v>
                </c:pt>
                <c:pt idx="340">
                  <c:v>-33.299999999999997</c:v>
                </c:pt>
                <c:pt idx="341">
                  <c:v>-41.7</c:v>
                </c:pt>
                <c:pt idx="342">
                  <c:v>-30.7</c:v>
                </c:pt>
                <c:pt idx="343">
                  <c:v>-14.2</c:v>
                </c:pt>
                <c:pt idx="344">
                  <c:v>-7.8</c:v>
                </c:pt>
                <c:pt idx="345">
                  <c:v>-4.2</c:v>
                </c:pt>
                <c:pt idx="346">
                  <c:v>-6.4</c:v>
                </c:pt>
                <c:pt idx="347">
                  <c:v>-10.1</c:v>
                </c:pt>
                <c:pt idx="348">
                  <c:v>-12.6</c:v>
                </c:pt>
                <c:pt idx="349">
                  <c:v>-13.4</c:v>
                </c:pt>
                <c:pt idx="350">
                  <c:v>-10.8</c:v>
                </c:pt>
                <c:pt idx="351">
                  <c:v>-8.4</c:v>
                </c:pt>
                <c:pt idx="352">
                  <c:v>-8.3000000000000007</c:v>
                </c:pt>
                <c:pt idx="353">
                  <c:v>-7.9</c:v>
                </c:pt>
                <c:pt idx="354">
                  <c:v>-9.3000000000000007</c:v>
                </c:pt>
                <c:pt idx="355">
                  <c:v>-13.7</c:v>
                </c:pt>
                <c:pt idx="356">
                  <c:v>-21.1</c:v>
                </c:pt>
                <c:pt idx="357">
                  <c:v>-18.600000000000001</c:v>
                </c:pt>
                <c:pt idx="358">
                  <c:v>-21.5</c:v>
                </c:pt>
                <c:pt idx="359">
                  <c:v>-21.6</c:v>
                </c:pt>
                <c:pt idx="360">
                  <c:v>-15.5</c:v>
                </c:pt>
                <c:pt idx="361">
                  <c:v>-10.9</c:v>
                </c:pt>
                <c:pt idx="362">
                  <c:v>-9.6</c:v>
                </c:pt>
                <c:pt idx="363">
                  <c:v>-7.8</c:v>
                </c:pt>
                <c:pt idx="364">
                  <c:v>-6.1</c:v>
                </c:pt>
              </c:numCache>
            </c:numRef>
          </c:val>
          <c:smooth val="0"/>
        </c:ser>
        <c:ser>
          <c:idx val="1"/>
          <c:order val="1"/>
          <c:tx>
            <c:v>3m</c:v>
          </c:tx>
          <c:marker>
            <c:symbol val="none"/>
          </c:marker>
          <c:val>
            <c:numRef>
              <c:f>Data!$AJ$7:$AJ$371</c:f>
              <c:numCache>
                <c:formatCode>General</c:formatCode>
                <c:ptCount val="365"/>
                <c:pt idx="0">
                  <c:v>-21.16</c:v>
                </c:pt>
                <c:pt idx="1">
                  <c:v>-22.16</c:v>
                </c:pt>
                <c:pt idx="2">
                  <c:v>-22.65</c:v>
                </c:pt>
                <c:pt idx="3">
                  <c:v>-21.15</c:v>
                </c:pt>
                <c:pt idx="4">
                  <c:v>-22.99</c:v>
                </c:pt>
                <c:pt idx="5">
                  <c:v>-22.23</c:v>
                </c:pt>
                <c:pt idx="6">
                  <c:v>-25.12</c:v>
                </c:pt>
                <c:pt idx="7">
                  <c:v>-8.42</c:v>
                </c:pt>
                <c:pt idx="8">
                  <c:v>-6.859</c:v>
                </c:pt>
                <c:pt idx="9">
                  <c:v>-4.9050000000000002</c:v>
                </c:pt>
                <c:pt idx="10">
                  <c:v>-7.89</c:v>
                </c:pt>
                <c:pt idx="11">
                  <c:v>-9.59</c:v>
                </c:pt>
                <c:pt idx="12">
                  <c:v>-3.5550000000000002</c:v>
                </c:pt>
                <c:pt idx="13">
                  <c:v>-8.15</c:v>
                </c:pt>
                <c:pt idx="14">
                  <c:v>-6.8289999999999997</c:v>
                </c:pt>
                <c:pt idx="15">
                  <c:v>-7.02</c:v>
                </c:pt>
                <c:pt idx="16">
                  <c:v>-8.39</c:v>
                </c:pt>
                <c:pt idx="17">
                  <c:v>-6.7190000000000003</c:v>
                </c:pt>
                <c:pt idx="18">
                  <c:v>-14.01</c:v>
                </c:pt>
                <c:pt idx="19">
                  <c:v>-15.08</c:v>
                </c:pt>
                <c:pt idx="20">
                  <c:v>-17.46</c:v>
                </c:pt>
                <c:pt idx="21">
                  <c:v>-18.559999999999999</c:v>
                </c:pt>
                <c:pt idx="22">
                  <c:v>-19.77</c:v>
                </c:pt>
                <c:pt idx="23">
                  <c:v>-16.010000000000002</c:v>
                </c:pt>
                <c:pt idx="24">
                  <c:v>-9.36</c:v>
                </c:pt>
                <c:pt idx="25">
                  <c:v>-7.08</c:v>
                </c:pt>
                <c:pt idx="26">
                  <c:v>-14.06</c:v>
                </c:pt>
                <c:pt idx="27">
                  <c:v>-16.55</c:v>
                </c:pt>
                <c:pt idx="28">
                  <c:v>-1.631</c:v>
                </c:pt>
                <c:pt idx="29">
                  <c:v>-6.125</c:v>
                </c:pt>
                <c:pt idx="30">
                  <c:v>-0.54</c:v>
                </c:pt>
                <c:pt idx="31">
                  <c:v>-1.4790000000000001</c:v>
                </c:pt>
                <c:pt idx="32">
                  <c:v>-6.8419999999999996</c:v>
                </c:pt>
                <c:pt idx="33">
                  <c:v>-8.65</c:v>
                </c:pt>
                <c:pt idx="34">
                  <c:v>-12.29</c:v>
                </c:pt>
                <c:pt idx="35">
                  <c:v>-7.61</c:v>
                </c:pt>
                <c:pt idx="36">
                  <c:v>-1.8320000000000001</c:v>
                </c:pt>
                <c:pt idx="37">
                  <c:v>-11.47</c:v>
                </c:pt>
                <c:pt idx="38">
                  <c:v>-12.33</c:v>
                </c:pt>
                <c:pt idx="39">
                  <c:v>-14.4</c:v>
                </c:pt>
                <c:pt idx="40">
                  <c:v>-15.32</c:v>
                </c:pt>
                <c:pt idx="41">
                  <c:v>-19.59</c:v>
                </c:pt>
                <c:pt idx="42">
                  <c:v>-20.82</c:v>
                </c:pt>
                <c:pt idx="43">
                  <c:v>-28.8</c:v>
                </c:pt>
                <c:pt idx="44">
                  <c:v>-29.16</c:v>
                </c:pt>
                <c:pt idx="45">
                  <c:v>-14.47</c:v>
                </c:pt>
                <c:pt idx="46">
                  <c:v>-8.06</c:v>
                </c:pt>
                <c:pt idx="47">
                  <c:v>-3.7810000000000001</c:v>
                </c:pt>
                <c:pt idx="48">
                  <c:v>-4.5469999999999997</c:v>
                </c:pt>
                <c:pt idx="49">
                  <c:v>-2.0640000000000001</c:v>
                </c:pt>
                <c:pt idx="50">
                  <c:v>-7.1999999999999995E-2</c:v>
                </c:pt>
                <c:pt idx="51">
                  <c:v>-7.86</c:v>
                </c:pt>
                <c:pt idx="52">
                  <c:v>-11.91</c:v>
                </c:pt>
                <c:pt idx="53">
                  <c:v>-12.06</c:v>
                </c:pt>
                <c:pt idx="54">
                  <c:v>-2.2309999999999999</c:v>
                </c:pt>
                <c:pt idx="55">
                  <c:v>-12.45</c:v>
                </c:pt>
                <c:pt idx="56">
                  <c:v>-20.420000000000002</c:v>
                </c:pt>
                <c:pt idx="57">
                  <c:v>-25.89</c:v>
                </c:pt>
                <c:pt idx="58">
                  <c:v>-26.25</c:v>
                </c:pt>
                <c:pt idx="59">
                  <c:v>-27.08</c:v>
                </c:pt>
                <c:pt idx="60">
                  <c:v>-24.13</c:v>
                </c:pt>
                <c:pt idx="61">
                  <c:v>-20.03</c:v>
                </c:pt>
                <c:pt idx="62">
                  <c:v>-15.12</c:v>
                </c:pt>
                <c:pt idx="63">
                  <c:v>-25.32</c:v>
                </c:pt>
                <c:pt idx="64">
                  <c:v>-28.18</c:v>
                </c:pt>
                <c:pt idx="65">
                  <c:v>-23.28</c:v>
                </c:pt>
                <c:pt idx="66">
                  <c:v>-10.01</c:v>
                </c:pt>
                <c:pt idx="67">
                  <c:v>-2.52</c:v>
                </c:pt>
                <c:pt idx="68">
                  <c:v>-1.3160000000000001</c:v>
                </c:pt>
                <c:pt idx="69">
                  <c:v>-0.47099999999999997</c:v>
                </c:pt>
                <c:pt idx="70">
                  <c:v>-10.34</c:v>
                </c:pt>
                <c:pt idx="71">
                  <c:v>-11.07</c:v>
                </c:pt>
                <c:pt idx="72">
                  <c:v>-2.653</c:v>
                </c:pt>
                <c:pt idx="73">
                  <c:v>-5.8879999999999999</c:v>
                </c:pt>
                <c:pt idx="74">
                  <c:v>-9.93</c:v>
                </c:pt>
                <c:pt idx="75">
                  <c:v>-7.28</c:v>
                </c:pt>
                <c:pt idx="76">
                  <c:v>-2.4420000000000002</c:v>
                </c:pt>
                <c:pt idx="77">
                  <c:v>-4.149</c:v>
                </c:pt>
                <c:pt idx="78">
                  <c:v>-4.24</c:v>
                </c:pt>
                <c:pt idx="79">
                  <c:v>-7.72</c:v>
                </c:pt>
                <c:pt idx="80">
                  <c:v>-9.66</c:v>
                </c:pt>
                <c:pt idx="81">
                  <c:v>-6.2279999999999998</c:v>
                </c:pt>
                <c:pt idx="82">
                  <c:v>-8.06</c:v>
                </c:pt>
                <c:pt idx="83">
                  <c:v>-18</c:v>
                </c:pt>
                <c:pt idx="84">
                  <c:v>-17.97</c:v>
                </c:pt>
                <c:pt idx="85">
                  <c:v>-15.04</c:v>
                </c:pt>
                <c:pt idx="86">
                  <c:v>-12.63</c:v>
                </c:pt>
                <c:pt idx="87">
                  <c:v>-9.6</c:v>
                </c:pt>
                <c:pt idx="88">
                  <c:v>-7.21</c:v>
                </c:pt>
                <c:pt idx="89">
                  <c:v>-8.4600000000000009</c:v>
                </c:pt>
                <c:pt idx="90">
                  <c:v>-3.2549999999999999</c:v>
                </c:pt>
                <c:pt idx="91">
                  <c:v>-5.4960000000000004</c:v>
                </c:pt>
                <c:pt idx="92">
                  <c:v>-2.081</c:v>
                </c:pt>
                <c:pt idx="93">
                  <c:v>-8.75</c:v>
                </c:pt>
                <c:pt idx="94">
                  <c:v>-9.42</c:v>
                </c:pt>
                <c:pt idx="95">
                  <c:v>-6.0279999999999996</c:v>
                </c:pt>
                <c:pt idx="96">
                  <c:v>-3.2160000000000002</c:v>
                </c:pt>
                <c:pt idx="97">
                  <c:v>-4.3639999999999999</c:v>
                </c:pt>
                <c:pt idx="98">
                  <c:v>-4.2990000000000004</c:v>
                </c:pt>
                <c:pt idx="99">
                  <c:v>-9.4499999999999993</c:v>
                </c:pt>
                <c:pt idx="100">
                  <c:v>-13.38</c:v>
                </c:pt>
                <c:pt idx="101">
                  <c:v>-14.5</c:v>
                </c:pt>
                <c:pt idx="102">
                  <c:v>-3.6589999999999998</c:v>
                </c:pt>
                <c:pt idx="103">
                  <c:v>-4.7380000000000004</c:v>
                </c:pt>
                <c:pt idx="104">
                  <c:v>-12.17</c:v>
                </c:pt>
                <c:pt idx="105">
                  <c:v>-15.55</c:v>
                </c:pt>
                <c:pt idx="106">
                  <c:v>-6.2789999999999999</c:v>
                </c:pt>
                <c:pt idx="107">
                  <c:v>-5.7220000000000004</c:v>
                </c:pt>
                <c:pt idx="108">
                  <c:v>-7.02</c:v>
                </c:pt>
                <c:pt idx="109">
                  <c:v>-8.8699999999999992</c:v>
                </c:pt>
                <c:pt idx="110">
                  <c:v>-10.84</c:v>
                </c:pt>
                <c:pt idx="111">
                  <c:v>-8.68</c:v>
                </c:pt>
                <c:pt idx="112">
                  <c:v>-8.25</c:v>
                </c:pt>
                <c:pt idx="113">
                  <c:v>-4.1630000000000003</c:v>
                </c:pt>
                <c:pt idx="114">
                  <c:v>-6.7809999999999997</c:v>
                </c:pt>
                <c:pt idx="115">
                  <c:v>-4.9279999999999999</c:v>
                </c:pt>
                <c:pt idx="116">
                  <c:v>-1.4239999999999999</c:v>
                </c:pt>
                <c:pt idx="117">
                  <c:v>-3.1480000000000001</c:v>
                </c:pt>
                <c:pt idx="118">
                  <c:v>-2.653</c:v>
                </c:pt>
                <c:pt idx="119">
                  <c:v>-2.9340000000000002</c:v>
                </c:pt>
                <c:pt idx="120">
                  <c:v>-3.42</c:v>
                </c:pt>
                <c:pt idx="121">
                  <c:v>-2.1829999999999998</c:v>
                </c:pt>
                <c:pt idx="122">
                  <c:v>-2.7040000000000002</c:v>
                </c:pt>
                <c:pt idx="123">
                  <c:v>-4.8540000000000001</c:v>
                </c:pt>
                <c:pt idx="124">
                  <c:v>-3.5129999999999999</c:v>
                </c:pt>
                <c:pt idx="125">
                  <c:v>-2.419</c:v>
                </c:pt>
                <c:pt idx="126">
                  <c:v>-2.1179999999999999</c:v>
                </c:pt>
                <c:pt idx="127">
                  <c:v>-2.528</c:v>
                </c:pt>
                <c:pt idx="128">
                  <c:v>-1.3420000000000001</c:v>
                </c:pt>
                <c:pt idx="129">
                  <c:v>-0.67900000000000005</c:v>
                </c:pt>
                <c:pt idx="130">
                  <c:v>1.7000000000000001E-2</c:v>
                </c:pt>
                <c:pt idx="131">
                  <c:v>-1.4630000000000001</c:v>
                </c:pt>
                <c:pt idx="132">
                  <c:v>-4.3239999999999998</c:v>
                </c:pt>
                <c:pt idx="133">
                  <c:v>-2.827</c:v>
                </c:pt>
                <c:pt idx="134">
                  <c:v>-1.647</c:v>
                </c:pt>
                <c:pt idx="135">
                  <c:v>-2.5089999999999999</c:v>
                </c:pt>
                <c:pt idx="136">
                  <c:v>0.33</c:v>
                </c:pt>
                <c:pt idx="137">
                  <c:v>-3.1840000000000002</c:v>
                </c:pt>
                <c:pt idx="138">
                  <c:v>-6.0579999999999998</c:v>
                </c:pt>
                <c:pt idx="139">
                  <c:v>-4.26</c:v>
                </c:pt>
                <c:pt idx="140">
                  <c:v>-5.8170000000000002</c:v>
                </c:pt>
                <c:pt idx="141">
                  <c:v>-5.1150000000000002</c:v>
                </c:pt>
                <c:pt idx="142">
                  <c:v>-3.4769999999999999</c:v>
                </c:pt>
                <c:pt idx="143">
                  <c:v>-2.1440000000000001</c:v>
                </c:pt>
                <c:pt idx="144">
                  <c:v>-1.728</c:v>
                </c:pt>
                <c:pt idx="145">
                  <c:v>-3.7450000000000001</c:v>
                </c:pt>
                <c:pt idx="146">
                  <c:v>-2.456</c:v>
                </c:pt>
                <c:pt idx="147">
                  <c:v>-0.99399999999999999</c:v>
                </c:pt>
                <c:pt idx="148">
                  <c:v>0.60399999999999998</c:v>
                </c:pt>
                <c:pt idx="149">
                  <c:v>1.056</c:v>
                </c:pt>
                <c:pt idx="150">
                  <c:v>-0.88</c:v>
                </c:pt>
                <c:pt idx="151">
                  <c:v>1.0580000000000001</c:v>
                </c:pt>
                <c:pt idx="152">
                  <c:v>2.1080000000000001</c:v>
                </c:pt>
                <c:pt idx="153">
                  <c:v>0.94899999999999995</c:v>
                </c:pt>
                <c:pt idx="154">
                  <c:v>2.8340000000000001</c:v>
                </c:pt>
                <c:pt idx="155">
                  <c:v>2.0750000000000002</c:v>
                </c:pt>
                <c:pt idx="156">
                  <c:v>-5.5E-2</c:v>
                </c:pt>
                <c:pt idx="157">
                  <c:v>-0.39800000000000002</c:v>
                </c:pt>
                <c:pt idx="158">
                  <c:v>-1.581</c:v>
                </c:pt>
                <c:pt idx="159">
                  <c:v>-0.997</c:v>
                </c:pt>
                <c:pt idx="160">
                  <c:v>2.3E-2</c:v>
                </c:pt>
                <c:pt idx="161">
                  <c:v>4.7460000000000004</c:v>
                </c:pt>
                <c:pt idx="162">
                  <c:v>1.0780000000000001</c:v>
                </c:pt>
                <c:pt idx="163">
                  <c:v>2.0430000000000001</c:v>
                </c:pt>
                <c:pt idx="164">
                  <c:v>3.1509999999999998</c:v>
                </c:pt>
                <c:pt idx="165">
                  <c:v>4.8410000000000002</c:v>
                </c:pt>
                <c:pt idx="166">
                  <c:v>1.2450000000000001</c:v>
                </c:pt>
                <c:pt idx="167">
                  <c:v>4.9969999999999999</c:v>
                </c:pt>
                <c:pt idx="168">
                  <c:v>3.621</c:v>
                </c:pt>
                <c:pt idx="169">
                  <c:v>2.052</c:v>
                </c:pt>
                <c:pt idx="170">
                  <c:v>5.99</c:v>
                </c:pt>
                <c:pt idx="171">
                  <c:v>7.14</c:v>
                </c:pt>
                <c:pt idx="172">
                  <c:v>2.931</c:v>
                </c:pt>
                <c:pt idx="173">
                  <c:v>3.8730000000000002</c:v>
                </c:pt>
                <c:pt idx="174">
                  <c:v>5.2569999999999997</c:v>
                </c:pt>
                <c:pt idx="175">
                  <c:v>1.3129999999999999</c:v>
                </c:pt>
                <c:pt idx="176">
                  <c:v>-0.54100000000000004</c:v>
                </c:pt>
                <c:pt idx="177">
                  <c:v>-2.1800000000000002</c:v>
                </c:pt>
                <c:pt idx="178">
                  <c:v>0.252</c:v>
                </c:pt>
                <c:pt idx="179">
                  <c:v>2.5950000000000002</c:v>
                </c:pt>
                <c:pt idx="180">
                  <c:v>3.7930000000000001</c:v>
                </c:pt>
                <c:pt idx="181">
                  <c:v>6.1280000000000001</c:v>
                </c:pt>
                <c:pt idx="182">
                  <c:v>8.44</c:v>
                </c:pt>
                <c:pt idx="183">
                  <c:v>4.6959999999999997</c:v>
                </c:pt>
                <c:pt idx="184">
                  <c:v>4.0140000000000002</c:v>
                </c:pt>
                <c:pt idx="185">
                  <c:v>5.1980000000000004</c:v>
                </c:pt>
                <c:pt idx="186">
                  <c:v>1.786</c:v>
                </c:pt>
                <c:pt idx="187">
                  <c:v>7.28</c:v>
                </c:pt>
                <c:pt idx="188">
                  <c:v>5.548</c:v>
                </c:pt>
                <c:pt idx="189">
                  <c:v>7.23</c:v>
                </c:pt>
                <c:pt idx="190">
                  <c:v>5.056</c:v>
                </c:pt>
                <c:pt idx="191">
                  <c:v>2.077</c:v>
                </c:pt>
                <c:pt idx="192">
                  <c:v>-0.76500000000000001</c:v>
                </c:pt>
                <c:pt idx="193">
                  <c:v>0.996</c:v>
                </c:pt>
                <c:pt idx="194">
                  <c:v>4.0350000000000001</c:v>
                </c:pt>
                <c:pt idx="195">
                  <c:v>1.321</c:v>
                </c:pt>
                <c:pt idx="196">
                  <c:v>4.383</c:v>
                </c:pt>
                <c:pt idx="197">
                  <c:v>2.7189999999999999</c:v>
                </c:pt>
                <c:pt idx="198">
                  <c:v>4.6740000000000004</c:v>
                </c:pt>
                <c:pt idx="199">
                  <c:v>3.113</c:v>
                </c:pt>
                <c:pt idx="200">
                  <c:v>6.1950000000000003</c:v>
                </c:pt>
                <c:pt idx="201">
                  <c:v>5.6660000000000004</c:v>
                </c:pt>
                <c:pt idx="202">
                  <c:v>3.5059999999999998</c:v>
                </c:pt>
                <c:pt idx="203">
                  <c:v>7.56</c:v>
                </c:pt>
                <c:pt idx="204">
                  <c:v>8.1999999999999993</c:v>
                </c:pt>
                <c:pt idx="205">
                  <c:v>8.51</c:v>
                </c:pt>
                <c:pt idx="206">
                  <c:v>8.18</c:v>
                </c:pt>
                <c:pt idx="207">
                  <c:v>0.61599999999999999</c:v>
                </c:pt>
                <c:pt idx="208">
                  <c:v>-0.111</c:v>
                </c:pt>
                <c:pt idx="209">
                  <c:v>3.125</c:v>
                </c:pt>
                <c:pt idx="210">
                  <c:v>4.7329999999999997</c:v>
                </c:pt>
                <c:pt idx="211">
                  <c:v>5.1130000000000004</c:v>
                </c:pt>
                <c:pt idx="212">
                  <c:v>4.6319999999999997</c:v>
                </c:pt>
                <c:pt idx="213">
                  <c:v>4.0469999999999997</c:v>
                </c:pt>
                <c:pt idx="214">
                  <c:v>3.714</c:v>
                </c:pt>
                <c:pt idx="215">
                  <c:v>4.8109999999999999</c:v>
                </c:pt>
                <c:pt idx="216">
                  <c:v>5.1079999999999997</c:v>
                </c:pt>
                <c:pt idx="217">
                  <c:v>4.0270000000000001</c:v>
                </c:pt>
                <c:pt idx="218">
                  <c:v>2.29</c:v>
                </c:pt>
                <c:pt idx="219">
                  <c:v>4.0250000000000004</c:v>
                </c:pt>
                <c:pt idx="220">
                  <c:v>2.7440000000000002</c:v>
                </c:pt>
                <c:pt idx="221">
                  <c:v>0.68700000000000006</c:v>
                </c:pt>
                <c:pt idx="222">
                  <c:v>5.0720000000000001</c:v>
                </c:pt>
                <c:pt idx="223">
                  <c:v>2.9790000000000001</c:v>
                </c:pt>
                <c:pt idx="224">
                  <c:v>3.0179999999999998</c:v>
                </c:pt>
                <c:pt idx="225">
                  <c:v>3.367</c:v>
                </c:pt>
                <c:pt idx="226">
                  <c:v>1.9510000000000001</c:v>
                </c:pt>
                <c:pt idx="227">
                  <c:v>1.1180000000000001</c:v>
                </c:pt>
                <c:pt idx="228">
                  <c:v>0.77300000000000002</c:v>
                </c:pt>
                <c:pt idx="229">
                  <c:v>3.3479999999999999</c:v>
                </c:pt>
                <c:pt idx="230">
                  <c:v>3.6890000000000001</c:v>
                </c:pt>
                <c:pt idx="231">
                  <c:v>-0.14799999999999999</c:v>
                </c:pt>
                <c:pt idx="232">
                  <c:v>3.5329999999999999</c:v>
                </c:pt>
                <c:pt idx="233">
                  <c:v>1.9359999999999999</c:v>
                </c:pt>
                <c:pt idx="234">
                  <c:v>-0.40899999999999997</c:v>
                </c:pt>
                <c:pt idx="235">
                  <c:v>-1.7170000000000001</c:v>
                </c:pt>
                <c:pt idx="236">
                  <c:v>-3.125</c:v>
                </c:pt>
                <c:pt idx="237">
                  <c:v>5.0000000000000001E-3</c:v>
                </c:pt>
                <c:pt idx="238">
                  <c:v>-2.0659999999999998</c:v>
                </c:pt>
                <c:pt idx="239">
                  <c:v>-6.3E-2</c:v>
                </c:pt>
                <c:pt idx="240">
                  <c:v>1.0089999999999999</c:v>
                </c:pt>
                <c:pt idx="241">
                  <c:v>-0.30499999999999999</c:v>
                </c:pt>
                <c:pt idx="242">
                  <c:v>-1.67</c:v>
                </c:pt>
                <c:pt idx="243">
                  <c:v>-0.42399999999999999</c:v>
                </c:pt>
                <c:pt idx="244">
                  <c:v>0.92</c:v>
                </c:pt>
                <c:pt idx="245">
                  <c:v>-0.222</c:v>
                </c:pt>
                <c:pt idx="246">
                  <c:v>2.448</c:v>
                </c:pt>
                <c:pt idx="247">
                  <c:v>4.923</c:v>
                </c:pt>
                <c:pt idx="248">
                  <c:v>2.8069999999999999</c:v>
                </c:pt>
                <c:pt idx="249">
                  <c:v>0.90400000000000003</c:v>
                </c:pt>
                <c:pt idx="250">
                  <c:v>1.2</c:v>
                </c:pt>
                <c:pt idx="251">
                  <c:v>1.6879999999999999</c:v>
                </c:pt>
                <c:pt idx="252">
                  <c:v>1.6160000000000001</c:v>
                </c:pt>
                <c:pt idx="253">
                  <c:v>1.399</c:v>
                </c:pt>
                <c:pt idx="254">
                  <c:v>-0.18</c:v>
                </c:pt>
                <c:pt idx="255">
                  <c:v>1.3480000000000001</c:v>
                </c:pt>
                <c:pt idx="256">
                  <c:v>-0.125</c:v>
                </c:pt>
                <c:pt idx="257">
                  <c:v>0.378</c:v>
                </c:pt>
                <c:pt idx="258">
                  <c:v>-1.6559999999999999</c:v>
                </c:pt>
                <c:pt idx="259">
                  <c:v>-1.825</c:v>
                </c:pt>
                <c:pt idx="260">
                  <c:v>3.5000000000000003E-2</c:v>
                </c:pt>
                <c:pt idx="261">
                  <c:v>-3.1040000000000001</c:v>
                </c:pt>
                <c:pt idx="262">
                  <c:v>-5.1020000000000003</c:v>
                </c:pt>
                <c:pt idx="263">
                  <c:v>-5.98</c:v>
                </c:pt>
                <c:pt idx="264">
                  <c:v>-4.3179999999999996</c:v>
                </c:pt>
                <c:pt idx="265">
                  <c:v>-2.0070000000000001</c:v>
                </c:pt>
                <c:pt idx="266">
                  <c:v>-1.204</c:v>
                </c:pt>
                <c:pt idx="267">
                  <c:v>-2.9129999999999998</c:v>
                </c:pt>
                <c:pt idx="268">
                  <c:v>-2.3239999999999998</c:v>
                </c:pt>
                <c:pt idx="269">
                  <c:v>2.4809999999999999</c:v>
                </c:pt>
                <c:pt idx="270">
                  <c:v>2.5470000000000002</c:v>
                </c:pt>
                <c:pt idx="271">
                  <c:v>2.7629999999999999</c:v>
                </c:pt>
                <c:pt idx="272">
                  <c:v>-0.66300000000000003</c:v>
                </c:pt>
                <c:pt idx="273">
                  <c:v>-5.0049999999999999</c:v>
                </c:pt>
                <c:pt idx="274">
                  <c:v>-0.878</c:v>
                </c:pt>
                <c:pt idx="275">
                  <c:v>-1.43</c:v>
                </c:pt>
                <c:pt idx="276">
                  <c:v>-5.2690000000000001</c:v>
                </c:pt>
                <c:pt idx="277">
                  <c:v>-4.5629999999999997</c:v>
                </c:pt>
                <c:pt idx="278">
                  <c:v>0.10299999999999999</c:v>
                </c:pt>
                <c:pt idx="279">
                  <c:v>0.377</c:v>
                </c:pt>
                <c:pt idx="280">
                  <c:v>-0.17899999999999999</c:v>
                </c:pt>
                <c:pt idx="281">
                  <c:v>-1.298</c:v>
                </c:pt>
                <c:pt idx="282">
                  <c:v>-0.41599999999999998</c:v>
                </c:pt>
                <c:pt idx="283">
                  <c:v>-0.45500000000000002</c:v>
                </c:pt>
                <c:pt idx="284">
                  <c:v>-1.9339999999999999</c:v>
                </c:pt>
                <c:pt idx="285">
                  <c:v>-1.6930000000000001</c:v>
                </c:pt>
                <c:pt idx="286">
                  <c:v>-0.124</c:v>
                </c:pt>
                <c:pt idx="287">
                  <c:v>1.2909999999999999</c:v>
                </c:pt>
                <c:pt idx="288">
                  <c:v>-0.52400000000000002</c:v>
                </c:pt>
                <c:pt idx="289">
                  <c:v>-0.38700000000000001</c:v>
                </c:pt>
                <c:pt idx="290">
                  <c:v>-5.9219999999999997</c:v>
                </c:pt>
                <c:pt idx="291">
                  <c:v>-7.03</c:v>
                </c:pt>
                <c:pt idx="292">
                  <c:v>-2.657</c:v>
                </c:pt>
                <c:pt idx="293">
                  <c:v>-4.2320000000000002</c:v>
                </c:pt>
                <c:pt idx="294">
                  <c:v>-5.5679999999999996</c:v>
                </c:pt>
                <c:pt idx="295">
                  <c:v>-3.661</c:v>
                </c:pt>
                <c:pt idx="296">
                  <c:v>-2.3490000000000002</c:v>
                </c:pt>
                <c:pt idx="297">
                  <c:v>-2.7160000000000002</c:v>
                </c:pt>
                <c:pt idx="298">
                  <c:v>-2.3719999999999999</c:v>
                </c:pt>
                <c:pt idx="299">
                  <c:v>-8.61</c:v>
                </c:pt>
                <c:pt idx="300">
                  <c:v>-13.36</c:v>
                </c:pt>
                <c:pt idx="301">
                  <c:v>-15.24</c:v>
                </c:pt>
                <c:pt idx="302">
                  <c:v>-17.32</c:v>
                </c:pt>
                <c:pt idx="303">
                  <c:v>-17.68</c:v>
                </c:pt>
                <c:pt idx="304">
                  <c:v>-19.98</c:v>
                </c:pt>
                <c:pt idx="305">
                  <c:v>-17.48</c:v>
                </c:pt>
                <c:pt idx="306">
                  <c:v>-16.239999999999998</c:v>
                </c:pt>
                <c:pt idx="307">
                  <c:v>-10.85</c:v>
                </c:pt>
                <c:pt idx="308">
                  <c:v>-9.52</c:v>
                </c:pt>
                <c:pt idx="309">
                  <c:v>-12.45</c:v>
                </c:pt>
                <c:pt idx="310">
                  <c:v>-14.2</c:v>
                </c:pt>
                <c:pt idx="311">
                  <c:v>-5.1890000000000001</c:v>
                </c:pt>
                <c:pt idx="312">
                  <c:v>-16.12</c:v>
                </c:pt>
                <c:pt idx="313">
                  <c:v>-16.53</c:v>
                </c:pt>
                <c:pt idx="314">
                  <c:v>-7.92</c:v>
                </c:pt>
                <c:pt idx="315">
                  <c:v>-3.5089999999999999</c:v>
                </c:pt>
                <c:pt idx="316">
                  <c:v>-2.653</c:v>
                </c:pt>
                <c:pt idx="317">
                  <c:v>-0.28499999999999998</c:v>
                </c:pt>
                <c:pt idx="318">
                  <c:v>-0.93799999999999994</c:v>
                </c:pt>
                <c:pt idx="319">
                  <c:v>-0.58599999999999997</c:v>
                </c:pt>
                <c:pt idx="320">
                  <c:v>-9.1999999999999998E-2</c:v>
                </c:pt>
                <c:pt idx="321">
                  <c:v>-2.4460000000000002</c:v>
                </c:pt>
                <c:pt idx="322">
                  <c:v>-12.11</c:v>
                </c:pt>
                <c:pt idx="323">
                  <c:v>-13.34</c:v>
                </c:pt>
                <c:pt idx="324">
                  <c:v>-7.57</c:v>
                </c:pt>
                <c:pt idx="325">
                  <c:v>-0.66100000000000003</c:v>
                </c:pt>
                <c:pt idx="326">
                  <c:v>-1.42</c:v>
                </c:pt>
                <c:pt idx="327">
                  <c:v>-1.1639999999999999</c:v>
                </c:pt>
                <c:pt idx="328">
                  <c:v>-4.8339999999999996</c:v>
                </c:pt>
                <c:pt idx="329">
                  <c:v>-4.0129999999999999</c:v>
                </c:pt>
                <c:pt idx="330">
                  <c:v>-5.3540000000000001</c:v>
                </c:pt>
                <c:pt idx="331">
                  <c:v>-4.2530000000000001</c:v>
                </c:pt>
                <c:pt idx="332">
                  <c:v>1.1040000000000001</c:v>
                </c:pt>
                <c:pt idx="333">
                  <c:v>-0.88700000000000001</c:v>
                </c:pt>
                <c:pt idx="334">
                  <c:v>-5.3339999999999996</c:v>
                </c:pt>
                <c:pt idx="335">
                  <c:v>-10.11</c:v>
                </c:pt>
                <c:pt idx="336">
                  <c:v>-7.27</c:v>
                </c:pt>
                <c:pt idx="337">
                  <c:v>-19.86</c:v>
                </c:pt>
                <c:pt idx="338">
                  <c:v>-26.62</c:v>
                </c:pt>
                <c:pt idx="339">
                  <c:v>-26.28</c:v>
                </c:pt>
                <c:pt idx="340">
                  <c:v>-34.36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42272"/>
        <c:axId val="155543808"/>
      </c:lineChart>
      <c:catAx>
        <c:axId val="155542272"/>
        <c:scaling>
          <c:orientation val="minMax"/>
        </c:scaling>
        <c:delete val="0"/>
        <c:axPos val="b"/>
        <c:majorTickMark val="cross"/>
        <c:minorTickMark val="none"/>
        <c:tickLblPos val="nextTo"/>
        <c:crossAx val="155543808"/>
        <c:crosses val="autoZero"/>
        <c:auto val="1"/>
        <c:lblAlgn val="ctr"/>
        <c:lblOffset val="100"/>
        <c:tickMarkSkip val="12"/>
        <c:noMultiLvlLbl val="0"/>
      </c:catAx>
      <c:valAx>
        <c:axId val="1555438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5542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Data!$DX$158:$DX$249</c:f>
              <c:numCache>
                <c:formatCode>General</c:formatCode>
                <c:ptCount val="92"/>
                <c:pt idx="0">
                  <c:v>20.399999999999999</c:v>
                </c:pt>
                <c:pt idx="1">
                  <c:v>17.7</c:v>
                </c:pt>
                <c:pt idx="2">
                  <c:v>19.899999999999999</c:v>
                </c:pt>
                <c:pt idx="3">
                  <c:v>15.8</c:v>
                </c:pt>
                <c:pt idx="4">
                  <c:v>5.7</c:v>
                </c:pt>
                <c:pt idx="5">
                  <c:v>5.7</c:v>
                </c:pt>
                <c:pt idx="6">
                  <c:v>14</c:v>
                </c:pt>
                <c:pt idx="7">
                  <c:v>17.7</c:v>
                </c:pt>
                <c:pt idx="8">
                  <c:v>14.9</c:v>
                </c:pt>
                <c:pt idx="9">
                  <c:v>13.7</c:v>
                </c:pt>
                <c:pt idx="10">
                  <c:v>11.1</c:v>
                </c:pt>
                <c:pt idx="11">
                  <c:v>12.4</c:v>
                </c:pt>
                <c:pt idx="12">
                  <c:v>11.1</c:v>
                </c:pt>
                <c:pt idx="13">
                  <c:v>8.5</c:v>
                </c:pt>
                <c:pt idx="14">
                  <c:v>13.8</c:v>
                </c:pt>
                <c:pt idx="15">
                  <c:v>14</c:v>
                </c:pt>
                <c:pt idx="16">
                  <c:v>12.8</c:v>
                </c:pt>
                <c:pt idx="17">
                  <c:v>9.4</c:v>
                </c:pt>
                <c:pt idx="18">
                  <c:v>12.1</c:v>
                </c:pt>
                <c:pt idx="19">
                  <c:v>8</c:v>
                </c:pt>
                <c:pt idx="20">
                  <c:v>15.4</c:v>
                </c:pt>
                <c:pt idx="21">
                  <c:v>17</c:v>
                </c:pt>
                <c:pt idx="22">
                  <c:v>20.2</c:v>
                </c:pt>
                <c:pt idx="23">
                  <c:v>19</c:v>
                </c:pt>
                <c:pt idx="24">
                  <c:v>19.5</c:v>
                </c:pt>
                <c:pt idx="25">
                  <c:v>13.2</c:v>
                </c:pt>
                <c:pt idx="26">
                  <c:v>16.3</c:v>
                </c:pt>
                <c:pt idx="27">
                  <c:v>20.399999999999999</c:v>
                </c:pt>
                <c:pt idx="28">
                  <c:v>22.1</c:v>
                </c:pt>
                <c:pt idx="29">
                  <c:v>22.2</c:v>
                </c:pt>
                <c:pt idx="30">
                  <c:v>23.2</c:v>
                </c:pt>
                <c:pt idx="31">
                  <c:v>15.2</c:v>
                </c:pt>
                <c:pt idx="32">
                  <c:v>12.6</c:v>
                </c:pt>
                <c:pt idx="33">
                  <c:v>13</c:v>
                </c:pt>
                <c:pt idx="34">
                  <c:v>17.100000000000001</c:v>
                </c:pt>
                <c:pt idx="35">
                  <c:v>19</c:v>
                </c:pt>
                <c:pt idx="36">
                  <c:v>17.2</c:v>
                </c:pt>
                <c:pt idx="37">
                  <c:v>18.7</c:v>
                </c:pt>
                <c:pt idx="38">
                  <c:v>19.600000000000001</c:v>
                </c:pt>
                <c:pt idx="39">
                  <c:v>15.3</c:v>
                </c:pt>
                <c:pt idx="40">
                  <c:v>14.2</c:v>
                </c:pt>
                <c:pt idx="41">
                  <c:v>17.899999999999999</c:v>
                </c:pt>
                <c:pt idx="42">
                  <c:v>18.399999999999999</c:v>
                </c:pt>
                <c:pt idx="43">
                  <c:v>17.899999999999999</c:v>
                </c:pt>
                <c:pt idx="44">
                  <c:v>19.100000000000001</c:v>
                </c:pt>
                <c:pt idx="45">
                  <c:v>20.3</c:v>
                </c:pt>
                <c:pt idx="46">
                  <c:v>22</c:v>
                </c:pt>
                <c:pt idx="47">
                  <c:v>21.9</c:v>
                </c:pt>
                <c:pt idx="48">
                  <c:v>24.1</c:v>
                </c:pt>
                <c:pt idx="49">
                  <c:v>23.4</c:v>
                </c:pt>
                <c:pt idx="50">
                  <c:v>19.3</c:v>
                </c:pt>
                <c:pt idx="51">
                  <c:v>22.2</c:v>
                </c:pt>
                <c:pt idx="52">
                  <c:v>16.899999999999999</c:v>
                </c:pt>
                <c:pt idx="53">
                  <c:v>17.399999999999999</c:v>
                </c:pt>
                <c:pt idx="54">
                  <c:v>14.3</c:v>
                </c:pt>
                <c:pt idx="55">
                  <c:v>13.8</c:v>
                </c:pt>
                <c:pt idx="56">
                  <c:v>15.2</c:v>
                </c:pt>
                <c:pt idx="57">
                  <c:v>17.2</c:v>
                </c:pt>
                <c:pt idx="58">
                  <c:v>8.5</c:v>
                </c:pt>
                <c:pt idx="59">
                  <c:v>16.2</c:v>
                </c:pt>
                <c:pt idx="60">
                  <c:v>19.2</c:v>
                </c:pt>
                <c:pt idx="61">
                  <c:v>18</c:v>
                </c:pt>
                <c:pt idx="62">
                  <c:v>16.600000000000001</c:v>
                </c:pt>
                <c:pt idx="63">
                  <c:v>19.7</c:v>
                </c:pt>
                <c:pt idx="64">
                  <c:v>24.2</c:v>
                </c:pt>
                <c:pt idx="65">
                  <c:v>16.100000000000001</c:v>
                </c:pt>
                <c:pt idx="66">
                  <c:v>9.1</c:v>
                </c:pt>
                <c:pt idx="67">
                  <c:v>10.3</c:v>
                </c:pt>
                <c:pt idx="68">
                  <c:v>11.7</c:v>
                </c:pt>
                <c:pt idx="69">
                  <c:v>16.100000000000001</c:v>
                </c:pt>
                <c:pt idx="70">
                  <c:v>14.7</c:v>
                </c:pt>
                <c:pt idx="71">
                  <c:v>13.8</c:v>
                </c:pt>
                <c:pt idx="72">
                  <c:v>10.8</c:v>
                </c:pt>
                <c:pt idx="73">
                  <c:v>15.3</c:v>
                </c:pt>
                <c:pt idx="74">
                  <c:v>11.1</c:v>
                </c:pt>
                <c:pt idx="75">
                  <c:v>13</c:v>
                </c:pt>
                <c:pt idx="76">
                  <c:v>11.8</c:v>
                </c:pt>
                <c:pt idx="77">
                  <c:v>5.8</c:v>
                </c:pt>
                <c:pt idx="78">
                  <c:v>9.1</c:v>
                </c:pt>
                <c:pt idx="79">
                  <c:v>14.1</c:v>
                </c:pt>
                <c:pt idx="80">
                  <c:v>19.5</c:v>
                </c:pt>
                <c:pt idx="81">
                  <c:v>20.399999999999999</c:v>
                </c:pt>
                <c:pt idx="82">
                  <c:v>20</c:v>
                </c:pt>
                <c:pt idx="83">
                  <c:v>17.8</c:v>
                </c:pt>
                <c:pt idx="84">
                  <c:v>12.9</c:v>
                </c:pt>
                <c:pt idx="85">
                  <c:v>15.8</c:v>
                </c:pt>
                <c:pt idx="86">
                  <c:v>13.2</c:v>
                </c:pt>
                <c:pt idx="87">
                  <c:v>16</c:v>
                </c:pt>
                <c:pt idx="88">
                  <c:v>18</c:v>
                </c:pt>
                <c:pt idx="89">
                  <c:v>10.4</c:v>
                </c:pt>
                <c:pt idx="90">
                  <c:v>15.7</c:v>
                </c:pt>
                <c:pt idx="91">
                  <c:v>20.3</c:v>
                </c:pt>
              </c:numCache>
            </c:numRef>
          </c:xVal>
          <c:yVal>
            <c:numRef>
              <c:f>Data!$R$158:$R$249</c:f>
              <c:numCache>
                <c:formatCode>General</c:formatCode>
                <c:ptCount val="92"/>
                <c:pt idx="0">
                  <c:v>19.47</c:v>
                </c:pt>
                <c:pt idx="1">
                  <c:v>17.32</c:v>
                </c:pt>
                <c:pt idx="2">
                  <c:v>19.93</c:v>
                </c:pt>
                <c:pt idx="3">
                  <c:v>16.86</c:v>
                </c:pt>
                <c:pt idx="4">
                  <c:v>5.9390000000000001</c:v>
                </c:pt>
                <c:pt idx="5">
                  <c:v>7.59</c:v>
                </c:pt>
                <c:pt idx="6">
                  <c:v>16.36</c:v>
                </c:pt>
                <c:pt idx="7">
                  <c:v>17.850000000000001</c:v>
                </c:pt>
                <c:pt idx="8">
                  <c:v>18</c:v>
                </c:pt>
                <c:pt idx="9">
                  <c:v>17.329999999999998</c:v>
                </c:pt>
                <c:pt idx="10">
                  <c:v>10.49</c:v>
                </c:pt>
                <c:pt idx="11">
                  <c:v>13.25</c:v>
                </c:pt>
                <c:pt idx="12">
                  <c:v>10.6</c:v>
                </c:pt>
                <c:pt idx="13">
                  <c:v>9.7799999999999994</c:v>
                </c:pt>
                <c:pt idx="14">
                  <c:v>13.71</c:v>
                </c:pt>
                <c:pt idx="15">
                  <c:v>14.42</c:v>
                </c:pt>
                <c:pt idx="16">
                  <c:v>11.57</c:v>
                </c:pt>
                <c:pt idx="17">
                  <c:v>12.68</c:v>
                </c:pt>
                <c:pt idx="18">
                  <c:v>10.56</c:v>
                </c:pt>
                <c:pt idx="19">
                  <c:v>9.49</c:v>
                </c:pt>
                <c:pt idx="20">
                  <c:v>15.87</c:v>
                </c:pt>
                <c:pt idx="21">
                  <c:v>17.73</c:v>
                </c:pt>
                <c:pt idx="22">
                  <c:v>19.73</c:v>
                </c:pt>
                <c:pt idx="23">
                  <c:v>18.91</c:v>
                </c:pt>
                <c:pt idx="24">
                  <c:v>18.13</c:v>
                </c:pt>
                <c:pt idx="25">
                  <c:v>13.5</c:v>
                </c:pt>
                <c:pt idx="26">
                  <c:v>17.100000000000001</c:v>
                </c:pt>
                <c:pt idx="27">
                  <c:v>21.13</c:v>
                </c:pt>
                <c:pt idx="28">
                  <c:v>22.11</c:v>
                </c:pt>
                <c:pt idx="29">
                  <c:v>23.38</c:v>
                </c:pt>
                <c:pt idx="30">
                  <c:v>23.26</c:v>
                </c:pt>
                <c:pt idx="31">
                  <c:v>16.12</c:v>
                </c:pt>
                <c:pt idx="32">
                  <c:v>15.29</c:v>
                </c:pt>
                <c:pt idx="33">
                  <c:v>12.02</c:v>
                </c:pt>
                <c:pt idx="34">
                  <c:v>16.18</c:v>
                </c:pt>
                <c:pt idx="35">
                  <c:v>15.25</c:v>
                </c:pt>
                <c:pt idx="36">
                  <c:v>16.239999999999998</c:v>
                </c:pt>
                <c:pt idx="37">
                  <c:v>18.16</c:v>
                </c:pt>
                <c:pt idx="38">
                  <c:v>20.149999999999999</c:v>
                </c:pt>
                <c:pt idx="39">
                  <c:v>13.76</c:v>
                </c:pt>
                <c:pt idx="40">
                  <c:v>14.61</c:v>
                </c:pt>
                <c:pt idx="41">
                  <c:v>16.43</c:v>
                </c:pt>
                <c:pt idx="42">
                  <c:v>17.86</c:v>
                </c:pt>
                <c:pt idx="43">
                  <c:v>16.649999999999999</c:v>
                </c:pt>
                <c:pt idx="44">
                  <c:v>18.510000000000002</c:v>
                </c:pt>
                <c:pt idx="45">
                  <c:v>20.239999999999998</c:v>
                </c:pt>
                <c:pt idx="46">
                  <c:v>21.09</c:v>
                </c:pt>
                <c:pt idx="47">
                  <c:v>20.93</c:v>
                </c:pt>
                <c:pt idx="48">
                  <c:v>22.91</c:v>
                </c:pt>
                <c:pt idx="49">
                  <c:v>21.05</c:v>
                </c:pt>
                <c:pt idx="50">
                  <c:v>19.04</c:v>
                </c:pt>
                <c:pt idx="51">
                  <c:v>21.46</c:v>
                </c:pt>
                <c:pt idx="52">
                  <c:v>14.66</c:v>
                </c:pt>
                <c:pt idx="53">
                  <c:v>15.61</c:v>
                </c:pt>
                <c:pt idx="54">
                  <c:v>14.05</c:v>
                </c:pt>
                <c:pt idx="55">
                  <c:v>14.46</c:v>
                </c:pt>
                <c:pt idx="56">
                  <c:v>12.77</c:v>
                </c:pt>
                <c:pt idx="57">
                  <c:v>16.21</c:v>
                </c:pt>
                <c:pt idx="58">
                  <c:v>8.82</c:v>
                </c:pt>
                <c:pt idx="59">
                  <c:v>14.47</c:v>
                </c:pt>
                <c:pt idx="60">
                  <c:v>15.75</c:v>
                </c:pt>
                <c:pt idx="61">
                  <c:v>14.25</c:v>
                </c:pt>
                <c:pt idx="62">
                  <c:v>14.07</c:v>
                </c:pt>
                <c:pt idx="63">
                  <c:v>19.190000000000001</c:v>
                </c:pt>
                <c:pt idx="64">
                  <c:v>23.83</c:v>
                </c:pt>
                <c:pt idx="65">
                  <c:v>15.59</c:v>
                </c:pt>
                <c:pt idx="66">
                  <c:v>7.58</c:v>
                </c:pt>
                <c:pt idx="67">
                  <c:v>9.5</c:v>
                </c:pt>
                <c:pt idx="68">
                  <c:v>8.9600000000000009</c:v>
                </c:pt>
                <c:pt idx="69">
                  <c:v>15.09</c:v>
                </c:pt>
                <c:pt idx="70">
                  <c:v>16.260000000000002</c:v>
                </c:pt>
                <c:pt idx="71">
                  <c:v>12.15</c:v>
                </c:pt>
                <c:pt idx="72">
                  <c:v>5.6630000000000003</c:v>
                </c:pt>
                <c:pt idx="73">
                  <c:v>13.92</c:v>
                </c:pt>
                <c:pt idx="74">
                  <c:v>10.01</c:v>
                </c:pt>
                <c:pt idx="75">
                  <c:v>9.9499999999999993</c:v>
                </c:pt>
                <c:pt idx="76">
                  <c:v>10.02</c:v>
                </c:pt>
                <c:pt idx="77">
                  <c:v>6.9109999999999996</c:v>
                </c:pt>
                <c:pt idx="78">
                  <c:v>9.4499999999999993</c:v>
                </c:pt>
                <c:pt idx="79">
                  <c:v>13.51</c:v>
                </c:pt>
                <c:pt idx="80">
                  <c:v>17.37</c:v>
                </c:pt>
                <c:pt idx="81">
                  <c:v>18.89</c:v>
                </c:pt>
                <c:pt idx="82">
                  <c:v>18.05</c:v>
                </c:pt>
                <c:pt idx="83">
                  <c:v>17.64</c:v>
                </c:pt>
                <c:pt idx="84">
                  <c:v>11.56</c:v>
                </c:pt>
                <c:pt idx="85">
                  <c:v>15.19</c:v>
                </c:pt>
                <c:pt idx="86">
                  <c:v>13.2</c:v>
                </c:pt>
                <c:pt idx="87">
                  <c:v>15.24</c:v>
                </c:pt>
                <c:pt idx="88">
                  <c:v>17.54</c:v>
                </c:pt>
                <c:pt idx="89">
                  <c:v>9.8000000000000007</c:v>
                </c:pt>
                <c:pt idx="90">
                  <c:v>13.73</c:v>
                </c:pt>
                <c:pt idx="91">
                  <c:v>17.21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60096"/>
        <c:axId val="156662016"/>
      </c:scatterChart>
      <c:valAx>
        <c:axId val="156660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6662016"/>
        <c:crosses val="autoZero"/>
        <c:crossBetween val="midCat"/>
      </c:valAx>
      <c:valAx>
        <c:axId val="156662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66600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4049925634295713"/>
                  <c:y val="-8.3094196558763489E-2"/>
                </c:manualLayout>
              </c:layout>
              <c:numFmt formatCode="General" sourceLinked="0"/>
            </c:trendlineLbl>
          </c:trendline>
          <c:xVal>
            <c:numRef>
              <c:f>Data!$DY$158:$DY$249</c:f>
              <c:numCache>
                <c:formatCode>General</c:formatCode>
                <c:ptCount val="92"/>
                <c:pt idx="0">
                  <c:v>1.8</c:v>
                </c:pt>
                <c:pt idx="1">
                  <c:v>4.0999999999999996</c:v>
                </c:pt>
                <c:pt idx="2">
                  <c:v>1.6</c:v>
                </c:pt>
                <c:pt idx="3">
                  <c:v>3.6</c:v>
                </c:pt>
                <c:pt idx="4">
                  <c:v>0</c:v>
                </c:pt>
                <c:pt idx="5">
                  <c:v>0</c:v>
                </c:pt>
                <c:pt idx="6">
                  <c:v>2.5</c:v>
                </c:pt>
                <c:pt idx="7">
                  <c:v>0.2</c:v>
                </c:pt>
                <c:pt idx="8">
                  <c:v>-0.1</c:v>
                </c:pt>
                <c:pt idx="9">
                  <c:v>5.3</c:v>
                </c:pt>
                <c:pt idx="10">
                  <c:v>0.2</c:v>
                </c:pt>
                <c:pt idx="11">
                  <c:v>-1.4</c:v>
                </c:pt>
                <c:pt idx="12">
                  <c:v>1.6</c:v>
                </c:pt>
                <c:pt idx="13">
                  <c:v>1.7</c:v>
                </c:pt>
                <c:pt idx="14">
                  <c:v>4.5</c:v>
                </c:pt>
                <c:pt idx="15">
                  <c:v>3.4</c:v>
                </c:pt>
                <c:pt idx="16">
                  <c:v>4.3</c:v>
                </c:pt>
                <c:pt idx="17">
                  <c:v>0.8</c:v>
                </c:pt>
                <c:pt idx="18">
                  <c:v>-1</c:v>
                </c:pt>
                <c:pt idx="19">
                  <c:v>3.8</c:v>
                </c:pt>
                <c:pt idx="20">
                  <c:v>4.3</c:v>
                </c:pt>
                <c:pt idx="21">
                  <c:v>4.7</c:v>
                </c:pt>
                <c:pt idx="22">
                  <c:v>6</c:v>
                </c:pt>
                <c:pt idx="23">
                  <c:v>6.8</c:v>
                </c:pt>
                <c:pt idx="24">
                  <c:v>5.8</c:v>
                </c:pt>
                <c:pt idx="25">
                  <c:v>3.8</c:v>
                </c:pt>
                <c:pt idx="26">
                  <c:v>2</c:v>
                </c:pt>
                <c:pt idx="27">
                  <c:v>2</c:v>
                </c:pt>
                <c:pt idx="28">
                  <c:v>4.4000000000000004</c:v>
                </c:pt>
                <c:pt idx="29">
                  <c:v>6.1</c:v>
                </c:pt>
                <c:pt idx="30">
                  <c:v>6</c:v>
                </c:pt>
                <c:pt idx="31">
                  <c:v>8.1</c:v>
                </c:pt>
                <c:pt idx="32">
                  <c:v>3.4</c:v>
                </c:pt>
                <c:pt idx="33">
                  <c:v>2.9</c:v>
                </c:pt>
                <c:pt idx="34">
                  <c:v>1</c:v>
                </c:pt>
                <c:pt idx="35">
                  <c:v>3.7</c:v>
                </c:pt>
                <c:pt idx="36">
                  <c:v>7.3</c:v>
                </c:pt>
                <c:pt idx="37">
                  <c:v>6.4</c:v>
                </c:pt>
                <c:pt idx="38">
                  <c:v>10.199999999999999</c:v>
                </c:pt>
                <c:pt idx="39">
                  <c:v>3.6</c:v>
                </c:pt>
                <c:pt idx="40">
                  <c:v>0.8</c:v>
                </c:pt>
                <c:pt idx="41">
                  <c:v>0.3</c:v>
                </c:pt>
                <c:pt idx="42">
                  <c:v>2.4</c:v>
                </c:pt>
                <c:pt idx="43">
                  <c:v>4.4000000000000004</c:v>
                </c:pt>
                <c:pt idx="44">
                  <c:v>2.9</c:v>
                </c:pt>
                <c:pt idx="45">
                  <c:v>5.6</c:v>
                </c:pt>
                <c:pt idx="46">
                  <c:v>5</c:v>
                </c:pt>
                <c:pt idx="47">
                  <c:v>7</c:v>
                </c:pt>
                <c:pt idx="48">
                  <c:v>6.3</c:v>
                </c:pt>
                <c:pt idx="49">
                  <c:v>9.1</c:v>
                </c:pt>
                <c:pt idx="50">
                  <c:v>6.9</c:v>
                </c:pt>
                <c:pt idx="51">
                  <c:v>4.8</c:v>
                </c:pt>
                <c:pt idx="52">
                  <c:v>5.6</c:v>
                </c:pt>
                <c:pt idx="53">
                  <c:v>5.2</c:v>
                </c:pt>
                <c:pt idx="54">
                  <c:v>7.9</c:v>
                </c:pt>
                <c:pt idx="55">
                  <c:v>7.1</c:v>
                </c:pt>
                <c:pt idx="56">
                  <c:v>3.8</c:v>
                </c:pt>
                <c:pt idx="57">
                  <c:v>3.4</c:v>
                </c:pt>
                <c:pt idx="58">
                  <c:v>3.9</c:v>
                </c:pt>
                <c:pt idx="59">
                  <c:v>4.5999999999999996</c:v>
                </c:pt>
                <c:pt idx="60">
                  <c:v>1.7</c:v>
                </c:pt>
                <c:pt idx="61">
                  <c:v>7.3</c:v>
                </c:pt>
                <c:pt idx="62">
                  <c:v>6.9</c:v>
                </c:pt>
                <c:pt idx="63">
                  <c:v>6.2</c:v>
                </c:pt>
                <c:pt idx="64">
                  <c:v>5.9</c:v>
                </c:pt>
                <c:pt idx="65">
                  <c:v>8.6999999999999993</c:v>
                </c:pt>
                <c:pt idx="66">
                  <c:v>4</c:v>
                </c:pt>
                <c:pt idx="67">
                  <c:v>4.4000000000000004</c:v>
                </c:pt>
                <c:pt idx="68">
                  <c:v>0.4</c:v>
                </c:pt>
                <c:pt idx="69">
                  <c:v>-0.7</c:v>
                </c:pt>
                <c:pt idx="70">
                  <c:v>2.9</c:v>
                </c:pt>
                <c:pt idx="71">
                  <c:v>4.9000000000000004</c:v>
                </c:pt>
                <c:pt idx="72">
                  <c:v>2.1</c:v>
                </c:pt>
                <c:pt idx="73">
                  <c:v>3.4</c:v>
                </c:pt>
                <c:pt idx="74">
                  <c:v>3.4</c:v>
                </c:pt>
                <c:pt idx="75">
                  <c:v>1</c:v>
                </c:pt>
                <c:pt idx="76">
                  <c:v>0.8</c:v>
                </c:pt>
                <c:pt idx="77">
                  <c:v>0.5</c:v>
                </c:pt>
                <c:pt idx="78">
                  <c:v>1.2</c:v>
                </c:pt>
                <c:pt idx="79">
                  <c:v>1</c:v>
                </c:pt>
                <c:pt idx="80">
                  <c:v>1.6</c:v>
                </c:pt>
                <c:pt idx="81">
                  <c:v>3.9</c:v>
                </c:pt>
                <c:pt idx="82">
                  <c:v>4</c:v>
                </c:pt>
                <c:pt idx="83">
                  <c:v>2.1</c:v>
                </c:pt>
                <c:pt idx="84">
                  <c:v>-1.4</c:v>
                </c:pt>
                <c:pt idx="85">
                  <c:v>-0.2</c:v>
                </c:pt>
                <c:pt idx="86">
                  <c:v>0.4</c:v>
                </c:pt>
                <c:pt idx="87">
                  <c:v>-1.5</c:v>
                </c:pt>
                <c:pt idx="88">
                  <c:v>0.4</c:v>
                </c:pt>
                <c:pt idx="89">
                  <c:v>0.3</c:v>
                </c:pt>
                <c:pt idx="90">
                  <c:v>-1</c:v>
                </c:pt>
                <c:pt idx="91">
                  <c:v>4.2</c:v>
                </c:pt>
              </c:numCache>
            </c:numRef>
          </c:xVal>
          <c:yVal>
            <c:numRef>
              <c:f>Data!$AF$158:$AF$249</c:f>
              <c:numCache>
                <c:formatCode>General</c:formatCode>
                <c:ptCount val="92"/>
                <c:pt idx="0">
                  <c:v>1.6040000000000001</c:v>
                </c:pt>
                <c:pt idx="1">
                  <c:v>2.681</c:v>
                </c:pt>
                <c:pt idx="2">
                  <c:v>1.5049999999999999</c:v>
                </c:pt>
                <c:pt idx="3">
                  <c:v>3.3479999999999999</c:v>
                </c:pt>
                <c:pt idx="4">
                  <c:v>2.2839999999999998</c:v>
                </c:pt>
                <c:pt idx="5">
                  <c:v>0.56599999999999995</c:v>
                </c:pt>
                <c:pt idx="6">
                  <c:v>0.182</c:v>
                </c:pt>
                <c:pt idx="7">
                  <c:v>-1.0489999999999999</c:v>
                </c:pt>
                <c:pt idx="8">
                  <c:v>-0.42499999999999999</c:v>
                </c:pt>
                <c:pt idx="9">
                  <c:v>0.57599999999999996</c:v>
                </c:pt>
                <c:pt idx="10">
                  <c:v>4.9020000000000001</c:v>
                </c:pt>
                <c:pt idx="11">
                  <c:v>2.0270000000000001</c:v>
                </c:pt>
                <c:pt idx="12">
                  <c:v>2.4220000000000002</c:v>
                </c:pt>
                <c:pt idx="13">
                  <c:v>3.4140000000000001</c:v>
                </c:pt>
                <c:pt idx="14">
                  <c:v>5.0510000000000002</c:v>
                </c:pt>
                <c:pt idx="15">
                  <c:v>1.7270000000000001</c:v>
                </c:pt>
                <c:pt idx="16">
                  <c:v>5.2489999999999997</c:v>
                </c:pt>
                <c:pt idx="17">
                  <c:v>3.9420000000000002</c:v>
                </c:pt>
                <c:pt idx="18">
                  <c:v>2.5950000000000002</c:v>
                </c:pt>
                <c:pt idx="19">
                  <c:v>6.1779999999999999</c:v>
                </c:pt>
                <c:pt idx="20">
                  <c:v>7.44</c:v>
                </c:pt>
                <c:pt idx="21">
                  <c:v>3.41</c:v>
                </c:pt>
                <c:pt idx="22">
                  <c:v>4.3609999999999998</c:v>
                </c:pt>
                <c:pt idx="23">
                  <c:v>6.4260000000000002</c:v>
                </c:pt>
                <c:pt idx="24">
                  <c:v>1.9370000000000001</c:v>
                </c:pt>
                <c:pt idx="25">
                  <c:v>0.247</c:v>
                </c:pt>
                <c:pt idx="26">
                  <c:v>-1.59</c:v>
                </c:pt>
                <c:pt idx="27">
                  <c:v>1.0409999999999999</c:v>
                </c:pt>
                <c:pt idx="28">
                  <c:v>3.452</c:v>
                </c:pt>
                <c:pt idx="29">
                  <c:v>4.6959999999999997</c:v>
                </c:pt>
                <c:pt idx="30">
                  <c:v>7.07</c:v>
                </c:pt>
                <c:pt idx="31">
                  <c:v>8.81</c:v>
                </c:pt>
                <c:pt idx="32">
                  <c:v>5.7869999999999999</c:v>
                </c:pt>
                <c:pt idx="33">
                  <c:v>4.8010000000000002</c:v>
                </c:pt>
                <c:pt idx="34">
                  <c:v>5.952</c:v>
                </c:pt>
                <c:pt idx="35">
                  <c:v>2.4910000000000001</c:v>
                </c:pt>
                <c:pt idx="36">
                  <c:v>8.0500000000000007</c:v>
                </c:pt>
                <c:pt idx="37">
                  <c:v>6.3460000000000001</c:v>
                </c:pt>
                <c:pt idx="38">
                  <c:v>7.8</c:v>
                </c:pt>
                <c:pt idx="39">
                  <c:v>5.4340000000000002</c:v>
                </c:pt>
                <c:pt idx="40">
                  <c:v>-7.32</c:v>
                </c:pt>
                <c:pt idx="41">
                  <c:v>-0.26500000000000001</c:v>
                </c:pt>
                <c:pt idx="42">
                  <c:v>1.627</c:v>
                </c:pt>
                <c:pt idx="43">
                  <c:v>4.8949999999999996</c:v>
                </c:pt>
                <c:pt idx="44">
                  <c:v>2.056</c:v>
                </c:pt>
                <c:pt idx="45">
                  <c:v>5.0970000000000004</c:v>
                </c:pt>
                <c:pt idx="46">
                  <c:v>3.5129999999999999</c:v>
                </c:pt>
                <c:pt idx="47">
                  <c:v>5.508</c:v>
                </c:pt>
                <c:pt idx="48">
                  <c:v>3.8769999999999998</c:v>
                </c:pt>
                <c:pt idx="49">
                  <c:v>7.09</c:v>
                </c:pt>
                <c:pt idx="50">
                  <c:v>6.61</c:v>
                </c:pt>
                <c:pt idx="51">
                  <c:v>4.2309999999999999</c:v>
                </c:pt>
                <c:pt idx="52">
                  <c:v>8.25</c:v>
                </c:pt>
                <c:pt idx="53">
                  <c:v>8.57</c:v>
                </c:pt>
                <c:pt idx="54">
                  <c:v>8.91</c:v>
                </c:pt>
                <c:pt idx="55">
                  <c:v>8.6</c:v>
                </c:pt>
                <c:pt idx="56">
                  <c:v>1.284</c:v>
                </c:pt>
                <c:pt idx="57">
                  <c:v>0.49099999999999999</c:v>
                </c:pt>
                <c:pt idx="58">
                  <c:v>3.2149999999999999</c:v>
                </c:pt>
                <c:pt idx="59">
                  <c:v>4.9400000000000004</c:v>
                </c:pt>
                <c:pt idx="60">
                  <c:v>6.0529999999999999</c:v>
                </c:pt>
                <c:pt idx="61">
                  <c:v>5.431</c:v>
                </c:pt>
                <c:pt idx="62">
                  <c:v>4.641</c:v>
                </c:pt>
                <c:pt idx="63">
                  <c:v>4.3579999999999997</c:v>
                </c:pt>
                <c:pt idx="64">
                  <c:v>5.5640000000000001</c:v>
                </c:pt>
                <c:pt idx="65">
                  <c:v>5.3049999999999997</c:v>
                </c:pt>
                <c:pt idx="66">
                  <c:v>4.1470000000000002</c:v>
                </c:pt>
                <c:pt idx="67">
                  <c:v>2.621</c:v>
                </c:pt>
                <c:pt idx="68">
                  <c:v>4.2300000000000004</c:v>
                </c:pt>
                <c:pt idx="69">
                  <c:v>3.5990000000000002</c:v>
                </c:pt>
                <c:pt idx="70">
                  <c:v>1.333</c:v>
                </c:pt>
                <c:pt idx="71">
                  <c:v>5.5670000000000002</c:v>
                </c:pt>
                <c:pt idx="72">
                  <c:v>3.5219999999999998</c:v>
                </c:pt>
                <c:pt idx="73">
                  <c:v>3.7810000000000001</c:v>
                </c:pt>
                <c:pt idx="74">
                  <c:v>4.1929999999999996</c:v>
                </c:pt>
                <c:pt idx="75">
                  <c:v>2.8029999999999999</c:v>
                </c:pt>
                <c:pt idx="76">
                  <c:v>1.8520000000000001</c:v>
                </c:pt>
                <c:pt idx="77">
                  <c:v>1.2290000000000001</c:v>
                </c:pt>
                <c:pt idx="78">
                  <c:v>3.6880000000000002</c:v>
                </c:pt>
                <c:pt idx="79">
                  <c:v>4.3150000000000004</c:v>
                </c:pt>
                <c:pt idx="80">
                  <c:v>0.46700000000000003</c:v>
                </c:pt>
                <c:pt idx="81">
                  <c:v>4.8070000000000004</c:v>
                </c:pt>
                <c:pt idx="82">
                  <c:v>2.8490000000000002</c:v>
                </c:pt>
                <c:pt idx="83">
                  <c:v>0.34499999999999997</c:v>
                </c:pt>
                <c:pt idx="84">
                  <c:v>-1.002</c:v>
                </c:pt>
                <c:pt idx="85">
                  <c:v>-2.419</c:v>
                </c:pt>
                <c:pt idx="86">
                  <c:v>0.84299999999999997</c:v>
                </c:pt>
                <c:pt idx="87">
                  <c:v>-1.3320000000000001</c:v>
                </c:pt>
                <c:pt idx="88">
                  <c:v>0.63600000000000001</c:v>
                </c:pt>
                <c:pt idx="89">
                  <c:v>1.839</c:v>
                </c:pt>
                <c:pt idx="90">
                  <c:v>0.33600000000000002</c:v>
                </c:pt>
                <c:pt idx="91">
                  <c:v>-1.077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72384"/>
        <c:axId val="156674304"/>
      </c:scatterChart>
      <c:valAx>
        <c:axId val="156672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6674304"/>
        <c:crosses val="autoZero"/>
        <c:crossBetween val="midCat"/>
      </c:valAx>
      <c:valAx>
        <c:axId val="156674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66723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Data!$DW$158:$DW$249</c:f>
              <c:numCache>
                <c:formatCode>General</c:formatCode>
                <c:ptCount val="92"/>
                <c:pt idx="0">
                  <c:v>12.1</c:v>
                </c:pt>
                <c:pt idx="1">
                  <c:v>11.4</c:v>
                </c:pt>
                <c:pt idx="2">
                  <c:v>12.1</c:v>
                </c:pt>
                <c:pt idx="3">
                  <c:v>9.4</c:v>
                </c:pt>
                <c:pt idx="4">
                  <c:v>2.5</c:v>
                </c:pt>
                <c:pt idx="5">
                  <c:v>1.9</c:v>
                </c:pt>
                <c:pt idx="6">
                  <c:v>8.3000000000000007</c:v>
                </c:pt>
                <c:pt idx="7">
                  <c:v>9.4</c:v>
                </c:pt>
                <c:pt idx="8">
                  <c:v>8.9</c:v>
                </c:pt>
                <c:pt idx="9">
                  <c:v>10.199999999999999</c:v>
                </c:pt>
                <c:pt idx="10">
                  <c:v>6.1</c:v>
                </c:pt>
                <c:pt idx="11">
                  <c:v>6.9</c:v>
                </c:pt>
                <c:pt idx="12">
                  <c:v>6.2</c:v>
                </c:pt>
                <c:pt idx="13">
                  <c:v>5.5</c:v>
                </c:pt>
                <c:pt idx="14">
                  <c:v>8.6</c:v>
                </c:pt>
                <c:pt idx="15">
                  <c:v>9.6999999999999993</c:v>
                </c:pt>
                <c:pt idx="16">
                  <c:v>8.1999999999999993</c:v>
                </c:pt>
                <c:pt idx="17">
                  <c:v>6.3</c:v>
                </c:pt>
                <c:pt idx="18">
                  <c:v>6.4</c:v>
                </c:pt>
                <c:pt idx="19">
                  <c:v>5.7</c:v>
                </c:pt>
                <c:pt idx="20">
                  <c:v>9.5</c:v>
                </c:pt>
                <c:pt idx="21">
                  <c:v>11.1</c:v>
                </c:pt>
                <c:pt idx="22">
                  <c:v>13.8</c:v>
                </c:pt>
                <c:pt idx="23">
                  <c:v>13.8</c:v>
                </c:pt>
                <c:pt idx="24">
                  <c:v>13.1</c:v>
                </c:pt>
                <c:pt idx="25">
                  <c:v>9.6999999999999993</c:v>
                </c:pt>
                <c:pt idx="26">
                  <c:v>10.1</c:v>
                </c:pt>
                <c:pt idx="27">
                  <c:v>12.7</c:v>
                </c:pt>
                <c:pt idx="28">
                  <c:v>14.1</c:v>
                </c:pt>
                <c:pt idx="29">
                  <c:v>14.2</c:v>
                </c:pt>
                <c:pt idx="30">
                  <c:v>16.399999999999999</c:v>
                </c:pt>
                <c:pt idx="31">
                  <c:v>10.9</c:v>
                </c:pt>
                <c:pt idx="32">
                  <c:v>8.5</c:v>
                </c:pt>
                <c:pt idx="33">
                  <c:v>8.1999999999999993</c:v>
                </c:pt>
                <c:pt idx="34">
                  <c:v>9.8000000000000007</c:v>
                </c:pt>
                <c:pt idx="35">
                  <c:v>10.8</c:v>
                </c:pt>
                <c:pt idx="36">
                  <c:v>12</c:v>
                </c:pt>
                <c:pt idx="37">
                  <c:v>12.6</c:v>
                </c:pt>
                <c:pt idx="38">
                  <c:v>13.9</c:v>
                </c:pt>
                <c:pt idx="39">
                  <c:v>10.3</c:v>
                </c:pt>
                <c:pt idx="40">
                  <c:v>8.3000000000000007</c:v>
                </c:pt>
                <c:pt idx="41">
                  <c:v>9.9</c:v>
                </c:pt>
                <c:pt idx="42">
                  <c:v>11.4</c:v>
                </c:pt>
                <c:pt idx="43">
                  <c:v>11.4</c:v>
                </c:pt>
                <c:pt idx="44">
                  <c:v>11.6</c:v>
                </c:pt>
                <c:pt idx="45">
                  <c:v>13.5</c:v>
                </c:pt>
                <c:pt idx="46">
                  <c:v>14.3</c:v>
                </c:pt>
                <c:pt idx="47">
                  <c:v>15</c:v>
                </c:pt>
                <c:pt idx="48">
                  <c:v>16.100000000000001</c:v>
                </c:pt>
                <c:pt idx="49">
                  <c:v>17.2</c:v>
                </c:pt>
                <c:pt idx="50">
                  <c:v>13.9</c:v>
                </c:pt>
                <c:pt idx="51">
                  <c:v>14.3</c:v>
                </c:pt>
                <c:pt idx="52">
                  <c:v>11.9</c:v>
                </c:pt>
                <c:pt idx="53">
                  <c:v>11.5</c:v>
                </c:pt>
                <c:pt idx="54">
                  <c:v>11.6</c:v>
                </c:pt>
                <c:pt idx="55">
                  <c:v>10.4</c:v>
                </c:pt>
                <c:pt idx="56">
                  <c:v>9.3000000000000007</c:v>
                </c:pt>
                <c:pt idx="57">
                  <c:v>11.3</c:v>
                </c:pt>
                <c:pt idx="58">
                  <c:v>5.8</c:v>
                </c:pt>
                <c:pt idx="59">
                  <c:v>9.8000000000000007</c:v>
                </c:pt>
                <c:pt idx="60">
                  <c:v>12.6</c:v>
                </c:pt>
                <c:pt idx="61">
                  <c:v>12.3</c:v>
                </c:pt>
                <c:pt idx="62">
                  <c:v>11.5</c:v>
                </c:pt>
                <c:pt idx="63">
                  <c:v>12.6</c:v>
                </c:pt>
                <c:pt idx="64">
                  <c:v>16.399999999999999</c:v>
                </c:pt>
                <c:pt idx="65">
                  <c:v>13.1</c:v>
                </c:pt>
                <c:pt idx="66">
                  <c:v>6.2</c:v>
                </c:pt>
                <c:pt idx="67">
                  <c:v>6.8</c:v>
                </c:pt>
                <c:pt idx="68">
                  <c:v>6.3</c:v>
                </c:pt>
                <c:pt idx="69">
                  <c:v>8.4</c:v>
                </c:pt>
                <c:pt idx="70">
                  <c:v>9.4</c:v>
                </c:pt>
                <c:pt idx="71">
                  <c:v>8.9</c:v>
                </c:pt>
                <c:pt idx="72">
                  <c:v>5.8</c:v>
                </c:pt>
                <c:pt idx="73">
                  <c:v>8.5</c:v>
                </c:pt>
                <c:pt idx="74">
                  <c:v>7.4</c:v>
                </c:pt>
                <c:pt idx="75">
                  <c:v>6.8</c:v>
                </c:pt>
                <c:pt idx="76">
                  <c:v>6</c:v>
                </c:pt>
                <c:pt idx="77">
                  <c:v>3.4</c:v>
                </c:pt>
                <c:pt idx="78">
                  <c:v>5.8</c:v>
                </c:pt>
                <c:pt idx="79">
                  <c:v>7.8</c:v>
                </c:pt>
                <c:pt idx="80">
                  <c:v>10.8</c:v>
                </c:pt>
                <c:pt idx="81">
                  <c:v>12.8</c:v>
                </c:pt>
                <c:pt idx="82">
                  <c:v>11.7</c:v>
                </c:pt>
                <c:pt idx="83">
                  <c:v>10</c:v>
                </c:pt>
                <c:pt idx="84">
                  <c:v>5.9</c:v>
                </c:pt>
                <c:pt idx="85">
                  <c:v>8.1</c:v>
                </c:pt>
                <c:pt idx="86">
                  <c:v>7.1</c:v>
                </c:pt>
                <c:pt idx="87">
                  <c:v>7.9</c:v>
                </c:pt>
                <c:pt idx="88">
                  <c:v>10</c:v>
                </c:pt>
                <c:pt idx="89">
                  <c:v>5.4</c:v>
                </c:pt>
                <c:pt idx="90">
                  <c:v>7</c:v>
                </c:pt>
                <c:pt idx="91">
                  <c:v>8.6999999999999993</c:v>
                </c:pt>
              </c:numCache>
            </c:numRef>
          </c:xVal>
          <c:yVal>
            <c:numRef>
              <c:f>Data!$E$158:$E$249</c:f>
              <c:numCache>
                <c:formatCode>General</c:formatCode>
                <c:ptCount val="92"/>
                <c:pt idx="0">
                  <c:v>11.09</c:v>
                </c:pt>
                <c:pt idx="1">
                  <c:v>11.2</c:v>
                </c:pt>
                <c:pt idx="2">
                  <c:v>11.3</c:v>
                </c:pt>
                <c:pt idx="3">
                  <c:v>10.16</c:v>
                </c:pt>
                <c:pt idx="4">
                  <c:v>4.1950000000000003</c:v>
                </c:pt>
                <c:pt idx="5">
                  <c:v>4.8929999999999998</c:v>
                </c:pt>
                <c:pt idx="6">
                  <c:v>8.7100000000000009</c:v>
                </c:pt>
                <c:pt idx="7">
                  <c:v>9.7100000000000009</c:v>
                </c:pt>
                <c:pt idx="8">
                  <c:v>9.8699999999999992</c:v>
                </c:pt>
                <c:pt idx="9">
                  <c:v>10.07</c:v>
                </c:pt>
                <c:pt idx="10">
                  <c:v>7.56</c:v>
                </c:pt>
                <c:pt idx="11">
                  <c:v>8.2799999999999994</c:v>
                </c:pt>
                <c:pt idx="12">
                  <c:v>5.798</c:v>
                </c:pt>
                <c:pt idx="13">
                  <c:v>6.4169999999999998</c:v>
                </c:pt>
                <c:pt idx="14">
                  <c:v>8.3000000000000007</c:v>
                </c:pt>
                <c:pt idx="15">
                  <c:v>9.49</c:v>
                </c:pt>
                <c:pt idx="16">
                  <c:v>7.85</c:v>
                </c:pt>
                <c:pt idx="17">
                  <c:v>7.4</c:v>
                </c:pt>
                <c:pt idx="18">
                  <c:v>7.01</c:v>
                </c:pt>
                <c:pt idx="19">
                  <c:v>7.75</c:v>
                </c:pt>
                <c:pt idx="20">
                  <c:v>9.67</c:v>
                </c:pt>
                <c:pt idx="21">
                  <c:v>10.6</c:v>
                </c:pt>
                <c:pt idx="22">
                  <c:v>12.65</c:v>
                </c:pt>
                <c:pt idx="23">
                  <c:v>13.12</c:v>
                </c:pt>
                <c:pt idx="24">
                  <c:v>10.98</c:v>
                </c:pt>
                <c:pt idx="25">
                  <c:v>8.5399999999999991</c:v>
                </c:pt>
                <c:pt idx="26">
                  <c:v>9.16</c:v>
                </c:pt>
                <c:pt idx="27">
                  <c:v>12.54</c:v>
                </c:pt>
                <c:pt idx="28">
                  <c:v>13.84</c:v>
                </c:pt>
                <c:pt idx="29">
                  <c:v>15.45</c:v>
                </c:pt>
                <c:pt idx="30">
                  <c:v>16.62</c:v>
                </c:pt>
                <c:pt idx="31">
                  <c:v>11.64</c:v>
                </c:pt>
                <c:pt idx="32">
                  <c:v>10.119999999999999</c:v>
                </c:pt>
                <c:pt idx="33">
                  <c:v>8.5</c:v>
                </c:pt>
                <c:pt idx="34">
                  <c:v>9.73</c:v>
                </c:pt>
                <c:pt idx="35">
                  <c:v>10.15</c:v>
                </c:pt>
                <c:pt idx="36">
                  <c:v>11.31</c:v>
                </c:pt>
                <c:pt idx="37">
                  <c:v>11.85</c:v>
                </c:pt>
                <c:pt idx="38">
                  <c:v>13.84</c:v>
                </c:pt>
                <c:pt idx="39">
                  <c:v>9.26</c:v>
                </c:pt>
                <c:pt idx="40">
                  <c:v>8.85</c:v>
                </c:pt>
                <c:pt idx="41">
                  <c:v>8.99</c:v>
                </c:pt>
                <c:pt idx="42">
                  <c:v>11.33</c:v>
                </c:pt>
                <c:pt idx="43">
                  <c:v>11.23</c:v>
                </c:pt>
                <c:pt idx="44">
                  <c:v>11.2</c:v>
                </c:pt>
                <c:pt idx="45">
                  <c:v>13.1</c:v>
                </c:pt>
                <c:pt idx="46">
                  <c:v>13.59</c:v>
                </c:pt>
                <c:pt idx="47">
                  <c:v>13.66</c:v>
                </c:pt>
                <c:pt idx="48">
                  <c:v>14.4</c:v>
                </c:pt>
                <c:pt idx="49">
                  <c:v>15.56</c:v>
                </c:pt>
                <c:pt idx="50">
                  <c:v>12.96</c:v>
                </c:pt>
                <c:pt idx="51">
                  <c:v>14.32</c:v>
                </c:pt>
                <c:pt idx="52">
                  <c:v>11.49</c:v>
                </c:pt>
                <c:pt idx="53">
                  <c:v>11.59</c:v>
                </c:pt>
                <c:pt idx="54">
                  <c:v>10.72</c:v>
                </c:pt>
                <c:pt idx="55">
                  <c:v>10.91</c:v>
                </c:pt>
                <c:pt idx="56">
                  <c:v>7.69</c:v>
                </c:pt>
                <c:pt idx="57">
                  <c:v>9.83</c:v>
                </c:pt>
                <c:pt idx="58">
                  <c:v>5.1589999999999998</c:v>
                </c:pt>
                <c:pt idx="59">
                  <c:v>8.6</c:v>
                </c:pt>
                <c:pt idx="60">
                  <c:v>10.7</c:v>
                </c:pt>
                <c:pt idx="61">
                  <c:v>9.92</c:v>
                </c:pt>
                <c:pt idx="62">
                  <c:v>10.07</c:v>
                </c:pt>
                <c:pt idx="63">
                  <c:v>11.88</c:v>
                </c:pt>
                <c:pt idx="64">
                  <c:v>16.12</c:v>
                </c:pt>
                <c:pt idx="65">
                  <c:v>12.28</c:v>
                </c:pt>
                <c:pt idx="66">
                  <c:v>5.4340000000000002</c:v>
                </c:pt>
                <c:pt idx="67">
                  <c:v>6.65</c:v>
                </c:pt>
                <c:pt idx="68">
                  <c:v>5.7880000000000003</c:v>
                </c:pt>
                <c:pt idx="69">
                  <c:v>8.43</c:v>
                </c:pt>
                <c:pt idx="70">
                  <c:v>10.08</c:v>
                </c:pt>
                <c:pt idx="71">
                  <c:v>8.26</c:v>
                </c:pt>
                <c:pt idx="72">
                  <c:v>4.5990000000000002</c:v>
                </c:pt>
                <c:pt idx="73">
                  <c:v>7.57</c:v>
                </c:pt>
                <c:pt idx="74">
                  <c:v>8.4</c:v>
                </c:pt>
                <c:pt idx="75">
                  <c:v>6.3310000000000004</c:v>
                </c:pt>
                <c:pt idx="76">
                  <c:v>5.4589999999999996</c:v>
                </c:pt>
                <c:pt idx="77">
                  <c:v>3.6150000000000002</c:v>
                </c:pt>
                <c:pt idx="78">
                  <c:v>5.774</c:v>
                </c:pt>
                <c:pt idx="79">
                  <c:v>7.97</c:v>
                </c:pt>
                <c:pt idx="80">
                  <c:v>9.9</c:v>
                </c:pt>
                <c:pt idx="81">
                  <c:v>12.33</c:v>
                </c:pt>
                <c:pt idx="82">
                  <c:v>9.48</c:v>
                </c:pt>
                <c:pt idx="83">
                  <c:v>9.7899999999999991</c:v>
                </c:pt>
                <c:pt idx="84">
                  <c:v>6.1130000000000004</c:v>
                </c:pt>
                <c:pt idx="85">
                  <c:v>6.8460000000000001</c:v>
                </c:pt>
                <c:pt idx="86">
                  <c:v>7.52</c:v>
                </c:pt>
                <c:pt idx="87">
                  <c:v>8.24</c:v>
                </c:pt>
                <c:pt idx="88">
                  <c:v>9.7899999999999991</c:v>
                </c:pt>
                <c:pt idx="89">
                  <c:v>5.69</c:v>
                </c:pt>
                <c:pt idx="90">
                  <c:v>6.6950000000000003</c:v>
                </c:pt>
                <c:pt idx="91">
                  <c:v>7.98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60512"/>
        <c:axId val="157362432"/>
      </c:scatterChart>
      <c:valAx>
        <c:axId val="15736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7362432"/>
        <c:crosses val="autoZero"/>
        <c:crossBetween val="midCat"/>
      </c:valAx>
      <c:valAx>
        <c:axId val="157362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7360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Data!$DG$66:$DG$157</c:f>
              <c:numCache>
                <c:formatCode>General</c:formatCode>
                <c:ptCount val="92"/>
                <c:pt idx="0">
                  <c:v>0</c:v>
                </c:pt>
                <c:pt idx="10">
                  <c:v>5.5</c:v>
                </c:pt>
                <c:pt idx="11">
                  <c:v>3.8</c:v>
                </c:pt>
                <c:pt idx="12">
                  <c:v>2.8</c:v>
                </c:pt>
                <c:pt idx="13">
                  <c:v>6.5</c:v>
                </c:pt>
                <c:pt idx="14">
                  <c:v>3.6</c:v>
                </c:pt>
                <c:pt idx="15">
                  <c:v>7.2</c:v>
                </c:pt>
                <c:pt idx="16">
                  <c:v>6</c:v>
                </c:pt>
                <c:pt idx="17">
                  <c:v>4</c:v>
                </c:pt>
                <c:pt idx="18">
                  <c:v>5.8</c:v>
                </c:pt>
                <c:pt idx="19">
                  <c:v>2.7</c:v>
                </c:pt>
                <c:pt idx="20">
                  <c:v>3.8</c:v>
                </c:pt>
                <c:pt idx="21">
                  <c:v>4.3</c:v>
                </c:pt>
                <c:pt idx="22">
                  <c:v>1.5</c:v>
                </c:pt>
                <c:pt idx="23">
                  <c:v>3.3</c:v>
                </c:pt>
                <c:pt idx="24">
                  <c:v>0.8</c:v>
                </c:pt>
                <c:pt idx="25">
                  <c:v>4.3</c:v>
                </c:pt>
                <c:pt idx="26">
                  <c:v>8.6</c:v>
                </c:pt>
                <c:pt idx="27">
                  <c:v>10.7</c:v>
                </c:pt>
                <c:pt idx="28">
                  <c:v>13</c:v>
                </c:pt>
                <c:pt idx="29">
                  <c:v>14</c:v>
                </c:pt>
                <c:pt idx="30">
                  <c:v>12.7</c:v>
                </c:pt>
                <c:pt idx="31">
                  <c:v>5.8</c:v>
                </c:pt>
                <c:pt idx="32">
                  <c:v>3.4</c:v>
                </c:pt>
                <c:pt idx="33">
                  <c:v>9.1999999999999993</c:v>
                </c:pt>
                <c:pt idx="34">
                  <c:v>7.3</c:v>
                </c:pt>
                <c:pt idx="35">
                  <c:v>4.7</c:v>
                </c:pt>
                <c:pt idx="36">
                  <c:v>9.1999999999999993</c:v>
                </c:pt>
                <c:pt idx="37">
                  <c:v>6.6</c:v>
                </c:pt>
                <c:pt idx="38">
                  <c:v>3.1</c:v>
                </c:pt>
                <c:pt idx="39">
                  <c:v>5.7</c:v>
                </c:pt>
                <c:pt idx="40">
                  <c:v>5.9</c:v>
                </c:pt>
                <c:pt idx="41">
                  <c:v>4.2</c:v>
                </c:pt>
                <c:pt idx="42">
                  <c:v>5.3</c:v>
                </c:pt>
                <c:pt idx="43">
                  <c:v>3.9</c:v>
                </c:pt>
                <c:pt idx="44">
                  <c:v>2.2000000000000002</c:v>
                </c:pt>
                <c:pt idx="45">
                  <c:v>4</c:v>
                </c:pt>
                <c:pt idx="46">
                  <c:v>7.7</c:v>
                </c:pt>
                <c:pt idx="47">
                  <c:v>7.5</c:v>
                </c:pt>
                <c:pt idx="48">
                  <c:v>6.9</c:v>
                </c:pt>
                <c:pt idx="49">
                  <c:v>3.5</c:v>
                </c:pt>
                <c:pt idx="50">
                  <c:v>7.4</c:v>
                </c:pt>
                <c:pt idx="51">
                  <c:v>8.4</c:v>
                </c:pt>
                <c:pt idx="52">
                  <c:v>11.3</c:v>
                </c:pt>
                <c:pt idx="53">
                  <c:v>14.1</c:v>
                </c:pt>
                <c:pt idx="54">
                  <c:v>9.1999999999999993</c:v>
                </c:pt>
                <c:pt idx="89">
                  <c:v>25.7</c:v>
                </c:pt>
                <c:pt idx="90">
                  <c:v>22.6</c:v>
                </c:pt>
                <c:pt idx="91">
                  <c:v>19.7</c:v>
                </c:pt>
              </c:numCache>
            </c:numRef>
          </c:xVal>
          <c:yVal>
            <c:numRef>
              <c:f>Data!$R$66:$R$157</c:f>
              <c:numCache>
                <c:formatCode>General</c:formatCode>
                <c:ptCount val="92"/>
                <c:pt idx="0">
                  <c:v>-3.5259999999999998</c:v>
                </c:pt>
                <c:pt idx="1">
                  <c:v>-2.2959999999999998</c:v>
                </c:pt>
                <c:pt idx="2">
                  <c:v>1.5660000000000001</c:v>
                </c:pt>
                <c:pt idx="3">
                  <c:v>-5.9359999999999999</c:v>
                </c:pt>
                <c:pt idx="4">
                  <c:v>-10.92</c:v>
                </c:pt>
                <c:pt idx="5">
                  <c:v>-9.48</c:v>
                </c:pt>
                <c:pt idx="6">
                  <c:v>-4.4969999999999999</c:v>
                </c:pt>
                <c:pt idx="7">
                  <c:v>-1.9950000000000001</c:v>
                </c:pt>
                <c:pt idx="8">
                  <c:v>4.05</c:v>
                </c:pt>
                <c:pt idx="9">
                  <c:v>4.827</c:v>
                </c:pt>
                <c:pt idx="10">
                  <c:v>5.4279999999999999</c:v>
                </c:pt>
                <c:pt idx="11">
                  <c:v>1.9339999999999999</c:v>
                </c:pt>
                <c:pt idx="12">
                  <c:v>1.6339999999999999</c:v>
                </c:pt>
                <c:pt idx="13">
                  <c:v>6.24</c:v>
                </c:pt>
                <c:pt idx="14">
                  <c:v>2.7650000000000001</c:v>
                </c:pt>
                <c:pt idx="15">
                  <c:v>5.4160000000000004</c:v>
                </c:pt>
                <c:pt idx="16">
                  <c:v>5.226</c:v>
                </c:pt>
                <c:pt idx="17">
                  <c:v>3.0070000000000001</c:v>
                </c:pt>
                <c:pt idx="18">
                  <c:v>4.3659999999999997</c:v>
                </c:pt>
                <c:pt idx="19">
                  <c:v>2.899</c:v>
                </c:pt>
                <c:pt idx="20">
                  <c:v>0.89200000000000002</c:v>
                </c:pt>
                <c:pt idx="21">
                  <c:v>2.472</c:v>
                </c:pt>
                <c:pt idx="22">
                  <c:v>1.3620000000000001</c:v>
                </c:pt>
                <c:pt idx="23">
                  <c:v>-3.9E-2</c:v>
                </c:pt>
                <c:pt idx="24">
                  <c:v>1.149</c:v>
                </c:pt>
                <c:pt idx="25">
                  <c:v>3.004</c:v>
                </c:pt>
                <c:pt idx="26">
                  <c:v>7.94</c:v>
                </c:pt>
                <c:pt idx="27">
                  <c:v>8.9700000000000006</c:v>
                </c:pt>
                <c:pt idx="28">
                  <c:v>9.5299999999999994</c:v>
                </c:pt>
                <c:pt idx="29">
                  <c:v>11.35</c:v>
                </c:pt>
                <c:pt idx="30">
                  <c:v>11.33</c:v>
                </c:pt>
                <c:pt idx="31">
                  <c:v>4.359</c:v>
                </c:pt>
                <c:pt idx="32">
                  <c:v>0.60399999999999998</c:v>
                </c:pt>
                <c:pt idx="33">
                  <c:v>9.2200000000000006</c:v>
                </c:pt>
                <c:pt idx="34">
                  <c:v>5.3819999999999997</c:v>
                </c:pt>
                <c:pt idx="35">
                  <c:v>3.2530000000000001</c:v>
                </c:pt>
                <c:pt idx="36">
                  <c:v>6.4539999999999997</c:v>
                </c:pt>
                <c:pt idx="37">
                  <c:v>5.27</c:v>
                </c:pt>
                <c:pt idx="38">
                  <c:v>1.1739999999999999</c:v>
                </c:pt>
                <c:pt idx="39">
                  <c:v>4.05</c:v>
                </c:pt>
                <c:pt idx="40">
                  <c:v>3.2759999999999998</c:v>
                </c:pt>
                <c:pt idx="41">
                  <c:v>2.9369999999999998</c:v>
                </c:pt>
                <c:pt idx="42">
                  <c:v>3.5609999999999999</c:v>
                </c:pt>
                <c:pt idx="43">
                  <c:v>2.044</c:v>
                </c:pt>
                <c:pt idx="44">
                  <c:v>-0.30199999999999999</c:v>
                </c:pt>
                <c:pt idx="45">
                  <c:v>2.41</c:v>
                </c:pt>
                <c:pt idx="46">
                  <c:v>5.4640000000000004</c:v>
                </c:pt>
                <c:pt idx="47">
                  <c:v>3.1040000000000001</c:v>
                </c:pt>
                <c:pt idx="48">
                  <c:v>4.9989999999999997</c:v>
                </c:pt>
                <c:pt idx="49">
                  <c:v>0.52100000000000002</c:v>
                </c:pt>
                <c:pt idx="50">
                  <c:v>5.59</c:v>
                </c:pt>
                <c:pt idx="51">
                  <c:v>7.06</c:v>
                </c:pt>
                <c:pt idx="52">
                  <c:v>9.77</c:v>
                </c:pt>
                <c:pt idx="53">
                  <c:v>11.54</c:v>
                </c:pt>
                <c:pt idx="54">
                  <c:v>6.9370000000000003</c:v>
                </c:pt>
                <c:pt idx="55">
                  <c:v>10.58</c:v>
                </c:pt>
                <c:pt idx="56">
                  <c:v>6.8280000000000003</c:v>
                </c:pt>
                <c:pt idx="57">
                  <c:v>9.5</c:v>
                </c:pt>
                <c:pt idx="58">
                  <c:v>9.2100000000000009</c:v>
                </c:pt>
                <c:pt idx="59">
                  <c:v>6.4340000000000002</c:v>
                </c:pt>
                <c:pt idx="60">
                  <c:v>5.01</c:v>
                </c:pt>
                <c:pt idx="61">
                  <c:v>9.02</c:v>
                </c:pt>
                <c:pt idx="62">
                  <c:v>8.7799999999999994</c:v>
                </c:pt>
                <c:pt idx="63">
                  <c:v>5.1159999999999997</c:v>
                </c:pt>
                <c:pt idx="64">
                  <c:v>8.23</c:v>
                </c:pt>
                <c:pt idx="65">
                  <c:v>6.5780000000000003</c:v>
                </c:pt>
                <c:pt idx="66">
                  <c:v>10.06</c:v>
                </c:pt>
                <c:pt idx="67">
                  <c:v>11.32</c:v>
                </c:pt>
                <c:pt idx="68">
                  <c:v>12.76</c:v>
                </c:pt>
                <c:pt idx="69">
                  <c:v>13.83</c:v>
                </c:pt>
                <c:pt idx="70">
                  <c:v>10.19</c:v>
                </c:pt>
                <c:pt idx="71">
                  <c:v>4.1909999999999998</c:v>
                </c:pt>
                <c:pt idx="72">
                  <c:v>5.4480000000000004</c:v>
                </c:pt>
                <c:pt idx="73">
                  <c:v>14.47</c:v>
                </c:pt>
                <c:pt idx="74">
                  <c:v>13.6</c:v>
                </c:pt>
                <c:pt idx="75">
                  <c:v>14.73</c:v>
                </c:pt>
                <c:pt idx="76">
                  <c:v>16.59</c:v>
                </c:pt>
                <c:pt idx="77">
                  <c:v>10.49</c:v>
                </c:pt>
                <c:pt idx="78">
                  <c:v>7.27</c:v>
                </c:pt>
                <c:pt idx="79">
                  <c:v>9.8800000000000008</c:v>
                </c:pt>
                <c:pt idx="80">
                  <c:v>7</c:v>
                </c:pt>
                <c:pt idx="81">
                  <c:v>11.18</c:v>
                </c:pt>
                <c:pt idx="82">
                  <c:v>14.13</c:v>
                </c:pt>
                <c:pt idx="83">
                  <c:v>15.99</c:v>
                </c:pt>
                <c:pt idx="84">
                  <c:v>15.7</c:v>
                </c:pt>
                <c:pt idx="85">
                  <c:v>12.89</c:v>
                </c:pt>
                <c:pt idx="86">
                  <c:v>15.05</c:v>
                </c:pt>
                <c:pt idx="87">
                  <c:v>19.2</c:v>
                </c:pt>
                <c:pt idx="88">
                  <c:v>22.07</c:v>
                </c:pt>
                <c:pt idx="89">
                  <c:v>22.49</c:v>
                </c:pt>
                <c:pt idx="90">
                  <c:v>19.34</c:v>
                </c:pt>
                <c:pt idx="91">
                  <c:v>17.34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85088"/>
        <c:axId val="157387008"/>
      </c:scatterChart>
      <c:valAx>
        <c:axId val="157385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7387008"/>
        <c:crosses val="autoZero"/>
        <c:crossBetween val="midCat"/>
      </c:valAx>
      <c:valAx>
        <c:axId val="1573870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73850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049925634295713"/>
                  <c:y val="-8.3094196558763489E-2"/>
                </c:manualLayout>
              </c:layout>
              <c:numFmt formatCode="General" sourceLinked="0"/>
            </c:trendlineLbl>
          </c:trendline>
          <c:xVal>
            <c:numRef>
              <c:f>Data!$DH$66:$DH$157</c:f>
              <c:numCache>
                <c:formatCode>General</c:formatCode>
                <c:ptCount val="92"/>
                <c:pt idx="0">
                  <c:v>-11.5</c:v>
                </c:pt>
                <c:pt idx="10">
                  <c:v>0.8</c:v>
                </c:pt>
                <c:pt idx="11">
                  <c:v>-1.3</c:v>
                </c:pt>
                <c:pt idx="12">
                  <c:v>-2.4</c:v>
                </c:pt>
                <c:pt idx="13">
                  <c:v>1.5</c:v>
                </c:pt>
                <c:pt idx="14">
                  <c:v>-0.5</c:v>
                </c:pt>
                <c:pt idx="15">
                  <c:v>-1</c:v>
                </c:pt>
                <c:pt idx="16">
                  <c:v>-1.4</c:v>
                </c:pt>
                <c:pt idx="17">
                  <c:v>1.1000000000000001</c:v>
                </c:pt>
                <c:pt idx="18">
                  <c:v>1.2</c:v>
                </c:pt>
                <c:pt idx="19">
                  <c:v>-1.9</c:v>
                </c:pt>
                <c:pt idx="20">
                  <c:v>-2.2999999999999998</c:v>
                </c:pt>
                <c:pt idx="21">
                  <c:v>-3.9</c:v>
                </c:pt>
                <c:pt idx="22">
                  <c:v>-1.9</c:v>
                </c:pt>
                <c:pt idx="23">
                  <c:v>-3.9</c:v>
                </c:pt>
                <c:pt idx="24">
                  <c:v>-6.9</c:v>
                </c:pt>
                <c:pt idx="25">
                  <c:v>-6.5</c:v>
                </c:pt>
                <c:pt idx="26">
                  <c:v>-2.8</c:v>
                </c:pt>
                <c:pt idx="27">
                  <c:v>-0.2</c:v>
                </c:pt>
                <c:pt idx="28">
                  <c:v>0.6</c:v>
                </c:pt>
                <c:pt idx="29">
                  <c:v>2.5</c:v>
                </c:pt>
                <c:pt idx="30">
                  <c:v>2.4</c:v>
                </c:pt>
                <c:pt idx="31">
                  <c:v>1</c:v>
                </c:pt>
                <c:pt idx="32">
                  <c:v>0.6</c:v>
                </c:pt>
                <c:pt idx="33">
                  <c:v>1.5</c:v>
                </c:pt>
                <c:pt idx="34">
                  <c:v>-3.4</c:v>
                </c:pt>
                <c:pt idx="35">
                  <c:v>-3.2</c:v>
                </c:pt>
                <c:pt idx="36">
                  <c:v>-1.3</c:v>
                </c:pt>
                <c:pt idx="37">
                  <c:v>0.3</c:v>
                </c:pt>
                <c:pt idx="38">
                  <c:v>0.1</c:v>
                </c:pt>
                <c:pt idx="39">
                  <c:v>-0.6</c:v>
                </c:pt>
                <c:pt idx="40">
                  <c:v>-2.4</c:v>
                </c:pt>
                <c:pt idx="41">
                  <c:v>-2.4</c:v>
                </c:pt>
                <c:pt idx="42">
                  <c:v>-2.7</c:v>
                </c:pt>
                <c:pt idx="43">
                  <c:v>-1.1000000000000001</c:v>
                </c:pt>
                <c:pt idx="44">
                  <c:v>-1.9</c:v>
                </c:pt>
                <c:pt idx="45">
                  <c:v>-2.8</c:v>
                </c:pt>
                <c:pt idx="46">
                  <c:v>-3.3</c:v>
                </c:pt>
                <c:pt idx="47">
                  <c:v>0</c:v>
                </c:pt>
                <c:pt idx="48">
                  <c:v>1.1000000000000001</c:v>
                </c:pt>
                <c:pt idx="49">
                  <c:v>-0.5</c:v>
                </c:pt>
                <c:pt idx="50">
                  <c:v>-0.7</c:v>
                </c:pt>
                <c:pt idx="51">
                  <c:v>-0.2</c:v>
                </c:pt>
                <c:pt idx="52">
                  <c:v>0.7</c:v>
                </c:pt>
                <c:pt idx="53">
                  <c:v>3.3</c:v>
                </c:pt>
                <c:pt idx="54">
                  <c:v>4.0999999999999996</c:v>
                </c:pt>
                <c:pt idx="89">
                  <c:v>14.1</c:v>
                </c:pt>
                <c:pt idx="90">
                  <c:v>11.5</c:v>
                </c:pt>
                <c:pt idx="91">
                  <c:v>8.6999999999999993</c:v>
                </c:pt>
              </c:numCache>
            </c:numRef>
          </c:xVal>
          <c:yVal>
            <c:numRef>
              <c:f>Data!$AF$66:$AF$157</c:f>
              <c:numCache>
                <c:formatCode>General</c:formatCode>
                <c:ptCount val="92"/>
                <c:pt idx="0">
                  <c:v>-26.18</c:v>
                </c:pt>
                <c:pt idx="1">
                  <c:v>-23.26</c:v>
                </c:pt>
                <c:pt idx="2">
                  <c:v>-18.91</c:v>
                </c:pt>
                <c:pt idx="3">
                  <c:v>-14.7</c:v>
                </c:pt>
                <c:pt idx="4">
                  <c:v>-24.61</c:v>
                </c:pt>
                <c:pt idx="5">
                  <c:v>-27.55</c:v>
                </c:pt>
                <c:pt idx="6">
                  <c:v>-22.54</c:v>
                </c:pt>
                <c:pt idx="7">
                  <c:v>-8.7100000000000009</c:v>
                </c:pt>
                <c:pt idx="8">
                  <c:v>-1.9570000000000001</c:v>
                </c:pt>
                <c:pt idx="9">
                  <c:v>0.60499999999999998</c:v>
                </c:pt>
                <c:pt idx="10">
                  <c:v>8.6999999999999994E-2</c:v>
                </c:pt>
                <c:pt idx="11">
                  <c:v>-9.17</c:v>
                </c:pt>
                <c:pt idx="12">
                  <c:v>-9.81</c:v>
                </c:pt>
                <c:pt idx="13">
                  <c:v>-1.3740000000000001</c:v>
                </c:pt>
                <c:pt idx="14">
                  <c:v>-4.8529999999999998</c:v>
                </c:pt>
                <c:pt idx="15">
                  <c:v>-9.0500000000000007</c:v>
                </c:pt>
                <c:pt idx="16">
                  <c:v>-5.1219999999999999</c:v>
                </c:pt>
                <c:pt idx="17">
                  <c:v>-0.79</c:v>
                </c:pt>
                <c:pt idx="18">
                  <c:v>-2.9670000000000001</c:v>
                </c:pt>
                <c:pt idx="19">
                  <c:v>-3.4359999999999999</c:v>
                </c:pt>
                <c:pt idx="20">
                  <c:v>-6.2910000000000004</c:v>
                </c:pt>
                <c:pt idx="21">
                  <c:v>-8.01</c:v>
                </c:pt>
                <c:pt idx="22">
                  <c:v>-5.2939999999999996</c:v>
                </c:pt>
                <c:pt idx="23">
                  <c:v>-7.07</c:v>
                </c:pt>
                <c:pt idx="24">
                  <c:v>-16.7</c:v>
                </c:pt>
                <c:pt idx="25">
                  <c:v>-17.149999999999999</c:v>
                </c:pt>
                <c:pt idx="26">
                  <c:v>-14.04</c:v>
                </c:pt>
                <c:pt idx="27">
                  <c:v>-11.71</c:v>
                </c:pt>
                <c:pt idx="28">
                  <c:v>-8.5399999999999991</c:v>
                </c:pt>
                <c:pt idx="29">
                  <c:v>-6.2380000000000004</c:v>
                </c:pt>
                <c:pt idx="30">
                  <c:v>-7.34</c:v>
                </c:pt>
                <c:pt idx="31">
                  <c:v>-2.391</c:v>
                </c:pt>
                <c:pt idx="32">
                  <c:v>-4.2619999999999996</c:v>
                </c:pt>
                <c:pt idx="33">
                  <c:v>-1.464</c:v>
                </c:pt>
                <c:pt idx="34">
                  <c:v>-7.95</c:v>
                </c:pt>
                <c:pt idx="35">
                  <c:v>-8.6300000000000008</c:v>
                </c:pt>
                <c:pt idx="36">
                  <c:v>-5.0789999999999997</c:v>
                </c:pt>
                <c:pt idx="37">
                  <c:v>-1.67</c:v>
                </c:pt>
                <c:pt idx="38">
                  <c:v>-3.3690000000000002</c:v>
                </c:pt>
                <c:pt idx="39">
                  <c:v>-3.246</c:v>
                </c:pt>
                <c:pt idx="40">
                  <c:v>-7.97</c:v>
                </c:pt>
                <c:pt idx="41">
                  <c:v>-12.25</c:v>
                </c:pt>
                <c:pt idx="42">
                  <c:v>-13.51</c:v>
                </c:pt>
                <c:pt idx="43">
                  <c:v>-3.0190000000000001</c:v>
                </c:pt>
                <c:pt idx="44">
                  <c:v>-4.0860000000000003</c:v>
                </c:pt>
                <c:pt idx="45">
                  <c:v>-11.04</c:v>
                </c:pt>
                <c:pt idx="46">
                  <c:v>-14.68</c:v>
                </c:pt>
                <c:pt idx="47">
                  <c:v>-5.375</c:v>
                </c:pt>
                <c:pt idx="48">
                  <c:v>-4.9349999999999996</c:v>
                </c:pt>
                <c:pt idx="49">
                  <c:v>-6.1159999999999997</c:v>
                </c:pt>
                <c:pt idx="50">
                  <c:v>-7.64</c:v>
                </c:pt>
                <c:pt idx="51">
                  <c:v>-10.01</c:v>
                </c:pt>
                <c:pt idx="52">
                  <c:v>-7.89</c:v>
                </c:pt>
                <c:pt idx="53">
                  <c:v>-7.35</c:v>
                </c:pt>
                <c:pt idx="54">
                  <c:v>-3.081</c:v>
                </c:pt>
                <c:pt idx="55">
                  <c:v>-5.867</c:v>
                </c:pt>
                <c:pt idx="56">
                  <c:v>-4.0670000000000002</c:v>
                </c:pt>
                <c:pt idx="57">
                  <c:v>-0.32500000000000001</c:v>
                </c:pt>
                <c:pt idx="58">
                  <c:v>-1.825</c:v>
                </c:pt>
                <c:pt idx="59">
                  <c:v>-1.538</c:v>
                </c:pt>
                <c:pt idx="60">
                  <c:v>-1.8009999999999999</c:v>
                </c:pt>
                <c:pt idx="61">
                  <c:v>-2.665</c:v>
                </c:pt>
                <c:pt idx="62">
                  <c:v>-1.369</c:v>
                </c:pt>
                <c:pt idx="63">
                  <c:v>-2.0089999999999999</c:v>
                </c:pt>
                <c:pt idx="64">
                  <c:v>-4.1150000000000002</c:v>
                </c:pt>
                <c:pt idx="65">
                  <c:v>-2.74</c:v>
                </c:pt>
                <c:pt idx="66">
                  <c:v>-1.802</c:v>
                </c:pt>
                <c:pt idx="67">
                  <c:v>-1.274</c:v>
                </c:pt>
                <c:pt idx="68">
                  <c:v>-1.613</c:v>
                </c:pt>
                <c:pt idx="69">
                  <c:v>-0.35799999999999998</c:v>
                </c:pt>
                <c:pt idx="70">
                  <c:v>0.13900000000000001</c:v>
                </c:pt>
                <c:pt idx="71">
                  <c:v>0.58499999999999996</c:v>
                </c:pt>
                <c:pt idx="72">
                  <c:v>-0.80400000000000005</c:v>
                </c:pt>
                <c:pt idx="73">
                  <c:v>-3.569</c:v>
                </c:pt>
                <c:pt idx="74">
                  <c:v>-2.0649999999999999</c:v>
                </c:pt>
                <c:pt idx="75">
                  <c:v>-0.96899999999999997</c:v>
                </c:pt>
                <c:pt idx="76">
                  <c:v>-1.7589999999999999</c:v>
                </c:pt>
                <c:pt idx="77">
                  <c:v>1.0409999999999999</c:v>
                </c:pt>
                <c:pt idx="78">
                  <c:v>-2.5369999999999999</c:v>
                </c:pt>
                <c:pt idx="79">
                  <c:v>-5.4580000000000002</c:v>
                </c:pt>
                <c:pt idx="80">
                  <c:v>-3.407</c:v>
                </c:pt>
                <c:pt idx="81">
                  <c:v>-5.3239999999999998</c:v>
                </c:pt>
                <c:pt idx="82">
                  <c:v>-4.4809999999999999</c:v>
                </c:pt>
                <c:pt idx="83">
                  <c:v>-2.835</c:v>
                </c:pt>
                <c:pt idx="84">
                  <c:v>-1.599</c:v>
                </c:pt>
                <c:pt idx="85">
                  <c:v>-0.89900000000000002</c:v>
                </c:pt>
                <c:pt idx="86">
                  <c:v>-3.1139999999999999</c:v>
                </c:pt>
                <c:pt idx="87">
                  <c:v>-1.863</c:v>
                </c:pt>
                <c:pt idx="88">
                  <c:v>-0.38600000000000001</c:v>
                </c:pt>
                <c:pt idx="89">
                  <c:v>1.1819999999999999</c:v>
                </c:pt>
                <c:pt idx="90">
                  <c:v>1.8069999999999999</c:v>
                </c:pt>
                <c:pt idx="91">
                  <c:v>-0.307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43552"/>
        <c:axId val="158345472"/>
      </c:scatterChart>
      <c:valAx>
        <c:axId val="158343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8345472"/>
        <c:crosses val="autoZero"/>
        <c:crossBetween val="midCat"/>
      </c:valAx>
      <c:valAx>
        <c:axId val="1583454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83435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Data!$DF$66:$DF$157</c:f>
              <c:numCache>
                <c:formatCode>General</c:formatCode>
                <c:ptCount val="92"/>
                <c:pt idx="0">
                  <c:v>-6.8</c:v>
                </c:pt>
                <c:pt idx="10">
                  <c:v>2.8</c:v>
                </c:pt>
                <c:pt idx="11">
                  <c:v>1.6</c:v>
                </c:pt>
                <c:pt idx="12">
                  <c:v>0.5</c:v>
                </c:pt>
                <c:pt idx="13">
                  <c:v>3.4</c:v>
                </c:pt>
                <c:pt idx="14">
                  <c:v>1.7</c:v>
                </c:pt>
                <c:pt idx="15">
                  <c:v>2</c:v>
                </c:pt>
                <c:pt idx="16">
                  <c:v>2.9</c:v>
                </c:pt>
                <c:pt idx="17">
                  <c:v>2.5</c:v>
                </c:pt>
                <c:pt idx="18">
                  <c:v>2.7</c:v>
                </c:pt>
                <c:pt idx="19">
                  <c:v>0.6</c:v>
                </c:pt>
                <c:pt idx="20">
                  <c:v>-0.6</c:v>
                </c:pt>
                <c:pt idx="21">
                  <c:v>0.5</c:v>
                </c:pt>
                <c:pt idx="22">
                  <c:v>-0.2</c:v>
                </c:pt>
                <c:pt idx="23">
                  <c:v>-1.6</c:v>
                </c:pt>
                <c:pt idx="24">
                  <c:v>-3</c:v>
                </c:pt>
                <c:pt idx="25">
                  <c:v>-0.6</c:v>
                </c:pt>
                <c:pt idx="26">
                  <c:v>2.8</c:v>
                </c:pt>
                <c:pt idx="27">
                  <c:v>4.5999999999999996</c:v>
                </c:pt>
                <c:pt idx="28">
                  <c:v>6</c:v>
                </c:pt>
                <c:pt idx="29">
                  <c:v>7.1</c:v>
                </c:pt>
                <c:pt idx="30">
                  <c:v>7.7</c:v>
                </c:pt>
                <c:pt idx="31">
                  <c:v>3</c:v>
                </c:pt>
                <c:pt idx="32">
                  <c:v>1.8</c:v>
                </c:pt>
                <c:pt idx="33">
                  <c:v>5.2</c:v>
                </c:pt>
                <c:pt idx="34">
                  <c:v>3.2</c:v>
                </c:pt>
                <c:pt idx="35">
                  <c:v>1.1000000000000001</c:v>
                </c:pt>
                <c:pt idx="36">
                  <c:v>3.6</c:v>
                </c:pt>
                <c:pt idx="37">
                  <c:v>3</c:v>
                </c:pt>
                <c:pt idx="38">
                  <c:v>1</c:v>
                </c:pt>
                <c:pt idx="39">
                  <c:v>1.8</c:v>
                </c:pt>
                <c:pt idx="40">
                  <c:v>0.6</c:v>
                </c:pt>
                <c:pt idx="41">
                  <c:v>0.3</c:v>
                </c:pt>
                <c:pt idx="42">
                  <c:v>1.9</c:v>
                </c:pt>
                <c:pt idx="43">
                  <c:v>1</c:v>
                </c:pt>
                <c:pt idx="44">
                  <c:v>-0.6</c:v>
                </c:pt>
                <c:pt idx="45">
                  <c:v>-0.2</c:v>
                </c:pt>
                <c:pt idx="46">
                  <c:v>2</c:v>
                </c:pt>
                <c:pt idx="47">
                  <c:v>3.6</c:v>
                </c:pt>
                <c:pt idx="48">
                  <c:v>3.4</c:v>
                </c:pt>
                <c:pt idx="49">
                  <c:v>0.9</c:v>
                </c:pt>
                <c:pt idx="50">
                  <c:v>3</c:v>
                </c:pt>
                <c:pt idx="51">
                  <c:v>4.2</c:v>
                </c:pt>
                <c:pt idx="52">
                  <c:v>6</c:v>
                </c:pt>
                <c:pt idx="53">
                  <c:v>8.6999999999999993</c:v>
                </c:pt>
                <c:pt idx="54">
                  <c:v>6.5</c:v>
                </c:pt>
                <c:pt idx="89">
                  <c:v>19.899999999999999</c:v>
                </c:pt>
                <c:pt idx="90">
                  <c:v>17.2</c:v>
                </c:pt>
                <c:pt idx="91">
                  <c:v>14.8</c:v>
                </c:pt>
              </c:numCache>
            </c:numRef>
          </c:xVal>
          <c:yVal>
            <c:numRef>
              <c:f>Data!$E$66:$E$157</c:f>
              <c:numCache>
                <c:formatCode>General</c:formatCode>
                <c:ptCount val="92"/>
                <c:pt idx="0">
                  <c:v>-16.059999999999999</c:v>
                </c:pt>
                <c:pt idx="1">
                  <c:v>-13.12</c:v>
                </c:pt>
                <c:pt idx="2">
                  <c:v>-9.5399999999999991</c:v>
                </c:pt>
                <c:pt idx="3">
                  <c:v>-10.81</c:v>
                </c:pt>
                <c:pt idx="4">
                  <c:v>-16.93</c:v>
                </c:pt>
                <c:pt idx="5">
                  <c:v>-18.899999999999999</c:v>
                </c:pt>
                <c:pt idx="6">
                  <c:v>-10.95</c:v>
                </c:pt>
                <c:pt idx="7">
                  <c:v>-4.7300000000000004</c:v>
                </c:pt>
                <c:pt idx="8">
                  <c:v>1.2090000000000001</c:v>
                </c:pt>
                <c:pt idx="9">
                  <c:v>2.2909999999999999</c:v>
                </c:pt>
                <c:pt idx="10">
                  <c:v>1.9510000000000001</c:v>
                </c:pt>
                <c:pt idx="11">
                  <c:v>-1.024</c:v>
                </c:pt>
                <c:pt idx="12">
                  <c:v>-2.4159999999999999</c:v>
                </c:pt>
                <c:pt idx="13">
                  <c:v>1.5980000000000001</c:v>
                </c:pt>
                <c:pt idx="14">
                  <c:v>-1.026</c:v>
                </c:pt>
                <c:pt idx="15">
                  <c:v>-1.609</c:v>
                </c:pt>
                <c:pt idx="16">
                  <c:v>0.91300000000000003</c:v>
                </c:pt>
                <c:pt idx="17">
                  <c:v>1.0469999999999999</c:v>
                </c:pt>
                <c:pt idx="18">
                  <c:v>0.42499999999999999</c:v>
                </c:pt>
                <c:pt idx="19">
                  <c:v>-0.85</c:v>
                </c:pt>
                <c:pt idx="20">
                  <c:v>-2.8380000000000001</c:v>
                </c:pt>
                <c:pt idx="21">
                  <c:v>-2.9809999999999999</c:v>
                </c:pt>
                <c:pt idx="22">
                  <c:v>-2.165</c:v>
                </c:pt>
                <c:pt idx="23">
                  <c:v>-4.0030000000000001</c:v>
                </c:pt>
                <c:pt idx="24">
                  <c:v>-7.9</c:v>
                </c:pt>
                <c:pt idx="25">
                  <c:v>-6.72</c:v>
                </c:pt>
                <c:pt idx="26">
                  <c:v>-3.39</c:v>
                </c:pt>
                <c:pt idx="27">
                  <c:v>-1.5069999999999999</c:v>
                </c:pt>
                <c:pt idx="28">
                  <c:v>-4.5999999999999999E-2</c:v>
                </c:pt>
                <c:pt idx="29">
                  <c:v>1.456</c:v>
                </c:pt>
                <c:pt idx="30">
                  <c:v>3.3879999999999999</c:v>
                </c:pt>
                <c:pt idx="31">
                  <c:v>0.36399999999999999</c:v>
                </c:pt>
                <c:pt idx="32">
                  <c:v>-1.321</c:v>
                </c:pt>
                <c:pt idx="33">
                  <c:v>2.645</c:v>
                </c:pt>
                <c:pt idx="34">
                  <c:v>1.0840000000000001</c:v>
                </c:pt>
                <c:pt idx="35">
                  <c:v>-2.0209999999999999</c:v>
                </c:pt>
                <c:pt idx="36">
                  <c:v>1.2130000000000001</c:v>
                </c:pt>
                <c:pt idx="37">
                  <c:v>1.357</c:v>
                </c:pt>
                <c:pt idx="38">
                  <c:v>-1.0009999999999999</c:v>
                </c:pt>
                <c:pt idx="39">
                  <c:v>-0.85499999999999998</c:v>
                </c:pt>
                <c:pt idx="40">
                  <c:v>-1.8859999999999999</c:v>
                </c:pt>
                <c:pt idx="41">
                  <c:v>-3.2080000000000002</c:v>
                </c:pt>
                <c:pt idx="42">
                  <c:v>-2.7869999999999999</c:v>
                </c:pt>
                <c:pt idx="43">
                  <c:v>-0.57299999999999995</c:v>
                </c:pt>
                <c:pt idx="44">
                  <c:v>-3.105</c:v>
                </c:pt>
                <c:pt idx="45">
                  <c:v>-3.3940000000000001</c:v>
                </c:pt>
                <c:pt idx="46">
                  <c:v>-3.6230000000000002</c:v>
                </c:pt>
                <c:pt idx="47">
                  <c:v>-0.48099999999999998</c:v>
                </c:pt>
                <c:pt idx="48">
                  <c:v>-0.64200000000000002</c:v>
                </c:pt>
                <c:pt idx="49">
                  <c:v>-1.7969999999999999</c:v>
                </c:pt>
                <c:pt idx="50">
                  <c:v>-1.766</c:v>
                </c:pt>
                <c:pt idx="51">
                  <c:v>-0.47299999999999998</c:v>
                </c:pt>
                <c:pt idx="52">
                  <c:v>1.383</c:v>
                </c:pt>
                <c:pt idx="53">
                  <c:v>2.9590000000000001</c:v>
                </c:pt>
                <c:pt idx="54">
                  <c:v>2.448</c:v>
                </c:pt>
                <c:pt idx="55">
                  <c:v>2.1949999999999998</c:v>
                </c:pt>
                <c:pt idx="56">
                  <c:v>2.0129999999999999</c:v>
                </c:pt>
                <c:pt idx="57">
                  <c:v>6.1630000000000003</c:v>
                </c:pt>
                <c:pt idx="58">
                  <c:v>3.746</c:v>
                </c:pt>
                <c:pt idx="59">
                  <c:v>2.0459999999999998</c:v>
                </c:pt>
                <c:pt idx="60">
                  <c:v>1.4139999999999999</c:v>
                </c:pt>
                <c:pt idx="61">
                  <c:v>3.4809999999999999</c:v>
                </c:pt>
                <c:pt idx="62">
                  <c:v>3.5169999999999999</c:v>
                </c:pt>
                <c:pt idx="63">
                  <c:v>1.3580000000000001</c:v>
                </c:pt>
                <c:pt idx="64">
                  <c:v>1.915</c:v>
                </c:pt>
                <c:pt idx="65">
                  <c:v>2.6080000000000001</c:v>
                </c:pt>
                <c:pt idx="66">
                  <c:v>4.7050000000000001</c:v>
                </c:pt>
                <c:pt idx="67">
                  <c:v>5.6669999999999998</c:v>
                </c:pt>
                <c:pt idx="68">
                  <c:v>6.407</c:v>
                </c:pt>
                <c:pt idx="69">
                  <c:v>7.09</c:v>
                </c:pt>
                <c:pt idx="70">
                  <c:v>4.6319999999999997</c:v>
                </c:pt>
                <c:pt idx="71">
                  <c:v>2.1960000000000002</c:v>
                </c:pt>
                <c:pt idx="72">
                  <c:v>1.756</c:v>
                </c:pt>
                <c:pt idx="73">
                  <c:v>5.3570000000000002</c:v>
                </c:pt>
                <c:pt idx="74">
                  <c:v>6.4580000000000002</c:v>
                </c:pt>
                <c:pt idx="75">
                  <c:v>7.01</c:v>
                </c:pt>
                <c:pt idx="76">
                  <c:v>7.84</c:v>
                </c:pt>
                <c:pt idx="77">
                  <c:v>4.702</c:v>
                </c:pt>
                <c:pt idx="78">
                  <c:v>3.1619999999999999</c:v>
                </c:pt>
                <c:pt idx="79">
                  <c:v>2.6379999999999999</c:v>
                </c:pt>
                <c:pt idx="80">
                  <c:v>2.3940000000000001</c:v>
                </c:pt>
                <c:pt idx="81">
                  <c:v>3.569</c:v>
                </c:pt>
                <c:pt idx="82">
                  <c:v>5.6459999999999999</c:v>
                </c:pt>
                <c:pt idx="83">
                  <c:v>7.43</c:v>
                </c:pt>
                <c:pt idx="84">
                  <c:v>7.45</c:v>
                </c:pt>
                <c:pt idx="85">
                  <c:v>6.5330000000000004</c:v>
                </c:pt>
                <c:pt idx="86">
                  <c:v>6.2960000000000003</c:v>
                </c:pt>
                <c:pt idx="87">
                  <c:v>9.1</c:v>
                </c:pt>
                <c:pt idx="88">
                  <c:v>11.42</c:v>
                </c:pt>
                <c:pt idx="89">
                  <c:v>12.64</c:v>
                </c:pt>
                <c:pt idx="90">
                  <c:v>11.17</c:v>
                </c:pt>
                <c:pt idx="91">
                  <c:v>9.48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64032"/>
        <c:axId val="158365952"/>
      </c:scatterChart>
      <c:valAx>
        <c:axId val="158364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8365952"/>
        <c:crosses val="autoZero"/>
        <c:crossBetween val="midCat"/>
      </c:valAx>
      <c:valAx>
        <c:axId val="158365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83640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740485564304464"/>
                  <c:y val="-0.15506051326917469"/>
                </c:manualLayout>
              </c:layout>
              <c:numFmt formatCode="General" sourceLinked="0"/>
            </c:trendlineLbl>
          </c:trendline>
          <c:xVal>
            <c:numRef>
              <c:f>Data!$DG$7:$DG$65</c:f>
              <c:numCache>
                <c:formatCode>General</c:formatCode>
                <c:ptCount val="59"/>
                <c:pt idx="15">
                  <c:v>-1.1000000000000001</c:v>
                </c:pt>
                <c:pt idx="16">
                  <c:v>-2.7</c:v>
                </c:pt>
                <c:pt idx="17">
                  <c:v>-1.3</c:v>
                </c:pt>
                <c:pt idx="18">
                  <c:v>3.2</c:v>
                </c:pt>
                <c:pt idx="27">
                  <c:v>1.7</c:v>
                </c:pt>
                <c:pt idx="28">
                  <c:v>1.1000000000000001</c:v>
                </c:pt>
                <c:pt idx="29">
                  <c:v>3.1</c:v>
                </c:pt>
                <c:pt idx="30">
                  <c:v>5.3</c:v>
                </c:pt>
                <c:pt idx="31">
                  <c:v>3.9</c:v>
                </c:pt>
                <c:pt idx="32">
                  <c:v>2</c:v>
                </c:pt>
                <c:pt idx="33">
                  <c:v>4.0999999999999996</c:v>
                </c:pt>
                <c:pt idx="34">
                  <c:v>5.2</c:v>
                </c:pt>
                <c:pt idx="35">
                  <c:v>3.1</c:v>
                </c:pt>
                <c:pt idx="36">
                  <c:v>1.5</c:v>
                </c:pt>
                <c:pt idx="37">
                  <c:v>-1.2</c:v>
                </c:pt>
                <c:pt idx="38">
                  <c:v>1.7</c:v>
                </c:pt>
                <c:pt idx="39">
                  <c:v>-1.4</c:v>
                </c:pt>
                <c:pt idx="40">
                  <c:v>-4.7</c:v>
                </c:pt>
                <c:pt idx="44">
                  <c:v>-7.4</c:v>
                </c:pt>
                <c:pt idx="45">
                  <c:v>-3.6</c:v>
                </c:pt>
                <c:pt idx="46">
                  <c:v>1.1000000000000001</c:v>
                </c:pt>
                <c:pt idx="47">
                  <c:v>1.1000000000000001</c:v>
                </c:pt>
                <c:pt idx="48">
                  <c:v>5.6</c:v>
                </c:pt>
                <c:pt idx="49">
                  <c:v>5.8</c:v>
                </c:pt>
                <c:pt idx="50">
                  <c:v>4.4000000000000004</c:v>
                </c:pt>
                <c:pt idx="51">
                  <c:v>6.1</c:v>
                </c:pt>
                <c:pt idx="52">
                  <c:v>2.6</c:v>
                </c:pt>
                <c:pt idx="53">
                  <c:v>3.6</c:v>
                </c:pt>
                <c:pt idx="54">
                  <c:v>2.2000000000000002</c:v>
                </c:pt>
                <c:pt idx="55">
                  <c:v>-4.2</c:v>
                </c:pt>
                <c:pt idx="56">
                  <c:v>-6.3</c:v>
                </c:pt>
                <c:pt idx="57">
                  <c:v>-5.2</c:v>
                </c:pt>
                <c:pt idx="58">
                  <c:v>-4.8</c:v>
                </c:pt>
              </c:numCache>
            </c:numRef>
          </c:xVal>
          <c:yVal>
            <c:numRef>
              <c:f>Data!$R$7:$R$65</c:f>
              <c:numCache>
                <c:formatCode>General</c:formatCode>
                <c:ptCount val="59"/>
                <c:pt idx="0">
                  <c:v>-4.4539999999999997</c:v>
                </c:pt>
                <c:pt idx="1">
                  <c:v>-5.7160000000000002</c:v>
                </c:pt>
                <c:pt idx="2">
                  <c:v>-5.7060000000000004</c:v>
                </c:pt>
                <c:pt idx="3">
                  <c:v>-4.87</c:v>
                </c:pt>
                <c:pt idx="4">
                  <c:v>-5.734</c:v>
                </c:pt>
                <c:pt idx="5">
                  <c:v>-5.7720000000000002</c:v>
                </c:pt>
                <c:pt idx="6">
                  <c:v>-5.2670000000000003</c:v>
                </c:pt>
                <c:pt idx="7">
                  <c:v>-5.0000000000000001E-3</c:v>
                </c:pt>
                <c:pt idx="8">
                  <c:v>1.1919999999999999</c:v>
                </c:pt>
                <c:pt idx="9">
                  <c:v>2.2080000000000002</c:v>
                </c:pt>
                <c:pt idx="10">
                  <c:v>-0.377</c:v>
                </c:pt>
                <c:pt idx="11">
                  <c:v>1.0620000000000001</c:v>
                </c:pt>
                <c:pt idx="12">
                  <c:v>-0.26300000000000001</c:v>
                </c:pt>
                <c:pt idx="13">
                  <c:v>-0.32900000000000001</c:v>
                </c:pt>
                <c:pt idx="14">
                  <c:v>0.501</c:v>
                </c:pt>
                <c:pt idx="15">
                  <c:v>-3.26</c:v>
                </c:pt>
                <c:pt idx="16">
                  <c:v>-4.9640000000000004</c:v>
                </c:pt>
                <c:pt idx="17">
                  <c:v>-1.4339999999999999</c:v>
                </c:pt>
                <c:pt idx="18">
                  <c:v>3.0710000000000002</c:v>
                </c:pt>
                <c:pt idx="19">
                  <c:v>3.4790000000000001</c:v>
                </c:pt>
                <c:pt idx="20">
                  <c:v>1.1579999999999999</c:v>
                </c:pt>
                <c:pt idx="21">
                  <c:v>2.0680000000000001</c:v>
                </c:pt>
                <c:pt idx="22">
                  <c:v>1.0049999999999999</c:v>
                </c:pt>
                <c:pt idx="23">
                  <c:v>5.4969999999999999</c:v>
                </c:pt>
                <c:pt idx="24">
                  <c:v>3.415</c:v>
                </c:pt>
                <c:pt idx="25">
                  <c:v>0.88600000000000001</c:v>
                </c:pt>
                <c:pt idx="26">
                  <c:v>2.4</c:v>
                </c:pt>
                <c:pt idx="27">
                  <c:v>0.49399999999999999</c:v>
                </c:pt>
                <c:pt idx="28">
                  <c:v>1.6659999999999999</c:v>
                </c:pt>
                <c:pt idx="29">
                  <c:v>2.0470000000000002</c:v>
                </c:pt>
                <c:pt idx="30">
                  <c:v>3.2559999999999998</c:v>
                </c:pt>
                <c:pt idx="31">
                  <c:v>3.121</c:v>
                </c:pt>
                <c:pt idx="32">
                  <c:v>2.7309999999999999</c:v>
                </c:pt>
                <c:pt idx="33">
                  <c:v>1.0940000000000001</c:v>
                </c:pt>
                <c:pt idx="34">
                  <c:v>5.9989999999999997</c:v>
                </c:pt>
                <c:pt idx="35">
                  <c:v>12.53</c:v>
                </c:pt>
                <c:pt idx="36">
                  <c:v>3.9420000000000002</c:v>
                </c:pt>
                <c:pt idx="37">
                  <c:v>6.7220000000000004</c:v>
                </c:pt>
                <c:pt idx="38">
                  <c:v>-0.83699999999999997</c:v>
                </c:pt>
                <c:pt idx="39">
                  <c:v>0.315</c:v>
                </c:pt>
                <c:pt idx="40">
                  <c:v>-3.5489999999999999</c:v>
                </c:pt>
                <c:pt idx="41">
                  <c:v>-6.38</c:v>
                </c:pt>
                <c:pt idx="42">
                  <c:v>-12.82</c:v>
                </c:pt>
                <c:pt idx="43">
                  <c:v>-10.69</c:v>
                </c:pt>
                <c:pt idx="44">
                  <c:v>-11.96</c:v>
                </c:pt>
                <c:pt idx="45">
                  <c:v>-6.1539999999999999</c:v>
                </c:pt>
                <c:pt idx="46">
                  <c:v>-2.9390000000000001</c:v>
                </c:pt>
                <c:pt idx="47">
                  <c:v>0.47099999999999997</c:v>
                </c:pt>
                <c:pt idx="48">
                  <c:v>2.3170000000000002</c:v>
                </c:pt>
                <c:pt idx="49">
                  <c:v>3.8519999999999999</c:v>
                </c:pt>
                <c:pt idx="50">
                  <c:v>7.81</c:v>
                </c:pt>
                <c:pt idx="51">
                  <c:v>2.6960000000000002</c:v>
                </c:pt>
                <c:pt idx="52">
                  <c:v>2.0110000000000001</c:v>
                </c:pt>
                <c:pt idx="53">
                  <c:v>4.5110000000000001</c:v>
                </c:pt>
                <c:pt idx="54">
                  <c:v>4.8099999999999996</c:v>
                </c:pt>
                <c:pt idx="55">
                  <c:v>0.54300000000000004</c:v>
                </c:pt>
                <c:pt idx="56">
                  <c:v>-7.18</c:v>
                </c:pt>
                <c:pt idx="57">
                  <c:v>-7.22</c:v>
                </c:pt>
                <c:pt idx="58">
                  <c:v>-5.1760000000000002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95776"/>
        <c:axId val="158397952"/>
      </c:scatterChart>
      <c:valAx>
        <c:axId val="158395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8397952"/>
        <c:crosses val="autoZero"/>
        <c:crossBetween val="midCat"/>
      </c:valAx>
      <c:valAx>
        <c:axId val="158397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83957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740485564304464"/>
                  <c:y val="-0.15506051326917469"/>
                </c:manualLayout>
              </c:layout>
              <c:numFmt formatCode="General" sourceLinked="0"/>
            </c:trendlineLbl>
          </c:trendline>
          <c:xVal>
            <c:numRef>
              <c:f>Data!$DF$7:$DF$65</c:f>
              <c:numCache>
                <c:formatCode>General</c:formatCode>
                <c:ptCount val="59"/>
                <c:pt idx="15">
                  <c:v>-2</c:v>
                </c:pt>
                <c:pt idx="16">
                  <c:v>-3.7</c:v>
                </c:pt>
                <c:pt idx="17">
                  <c:v>-3.1</c:v>
                </c:pt>
                <c:pt idx="18">
                  <c:v>-2.4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2.8</c:v>
                </c:pt>
                <c:pt idx="31">
                  <c:v>1</c:v>
                </c:pt>
                <c:pt idx="32">
                  <c:v>0.6</c:v>
                </c:pt>
                <c:pt idx="33">
                  <c:v>-0.4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-0.6</c:v>
                </c:pt>
                <c:pt idx="37">
                  <c:v>-3.2</c:v>
                </c:pt>
                <c:pt idx="38">
                  <c:v>-3</c:v>
                </c:pt>
                <c:pt idx="39">
                  <c:v>-4.0999999999999996</c:v>
                </c:pt>
                <c:pt idx="40">
                  <c:v>-7.1</c:v>
                </c:pt>
                <c:pt idx="44">
                  <c:v>-10.1</c:v>
                </c:pt>
                <c:pt idx="45">
                  <c:v>-5.0999999999999996</c:v>
                </c:pt>
                <c:pt idx="46">
                  <c:v>-0.8</c:v>
                </c:pt>
                <c:pt idx="47">
                  <c:v>-0.2</c:v>
                </c:pt>
                <c:pt idx="48">
                  <c:v>2.8</c:v>
                </c:pt>
                <c:pt idx="49">
                  <c:v>3.6</c:v>
                </c:pt>
                <c:pt idx="50">
                  <c:v>2.7</c:v>
                </c:pt>
                <c:pt idx="51">
                  <c:v>0.6</c:v>
                </c:pt>
                <c:pt idx="52">
                  <c:v>0.9</c:v>
                </c:pt>
                <c:pt idx="53">
                  <c:v>2.7</c:v>
                </c:pt>
                <c:pt idx="54">
                  <c:v>-0.6</c:v>
                </c:pt>
                <c:pt idx="55">
                  <c:v>-6.7</c:v>
                </c:pt>
                <c:pt idx="56">
                  <c:v>-10.1</c:v>
                </c:pt>
                <c:pt idx="57">
                  <c:v>-9.4</c:v>
                </c:pt>
                <c:pt idx="58">
                  <c:v>-9.5</c:v>
                </c:pt>
              </c:numCache>
            </c:numRef>
          </c:xVal>
          <c:yVal>
            <c:numRef>
              <c:f>Data!$E$7:$E$65</c:f>
              <c:numCache>
                <c:formatCode>General</c:formatCode>
                <c:ptCount val="59"/>
                <c:pt idx="0">
                  <c:v>-15.64</c:v>
                </c:pt>
                <c:pt idx="1">
                  <c:v>-16.37</c:v>
                </c:pt>
                <c:pt idx="2">
                  <c:v>-16.09</c:v>
                </c:pt>
                <c:pt idx="3">
                  <c:v>-15.33</c:v>
                </c:pt>
                <c:pt idx="4">
                  <c:v>-17.11</c:v>
                </c:pt>
                <c:pt idx="5">
                  <c:v>-16.649999999999999</c:v>
                </c:pt>
                <c:pt idx="6">
                  <c:v>-15.76</c:v>
                </c:pt>
                <c:pt idx="7">
                  <c:v>-3.8719999999999999</c:v>
                </c:pt>
                <c:pt idx="8">
                  <c:v>-1.153</c:v>
                </c:pt>
                <c:pt idx="9">
                  <c:v>-0.35399999999999998</c:v>
                </c:pt>
                <c:pt idx="10">
                  <c:v>-3.7240000000000002</c:v>
                </c:pt>
                <c:pt idx="11">
                  <c:v>-3.7759999999999998</c:v>
                </c:pt>
                <c:pt idx="12">
                  <c:v>-1.742</c:v>
                </c:pt>
                <c:pt idx="13">
                  <c:v>-2.7229999999999999</c:v>
                </c:pt>
                <c:pt idx="14">
                  <c:v>-2.8330000000000002</c:v>
                </c:pt>
                <c:pt idx="15">
                  <c:v>-4.2350000000000003</c:v>
                </c:pt>
                <c:pt idx="16">
                  <c:v>-5.7759999999999998</c:v>
                </c:pt>
                <c:pt idx="17">
                  <c:v>-3.617</c:v>
                </c:pt>
                <c:pt idx="18">
                  <c:v>-6.2939999999999996</c:v>
                </c:pt>
                <c:pt idx="19">
                  <c:v>-8.48</c:v>
                </c:pt>
                <c:pt idx="20">
                  <c:v>-10.09</c:v>
                </c:pt>
                <c:pt idx="21">
                  <c:v>-11.63</c:v>
                </c:pt>
                <c:pt idx="22">
                  <c:v>-12.02</c:v>
                </c:pt>
                <c:pt idx="23">
                  <c:v>-7.38</c:v>
                </c:pt>
                <c:pt idx="24">
                  <c:v>-1.409</c:v>
                </c:pt>
                <c:pt idx="25">
                  <c:v>-1.8779999999999999</c:v>
                </c:pt>
                <c:pt idx="26">
                  <c:v>-6.96</c:v>
                </c:pt>
                <c:pt idx="27">
                  <c:v>-5.9329999999999998</c:v>
                </c:pt>
                <c:pt idx="28">
                  <c:v>0.224</c:v>
                </c:pt>
                <c:pt idx="29">
                  <c:v>-0.252</c:v>
                </c:pt>
                <c:pt idx="30">
                  <c:v>1.6</c:v>
                </c:pt>
                <c:pt idx="31">
                  <c:v>1.377</c:v>
                </c:pt>
                <c:pt idx="32">
                  <c:v>-0.997</c:v>
                </c:pt>
                <c:pt idx="33">
                  <c:v>-0.89600000000000002</c:v>
                </c:pt>
                <c:pt idx="34">
                  <c:v>-4.5039999999999996</c:v>
                </c:pt>
                <c:pt idx="35">
                  <c:v>-0.48799999999999999</c:v>
                </c:pt>
                <c:pt idx="36">
                  <c:v>0.90600000000000003</c:v>
                </c:pt>
                <c:pt idx="37">
                  <c:v>-1.889</c:v>
                </c:pt>
                <c:pt idx="38">
                  <c:v>-6.742</c:v>
                </c:pt>
                <c:pt idx="39">
                  <c:v>-6.3440000000000003</c:v>
                </c:pt>
                <c:pt idx="40">
                  <c:v>-6.8250000000000002</c:v>
                </c:pt>
                <c:pt idx="41">
                  <c:v>-12.17</c:v>
                </c:pt>
                <c:pt idx="42">
                  <c:v>-16</c:v>
                </c:pt>
                <c:pt idx="43">
                  <c:v>-20.64</c:v>
                </c:pt>
                <c:pt idx="44">
                  <c:v>-19.46</c:v>
                </c:pt>
                <c:pt idx="45">
                  <c:v>-11.32</c:v>
                </c:pt>
                <c:pt idx="46">
                  <c:v>-5.6639999999999997</c:v>
                </c:pt>
                <c:pt idx="47">
                  <c:v>-0.98799999999999999</c:v>
                </c:pt>
                <c:pt idx="48">
                  <c:v>-0.92</c:v>
                </c:pt>
                <c:pt idx="49">
                  <c:v>2.254</c:v>
                </c:pt>
                <c:pt idx="50">
                  <c:v>3.9409999999999998</c:v>
                </c:pt>
                <c:pt idx="51">
                  <c:v>-0.17399999999999999</c:v>
                </c:pt>
                <c:pt idx="52">
                  <c:v>-5.0090000000000003</c:v>
                </c:pt>
                <c:pt idx="53">
                  <c:v>-2.3159999999999998</c:v>
                </c:pt>
                <c:pt idx="54">
                  <c:v>1.927</c:v>
                </c:pt>
                <c:pt idx="55">
                  <c:v>-3.0089999999999999</c:v>
                </c:pt>
                <c:pt idx="56">
                  <c:v>-11.87</c:v>
                </c:pt>
                <c:pt idx="57">
                  <c:v>-16.27</c:v>
                </c:pt>
                <c:pt idx="58">
                  <c:v>-16.89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72832"/>
        <c:axId val="158479104"/>
      </c:scatterChart>
      <c:valAx>
        <c:axId val="158472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8479104"/>
        <c:crosses val="autoZero"/>
        <c:crossBetween val="midCat"/>
      </c:valAx>
      <c:valAx>
        <c:axId val="158479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84728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740485564304464"/>
                  <c:y val="-0.15506051326917469"/>
                </c:manualLayout>
              </c:layout>
              <c:numFmt formatCode="General" sourceLinked="0"/>
            </c:trendlineLbl>
          </c:trendline>
          <c:xVal>
            <c:numRef>
              <c:f>Data!$DH$7:$DH$65</c:f>
              <c:numCache>
                <c:formatCode>General</c:formatCode>
                <c:ptCount val="59"/>
                <c:pt idx="15">
                  <c:v>-2.8</c:v>
                </c:pt>
                <c:pt idx="16">
                  <c:v>-4.5</c:v>
                </c:pt>
                <c:pt idx="17">
                  <c:v>-4.5</c:v>
                </c:pt>
                <c:pt idx="18">
                  <c:v>-5.9</c:v>
                </c:pt>
                <c:pt idx="27">
                  <c:v>-1.6</c:v>
                </c:pt>
                <c:pt idx="28">
                  <c:v>-1.5</c:v>
                </c:pt>
                <c:pt idx="29">
                  <c:v>0</c:v>
                </c:pt>
                <c:pt idx="30">
                  <c:v>0.8</c:v>
                </c:pt>
                <c:pt idx="31">
                  <c:v>-1.2</c:v>
                </c:pt>
                <c:pt idx="32">
                  <c:v>-1.7</c:v>
                </c:pt>
                <c:pt idx="33">
                  <c:v>-2.8</c:v>
                </c:pt>
                <c:pt idx="34">
                  <c:v>-2.4</c:v>
                </c:pt>
                <c:pt idx="35">
                  <c:v>-0.9</c:v>
                </c:pt>
                <c:pt idx="36">
                  <c:v>-2.8</c:v>
                </c:pt>
                <c:pt idx="37">
                  <c:v>-4.5</c:v>
                </c:pt>
                <c:pt idx="38">
                  <c:v>-5.2</c:v>
                </c:pt>
                <c:pt idx="39">
                  <c:v>-6.5</c:v>
                </c:pt>
                <c:pt idx="40">
                  <c:v>-9.6999999999999993</c:v>
                </c:pt>
                <c:pt idx="44">
                  <c:v>-12.6</c:v>
                </c:pt>
                <c:pt idx="45">
                  <c:v>-7</c:v>
                </c:pt>
                <c:pt idx="46">
                  <c:v>-3.3</c:v>
                </c:pt>
                <c:pt idx="47">
                  <c:v>-1.9</c:v>
                </c:pt>
                <c:pt idx="48">
                  <c:v>1.6</c:v>
                </c:pt>
                <c:pt idx="49">
                  <c:v>1.7</c:v>
                </c:pt>
                <c:pt idx="50">
                  <c:v>0.1</c:v>
                </c:pt>
                <c:pt idx="51">
                  <c:v>-2.1</c:v>
                </c:pt>
                <c:pt idx="52">
                  <c:v>-1.3</c:v>
                </c:pt>
                <c:pt idx="53">
                  <c:v>2</c:v>
                </c:pt>
                <c:pt idx="54">
                  <c:v>-4.8</c:v>
                </c:pt>
                <c:pt idx="55">
                  <c:v>-9.3000000000000007</c:v>
                </c:pt>
                <c:pt idx="56">
                  <c:v>-13.3</c:v>
                </c:pt>
                <c:pt idx="57">
                  <c:v>-13.2</c:v>
                </c:pt>
                <c:pt idx="58">
                  <c:v>-13.4</c:v>
                </c:pt>
              </c:numCache>
            </c:numRef>
          </c:xVal>
          <c:yVal>
            <c:numRef>
              <c:f>Data!$AF$7:$AF$65</c:f>
              <c:numCache>
                <c:formatCode>General</c:formatCode>
                <c:ptCount val="59"/>
                <c:pt idx="0">
                  <c:v>-20.36</c:v>
                </c:pt>
                <c:pt idx="1">
                  <c:v>-21.33</c:v>
                </c:pt>
                <c:pt idx="2">
                  <c:v>-21.81</c:v>
                </c:pt>
                <c:pt idx="3">
                  <c:v>-20.18</c:v>
                </c:pt>
                <c:pt idx="4">
                  <c:v>-22.01</c:v>
                </c:pt>
                <c:pt idx="5">
                  <c:v>-21.43</c:v>
                </c:pt>
                <c:pt idx="6">
                  <c:v>-24.24</c:v>
                </c:pt>
                <c:pt idx="7">
                  <c:v>-7.66</c:v>
                </c:pt>
                <c:pt idx="8">
                  <c:v>-5.8129999999999997</c:v>
                </c:pt>
                <c:pt idx="9">
                  <c:v>-3.7909999999999999</c:v>
                </c:pt>
                <c:pt idx="10">
                  <c:v>-6.7960000000000003</c:v>
                </c:pt>
                <c:pt idx="11">
                  <c:v>-7.77</c:v>
                </c:pt>
                <c:pt idx="12">
                  <c:v>-2.8540000000000001</c:v>
                </c:pt>
                <c:pt idx="13">
                  <c:v>-6.5529999999999999</c:v>
                </c:pt>
                <c:pt idx="14">
                  <c:v>-5.8949999999999996</c:v>
                </c:pt>
                <c:pt idx="15">
                  <c:v>-6.0010000000000003</c:v>
                </c:pt>
                <c:pt idx="16">
                  <c:v>-7.27</c:v>
                </c:pt>
                <c:pt idx="17">
                  <c:v>-6.19</c:v>
                </c:pt>
                <c:pt idx="18">
                  <c:v>-12.8</c:v>
                </c:pt>
                <c:pt idx="19">
                  <c:v>-13.74</c:v>
                </c:pt>
                <c:pt idx="20">
                  <c:v>-15.99</c:v>
                </c:pt>
                <c:pt idx="21">
                  <c:v>-17.53</c:v>
                </c:pt>
                <c:pt idx="22">
                  <c:v>-18.68</c:v>
                </c:pt>
                <c:pt idx="23">
                  <c:v>-14.79</c:v>
                </c:pt>
                <c:pt idx="24">
                  <c:v>-8.06</c:v>
                </c:pt>
                <c:pt idx="25">
                  <c:v>-5.8520000000000003</c:v>
                </c:pt>
                <c:pt idx="26">
                  <c:v>-12.43</c:v>
                </c:pt>
                <c:pt idx="27">
                  <c:v>-14.96</c:v>
                </c:pt>
                <c:pt idx="28">
                  <c:v>-1.091</c:v>
                </c:pt>
                <c:pt idx="29">
                  <c:v>-4.4379999999999997</c:v>
                </c:pt>
                <c:pt idx="30">
                  <c:v>-1.0999999999999999E-2</c:v>
                </c:pt>
                <c:pt idx="31">
                  <c:v>-0.998</c:v>
                </c:pt>
                <c:pt idx="32">
                  <c:v>-5.0590000000000002</c:v>
                </c:pt>
                <c:pt idx="33">
                  <c:v>-7.54</c:v>
                </c:pt>
                <c:pt idx="34">
                  <c:v>-11.17</c:v>
                </c:pt>
                <c:pt idx="35">
                  <c:v>-6.5679999999999996</c:v>
                </c:pt>
                <c:pt idx="36">
                  <c:v>-1.2989999999999999</c:v>
                </c:pt>
                <c:pt idx="37">
                  <c:v>-9.66</c:v>
                </c:pt>
                <c:pt idx="38">
                  <c:v>-11.19</c:v>
                </c:pt>
                <c:pt idx="39">
                  <c:v>-12.92</c:v>
                </c:pt>
                <c:pt idx="40">
                  <c:v>-14.41</c:v>
                </c:pt>
                <c:pt idx="41">
                  <c:v>-18.7</c:v>
                </c:pt>
                <c:pt idx="42">
                  <c:v>-19.63</c:v>
                </c:pt>
                <c:pt idx="43">
                  <c:v>-28.29</c:v>
                </c:pt>
                <c:pt idx="44">
                  <c:v>-28.57</c:v>
                </c:pt>
                <c:pt idx="45">
                  <c:v>-14.03</c:v>
                </c:pt>
                <c:pt idx="46">
                  <c:v>-7.44</c:v>
                </c:pt>
                <c:pt idx="47">
                  <c:v>-3.351</c:v>
                </c:pt>
                <c:pt idx="48">
                  <c:v>-2.84</c:v>
                </c:pt>
                <c:pt idx="49">
                  <c:v>-0.246</c:v>
                </c:pt>
                <c:pt idx="50">
                  <c:v>0.53400000000000003</c:v>
                </c:pt>
                <c:pt idx="51">
                  <c:v>-5.7649999999999997</c:v>
                </c:pt>
                <c:pt idx="52">
                  <c:v>-10.77</c:v>
                </c:pt>
                <c:pt idx="53">
                  <c:v>-11.1</c:v>
                </c:pt>
                <c:pt idx="54">
                  <c:v>-1.1100000000000001</c:v>
                </c:pt>
                <c:pt idx="55">
                  <c:v>-10.36</c:v>
                </c:pt>
                <c:pt idx="56">
                  <c:v>-19.309999999999999</c:v>
                </c:pt>
                <c:pt idx="57">
                  <c:v>-25.03</c:v>
                </c:pt>
                <c:pt idx="58">
                  <c:v>-25.43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96640"/>
        <c:axId val="158502912"/>
      </c:scatterChart>
      <c:valAx>
        <c:axId val="15849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UPC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8502912"/>
        <c:crosses val="autoZero"/>
        <c:crossBetween val="midCat"/>
      </c:valAx>
      <c:valAx>
        <c:axId val="158502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84966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Data!$DG$158:$DG$249</c:f>
              <c:numCache>
                <c:formatCode>General</c:formatCode>
                <c:ptCount val="92"/>
                <c:pt idx="0">
                  <c:v>21.6</c:v>
                </c:pt>
                <c:pt idx="1">
                  <c:v>19.2</c:v>
                </c:pt>
                <c:pt idx="2">
                  <c:v>22.2</c:v>
                </c:pt>
                <c:pt idx="3">
                  <c:v>16.7</c:v>
                </c:pt>
                <c:pt idx="4">
                  <c:v>8.1999999999999993</c:v>
                </c:pt>
                <c:pt idx="5">
                  <c:v>8.1</c:v>
                </c:pt>
                <c:pt idx="6">
                  <c:v>18.100000000000001</c:v>
                </c:pt>
                <c:pt idx="7">
                  <c:v>21.3</c:v>
                </c:pt>
                <c:pt idx="8">
                  <c:v>20.7</c:v>
                </c:pt>
                <c:pt idx="9">
                  <c:v>24</c:v>
                </c:pt>
                <c:pt idx="10">
                  <c:v>13.6</c:v>
                </c:pt>
                <c:pt idx="11">
                  <c:v>15.9</c:v>
                </c:pt>
                <c:pt idx="12">
                  <c:v>13.6</c:v>
                </c:pt>
                <c:pt idx="13">
                  <c:v>12.7</c:v>
                </c:pt>
                <c:pt idx="14">
                  <c:v>16.2</c:v>
                </c:pt>
                <c:pt idx="15">
                  <c:v>16.899999999999999</c:v>
                </c:pt>
                <c:pt idx="16">
                  <c:v>15.3</c:v>
                </c:pt>
                <c:pt idx="17">
                  <c:v>15.3</c:v>
                </c:pt>
                <c:pt idx="18">
                  <c:v>12.9</c:v>
                </c:pt>
                <c:pt idx="19">
                  <c:v>10.8</c:v>
                </c:pt>
                <c:pt idx="20">
                  <c:v>17.5</c:v>
                </c:pt>
                <c:pt idx="21">
                  <c:v>20.399999999999999</c:v>
                </c:pt>
                <c:pt idx="22">
                  <c:v>22.2</c:v>
                </c:pt>
                <c:pt idx="23">
                  <c:v>21.3</c:v>
                </c:pt>
                <c:pt idx="24">
                  <c:v>20.8</c:v>
                </c:pt>
                <c:pt idx="25">
                  <c:v>16.5</c:v>
                </c:pt>
                <c:pt idx="26">
                  <c:v>19.3</c:v>
                </c:pt>
                <c:pt idx="27">
                  <c:v>23.2</c:v>
                </c:pt>
                <c:pt idx="28">
                  <c:v>24.8</c:v>
                </c:pt>
                <c:pt idx="29">
                  <c:v>25.7</c:v>
                </c:pt>
                <c:pt idx="30">
                  <c:v>25.5</c:v>
                </c:pt>
                <c:pt idx="31">
                  <c:v>17.7</c:v>
                </c:pt>
                <c:pt idx="32">
                  <c:v>17.100000000000001</c:v>
                </c:pt>
                <c:pt idx="33">
                  <c:v>14.5</c:v>
                </c:pt>
                <c:pt idx="34">
                  <c:v>18.399999999999999</c:v>
                </c:pt>
                <c:pt idx="35">
                  <c:v>17.5</c:v>
                </c:pt>
                <c:pt idx="36">
                  <c:v>18.8</c:v>
                </c:pt>
                <c:pt idx="37">
                  <c:v>20.3</c:v>
                </c:pt>
                <c:pt idx="38">
                  <c:v>22.2</c:v>
                </c:pt>
                <c:pt idx="39">
                  <c:v>16.8</c:v>
                </c:pt>
                <c:pt idx="40">
                  <c:v>17</c:v>
                </c:pt>
                <c:pt idx="41">
                  <c:v>18.600000000000001</c:v>
                </c:pt>
                <c:pt idx="42">
                  <c:v>20.3</c:v>
                </c:pt>
                <c:pt idx="43">
                  <c:v>18.7</c:v>
                </c:pt>
                <c:pt idx="44">
                  <c:v>21.6</c:v>
                </c:pt>
                <c:pt idx="45">
                  <c:v>22.4</c:v>
                </c:pt>
                <c:pt idx="46">
                  <c:v>24.2</c:v>
                </c:pt>
                <c:pt idx="47">
                  <c:v>23.8</c:v>
                </c:pt>
                <c:pt idx="48">
                  <c:v>25.6</c:v>
                </c:pt>
                <c:pt idx="49">
                  <c:v>24.6</c:v>
                </c:pt>
                <c:pt idx="50">
                  <c:v>21.2</c:v>
                </c:pt>
                <c:pt idx="51">
                  <c:v>24.1</c:v>
                </c:pt>
                <c:pt idx="52">
                  <c:v>16.600000000000001</c:v>
                </c:pt>
                <c:pt idx="53">
                  <c:v>17.5</c:v>
                </c:pt>
                <c:pt idx="54">
                  <c:v>14.7</c:v>
                </c:pt>
                <c:pt idx="55">
                  <c:v>16.600000000000001</c:v>
                </c:pt>
                <c:pt idx="56">
                  <c:v>15.4</c:v>
                </c:pt>
                <c:pt idx="57">
                  <c:v>18.600000000000001</c:v>
                </c:pt>
                <c:pt idx="58">
                  <c:v>11.3</c:v>
                </c:pt>
                <c:pt idx="59">
                  <c:v>17.5</c:v>
                </c:pt>
                <c:pt idx="60">
                  <c:v>18.100000000000001</c:v>
                </c:pt>
                <c:pt idx="61">
                  <c:v>17.3</c:v>
                </c:pt>
                <c:pt idx="62">
                  <c:v>16.5</c:v>
                </c:pt>
                <c:pt idx="63">
                  <c:v>21.6</c:v>
                </c:pt>
                <c:pt idx="64">
                  <c:v>26.1</c:v>
                </c:pt>
                <c:pt idx="65">
                  <c:v>17.8</c:v>
                </c:pt>
                <c:pt idx="66">
                  <c:v>8.9</c:v>
                </c:pt>
                <c:pt idx="67">
                  <c:v>11</c:v>
                </c:pt>
                <c:pt idx="68">
                  <c:v>13.2</c:v>
                </c:pt>
                <c:pt idx="69">
                  <c:v>16.899999999999999</c:v>
                </c:pt>
                <c:pt idx="70">
                  <c:v>17.899999999999999</c:v>
                </c:pt>
                <c:pt idx="71">
                  <c:v>13.9</c:v>
                </c:pt>
                <c:pt idx="72">
                  <c:v>8.3000000000000007</c:v>
                </c:pt>
                <c:pt idx="73">
                  <c:v>14.8</c:v>
                </c:pt>
                <c:pt idx="74">
                  <c:v>10.7</c:v>
                </c:pt>
                <c:pt idx="75">
                  <c:v>11.6</c:v>
                </c:pt>
                <c:pt idx="76">
                  <c:v>12.4</c:v>
                </c:pt>
                <c:pt idx="77">
                  <c:v>7.3</c:v>
                </c:pt>
                <c:pt idx="78">
                  <c:v>11.1</c:v>
                </c:pt>
                <c:pt idx="79">
                  <c:v>14.7</c:v>
                </c:pt>
                <c:pt idx="80">
                  <c:v>18.5</c:v>
                </c:pt>
                <c:pt idx="81">
                  <c:v>19.8</c:v>
                </c:pt>
                <c:pt idx="82">
                  <c:v>20.9</c:v>
                </c:pt>
                <c:pt idx="83">
                  <c:v>18.2</c:v>
                </c:pt>
                <c:pt idx="84">
                  <c:v>13.4</c:v>
                </c:pt>
                <c:pt idx="85">
                  <c:v>16.899999999999999</c:v>
                </c:pt>
                <c:pt idx="86">
                  <c:v>14.8</c:v>
                </c:pt>
                <c:pt idx="87">
                  <c:v>17.8</c:v>
                </c:pt>
                <c:pt idx="88">
                  <c:v>18.8</c:v>
                </c:pt>
                <c:pt idx="89">
                  <c:v>10.6</c:v>
                </c:pt>
                <c:pt idx="90">
                  <c:v>14.7</c:v>
                </c:pt>
                <c:pt idx="91">
                  <c:v>19.399999999999999</c:v>
                </c:pt>
              </c:numCache>
            </c:numRef>
          </c:xVal>
          <c:yVal>
            <c:numRef>
              <c:f>Data!$R$158:$R$249</c:f>
              <c:numCache>
                <c:formatCode>General</c:formatCode>
                <c:ptCount val="92"/>
                <c:pt idx="0">
                  <c:v>19.47</c:v>
                </c:pt>
                <c:pt idx="1">
                  <c:v>17.32</c:v>
                </c:pt>
                <c:pt idx="2">
                  <c:v>19.93</c:v>
                </c:pt>
                <c:pt idx="3">
                  <c:v>16.86</c:v>
                </c:pt>
                <c:pt idx="4">
                  <c:v>5.9390000000000001</c:v>
                </c:pt>
                <c:pt idx="5">
                  <c:v>7.59</c:v>
                </c:pt>
                <c:pt idx="6">
                  <c:v>16.36</c:v>
                </c:pt>
                <c:pt idx="7">
                  <c:v>17.850000000000001</c:v>
                </c:pt>
                <c:pt idx="8">
                  <c:v>18</c:v>
                </c:pt>
                <c:pt idx="9">
                  <c:v>17.329999999999998</c:v>
                </c:pt>
                <c:pt idx="10">
                  <c:v>10.49</c:v>
                </c:pt>
                <c:pt idx="11">
                  <c:v>13.25</c:v>
                </c:pt>
                <c:pt idx="12">
                  <c:v>10.6</c:v>
                </c:pt>
                <c:pt idx="13">
                  <c:v>9.7799999999999994</c:v>
                </c:pt>
                <c:pt idx="14">
                  <c:v>13.71</c:v>
                </c:pt>
                <c:pt idx="15">
                  <c:v>14.42</c:v>
                </c:pt>
                <c:pt idx="16">
                  <c:v>11.57</c:v>
                </c:pt>
                <c:pt idx="17">
                  <c:v>12.68</c:v>
                </c:pt>
                <c:pt idx="18">
                  <c:v>10.56</c:v>
                </c:pt>
                <c:pt idx="19">
                  <c:v>9.49</c:v>
                </c:pt>
                <c:pt idx="20">
                  <c:v>15.87</c:v>
                </c:pt>
                <c:pt idx="21">
                  <c:v>17.73</c:v>
                </c:pt>
                <c:pt idx="22">
                  <c:v>19.73</c:v>
                </c:pt>
                <c:pt idx="23">
                  <c:v>18.91</c:v>
                </c:pt>
                <c:pt idx="24">
                  <c:v>18.13</c:v>
                </c:pt>
                <c:pt idx="25">
                  <c:v>13.5</c:v>
                </c:pt>
                <c:pt idx="26">
                  <c:v>17.100000000000001</c:v>
                </c:pt>
                <c:pt idx="27">
                  <c:v>21.13</c:v>
                </c:pt>
                <c:pt idx="28">
                  <c:v>22.11</c:v>
                </c:pt>
                <c:pt idx="29">
                  <c:v>23.38</c:v>
                </c:pt>
                <c:pt idx="30">
                  <c:v>23.26</c:v>
                </c:pt>
                <c:pt idx="31">
                  <c:v>16.12</c:v>
                </c:pt>
                <c:pt idx="32">
                  <c:v>15.29</c:v>
                </c:pt>
                <c:pt idx="33">
                  <c:v>12.02</c:v>
                </c:pt>
                <c:pt idx="34">
                  <c:v>16.18</c:v>
                </c:pt>
                <c:pt idx="35">
                  <c:v>15.25</c:v>
                </c:pt>
                <c:pt idx="36">
                  <c:v>16.239999999999998</c:v>
                </c:pt>
                <c:pt idx="37">
                  <c:v>18.16</c:v>
                </c:pt>
                <c:pt idx="38">
                  <c:v>20.149999999999999</c:v>
                </c:pt>
                <c:pt idx="39">
                  <c:v>13.76</c:v>
                </c:pt>
                <c:pt idx="40">
                  <c:v>14.61</c:v>
                </c:pt>
                <c:pt idx="41">
                  <c:v>16.43</c:v>
                </c:pt>
                <c:pt idx="42">
                  <c:v>17.86</c:v>
                </c:pt>
                <c:pt idx="43">
                  <c:v>16.649999999999999</c:v>
                </c:pt>
                <c:pt idx="44">
                  <c:v>18.510000000000002</c:v>
                </c:pt>
                <c:pt idx="45">
                  <c:v>20.239999999999998</c:v>
                </c:pt>
                <c:pt idx="46">
                  <c:v>21.09</c:v>
                </c:pt>
                <c:pt idx="47">
                  <c:v>20.93</c:v>
                </c:pt>
                <c:pt idx="48">
                  <c:v>22.91</c:v>
                </c:pt>
                <c:pt idx="49">
                  <c:v>21.05</c:v>
                </c:pt>
                <c:pt idx="50">
                  <c:v>19.04</c:v>
                </c:pt>
                <c:pt idx="51">
                  <c:v>21.46</c:v>
                </c:pt>
                <c:pt idx="52">
                  <c:v>14.66</c:v>
                </c:pt>
                <c:pt idx="53">
                  <c:v>15.61</c:v>
                </c:pt>
                <c:pt idx="54">
                  <c:v>14.05</c:v>
                </c:pt>
                <c:pt idx="55">
                  <c:v>14.46</c:v>
                </c:pt>
                <c:pt idx="56">
                  <c:v>12.77</c:v>
                </c:pt>
                <c:pt idx="57">
                  <c:v>16.21</c:v>
                </c:pt>
                <c:pt idx="58">
                  <c:v>8.82</c:v>
                </c:pt>
                <c:pt idx="59">
                  <c:v>14.47</c:v>
                </c:pt>
                <c:pt idx="60">
                  <c:v>15.75</c:v>
                </c:pt>
                <c:pt idx="61">
                  <c:v>14.25</c:v>
                </c:pt>
                <c:pt idx="62">
                  <c:v>14.07</c:v>
                </c:pt>
                <c:pt idx="63">
                  <c:v>19.190000000000001</c:v>
                </c:pt>
                <c:pt idx="64">
                  <c:v>23.83</c:v>
                </c:pt>
                <c:pt idx="65">
                  <c:v>15.59</c:v>
                </c:pt>
                <c:pt idx="66">
                  <c:v>7.58</c:v>
                </c:pt>
                <c:pt idx="67">
                  <c:v>9.5</c:v>
                </c:pt>
                <c:pt idx="68">
                  <c:v>8.9600000000000009</c:v>
                </c:pt>
                <c:pt idx="69">
                  <c:v>15.09</c:v>
                </c:pt>
                <c:pt idx="70">
                  <c:v>16.260000000000002</c:v>
                </c:pt>
                <c:pt idx="71">
                  <c:v>12.15</c:v>
                </c:pt>
                <c:pt idx="72">
                  <c:v>5.6630000000000003</c:v>
                </c:pt>
                <c:pt idx="73">
                  <c:v>13.92</c:v>
                </c:pt>
                <c:pt idx="74">
                  <c:v>10.01</c:v>
                </c:pt>
                <c:pt idx="75">
                  <c:v>9.9499999999999993</c:v>
                </c:pt>
                <c:pt idx="76">
                  <c:v>10.02</c:v>
                </c:pt>
                <c:pt idx="77">
                  <c:v>6.9109999999999996</c:v>
                </c:pt>
                <c:pt idx="78">
                  <c:v>9.4499999999999993</c:v>
                </c:pt>
                <c:pt idx="79">
                  <c:v>13.51</c:v>
                </c:pt>
                <c:pt idx="80">
                  <c:v>17.37</c:v>
                </c:pt>
                <c:pt idx="81">
                  <c:v>18.89</c:v>
                </c:pt>
                <c:pt idx="82">
                  <c:v>18.05</c:v>
                </c:pt>
                <c:pt idx="83">
                  <c:v>17.64</c:v>
                </c:pt>
                <c:pt idx="84">
                  <c:v>11.56</c:v>
                </c:pt>
                <c:pt idx="85">
                  <c:v>15.19</c:v>
                </c:pt>
                <c:pt idx="86">
                  <c:v>13.2</c:v>
                </c:pt>
                <c:pt idx="87">
                  <c:v>15.24</c:v>
                </c:pt>
                <c:pt idx="88">
                  <c:v>17.54</c:v>
                </c:pt>
                <c:pt idx="89">
                  <c:v>9.8000000000000007</c:v>
                </c:pt>
                <c:pt idx="90">
                  <c:v>13.73</c:v>
                </c:pt>
                <c:pt idx="91">
                  <c:v>17.21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55936"/>
        <c:axId val="186470400"/>
      </c:scatterChart>
      <c:valAx>
        <c:axId val="186455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470400"/>
        <c:crosses val="autoZero"/>
        <c:crossBetween val="midCat"/>
      </c:valAx>
      <c:valAx>
        <c:axId val="186470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4559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049925634295713"/>
                  <c:y val="-8.3094196558763489E-2"/>
                </c:manualLayout>
              </c:layout>
              <c:numFmt formatCode="General" sourceLinked="0"/>
            </c:trendlineLbl>
          </c:trendline>
          <c:xVal>
            <c:numRef>
              <c:f>Data!$DH$158:$DH$249</c:f>
              <c:numCache>
                <c:formatCode>General</c:formatCode>
                <c:ptCount val="92"/>
                <c:pt idx="0">
                  <c:v>10.199999999999999</c:v>
                </c:pt>
                <c:pt idx="1">
                  <c:v>11.2</c:v>
                </c:pt>
                <c:pt idx="2">
                  <c:v>9.4</c:v>
                </c:pt>
                <c:pt idx="3">
                  <c:v>8.4</c:v>
                </c:pt>
                <c:pt idx="4">
                  <c:v>4.7</c:v>
                </c:pt>
                <c:pt idx="5">
                  <c:v>3.7</c:v>
                </c:pt>
                <c:pt idx="6">
                  <c:v>5.8</c:v>
                </c:pt>
                <c:pt idx="7">
                  <c:v>9.4</c:v>
                </c:pt>
                <c:pt idx="8">
                  <c:v>11.2</c:v>
                </c:pt>
                <c:pt idx="9">
                  <c:v>9.4</c:v>
                </c:pt>
                <c:pt idx="10">
                  <c:v>6.8</c:v>
                </c:pt>
                <c:pt idx="11">
                  <c:v>6.3</c:v>
                </c:pt>
                <c:pt idx="12">
                  <c:v>5.3</c:v>
                </c:pt>
                <c:pt idx="13">
                  <c:v>6.1</c:v>
                </c:pt>
                <c:pt idx="14">
                  <c:v>7.3</c:v>
                </c:pt>
                <c:pt idx="15">
                  <c:v>9</c:v>
                </c:pt>
                <c:pt idx="16">
                  <c:v>7.2</c:v>
                </c:pt>
                <c:pt idx="17">
                  <c:v>7.3</c:v>
                </c:pt>
                <c:pt idx="18">
                  <c:v>7.1</c:v>
                </c:pt>
                <c:pt idx="19">
                  <c:v>7.4</c:v>
                </c:pt>
                <c:pt idx="20">
                  <c:v>8.5</c:v>
                </c:pt>
                <c:pt idx="21">
                  <c:v>9.9</c:v>
                </c:pt>
                <c:pt idx="22">
                  <c:v>10.3</c:v>
                </c:pt>
                <c:pt idx="23">
                  <c:v>12.8</c:v>
                </c:pt>
                <c:pt idx="24">
                  <c:v>10.4</c:v>
                </c:pt>
                <c:pt idx="25">
                  <c:v>9.6</c:v>
                </c:pt>
                <c:pt idx="26">
                  <c:v>8.3000000000000007</c:v>
                </c:pt>
                <c:pt idx="27">
                  <c:v>11.5</c:v>
                </c:pt>
                <c:pt idx="28">
                  <c:v>14.2</c:v>
                </c:pt>
                <c:pt idx="29">
                  <c:v>15.2</c:v>
                </c:pt>
                <c:pt idx="30">
                  <c:v>16.5</c:v>
                </c:pt>
                <c:pt idx="31">
                  <c:v>11</c:v>
                </c:pt>
                <c:pt idx="32">
                  <c:v>9.3000000000000007</c:v>
                </c:pt>
                <c:pt idx="33">
                  <c:v>8.6</c:v>
                </c:pt>
                <c:pt idx="34">
                  <c:v>8.5</c:v>
                </c:pt>
                <c:pt idx="35">
                  <c:v>9.8000000000000007</c:v>
                </c:pt>
                <c:pt idx="36">
                  <c:v>9.8000000000000007</c:v>
                </c:pt>
                <c:pt idx="37">
                  <c:v>11.4</c:v>
                </c:pt>
                <c:pt idx="38">
                  <c:v>13.3</c:v>
                </c:pt>
                <c:pt idx="39">
                  <c:v>9.4</c:v>
                </c:pt>
                <c:pt idx="40">
                  <c:v>8.5</c:v>
                </c:pt>
                <c:pt idx="41">
                  <c:v>7.5</c:v>
                </c:pt>
                <c:pt idx="42">
                  <c:v>10.4</c:v>
                </c:pt>
                <c:pt idx="43">
                  <c:v>10.4</c:v>
                </c:pt>
                <c:pt idx="44">
                  <c:v>9.9</c:v>
                </c:pt>
                <c:pt idx="45">
                  <c:v>13.3</c:v>
                </c:pt>
                <c:pt idx="46">
                  <c:v>12.6</c:v>
                </c:pt>
                <c:pt idx="47">
                  <c:v>14.7</c:v>
                </c:pt>
                <c:pt idx="48">
                  <c:v>13.6</c:v>
                </c:pt>
                <c:pt idx="49">
                  <c:v>15.4</c:v>
                </c:pt>
                <c:pt idx="50">
                  <c:v>13.8</c:v>
                </c:pt>
                <c:pt idx="51">
                  <c:v>13.1</c:v>
                </c:pt>
                <c:pt idx="52">
                  <c:v>10.5</c:v>
                </c:pt>
                <c:pt idx="53">
                  <c:v>10.5</c:v>
                </c:pt>
                <c:pt idx="54">
                  <c:v>11.3</c:v>
                </c:pt>
                <c:pt idx="55">
                  <c:v>10.9</c:v>
                </c:pt>
                <c:pt idx="56">
                  <c:v>7.2</c:v>
                </c:pt>
                <c:pt idx="57">
                  <c:v>8.6999999999999993</c:v>
                </c:pt>
                <c:pt idx="58">
                  <c:v>6.1</c:v>
                </c:pt>
                <c:pt idx="59">
                  <c:v>6.9</c:v>
                </c:pt>
                <c:pt idx="60">
                  <c:v>10.6</c:v>
                </c:pt>
                <c:pt idx="61">
                  <c:v>10.3</c:v>
                </c:pt>
                <c:pt idx="62">
                  <c:v>9.8000000000000007</c:v>
                </c:pt>
                <c:pt idx="63">
                  <c:v>11.7</c:v>
                </c:pt>
                <c:pt idx="64">
                  <c:v>13.6</c:v>
                </c:pt>
                <c:pt idx="65">
                  <c:v>7</c:v>
                </c:pt>
                <c:pt idx="66">
                  <c:v>6.5</c:v>
                </c:pt>
                <c:pt idx="67">
                  <c:v>6.9</c:v>
                </c:pt>
                <c:pt idx="68">
                  <c:v>6.7</c:v>
                </c:pt>
                <c:pt idx="69">
                  <c:v>7.4</c:v>
                </c:pt>
                <c:pt idx="70">
                  <c:v>9.3000000000000007</c:v>
                </c:pt>
                <c:pt idx="71">
                  <c:v>8.5</c:v>
                </c:pt>
                <c:pt idx="72">
                  <c:v>5.8</c:v>
                </c:pt>
                <c:pt idx="73">
                  <c:v>6.5</c:v>
                </c:pt>
                <c:pt idx="74">
                  <c:v>8.4</c:v>
                </c:pt>
                <c:pt idx="75">
                  <c:v>7</c:v>
                </c:pt>
                <c:pt idx="76">
                  <c:v>5.2</c:v>
                </c:pt>
                <c:pt idx="77">
                  <c:v>5.3</c:v>
                </c:pt>
                <c:pt idx="78">
                  <c:v>6.2</c:v>
                </c:pt>
                <c:pt idx="79">
                  <c:v>6.3</c:v>
                </c:pt>
                <c:pt idx="80">
                  <c:v>7.2</c:v>
                </c:pt>
                <c:pt idx="81">
                  <c:v>12.1</c:v>
                </c:pt>
                <c:pt idx="82">
                  <c:v>9.6999999999999993</c:v>
                </c:pt>
                <c:pt idx="83">
                  <c:v>9.1</c:v>
                </c:pt>
                <c:pt idx="84">
                  <c:v>6.4</c:v>
                </c:pt>
                <c:pt idx="85">
                  <c:v>4.5</c:v>
                </c:pt>
                <c:pt idx="86">
                  <c:v>7.5</c:v>
                </c:pt>
                <c:pt idx="87">
                  <c:v>6</c:v>
                </c:pt>
                <c:pt idx="88">
                  <c:v>8</c:v>
                </c:pt>
                <c:pt idx="89">
                  <c:v>7.2</c:v>
                </c:pt>
                <c:pt idx="90">
                  <c:v>7.4</c:v>
                </c:pt>
                <c:pt idx="91">
                  <c:v>7.1</c:v>
                </c:pt>
              </c:numCache>
            </c:numRef>
          </c:xVal>
          <c:yVal>
            <c:numRef>
              <c:f>Data!$AF$158:$AF$249</c:f>
              <c:numCache>
                <c:formatCode>General</c:formatCode>
                <c:ptCount val="92"/>
                <c:pt idx="0">
                  <c:v>1.6040000000000001</c:v>
                </c:pt>
                <c:pt idx="1">
                  <c:v>2.681</c:v>
                </c:pt>
                <c:pt idx="2">
                  <c:v>1.5049999999999999</c:v>
                </c:pt>
                <c:pt idx="3">
                  <c:v>3.3479999999999999</c:v>
                </c:pt>
                <c:pt idx="4">
                  <c:v>2.2839999999999998</c:v>
                </c:pt>
                <c:pt idx="5">
                  <c:v>0.56599999999999995</c:v>
                </c:pt>
                <c:pt idx="6">
                  <c:v>0.182</c:v>
                </c:pt>
                <c:pt idx="7">
                  <c:v>-1.0489999999999999</c:v>
                </c:pt>
                <c:pt idx="8">
                  <c:v>-0.42499999999999999</c:v>
                </c:pt>
                <c:pt idx="9">
                  <c:v>0.57599999999999996</c:v>
                </c:pt>
                <c:pt idx="10">
                  <c:v>4.9020000000000001</c:v>
                </c:pt>
                <c:pt idx="11">
                  <c:v>2.0270000000000001</c:v>
                </c:pt>
                <c:pt idx="12">
                  <c:v>2.4220000000000002</c:v>
                </c:pt>
                <c:pt idx="13">
                  <c:v>3.4140000000000001</c:v>
                </c:pt>
                <c:pt idx="14">
                  <c:v>5.0510000000000002</c:v>
                </c:pt>
                <c:pt idx="15">
                  <c:v>1.7270000000000001</c:v>
                </c:pt>
                <c:pt idx="16">
                  <c:v>5.2489999999999997</c:v>
                </c:pt>
                <c:pt idx="17">
                  <c:v>3.9420000000000002</c:v>
                </c:pt>
                <c:pt idx="18">
                  <c:v>2.5950000000000002</c:v>
                </c:pt>
                <c:pt idx="19">
                  <c:v>6.1779999999999999</c:v>
                </c:pt>
                <c:pt idx="20">
                  <c:v>7.44</c:v>
                </c:pt>
                <c:pt idx="21">
                  <c:v>3.41</c:v>
                </c:pt>
                <c:pt idx="22">
                  <c:v>4.3609999999999998</c:v>
                </c:pt>
                <c:pt idx="23">
                  <c:v>6.4260000000000002</c:v>
                </c:pt>
                <c:pt idx="24">
                  <c:v>1.9370000000000001</c:v>
                </c:pt>
                <c:pt idx="25">
                  <c:v>0.247</c:v>
                </c:pt>
                <c:pt idx="26">
                  <c:v>-1.59</c:v>
                </c:pt>
                <c:pt idx="27">
                  <c:v>1.0409999999999999</c:v>
                </c:pt>
                <c:pt idx="28">
                  <c:v>3.452</c:v>
                </c:pt>
                <c:pt idx="29">
                  <c:v>4.6959999999999997</c:v>
                </c:pt>
                <c:pt idx="30">
                  <c:v>7.07</c:v>
                </c:pt>
                <c:pt idx="31">
                  <c:v>8.81</c:v>
                </c:pt>
                <c:pt idx="32">
                  <c:v>5.7869999999999999</c:v>
                </c:pt>
                <c:pt idx="33">
                  <c:v>4.8010000000000002</c:v>
                </c:pt>
                <c:pt idx="34">
                  <c:v>5.952</c:v>
                </c:pt>
                <c:pt idx="35">
                  <c:v>2.4910000000000001</c:v>
                </c:pt>
                <c:pt idx="36">
                  <c:v>8.0500000000000007</c:v>
                </c:pt>
                <c:pt idx="37">
                  <c:v>6.3460000000000001</c:v>
                </c:pt>
                <c:pt idx="38">
                  <c:v>7.8</c:v>
                </c:pt>
                <c:pt idx="39">
                  <c:v>5.4340000000000002</c:v>
                </c:pt>
                <c:pt idx="40">
                  <c:v>-7.32</c:v>
                </c:pt>
                <c:pt idx="41">
                  <c:v>-0.26500000000000001</c:v>
                </c:pt>
                <c:pt idx="42">
                  <c:v>1.627</c:v>
                </c:pt>
                <c:pt idx="43">
                  <c:v>4.8949999999999996</c:v>
                </c:pt>
                <c:pt idx="44">
                  <c:v>2.056</c:v>
                </c:pt>
                <c:pt idx="45">
                  <c:v>5.0970000000000004</c:v>
                </c:pt>
                <c:pt idx="46">
                  <c:v>3.5129999999999999</c:v>
                </c:pt>
                <c:pt idx="47">
                  <c:v>5.508</c:v>
                </c:pt>
                <c:pt idx="48">
                  <c:v>3.8769999999999998</c:v>
                </c:pt>
                <c:pt idx="49">
                  <c:v>7.09</c:v>
                </c:pt>
                <c:pt idx="50">
                  <c:v>6.61</c:v>
                </c:pt>
                <c:pt idx="51">
                  <c:v>4.2309999999999999</c:v>
                </c:pt>
                <c:pt idx="52">
                  <c:v>8.25</c:v>
                </c:pt>
                <c:pt idx="53">
                  <c:v>8.57</c:v>
                </c:pt>
                <c:pt idx="54">
                  <c:v>8.91</c:v>
                </c:pt>
                <c:pt idx="55">
                  <c:v>8.6</c:v>
                </c:pt>
                <c:pt idx="56">
                  <c:v>1.284</c:v>
                </c:pt>
                <c:pt idx="57">
                  <c:v>0.49099999999999999</c:v>
                </c:pt>
                <c:pt idx="58">
                  <c:v>3.2149999999999999</c:v>
                </c:pt>
                <c:pt idx="59">
                  <c:v>4.9400000000000004</c:v>
                </c:pt>
                <c:pt idx="60">
                  <c:v>6.0529999999999999</c:v>
                </c:pt>
                <c:pt idx="61">
                  <c:v>5.431</c:v>
                </c:pt>
                <c:pt idx="62">
                  <c:v>4.641</c:v>
                </c:pt>
                <c:pt idx="63">
                  <c:v>4.3579999999999997</c:v>
                </c:pt>
                <c:pt idx="64">
                  <c:v>5.5640000000000001</c:v>
                </c:pt>
                <c:pt idx="65">
                  <c:v>5.3049999999999997</c:v>
                </c:pt>
                <c:pt idx="66">
                  <c:v>4.1470000000000002</c:v>
                </c:pt>
                <c:pt idx="67">
                  <c:v>2.621</c:v>
                </c:pt>
                <c:pt idx="68">
                  <c:v>4.2300000000000004</c:v>
                </c:pt>
                <c:pt idx="69">
                  <c:v>3.5990000000000002</c:v>
                </c:pt>
                <c:pt idx="70">
                  <c:v>1.333</c:v>
                </c:pt>
                <c:pt idx="71">
                  <c:v>5.5670000000000002</c:v>
                </c:pt>
                <c:pt idx="72">
                  <c:v>3.5219999999999998</c:v>
                </c:pt>
                <c:pt idx="73">
                  <c:v>3.7810000000000001</c:v>
                </c:pt>
                <c:pt idx="74">
                  <c:v>4.1929999999999996</c:v>
                </c:pt>
                <c:pt idx="75">
                  <c:v>2.8029999999999999</c:v>
                </c:pt>
                <c:pt idx="76">
                  <c:v>1.8520000000000001</c:v>
                </c:pt>
                <c:pt idx="77">
                  <c:v>1.2290000000000001</c:v>
                </c:pt>
                <c:pt idx="78">
                  <c:v>3.6880000000000002</c:v>
                </c:pt>
                <c:pt idx="79">
                  <c:v>4.3150000000000004</c:v>
                </c:pt>
                <c:pt idx="80">
                  <c:v>0.46700000000000003</c:v>
                </c:pt>
                <c:pt idx="81">
                  <c:v>4.8070000000000004</c:v>
                </c:pt>
                <c:pt idx="82">
                  <c:v>2.8490000000000002</c:v>
                </c:pt>
                <c:pt idx="83">
                  <c:v>0.34499999999999997</c:v>
                </c:pt>
                <c:pt idx="84">
                  <c:v>-1.002</c:v>
                </c:pt>
                <c:pt idx="85">
                  <c:v>-2.419</c:v>
                </c:pt>
                <c:pt idx="86">
                  <c:v>0.84299999999999997</c:v>
                </c:pt>
                <c:pt idx="87">
                  <c:v>-1.3320000000000001</c:v>
                </c:pt>
                <c:pt idx="88">
                  <c:v>0.63600000000000001</c:v>
                </c:pt>
                <c:pt idx="89">
                  <c:v>1.839</c:v>
                </c:pt>
                <c:pt idx="90">
                  <c:v>0.33600000000000002</c:v>
                </c:pt>
                <c:pt idx="91">
                  <c:v>-1.077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80512"/>
        <c:axId val="186486784"/>
      </c:scatterChart>
      <c:valAx>
        <c:axId val="186480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486784"/>
        <c:crosses val="autoZero"/>
        <c:crossBetween val="midCat"/>
      </c:valAx>
      <c:valAx>
        <c:axId val="1864867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480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Data!$DF$158:$DF$249</c:f>
              <c:numCache>
                <c:formatCode>General</c:formatCode>
                <c:ptCount val="92"/>
                <c:pt idx="0">
                  <c:v>16</c:v>
                </c:pt>
                <c:pt idx="1">
                  <c:v>15.8</c:v>
                </c:pt>
                <c:pt idx="2">
                  <c:v>15.9</c:v>
                </c:pt>
                <c:pt idx="3">
                  <c:v>13.1</c:v>
                </c:pt>
                <c:pt idx="4">
                  <c:v>6.2</c:v>
                </c:pt>
                <c:pt idx="5">
                  <c:v>5.8</c:v>
                </c:pt>
                <c:pt idx="6">
                  <c:v>11.7</c:v>
                </c:pt>
                <c:pt idx="7">
                  <c:v>15.1</c:v>
                </c:pt>
                <c:pt idx="8">
                  <c:v>15.4</c:v>
                </c:pt>
                <c:pt idx="9">
                  <c:v>14.7</c:v>
                </c:pt>
                <c:pt idx="10">
                  <c:v>10.199999999999999</c:v>
                </c:pt>
                <c:pt idx="11">
                  <c:v>11.3</c:v>
                </c:pt>
                <c:pt idx="12">
                  <c:v>9</c:v>
                </c:pt>
                <c:pt idx="13">
                  <c:v>9.1</c:v>
                </c:pt>
                <c:pt idx="14">
                  <c:v>10.9</c:v>
                </c:pt>
                <c:pt idx="15">
                  <c:v>12.7</c:v>
                </c:pt>
                <c:pt idx="16">
                  <c:v>11</c:v>
                </c:pt>
                <c:pt idx="17">
                  <c:v>10.4</c:v>
                </c:pt>
                <c:pt idx="18">
                  <c:v>9.8000000000000007</c:v>
                </c:pt>
                <c:pt idx="19">
                  <c:v>9.1</c:v>
                </c:pt>
                <c:pt idx="20">
                  <c:v>12.1</c:v>
                </c:pt>
                <c:pt idx="21">
                  <c:v>14.6</c:v>
                </c:pt>
                <c:pt idx="22">
                  <c:v>16.5</c:v>
                </c:pt>
                <c:pt idx="23">
                  <c:v>17</c:v>
                </c:pt>
                <c:pt idx="24">
                  <c:v>16</c:v>
                </c:pt>
                <c:pt idx="25">
                  <c:v>12.6</c:v>
                </c:pt>
                <c:pt idx="26">
                  <c:v>14.5</c:v>
                </c:pt>
                <c:pt idx="27">
                  <c:v>17.7</c:v>
                </c:pt>
                <c:pt idx="28">
                  <c:v>19.5</c:v>
                </c:pt>
                <c:pt idx="29">
                  <c:v>20.7</c:v>
                </c:pt>
                <c:pt idx="30">
                  <c:v>20.6</c:v>
                </c:pt>
                <c:pt idx="31">
                  <c:v>13.6</c:v>
                </c:pt>
                <c:pt idx="32">
                  <c:v>12.7</c:v>
                </c:pt>
                <c:pt idx="33">
                  <c:v>11.1</c:v>
                </c:pt>
                <c:pt idx="34">
                  <c:v>13.1</c:v>
                </c:pt>
                <c:pt idx="35">
                  <c:v>13.2</c:v>
                </c:pt>
                <c:pt idx="36">
                  <c:v>13.8</c:v>
                </c:pt>
                <c:pt idx="37">
                  <c:v>15.3</c:v>
                </c:pt>
                <c:pt idx="38">
                  <c:v>16.2</c:v>
                </c:pt>
                <c:pt idx="39">
                  <c:v>12.5</c:v>
                </c:pt>
                <c:pt idx="40">
                  <c:v>12.5</c:v>
                </c:pt>
                <c:pt idx="41">
                  <c:v>13.6</c:v>
                </c:pt>
                <c:pt idx="42">
                  <c:v>15</c:v>
                </c:pt>
                <c:pt idx="43">
                  <c:v>14.7</c:v>
                </c:pt>
                <c:pt idx="44">
                  <c:v>15.9</c:v>
                </c:pt>
                <c:pt idx="45">
                  <c:v>17.600000000000001</c:v>
                </c:pt>
                <c:pt idx="46">
                  <c:v>18.600000000000001</c:v>
                </c:pt>
                <c:pt idx="47">
                  <c:v>18.8</c:v>
                </c:pt>
                <c:pt idx="48">
                  <c:v>19.8</c:v>
                </c:pt>
                <c:pt idx="49">
                  <c:v>20.399999999999999</c:v>
                </c:pt>
                <c:pt idx="50">
                  <c:v>16.8</c:v>
                </c:pt>
                <c:pt idx="51">
                  <c:v>18.3</c:v>
                </c:pt>
                <c:pt idx="52">
                  <c:v>13.3</c:v>
                </c:pt>
                <c:pt idx="53">
                  <c:v>13.8</c:v>
                </c:pt>
                <c:pt idx="54">
                  <c:v>12.7</c:v>
                </c:pt>
                <c:pt idx="55">
                  <c:v>13</c:v>
                </c:pt>
                <c:pt idx="56">
                  <c:v>11</c:v>
                </c:pt>
                <c:pt idx="57">
                  <c:v>13.7</c:v>
                </c:pt>
                <c:pt idx="58">
                  <c:v>7.6</c:v>
                </c:pt>
                <c:pt idx="59">
                  <c:v>11.6</c:v>
                </c:pt>
                <c:pt idx="60">
                  <c:v>13.8</c:v>
                </c:pt>
                <c:pt idx="61">
                  <c:v>13.1</c:v>
                </c:pt>
                <c:pt idx="62">
                  <c:v>13</c:v>
                </c:pt>
                <c:pt idx="63">
                  <c:v>16.100000000000001</c:v>
                </c:pt>
                <c:pt idx="64">
                  <c:v>20.2</c:v>
                </c:pt>
                <c:pt idx="65">
                  <c:v>14</c:v>
                </c:pt>
                <c:pt idx="66">
                  <c:v>7.3</c:v>
                </c:pt>
                <c:pt idx="67">
                  <c:v>8.6</c:v>
                </c:pt>
                <c:pt idx="68">
                  <c:v>8.9</c:v>
                </c:pt>
                <c:pt idx="69">
                  <c:v>11.8</c:v>
                </c:pt>
                <c:pt idx="70">
                  <c:v>13.3</c:v>
                </c:pt>
                <c:pt idx="71">
                  <c:v>10.5</c:v>
                </c:pt>
                <c:pt idx="72">
                  <c:v>7</c:v>
                </c:pt>
                <c:pt idx="73">
                  <c:v>10.1</c:v>
                </c:pt>
                <c:pt idx="74">
                  <c:v>9.6</c:v>
                </c:pt>
                <c:pt idx="75">
                  <c:v>8.9</c:v>
                </c:pt>
                <c:pt idx="76">
                  <c:v>7.8</c:v>
                </c:pt>
                <c:pt idx="77">
                  <c:v>6.1</c:v>
                </c:pt>
                <c:pt idx="78">
                  <c:v>8.1</c:v>
                </c:pt>
                <c:pt idx="79">
                  <c:v>10.199999999999999</c:v>
                </c:pt>
                <c:pt idx="80">
                  <c:v>13.3</c:v>
                </c:pt>
                <c:pt idx="81">
                  <c:v>15.8</c:v>
                </c:pt>
                <c:pt idx="82">
                  <c:v>14.6</c:v>
                </c:pt>
                <c:pt idx="83">
                  <c:v>12.8</c:v>
                </c:pt>
                <c:pt idx="84">
                  <c:v>9.1</c:v>
                </c:pt>
                <c:pt idx="85">
                  <c:v>11.3</c:v>
                </c:pt>
                <c:pt idx="86">
                  <c:v>11.3</c:v>
                </c:pt>
                <c:pt idx="87">
                  <c:v>11.9</c:v>
                </c:pt>
                <c:pt idx="88">
                  <c:v>13</c:v>
                </c:pt>
                <c:pt idx="89">
                  <c:v>8.6</c:v>
                </c:pt>
                <c:pt idx="90">
                  <c:v>10.199999999999999</c:v>
                </c:pt>
                <c:pt idx="91">
                  <c:v>13.3</c:v>
                </c:pt>
              </c:numCache>
            </c:numRef>
          </c:xVal>
          <c:yVal>
            <c:numRef>
              <c:f>Data!$E$158:$E$249</c:f>
              <c:numCache>
                <c:formatCode>General</c:formatCode>
                <c:ptCount val="92"/>
                <c:pt idx="0">
                  <c:v>11.09</c:v>
                </c:pt>
                <c:pt idx="1">
                  <c:v>11.2</c:v>
                </c:pt>
                <c:pt idx="2">
                  <c:v>11.3</c:v>
                </c:pt>
                <c:pt idx="3">
                  <c:v>10.16</c:v>
                </c:pt>
                <c:pt idx="4">
                  <c:v>4.1950000000000003</c:v>
                </c:pt>
                <c:pt idx="5">
                  <c:v>4.8929999999999998</c:v>
                </c:pt>
                <c:pt idx="6">
                  <c:v>8.7100000000000009</c:v>
                </c:pt>
                <c:pt idx="7">
                  <c:v>9.7100000000000009</c:v>
                </c:pt>
                <c:pt idx="8">
                  <c:v>9.8699999999999992</c:v>
                </c:pt>
                <c:pt idx="9">
                  <c:v>10.07</c:v>
                </c:pt>
                <c:pt idx="10">
                  <c:v>7.56</c:v>
                </c:pt>
                <c:pt idx="11">
                  <c:v>8.2799999999999994</c:v>
                </c:pt>
                <c:pt idx="12">
                  <c:v>5.798</c:v>
                </c:pt>
                <c:pt idx="13">
                  <c:v>6.4169999999999998</c:v>
                </c:pt>
                <c:pt idx="14">
                  <c:v>8.3000000000000007</c:v>
                </c:pt>
                <c:pt idx="15">
                  <c:v>9.49</c:v>
                </c:pt>
                <c:pt idx="16">
                  <c:v>7.85</c:v>
                </c:pt>
                <c:pt idx="17">
                  <c:v>7.4</c:v>
                </c:pt>
                <c:pt idx="18">
                  <c:v>7.01</c:v>
                </c:pt>
                <c:pt idx="19">
                  <c:v>7.75</c:v>
                </c:pt>
                <c:pt idx="20">
                  <c:v>9.67</c:v>
                </c:pt>
                <c:pt idx="21">
                  <c:v>10.6</c:v>
                </c:pt>
                <c:pt idx="22">
                  <c:v>12.65</c:v>
                </c:pt>
                <c:pt idx="23">
                  <c:v>13.12</c:v>
                </c:pt>
                <c:pt idx="24">
                  <c:v>10.98</c:v>
                </c:pt>
                <c:pt idx="25">
                  <c:v>8.5399999999999991</c:v>
                </c:pt>
                <c:pt idx="26">
                  <c:v>9.16</c:v>
                </c:pt>
                <c:pt idx="27">
                  <c:v>12.54</c:v>
                </c:pt>
                <c:pt idx="28">
                  <c:v>13.84</c:v>
                </c:pt>
                <c:pt idx="29">
                  <c:v>15.45</c:v>
                </c:pt>
                <c:pt idx="30">
                  <c:v>16.62</c:v>
                </c:pt>
                <c:pt idx="31">
                  <c:v>11.64</c:v>
                </c:pt>
                <c:pt idx="32">
                  <c:v>10.119999999999999</c:v>
                </c:pt>
                <c:pt idx="33">
                  <c:v>8.5</c:v>
                </c:pt>
                <c:pt idx="34">
                  <c:v>9.73</c:v>
                </c:pt>
                <c:pt idx="35">
                  <c:v>10.15</c:v>
                </c:pt>
                <c:pt idx="36">
                  <c:v>11.31</c:v>
                </c:pt>
                <c:pt idx="37">
                  <c:v>11.85</c:v>
                </c:pt>
                <c:pt idx="38">
                  <c:v>13.84</c:v>
                </c:pt>
                <c:pt idx="39">
                  <c:v>9.26</c:v>
                </c:pt>
                <c:pt idx="40">
                  <c:v>8.85</c:v>
                </c:pt>
                <c:pt idx="41">
                  <c:v>8.99</c:v>
                </c:pt>
                <c:pt idx="42">
                  <c:v>11.33</c:v>
                </c:pt>
                <c:pt idx="43">
                  <c:v>11.23</c:v>
                </c:pt>
                <c:pt idx="44">
                  <c:v>11.2</c:v>
                </c:pt>
                <c:pt idx="45">
                  <c:v>13.1</c:v>
                </c:pt>
                <c:pt idx="46">
                  <c:v>13.59</c:v>
                </c:pt>
                <c:pt idx="47">
                  <c:v>13.66</c:v>
                </c:pt>
                <c:pt idx="48">
                  <c:v>14.4</c:v>
                </c:pt>
                <c:pt idx="49">
                  <c:v>15.56</c:v>
                </c:pt>
                <c:pt idx="50">
                  <c:v>12.96</c:v>
                </c:pt>
                <c:pt idx="51">
                  <c:v>14.32</c:v>
                </c:pt>
                <c:pt idx="52">
                  <c:v>11.49</c:v>
                </c:pt>
                <c:pt idx="53">
                  <c:v>11.59</c:v>
                </c:pt>
                <c:pt idx="54">
                  <c:v>10.72</c:v>
                </c:pt>
                <c:pt idx="55">
                  <c:v>10.91</c:v>
                </c:pt>
                <c:pt idx="56">
                  <c:v>7.69</c:v>
                </c:pt>
                <c:pt idx="57">
                  <c:v>9.83</c:v>
                </c:pt>
                <c:pt idx="58">
                  <c:v>5.1589999999999998</c:v>
                </c:pt>
                <c:pt idx="59">
                  <c:v>8.6</c:v>
                </c:pt>
                <c:pt idx="60">
                  <c:v>10.7</c:v>
                </c:pt>
                <c:pt idx="61">
                  <c:v>9.92</c:v>
                </c:pt>
                <c:pt idx="62">
                  <c:v>10.07</c:v>
                </c:pt>
                <c:pt idx="63">
                  <c:v>11.88</c:v>
                </c:pt>
                <c:pt idx="64">
                  <c:v>16.12</c:v>
                </c:pt>
                <c:pt idx="65">
                  <c:v>12.28</c:v>
                </c:pt>
                <c:pt idx="66">
                  <c:v>5.4340000000000002</c:v>
                </c:pt>
                <c:pt idx="67">
                  <c:v>6.65</c:v>
                </c:pt>
                <c:pt idx="68">
                  <c:v>5.7880000000000003</c:v>
                </c:pt>
                <c:pt idx="69">
                  <c:v>8.43</c:v>
                </c:pt>
                <c:pt idx="70">
                  <c:v>10.08</c:v>
                </c:pt>
                <c:pt idx="71">
                  <c:v>8.26</c:v>
                </c:pt>
                <c:pt idx="72">
                  <c:v>4.5990000000000002</c:v>
                </c:pt>
                <c:pt idx="73">
                  <c:v>7.57</c:v>
                </c:pt>
                <c:pt idx="74">
                  <c:v>8.4</c:v>
                </c:pt>
                <c:pt idx="75">
                  <c:v>6.3310000000000004</c:v>
                </c:pt>
                <c:pt idx="76">
                  <c:v>5.4589999999999996</c:v>
                </c:pt>
                <c:pt idx="77">
                  <c:v>3.6150000000000002</c:v>
                </c:pt>
                <c:pt idx="78">
                  <c:v>5.774</c:v>
                </c:pt>
                <c:pt idx="79">
                  <c:v>7.97</c:v>
                </c:pt>
                <c:pt idx="80">
                  <c:v>9.9</c:v>
                </c:pt>
                <c:pt idx="81">
                  <c:v>12.33</c:v>
                </c:pt>
                <c:pt idx="82">
                  <c:v>9.48</c:v>
                </c:pt>
                <c:pt idx="83">
                  <c:v>9.7899999999999991</c:v>
                </c:pt>
                <c:pt idx="84">
                  <c:v>6.1130000000000004</c:v>
                </c:pt>
                <c:pt idx="85">
                  <c:v>6.8460000000000001</c:v>
                </c:pt>
                <c:pt idx="86">
                  <c:v>7.52</c:v>
                </c:pt>
                <c:pt idx="87">
                  <c:v>8.24</c:v>
                </c:pt>
                <c:pt idx="88">
                  <c:v>9.7899999999999991</c:v>
                </c:pt>
                <c:pt idx="89">
                  <c:v>5.69</c:v>
                </c:pt>
                <c:pt idx="90">
                  <c:v>6.6950000000000003</c:v>
                </c:pt>
                <c:pt idx="91">
                  <c:v>7.98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05472"/>
        <c:axId val="186511744"/>
      </c:scatterChart>
      <c:valAx>
        <c:axId val="186505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511744"/>
        <c:crosses val="autoZero"/>
        <c:crossBetween val="midCat"/>
      </c:valAx>
      <c:valAx>
        <c:axId val="1865117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5054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Data!$G$66:$G$157</c:f>
              <c:numCache>
                <c:formatCode>General</c:formatCode>
                <c:ptCount val="92"/>
                <c:pt idx="0">
                  <c:v>-16.54</c:v>
                </c:pt>
                <c:pt idx="1">
                  <c:v>-13.63</c:v>
                </c:pt>
                <c:pt idx="2">
                  <c:v>-10.15</c:v>
                </c:pt>
                <c:pt idx="3">
                  <c:v>-11.13</c:v>
                </c:pt>
                <c:pt idx="4">
                  <c:v>-17.27</c:v>
                </c:pt>
                <c:pt idx="5">
                  <c:v>-19.059999999999999</c:v>
                </c:pt>
                <c:pt idx="6">
                  <c:v>-11.21</c:v>
                </c:pt>
                <c:pt idx="7">
                  <c:v>-5.1669999999999998</c:v>
                </c:pt>
                <c:pt idx="8">
                  <c:v>0.86799999999999999</c:v>
                </c:pt>
                <c:pt idx="9">
                  <c:v>1.7949999999999999</c:v>
                </c:pt>
                <c:pt idx="10">
                  <c:v>1.5940000000000001</c:v>
                </c:pt>
                <c:pt idx="11">
                  <c:v>-1.516</c:v>
                </c:pt>
                <c:pt idx="12">
                  <c:v>-3</c:v>
                </c:pt>
                <c:pt idx="13">
                  <c:v>1.079</c:v>
                </c:pt>
                <c:pt idx="14">
                  <c:v>-1.5720000000000001</c:v>
                </c:pt>
                <c:pt idx="15">
                  <c:v>-2.1829999999999998</c:v>
                </c:pt>
                <c:pt idx="16">
                  <c:v>0.33500000000000002</c:v>
                </c:pt>
                <c:pt idx="17">
                  <c:v>0.52300000000000002</c:v>
                </c:pt>
                <c:pt idx="18">
                  <c:v>-0.124</c:v>
                </c:pt>
                <c:pt idx="19">
                  <c:v>-1.069</c:v>
                </c:pt>
                <c:pt idx="20">
                  <c:v>-2.8809999999999998</c:v>
                </c:pt>
                <c:pt idx="21">
                  <c:v>-3.4289999999999998</c:v>
                </c:pt>
                <c:pt idx="22">
                  <c:v>-2.5310000000000001</c:v>
                </c:pt>
                <c:pt idx="23">
                  <c:v>-4.1239999999999997</c:v>
                </c:pt>
                <c:pt idx="24">
                  <c:v>-7.82</c:v>
                </c:pt>
                <c:pt idx="25">
                  <c:v>-7.1</c:v>
                </c:pt>
                <c:pt idx="26">
                  <c:v>-3.8519999999999999</c:v>
                </c:pt>
                <c:pt idx="27">
                  <c:v>-2.181</c:v>
                </c:pt>
                <c:pt idx="28">
                  <c:v>-0.60199999999999998</c:v>
                </c:pt>
                <c:pt idx="29">
                  <c:v>0.91900000000000004</c:v>
                </c:pt>
                <c:pt idx="30">
                  <c:v>2.6720000000000002</c:v>
                </c:pt>
                <c:pt idx="31">
                  <c:v>-0.114</c:v>
                </c:pt>
                <c:pt idx="32">
                  <c:v>-1.7330000000000001</c:v>
                </c:pt>
                <c:pt idx="33">
                  <c:v>2.3330000000000002</c:v>
                </c:pt>
                <c:pt idx="34">
                  <c:v>0.41799999999999998</c:v>
                </c:pt>
                <c:pt idx="35">
                  <c:v>-2.3439999999999999</c:v>
                </c:pt>
                <c:pt idx="36">
                  <c:v>0.93500000000000005</c:v>
                </c:pt>
                <c:pt idx="37">
                  <c:v>0.89500000000000002</c:v>
                </c:pt>
                <c:pt idx="38">
                  <c:v>-1.498</c:v>
                </c:pt>
                <c:pt idx="39">
                  <c:v>-1.0980000000000001</c:v>
                </c:pt>
                <c:pt idx="40">
                  <c:v>-2.052</c:v>
                </c:pt>
                <c:pt idx="41">
                  <c:v>-3.3620000000000001</c:v>
                </c:pt>
                <c:pt idx="42">
                  <c:v>-3.298</c:v>
                </c:pt>
                <c:pt idx="43">
                  <c:v>-0.69</c:v>
                </c:pt>
                <c:pt idx="44">
                  <c:v>-3.286</c:v>
                </c:pt>
                <c:pt idx="45">
                  <c:v>-3.665</c:v>
                </c:pt>
                <c:pt idx="46">
                  <c:v>-4.0019999999999998</c:v>
                </c:pt>
                <c:pt idx="47">
                  <c:v>-1.246</c:v>
                </c:pt>
                <c:pt idx="48">
                  <c:v>-0.92300000000000004</c:v>
                </c:pt>
                <c:pt idx="49">
                  <c:v>-2.093</c:v>
                </c:pt>
                <c:pt idx="50">
                  <c:v>-1.7689999999999999</c:v>
                </c:pt>
                <c:pt idx="51">
                  <c:v>-0.76300000000000001</c:v>
                </c:pt>
                <c:pt idx="52">
                  <c:v>1.0149999999999999</c:v>
                </c:pt>
                <c:pt idx="53">
                  <c:v>2.5249999999999999</c:v>
                </c:pt>
                <c:pt idx="54">
                  <c:v>1.9259999999999999</c:v>
                </c:pt>
                <c:pt idx="55">
                  <c:v>1.653</c:v>
                </c:pt>
                <c:pt idx="56">
                  <c:v>1.494</c:v>
                </c:pt>
                <c:pt idx="57">
                  <c:v>5.6749999999999998</c:v>
                </c:pt>
                <c:pt idx="58">
                  <c:v>3.0310000000000001</c:v>
                </c:pt>
                <c:pt idx="59">
                  <c:v>1.69</c:v>
                </c:pt>
                <c:pt idx="60">
                  <c:v>1.02</c:v>
                </c:pt>
                <c:pt idx="61">
                  <c:v>2.9430000000000001</c:v>
                </c:pt>
                <c:pt idx="62">
                  <c:v>3.0489999999999999</c:v>
                </c:pt>
                <c:pt idx="63">
                  <c:v>1.0629999999999999</c:v>
                </c:pt>
                <c:pt idx="64">
                  <c:v>1.4370000000000001</c:v>
                </c:pt>
                <c:pt idx="65">
                  <c:v>2.0150000000000001</c:v>
                </c:pt>
                <c:pt idx="66">
                  <c:v>4.28</c:v>
                </c:pt>
                <c:pt idx="67">
                  <c:v>5.21</c:v>
                </c:pt>
                <c:pt idx="68">
                  <c:v>5.77</c:v>
                </c:pt>
                <c:pt idx="69">
                  <c:v>6.46</c:v>
                </c:pt>
                <c:pt idx="70">
                  <c:v>4.1820000000000004</c:v>
                </c:pt>
                <c:pt idx="71">
                  <c:v>1.823</c:v>
                </c:pt>
                <c:pt idx="72">
                  <c:v>1.5780000000000001</c:v>
                </c:pt>
                <c:pt idx="73">
                  <c:v>5.056</c:v>
                </c:pt>
                <c:pt idx="74">
                  <c:v>5.8280000000000003</c:v>
                </c:pt>
                <c:pt idx="75">
                  <c:v>6.61</c:v>
                </c:pt>
                <c:pt idx="76">
                  <c:v>7.5</c:v>
                </c:pt>
                <c:pt idx="77">
                  <c:v>4.3280000000000003</c:v>
                </c:pt>
                <c:pt idx="78">
                  <c:v>3.06</c:v>
                </c:pt>
                <c:pt idx="79">
                  <c:v>2.524</c:v>
                </c:pt>
                <c:pt idx="80">
                  <c:v>2.12</c:v>
                </c:pt>
                <c:pt idx="81">
                  <c:v>3.3759999999999999</c:v>
                </c:pt>
                <c:pt idx="82">
                  <c:v>5.33</c:v>
                </c:pt>
                <c:pt idx="83">
                  <c:v>7.15</c:v>
                </c:pt>
                <c:pt idx="84">
                  <c:v>7.29</c:v>
                </c:pt>
                <c:pt idx="85">
                  <c:v>6.4009999999999998</c:v>
                </c:pt>
                <c:pt idx="86">
                  <c:v>6.3070000000000004</c:v>
                </c:pt>
                <c:pt idx="87">
                  <c:v>9.08</c:v>
                </c:pt>
                <c:pt idx="88">
                  <c:v>11.36</c:v>
                </c:pt>
                <c:pt idx="89">
                  <c:v>12.56</c:v>
                </c:pt>
                <c:pt idx="90">
                  <c:v>11.07</c:v>
                </c:pt>
                <c:pt idx="91">
                  <c:v>9.4499999999999993</c:v>
                </c:pt>
              </c:numCache>
            </c:numRef>
          </c:xVal>
          <c:yVal>
            <c:numRef>
              <c:f>Data!$E$66:$E$157</c:f>
              <c:numCache>
                <c:formatCode>General</c:formatCode>
                <c:ptCount val="92"/>
                <c:pt idx="0">
                  <c:v>-16.059999999999999</c:v>
                </c:pt>
                <c:pt idx="1">
                  <c:v>-13.12</c:v>
                </c:pt>
                <c:pt idx="2">
                  <c:v>-9.5399999999999991</c:v>
                </c:pt>
                <c:pt idx="3">
                  <c:v>-10.81</c:v>
                </c:pt>
                <c:pt idx="4">
                  <c:v>-16.93</c:v>
                </c:pt>
                <c:pt idx="5">
                  <c:v>-18.899999999999999</c:v>
                </c:pt>
                <c:pt idx="6">
                  <c:v>-10.95</c:v>
                </c:pt>
                <c:pt idx="7">
                  <c:v>-4.7300000000000004</c:v>
                </c:pt>
                <c:pt idx="8">
                  <c:v>1.2090000000000001</c:v>
                </c:pt>
                <c:pt idx="9">
                  <c:v>2.2909999999999999</c:v>
                </c:pt>
                <c:pt idx="10">
                  <c:v>1.9510000000000001</c:v>
                </c:pt>
                <c:pt idx="11">
                  <c:v>-1.024</c:v>
                </c:pt>
                <c:pt idx="12">
                  <c:v>-2.4159999999999999</c:v>
                </c:pt>
                <c:pt idx="13">
                  <c:v>1.5980000000000001</c:v>
                </c:pt>
                <c:pt idx="14">
                  <c:v>-1.026</c:v>
                </c:pt>
                <c:pt idx="15">
                  <c:v>-1.609</c:v>
                </c:pt>
                <c:pt idx="16">
                  <c:v>0.91300000000000003</c:v>
                </c:pt>
                <c:pt idx="17">
                  <c:v>1.0469999999999999</c:v>
                </c:pt>
                <c:pt idx="18">
                  <c:v>0.42499999999999999</c:v>
                </c:pt>
                <c:pt idx="19">
                  <c:v>-0.85</c:v>
                </c:pt>
                <c:pt idx="20">
                  <c:v>-2.8380000000000001</c:v>
                </c:pt>
                <c:pt idx="21">
                  <c:v>-2.9809999999999999</c:v>
                </c:pt>
                <c:pt idx="22">
                  <c:v>-2.165</c:v>
                </c:pt>
                <c:pt idx="23">
                  <c:v>-4.0030000000000001</c:v>
                </c:pt>
                <c:pt idx="24">
                  <c:v>-7.9</c:v>
                </c:pt>
                <c:pt idx="25">
                  <c:v>-6.72</c:v>
                </c:pt>
                <c:pt idx="26">
                  <c:v>-3.39</c:v>
                </c:pt>
                <c:pt idx="27">
                  <c:v>-1.5069999999999999</c:v>
                </c:pt>
                <c:pt idx="28">
                  <c:v>-4.5999999999999999E-2</c:v>
                </c:pt>
                <c:pt idx="29">
                  <c:v>1.456</c:v>
                </c:pt>
                <c:pt idx="30">
                  <c:v>3.3879999999999999</c:v>
                </c:pt>
                <c:pt idx="31">
                  <c:v>0.36399999999999999</c:v>
                </c:pt>
                <c:pt idx="32">
                  <c:v>-1.321</c:v>
                </c:pt>
                <c:pt idx="33">
                  <c:v>2.645</c:v>
                </c:pt>
                <c:pt idx="34">
                  <c:v>1.0840000000000001</c:v>
                </c:pt>
                <c:pt idx="35">
                  <c:v>-2.0209999999999999</c:v>
                </c:pt>
                <c:pt idx="36">
                  <c:v>1.2130000000000001</c:v>
                </c:pt>
                <c:pt idx="37">
                  <c:v>1.357</c:v>
                </c:pt>
                <c:pt idx="38">
                  <c:v>-1.0009999999999999</c:v>
                </c:pt>
                <c:pt idx="39">
                  <c:v>-0.85499999999999998</c:v>
                </c:pt>
                <c:pt idx="40">
                  <c:v>-1.8859999999999999</c:v>
                </c:pt>
                <c:pt idx="41">
                  <c:v>-3.2080000000000002</c:v>
                </c:pt>
                <c:pt idx="42">
                  <c:v>-2.7869999999999999</c:v>
                </c:pt>
                <c:pt idx="43">
                  <c:v>-0.57299999999999995</c:v>
                </c:pt>
                <c:pt idx="44">
                  <c:v>-3.105</c:v>
                </c:pt>
                <c:pt idx="45">
                  <c:v>-3.3940000000000001</c:v>
                </c:pt>
                <c:pt idx="46">
                  <c:v>-3.6230000000000002</c:v>
                </c:pt>
                <c:pt idx="47">
                  <c:v>-0.48099999999999998</c:v>
                </c:pt>
                <c:pt idx="48">
                  <c:v>-0.64200000000000002</c:v>
                </c:pt>
                <c:pt idx="49">
                  <c:v>-1.7969999999999999</c:v>
                </c:pt>
                <c:pt idx="50">
                  <c:v>-1.766</c:v>
                </c:pt>
                <c:pt idx="51">
                  <c:v>-0.47299999999999998</c:v>
                </c:pt>
                <c:pt idx="52">
                  <c:v>1.383</c:v>
                </c:pt>
                <c:pt idx="53">
                  <c:v>2.9590000000000001</c:v>
                </c:pt>
                <c:pt idx="54">
                  <c:v>2.448</c:v>
                </c:pt>
                <c:pt idx="55">
                  <c:v>2.1949999999999998</c:v>
                </c:pt>
                <c:pt idx="56">
                  <c:v>2.0129999999999999</c:v>
                </c:pt>
                <c:pt idx="57">
                  <c:v>6.1630000000000003</c:v>
                </c:pt>
                <c:pt idx="58">
                  <c:v>3.746</c:v>
                </c:pt>
                <c:pt idx="59">
                  <c:v>2.0459999999999998</c:v>
                </c:pt>
                <c:pt idx="60">
                  <c:v>1.4139999999999999</c:v>
                </c:pt>
                <c:pt idx="61">
                  <c:v>3.4809999999999999</c:v>
                </c:pt>
                <c:pt idx="62">
                  <c:v>3.5169999999999999</c:v>
                </c:pt>
                <c:pt idx="63">
                  <c:v>1.3580000000000001</c:v>
                </c:pt>
                <c:pt idx="64">
                  <c:v>1.915</c:v>
                </c:pt>
                <c:pt idx="65">
                  <c:v>2.6080000000000001</c:v>
                </c:pt>
                <c:pt idx="66">
                  <c:v>4.7050000000000001</c:v>
                </c:pt>
                <c:pt idx="67">
                  <c:v>5.6669999999999998</c:v>
                </c:pt>
                <c:pt idx="68">
                  <c:v>6.407</c:v>
                </c:pt>
                <c:pt idx="69">
                  <c:v>7.09</c:v>
                </c:pt>
                <c:pt idx="70">
                  <c:v>4.6319999999999997</c:v>
                </c:pt>
                <c:pt idx="71">
                  <c:v>2.1960000000000002</c:v>
                </c:pt>
                <c:pt idx="72">
                  <c:v>1.756</c:v>
                </c:pt>
                <c:pt idx="73">
                  <c:v>5.3570000000000002</c:v>
                </c:pt>
                <c:pt idx="74">
                  <c:v>6.4580000000000002</c:v>
                </c:pt>
                <c:pt idx="75">
                  <c:v>7.01</c:v>
                </c:pt>
                <c:pt idx="76">
                  <c:v>7.84</c:v>
                </c:pt>
                <c:pt idx="77">
                  <c:v>4.702</c:v>
                </c:pt>
                <c:pt idx="78">
                  <c:v>3.1619999999999999</c:v>
                </c:pt>
                <c:pt idx="79">
                  <c:v>2.6379999999999999</c:v>
                </c:pt>
                <c:pt idx="80">
                  <c:v>2.3940000000000001</c:v>
                </c:pt>
                <c:pt idx="81">
                  <c:v>3.569</c:v>
                </c:pt>
                <c:pt idx="82">
                  <c:v>5.6459999999999999</c:v>
                </c:pt>
                <c:pt idx="83">
                  <c:v>7.43</c:v>
                </c:pt>
                <c:pt idx="84">
                  <c:v>7.45</c:v>
                </c:pt>
                <c:pt idx="85">
                  <c:v>6.5330000000000004</c:v>
                </c:pt>
                <c:pt idx="86">
                  <c:v>6.2960000000000003</c:v>
                </c:pt>
                <c:pt idx="87">
                  <c:v>9.1</c:v>
                </c:pt>
                <c:pt idx="88">
                  <c:v>11.42</c:v>
                </c:pt>
                <c:pt idx="89">
                  <c:v>12.64</c:v>
                </c:pt>
                <c:pt idx="90">
                  <c:v>11.17</c:v>
                </c:pt>
                <c:pt idx="91">
                  <c:v>9.48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42112"/>
        <c:axId val="206844288"/>
      </c:scatterChart>
      <c:valAx>
        <c:axId val="206842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3m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6844288"/>
        <c:crosses val="autoZero"/>
        <c:crossBetween val="midCat"/>
      </c:valAx>
      <c:valAx>
        <c:axId val="206844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6842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Data!$V$66:$V$157</c:f>
              <c:numCache>
                <c:formatCode>General</c:formatCode>
                <c:ptCount val="92"/>
                <c:pt idx="0">
                  <c:v>-0.106</c:v>
                </c:pt>
                <c:pt idx="1">
                  <c:v>-0.54</c:v>
                </c:pt>
                <c:pt idx="2">
                  <c:v>3.5209999999999999</c:v>
                </c:pt>
                <c:pt idx="3">
                  <c:v>-4.7389999999999999</c:v>
                </c:pt>
                <c:pt idx="4">
                  <c:v>-9.32</c:v>
                </c:pt>
                <c:pt idx="5">
                  <c:v>-6.4379999999999997</c:v>
                </c:pt>
                <c:pt idx="6">
                  <c:v>-3.0379999999999998</c:v>
                </c:pt>
                <c:pt idx="7">
                  <c:v>-1.9850000000000001</c:v>
                </c:pt>
                <c:pt idx="8">
                  <c:v>3.5659999999999998</c:v>
                </c:pt>
                <c:pt idx="9">
                  <c:v>6.0209999999999999</c:v>
                </c:pt>
                <c:pt idx="10">
                  <c:v>7.79</c:v>
                </c:pt>
                <c:pt idx="11">
                  <c:v>2.0670000000000002</c:v>
                </c:pt>
                <c:pt idx="12">
                  <c:v>2.6379999999999999</c:v>
                </c:pt>
                <c:pt idx="13">
                  <c:v>7.74</c:v>
                </c:pt>
                <c:pt idx="14">
                  <c:v>3.1859999999999999</c:v>
                </c:pt>
                <c:pt idx="15">
                  <c:v>7.01</c:v>
                </c:pt>
                <c:pt idx="16">
                  <c:v>6.915</c:v>
                </c:pt>
                <c:pt idx="17">
                  <c:v>3.24</c:v>
                </c:pt>
                <c:pt idx="18">
                  <c:v>6.0220000000000002</c:v>
                </c:pt>
                <c:pt idx="19">
                  <c:v>5.3220000000000001</c:v>
                </c:pt>
                <c:pt idx="20">
                  <c:v>3.6520000000000001</c:v>
                </c:pt>
                <c:pt idx="21">
                  <c:v>4.2460000000000004</c:v>
                </c:pt>
                <c:pt idx="22">
                  <c:v>2.4940000000000002</c:v>
                </c:pt>
                <c:pt idx="23">
                  <c:v>2.5619999999999998</c:v>
                </c:pt>
                <c:pt idx="24">
                  <c:v>5.617</c:v>
                </c:pt>
                <c:pt idx="25">
                  <c:v>5.2649999999999997</c:v>
                </c:pt>
                <c:pt idx="26">
                  <c:v>10.1</c:v>
                </c:pt>
                <c:pt idx="27">
                  <c:v>10.72</c:v>
                </c:pt>
                <c:pt idx="28">
                  <c:v>11.17</c:v>
                </c:pt>
                <c:pt idx="29">
                  <c:v>13.9</c:v>
                </c:pt>
                <c:pt idx="30">
                  <c:v>12.33</c:v>
                </c:pt>
                <c:pt idx="31">
                  <c:v>5.5309999999999997</c:v>
                </c:pt>
                <c:pt idx="32">
                  <c:v>0.91700000000000004</c:v>
                </c:pt>
                <c:pt idx="33">
                  <c:v>10.87</c:v>
                </c:pt>
                <c:pt idx="34">
                  <c:v>5.4960000000000004</c:v>
                </c:pt>
                <c:pt idx="35">
                  <c:v>4.758</c:v>
                </c:pt>
                <c:pt idx="36">
                  <c:v>8.76</c:v>
                </c:pt>
                <c:pt idx="37">
                  <c:v>6.6470000000000002</c:v>
                </c:pt>
                <c:pt idx="38">
                  <c:v>1.3009999999999999</c:v>
                </c:pt>
                <c:pt idx="39">
                  <c:v>7.24</c:v>
                </c:pt>
                <c:pt idx="40">
                  <c:v>5.1829999999999998</c:v>
                </c:pt>
                <c:pt idx="41">
                  <c:v>7.09</c:v>
                </c:pt>
                <c:pt idx="42">
                  <c:v>5.266</c:v>
                </c:pt>
                <c:pt idx="43">
                  <c:v>3.7069999999999999</c:v>
                </c:pt>
                <c:pt idx="44">
                  <c:v>1.4810000000000001</c:v>
                </c:pt>
                <c:pt idx="45">
                  <c:v>5.3319999999999999</c:v>
                </c:pt>
                <c:pt idx="46">
                  <c:v>7.82</c:v>
                </c:pt>
                <c:pt idx="47">
                  <c:v>4.2069999999999999</c:v>
                </c:pt>
                <c:pt idx="48">
                  <c:v>8.4600000000000009</c:v>
                </c:pt>
                <c:pt idx="49">
                  <c:v>2.2709999999999999</c:v>
                </c:pt>
                <c:pt idx="50">
                  <c:v>7.87</c:v>
                </c:pt>
                <c:pt idx="51">
                  <c:v>9.33</c:v>
                </c:pt>
                <c:pt idx="52">
                  <c:v>12.02</c:v>
                </c:pt>
                <c:pt idx="53">
                  <c:v>13.12</c:v>
                </c:pt>
                <c:pt idx="54">
                  <c:v>7.56</c:v>
                </c:pt>
                <c:pt idx="55">
                  <c:v>12.97</c:v>
                </c:pt>
                <c:pt idx="56">
                  <c:v>6.734</c:v>
                </c:pt>
                <c:pt idx="57">
                  <c:v>10.67</c:v>
                </c:pt>
                <c:pt idx="58">
                  <c:v>9.8000000000000007</c:v>
                </c:pt>
                <c:pt idx="59">
                  <c:v>8.7799999999999994</c:v>
                </c:pt>
                <c:pt idx="60">
                  <c:v>6.01</c:v>
                </c:pt>
                <c:pt idx="61">
                  <c:v>10.62</c:v>
                </c:pt>
                <c:pt idx="62">
                  <c:v>9.4499999999999993</c:v>
                </c:pt>
                <c:pt idx="63">
                  <c:v>8.68</c:v>
                </c:pt>
                <c:pt idx="64">
                  <c:v>12.35</c:v>
                </c:pt>
                <c:pt idx="65">
                  <c:v>6.3440000000000003</c:v>
                </c:pt>
                <c:pt idx="66">
                  <c:v>12.55</c:v>
                </c:pt>
                <c:pt idx="67">
                  <c:v>12.84</c:v>
                </c:pt>
                <c:pt idx="68">
                  <c:v>13.57</c:v>
                </c:pt>
                <c:pt idx="69">
                  <c:v>15.23</c:v>
                </c:pt>
                <c:pt idx="70">
                  <c:v>12.59</c:v>
                </c:pt>
                <c:pt idx="71">
                  <c:v>4.556</c:v>
                </c:pt>
                <c:pt idx="72">
                  <c:v>7.85</c:v>
                </c:pt>
                <c:pt idx="73">
                  <c:v>16.64</c:v>
                </c:pt>
                <c:pt idx="74">
                  <c:v>13.97</c:v>
                </c:pt>
                <c:pt idx="75">
                  <c:v>16.170000000000002</c:v>
                </c:pt>
                <c:pt idx="76">
                  <c:v>18.850000000000001</c:v>
                </c:pt>
                <c:pt idx="77">
                  <c:v>12.24</c:v>
                </c:pt>
                <c:pt idx="78">
                  <c:v>8.6999999999999993</c:v>
                </c:pt>
                <c:pt idx="79">
                  <c:v>11.22</c:v>
                </c:pt>
                <c:pt idx="80">
                  <c:v>8.31</c:v>
                </c:pt>
                <c:pt idx="81">
                  <c:v>13.1</c:v>
                </c:pt>
                <c:pt idx="82">
                  <c:v>15.83</c:v>
                </c:pt>
                <c:pt idx="83">
                  <c:v>17.420000000000002</c:v>
                </c:pt>
                <c:pt idx="84">
                  <c:v>16.95</c:v>
                </c:pt>
                <c:pt idx="85">
                  <c:v>15.45</c:v>
                </c:pt>
                <c:pt idx="86">
                  <c:v>16.57</c:v>
                </c:pt>
                <c:pt idx="87">
                  <c:v>20.48</c:v>
                </c:pt>
                <c:pt idx="88">
                  <c:v>24.03</c:v>
                </c:pt>
                <c:pt idx="89">
                  <c:v>23.63</c:v>
                </c:pt>
                <c:pt idx="90">
                  <c:v>20.87</c:v>
                </c:pt>
                <c:pt idx="91">
                  <c:v>18.75</c:v>
                </c:pt>
              </c:numCache>
            </c:numRef>
          </c:xVal>
          <c:yVal>
            <c:numRef>
              <c:f>Data!$R$66:$R$157</c:f>
              <c:numCache>
                <c:formatCode>General</c:formatCode>
                <c:ptCount val="92"/>
                <c:pt idx="0">
                  <c:v>-3.5259999999999998</c:v>
                </c:pt>
                <c:pt idx="1">
                  <c:v>-2.2959999999999998</c:v>
                </c:pt>
                <c:pt idx="2">
                  <c:v>1.5660000000000001</c:v>
                </c:pt>
                <c:pt idx="3">
                  <c:v>-5.9359999999999999</c:v>
                </c:pt>
                <c:pt idx="4">
                  <c:v>-10.92</c:v>
                </c:pt>
                <c:pt idx="5">
                  <c:v>-9.48</c:v>
                </c:pt>
                <c:pt idx="6">
                  <c:v>-4.4969999999999999</c:v>
                </c:pt>
                <c:pt idx="7">
                  <c:v>-1.9950000000000001</c:v>
                </c:pt>
                <c:pt idx="8">
                  <c:v>4.05</c:v>
                </c:pt>
                <c:pt idx="9">
                  <c:v>4.827</c:v>
                </c:pt>
                <c:pt idx="10">
                  <c:v>5.4279999999999999</c:v>
                </c:pt>
                <c:pt idx="11">
                  <c:v>1.9339999999999999</c:v>
                </c:pt>
                <c:pt idx="12">
                  <c:v>1.6339999999999999</c:v>
                </c:pt>
                <c:pt idx="13">
                  <c:v>6.24</c:v>
                </c:pt>
                <c:pt idx="14">
                  <c:v>2.7650000000000001</c:v>
                </c:pt>
                <c:pt idx="15">
                  <c:v>5.4160000000000004</c:v>
                </c:pt>
                <c:pt idx="16">
                  <c:v>5.226</c:v>
                </c:pt>
                <c:pt idx="17">
                  <c:v>3.0070000000000001</c:v>
                </c:pt>
                <c:pt idx="18">
                  <c:v>4.3659999999999997</c:v>
                </c:pt>
                <c:pt idx="19">
                  <c:v>2.899</c:v>
                </c:pt>
                <c:pt idx="20">
                  <c:v>0.89200000000000002</c:v>
                </c:pt>
                <c:pt idx="21">
                  <c:v>2.472</c:v>
                </c:pt>
                <c:pt idx="22">
                  <c:v>1.3620000000000001</c:v>
                </c:pt>
                <c:pt idx="23">
                  <c:v>-3.9E-2</c:v>
                </c:pt>
                <c:pt idx="24">
                  <c:v>1.149</c:v>
                </c:pt>
                <c:pt idx="25">
                  <c:v>3.004</c:v>
                </c:pt>
                <c:pt idx="26">
                  <c:v>7.94</c:v>
                </c:pt>
                <c:pt idx="27">
                  <c:v>8.9700000000000006</c:v>
                </c:pt>
                <c:pt idx="28">
                  <c:v>9.5299999999999994</c:v>
                </c:pt>
                <c:pt idx="29">
                  <c:v>11.35</c:v>
                </c:pt>
                <c:pt idx="30">
                  <c:v>11.33</c:v>
                </c:pt>
                <c:pt idx="31">
                  <c:v>4.359</c:v>
                </c:pt>
                <c:pt idx="32">
                  <c:v>0.60399999999999998</c:v>
                </c:pt>
                <c:pt idx="33">
                  <c:v>9.2200000000000006</c:v>
                </c:pt>
                <c:pt idx="34">
                  <c:v>5.3819999999999997</c:v>
                </c:pt>
                <c:pt idx="35">
                  <c:v>3.2530000000000001</c:v>
                </c:pt>
                <c:pt idx="36">
                  <c:v>6.4539999999999997</c:v>
                </c:pt>
                <c:pt idx="37">
                  <c:v>5.27</c:v>
                </c:pt>
                <c:pt idx="38">
                  <c:v>1.1739999999999999</c:v>
                </c:pt>
                <c:pt idx="39">
                  <c:v>4.05</c:v>
                </c:pt>
                <c:pt idx="40">
                  <c:v>3.2759999999999998</c:v>
                </c:pt>
                <c:pt idx="41">
                  <c:v>2.9369999999999998</c:v>
                </c:pt>
                <c:pt idx="42">
                  <c:v>3.5609999999999999</c:v>
                </c:pt>
                <c:pt idx="43">
                  <c:v>2.044</c:v>
                </c:pt>
                <c:pt idx="44">
                  <c:v>-0.30199999999999999</c:v>
                </c:pt>
                <c:pt idx="45">
                  <c:v>2.41</c:v>
                </c:pt>
                <c:pt idx="46">
                  <c:v>5.4640000000000004</c:v>
                </c:pt>
                <c:pt idx="47">
                  <c:v>3.1040000000000001</c:v>
                </c:pt>
                <c:pt idx="48">
                  <c:v>4.9989999999999997</c:v>
                </c:pt>
                <c:pt idx="49">
                  <c:v>0.52100000000000002</c:v>
                </c:pt>
                <c:pt idx="50">
                  <c:v>5.59</c:v>
                </c:pt>
                <c:pt idx="51">
                  <c:v>7.06</c:v>
                </c:pt>
                <c:pt idx="52">
                  <c:v>9.77</c:v>
                </c:pt>
                <c:pt idx="53">
                  <c:v>11.54</c:v>
                </c:pt>
                <c:pt idx="54">
                  <c:v>6.9370000000000003</c:v>
                </c:pt>
                <c:pt idx="55">
                  <c:v>10.58</c:v>
                </c:pt>
                <c:pt idx="56">
                  <c:v>6.8280000000000003</c:v>
                </c:pt>
                <c:pt idx="57">
                  <c:v>9.5</c:v>
                </c:pt>
                <c:pt idx="58">
                  <c:v>9.2100000000000009</c:v>
                </c:pt>
                <c:pt idx="59">
                  <c:v>6.4340000000000002</c:v>
                </c:pt>
                <c:pt idx="60">
                  <c:v>5.01</c:v>
                </c:pt>
                <c:pt idx="61">
                  <c:v>9.02</c:v>
                </c:pt>
                <c:pt idx="62">
                  <c:v>8.7799999999999994</c:v>
                </c:pt>
                <c:pt idx="63">
                  <c:v>5.1159999999999997</c:v>
                </c:pt>
                <c:pt idx="64">
                  <c:v>8.23</c:v>
                </c:pt>
                <c:pt idx="65">
                  <c:v>6.5780000000000003</c:v>
                </c:pt>
                <c:pt idx="66">
                  <c:v>10.06</c:v>
                </c:pt>
                <c:pt idx="67">
                  <c:v>11.32</c:v>
                </c:pt>
                <c:pt idx="68">
                  <c:v>12.76</c:v>
                </c:pt>
                <c:pt idx="69">
                  <c:v>13.83</c:v>
                </c:pt>
                <c:pt idx="70">
                  <c:v>10.19</c:v>
                </c:pt>
                <c:pt idx="71">
                  <c:v>4.1909999999999998</c:v>
                </c:pt>
                <c:pt idx="72">
                  <c:v>5.4480000000000004</c:v>
                </c:pt>
                <c:pt idx="73">
                  <c:v>14.47</c:v>
                </c:pt>
                <c:pt idx="74">
                  <c:v>13.6</c:v>
                </c:pt>
                <c:pt idx="75">
                  <c:v>14.73</c:v>
                </c:pt>
                <c:pt idx="76">
                  <c:v>16.59</c:v>
                </c:pt>
                <c:pt idx="77">
                  <c:v>10.49</c:v>
                </c:pt>
                <c:pt idx="78">
                  <c:v>7.27</c:v>
                </c:pt>
                <c:pt idx="79">
                  <c:v>9.8800000000000008</c:v>
                </c:pt>
                <c:pt idx="80">
                  <c:v>7</c:v>
                </c:pt>
                <c:pt idx="81">
                  <c:v>11.18</c:v>
                </c:pt>
                <c:pt idx="82">
                  <c:v>14.13</c:v>
                </c:pt>
                <c:pt idx="83">
                  <c:v>15.99</c:v>
                </c:pt>
                <c:pt idx="84">
                  <c:v>15.7</c:v>
                </c:pt>
                <c:pt idx="85">
                  <c:v>12.89</c:v>
                </c:pt>
                <c:pt idx="86">
                  <c:v>15.05</c:v>
                </c:pt>
                <c:pt idx="87">
                  <c:v>19.2</c:v>
                </c:pt>
                <c:pt idx="88">
                  <c:v>22.07</c:v>
                </c:pt>
                <c:pt idx="89">
                  <c:v>22.49</c:v>
                </c:pt>
                <c:pt idx="90">
                  <c:v>19.34</c:v>
                </c:pt>
                <c:pt idx="91">
                  <c:v>17.34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862592"/>
        <c:axId val="229851520"/>
      </c:scatterChart>
      <c:valAx>
        <c:axId val="206862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3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51520"/>
        <c:crosses val="autoZero"/>
        <c:crossBetween val="midCat"/>
      </c:valAx>
      <c:valAx>
        <c:axId val="229851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</a:t>
                </a:r>
                <a:r>
                  <a:rPr lang="en-CA" baseline="0"/>
                  <a:t> m</a:t>
                </a:r>
                <a:r>
                  <a:rPr lang="en-CA"/>
                  <a:t>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68625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Data!$AJ$66:$AJ$157</c:f>
              <c:numCache>
                <c:formatCode>General</c:formatCode>
                <c:ptCount val="92"/>
                <c:pt idx="0">
                  <c:v>-27.08</c:v>
                </c:pt>
                <c:pt idx="1">
                  <c:v>-24.13</c:v>
                </c:pt>
                <c:pt idx="2">
                  <c:v>-20.03</c:v>
                </c:pt>
                <c:pt idx="3">
                  <c:v>-15.12</c:v>
                </c:pt>
                <c:pt idx="4">
                  <c:v>-25.32</c:v>
                </c:pt>
                <c:pt idx="5">
                  <c:v>-28.18</c:v>
                </c:pt>
                <c:pt idx="6">
                  <c:v>-23.28</c:v>
                </c:pt>
                <c:pt idx="7">
                  <c:v>-10.01</c:v>
                </c:pt>
                <c:pt idx="8">
                  <c:v>-2.52</c:v>
                </c:pt>
                <c:pt idx="9">
                  <c:v>-1.3160000000000001</c:v>
                </c:pt>
                <c:pt idx="10">
                  <c:v>-0.47099999999999997</c:v>
                </c:pt>
                <c:pt idx="11">
                  <c:v>-10.34</c:v>
                </c:pt>
                <c:pt idx="12">
                  <c:v>-11.07</c:v>
                </c:pt>
                <c:pt idx="13">
                  <c:v>-2.653</c:v>
                </c:pt>
                <c:pt idx="14">
                  <c:v>-5.8879999999999999</c:v>
                </c:pt>
                <c:pt idx="15">
                  <c:v>-9.93</c:v>
                </c:pt>
                <c:pt idx="16">
                  <c:v>-7.28</c:v>
                </c:pt>
                <c:pt idx="17">
                  <c:v>-2.4420000000000002</c:v>
                </c:pt>
                <c:pt idx="18">
                  <c:v>-4.149</c:v>
                </c:pt>
                <c:pt idx="19">
                  <c:v>-4.24</c:v>
                </c:pt>
                <c:pt idx="20">
                  <c:v>-7.72</c:v>
                </c:pt>
                <c:pt idx="21">
                  <c:v>-9.66</c:v>
                </c:pt>
                <c:pt idx="22">
                  <c:v>-6.2279999999999998</c:v>
                </c:pt>
                <c:pt idx="23">
                  <c:v>-8.06</c:v>
                </c:pt>
                <c:pt idx="24">
                  <c:v>-18</c:v>
                </c:pt>
                <c:pt idx="25">
                  <c:v>-17.97</c:v>
                </c:pt>
                <c:pt idx="26">
                  <c:v>-15.04</c:v>
                </c:pt>
                <c:pt idx="27">
                  <c:v>-12.63</c:v>
                </c:pt>
                <c:pt idx="28">
                  <c:v>-9.6</c:v>
                </c:pt>
                <c:pt idx="29">
                  <c:v>-7.21</c:v>
                </c:pt>
                <c:pt idx="30">
                  <c:v>-8.4600000000000009</c:v>
                </c:pt>
                <c:pt idx="31">
                  <c:v>-3.2549999999999999</c:v>
                </c:pt>
                <c:pt idx="32">
                  <c:v>-5.4960000000000004</c:v>
                </c:pt>
                <c:pt idx="33">
                  <c:v>-2.081</c:v>
                </c:pt>
                <c:pt idx="34">
                  <c:v>-8.75</c:v>
                </c:pt>
                <c:pt idx="35">
                  <c:v>-9.42</c:v>
                </c:pt>
                <c:pt idx="36">
                  <c:v>-6.0279999999999996</c:v>
                </c:pt>
                <c:pt idx="37">
                  <c:v>-3.2160000000000002</c:v>
                </c:pt>
                <c:pt idx="38">
                  <c:v>-4.3639999999999999</c:v>
                </c:pt>
                <c:pt idx="39">
                  <c:v>-4.2990000000000004</c:v>
                </c:pt>
                <c:pt idx="40">
                  <c:v>-9.4499999999999993</c:v>
                </c:pt>
                <c:pt idx="41">
                  <c:v>-13.38</c:v>
                </c:pt>
                <c:pt idx="42">
                  <c:v>-14.5</c:v>
                </c:pt>
                <c:pt idx="43">
                  <c:v>-3.6589999999999998</c:v>
                </c:pt>
                <c:pt idx="44">
                  <c:v>-4.7380000000000004</c:v>
                </c:pt>
                <c:pt idx="45">
                  <c:v>-12.17</c:v>
                </c:pt>
                <c:pt idx="46">
                  <c:v>-15.55</c:v>
                </c:pt>
                <c:pt idx="47">
                  <c:v>-6.2789999999999999</c:v>
                </c:pt>
                <c:pt idx="48">
                  <c:v>-5.7220000000000004</c:v>
                </c:pt>
                <c:pt idx="49">
                  <c:v>-7.02</c:v>
                </c:pt>
                <c:pt idx="50">
                  <c:v>-8.8699999999999992</c:v>
                </c:pt>
                <c:pt idx="51">
                  <c:v>-10.84</c:v>
                </c:pt>
                <c:pt idx="52">
                  <c:v>-8.68</c:v>
                </c:pt>
                <c:pt idx="53">
                  <c:v>-8.25</c:v>
                </c:pt>
                <c:pt idx="54">
                  <c:v>-4.1630000000000003</c:v>
                </c:pt>
                <c:pt idx="55">
                  <c:v>-6.7809999999999997</c:v>
                </c:pt>
                <c:pt idx="56">
                  <c:v>-4.9279999999999999</c:v>
                </c:pt>
                <c:pt idx="57">
                  <c:v>-1.4239999999999999</c:v>
                </c:pt>
                <c:pt idx="58">
                  <c:v>-3.1480000000000001</c:v>
                </c:pt>
                <c:pt idx="59">
                  <c:v>-2.653</c:v>
                </c:pt>
                <c:pt idx="60">
                  <c:v>-2.9340000000000002</c:v>
                </c:pt>
                <c:pt idx="61">
                  <c:v>-3.42</c:v>
                </c:pt>
                <c:pt idx="62">
                  <c:v>-2.1829999999999998</c:v>
                </c:pt>
                <c:pt idx="63">
                  <c:v>-2.7040000000000002</c:v>
                </c:pt>
                <c:pt idx="64">
                  <c:v>-4.8540000000000001</c:v>
                </c:pt>
                <c:pt idx="65">
                  <c:v>-3.5129999999999999</c:v>
                </c:pt>
                <c:pt idx="66">
                  <c:v>-2.419</c:v>
                </c:pt>
                <c:pt idx="67">
                  <c:v>-2.1179999999999999</c:v>
                </c:pt>
                <c:pt idx="68">
                  <c:v>-2.528</c:v>
                </c:pt>
                <c:pt idx="69">
                  <c:v>-1.3420000000000001</c:v>
                </c:pt>
                <c:pt idx="70">
                  <c:v>-0.67900000000000005</c:v>
                </c:pt>
                <c:pt idx="71">
                  <c:v>1.7000000000000001E-2</c:v>
                </c:pt>
                <c:pt idx="72">
                  <c:v>-1.4630000000000001</c:v>
                </c:pt>
                <c:pt idx="73">
                  <c:v>-4.3239999999999998</c:v>
                </c:pt>
                <c:pt idx="74">
                  <c:v>-2.827</c:v>
                </c:pt>
                <c:pt idx="75">
                  <c:v>-1.647</c:v>
                </c:pt>
                <c:pt idx="76">
                  <c:v>-2.5089999999999999</c:v>
                </c:pt>
                <c:pt idx="77">
                  <c:v>0.33</c:v>
                </c:pt>
                <c:pt idx="78">
                  <c:v>-3.1840000000000002</c:v>
                </c:pt>
                <c:pt idx="79">
                  <c:v>-6.0579999999999998</c:v>
                </c:pt>
                <c:pt idx="80">
                  <c:v>-4.26</c:v>
                </c:pt>
                <c:pt idx="81">
                  <c:v>-5.8170000000000002</c:v>
                </c:pt>
                <c:pt idx="82">
                  <c:v>-5.1150000000000002</c:v>
                </c:pt>
                <c:pt idx="83">
                  <c:v>-3.4769999999999999</c:v>
                </c:pt>
                <c:pt idx="84">
                  <c:v>-2.1440000000000001</c:v>
                </c:pt>
                <c:pt idx="85">
                  <c:v>-1.728</c:v>
                </c:pt>
                <c:pt idx="86">
                  <c:v>-3.7450000000000001</c:v>
                </c:pt>
                <c:pt idx="87">
                  <c:v>-2.456</c:v>
                </c:pt>
                <c:pt idx="88">
                  <c:v>-0.99399999999999999</c:v>
                </c:pt>
                <c:pt idx="89">
                  <c:v>0.60399999999999998</c:v>
                </c:pt>
                <c:pt idx="90">
                  <c:v>1.056</c:v>
                </c:pt>
                <c:pt idx="91">
                  <c:v>-0.88</c:v>
                </c:pt>
              </c:numCache>
            </c:numRef>
          </c:xVal>
          <c:yVal>
            <c:numRef>
              <c:f>Data!$AF$66:$AF$157</c:f>
              <c:numCache>
                <c:formatCode>General</c:formatCode>
                <c:ptCount val="92"/>
                <c:pt idx="0">
                  <c:v>-26.18</c:v>
                </c:pt>
                <c:pt idx="1">
                  <c:v>-23.26</c:v>
                </c:pt>
                <c:pt idx="2">
                  <c:v>-18.91</c:v>
                </c:pt>
                <c:pt idx="3">
                  <c:v>-14.7</c:v>
                </c:pt>
                <c:pt idx="4">
                  <c:v>-24.61</c:v>
                </c:pt>
                <c:pt idx="5">
                  <c:v>-27.55</c:v>
                </c:pt>
                <c:pt idx="6">
                  <c:v>-22.54</c:v>
                </c:pt>
                <c:pt idx="7">
                  <c:v>-8.7100000000000009</c:v>
                </c:pt>
                <c:pt idx="8">
                  <c:v>-1.9570000000000001</c:v>
                </c:pt>
                <c:pt idx="9">
                  <c:v>0.60499999999999998</c:v>
                </c:pt>
                <c:pt idx="10">
                  <c:v>8.6999999999999994E-2</c:v>
                </c:pt>
                <c:pt idx="11">
                  <c:v>-9.17</c:v>
                </c:pt>
                <c:pt idx="12">
                  <c:v>-9.81</c:v>
                </c:pt>
                <c:pt idx="13">
                  <c:v>-1.3740000000000001</c:v>
                </c:pt>
                <c:pt idx="14">
                  <c:v>-4.8529999999999998</c:v>
                </c:pt>
                <c:pt idx="15">
                  <c:v>-9.0500000000000007</c:v>
                </c:pt>
                <c:pt idx="16">
                  <c:v>-5.1219999999999999</c:v>
                </c:pt>
                <c:pt idx="17">
                  <c:v>-0.79</c:v>
                </c:pt>
                <c:pt idx="18">
                  <c:v>-2.9670000000000001</c:v>
                </c:pt>
                <c:pt idx="19">
                  <c:v>-3.4359999999999999</c:v>
                </c:pt>
                <c:pt idx="20">
                  <c:v>-6.2910000000000004</c:v>
                </c:pt>
                <c:pt idx="21">
                  <c:v>-8.01</c:v>
                </c:pt>
                <c:pt idx="22">
                  <c:v>-5.2939999999999996</c:v>
                </c:pt>
                <c:pt idx="23">
                  <c:v>-7.07</c:v>
                </c:pt>
                <c:pt idx="24">
                  <c:v>-16.7</c:v>
                </c:pt>
                <c:pt idx="25">
                  <c:v>-17.149999999999999</c:v>
                </c:pt>
                <c:pt idx="26">
                  <c:v>-14.04</c:v>
                </c:pt>
                <c:pt idx="27">
                  <c:v>-11.71</c:v>
                </c:pt>
                <c:pt idx="28">
                  <c:v>-8.5399999999999991</c:v>
                </c:pt>
                <c:pt idx="29">
                  <c:v>-6.2380000000000004</c:v>
                </c:pt>
                <c:pt idx="30">
                  <c:v>-7.34</c:v>
                </c:pt>
                <c:pt idx="31">
                  <c:v>-2.391</c:v>
                </c:pt>
                <c:pt idx="32">
                  <c:v>-4.2619999999999996</c:v>
                </c:pt>
                <c:pt idx="33">
                  <c:v>-1.464</c:v>
                </c:pt>
                <c:pt idx="34">
                  <c:v>-7.95</c:v>
                </c:pt>
                <c:pt idx="35">
                  <c:v>-8.6300000000000008</c:v>
                </c:pt>
                <c:pt idx="36">
                  <c:v>-5.0789999999999997</c:v>
                </c:pt>
                <c:pt idx="37">
                  <c:v>-1.67</c:v>
                </c:pt>
                <c:pt idx="38">
                  <c:v>-3.3690000000000002</c:v>
                </c:pt>
                <c:pt idx="39">
                  <c:v>-3.246</c:v>
                </c:pt>
                <c:pt idx="40">
                  <c:v>-7.97</c:v>
                </c:pt>
                <c:pt idx="41">
                  <c:v>-12.25</c:v>
                </c:pt>
                <c:pt idx="42">
                  <c:v>-13.51</c:v>
                </c:pt>
                <c:pt idx="43">
                  <c:v>-3.0190000000000001</c:v>
                </c:pt>
                <c:pt idx="44">
                  <c:v>-4.0860000000000003</c:v>
                </c:pt>
                <c:pt idx="45">
                  <c:v>-11.04</c:v>
                </c:pt>
                <c:pt idx="46">
                  <c:v>-14.68</c:v>
                </c:pt>
                <c:pt idx="47">
                  <c:v>-5.375</c:v>
                </c:pt>
                <c:pt idx="48">
                  <c:v>-4.9349999999999996</c:v>
                </c:pt>
                <c:pt idx="49">
                  <c:v>-6.1159999999999997</c:v>
                </c:pt>
                <c:pt idx="50">
                  <c:v>-7.64</c:v>
                </c:pt>
                <c:pt idx="51">
                  <c:v>-10.01</c:v>
                </c:pt>
                <c:pt idx="52">
                  <c:v>-7.89</c:v>
                </c:pt>
                <c:pt idx="53">
                  <c:v>-7.35</c:v>
                </c:pt>
                <c:pt idx="54">
                  <c:v>-3.081</c:v>
                </c:pt>
                <c:pt idx="55">
                  <c:v>-5.867</c:v>
                </c:pt>
                <c:pt idx="56">
                  <c:v>-4.0670000000000002</c:v>
                </c:pt>
                <c:pt idx="57">
                  <c:v>-0.32500000000000001</c:v>
                </c:pt>
                <c:pt idx="58">
                  <c:v>-1.825</c:v>
                </c:pt>
                <c:pt idx="59">
                  <c:v>-1.538</c:v>
                </c:pt>
                <c:pt idx="60">
                  <c:v>-1.8009999999999999</c:v>
                </c:pt>
                <c:pt idx="61">
                  <c:v>-2.665</c:v>
                </c:pt>
                <c:pt idx="62">
                  <c:v>-1.369</c:v>
                </c:pt>
                <c:pt idx="63">
                  <c:v>-2.0089999999999999</c:v>
                </c:pt>
                <c:pt idx="64">
                  <c:v>-4.1150000000000002</c:v>
                </c:pt>
                <c:pt idx="65">
                  <c:v>-2.74</c:v>
                </c:pt>
                <c:pt idx="66">
                  <c:v>-1.802</c:v>
                </c:pt>
                <c:pt idx="67">
                  <c:v>-1.274</c:v>
                </c:pt>
                <c:pt idx="68">
                  <c:v>-1.613</c:v>
                </c:pt>
                <c:pt idx="69">
                  <c:v>-0.35799999999999998</c:v>
                </c:pt>
                <c:pt idx="70">
                  <c:v>0.13900000000000001</c:v>
                </c:pt>
                <c:pt idx="71">
                  <c:v>0.58499999999999996</c:v>
                </c:pt>
                <c:pt idx="72">
                  <c:v>-0.80400000000000005</c:v>
                </c:pt>
                <c:pt idx="73">
                  <c:v>-3.569</c:v>
                </c:pt>
                <c:pt idx="74">
                  <c:v>-2.0649999999999999</c:v>
                </c:pt>
                <c:pt idx="75">
                  <c:v>-0.96899999999999997</c:v>
                </c:pt>
                <c:pt idx="76">
                  <c:v>-1.7589999999999999</c:v>
                </c:pt>
                <c:pt idx="77">
                  <c:v>1.0409999999999999</c:v>
                </c:pt>
                <c:pt idx="78">
                  <c:v>-2.5369999999999999</c:v>
                </c:pt>
                <c:pt idx="79">
                  <c:v>-5.4580000000000002</c:v>
                </c:pt>
                <c:pt idx="80">
                  <c:v>-3.407</c:v>
                </c:pt>
                <c:pt idx="81">
                  <c:v>-5.3239999999999998</c:v>
                </c:pt>
                <c:pt idx="82">
                  <c:v>-4.4809999999999999</c:v>
                </c:pt>
                <c:pt idx="83">
                  <c:v>-2.835</c:v>
                </c:pt>
                <c:pt idx="84">
                  <c:v>-1.599</c:v>
                </c:pt>
                <c:pt idx="85">
                  <c:v>-0.89900000000000002</c:v>
                </c:pt>
                <c:pt idx="86">
                  <c:v>-3.1139999999999999</c:v>
                </c:pt>
                <c:pt idx="87">
                  <c:v>-1.863</c:v>
                </c:pt>
                <c:pt idx="88">
                  <c:v>-0.38600000000000001</c:v>
                </c:pt>
                <c:pt idx="89">
                  <c:v>1.1819999999999999</c:v>
                </c:pt>
                <c:pt idx="90">
                  <c:v>1.8069999999999999</c:v>
                </c:pt>
                <c:pt idx="91">
                  <c:v>-0.307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69824"/>
        <c:axId val="229876096"/>
      </c:scatterChart>
      <c:valAx>
        <c:axId val="229869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3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76096"/>
        <c:crosses val="autoZero"/>
        <c:crossBetween val="midCat"/>
      </c:valAx>
      <c:valAx>
        <c:axId val="2298760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</a:t>
                </a:r>
                <a:r>
                  <a:rPr lang="en-CA" baseline="0"/>
                  <a:t> m</a:t>
                </a:r>
                <a:r>
                  <a:rPr lang="en-CA"/>
                  <a:t>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698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Data!$G$158:$G$249</c:f>
              <c:numCache>
                <c:formatCode>General</c:formatCode>
                <c:ptCount val="92"/>
                <c:pt idx="0">
                  <c:v>11.17</c:v>
                </c:pt>
                <c:pt idx="1">
                  <c:v>11.09</c:v>
                </c:pt>
                <c:pt idx="2">
                  <c:v>11.35</c:v>
                </c:pt>
                <c:pt idx="3">
                  <c:v>10.1</c:v>
                </c:pt>
                <c:pt idx="4">
                  <c:v>4.0590000000000002</c:v>
                </c:pt>
                <c:pt idx="5">
                  <c:v>4.798</c:v>
                </c:pt>
                <c:pt idx="6">
                  <c:v>8.75</c:v>
                </c:pt>
                <c:pt idx="7">
                  <c:v>9.51</c:v>
                </c:pt>
                <c:pt idx="8">
                  <c:v>9.8699999999999992</c:v>
                </c:pt>
                <c:pt idx="9">
                  <c:v>9.9700000000000006</c:v>
                </c:pt>
                <c:pt idx="10">
                  <c:v>7.54</c:v>
                </c:pt>
                <c:pt idx="11">
                  <c:v>8.2200000000000006</c:v>
                </c:pt>
                <c:pt idx="12">
                  <c:v>5.9329999999999998</c:v>
                </c:pt>
                <c:pt idx="13">
                  <c:v>6.3949999999999996</c:v>
                </c:pt>
                <c:pt idx="14">
                  <c:v>8.3800000000000008</c:v>
                </c:pt>
                <c:pt idx="15">
                  <c:v>9.41</c:v>
                </c:pt>
                <c:pt idx="16">
                  <c:v>7.8</c:v>
                </c:pt>
                <c:pt idx="17">
                  <c:v>7.41</c:v>
                </c:pt>
                <c:pt idx="18">
                  <c:v>7.02</c:v>
                </c:pt>
                <c:pt idx="19">
                  <c:v>7.65</c:v>
                </c:pt>
                <c:pt idx="20">
                  <c:v>9.83</c:v>
                </c:pt>
                <c:pt idx="21">
                  <c:v>10.58</c:v>
                </c:pt>
                <c:pt idx="22">
                  <c:v>12.63</c:v>
                </c:pt>
                <c:pt idx="23">
                  <c:v>12.94</c:v>
                </c:pt>
                <c:pt idx="24">
                  <c:v>10.81</c:v>
                </c:pt>
                <c:pt idx="25">
                  <c:v>8.23</c:v>
                </c:pt>
                <c:pt idx="26">
                  <c:v>8.9600000000000009</c:v>
                </c:pt>
                <c:pt idx="27">
                  <c:v>12.33</c:v>
                </c:pt>
                <c:pt idx="28">
                  <c:v>13.56</c:v>
                </c:pt>
                <c:pt idx="29">
                  <c:v>15.2</c:v>
                </c:pt>
                <c:pt idx="30">
                  <c:v>16.39</c:v>
                </c:pt>
                <c:pt idx="31">
                  <c:v>11.46</c:v>
                </c:pt>
                <c:pt idx="32">
                  <c:v>10.06</c:v>
                </c:pt>
                <c:pt idx="33">
                  <c:v>8.4600000000000009</c:v>
                </c:pt>
                <c:pt idx="34">
                  <c:v>9.7200000000000006</c:v>
                </c:pt>
                <c:pt idx="35">
                  <c:v>9.94</c:v>
                </c:pt>
                <c:pt idx="36">
                  <c:v>11.2</c:v>
                </c:pt>
                <c:pt idx="37">
                  <c:v>11.68</c:v>
                </c:pt>
                <c:pt idx="38">
                  <c:v>13.74</c:v>
                </c:pt>
                <c:pt idx="39">
                  <c:v>9.23</c:v>
                </c:pt>
                <c:pt idx="40">
                  <c:v>8.75</c:v>
                </c:pt>
                <c:pt idx="41">
                  <c:v>8.9</c:v>
                </c:pt>
                <c:pt idx="42">
                  <c:v>11.19</c:v>
                </c:pt>
                <c:pt idx="43">
                  <c:v>11.16</c:v>
                </c:pt>
                <c:pt idx="44">
                  <c:v>11.03</c:v>
                </c:pt>
                <c:pt idx="45">
                  <c:v>12.99</c:v>
                </c:pt>
                <c:pt idx="46">
                  <c:v>13.4</c:v>
                </c:pt>
                <c:pt idx="47">
                  <c:v>13.47</c:v>
                </c:pt>
                <c:pt idx="48">
                  <c:v>14.18</c:v>
                </c:pt>
                <c:pt idx="49">
                  <c:v>15.24</c:v>
                </c:pt>
                <c:pt idx="50">
                  <c:v>12.73</c:v>
                </c:pt>
                <c:pt idx="51">
                  <c:v>14.18</c:v>
                </c:pt>
                <c:pt idx="52">
                  <c:v>11.33</c:v>
                </c:pt>
                <c:pt idx="53">
                  <c:v>11.56</c:v>
                </c:pt>
                <c:pt idx="54">
                  <c:v>10.63</c:v>
                </c:pt>
                <c:pt idx="55">
                  <c:v>10.85</c:v>
                </c:pt>
                <c:pt idx="56">
                  <c:v>7.71</c:v>
                </c:pt>
                <c:pt idx="57">
                  <c:v>9.64</c:v>
                </c:pt>
                <c:pt idx="58">
                  <c:v>5.01</c:v>
                </c:pt>
                <c:pt idx="59">
                  <c:v>8.6999999999999993</c:v>
                </c:pt>
                <c:pt idx="60">
                  <c:v>10.6</c:v>
                </c:pt>
                <c:pt idx="61">
                  <c:v>9.7899999999999991</c:v>
                </c:pt>
                <c:pt idx="62">
                  <c:v>9.9499999999999993</c:v>
                </c:pt>
                <c:pt idx="63">
                  <c:v>11.85</c:v>
                </c:pt>
                <c:pt idx="64">
                  <c:v>15.97</c:v>
                </c:pt>
                <c:pt idx="65">
                  <c:v>11.98</c:v>
                </c:pt>
                <c:pt idx="66">
                  <c:v>5.3810000000000002</c:v>
                </c:pt>
                <c:pt idx="67">
                  <c:v>6.6059999999999999</c:v>
                </c:pt>
                <c:pt idx="68">
                  <c:v>5.6429999999999998</c:v>
                </c:pt>
                <c:pt idx="69">
                  <c:v>8.42</c:v>
                </c:pt>
                <c:pt idx="70">
                  <c:v>9.73</c:v>
                </c:pt>
                <c:pt idx="71">
                  <c:v>8.15</c:v>
                </c:pt>
                <c:pt idx="72">
                  <c:v>4.5</c:v>
                </c:pt>
                <c:pt idx="73">
                  <c:v>7.56</c:v>
                </c:pt>
                <c:pt idx="74">
                  <c:v>8.01</c:v>
                </c:pt>
                <c:pt idx="75">
                  <c:v>6.1029999999999998</c:v>
                </c:pt>
                <c:pt idx="76">
                  <c:v>5.4160000000000004</c:v>
                </c:pt>
                <c:pt idx="77">
                  <c:v>3.4260000000000002</c:v>
                </c:pt>
                <c:pt idx="78">
                  <c:v>5.6760000000000002</c:v>
                </c:pt>
                <c:pt idx="79">
                  <c:v>7.83</c:v>
                </c:pt>
                <c:pt idx="80">
                  <c:v>9.6</c:v>
                </c:pt>
                <c:pt idx="81">
                  <c:v>11.9</c:v>
                </c:pt>
                <c:pt idx="82">
                  <c:v>9.1999999999999993</c:v>
                </c:pt>
                <c:pt idx="83">
                  <c:v>9.5399999999999991</c:v>
                </c:pt>
                <c:pt idx="84">
                  <c:v>5.8730000000000002</c:v>
                </c:pt>
                <c:pt idx="85">
                  <c:v>6.6660000000000004</c:v>
                </c:pt>
                <c:pt idx="86">
                  <c:v>7.29</c:v>
                </c:pt>
                <c:pt idx="87">
                  <c:v>8.0299999999999994</c:v>
                </c:pt>
                <c:pt idx="88">
                  <c:v>9.7799999999999994</c:v>
                </c:pt>
                <c:pt idx="89">
                  <c:v>5.4829999999999997</c:v>
                </c:pt>
                <c:pt idx="90">
                  <c:v>6.569</c:v>
                </c:pt>
                <c:pt idx="91">
                  <c:v>7.78</c:v>
                </c:pt>
              </c:numCache>
            </c:numRef>
          </c:xVal>
          <c:yVal>
            <c:numRef>
              <c:f>Data!$E$158:$E$249</c:f>
              <c:numCache>
                <c:formatCode>General</c:formatCode>
                <c:ptCount val="92"/>
                <c:pt idx="0">
                  <c:v>11.09</c:v>
                </c:pt>
                <c:pt idx="1">
                  <c:v>11.2</c:v>
                </c:pt>
                <c:pt idx="2">
                  <c:v>11.3</c:v>
                </c:pt>
                <c:pt idx="3">
                  <c:v>10.16</c:v>
                </c:pt>
                <c:pt idx="4">
                  <c:v>4.1950000000000003</c:v>
                </c:pt>
                <c:pt idx="5">
                  <c:v>4.8929999999999998</c:v>
                </c:pt>
                <c:pt idx="6">
                  <c:v>8.7100000000000009</c:v>
                </c:pt>
                <c:pt idx="7">
                  <c:v>9.7100000000000009</c:v>
                </c:pt>
                <c:pt idx="8">
                  <c:v>9.8699999999999992</c:v>
                </c:pt>
                <c:pt idx="9">
                  <c:v>10.07</c:v>
                </c:pt>
                <c:pt idx="10">
                  <c:v>7.56</c:v>
                </c:pt>
                <c:pt idx="11">
                  <c:v>8.2799999999999994</c:v>
                </c:pt>
                <c:pt idx="12">
                  <c:v>5.798</c:v>
                </c:pt>
                <c:pt idx="13">
                  <c:v>6.4169999999999998</c:v>
                </c:pt>
                <c:pt idx="14">
                  <c:v>8.3000000000000007</c:v>
                </c:pt>
                <c:pt idx="15">
                  <c:v>9.49</c:v>
                </c:pt>
                <c:pt idx="16">
                  <c:v>7.85</c:v>
                </c:pt>
                <c:pt idx="17">
                  <c:v>7.4</c:v>
                </c:pt>
                <c:pt idx="18">
                  <c:v>7.01</c:v>
                </c:pt>
                <c:pt idx="19">
                  <c:v>7.75</c:v>
                </c:pt>
                <c:pt idx="20">
                  <c:v>9.67</c:v>
                </c:pt>
                <c:pt idx="21">
                  <c:v>10.6</c:v>
                </c:pt>
                <c:pt idx="22">
                  <c:v>12.65</c:v>
                </c:pt>
                <c:pt idx="23">
                  <c:v>13.12</c:v>
                </c:pt>
                <c:pt idx="24">
                  <c:v>10.98</c:v>
                </c:pt>
                <c:pt idx="25">
                  <c:v>8.5399999999999991</c:v>
                </c:pt>
                <c:pt idx="26">
                  <c:v>9.16</c:v>
                </c:pt>
                <c:pt idx="27">
                  <c:v>12.54</c:v>
                </c:pt>
                <c:pt idx="28">
                  <c:v>13.84</c:v>
                </c:pt>
                <c:pt idx="29">
                  <c:v>15.45</c:v>
                </c:pt>
                <c:pt idx="30">
                  <c:v>16.62</c:v>
                </c:pt>
                <c:pt idx="31">
                  <c:v>11.64</c:v>
                </c:pt>
                <c:pt idx="32">
                  <c:v>10.119999999999999</c:v>
                </c:pt>
                <c:pt idx="33">
                  <c:v>8.5</c:v>
                </c:pt>
                <c:pt idx="34">
                  <c:v>9.73</c:v>
                </c:pt>
                <c:pt idx="35">
                  <c:v>10.15</c:v>
                </c:pt>
                <c:pt idx="36">
                  <c:v>11.31</c:v>
                </c:pt>
                <c:pt idx="37">
                  <c:v>11.85</c:v>
                </c:pt>
                <c:pt idx="38">
                  <c:v>13.84</c:v>
                </c:pt>
                <c:pt idx="39">
                  <c:v>9.26</c:v>
                </c:pt>
                <c:pt idx="40">
                  <c:v>8.85</c:v>
                </c:pt>
                <c:pt idx="41">
                  <c:v>8.99</c:v>
                </c:pt>
                <c:pt idx="42">
                  <c:v>11.33</c:v>
                </c:pt>
                <c:pt idx="43">
                  <c:v>11.23</c:v>
                </c:pt>
                <c:pt idx="44">
                  <c:v>11.2</c:v>
                </c:pt>
                <c:pt idx="45">
                  <c:v>13.1</c:v>
                </c:pt>
                <c:pt idx="46">
                  <c:v>13.59</c:v>
                </c:pt>
                <c:pt idx="47">
                  <c:v>13.66</c:v>
                </c:pt>
                <c:pt idx="48">
                  <c:v>14.4</c:v>
                </c:pt>
                <c:pt idx="49">
                  <c:v>15.56</c:v>
                </c:pt>
                <c:pt idx="50">
                  <c:v>12.96</c:v>
                </c:pt>
                <c:pt idx="51">
                  <c:v>14.32</c:v>
                </c:pt>
                <c:pt idx="52">
                  <c:v>11.49</c:v>
                </c:pt>
                <c:pt idx="53">
                  <c:v>11.59</c:v>
                </c:pt>
                <c:pt idx="54">
                  <c:v>10.72</c:v>
                </c:pt>
                <c:pt idx="55">
                  <c:v>10.91</c:v>
                </c:pt>
                <c:pt idx="56">
                  <c:v>7.69</c:v>
                </c:pt>
                <c:pt idx="57">
                  <c:v>9.83</c:v>
                </c:pt>
                <c:pt idx="58">
                  <c:v>5.1589999999999998</c:v>
                </c:pt>
                <c:pt idx="59">
                  <c:v>8.6</c:v>
                </c:pt>
                <c:pt idx="60">
                  <c:v>10.7</c:v>
                </c:pt>
                <c:pt idx="61">
                  <c:v>9.92</c:v>
                </c:pt>
                <c:pt idx="62">
                  <c:v>10.07</c:v>
                </c:pt>
                <c:pt idx="63">
                  <c:v>11.88</c:v>
                </c:pt>
                <c:pt idx="64">
                  <c:v>16.12</c:v>
                </c:pt>
                <c:pt idx="65">
                  <c:v>12.28</c:v>
                </c:pt>
                <c:pt idx="66">
                  <c:v>5.4340000000000002</c:v>
                </c:pt>
                <c:pt idx="67">
                  <c:v>6.65</c:v>
                </c:pt>
                <c:pt idx="68">
                  <c:v>5.7880000000000003</c:v>
                </c:pt>
                <c:pt idx="69">
                  <c:v>8.43</c:v>
                </c:pt>
                <c:pt idx="70">
                  <c:v>10.08</c:v>
                </c:pt>
                <c:pt idx="71">
                  <c:v>8.26</c:v>
                </c:pt>
                <c:pt idx="72">
                  <c:v>4.5990000000000002</c:v>
                </c:pt>
                <c:pt idx="73">
                  <c:v>7.57</c:v>
                </c:pt>
                <c:pt idx="74">
                  <c:v>8.4</c:v>
                </c:pt>
                <c:pt idx="75">
                  <c:v>6.3310000000000004</c:v>
                </c:pt>
                <c:pt idx="76">
                  <c:v>5.4589999999999996</c:v>
                </c:pt>
                <c:pt idx="77">
                  <c:v>3.6150000000000002</c:v>
                </c:pt>
                <c:pt idx="78">
                  <c:v>5.774</c:v>
                </c:pt>
                <c:pt idx="79">
                  <c:v>7.97</c:v>
                </c:pt>
                <c:pt idx="80">
                  <c:v>9.9</c:v>
                </c:pt>
                <c:pt idx="81">
                  <c:v>12.33</c:v>
                </c:pt>
                <c:pt idx="82">
                  <c:v>9.48</c:v>
                </c:pt>
                <c:pt idx="83">
                  <c:v>9.7899999999999991</c:v>
                </c:pt>
                <c:pt idx="84">
                  <c:v>6.1130000000000004</c:v>
                </c:pt>
                <c:pt idx="85">
                  <c:v>6.8460000000000001</c:v>
                </c:pt>
                <c:pt idx="86">
                  <c:v>7.52</c:v>
                </c:pt>
                <c:pt idx="87">
                  <c:v>8.24</c:v>
                </c:pt>
                <c:pt idx="88">
                  <c:v>9.7899999999999991</c:v>
                </c:pt>
                <c:pt idx="89">
                  <c:v>5.69</c:v>
                </c:pt>
                <c:pt idx="90">
                  <c:v>6.6950000000000003</c:v>
                </c:pt>
                <c:pt idx="91">
                  <c:v>7.98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894016"/>
        <c:axId val="229900288"/>
      </c:scatterChart>
      <c:valAx>
        <c:axId val="22989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3m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00288"/>
        <c:crosses val="autoZero"/>
        <c:crossBetween val="midCat"/>
      </c:valAx>
      <c:valAx>
        <c:axId val="229900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8940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Data!$V$158:$V$249</c:f>
              <c:numCache>
                <c:formatCode>General</c:formatCode>
                <c:ptCount val="92"/>
                <c:pt idx="0">
                  <c:v>21.86</c:v>
                </c:pt>
                <c:pt idx="1">
                  <c:v>19.36</c:v>
                </c:pt>
                <c:pt idx="2">
                  <c:v>21.57</c:v>
                </c:pt>
                <c:pt idx="3">
                  <c:v>18.57</c:v>
                </c:pt>
                <c:pt idx="4">
                  <c:v>5.7930000000000001</c:v>
                </c:pt>
                <c:pt idx="5">
                  <c:v>8.11</c:v>
                </c:pt>
                <c:pt idx="6">
                  <c:v>18.940000000000001</c:v>
                </c:pt>
                <c:pt idx="7">
                  <c:v>19.2</c:v>
                </c:pt>
                <c:pt idx="8">
                  <c:v>19.809999999999999</c:v>
                </c:pt>
                <c:pt idx="9">
                  <c:v>19.37</c:v>
                </c:pt>
                <c:pt idx="10">
                  <c:v>12.01</c:v>
                </c:pt>
                <c:pt idx="11">
                  <c:v>14.84</c:v>
                </c:pt>
                <c:pt idx="12">
                  <c:v>12.12</c:v>
                </c:pt>
                <c:pt idx="13">
                  <c:v>10.32</c:v>
                </c:pt>
                <c:pt idx="14">
                  <c:v>14.71</c:v>
                </c:pt>
                <c:pt idx="15">
                  <c:v>16.37</c:v>
                </c:pt>
                <c:pt idx="16">
                  <c:v>12.53</c:v>
                </c:pt>
                <c:pt idx="17">
                  <c:v>13.51</c:v>
                </c:pt>
                <c:pt idx="18">
                  <c:v>11.23</c:v>
                </c:pt>
                <c:pt idx="19">
                  <c:v>9.82</c:v>
                </c:pt>
                <c:pt idx="20">
                  <c:v>17.600000000000001</c:v>
                </c:pt>
                <c:pt idx="21">
                  <c:v>20.14</c:v>
                </c:pt>
                <c:pt idx="22">
                  <c:v>20.83</c:v>
                </c:pt>
                <c:pt idx="23">
                  <c:v>20.13</c:v>
                </c:pt>
                <c:pt idx="24">
                  <c:v>19.170000000000002</c:v>
                </c:pt>
                <c:pt idx="25">
                  <c:v>14.7</c:v>
                </c:pt>
                <c:pt idx="26">
                  <c:v>18.55</c:v>
                </c:pt>
                <c:pt idx="27">
                  <c:v>22.42</c:v>
                </c:pt>
                <c:pt idx="28">
                  <c:v>23.67</c:v>
                </c:pt>
                <c:pt idx="29">
                  <c:v>24.49</c:v>
                </c:pt>
                <c:pt idx="30">
                  <c:v>24.31</c:v>
                </c:pt>
                <c:pt idx="31">
                  <c:v>15.77</c:v>
                </c:pt>
                <c:pt idx="32">
                  <c:v>16.88</c:v>
                </c:pt>
                <c:pt idx="33">
                  <c:v>13.02</c:v>
                </c:pt>
                <c:pt idx="34">
                  <c:v>17.309999999999999</c:v>
                </c:pt>
                <c:pt idx="35">
                  <c:v>16.97</c:v>
                </c:pt>
                <c:pt idx="36">
                  <c:v>17.670000000000002</c:v>
                </c:pt>
                <c:pt idx="37">
                  <c:v>20.11</c:v>
                </c:pt>
                <c:pt idx="38">
                  <c:v>21.58</c:v>
                </c:pt>
                <c:pt idx="39">
                  <c:v>14.99</c:v>
                </c:pt>
                <c:pt idx="40">
                  <c:v>15.61</c:v>
                </c:pt>
                <c:pt idx="41">
                  <c:v>17.82</c:v>
                </c:pt>
                <c:pt idx="42">
                  <c:v>19.350000000000001</c:v>
                </c:pt>
                <c:pt idx="43">
                  <c:v>17.899999999999999</c:v>
                </c:pt>
                <c:pt idx="44">
                  <c:v>20.13</c:v>
                </c:pt>
                <c:pt idx="45">
                  <c:v>21.78</c:v>
                </c:pt>
                <c:pt idx="46">
                  <c:v>22.67</c:v>
                </c:pt>
                <c:pt idx="47">
                  <c:v>22.1</c:v>
                </c:pt>
                <c:pt idx="48">
                  <c:v>24.83</c:v>
                </c:pt>
                <c:pt idx="49">
                  <c:v>21.96</c:v>
                </c:pt>
                <c:pt idx="50">
                  <c:v>21.41</c:v>
                </c:pt>
                <c:pt idx="51">
                  <c:v>22.65</c:v>
                </c:pt>
                <c:pt idx="52">
                  <c:v>15.61</c:v>
                </c:pt>
                <c:pt idx="53">
                  <c:v>16.53</c:v>
                </c:pt>
                <c:pt idx="54">
                  <c:v>14.97</c:v>
                </c:pt>
                <c:pt idx="55">
                  <c:v>15.2</c:v>
                </c:pt>
                <c:pt idx="56">
                  <c:v>14.13</c:v>
                </c:pt>
                <c:pt idx="57">
                  <c:v>17.510000000000002</c:v>
                </c:pt>
                <c:pt idx="58">
                  <c:v>8.4600000000000009</c:v>
                </c:pt>
                <c:pt idx="59">
                  <c:v>16.66</c:v>
                </c:pt>
                <c:pt idx="60">
                  <c:v>17.07</c:v>
                </c:pt>
                <c:pt idx="61">
                  <c:v>15.17</c:v>
                </c:pt>
                <c:pt idx="62">
                  <c:v>16.02</c:v>
                </c:pt>
                <c:pt idx="63">
                  <c:v>21.05</c:v>
                </c:pt>
                <c:pt idx="64">
                  <c:v>25.2</c:v>
                </c:pt>
                <c:pt idx="65">
                  <c:v>15.18</c:v>
                </c:pt>
                <c:pt idx="66">
                  <c:v>7.62</c:v>
                </c:pt>
                <c:pt idx="67">
                  <c:v>11.03</c:v>
                </c:pt>
                <c:pt idx="68">
                  <c:v>9.94</c:v>
                </c:pt>
                <c:pt idx="69">
                  <c:v>16.55</c:v>
                </c:pt>
                <c:pt idx="70">
                  <c:v>16.649999999999999</c:v>
                </c:pt>
                <c:pt idx="71">
                  <c:v>13.8</c:v>
                </c:pt>
                <c:pt idx="72">
                  <c:v>5.9169999999999998</c:v>
                </c:pt>
                <c:pt idx="73">
                  <c:v>15.58</c:v>
                </c:pt>
                <c:pt idx="74">
                  <c:v>11.64</c:v>
                </c:pt>
                <c:pt idx="75">
                  <c:v>11.19</c:v>
                </c:pt>
                <c:pt idx="76">
                  <c:v>11.69</c:v>
                </c:pt>
                <c:pt idx="77">
                  <c:v>7.27</c:v>
                </c:pt>
                <c:pt idx="78">
                  <c:v>9.91</c:v>
                </c:pt>
                <c:pt idx="79">
                  <c:v>14.83</c:v>
                </c:pt>
                <c:pt idx="80">
                  <c:v>18.920000000000002</c:v>
                </c:pt>
                <c:pt idx="81">
                  <c:v>20.55</c:v>
                </c:pt>
                <c:pt idx="82">
                  <c:v>20.07</c:v>
                </c:pt>
                <c:pt idx="83">
                  <c:v>18.2</c:v>
                </c:pt>
                <c:pt idx="84">
                  <c:v>12.83</c:v>
                </c:pt>
                <c:pt idx="85">
                  <c:v>16.079999999999998</c:v>
                </c:pt>
                <c:pt idx="86">
                  <c:v>13.93</c:v>
                </c:pt>
                <c:pt idx="87">
                  <c:v>16.41</c:v>
                </c:pt>
                <c:pt idx="88">
                  <c:v>17.88</c:v>
                </c:pt>
                <c:pt idx="89">
                  <c:v>10.87</c:v>
                </c:pt>
                <c:pt idx="90">
                  <c:v>14.99</c:v>
                </c:pt>
                <c:pt idx="91">
                  <c:v>17.489999999999998</c:v>
                </c:pt>
              </c:numCache>
            </c:numRef>
          </c:xVal>
          <c:yVal>
            <c:numRef>
              <c:f>Data!$R$158:$R$249</c:f>
              <c:numCache>
                <c:formatCode>General</c:formatCode>
                <c:ptCount val="92"/>
                <c:pt idx="0">
                  <c:v>19.47</c:v>
                </c:pt>
                <c:pt idx="1">
                  <c:v>17.32</c:v>
                </c:pt>
                <c:pt idx="2">
                  <c:v>19.93</c:v>
                </c:pt>
                <c:pt idx="3">
                  <c:v>16.86</c:v>
                </c:pt>
                <c:pt idx="4">
                  <c:v>5.9390000000000001</c:v>
                </c:pt>
                <c:pt idx="5">
                  <c:v>7.59</c:v>
                </c:pt>
                <c:pt idx="6">
                  <c:v>16.36</c:v>
                </c:pt>
                <c:pt idx="7">
                  <c:v>17.850000000000001</c:v>
                </c:pt>
                <c:pt idx="8">
                  <c:v>18</c:v>
                </c:pt>
                <c:pt idx="9">
                  <c:v>17.329999999999998</c:v>
                </c:pt>
                <c:pt idx="10">
                  <c:v>10.49</c:v>
                </c:pt>
                <c:pt idx="11">
                  <c:v>13.25</c:v>
                </c:pt>
                <c:pt idx="12">
                  <c:v>10.6</c:v>
                </c:pt>
                <c:pt idx="13">
                  <c:v>9.7799999999999994</c:v>
                </c:pt>
                <c:pt idx="14">
                  <c:v>13.71</c:v>
                </c:pt>
                <c:pt idx="15">
                  <c:v>14.42</c:v>
                </c:pt>
                <c:pt idx="16">
                  <c:v>11.57</c:v>
                </c:pt>
                <c:pt idx="17">
                  <c:v>12.68</c:v>
                </c:pt>
                <c:pt idx="18">
                  <c:v>10.56</c:v>
                </c:pt>
                <c:pt idx="19">
                  <c:v>9.49</c:v>
                </c:pt>
                <c:pt idx="20">
                  <c:v>15.87</c:v>
                </c:pt>
                <c:pt idx="21">
                  <c:v>17.73</c:v>
                </c:pt>
                <c:pt idx="22">
                  <c:v>19.73</c:v>
                </c:pt>
                <c:pt idx="23">
                  <c:v>18.91</c:v>
                </c:pt>
                <c:pt idx="24">
                  <c:v>18.13</c:v>
                </c:pt>
                <c:pt idx="25">
                  <c:v>13.5</c:v>
                </c:pt>
                <c:pt idx="26">
                  <c:v>17.100000000000001</c:v>
                </c:pt>
                <c:pt idx="27">
                  <c:v>21.13</c:v>
                </c:pt>
                <c:pt idx="28">
                  <c:v>22.11</c:v>
                </c:pt>
                <c:pt idx="29">
                  <c:v>23.38</c:v>
                </c:pt>
                <c:pt idx="30">
                  <c:v>23.26</c:v>
                </c:pt>
                <c:pt idx="31">
                  <c:v>16.12</c:v>
                </c:pt>
                <c:pt idx="32">
                  <c:v>15.29</c:v>
                </c:pt>
                <c:pt idx="33">
                  <c:v>12.02</c:v>
                </c:pt>
                <c:pt idx="34">
                  <c:v>16.18</c:v>
                </c:pt>
                <c:pt idx="35">
                  <c:v>15.25</c:v>
                </c:pt>
                <c:pt idx="36">
                  <c:v>16.239999999999998</c:v>
                </c:pt>
                <c:pt idx="37">
                  <c:v>18.16</c:v>
                </c:pt>
                <c:pt idx="38">
                  <c:v>20.149999999999999</c:v>
                </c:pt>
                <c:pt idx="39">
                  <c:v>13.76</c:v>
                </c:pt>
                <c:pt idx="40">
                  <c:v>14.61</c:v>
                </c:pt>
                <c:pt idx="41">
                  <c:v>16.43</c:v>
                </c:pt>
                <c:pt idx="42">
                  <c:v>17.86</c:v>
                </c:pt>
                <c:pt idx="43">
                  <c:v>16.649999999999999</c:v>
                </c:pt>
                <c:pt idx="44">
                  <c:v>18.510000000000002</c:v>
                </c:pt>
                <c:pt idx="45">
                  <c:v>20.239999999999998</c:v>
                </c:pt>
                <c:pt idx="46">
                  <c:v>21.09</c:v>
                </c:pt>
                <c:pt idx="47">
                  <c:v>20.93</c:v>
                </c:pt>
                <c:pt idx="48">
                  <c:v>22.91</c:v>
                </c:pt>
                <c:pt idx="49">
                  <c:v>21.05</c:v>
                </c:pt>
                <c:pt idx="50">
                  <c:v>19.04</c:v>
                </c:pt>
                <c:pt idx="51">
                  <c:v>21.46</c:v>
                </c:pt>
                <c:pt idx="52">
                  <c:v>14.66</c:v>
                </c:pt>
                <c:pt idx="53">
                  <c:v>15.61</c:v>
                </c:pt>
                <c:pt idx="54">
                  <c:v>14.05</c:v>
                </c:pt>
                <c:pt idx="55">
                  <c:v>14.46</c:v>
                </c:pt>
                <c:pt idx="56">
                  <c:v>12.77</c:v>
                </c:pt>
                <c:pt idx="57">
                  <c:v>16.21</c:v>
                </c:pt>
                <c:pt idx="58">
                  <c:v>8.82</c:v>
                </c:pt>
                <c:pt idx="59">
                  <c:v>14.47</c:v>
                </c:pt>
                <c:pt idx="60">
                  <c:v>15.75</c:v>
                </c:pt>
                <c:pt idx="61">
                  <c:v>14.25</c:v>
                </c:pt>
                <c:pt idx="62">
                  <c:v>14.07</c:v>
                </c:pt>
                <c:pt idx="63">
                  <c:v>19.190000000000001</c:v>
                </c:pt>
                <c:pt idx="64">
                  <c:v>23.83</c:v>
                </c:pt>
                <c:pt idx="65">
                  <c:v>15.59</c:v>
                </c:pt>
                <c:pt idx="66">
                  <c:v>7.58</c:v>
                </c:pt>
                <c:pt idx="67">
                  <c:v>9.5</c:v>
                </c:pt>
                <c:pt idx="68">
                  <c:v>8.9600000000000009</c:v>
                </c:pt>
                <c:pt idx="69">
                  <c:v>15.09</c:v>
                </c:pt>
                <c:pt idx="70">
                  <c:v>16.260000000000002</c:v>
                </c:pt>
                <c:pt idx="71">
                  <c:v>12.15</c:v>
                </c:pt>
                <c:pt idx="72">
                  <c:v>5.6630000000000003</c:v>
                </c:pt>
                <c:pt idx="73">
                  <c:v>13.92</c:v>
                </c:pt>
                <c:pt idx="74">
                  <c:v>10.01</c:v>
                </c:pt>
                <c:pt idx="75">
                  <c:v>9.9499999999999993</c:v>
                </c:pt>
                <c:pt idx="76">
                  <c:v>10.02</c:v>
                </c:pt>
                <c:pt idx="77">
                  <c:v>6.9109999999999996</c:v>
                </c:pt>
                <c:pt idx="78">
                  <c:v>9.4499999999999993</c:v>
                </c:pt>
                <c:pt idx="79">
                  <c:v>13.51</c:v>
                </c:pt>
                <c:pt idx="80">
                  <c:v>17.37</c:v>
                </c:pt>
                <c:pt idx="81">
                  <c:v>18.89</c:v>
                </c:pt>
                <c:pt idx="82">
                  <c:v>18.05</c:v>
                </c:pt>
                <c:pt idx="83">
                  <c:v>17.64</c:v>
                </c:pt>
                <c:pt idx="84">
                  <c:v>11.56</c:v>
                </c:pt>
                <c:pt idx="85">
                  <c:v>15.19</c:v>
                </c:pt>
                <c:pt idx="86">
                  <c:v>13.2</c:v>
                </c:pt>
                <c:pt idx="87">
                  <c:v>15.24</c:v>
                </c:pt>
                <c:pt idx="88">
                  <c:v>17.54</c:v>
                </c:pt>
                <c:pt idx="89">
                  <c:v>9.8000000000000007</c:v>
                </c:pt>
                <c:pt idx="90">
                  <c:v>13.73</c:v>
                </c:pt>
                <c:pt idx="91">
                  <c:v>17.21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914496"/>
        <c:axId val="229920768"/>
      </c:scatterChart>
      <c:valAx>
        <c:axId val="229914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3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20768"/>
        <c:crosses val="autoZero"/>
        <c:crossBetween val="midCat"/>
      </c:valAx>
      <c:valAx>
        <c:axId val="229920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</a:t>
                </a:r>
                <a:r>
                  <a:rPr lang="en-CA" baseline="0"/>
                  <a:t> m</a:t>
                </a:r>
                <a:r>
                  <a:rPr lang="en-CA"/>
                  <a:t>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144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Data!$AJ$158:$AJ$249</c:f>
              <c:numCache>
                <c:formatCode>General</c:formatCode>
                <c:ptCount val="92"/>
                <c:pt idx="0">
                  <c:v>1.0580000000000001</c:v>
                </c:pt>
                <c:pt idx="1">
                  <c:v>2.1080000000000001</c:v>
                </c:pt>
                <c:pt idx="2">
                  <c:v>0.94899999999999995</c:v>
                </c:pt>
                <c:pt idx="3">
                  <c:v>2.8340000000000001</c:v>
                </c:pt>
                <c:pt idx="4">
                  <c:v>2.0750000000000002</c:v>
                </c:pt>
                <c:pt idx="5">
                  <c:v>-5.5E-2</c:v>
                </c:pt>
                <c:pt idx="6">
                  <c:v>-0.39800000000000002</c:v>
                </c:pt>
                <c:pt idx="7">
                  <c:v>-1.581</c:v>
                </c:pt>
                <c:pt idx="8">
                  <c:v>-0.997</c:v>
                </c:pt>
                <c:pt idx="9">
                  <c:v>2.3E-2</c:v>
                </c:pt>
                <c:pt idx="10">
                  <c:v>4.7460000000000004</c:v>
                </c:pt>
                <c:pt idx="11">
                  <c:v>1.0780000000000001</c:v>
                </c:pt>
                <c:pt idx="12">
                  <c:v>2.0430000000000001</c:v>
                </c:pt>
                <c:pt idx="13">
                  <c:v>3.1509999999999998</c:v>
                </c:pt>
                <c:pt idx="14">
                  <c:v>4.8410000000000002</c:v>
                </c:pt>
                <c:pt idx="15">
                  <c:v>1.2450000000000001</c:v>
                </c:pt>
                <c:pt idx="16">
                  <c:v>4.9969999999999999</c:v>
                </c:pt>
                <c:pt idx="17">
                  <c:v>3.621</c:v>
                </c:pt>
                <c:pt idx="18">
                  <c:v>2.052</c:v>
                </c:pt>
                <c:pt idx="19">
                  <c:v>5.99</c:v>
                </c:pt>
                <c:pt idx="20">
                  <c:v>7.14</c:v>
                </c:pt>
                <c:pt idx="21">
                  <c:v>2.931</c:v>
                </c:pt>
                <c:pt idx="22">
                  <c:v>3.8730000000000002</c:v>
                </c:pt>
                <c:pt idx="23">
                  <c:v>5.2569999999999997</c:v>
                </c:pt>
                <c:pt idx="24">
                  <c:v>1.3129999999999999</c:v>
                </c:pt>
                <c:pt idx="25">
                  <c:v>-0.54100000000000004</c:v>
                </c:pt>
                <c:pt idx="26">
                  <c:v>-2.1800000000000002</c:v>
                </c:pt>
                <c:pt idx="27">
                  <c:v>0.252</c:v>
                </c:pt>
                <c:pt idx="28">
                  <c:v>2.5950000000000002</c:v>
                </c:pt>
                <c:pt idx="29">
                  <c:v>3.7930000000000001</c:v>
                </c:pt>
                <c:pt idx="30">
                  <c:v>6.1280000000000001</c:v>
                </c:pt>
                <c:pt idx="31">
                  <c:v>8.44</c:v>
                </c:pt>
                <c:pt idx="32">
                  <c:v>4.6959999999999997</c:v>
                </c:pt>
                <c:pt idx="33">
                  <c:v>4.0140000000000002</c:v>
                </c:pt>
                <c:pt idx="34">
                  <c:v>5.1980000000000004</c:v>
                </c:pt>
                <c:pt idx="35">
                  <c:v>1.786</c:v>
                </c:pt>
                <c:pt idx="36">
                  <c:v>7.28</c:v>
                </c:pt>
                <c:pt idx="37">
                  <c:v>5.548</c:v>
                </c:pt>
                <c:pt idx="38">
                  <c:v>7.23</c:v>
                </c:pt>
                <c:pt idx="39">
                  <c:v>5.056</c:v>
                </c:pt>
                <c:pt idx="40">
                  <c:v>2.077</c:v>
                </c:pt>
                <c:pt idx="41">
                  <c:v>-0.76500000000000001</c:v>
                </c:pt>
                <c:pt idx="42">
                  <c:v>0.996</c:v>
                </c:pt>
                <c:pt idx="43">
                  <c:v>4.0350000000000001</c:v>
                </c:pt>
                <c:pt idx="44">
                  <c:v>1.321</c:v>
                </c:pt>
                <c:pt idx="45">
                  <c:v>4.383</c:v>
                </c:pt>
                <c:pt idx="46">
                  <c:v>2.7189999999999999</c:v>
                </c:pt>
                <c:pt idx="47">
                  <c:v>4.6740000000000004</c:v>
                </c:pt>
                <c:pt idx="48">
                  <c:v>3.113</c:v>
                </c:pt>
                <c:pt idx="49">
                  <c:v>6.1950000000000003</c:v>
                </c:pt>
                <c:pt idx="50">
                  <c:v>5.6660000000000004</c:v>
                </c:pt>
                <c:pt idx="51">
                  <c:v>3.5059999999999998</c:v>
                </c:pt>
                <c:pt idx="52">
                  <c:v>7.56</c:v>
                </c:pt>
                <c:pt idx="53">
                  <c:v>8.1999999999999993</c:v>
                </c:pt>
                <c:pt idx="54">
                  <c:v>8.51</c:v>
                </c:pt>
                <c:pt idx="55">
                  <c:v>8.18</c:v>
                </c:pt>
                <c:pt idx="56">
                  <c:v>0.61599999999999999</c:v>
                </c:pt>
                <c:pt idx="57">
                  <c:v>-0.111</c:v>
                </c:pt>
                <c:pt idx="58">
                  <c:v>3.125</c:v>
                </c:pt>
                <c:pt idx="59">
                  <c:v>4.7329999999999997</c:v>
                </c:pt>
                <c:pt idx="60">
                  <c:v>5.1130000000000004</c:v>
                </c:pt>
                <c:pt idx="61">
                  <c:v>4.6319999999999997</c:v>
                </c:pt>
                <c:pt idx="62">
                  <c:v>4.0469999999999997</c:v>
                </c:pt>
                <c:pt idx="63">
                  <c:v>3.714</c:v>
                </c:pt>
                <c:pt idx="64">
                  <c:v>4.8109999999999999</c:v>
                </c:pt>
                <c:pt idx="65">
                  <c:v>5.1079999999999997</c:v>
                </c:pt>
                <c:pt idx="66">
                  <c:v>4.0270000000000001</c:v>
                </c:pt>
                <c:pt idx="67">
                  <c:v>2.29</c:v>
                </c:pt>
                <c:pt idx="68">
                  <c:v>4.0250000000000004</c:v>
                </c:pt>
                <c:pt idx="69">
                  <c:v>2.7440000000000002</c:v>
                </c:pt>
                <c:pt idx="70">
                  <c:v>0.68700000000000006</c:v>
                </c:pt>
                <c:pt idx="71">
                  <c:v>5.0720000000000001</c:v>
                </c:pt>
                <c:pt idx="72">
                  <c:v>2.9790000000000001</c:v>
                </c:pt>
                <c:pt idx="73">
                  <c:v>3.0179999999999998</c:v>
                </c:pt>
                <c:pt idx="74">
                  <c:v>3.367</c:v>
                </c:pt>
                <c:pt idx="75">
                  <c:v>1.9510000000000001</c:v>
                </c:pt>
                <c:pt idx="76">
                  <c:v>1.1180000000000001</c:v>
                </c:pt>
                <c:pt idx="77">
                  <c:v>0.77300000000000002</c:v>
                </c:pt>
                <c:pt idx="78">
                  <c:v>3.3479999999999999</c:v>
                </c:pt>
                <c:pt idx="79">
                  <c:v>3.6890000000000001</c:v>
                </c:pt>
                <c:pt idx="80">
                  <c:v>-0.14799999999999999</c:v>
                </c:pt>
                <c:pt idx="81">
                  <c:v>3.5329999999999999</c:v>
                </c:pt>
                <c:pt idx="82">
                  <c:v>1.9359999999999999</c:v>
                </c:pt>
                <c:pt idx="83">
                  <c:v>-0.40899999999999997</c:v>
                </c:pt>
                <c:pt idx="84">
                  <c:v>-1.7170000000000001</c:v>
                </c:pt>
                <c:pt idx="85">
                  <c:v>-3.125</c:v>
                </c:pt>
                <c:pt idx="86">
                  <c:v>5.0000000000000001E-3</c:v>
                </c:pt>
                <c:pt idx="87">
                  <c:v>-2.0659999999999998</c:v>
                </c:pt>
                <c:pt idx="88">
                  <c:v>-6.3E-2</c:v>
                </c:pt>
                <c:pt idx="89">
                  <c:v>1.0089999999999999</c:v>
                </c:pt>
                <c:pt idx="90">
                  <c:v>-0.30499999999999999</c:v>
                </c:pt>
                <c:pt idx="91">
                  <c:v>-1.67</c:v>
                </c:pt>
              </c:numCache>
            </c:numRef>
          </c:xVal>
          <c:yVal>
            <c:numRef>
              <c:f>Data!$AF$158:$AF$249</c:f>
              <c:numCache>
                <c:formatCode>General</c:formatCode>
                <c:ptCount val="92"/>
                <c:pt idx="0">
                  <c:v>1.6040000000000001</c:v>
                </c:pt>
                <c:pt idx="1">
                  <c:v>2.681</c:v>
                </c:pt>
                <c:pt idx="2">
                  <c:v>1.5049999999999999</c:v>
                </c:pt>
                <c:pt idx="3">
                  <c:v>3.3479999999999999</c:v>
                </c:pt>
                <c:pt idx="4">
                  <c:v>2.2839999999999998</c:v>
                </c:pt>
                <c:pt idx="5">
                  <c:v>0.56599999999999995</c:v>
                </c:pt>
                <c:pt idx="6">
                  <c:v>0.182</c:v>
                </c:pt>
                <c:pt idx="7">
                  <c:v>-1.0489999999999999</c:v>
                </c:pt>
                <c:pt idx="8">
                  <c:v>-0.42499999999999999</c:v>
                </c:pt>
                <c:pt idx="9">
                  <c:v>0.57599999999999996</c:v>
                </c:pt>
                <c:pt idx="10">
                  <c:v>4.9020000000000001</c:v>
                </c:pt>
                <c:pt idx="11">
                  <c:v>2.0270000000000001</c:v>
                </c:pt>
                <c:pt idx="12">
                  <c:v>2.4220000000000002</c:v>
                </c:pt>
                <c:pt idx="13">
                  <c:v>3.4140000000000001</c:v>
                </c:pt>
                <c:pt idx="14">
                  <c:v>5.0510000000000002</c:v>
                </c:pt>
                <c:pt idx="15">
                  <c:v>1.7270000000000001</c:v>
                </c:pt>
                <c:pt idx="16">
                  <c:v>5.2489999999999997</c:v>
                </c:pt>
                <c:pt idx="17">
                  <c:v>3.9420000000000002</c:v>
                </c:pt>
                <c:pt idx="18">
                  <c:v>2.5950000000000002</c:v>
                </c:pt>
                <c:pt idx="19">
                  <c:v>6.1779999999999999</c:v>
                </c:pt>
                <c:pt idx="20">
                  <c:v>7.44</c:v>
                </c:pt>
                <c:pt idx="21">
                  <c:v>3.41</c:v>
                </c:pt>
                <c:pt idx="22">
                  <c:v>4.3609999999999998</c:v>
                </c:pt>
                <c:pt idx="23">
                  <c:v>6.4260000000000002</c:v>
                </c:pt>
                <c:pt idx="24">
                  <c:v>1.9370000000000001</c:v>
                </c:pt>
                <c:pt idx="25">
                  <c:v>0.247</c:v>
                </c:pt>
                <c:pt idx="26">
                  <c:v>-1.59</c:v>
                </c:pt>
                <c:pt idx="27">
                  <c:v>1.0409999999999999</c:v>
                </c:pt>
                <c:pt idx="28">
                  <c:v>3.452</c:v>
                </c:pt>
                <c:pt idx="29">
                  <c:v>4.6959999999999997</c:v>
                </c:pt>
                <c:pt idx="30">
                  <c:v>7.07</c:v>
                </c:pt>
                <c:pt idx="31">
                  <c:v>8.81</c:v>
                </c:pt>
                <c:pt idx="32">
                  <c:v>5.7869999999999999</c:v>
                </c:pt>
                <c:pt idx="33">
                  <c:v>4.8010000000000002</c:v>
                </c:pt>
                <c:pt idx="34">
                  <c:v>5.952</c:v>
                </c:pt>
                <c:pt idx="35">
                  <c:v>2.4910000000000001</c:v>
                </c:pt>
                <c:pt idx="36">
                  <c:v>8.0500000000000007</c:v>
                </c:pt>
                <c:pt idx="37">
                  <c:v>6.3460000000000001</c:v>
                </c:pt>
                <c:pt idx="38">
                  <c:v>7.8</c:v>
                </c:pt>
                <c:pt idx="39">
                  <c:v>5.4340000000000002</c:v>
                </c:pt>
                <c:pt idx="40">
                  <c:v>-7.32</c:v>
                </c:pt>
                <c:pt idx="41">
                  <c:v>-0.26500000000000001</c:v>
                </c:pt>
                <c:pt idx="42">
                  <c:v>1.627</c:v>
                </c:pt>
                <c:pt idx="43">
                  <c:v>4.8949999999999996</c:v>
                </c:pt>
                <c:pt idx="44">
                  <c:v>2.056</c:v>
                </c:pt>
                <c:pt idx="45">
                  <c:v>5.0970000000000004</c:v>
                </c:pt>
                <c:pt idx="46">
                  <c:v>3.5129999999999999</c:v>
                </c:pt>
                <c:pt idx="47">
                  <c:v>5.508</c:v>
                </c:pt>
                <c:pt idx="48">
                  <c:v>3.8769999999999998</c:v>
                </c:pt>
                <c:pt idx="49">
                  <c:v>7.09</c:v>
                </c:pt>
                <c:pt idx="50">
                  <c:v>6.61</c:v>
                </c:pt>
                <c:pt idx="51">
                  <c:v>4.2309999999999999</c:v>
                </c:pt>
                <c:pt idx="52">
                  <c:v>8.25</c:v>
                </c:pt>
                <c:pt idx="53">
                  <c:v>8.57</c:v>
                </c:pt>
                <c:pt idx="54">
                  <c:v>8.91</c:v>
                </c:pt>
                <c:pt idx="55">
                  <c:v>8.6</c:v>
                </c:pt>
                <c:pt idx="56">
                  <c:v>1.284</c:v>
                </c:pt>
                <c:pt idx="57">
                  <c:v>0.49099999999999999</c:v>
                </c:pt>
                <c:pt idx="58">
                  <c:v>3.2149999999999999</c:v>
                </c:pt>
                <c:pt idx="59">
                  <c:v>4.9400000000000004</c:v>
                </c:pt>
                <c:pt idx="60">
                  <c:v>6.0529999999999999</c:v>
                </c:pt>
                <c:pt idx="61">
                  <c:v>5.431</c:v>
                </c:pt>
                <c:pt idx="62">
                  <c:v>4.641</c:v>
                </c:pt>
                <c:pt idx="63">
                  <c:v>4.3579999999999997</c:v>
                </c:pt>
                <c:pt idx="64">
                  <c:v>5.5640000000000001</c:v>
                </c:pt>
                <c:pt idx="65">
                  <c:v>5.3049999999999997</c:v>
                </c:pt>
                <c:pt idx="66">
                  <c:v>4.1470000000000002</c:v>
                </c:pt>
                <c:pt idx="67">
                  <c:v>2.621</c:v>
                </c:pt>
                <c:pt idx="68">
                  <c:v>4.2300000000000004</c:v>
                </c:pt>
                <c:pt idx="69">
                  <c:v>3.5990000000000002</c:v>
                </c:pt>
                <c:pt idx="70">
                  <c:v>1.333</c:v>
                </c:pt>
                <c:pt idx="71">
                  <c:v>5.5670000000000002</c:v>
                </c:pt>
                <c:pt idx="72">
                  <c:v>3.5219999999999998</c:v>
                </c:pt>
                <c:pt idx="73">
                  <c:v>3.7810000000000001</c:v>
                </c:pt>
                <c:pt idx="74">
                  <c:v>4.1929999999999996</c:v>
                </c:pt>
                <c:pt idx="75">
                  <c:v>2.8029999999999999</c:v>
                </c:pt>
                <c:pt idx="76">
                  <c:v>1.8520000000000001</c:v>
                </c:pt>
                <c:pt idx="77">
                  <c:v>1.2290000000000001</c:v>
                </c:pt>
                <c:pt idx="78">
                  <c:v>3.6880000000000002</c:v>
                </c:pt>
                <c:pt idx="79">
                  <c:v>4.3150000000000004</c:v>
                </c:pt>
                <c:pt idx="80">
                  <c:v>0.46700000000000003</c:v>
                </c:pt>
                <c:pt idx="81">
                  <c:v>4.8070000000000004</c:v>
                </c:pt>
                <c:pt idx="82">
                  <c:v>2.8490000000000002</c:v>
                </c:pt>
                <c:pt idx="83">
                  <c:v>0.34499999999999997</c:v>
                </c:pt>
                <c:pt idx="84">
                  <c:v>-1.002</c:v>
                </c:pt>
                <c:pt idx="85">
                  <c:v>-2.419</c:v>
                </c:pt>
                <c:pt idx="86">
                  <c:v>0.84299999999999997</c:v>
                </c:pt>
                <c:pt idx="87">
                  <c:v>-1.3320000000000001</c:v>
                </c:pt>
                <c:pt idx="88">
                  <c:v>0.63600000000000001</c:v>
                </c:pt>
                <c:pt idx="89">
                  <c:v>1.839</c:v>
                </c:pt>
                <c:pt idx="90">
                  <c:v>0.33600000000000002</c:v>
                </c:pt>
                <c:pt idx="91">
                  <c:v>-1.077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947264"/>
        <c:axId val="229949440"/>
      </c:scatterChart>
      <c:valAx>
        <c:axId val="22994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3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49440"/>
        <c:crosses val="autoZero"/>
        <c:crossBetween val="midCat"/>
      </c:valAx>
      <c:valAx>
        <c:axId val="2299494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</a:t>
                </a:r>
                <a:r>
                  <a:rPr lang="en-CA" baseline="0"/>
                  <a:t> m</a:t>
                </a:r>
                <a:r>
                  <a:rPr lang="en-CA"/>
                  <a:t>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99472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Data!$G$66:$G$249</c:f>
              <c:numCache>
                <c:formatCode>General</c:formatCode>
                <c:ptCount val="184"/>
                <c:pt idx="0">
                  <c:v>-16.54</c:v>
                </c:pt>
                <c:pt idx="1">
                  <c:v>-13.63</c:v>
                </c:pt>
                <c:pt idx="2">
                  <c:v>-10.15</c:v>
                </c:pt>
                <c:pt idx="3">
                  <c:v>-11.13</c:v>
                </c:pt>
                <c:pt idx="4">
                  <c:v>-17.27</c:v>
                </c:pt>
                <c:pt idx="5">
                  <c:v>-19.059999999999999</c:v>
                </c:pt>
                <c:pt idx="6">
                  <c:v>-11.21</c:v>
                </c:pt>
                <c:pt idx="7">
                  <c:v>-5.1669999999999998</c:v>
                </c:pt>
                <c:pt idx="8">
                  <c:v>0.86799999999999999</c:v>
                </c:pt>
                <c:pt idx="9">
                  <c:v>1.7949999999999999</c:v>
                </c:pt>
                <c:pt idx="10">
                  <c:v>1.5940000000000001</c:v>
                </c:pt>
                <c:pt idx="11">
                  <c:v>-1.516</c:v>
                </c:pt>
                <c:pt idx="12">
                  <c:v>-3</c:v>
                </c:pt>
                <c:pt idx="13">
                  <c:v>1.079</c:v>
                </c:pt>
                <c:pt idx="14">
                  <c:v>-1.5720000000000001</c:v>
                </c:pt>
                <c:pt idx="15">
                  <c:v>-2.1829999999999998</c:v>
                </c:pt>
                <c:pt idx="16">
                  <c:v>0.33500000000000002</c:v>
                </c:pt>
                <c:pt idx="17">
                  <c:v>0.52300000000000002</c:v>
                </c:pt>
                <c:pt idx="18">
                  <c:v>-0.124</c:v>
                </c:pt>
                <c:pt idx="19">
                  <c:v>-1.069</c:v>
                </c:pt>
                <c:pt idx="20">
                  <c:v>-2.8809999999999998</c:v>
                </c:pt>
                <c:pt idx="21">
                  <c:v>-3.4289999999999998</c:v>
                </c:pt>
                <c:pt idx="22">
                  <c:v>-2.5310000000000001</c:v>
                </c:pt>
                <c:pt idx="23">
                  <c:v>-4.1239999999999997</c:v>
                </c:pt>
                <c:pt idx="24">
                  <c:v>-7.82</c:v>
                </c:pt>
                <c:pt idx="25">
                  <c:v>-7.1</c:v>
                </c:pt>
                <c:pt idx="26">
                  <c:v>-3.8519999999999999</c:v>
                </c:pt>
                <c:pt idx="27">
                  <c:v>-2.181</c:v>
                </c:pt>
                <c:pt idx="28">
                  <c:v>-0.60199999999999998</c:v>
                </c:pt>
                <c:pt idx="29">
                  <c:v>0.91900000000000004</c:v>
                </c:pt>
                <c:pt idx="30">
                  <c:v>2.6720000000000002</c:v>
                </c:pt>
                <c:pt idx="31">
                  <c:v>-0.114</c:v>
                </c:pt>
                <c:pt idx="32">
                  <c:v>-1.7330000000000001</c:v>
                </c:pt>
                <c:pt idx="33">
                  <c:v>2.3330000000000002</c:v>
                </c:pt>
                <c:pt idx="34">
                  <c:v>0.41799999999999998</c:v>
                </c:pt>
                <c:pt idx="35">
                  <c:v>-2.3439999999999999</c:v>
                </c:pt>
                <c:pt idx="36">
                  <c:v>0.93500000000000005</c:v>
                </c:pt>
                <c:pt idx="37">
                  <c:v>0.89500000000000002</c:v>
                </c:pt>
                <c:pt idx="38">
                  <c:v>-1.498</c:v>
                </c:pt>
                <c:pt idx="39">
                  <c:v>-1.0980000000000001</c:v>
                </c:pt>
                <c:pt idx="40">
                  <c:v>-2.052</c:v>
                </c:pt>
                <c:pt idx="41">
                  <c:v>-3.3620000000000001</c:v>
                </c:pt>
                <c:pt idx="42">
                  <c:v>-3.298</c:v>
                </c:pt>
                <c:pt idx="43">
                  <c:v>-0.69</c:v>
                </c:pt>
                <c:pt idx="44">
                  <c:v>-3.286</c:v>
                </c:pt>
                <c:pt idx="45">
                  <c:v>-3.665</c:v>
                </c:pt>
                <c:pt idx="46">
                  <c:v>-4.0019999999999998</c:v>
                </c:pt>
                <c:pt idx="47">
                  <c:v>-1.246</c:v>
                </c:pt>
                <c:pt idx="48">
                  <c:v>-0.92300000000000004</c:v>
                </c:pt>
                <c:pt idx="49">
                  <c:v>-2.093</c:v>
                </c:pt>
                <c:pt idx="50">
                  <c:v>-1.7689999999999999</c:v>
                </c:pt>
                <c:pt idx="51">
                  <c:v>-0.76300000000000001</c:v>
                </c:pt>
                <c:pt idx="52">
                  <c:v>1.0149999999999999</c:v>
                </c:pt>
                <c:pt idx="53">
                  <c:v>2.5249999999999999</c:v>
                </c:pt>
                <c:pt idx="54">
                  <c:v>1.9259999999999999</c:v>
                </c:pt>
                <c:pt idx="55">
                  <c:v>1.653</c:v>
                </c:pt>
                <c:pt idx="56">
                  <c:v>1.494</c:v>
                </c:pt>
                <c:pt idx="57">
                  <c:v>5.6749999999999998</c:v>
                </c:pt>
                <c:pt idx="58">
                  <c:v>3.0310000000000001</c:v>
                </c:pt>
                <c:pt idx="59">
                  <c:v>1.69</c:v>
                </c:pt>
                <c:pt idx="60">
                  <c:v>1.02</c:v>
                </c:pt>
                <c:pt idx="61">
                  <c:v>2.9430000000000001</c:v>
                </c:pt>
                <c:pt idx="62">
                  <c:v>3.0489999999999999</c:v>
                </c:pt>
                <c:pt idx="63">
                  <c:v>1.0629999999999999</c:v>
                </c:pt>
                <c:pt idx="64">
                  <c:v>1.4370000000000001</c:v>
                </c:pt>
                <c:pt idx="65">
                  <c:v>2.0150000000000001</c:v>
                </c:pt>
                <c:pt idx="66">
                  <c:v>4.28</c:v>
                </c:pt>
                <c:pt idx="67">
                  <c:v>5.21</c:v>
                </c:pt>
                <c:pt idx="68">
                  <c:v>5.77</c:v>
                </c:pt>
                <c:pt idx="69">
                  <c:v>6.46</c:v>
                </c:pt>
                <c:pt idx="70">
                  <c:v>4.1820000000000004</c:v>
                </c:pt>
                <c:pt idx="71">
                  <c:v>1.823</c:v>
                </c:pt>
                <c:pt idx="72">
                  <c:v>1.5780000000000001</c:v>
                </c:pt>
                <c:pt idx="73">
                  <c:v>5.056</c:v>
                </c:pt>
                <c:pt idx="74">
                  <c:v>5.8280000000000003</c:v>
                </c:pt>
                <c:pt idx="75">
                  <c:v>6.61</c:v>
                </c:pt>
                <c:pt idx="76">
                  <c:v>7.5</c:v>
                </c:pt>
                <c:pt idx="77">
                  <c:v>4.3280000000000003</c:v>
                </c:pt>
                <c:pt idx="78">
                  <c:v>3.06</c:v>
                </c:pt>
                <c:pt idx="79">
                  <c:v>2.524</c:v>
                </c:pt>
                <c:pt idx="80">
                  <c:v>2.12</c:v>
                </c:pt>
                <c:pt idx="81">
                  <c:v>3.3759999999999999</c:v>
                </c:pt>
                <c:pt idx="82">
                  <c:v>5.33</c:v>
                </c:pt>
                <c:pt idx="83">
                  <c:v>7.15</c:v>
                </c:pt>
                <c:pt idx="84">
                  <c:v>7.29</c:v>
                </c:pt>
                <c:pt idx="85">
                  <c:v>6.4009999999999998</c:v>
                </c:pt>
                <c:pt idx="86">
                  <c:v>6.3070000000000004</c:v>
                </c:pt>
                <c:pt idx="87">
                  <c:v>9.08</c:v>
                </c:pt>
                <c:pt idx="88">
                  <c:v>11.36</c:v>
                </c:pt>
                <c:pt idx="89">
                  <c:v>12.56</c:v>
                </c:pt>
                <c:pt idx="90">
                  <c:v>11.07</c:v>
                </c:pt>
                <c:pt idx="91">
                  <c:v>9.4499999999999993</c:v>
                </c:pt>
                <c:pt idx="92">
                  <c:v>11.17</c:v>
                </c:pt>
                <c:pt idx="93">
                  <c:v>11.09</c:v>
                </c:pt>
                <c:pt idx="94">
                  <c:v>11.35</c:v>
                </c:pt>
                <c:pt idx="95">
                  <c:v>10.1</c:v>
                </c:pt>
                <c:pt idx="96">
                  <c:v>4.0590000000000002</c:v>
                </c:pt>
                <c:pt idx="97">
                  <c:v>4.798</c:v>
                </c:pt>
                <c:pt idx="98">
                  <c:v>8.75</c:v>
                </c:pt>
                <c:pt idx="99">
                  <c:v>9.51</c:v>
                </c:pt>
                <c:pt idx="100">
                  <c:v>9.8699999999999992</c:v>
                </c:pt>
                <c:pt idx="101">
                  <c:v>9.9700000000000006</c:v>
                </c:pt>
                <c:pt idx="102">
                  <c:v>7.54</c:v>
                </c:pt>
                <c:pt idx="103">
                  <c:v>8.2200000000000006</c:v>
                </c:pt>
                <c:pt idx="104">
                  <c:v>5.9329999999999998</c:v>
                </c:pt>
                <c:pt idx="105">
                  <c:v>6.3949999999999996</c:v>
                </c:pt>
                <c:pt idx="106">
                  <c:v>8.3800000000000008</c:v>
                </c:pt>
                <c:pt idx="107">
                  <c:v>9.41</c:v>
                </c:pt>
                <c:pt idx="108">
                  <c:v>7.8</c:v>
                </c:pt>
                <c:pt idx="109">
                  <c:v>7.41</c:v>
                </c:pt>
                <c:pt idx="110">
                  <c:v>7.02</c:v>
                </c:pt>
                <c:pt idx="111">
                  <c:v>7.65</c:v>
                </c:pt>
                <c:pt idx="112">
                  <c:v>9.83</c:v>
                </c:pt>
                <c:pt idx="113">
                  <c:v>10.58</c:v>
                </c:pt>
                <c:pt idx="114">
                  <c:v>12.63</c:v>
                </c:pt>
                <c:pt idx="115">
                  <c:v>12.94</c:v>
                </c:pt>
                <c:pt idx="116">
                  <c:v>10.81</c:v>
                </c:pt>
                <c:pt idx="117">
                  <c:v>8.23</c:v>
                </c:pt>
                <c:pt idx="118">
                  <c:v>8.9600000000000009</c:v>
                </c:pt>
                <c:pt idx="119">
                  <c:v>12.33</c:v>
                </c:pt>
                <c:pt idx="120">
                  <c:v>13.56</c:v>
                </c:pt>
                <c:pt idx="121">
                  <c:v>15.2</c:v>
                </c:pt>
                <c:pt idx="122">
                  <c:v>16.39</c:v>
                </c:pt>
                <c:pt idx="123">
                  <c:v>11.46</c:v>
                </c:pt>
                <c:pt idx="124">
                  <c:v>10.06</c:v>
                </c:pt>
                <c:pt idx="125">
                  <c:v>8.4600000000000009</c:v>
                </c:pt>
                <c:pt idx="126">
                  <c:v>9.7200000000000006</c:v>
                </c:pt>
                <c:pt idx="127">
                  <c:v>9.94</c:v>
                </c:pt>
                <c:pt idx="128">
                  <c:v>11.2</c:v>
                </c:pt>
                <c:pt idx="129">
                  <c:v>11.68</c:v>
                </c:pt>
                <c:pt idx="130">
                  <c:v>13.74</c:v>
                </c:pt>
                <c:pt idx="131">
                  <c:v>9.23</c:v>
                </c:pt>
                <c:pt idx="132">
                  <c:v>8.75</c:v>
                </c:pt>
                <c:pt idx="133">
                  <c:v>8.9</c:v>
                </c:pt>
                <c:pt idx="134">
                  <c:v>11.19</c:v>
                </c:pt>
                <c:pt idx="135">
                  <c:v>11.16</c:v>
                </c:pt>
                <c:pt idx="136">
                  <c:v>11.03</c:v>
                </c:pt>
                <c:pt idx="137">
                  <c:v>12.99</c:v>
                </c:pt>
                <c:pt idx="138">
                  <c:v>13.4</c:v>
                </c:pt>
                <c:pt idx="139">
                  <c:v>13.47</c:v>
                </c:pt>
                <c:pt idx="140">
                  <c:v>14.18</c:v>
                </c:pt>
                <c:pt idx="141">
                  <c:v>15.24</c:v>
                </c:pt>
                <c:pt idx="142">
                  <c:v>12.73</c:v>
                </c:pt>
                <c:pt idx="143">
                  <c:v>14.18</c:v>
                </c:pt>
                <c:pt idx="144">
                  <c:v>11.33</c:v>
                </c:pt>
                <c:pt idx="145">
                  <c:v>11.56</c:v>
                </c:pt>
                <c:pt idx="146">
                  <c:v>10.63</c:v>
                </c:pt>
                <c:pt idx="147">
                  <c:v>10.85</c:v>
                </c:pt>
                <c:pt idx="148">
                  <c:v>7.71</c:v>
                </c:pt>
                <c:pt idx="149">
                  <c:v>9.64</c:v>
                </c:pt>
                <c:pt idx="150">
                  <c:v>5.01</c:v>
                </c:pt>
                <c:pt idx="151">
                  <c:v>8.6999999999999993</c:v>
                </c:pt>
                <c:pt idx="152">
                  <c:v>10.6</c:v>
                </c:pt>
                <c:pt idx="153">
                  <c:v>9.7899999999999991</c:v>
                </c:pt>
                <c:pt idx="154">
                  <c:v>9.9499999999999993</c:v>
                </c:pt>
                <c:pt idx="155">
                  <c:v>11.85</c:v>
                </c:pt>
                <c:pt idx="156">
                  <c:v>15.97</c:v>
                </c:pt>
                <c:pt idx="157">
                  <c:v>11.98</c:v>
                </c:pt>
                <c:pt idx="158">
                  <c:v>5.3810000000000002</c:v>
                </c:pt>
                <c:pt idx="159">
                  <c:v>6.6059999999999999</c:v>
                </c:pt>
                <c:pt idx="160">
                  <c:v>5.6429999999999998</c:v>
                </c:pt>
                <c:pt idx="161">
                  <c:v>8.42</c:v>
                </c:pt>
                <c:pt idx="162">
                  <c:v>9.73</c:v>
                </c:pt>
                <c:pt idx="163">
                  <c:v>8.15</c:v>
                </c:pt>
                <c:pt idx="164">
                  <c:v>4.5</c:v>
                </c:pt>
                <c:pt idx="165">
                  <c:v>7.56</c:v>
                </c:pt>
                <c:pt idx="166">
                  <c:v>8.01</c:v>
                </c:pt>
                <c:pt idx="167">
                  <c:v>6.1029999999999998</c:v>
                </c:pt>
                <c:pt idx="168">
                  <c:v>5.4160000000000004</c:v>
                </c:pt>
                <c:pt idx="169">
                  <c:v>3.4260000000000002</c:v>
                </c:pt>
                <c:pt idx="170">
                  <c:v>5.6760000000000002</c:v>
                </c:pt>
                <c:pt idx="171">
                  <c:v>7.83</c:v>
                </c:pt>
                <c:pt idx="172">
                  <c:v>9.6</c:v>
                </c:pt>
                <c:pt idx="173">
                  <c:v>11.9</c:v>
                </c:pt>
                <c:pt idx="174">
                  <c:v>9.1999999999999993</c:v>
                </c:pt>
                <c:pt idx="175">
                  <c:v>9.5399999999999991</c:v>
                </c:pt>
                <c:pt idx="176">
                  <c:v>5.8730000000000002</c:v>
                </c:pt>
                <c:pt idx="177">
                  <c:v>6.6660000000000004</c:v>
                </c:pt>
                <c:pt idx="178">
                  <c:v>7.29</c:v>
                </c:pt>
                <c:pt idx="179">
                  <c:v>8.0299999999999994</c:v>
                </c:pt>
                <c:pt idx="180">
                  <c:v>9.7799999999999994</c:v>
                </c:pt>
                <c:pt idx="181">
                  <c:v>5.4829999999999997</c:v>
                </c:pt>
                <c:pt idx="182">
                  <c:v>6.569</c:v>
                </c:pt>
                <c:pt idx="183">
                  <c:v>7.78</c:v>
                </c:pt>
              </c:numCache>
            </c:numRef>
          </c:xVal>
          <c:yVal>
            <c:numRef>
              <c:f>Data!$E$66:$E$249</c:f>
              <c:numCache>
                <c:formatCode>General</c:formatCode>
                <c:ptCount val="184"/>
                <c:pt idx="0">
                  <c:v>-16.059999999999999</c:v>
                </c:pt>
                <c:pt idx="1">
                  <c:v>-13.12</c:v>
                </c:pt>
                <c:pt idx="2">
                  <c:v>-9.5399999999999991</c:v>
                </c:pt>
                <c:pt idx="3">
                  <c:v>-10.81</c:v>
                </c:pt>
                <c:pt idx="4">
                  <c:v>-16.93</c:v>
                </c:pt>
                <c:pt idx="5">
                  <c:v>-18.899999999999999</c:v>
                </c:pt>
                <c:pt idx="6">
                  <c:v>-10.95</c:v>
                </c:pt>
                <c:pt idx="7">
                  <c:v>-4.7300000000000004</c:v>
                </c:pt>
                <c:pt idx="8">
                  <c:v>1.2090000000000001</c:v>
                </c:pt>
                <c:pt idx="9">
                  <c:v>2.2909999999999999</c:v>
                </c:pt>
                <c:pt idx="10">
                  <c:v>1.9510000000000001</c:v>
                </c:pt>
                <c:pt idx="11">
                  <c:v>-1.024</c:v>
                </c:pt>
                <c:pt idx="12">
                  <c:v>-2.4159999999999999</c:v>
                </c:pt>
                <c:pt idx="13">
                  <c:v>1.5980000000000001</c:v>
                </c:pt>
                <c:pt idx="14">
                  <c:v>-1.026</c:v>
                </c:pt>
                <c:pt idx="15">
                  <c:v>-1.609</c:v>
                </c:pt>
                <c:pt idx="16">
                  <c:v>0.91300000000000003</c:v>
                </c:pt>
                <c:pt idx="17">
                  <c:v>1.0469999999999999</c:v>
                </c:pt>
                <c:pt idx="18">
                  <c:v>0.42499999999999999</c:v>
                </c:pt>
                <c:pt idx="19">
                  <c:v>-0.85</c:v>
                </c:pt>
                <c:pt idx="20">
                  <c:v>-2.8380000000000001</c:v>
                </c:pt>
                <c:pt idx="21">
                  <c:v>-2.9809999999999999</c:v>
                </c:pt>
                <c:pt idx="22">
                  <c:v>-2.165</c:v>
                </c:pt>
                <c:pt idx="23">
                  <c:v>-4.0030000000000001</c:v>
                </c:pt>
                <c:pt idx="24">
                  <c:v>-7.9</c:v>
                </c:pt>
                <c:pt idx="25">
                  <c:v>-6.72</c:v>
                </c:pt>
                <c:pt idx="26">
                  <c:v>-3.39</c:v>
                </c:pt>
                <c:pt idx="27">
                  <c:v>-1.5069999999999999</c:v>
                </c:pt>
                <c:pt idx="28">
                  <c:v>-4.5999999999999999E-2</c:v>
                </c:pt>
                <c:pt idx="29">
                  <c:v>1.456</c:v>
                </c:pt>
                <c:pt idx="30">
                  <c:v>3.3879999999999999</c:v>
                </c:pt>
                <c:pt idx="31">
                  <c:v>0.36399999999999999</c:v>
                </c:pt>
                <c:pt idx="32">
                  <c:v>-1.321</c:v>
                </c:pt>
                <c:pt idx="33">
                  <c:v>2.645</c:v>
                </c:pt>
                <c:pt idx="34">
                  <c:v>1.0840000000000001</c:v>
                </c:pt>
                <c:pt idx="35">
                  <c:v>-2.0209999999999999</c:v>
                </c:pt>
                <c:pt idx="36">
                  <c:v>1.2130000000000001</c:v>
                </c:pt>
                <c:pt idx="37">
                  <c:v>1.357</c:v>
                </c:pt>
                <c:pt idx="38">
                  <c:v>-1.0009999999999999</c:v>
                </c:pt>
                <c:pt idx="39">
                  <c:v>-0.85499999999999998</c:v>
                </c:pt>
                <c:pt idx="40">
                  <c:v>-1.8859999999999999</c:v>
                </c:pt>
                <c:pt idx="41">
                  <c:v>-3.2080000000000002</c:v>
                </c:pt>
                <c:pt idx="42">
                  <c:v>-2.7869999999999999</c:v>
                </c:pt>
                <c:pt idx="43">
                  <c:v>-0.57299999999999995</c:v>
                </c:pt>
                <c:pt idx="44">
                  <c:v>-3.105</c:v>
                </c:pt>
                <c:pt idx="45">
                  <c:v>-3.3940000000000001</c:v>
                </c:pt>
                <c:pt idx="46">
                  <c:v>-3.6230000000000002</c:v>
                </c:pt>
                <c:pt idx="47">
                  <c:v>-0.48099999999999998</c:v>
                </c:pt>
                <c:pt idx="48">
                  <c:v>-0.64200000000000002</c:v>
                </c:pt>
                <c:pt idx="49">
                  <c:v>-1.7969999999999999</c:v>
                </c:pt>
                <c:pt idx="50">
                  <c:v>-1.766</c:v>
                </c:pt>
                <c:pt idx="51">
                  <c:v>-0.47299999999999998</c:v>
                </c:pt>
                <c:pt idx="52">
                  <c:v>1.383</c:v>
                </c:pt>
                <c:pt idx="53">
                  <c:v>2.9590000000000001</c:v>
                </c:pt>
                <c:pt idx="54">
                  <c:v>2.448</c:v>
                </c:pt>
                <c:pt idx="55">
                  <c:v>2.1949999999999998</c:v>
                </c:pt>
                <c:pt idx="56">
                  <c:v>2.0129999999999999</c:v>
                </c:pt>
                <c:pt idx="57">
                  <c:v>6.1630000000000003</c:v>
                </c:pt>
                <c:pt idx="58">
                  <c:v>3.746</c:v>
                </c:pt>
                <c:pt idx="59">
                  <c:v>2.0459999999999998</c:v>
                </c:pt>
                <c:pt idx="60">
                  <c:v>1.4139999999999999</c:v>
                </c:pt>
                <c:pt idx="61">
                  <c:v>3.4809999999999999</c:v>
                </c:pt>
                <c:pt idx="62">
                  <c:v>3.5169999999999999</c:v>
                </c:pt>
                <c:pt idx="63">
                  <c:v>1.3580000000000001</c:v>
                </c:pt>
                <c:pt idx="64">
                  <c:v>1.915</c:v>
                </c:pt>
                <c:pt idx="65">
                  <c:v>2.6080000000000001</c:v>
                </c:pt>
                <c:pt idx="66">
                  <c:v>4.7050000000000001</c:v>
                </c:pt>
                <c:pt idx="67">
                  <c:v>5.6669999999999998</c:v>
                </c:pt>
                <c:pt idx="68">
                  <c:v>6.407</c:v>
                </c:pt>
                <c:pt idx="69">
                  <c:v>7.09</c:v>
                </c:pt>
                <c:pt idx="70">
                  <c:v>4.6319999999999997</c:v>
                </c:pt>
                <c:pt idx="71">
                  <c:v>2.1960000000000002</c:v>
                </c:pt>
                <c:pt idx="72">
                  <c:v>1.756</c:v>
                </c:pt>
                <c:pt idx="73">
                  <c:v>5.3570000000000002</c:v>
                </c:pt>
                <c:pt idx="74">
                  <c:v>6.4580000000000002</c:v>
                </c:pt>
                <c:pt idx="75">
                  <c:v>7.01</c:v>
                </c:pt>
                <c:pt idx="76">
                  <c:v>7.84</c:v>
                </c:pt>
                <c:pt idx="77">
                  <c:v>4.702</c:v>
                </c:pt>
                <c:pt idx="78">
                  <c:v>3.1619999999999999</c:v>
                </c:pt>
                <c:pt idx="79">
                  <c:v>2.6379999999999999</c:v>
                </c:pt>
                <c:pt idx="80">
                  <c:v>2.3940000000000001</c:v>
                </c:pt>
                <c:pt idx="81">
                  <c:v>3.569</c:v>
                </c:pt>
                <c:pt idx="82">
                  <c:v>5.6459999999999999</c:v>
                </c:pt>
                <c:pt idx="83">
                  <c:v>7.43</c:v>
                </c:pt>
                <c:pt idx="84">
                  <c:v>7.45</c:v>
                </c:pt>
                <c:pt idx="85">
                  <c:v>6.5330000000000004</c:v>
                </c:pt>
                <c:pt idx="86">
                  <c:v>6.2960000000000003</c:v>
                </c:pt>
                <c:pt idx="87">
                  <c:v>9.1</c:v>
                </c:pt>
                <c:pt idx="88">
                  <c:v>11.42</c:v>
                </c:pt>
                <c:pt idx="89">
                  <c:v>12.64</c:v>
                </c:pt>
                <c:pt idx="90">
                  <c:v>11.17</c:v>
                </c:pt>
                <c:pt idx="91">
                  <c:v>9.48</c:v>
                </c:pt>
                <c:pt idx="92">
                  <c:v>11.09</c:v>
                </c:pt>
                <c:pt idx="93">
                  <c:v>11.2</c:v>
                </c:pt>
                <c:pt idx="94">
                  <c:v>11.3</c:v>
                </c:pt>
                <c:pt idx="95">
                  <c:v>10.16</c:v>
                </c:pt>
                <c:pt idx="96">
                  <c:v>4.1950000000000003</c:v>
                </c:pt>
                <c:pt idx="97">
                  <c:v>4.8929999999999998</c:v>
                </c:pt>
                <c:pt idx="98">
                  <c:v>8.7100000000000009</c:v>
                </c:pt>
                <c:pt idx="99">
                  <c:v>9.7100000000000009</c:v>
                </c:pt>
                <c:pt idx="100">
                  <c:v>9.8699999999999992</c:v>
                </c:pt>
                <c:pt idx="101">
                  <c:v>10.07</c:v>
                </c:pt>
                <c:pt idx="102">
                  <c:v>7.56</c:v>
                </c:pt>
                <c:pt idx="103">
                  <c:v>8.2799999999999994</c:v>
                </c:pt>
                <c:pt idx="104">
                  <c:v>5.798</c:v>
                </c:pt>
                <c:pt idx="105">
                  <c:v>6.4169999999999998</c:v>
                </c:pt>
                <c:pt idx="106">
                  <c:v>8.3000000000000007</c:v>
                </c:pt>
                <c:pt idx="107">
                  <c:v>9.49</c:v>
                </c:pt>
                <c:pt idx="108">
                  <c:v>7.85</c:v>
                </c:pt>
                <c:pt idx="109">
                  <c:v>7.4</c:v>
                </c:pt>
                <c:pt idx="110">
                  <c:v>7.01</c:v>
                </c:pt>
                <c:pt idx="111">
                  <c:v>7.75</c:v>
                </c:pt>
                <c:pt idx="112">
                  <c:v>9.67</c:v>
                </c:pt>
                <c:pt idx="113">
                  <c:v>10.6</c:v>
                </c:pt>
                <c:pt idx="114">
                  <c:v>12.65</c:v>
                </c:pt>
                <c:pt idx="115">
                  <c:v>13.12</c:v>
                </c:pt>
                <c:pt idx="116">
                  <c:v>10.98</c:v>
                </c:pt>
                <c:pt idx="117">
                  <c:v>8.5399999999999991</c:v>
                </c:pt>
                <c:pt idx="118">
                  <c:v>9.16</c:v>
                </c:pt>
                <c:pt idx="119">
                  <c:v>12.54</c:v>
                </c:pt>
                <c:pt idx="120">
                  <c:v>13.84</c:v>
                </c:pt>
                <c:pt idx="121">
                  <c:v>15.45</c:v>
                </c:pt>
                <c:pt idx="122">
                  <c:v>16.62</c:v>
                </c:pt>
                <c:pt idx="123">
                  <c:v>11.64</c:v>
                </c:pt>
                <c:pt idx="124">
                  <c:v>10.119999999999999</c:v>
                </c:pt>
                <c:pt idx="125">
                  <c:v>8.5</c:v>
                </c:pt>
                <c:pt idx="126">
                  <c:v>9.73</c:v>
                </c:pt>
                <c:pt idx="127">
                  <c:v>10.15</c:v>
                </c:pt>
                <c:pt idx="128">
                  <c:v>11.31</c:v>
                </c:pt>
                <c:pt idx="129">
                  <c:v>11.85</c:v>
                </c:pt>
                <c:pt idx="130">
                  <c:v>13.84</c:v>
                </c:pt>
                <c:pt idx="131">
                  <c:v>9.26</c:v>
                </c:pt>
                <c:pt idx="132">
                  <c:v>8.85</c:v>
                </c:pt>
                <c:pt idx="133">
                  <c:v>8.99</c:v>
                </c:pt>
                <c:pt idx="134">
                  <c:v>11.33</c:v>
                </c:pt>
                <c:pt idx="135">
                  <c:v>11.23</c:v>
                </c:pt>
                <c:pt idx="136">
                  <c:v>11.2</c:v>
                </c:pt>
                <c:pt idx="137">
                  <c:v>13.1</c:v>
                </c:pt>
                <c:pt idx="138">
                  <c:v>13.59</c:v>
                </c:pt>
                <c:pt idx="139">
                  <c:v>13.66</c:v>
                </c:pt>
                <c:pt idx="140">
                  <c:v>14.4</c:v>
                </c:pt>
                <c:pt idx="141">
                  <c:v>15.56</c:v>
                </c:pt>
                <c:pt idx="142">
                  <c:v>12.96</c:v>
                </c:pt>
                <c:pt idx="143">
                  <c:v>14.32</c:v>
                </c:pt>
                <c:pt idx="144">
                  <c:v>11.49</c:v>
                </c:pt>
                <c:pt idx="145">
                  <c:v>11.59</c:v>
                </c:pt>
                <c:pt idx="146">
                  <c:v>10.72</c:v>
                </c:pt>
                <c:pt idx="147">
                  <c:v>10.91</c:v>
                </c:pt>
                <c:pt idx="148">
                  <c:v>7.69</c:v>
                </c:pt>
                <c:pt idx="149">
                  <c:v>9.83</c:v>
                </c:pt>
                <c:pt idx="150">
                  <c:v>5.1589999999999998</c:v>
                </c:pt>
                <c:pt idx="151">
                  <c:v>8.6</c:v>
                </c:pt>
                <c:pt idx="152">
                  <c:v>10.7</c:v>
                </c:pt>
                <c:pt idx="153">
                  <c:v>9.92</c:v>
                </c:pt>
                <c:pt idx="154">
                  <c:v>10.07</c:v>
                </c:pt>
                <c:pt idx="155">
                  <c:v>11.88</c:v>
                </c:pt>
                <c:pt idx="156">
                  <c:v>16.12</c:v>
                </c:pt>
                <c:pt idx="157">
                  <c:v>12.28</c:v>
                </c:pt>
                <c:pt idx="158">
                  <c:v>5.4340000000000002</c:v>
                </c:pt>
                <c:pt idx="159">
                  <c:v>6.65</c:v>
                </c:pt>
                <c:pt idx="160">
                  <c:v>5.7880000000000003</c:v>
                </c:pt>
                <c:pt idx="161">
                  <c:v>8.43</c:v>
                </c:pt>
                <c:pt idx="162">
                  <c:v>10.08</c:v>
                </c:pt>
                <c:pt idx="163">
                  <c:v>8.26</c:v>
                </c:pt>
                <c:pt idx="164">
                  <c:v>4.5990000000000002</c:v>
                </c:pt>
                <c:pt idx="165">
                  <c:v>7.57</c:v>
                </c:pt>
                <c:pt idx="166">
                  <c:v>8.4</c:v>
                </c:pt>
                <c:pt idx="167">
                  <c:v>6.3310000000000004</c:v>
                </c:pt>
                <c:pt idx="168">
                  <c:v>5.4589999999999996</c:v>
                </c:pt>
                <c:pt idx="169">
                  <c:v>3.6150000000000002</c:v>
                </c:pt>
                <c:pt idx="170">
                  <c:v>5.774</c:v>
                </c:pt>
                <c:pt idx="171">
                  <c:v>7.97</c:v>
                </c:pt>
                <c:pt idx="172">
                  <c:v>9.9</c:v>
                </c:pt>
                <c:pt idx="173">
                  <c:v>12.33</c:v>
                </c:pt>
                <c:pt idx="174">
                  <c:v>9.48</c:v>
                </c:pt>
                <c:pt idx="175">
                  <c:v>9.7899999999999991</c:v>
                </c:pt>
                <c:pt idx="176">
                  <c:v>6.1130000000000004</c:v>
                </c:pt>
                <c:pt idx="177">
                  <c:v>6.8460000000000001</c:v>
                </c:pt>
                <c:pt idx="178">
                  <c:v>7.52</c:v>
                </c:pt>
                <c:pt idx="179">
                  <c:v>8.24</c:v>
                </c:pt>
                <c:pt idx="180">
                  <c:v>9.7899999999999991</c:v>
                </c:pt>
                <c:pt idx="181">
                  <c:v>5.69</c:v>
                </c:pt>
                <c:pt idx="182">
                  <c:v>6.6950000000000003</c:v>
                </c:pt>
                <c:pt idx="183">
                  <c:v>7.98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171776"/>
        <c:axId val="230173696"/>
      </c:scatterChart>
      <c:valAx>
        <c:axId val="230171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3m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0173696"/>
        <c:crosses val="autoZero"/>
        <c:crossBetween val="midCat"/>
      </c:valAx>
      <c:valAx>
        <c:axId val="2301736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01717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Data!$V$66:$V$249</c:f>
              <c:numCache>
                <c:formatCode>General</c:formatCode>
                <c:ptCount val="184"/>
                <c:pt idx="0">
                  <c:v>-0.106</c:v>
                </c:pt>
                <c:pt idx="1">
                  <c:v>-0.54</c:v>
                </c:pt>
                <c:pt idx="2">
                  <c:v>3.5209999999999999</c:v>
                </c:pt>
                <c:pt idx="3">
                  <c:v>-4.7389999999999999</c:v>
                </c:pt>
                <c:pt idx="4">
                  <c:v>-9.32</c:v>
                </c:pt>
                <c:pt idx="5">
                  <c:v>-6.4379999999999997</c:v>
                </c:pt>
                <c:pt idx="6">
                  <c:v>-3.0379999999999998</c:v>
                </c:pt>
                <c:pt idx="7">
                  <c:v>-1.9850000000000001</c:v>
                </c:pt>
                <c:pt idx="8">
                  <c:v>3.5659999999999998</c:v>
                </c:pt>
                <c:pt idx="9">
                  <c:v>6.0209999999999999</c:v>
                </c:pt>
                <c:pt idx="10">
                  <c:v>7.79</c:v>
                </c:pt>
                <c:pt idx="11">
                  <c:v>2.0670000000000002</c:v>
                </c:pt>
                <c:pt idx="12">
                  <c:v>2.6379999999999999</c:v>
                </c:pt>
                <c:pt idx="13">
                  <c:v>7.74</c:v>
                </c:pt>
                <c:pt idx="14">
                  <c:v>3.1859999999999999</c:v>
                </c:pt>
                <c:pt idx="15">
                  <c:v>7.01</c:v>
                </c:pt>
                <c:pt idx="16">
                  <c:v>6.915</c:v>
                </c:pt>
                <c:pt idx="17">
                  <c:v>3.24</c:v>
                </c:pt>
                <c:pt idx="18">
                  <c:v>6.0220000000000002</c:v>
                </c:pt>
                <c:pt idx="19">
                  <c:v>5.3220000000000001</c:v>
                </c:pt>
                <c:pt idx="20">
                  <c:v>3.6520000000000001</c:v>
                </c:pt>
                <c:pt idx="21">
                  <c:v>4.2460000000000004</c:v>
                </c:pt>
                <c:pt idx="22">
                  <c:v>2.4940000000000002</c:v>
                </c:pt>
                <c:pt idx="23">
                  <c:v>2.5619999999999998</c:v>
                </c:pt>
                <c:pt idx="24">
                  <c:v>5.617</c:v>
                </c:pt>
                <c:pt idx="25">
                  <c:v>5.2649999999999997</c:v>
                </c:pt>
                <c:pt idx="26">
                  <c:v>10.1</c:v>
                </c:pt>
                <c:pt idx="27">
                  <c:v>10.72</c:v>
                </c:pt>
                <c:pt idx="28">
                  <c:v>11.17</c:v>
                </c:pt>
                <c:pt idx="29">
                  <c:v>13.9</c:v>
                </c:pt>
                <c:pt idx="30">
                  <c:v>12.33</c:v>
                </c:pt>
                <c:pt idx="31">
                  <c:v>5.5309999999999997</c:v>
                </c:pt>
                <c:pt idx="32">
                  <c:v>0.91700000000000004</c:v>
                </c:pt>
                <c:pt idx="33">
                  <c:v>10.87</c:v>
                </c:pt>
                <c:pt idx="34">
                  <c:v>5.4960000000000004</c:v>
                </c:pt>
                <c:pt idx="35">
                  <c:v>4.758</c:v>
                </c:pt>
                <c:pt idx="36">
                  <c:v>8.76</c:v>
                </c:pt>
                <c:pt idx="37">
                  <c:v>6.6470000000000002</c:v>
                </c:pt>
                <c:pt idx="38">
                  <c:v>1.3009999999999999</c:v>
                </c:pt>
                <c:pt idx="39">
                  <c:v>7.24</c:v>
                </c:pt>
                <c:pt idx="40">
                  <c:v>5.1829999999999998</c:v>
                </c:pt>
                <c:pt idx="41">
                  <c:v>7.09</c:v>
                </c:pt>
                <c:pt idx="42">
                  <c:v>5.266</c:v>
                </c:pt>
                <c:pt idx="43">
                  <c:v>3.7069999999999999</c:v>
                </c:pt>
                <c:pt idx="44">
                  <c:v>1.4810000000000001</c:v>
                </c:pt>
                <c:pt idx="45">
                  <c:v>5.3319999999999999</c:v>
                </c:pt>
                <c:pt idx="46">
                  <c:v>7.82</c:v>
                </c:pt>
                <c:pt idx="47">
                  <c:v>4.2069999999999999</c:v>
                </c:pt>
                <c:pt idx="48">
                  <c:v>8.4600000000000009</c:v>
                </c:pt>
                <c:pt idx="49">
                  <c:v>2.2709999999999999</c:v>
                </c:pt>
                <c:pt idx="50">
                  <c:v>7.87</c:v>
                </c:pt>
                <c:pt idx="51">
                  <c:v>9.33</c:v>
                </c:pt>
                <c:pt idx="52">
                  <c:v>12.02</c:v>
                </c:pt>
                <c:pt idx="53">
                  <c:v>13.12</c:v>
                </c:pt>
                <c:pt idx="54">
                  <c:v>7.56</c:v>
                </c:pt>
                <c:pt idx="55">
                  <c:v>12.97</c:v>
                </c:pt>
                <c:pt idx="56">
                  <c:v>6.734</c:v>
                </c:pt>
                <c:pt idx="57">
                  <c:v>10.67</c:v>
                </c:pt>
                <c:pt idx="58">
                  <c:v>9.8000000000000007</c:v>
                </c:pt>
                <c:pt idx="59">
                  <c:v>8.7799999999999994</c:v>
                </c:pt>
                <c:pt idx="60">
                  <c:v>6.01</c:v>
                </c:pt>
                <c:pt idx="61">
                  <c:v>10.62</c:v>
                </c:pt>
                <c:pt idx="62">
                  <c:v>9.4499999999999993</c:v>
                </c:pt>
                <c:pt idx="63">
                  <c:v>8.68</c:v>
                </c:pt>
                <c:pt idx="64">
                  <c:v>12.35</c:v>
                </c:pt>
                <c:pt idx="65">
                  <c:v>6.3440000000000003</c:v>
                </c:pt>
                <c:pt idx="66">
                  <c:v>12.55</c:v>
                </c:pt>
                <c:pt idx="67">
                  <c:v>12.84</c:v>
                </c:pt>
                <c:pt idx="68">
                  <c:v>13.57</c:v>
                </c:pt>
                <c:pt idx="69">
                  <c:v>15.23</c:v>
                </c:pt>
                <c:pt idx="70">
                  <c:v>12.59</c:v>
                </c:pt>
                <c:pt idx="71">
                  <c:v>4.556</c:v>
                </c:pt>
                <c:pt idx="72">
                  <c:v>7.85</c:v>
                </c:pt>
                <c:pt idx="73">
                  <c:v>16.64</c:v>
                </c:pt>
                <c:pt idx="74">
                  <c:v>13.97</c:v>
                </c:pt>
                <c:pt idx="75">
                  <c:v>16.170000000000002</c:v>
                </c:pt>
                <c:pt idx="76">
                  <c:v>18.850000000000001</c:v>
                </c:pt>
                <c:pt idx="77">
                  <c:v>12.24</c:v>
                </c:pt>
                <c:pt idx="78">
                  <c:v>8.6999999999999993</c:v>
                </c:pt>
                <c:pt idx="79">
                  <c:v>11.22</c:v>
                </c:pt>
                <c:pt idx="80">
                  <c:v>8.31</c:v>
                </c:pt>
                <c:pt idx="81">
                  <c:v>13.1</c:v>
                </c:pt>
                <c:pt idx="82">
                  <c:v>15.83</c:v>
                </c:pt>
                <c:pt idx="83">
                  <c:v>17.420000000000002</c:v>
                </c:pt>
                <c:pt idx="84">
                  <c:v>16.95</c:v>
                </c:pt>
                <c:pt idx="85">
                  <c:v>15.45</c:v>
                </c:pt>
                <c:pt idx="86">
                  <c:v>16.57</c:v>
                </c:pt>
                <c:pt idx="87">
                  <c:v>20.48</c:v>
                </c:pt>
                <c:pt idx="88">
                  <c:v>24.03</c:v>
                </c:pt>
                <c:pt idx="89">
                  <c:v>23.63</c:v>
                </c:pt>
                <c:pt idx="90">
                  <c:v>20.87</c:v>
                </c:pt>
                <c:pt idx="91">
                  <c:v>18.75</c:v>
                </c:pt>
                <c:pt idx="92">
                  <c:v>21.86</c:v>
                </c:pt>
                <c:pt idx="93">
                  <c:v>19.36</c:v>
                </c:pt>
                <c:pt idx="94">
                  <c:v>21.57</c:v>
                </c:pt>
                <c:pt idx="95">
                  <c:v>18.57</c:v>
                </c:pt>
                <c:pt idx="96">
                  <c:v>5.7930000000000001</c:v>
                </c:pt>
                <c:pt idx="97">
                  <c:v>8.11</c:v>
                </c:pt>
                <c:pt idx="98">
                  <c:v>18.940000000000001</c:v>
                </c:pt>
                <c:pt idx="99">
                  <c:v>19.2</c:v>
                </c:pt>
                <c:pt idx="100">
                  <c:v>19.809999999999999</c:v>
                </c:pt>
                <c:pt idx="101">
                  <c:v>19.37</c:v>
                </c:pt>
                <c:pt idx="102">
                  <c:v>12.01</c:v>
                </c:pt>
                <c:pt idx="103">
                  <c:v>14.84</c:v>
                </c:pt>
                <c:pt idx="104">
                  <c:v>12.12</c:v>
                </c:pt>
                <c:pt idx="105">
                  <c:v>10.32</c:v>
                </c:pt>
                <c:pt idx="106">
                  <c:v>14.71</c:v>
                </c:pt>
                <c:pt idx="107">
                  <c:v>16.37</c:v>
                </c:pt>
                <c:pt idx="108">
                  <c:v>12.53</c:v>
                </c:pt>
                <c:pt idx="109">
                  <c:v>13.51</c:v>
                </c:pt>
                <c:pt idx="110">
                  <c:v>11.23</c:v>
                </c:pt>
                <c:pt idx="111">
                  <c:v>9.82</c:v>
                </c:pt>
                <c:pt idx="112">
                  <c:v>17.600000000000001</c:v>
                </c:pt>
                <c:pt idx="113">
                  <c:v>20.14</c:v>
                </c:pt>
                <c:pt idx="114">
                  <c:v>20.83</c:v>
                </c:pt>
                <c:pt idx="115">
                  <c:v>20.13</c:v>
                </c:pt>
                <c:pt idx="116">
                  <c:v>19.170000000000002</c:v>
                </c:pt>
                <c:pt idx="117">
                  <c:v>14.7</c:v>
                </c:pt>
                <c:pt idx="118">
                  <c:v>18.55</c:v>
                </c:pt>
                <c:pt idx="119">
                  <c:v>22.42</c:v>
                </c:pt>
                <c:pt idx="120">
                  <c:v>23.67</c:v>
                </c:pt>
                <c:pt idx="121">
                  <c:v>24.49</c:v>
                </c:pt>
                <c:pt idx="122">
                  <c:v>24.31</c:v>
                </c:pt>
                <c:pt idx="123">
                  <c:v>15.77</c:v>
                </c:pt>
                <c:pt idx="124">
                  <c:v>16.88</c:v>
                </c:pt>
                <c:pt idx="125">
                  <c:v>13.02</c:v>
                </c:pt>
                <c:pt idx="126">
                  <c:v>17.309999999999999</c:v>
                </c:pt>
                <c:pt idx="127">
                  <c:v>16.97</c:v>
                </c:pt>
                <c:pt idx="128">
                  <c:v>17.670000000000002</c:v>
                </c:pt>
                <c:pt idx="129">
                  <c:v>20.11</c:v>
                </c:pt>
                <c:pt idx="130">
                  <c:v>21.58</c:v>
                </c:pt>
                <c:pt idx="131">
                  <c:v>14.99</c:v>
                </c:pt>
                <c:pt idx="132">
                  <c:v>15.61</c:v>
                </c:pt>
                <c:pt idx="133">
                  <c:v>17.82</c:v>
                </c:pt>
                <c:pt idx="134">
                  <c:v>19.350000000000001</c:v>
                </c:pt>
                <c:pt idx="135">
                  <c:v>17.899999999999999</c:v>
                </c:pt>
                <c:pt idx="136">
                  <c:v>20.13</c:v>
                </c:pt>
                <c:pt idx="137">
                  <c:v>21.78</c:v>
                </c:pt>
                <c:pt idx="138">
                  <c:v>22.67</c:v>
                </c:pt>
                <c:pt idx="139">
                  <c:v>22.1</c:v>
                </c:pt>
                <c:pt idx="140">
                  <c:v>24.83</c:v>
                </c:pt>
                <c:pt idx="141">
                  <c:v>21.96</c:v>
                </c:pt>
                <c:pt idx="142">
                  <c:v>21.41</c:v>
                </c:pt>
                <c:pt idx="143">
                  <c:v>22.65</c:v>
                </c:pt>
                <c:pt idx="144">
                  <c:v>15.61</c:v>
                </c:pt>
                <c:pt idx="145">
                  <c:v>16.53</c:v>
                </c:pt>
                <c:pt idx="146">
                  <c:v>14.97</c:v>
                </c:pt>
                <c:pt idx="147">
                  <c:v>15.2</c:v>
                </c:pt>
                <c:pt idx="148">
                  <c:v>14.13</c:v>
                </c:pt>
                <c:pt idx="149">
                  <c:v>17.510000000000002</c:v>
                </c:pt>
                <c:pt idx="150">
                  <c:v>8.4600000000000009</c:v>
                </c:pt>
                <c:pt idx="151">
                  <c:v>16.66</c:v>
                </c:pt>
                <c:pt idx="152">
                  <c:v>17.07</c:v>
                </c:pt>
                <c:pt idx="153">
                  <c:v>15.17</c:v>
                </c:pt>
                <c:pt idx="154">
                  <c:v>16.02</c:v>
                </c:pt>
                <c:pt idx="155">
                  <c:v>21.05</c:v>
                </c:pt>
                <c:pt idx="156">
                  <c:v>25.2</c:v>
                </c:pt>
                <c:pt idx="157">
                  <c:v>15.18</c:v>
                </c:pt>
                <c:pt idx="158">
                  <c:v>7.62</c:v>
                </c:pt>
                <c:pt idx="159">
                  <c:v>11.03</c:v>
                </c:pt>
                <c:pt idx="160">
                  <c:v>9.94</c:v>
                </c:pt>
                <c:pt idx="161">
                  <c:v>16.55</c:v>
                </c:pt>
                <c:pt idx="162">
                  <c:v>16.649999999999999</c:v>
                </c:pt>
                <c:pt idx="163">
                  <c:v>13.8</c:v>
                </c:pt>
                <c:pt idx="164">
                  <c:v>5.9169999999999998</c:v>
                </c:pt>
                <c:pt idx="165">
                  <c:v>15.58</c:v>
                </c:pt>
                <c:pt idx="166">
                  <c:v>11.64</c:v>
                </c:pt>
                <c:pt idx="167">
                  <c:v>11.19</c:v>
                </c:pt>
                <c:pt idx="168">
                  <c:v>11.69</c:v>
                </c:pt>
                <c:pt idx="169">
                  <c:v>7.27</c:v>
                </c:pt>
                <c:pt idx="170">
                  <c:v>9.91</c:v>
                </c:pt>
                <c:pt idx="171">
                  <c:v>14.83</c:v>
                </c:pt>
                <c:pt idx="172">
                  <c:v>18.920000000000002</c:v>
                </c:pt>
                <c:pt idx="173">
                  <c:v>20.55</c:v>
                </c:pt>
                <c:pt idx="174">
                  <c:v>20.07</c:v>
                </c:pt>
                <c:pt idx="175">
                  <c:v>18.2</c:v>
                </c:pt>
                <c:pt idx="176">
                  <c:v>12.83</c:v>
                </c:pt>
                <c:pt idx="177">
                  <c:v>16.079999999999998</c:v>
                </c:pt>
                <c:pt idx="178">
                  <c:v>13.93</c:v>
                </c:pt>
                <c:pt idx="179">
                  <c:v>16.41</c:v>
                </c:pt>
                <c:pt idx="180">
                  <c:v>17.88</c:v>
                </c:pt>
                <c:pt idx="181">
                  <c:v>10.87</c:v>
                </c:pt>
                <c:pt idx="182">
                  <c:v>14.99</c:v>
                </c:pt>
                <c:pt idx="183">
                  <c:v>17.489999999999998</c:v>
                </c:pt>
              </c:numCache>
            </c:numRef>
          </c:xVal>
          <c:yVal>
            <c:numRef>
              <c:f>Data!$R$66:$R$249</c:f>
              <c:numCache>
                <c:formatCode>General</c:formatCode>
                <c:ptCount val="184"/>
                <c:pt idx="0">
                  <c:v>-3.5259999999999998</c:v>
                </c:pt>
                <c:pt idx="1">
                  <c:v>-2.2959999999999998</c:v>
                </c:pt>
                <c:pt idx="2">
                  <c:v>1.5660000000000001</c:v>
                </c:pt>
                <c:pt idx="3">
                  <c:v>-5.9359999999999999</c:v>
                </c:pt>
                <c:pt idx="4">
                  <c:v>-10.92</c:v>
                </c:pt>
                <c:pt idx="5">
                  <c:v>-9.48</c:v>
                </c:pt>
                <c:pt idx="6">
                  <c:v>-4.4969999999999999</c:v>
                </c:pt>
                <c:pt idx="7">
                  <c:v>-1.9950000000000001</c:v>
                </c:pt>
                <c:pt idx="8">
                  <c:v>4.05</c:v>
                </c:pt>
                <c:pt idx="9">
                  <c:v>4.827</c:v>
                </c:pt>
                <c:pt idx="10">
                  <c:v>5.4279999999999999</c:v>
                </c:pt>
                <c:pt idx="11">
                  <c:v>1.9339999999999999</c:v>
                </c:pt>
                <c:pt idx="12">
                  <c:v>1.6339999999999999</c:v>
                </c:pt>
                <c:pt idx="13">
                  <c:v>6.24</c:v>
                </c:pt>
                <c:pt idx="14">
                  <c:v>2.7650000000000001</c:v>
                </c:pt>
                <c:pt idx="15">
                  <c:v>5.4160000000000004</c:v>
                </c:pt>
                <c:pt idx="16">
                  <c:v>5.226</c:v>
                </c:pt>
                <c:pt idx="17">
                  <c:v>3.0070000000000001</c:v>
                </c:pt>
                <c:pt idx="18">
                  <c:v>4.3659999999999997</c:v>
                </c:pt>
                <c:pt idx="19">
                  <c:v>2.899</c:v>
                </c:pt>
                <c:pt idx="20">
                  <c:v>0.89200000000000002</c:v>
                </c:pt>
                <c:pt idx="21">
                  <c:v>2.472</c:v>
                </c:pt>
                <c:pt idx="22">
                  <c:v>1.3620000000000001</c:v>
                </c:pt>
                <c:pt idx="23">
                  <c:v>-3.9E-2</c:v>
                </c:pt>
                <c:pt idx="24">
                  <c:v>1.149</c:v>
                </c:pt>
                <c:pt idx="25">
                  <c:v>3.004</c:v>
                </c:pt>
                <c:pt idx="26">
                  <c:v>7.94</c:v>
                </c:pt>
                <c:pt idx="27">
                  <c:v>8.9700000000000006</c:v>
                </c:pt>
                <c:pt idx="28">
                  <c:v>9.5299999999999994</c:v>
                </c:pt>
                <c:pt idx="29">
                  <c:v>11.35</c:v>
                </c:pt>
                <c:pt idx="30">
                  <c:v>11.33</c:v>
                </c:pt>
                <c:pt idx="31">
                  <c:v>4.359</c:v>
                </c:pt>
                <c:pt idx="32">
                  <c:v>0.60399999999999998</c:v>
                </c:pt>
                <c:pt idx="33">
                  <c:v>9.2200000000000006</c:v>
                </c:pt>
                <c:pt idx="34">
                  <c:v>5.3819999999999997</c:v>
                </c:pt>
                <c:pt idx="35">
                  <c:v>3.2530000000000001</c:v>
                </c:pt>
                <c:pt idx="36">
                  <c:v>6.4539999999999997</c:v>
                </c:pt>
                <c:pt idx="37">
                  <c:v>5.27</c:v>
                </c:pt>
                <c:pt idx="38">
                  <c:v>1.1739999999999999</c:v>
                </c:pt>
                <c:pt idx="39">
                  <c:v>4.05</c:v>
                </c:pt>
                <c:pt idx="40">
                  <c:v>3.2759999999999998</c:v>
                </c:pt>
                <c:pt idx="41">
                  <c:v>2.9369999999999998</c:v>
                </c:pt>
                <c:pt idx="42">
                  <c:v>3.5609999999999999</c:v>
                </c:pt>
                <c:pt idx="43">
                  <c:v>2.044</c:v>
                </c:pt>
                <c:pt idx="44">
                  <c:v>-0.30199999999999999</c:v>
                </c:pt>
                <c:pt idx="45">
                  <c:v>2.41</c:v>
                </c:pt>
                <c:pt idx="46">
                  <c:v>5.4640000000000004</c:v>
                </c:pt>
                <c:pt idx="47">
                  <c:v>3.1040000000000001</c:v>
                </c:pt>
                <c:pt idx="48">
                  <c:v>4.9989999999999997</c:v>
                </c:pt>
                <c:pt idx="49">
                  <c:v>0.52100000000000002</c:v>
                </c:pt>
                <c:pt idx="50">
                  <c:v>5.59</c:v>
                </c:pt>
                <c:pt idx="51">
                  <c:v>7.06</c:v>
                </c:pt>
                <c:pt idx="52">
                  <c:v>9.77</c:v>
                </c:pt>
                <c:pt idx="53">
                  <c:v>11.54</c:v>
                </c:pt>
                <c:pt idx="54">
                  <c:v>6.9370000000000003</c:v>
                </c:pt>
                <c:pt idx="55">
                  <c:v>10.58</c:v>
                </c:pt>
                <c:pt idx="56">
                  <c:v>6.8280000000000003</c:v>
                </c:pt>
                <c:pt idx="57">
                  <c:v>9.5</c:v>
                </c:pt>
                <c:pt idx="58">
                  <c:v>9.2100000000000009</c:v>
                </c:pt>
                <c:pt idx="59">
                  <c:v>6.4340000000000002</c:v>
                </c:pt>
                <c:pt idx="60">
                  <c:v>5.01</c:v>
                </c:pt>
                <c:pt idx="61">
                  <c:v>9.02</c:v>
                </c:pt>
                <c:pt idx="62">
                  <c:v>8.7799999999999994</c:v>
                </c:pt>
                <c:pt idx="63">
                  <c:v>5.1159999999999997</c:v>
                </c:pt>
                <c:pt idx="64">
                  <c:v>8.23</c:v>
                </c:pt>
                <c:pt idx="65">
                  <c:v>6.5780000000000003</c:v>
                </c:pt>
                <c:pt idx="66">
                  <c:v>10.06</c:v>
                </c:pt>
                <c:pt idx="67">
                  <c:v>11.32</c:v>
                </c:pt>
                <c:pt idx="68">
                  <c:v>12.76</c:v>
                </c:pt>
                <c:pt idx="69">
                  <c:v>13.83</c:v>
                </c:pt>
                <c:pt idx="70">
                  <c:v>10.19</c:v>
                </c:pt>
                <c:pt idx="71">
                  <c:v>4.1909999999999998</c:v>
                </c:pt>
                <c:pt idx="72">
                  <c:v>5.4480000000000004</c:v>
                </c:pt>
                <c:pt idx="73">
                  <c:v>14.47</c:v>
                </c:pt>
                <c:pt idx="74">
                  <c:v>13.6</c:v>
                </c:pt>
                <c:pt idx="75">
                  <c:v>14.73</c:v>
                </c:pt>
                <c:pt idx="76">
                  <c:v>16.59</c:v>
                </c:pt>
                <c:pt idx="77">
                  <c:v>10.49</c:v>
                </c:pt>
                <c:pt idx="78">
                  <c:v>7.27</c:v>
                </c:pt>
                <c:pt idx="79">
                  <c:v>9.8800000000000008</c:v>
                </c:pt>
                <c:pt idx="80">
                  <c:v>7</c:v>
                </c:pt>
                <c:pt idx="81">
                  <c:v>11.18</c:v>
                </c:pt>
                <c:pt idx="82">
                  <c:v>14.13</c:v>
                </c:pt>
                <c:pt idx="83">
                  <c:v>15.99</c:v>
                </c:pt>
                <c:pt idx="84">
                  <c:v>15.7</c:v>
                </c:pt>
                <c:pt idx="85">
                  <c:v>12.89</c:v>
                </c:pt>
                <c:pt idx="86">
                  <c:v>15.05</c:v>
                </c:pt>
                <c:pt idx="87">
                  <c:v>19.2</c:v>
                </c:pt>
                <c:pt idx="88">
                  <c:v>22.07</c:v>
                </c:pt>
                <c:pt idx="89">
                  <c:v>22.49</c:v>
                </c:pt>
                <c:pt idx="90">
                  <c:v>19.34</c:v>
                </c:pt>
                <c:pt idx="91">
                  <c:v>17.34</c:v>
                </c:pt>
                <c:pt idx="92">
                  <c:v>19.47</c:v>
                </c:pt>
                <c:pt idx="93">
                  <c:v>17.32</c:v>
                </c:pt>
                <c:pt idx="94">
                  <c:v>19.93</c:v>
                </c:pt>
                <c:pt idx="95">
                  <c:v>16.86</c:v>
                </c:pt>
                <c:pt idx="96">
                  <c:v>5.9390000000000001</c:v>
                </c:pt>
                <c:pt idx="97">
                  <c:v>7.59</c:v>
                </c:pt>
                <c:pt idx="98">
                  <c:v>16.36</c:v>
                </c:pt>
                <c:pt idx="99">
                  <c:v>17.850000000000001</c:v>
                </c:pt>
                <c:pt idx="100">
                  <c:v>18</c:v>
                </c:pt>
                <c:pt idx="101">
                  <c:v>17.329999999999998</c:v>
                </c:pt>
                <c:pt idx="102">
                  <c:v>10.49</c:v>
                </c:pt>
                <c:pt idx="103">
                  <c:v>13.25</c:v>
                </c:pt>
                <c:pt idx="104">
                  <c:v>10.6</c:v>
                </c:pt>
                <c:pt idx="105">
                  <c:v>9.7799999999999994</c:v>
                </c:pt>
                <c:pt idx="106">
                  <c:v>13.71</c:v>
                </c:pt>
                <c:pt idx="107">
                  <c:v>14.42</c:v>
                </c:pt>
                <c:pt idx="108">
                  <c:v>11.57</c:v>
                </c:pt>
                <c:pt idx="109">
                  <c:v>12.68</c:v>
                </c:pt>
                <c:pt idx="110">
                  <c:v>10.56</c:v>
                </c:pt>
                <c:pt idx="111">
                  <c:v>9.49</c:v>
                </c:pt>
                <c:pt idx="112">
                  <c:v>15.87</c:v>
                </c:pt>
                <c:pt idx="113">
                  <c:v>17.73</c:v>
                </c:pt>
                <c:pt idx="114">
                  <c:v>19.73</c:v>
                </c:pt>
                <c:pt idx="115">
                  <c:v>18.91</c:v>
                </c:pt>
                <c:pt idx="116">
                  <c:v>18.13</c:v>
                </c:pt>
                <c:pt idx="117">
                  <c:v>13.5</c:v>
                </c:pt>
                <c:pt idx="118">
                  <c:v>17.100000000000001</c:v>
                </c:pt>
                <c:pt idx="119">
                  <c:v>21.13</c:v>
                </c:pt>
                <c:pt idx="120">
                  <c:v>22.11</c:v>
                </c:pt>
                <c:pt idx="121">
                  <c:v>23.38</c:v>
                </c:pt>
                <c:pt idx="122">
                  <c:v>23.26</c:v>
                </c:pt>
                <c:pt idx="123">
                  <c:v>16.12</c:v>
                </c:pt>
                <c:pt idx="124">
                  <c:v>15.29</c:v>
                </c:pt>
                <c:pt idx="125">
                  <c:v>12.02</c:v>
                </c:pt>
                <c:pt idx="126">
                  <c:v>16.18</c:v>
                </c:pt>
                <c:pt idx="127">
                  <c:v>15.25</c:v>
                </c:pt>
                <c:pt idx="128">
                  <c:v>16.239999999999998</c:v>
                </c:pt>
                <c:pt idx="129">
                  <c:v>18.16</c:v>
                </c:pt>
                <c:pt idx="130">
                  <c:v>20.149999999999999</c:v>
                </c:pt>
                <c:pt idx="131">
                  <c:v>13.76</c:v>
                </c:pt>
                <c:pt idx="132">
                  <c:v>14.61</c:v>
                </c:pt>
                <c:pt idx="133">
                  <c:v>16.43</c:v>
                </c:pt>
                <c:pt idx="134">
                  <c:v>17.86</c:v>
                </c:pt>
                <c:pt idx="135">
                  <c:v>16.649999999999999</c:v>
                </c:pt>
                <c:pt idx="136">
                  <c:v>18.510000000000002</c:v>
                </c:pt>
                <c:pt idx="137">
                  <c:v>20.239999999999998</c:v>
                </c:pt>
                <c:pt idx="138">
                  <c:v>21.09</c:v>
                </c:pt>
                <c:pt idx="139">
                  <c:v>20.93</c:v>
                </c:pt>
                <c:pt idx="140">
                  <c:v>22.91</c:v>
                </c:pt>
                <c:pt idx="141">
                  <c:v>21.05</c:v>
                </c:pt>
                <c:pt idx="142">
                  <c:v>19.04</c:v>
                </c:pt>
                <c:pt idx="143">
                  <c:v>21.46</c:v>
                </c:pt>
                <c:pt idx="144">
                  <c:v>14.66</c:v>
                </c:pt>
                <c:pt idx="145">
                  <c:v>15.61</c:v>
                </c:pt>
                <c:pt idx="146">
                  <c:v>14.05</c:v>
                </c:pt>
                <c:pt idx="147">
                  <c:v>14.46</c:v>
                </c:pt>
                <c:pt idx="148">
                  <c:v>12.77</c:v>
                </c:pt>
                <c:pt idx="149">
                  <c:v>16.21</c:v>
                </c:pt>
                <c:pt idx="150">
                  <c:v>8.82</c:v>
                </c:pt>
                <c:pt idx="151">
                  <c:v>14.47</c:v>
                </c:pt>
                <c:pt idx="152">
                  <c:v>15.75</c:v>
                </c:pt>
                <c:pt idx="153">
                  <c:v>14.25</c:v>
                </c:pt>
                <c:pt idx="154">
                  <c:v>14.07</c:v>
                </c:pt>
                <c:pt idx="155">
                  <c:v>19.190000000000001</c:v>
                </c:pt>
                <c:pt idx="156">
                  <c:v>23.83</c:v>
                </c:pt>
                <c:pt idx="157">
                  <c:v>15.59</c:v>
                </c:pt>
                <c:pt idx="158">
                  <c:v>7.58</c:v>
                </c:pt>
                <c:pt idx="159">
                  <c:v>9.5</c:v>
                </c:pt>
                <c:pt idx="160">
                  <c:v>8.9600000000000009</c:v>
                </c:pt>
                <c:pt idx="161">
                  <c:v>15.09</c:v>
                </c:pt>
                <c:pt idx="162">
                  <c:v>16.260000000000002</c:v>
                </c:pt>
                <c:pt idx="163">
                  <c:v>12.15</c:v>
                </c:pt>
                <c:pt idx="164">
                  <c:v>5.6630000000000003</c:v>
                </c:pt>
                <c:pt idx="165">
                  <c:v>13.92</c:v>
                </c:pt>
                <c:pt idx="166">
                  <c:v>10.01</c:v>
                </c:pt>
                <c:pt idx="167">
                  <c:v>9.9499999999999993</c:v>
                </c:pt>
                <c:pt idx="168">
                  <c:v>10.02</c:v>
                </c:pt>
                <c:pt idx="169">
                  <c:v>6.9109999999999996</c:v>
                </c:pt>
                <c:pt idx="170">
                  <c:v>9.4499999999999993</c:v>
                </c:pt>
                <c:pt idx="171">
                  <c:v>13.51</c:v>
                </c:pt>
                <c:pt idx="172">
                  <c:v>17.37</c:v>
                </c:pt>
                <c:pt idx="173">
                  <c:v>18.89</c:v>
                </c:pt>
                <c:pt idx="174">
                  <c:v>18.05</c:v>
                </c:pt>
                <c:pt idx="175">
                  <c:v>17.64</c:v>
                </c:pt>
                <c:pt idx="176">
                  <c:v>11.56</c:v>
                </c:pt>
                <c:pt idx="177">
                  <c:v>15.19</c:v>
                </c:pt>
                <c:pt idx="178">
                  <c:v>13.2</c:v>
                </c:pt>
                <c:pt idx="179">
                  <c:v>15.24</c:v>
                </c:pt>
                <c:pt idx="180">
                  <c:v>17.54</c:v>
                </c:pt>
                <c:pt idx="181">
                  <c:v>9.8000000000000007</c:v>
                </c:pt>
                <c:pt idx="182">
                  <c:v>13.73</c:v>
                </c:pt>
                <c:pt idx="183">
                  <c:v>17.21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195584"/>
        <c:axId val="230197504"/>
      </c:scatterChart>
      <c:valAx>
        <c:axId val="230195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3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0197504"/>
        <c:crosses val="autoZero"/>
        <c:crossBetween val="midCat"/>
      </c:valAx>
      <c:valAx>
        <c:axId val="230197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</a:t>
                </a:r>
                <a:r>
                  <a:rPr lang="en-CA" baseline="0"/>
                  <a:t> m</a:t>
                </a:r>
                <a:r>
                  <a:rPr lang="en-CA"/>
                  <a:t>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01955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3672353455818"/>
                  <c:y val="-9.295166229221348E-2"/>
                </c:manualLayout>
              </c:layout>
              <c:numFmt formatCode="General" sourceLinked="0"/>
            </c:trendlineLbl>
          </c:trendline>
          <c:xVal>
            <c:numRef>
              <c:f>Data!$AJ$66:$AJ$249</c:f>
              <c:numCache>
                <c:formatCode>General</c:formatCode>
                <c:ptCount val="184"/>
                <c:pt idx="0">
                  <c:v>-27.08</c:v>
                </c:pt>
                <c:pt idx="1">
                  <c:v>-24.13</c:v>
                </c:pt>
                <c:pt idx="2">
                  <c:v>-20.03</c:v>
                </c:pt>
                <c:pt idx="3">
                  <c:v>-15.12</c:v>
                </c:pt>
                <c:pt idx="4">
                  <c:v>-25.32</c:v>
                </c:pt>
                <c:pt idx="5">
                  <c:v>-28.18</c:v>
                </c:pt>
                <c:pt idx="6">
                  <c:v>-23.28</c:v>
                </c:pt>
                <c:pt idx="7">
                  <c:v>-10.01</c:v>
                </c:pt>
                <c:pt idx="8">
                  <c:v>-2.52</c:v>
                </c:pt>
                <c:pt idx="9">
                  <c:v>-1.3160000000000001</c:v>
                </c:pt>
                <c:pt idx="10">
                  <c:v>-0.47099999999999997</c:v>
                </c:pt>
                <c:pt idx="11">
                  <c:v>-10.34</c:v>
                </c:pt>
                <c:pt idx="12">
                  <c:v>-11.07</c:v>
                </c:pt>
                <c:pt idx="13">
                  <c:v>-2.653</c:v>
                </c:pt>
                <c:pt idx="14">
                  <c:v>-5.8879999999999999</c:v>
                </c:pt>
                <c:pt idx="15">
                  <c:v>-9.93</c:v>
                </c:pt>
                <c:pt idx="16">
                  <c:v>-7.28</c:v>
                </c:pt>
                <c:pt idx="17">
                  <c:v>-2.4420000000000002</c:v>
                </c:pt>
                <c:pt idx="18">
                  <c:v>-4.149</c:v>
                </c:pt>
                <c:pt idx="19">
                  <c:v>-4.24</c:v>
                </c:pt>
                <c:pt idx="20">
                  <c:v>-7.72</c:v>
                </c:pt>
                <c:pt idx="21">
                  <c:v>-9.66</c:v>
                </c:pt>
                <c:pt idx="22">
                  <c:v>-6.2279999999999998</c:v>
                </c:pt>
                <c:pt idx="23">
                  <c:v>-8.06</c:v>
                </c:pt>
                <c:pt idx="24">
                  <c:v>-18</c:v>
                </c:pt>
                <c:pt idx="25">
                  <c:v>-17.97</c:v>
                </c:pt>
                <c:pt idx="26">
                  <c:v>-15.04</c:v>
                </c:pt>
                <c:pt idx="27">
                  <c:v>-12.63</c:v>
                </c:pt>
                <c:pt idx="28">
                  <c:v>-9.6</c:v>
                </c:pt>
                <c:pt idx="29">
                  <c:v>-7.21</c:v>
                </c:pt>
                <c:pt idx="30">
                  <c:v>-8.4600000000000009</c:v>
                </c:pt>
                <c:pt idx="31">
                  <c:v>-3.2549999999999999</c:v>
                </c:pt>
                <c:pt idx="32">
                  <c:v>-5.4960000000000004</c:v>
                </c:pt>
                <c:pt idx="33">
                  <c:v>-2.081</c:v>
                </c:pt>
                <c:pt idx="34">
                  <c:v>-8.75</c:v>
                </c:pt>
                <c:pt idx="35">
                  <c:v>-9.42</c:v>
                </c:pt>
                <c:pt idx="36">
                  <c:v>-6.0279999999999996</c:v>
                </c:pt>
                <c:pt idx="37">
                  <c:v>-3.2160000000000002</c:v>
                </c:pt>
                <c:pt idx="38">
                  <c:v>-4.3639999999999999</c:v>
                </c:pt>
                <c:pt idx="39">
                  <c:v>-4.2990000000000004</c:v>
                </c:pt>
                <c:pt idx="40">
                  <c:v>-9.4499999999999993</c:v>
                </c:pt>
                <c:pt idx="41">
                  <c:v>-13.38</c:v>
                </c:pt>
                <c:pt idx="42">
                  <c:v>-14.5</c:v>
                </c:pt>
                <c:pt idx="43">
                  <c:v>-3.6589999999999998</c:v>
                </c:pt>
                <c:pt idx="44">
                  <c:v>-4.7380000000000004</c:v>
                </c:pt>
                <c:pt idx="45">
                  <c:v>-12.17</c:v>
                </c:pt>
                <c:pt idx="46">
                  <c:v>-15.55</c:v>
                </c:pt>
                <c:pt idx="47">
                  <c:v>-6.2789999999999999</c:v>
                </c:pt>
                <c:pt idx="48">
                  <c:v>-5.7220000000000004</c:v>
                </c:pt>
                <c:pt idx="49">
                  <c:v>-7.02</c:v>
                </c:pt>
                <c:pt idx="50">
                  <c:v>-8.8699999999999992</c:v>
                </c:pt>
                <c:pt idx="51">
                  <c:v>-10.84</c:v>
                </c:pt>
                <c:pt idx="52">
                  <c:v>-8.68</c:v>
                </c:pt>
                <c:pt idx="53">
                  <c:v>-8.25</c:v>
                </c:pt>
                <c:pt idx="54">
                  <c:v>-4.1630000000000003</c:v>
                </c:pt>
                <c:pt idx="55">
                  <c:v>-6.7809999999999997</c:v>
                </c:pt>
                <c:pt idx="56">
                  <c:v>-4.9279999999999999</c:v>
                </c:pt>
                <c:pt idx="57">
                  <c:v>-1.4239999999999999</c:v>
                </c:pt>
                <c:pt idx="58">
                  <c:v>-3.1480000000000001</c:v>
                </c:pt>
                <c:pt idx="59">
                  <c:v>-2.653</c:v>
                </c:pt>
                <c:pt idx="60">
                  <c:v>-2.9340000000000002</c:v>
                </c:pt>
                <c:pt idx="61">
                  <c:v>-3.42</c:v>
                </c:pt>
                <c:pt idx="62">
                  <c:v>-2.1829999999999998</c:v>
                </c:pt>
                <c:pt idx="63">
                  <c:v>-2.7040000000000002</c:v>
                </c:pt>
                <c:pt idx="64">
                  <c:v>-4.8540000000000001</c:v>
                </c:pt>
                <c:pt idx="65">
                  <c:v>-3.5129999999999999</c:v>
                </c:pt>
                <c:pt idx="66">
                  <c:v>-2.419</c:v>
                </c:pt>
                <c:pt idx="67">
                  <c:v>-2.1179999999999999</c:v>
                </c:pt>
                <c:pt idx="68">
                  <c:v>-2.528</c:v>
                </c:pt>
                <c:pt idx="69">
                  <c:v>-1.3420000000000001</c:v>
                </c:pt>
                <c:pt idx="70">
                  <c:v>-0.67900000000000005</c:v>
                </c:pt>
                <c:pt idx="71">
                  <c:v>1.7000000000000001E-2</c:v>
                </c:pt>
                <c:pt idx="72">
                  <c:v>-1.4630000000000001</c:v>
                </c:pt>
                <c:pt idx="73">
                  <c:v>-4.3239999999999998</c:v>
                </c:pt>
                <c:pt idx="74">
                  <c:v>-2.827</c:v>
                </c:pt>
                <c:pt idx="75">
                  <c:v>-1.647</c:v>
                </c:pt>
                <c:pt idx="76">
                  <c:v>-2.5089999999999999</c:v>
                </c:pt>
                <c:pt idx="77">
                  <c:v>0.33</c:v>
                </c:pt>
                <c:pt idx="78">
                  <c:v>-3.1840000000000002</c:v>
                </c:pt>
                <c:pt idx="79">
                  <c:v>-6.0579999999999998</c:v>
                </c:pt>
                <c:pt idx="80">
                  <c:v>-4.26</c:v>
                </c:pt>
                <c:pt idx="81">
                  <c:v>-5.8170000000000002</c:v>
                </c:pt>
                <c:pt idx="82">
                  <c:v>-5.1150000000000002</c:v>
                </c:pt>
                <c:pt idx="83">
                  <c:v>-3.4769999999999999</c:v>
                </c:pt>
                <c:pt idx="84">
                  <c:v>-2.1440000000000001</c:v>
                </c:pt>
                <c:pt idx="85">
                  <c:v>-1.728</c:v>
                </c:pt>
                <c:pt idx="86">
                  <c:v>-3.7450000000000001</c:v>
                </c:pt>
                <c:pt idx="87">
                  <c:v>-2.456</c:v>
                </c:pt>
                <c:pt idx="88">
                  <c:v>-0.99399999999999999</c:v>
                </c:pt>
                <c:pt idx="89">
                  <c:v>0.60399999999999998</c:v>
                </c:pt>
                <c:pt idx="90">
                  <c:v>1.056</c:v>
                </c:pt>
                <c:pt idx="91">
                  <c:v>-0.88</c:v>
                </c:pt>
                <c:pt idx="92">
                  <c:v>1.0580000000000001</c:v>
                </c:pt>
                <c:pt idx="93">
                  <c:v>2.1080000000000001</c:v>
                </c:pt>
                <c:pt idx="94">
                  <c:v>0.94899999999999995</c:v>
                </c:pt>
                <c:pt idx="95">
                  <c:v>2.8340000000000001</c:v>
                </c:pt>
                <c:pt idx="96">
                  <c:v>2.0750000000000002</c:v>
                </c:pt>
                <c:pt idx="97">
                  <c:v>-5.5E-2</c:v>
                </c:pt>
                <c:pt idx="98">
                  <c:v>-0.39800000000000002</c:v>
                </c:pt>
                <c:pt idx="99">
                  <c:v>-1.581</c:v>
                </c:pt>
                <c:pt idx="100">
                  <c:v>-0.997</c:v>
                </c:pt>
                <c:pt idx="101">
                  <c:v>2.3E-2</c:v>
                </c:pt>
                <c:pt idx="102">
                  <c:v>4.7460000000000004</c:v>
                </c:pt>
                <c:pt idx="103">
                  <c:v>1.0780000000000001</c:v>
                </c:pt>
                <c:pt idx="104">
                  <c:v>2.0430000000000001</c:v>
                </c:pt>
                <c:pt idx="105">
                  <c:v>3.1509999999999998</c:v>
                </c:pt>
                <c:pt idx="106">
                  <c:v>4.8410000000000002</c:v>
                </c:pt>
                <c:pt idx="107">
                  <c:v>1.2450000000000001</c:v>
                </c:pt>
                <c:pt idx="108">
                  <c:v>4.9969999999999999</c:v>
                </c:pt>
                <c:pt idx="109">
                  <c:v>3.621</c:v>
                </c:pt>
                <c:pt idx="110">
                  <c:v>2.052</c:v>
                </c:pt>
                <c:pt idx="111">
                  <c:v>5.99</c:v>
                </c:pt>
                <c:pt idx="112">
                  <c:v>7.14</c:v>
                </c:pt>
                <c:pt idx="113">
                  <c:v>2.931</c:v>
                </c:pt>
                <c:pt idx="114">
                  <c:v>3.8730000000000002</c:v>
                </c:pt>
                <c:pt idx="115">
                  <c:v>5.2569999999999997</c:v>
                </c:pt>
                <c:pt idx="116">
                  <c:v>1.3129999999999999</c:v>
                </c:pt>
                <c:pt idx="117">
                  <c:v>-0.54100000000000004</c:v>
                </c:pt>
                <c:pt idx="118">
                  <c:v>-2.1800000000000002</c:v>
                </c:pt>
                <c:pt idx="119">
                  <c:v>0.252</c:v>
                </c:pt>
                <c:pt idx="120">
                  <c:v>2.5950000000000002</c:v>
                </c:pt>
                <c:pt idx="121">
                  <c:v>3.7930000000000001</c:v>
                </c:pt>
                <c:pt idx="122">
                  <c:v>6.1280000000000001</c:v>
                </c:pt>
                <c:pt idx="123">
                  <c:v>8.44</c:v>
                </c:pt>
                <c:pt idx="124">
                  <c:v>4.6959999999999997</c:v>
                </c:pt>
                <c:pt idx="125">
                  <c:v>4.0140000000000002</c:v>
                </c:pt>
                <c:pt idx="126">
                  <c:v>5.1980000000000004</c:v>
                </c:pt>
                <c:pt idx="127">
                  <c:v>1.786</c:v>
                </c:pt>
                <c:pt idx="128">
                  <c:v>7.28</c:v>
                </c:pt>
                <c:pt idx="129">
                  <c:v>5.548</c:v>
                </c:pt>
                <c:pt idx="130">
                  <c:v>7.23</c:v>
                </c:pt>
                <c:pt idx="131">
                  <c:v>5.056</c:v>
                </c:pt>
                <c:pt idx="132">
                  <c:v>2.077</c:v>
                </c:pt>
                <c:pt idx="133">
                  <c:v>-0.76500000000000001</c:v>
                </c:pt>
                <c:pt idx="134">
                  <c:v>0.996</c:v>
                </c:pt>
                <c:pt idx="135">
                  <c:v>4.0350000000000001</c:v>
                </c:pt>
                <c:pt idx="136">
                  <c:v>1.321</c:v>
                </c:pt>
                <c:pt idx="137">
                  <c:v>4.383</c:v>
                </c:pt>
                <c:pt idx="138">
                  <c:v>2.7189999999999999</c:v>
                </c:pt>
                <c:pt idx="139">
                  <c:v>4.6740000000000004</c:v>
                </c:pt>
                <c:pt idx="140">
                  <c:v>3.113</c:v>
                </c:pt>
                <c:pt idx="141">
                  <c:v>6.1950000000000003</c:v>
                </c:pt>
                <c:pt idx="142">
                  <c:v>5.6660000000000004</c:v>
                </c:pt>
                <c:pt idx="143">
                  <c:v>3.5059999999999998</c:v>
                </c:pt>
                <c:pt idx="144">
                  <c:v>7.56</c:v>
                </c:pt>
                <c:pt idx="145">
                  <c:v>8.1999999999999993</c:v>
                </c:pt>
                <c:pt idx="146">
                  <c:v>8.51</c:v>
                </c:pt>
                <c:pt idx="147">
                  <c:v>8.18</c:v>
                </c:pt>
                <c:pt idx="148">
                  <c:v>0.61599999999999999</c:v>
                </c:pt>
                <c:pt idx="149">
                  <c:v>-0.111</c:v>
                </c:pt>
                <c:pt idx="150">
                  <c:v>3.125</c:v>
                </c:pt>
                <c:pt idx="151">
                  <c:v>4.7329999999999997</c:v>
                </c:pt>
                <c:pt idx="152">
                  <c:v>5.1130000000000004</c:v>
                </c:pt>
                <c:pt idx="153">
                  <c:v>4.6319999999999997</c:v>
                </c:pt>
                <c:pt idx="154">
                  <c:v>4.0469999999999997</c:v>
                </c:pt>
                <c:pt idx="155">
                  <c:v>3.714</c:v>
                </c:pt>
                <c:pt idx="156">
                  <c:v>4.8109999999999999</c:v>
                </c:pt>
                <c:pt idx="157">
                  <c:v>5.1079999999999997</c:v>
                </c:pt>
                <c:pt idx="158">
                  <c:v>4.0270000000000001</c:v>
                </c:pt>
                <c:pt idx="159">
                  <c:v>2.29</c:v>
                </c:pt>
                <c:pt idx="160">
                  <c:v>4.0250000000000004</c:v>
                </c:pt>
                <c:pt idx="161">
                  <c:v>2.7440000000000002</c:v>
                </c:pt>
                <c:pt idx="162">
                  <c:v>0.68700000000000006</c:v>
                </c:pt>
                <c:pt idx="163">
                  <c:v>5.0720000000000001</c:v>
                </c:pt>
                <c:pt idx="164">
                  <c:v>2.9790000000000001</c:v>
                </c:pt>
                <c:pt idx="165">
                  <c:v>3.0179999999999998</c:v>
                </c:pt>
                <c:pt idx="166">
                  <c:v>3.367</c:v>
                </c:pt>
                <c:pt idx="167">
                  <c:v>1.9510000000000001</c:v>
                </c:pt>
                <c:pt idx="168">
                  <c:v>1.1180000000000001</c:v>
                </c:pt>
                <c:pt idx="169">
                  <c:v>0.77300000000000002</c:v>
                </c:pt>
                <c:pt idx="170">
                  <c:v>3.3479999999999999</c:v>
                </c:pt>
                <c:pt idx="171">
                  <c:v>3.6890000000000001</c:v>
                </c:pt>
                <c:pt idx="172">
                  <c:v>-0.14799999999999999</c:v>
                </c:pt>
                <c:pt idx="173">
                  <c:v>3.5329999999999999</c:v>
                </c:pt>
                <c:pt idx="174">
                  <c:v>1.9359999999999999</c:v>
                </c:pt>
                <c:pt idx="175">
                  <c:v>-0.40899999999999997</c:v>
                </c:pt>
                <c:pt idx="176">
                  <c:v>-1.7170000000000001</c:v>
                </c:pt>
                <c:pt idx="177">
                  <c:v>-3.125</c:v>
                </c:pt>
                <c:pt idx="178">
                  <c:v>5.0000000000000001E-3</c:v>
                </c:pt>
                <c:pt idx="179">
                  <c:v>-2.0659999999999998</c:v>
                </c:pt>
                <c:pt idx="180">
                  <c:v>-6.3E-2</c:v>
                </c:pt>
                <c:pt idx="181">
                  <c:v>1.0089999999999999</c:v>
                </c:pt>
                <c:pt idx="182">
                  <c:v>-0.30499999999999999</c:v>
                </c:pt>
                <c:pt idx="183">
                  <c:v>-1.67</c:v>
                </c:pt>
              </c:numCache>
            </c:numRef>
          </c:xVal>
          <c:yVal>
            <c:numRef>
              <c:f>Data!$AF$66:$AF$249</c:f>
              <c:numCache>
                <c:formatCode>General</c:formatCode>
                <c:ptCount val="184"/>
                <c:pt idx="0">
                  <c:v>-26.18</c:v>
                </c:pt>
                <c:pt idx="1">
                  <c:v>-23.26</c:v>
                </c:pt>
                <c:pt idx="2">
                  <c:v>-18.91</c:v>
                </c:pt>
                <c:pt idx="3">
                  <c:v>-14.7</c:v>
                </c:pt>
                <c:pt idx="4">
                  <c:v>-24.61</c:v>
                </c:pt>
                <c:pt idx="5">
                  <c:v>-27.55</c:v>
                </c:pt>
                <c:pt idx="6">
                  <c:v>-22.54</c:v>
                </c:pt>
                <c:pt idx="7">
                  <c:v>-8.7100000000000009</c:v>
                </c:pt>
                <c:pt idx="8">
                  <c:v>-1.9570000000000001</c:v>
                </c:pt>
                <c:pt idx="9">
                  <c:v>0.60499999999999998</c:v>
                </c:pt>
                <c:pt idx="10">
                  <c:v>8.6999999999999994E-2</c:v>
                </c:pt>
                <c:pt idx="11">
                  <c:v>-9.17</c:v>
                </c:pt>
                <c:pt idx="12">
                  <c:v>-9.81</c:v>
                </c:pt>
                <c:pt idx="13">
                  <c:v>-1.3740000000000001</c:v>
                </c:pt>
                <c:pt idx="14">
                  <c:v>-4.8529999999999998</c:v>
                </c:pt>
                <c:pt idx="15">
                  <c:v>-9.0500000000000007</c:v>
                </c:pt>
                <c:pt idx="16">
                  <c:v>-5.1219999999999999</c:v>
                </c:pt>
                <c:pt idx="17">
                  <c:v>-0.79</c:v>
                </c:pt>
                <c:pt idx="18">
                  <c:v>-2.9670000000000001</c:v>
                </c:pt>
                <c:pt idx="19">
                  <c:v>-3.4359999999999999</c:v>
                </c:pt>
                <c:pt idx="20">
                  <c:v>-6.2910000000000004</c:v>
                </c:pt>
                <c:pt idx="21">
                  <c:v>-8.01</c:v>
                </c:pt>
                <c:pt idx="22">
                  <c:v>-5.2939999999999996</c:v>
                </c:pt>
                <c:pt idx="23">
                  <c:v>-7.07</c:v>
                </c:pt>
                <c:pt idx="24">
                  <c:v>-16.7</c:v>
                </c:pt>
                <c:pt idx="25">
                  <c:v>-17.149999999999999</c:v>
                </c:pt>
                <c:pt idx="26">
                  <c:v>-14.04</c:v>
                </c:pt>
                <c:pt idx="27">
                  <c:v>-11.71</c:v>
                </c:pt>
                <c:pt idx="28">
                  <c:v>-8.5399999999999991</c:v>
                </c:pt>
                <c:pt idx="29">
                  <c:v>-6.2380000000000004</c:v>
                </c:pt>
                <c:pt idx="30">
                  <c:v>-7.34</c:v>
                </c:pt>
                <c:pt idx="31">
                  <c:v>-2.391</c:v>
                </c:pt>
                <c:pt idx="32">
                  <c:v>-4.2619999999999996</c:v>
                </c:pt>
                <c:pt idx="33">
                  <c:v>-1.464</c:v>
                </c:pt>
                <c:pt idx="34">
                  <c:v>-7.95</c:v>
                </c:pt>
                <c:pt idx="35">
                  <c:v>-8.6300000000000008</c:v>
                </c:pt>
                <c:pt idx="36">
                  <c:v>-5.0789999999999997</c:v>
                </c:pt>
                <c:pt idx="37">
                  <c:v>-1.67</c:v>
                </c:pt>
                <c:pt idx="38">
                  <c:v>-3.3690000000000002</c:v>
                </c:pt>
                <c:pt idx="39">
                  <c:v>-3.246</c:v>
                </c:pt>
                <c:pt idx="40">
                  <c:v>-7.97</c:v>
                </c:pt>
                <c:pt idx="41">
                  <c:v>-12.25</c:v>
                </c:pt>
                <c:pt idx="42">
                  <c:v>-13.51</c:v>
                </c:pt>
                <c:pt idx="43">
                  <c:v>-3.0190000000000001</c:v>
                </c:pt>
                <c:pt idx="44">
                  <c:v>-4.0860000000000003</c:v>
                </c:pt>
                <c:pt idx="45">
                  <c:v>-11.04</c:v>
                </c:pt>
                <c:pt idx="46">
                  <c:v>-14.68</c:v>
                </c:pt>
                <c:pt idx="47">
                  <c:v>-5.375</c:v>
                </c:pt>
                <c:pt idx="48">
                  <c:v>-4.9349999999999996</c:v>
                </c:pt>
                <c:pt idx="49">
                  <c:v>-6.1159999999999997</c:v>
                </c:pt>
                <c:pt idx="50">
                  <c:v>-7.64</c:v>
                </c:pt>
                <c:pt idx="51">
                  <c:v>-10.01</c:v>
                </c:pt>
                <c:pt idx="52">
                  <c:v>-7.89</c:v>
                </c:pt>
                <c:pt idx="53">
                  <c:v>-7.35</c:v>
                </c:pt>
                <c:pt idx="54">
                  <c:v>-3.081</c:v>
                </c:pt>
                <c:pt idx="55">
                  <c:v>-5.867</c:v>
                </c:pt>
                <c:pt idx="56">
                  <c:v>-4.0670000000000002</c:v>
                </c:pt>
                <c:pt idx="57">
                  <c:v>-0.32500000000000001</c:v>
                </c:pt>
                <c:pt idx="58">
                  <c:v>-1.825</c:v>
                </c:pt>
                <c:pt idx="59">
                  <c:v>-1.538</c:v>
                </c:pt>
                <c:pt idx="60">
                  <c:v>-1.8009999999999999</c:v>
                </c:pt>
                <c:pt idx="61">
                  <c:v>-2.665</c:v>
                </c:pt>
                <c:pt idx="62">
                  <c:v>-1.369</c:v>
                </c:pt>
                <c:pt idx="63">
                  <c:v>-2.0089999999999999</c:v>
                </c:pt>
                <c:pt idx="64">
                  <c:v>-4.1150000000000002</c:v>
                </c:pt>
                <c:pt idx="65">
                  <c:v>-2.74</c:v>
                </c:pt>
                <c:pt idx="66">
                  <c:v>-1.802</c:v>
                </c:pt>
                <c:pt idx="67">
                  <c:v>-1.274</c:v>
                </c:pt>
                <c:pt idx="68">
                  <c:v>-1.613</c:v>
                </c:pt>
                <c:pt idx="69">
                  <c:v>-0.35799999999999998</c:v>
                </c:pt>
                <c:pt idx="70">
                  <c:v>0.13900000000000001</c:v>
                </c:pt>
                <c:pt idx="71">
                  <c:v>0.58499999999999996</c:v>
                </c:pt>
                <c:pt idx="72">
                  <c:v>-0.80400000000000005</c:v>
                </c:pt>
                <c:pt idx="73">
                  <c:v>-3.569</c:v>
                </c:pt>
                <c:pt idx="74">
                  <c:v>-2.0649999999999999</c:v>
                </c:pt>
                <c:pt idx="75">
                  <c:v>-0.96899999999999997</c:v>
                </c:pt>
                <c:pt idx="76">
                  <c:v>-1.7589999999999999</c:v>
                </c:pt>
                <c:pt idx="77">
                  <c:v>1.0409999999999999</c:v>
                </c:pt>
                <c:pt idx="78">
                  <c:v>-2.5369999999999999</c:v>
                </c:pt>
                <c:pt idx="79">
                  <c:v>-5.4580000000000002</c:v>
                </c:pt>
                <c:pt idx="80">
                  <c:v>-3.407</c:v>
                </c:pt>
                <c:pt idx="81">
                  <c:v>-5.3239999999999998</c:v>
                </c:pt>
                <c:pt idx="82">
                  <c:v>-4.4809999999999999</c:v>
                </c:pt>
                <c:pt idx="83">
                  <c:v>-2.835</c:v>
                </c:pt>
                <c:pt idx="84">
                  <c:v>-1.599</c:v>
                </c:pt>
                <c:pt idx="85">
                  <c:v>-0.89900000000000002</c:v>
                </c:pt>
                <c:pt idx="86">
                  <c:v>-3.1139999999999999</c:v>
                </c:pt>
                <c:pt idx="87">
                  <c:v>-1.863</c:v>
                </c:pt>
                <c:pt idx="88">
                  <c:v>-0.38600000000000001</c:v>
                </c:pt>
                <c:pt idx="89">
                  <c:v>1.1819999999999999</c:v>
                </c:pt>
                <c:pt idx="90">
                  <c:v>1.8069999999999999</c:v>
                </c:pt>
                <c:pt idx="91">
                  <c:v>-0.307</c:v>
                </c:pt>
                <c:pt idx="92">
                  <c:v>1.6040000000000001</c:v>
                </c:pt>
                <c:pt idx="93">
                  <c:v>2.681</c:v>
                </c:pt>
                <c:pt idx="94">
                  <c:v>1.5049999999999999</c:v>
                </c:pt>
                <c:pt idx="95">
                  <c:v>3.3479999999999999</c:v>
                </c:pt>
                <c:pt idx="96">
                  <c:v>2.2839999999999998</c:v>
                </c:pt>
                <c:pt idx="97">
                  <c:v>0.56599999999999995</c:v>
                </c:pt>
                <c:pt idx="98">
                  <c:v>0.182</c:v>
                </c:pt>
                <c:pt idx="99">
                  <c:v>-1.0489999999999999</c:v>
                </c:pt>
                <c:pt idx="100">
                  <c:v>-0.42499999999999999</c:v>
                </c:pt>
                <c:pt idx="101">
                  <c:v>0.57599999999999996</c:v>
                </c:pt>
                <c:pt idx="102">
                  <c:v>4.9020000000000001</c:v>
                </c:pt>
                <c:pt idx="103">
                  <c:v>2.0270000000000001</c:v>
                </c:pt>
                <c:pt idx="104">
                  <c:v>2.4220000000000002</c:v>
                </c:pt>
                <c:pt idx="105">
                  <c:v>3.4140000000000001</c:v>
                </c:pt>
                <c:pt idx="106">
                  <c:v>5.0510000000000002</c:v>
                </c:pt>
                <c:pt idx="107">
                  <c:v>1.7270000000000001</c:v>
                </c:pt>
                <c:pt idx="108">
                  <c:v>5.2489999999999997</c:v>
                </c:pt>
                <c:pt idx="109">
                  <c:v>3.9420000000000002</c:v>
                </c:pt>
                <c:pt idx="110">
                  <c:v>2.5950000000000002</c:v>
                </c:pt>
                <c:pt idx="111">
                  <c:v>6.1779999999999999</c:v>
                </c:pt>
                <c:pt idx="112">
                  <c:v>7.44</c:v>
                </c:pt>
                <c:pt idx="113">
                  <c:v>3.41</c:v>
                </c:pt>
                <c:pt idx="114">
                  <c:v>4.3609999999999998</c:v>
                </c:pt>
                <c:pt idx="115">
                  <c:v>6.4260000000000002</c:v>
                </c:pt>
                <c:pt idx="116">
                  <c:v>1.9370000000000001</c:v>
                </c:pt>
                <c:pt idx="117">
                  <c:v>0.247</c:v>
                </c:pt>
                <c:pt idx="118">
                  <c:v>-1.59</c:v>
                </c:pt>
                <c:pt idx="119">
                  <c:v>1.0409999999999999</c:v>
                </c:pt>
                <c:pt idx="120">
                  <c:v>3.452</c:v>
                </c:pt>
                <c:pt idx="121">
                  <c:v>4.6959999999999997</c:v>
                </c:pt>
                <c:pt idx="122">
                  <c:v>7.07</c:v>
                </c:pt>
                <c:pt idx="123">
                  <c:v>8.81</c:v>
                </c:pt>
                <c:pt idx="124">
                  <c:v>5.7869999999999999</c:v>
                </c:pt>
                <c:pt idx="125">
                  <c:v>4.8010000000000002</c:v>
                </c:pt>
                <c:pt idx="126">
                  <c:v>5.952</c:v>
                </c:pt>
                <c:pt idx="127">
                  <c:v>2.4910000000000001</c:v>
                </c:pt>
                <c:pt idx="128">
                  <c:v>8.0500000000000007</c:v>
                </c:pt>
                <c:pt idx="129">
                  <c:v>6.3460000000000001</c:v>
                </c:pt>
                <c:pt idx="130">
                  <c:v>7.8</c:v>
                </c:pt>
                <c:pt idx="131">
                  <c:v>5.4340000000000002</c:v>
                </c:pt>
                <c:pt idx="132">
                  <c:v>-7.32</c:v>
                </c:pt>
                <c:pt idx="133">
                  <c:v>-0.26500000000000001</c:v>
                </c:pt>
                <c:pt idx="134">
                  <c:v>1.627</c:v>
                </c:pt>
                <c:pt idx="135">
                  <c:v>4.8949999999999996</c:v>
                </c:pt>
                <c:pt idx="136">
                  <c:v>2.056</c:v>
                </c:pt>
                <c:pt idx="137">
                  <c:v>5.0970000000000004</c:v>
                </c:pt>
                <c:pt idx="138">
                  <c:v>3.5129999999999999</c:v>
                </c:pt>
                <c:pt idx="139">
                  <c:v>5.508</c:v>
                </c:pt>
                <c:pt idx="140">
                  <c:v>3.8769999999999998</c:v>
                </c:pt>
                <c:pt idx="141">
                  <c:v>7.09</c:v>
                </c:pt>
                <c:pt idx="142">
                  <c:v>6.61</c:v>
                </c:pt>
                <c:pt idx="143">
                  <c:v>4.2309999999999999</c:v>
                </c:pt>
                <c:pt idx="144">
                  <c:v>8.25</c:v>
                </c:pt>
                <c:pt idx="145">
                  <c:v>8.57</c:v>
                </c:pt>
                <c:pt idx="146">
                  <c:v>8.91</c:v>
                </c:pt>
                <c:pt idx="147">
                  <c:v>8.6</c:v>
                </c:pt>
                <c:pt idx="148">
                  <c:v>1.284</c:v>
                </c:pt>
                <c:pt idx="149">
                  <c:v>0.49099999999999999</c:v>
                </c:pt>
                <c:pt idx="150">
                  <c:v>3.2149999999999999</c:v>
                </c:pt>
                <c:pt idx="151">
                  <c:v>4.9400000000000004</c:v>
                </c:pt>
                <c:pt idx="152">
                  <c:v>6.0529999999999999</c:v>
                </c:pt>
                <c:pt idx="153">
                  <c:v>5.431</c:v>
                </c:pt>
                <c:pt idx="154">
                  <c:v>4.641</c:v>
                </c:pt>
                <c:pt idx="155">
                  <c:v>4.3579999999999997</c:v>
                </c:pt>
                <c:pt idx="156">
                  <c:v>5.5640000000000001</c:v>
                </c:pt>
                <c:pt idx="157">
                  <c:v>5.3049999999999997</c:v>
                </c:pt>
                <c:pt idx="158">
                  <c:v>4.1470000000000002</c:v>
                </c:pt>
                <c:pt idx="159">
                  <c:v>2.621</c:v>
                </c:pt>
                <c:pt idx="160">
                  <c:v>4.2300000000000004</c:v>
                </c:pt>
                <c:pt idx="161">
                  <c:v>3.5990000000000002</c:v>
                </c:pt>
                <c:pt idx="162">
                  <c:v>1.333</c:v>
                </c:pt>
                <c:pt idx="163">
                  <c:v>5.5670000000000002</c:v>
                </c:pt>
                <c:pt idx="164">
                  <c:v>3.5219999999999998</c:v>
                </c:pt>
                <c:pt idx="165">
                  <c:v>3.7810000000000001</c:v>
                </c:pt>
                <c:pt idx="166">
                  <c:v>4.1929999999999996</c:v>
                </c:pt>
                <c:pt idx="167">
                  <c:v>2.8029999999999999</c:v>
                </c:pt>
                <c:pt idx="168">
                  <c:v>1.8520000000000001</c:v>
                </c:pt>
                <c:pt idx="169">
                  <c:v>1.2290000000000001</c:v>
                </c:pt>
                <c:pt idx="170">
                  <c:v>3.6880000000000002</c:v>
                </c:pt>
                <c:pt idx="171">
                  <c:v>4.3150000000000004</c:v>
                </c:pt>
                <c:pt idx="172">
                  <c:v>0.46700000000000003</c:v>
                </c:pt>
                <c:pt idx="173">
                  <c:v>4.8070000000000004</c:v>
                </c:pt>
                <c:pt idx="174">
                  <c:v>2.8490000000000002</c:v>
                </c:pt>
                <c:pt idx="175">
                  <c:v>0.34499999999999997</c:v>
                </c:pt>
                <c:pt idx="176">
                  <c:v>-1.002</c:v>
                </c:pt>
                <c:pt idx="177">
                  <c:v>-2.419</c:v>
                </c:pt>
                <c:pt idx="178">
                  <c:v>0.84299999999999997</c:v>
                </c:pt>
                <c:pt idx="179">
                  <c:v>-1.3320000000000001</c:v>
                </c:pt>
                <c:pt idx="180">
                  <c:v>0.63600000000000001</c:v>
                </c:pt>
                <c:pt idx="181">
                  <c:v>1.839</c:v>
                </c:pt>
                <c:pt idx="182">
                  <c:v>0.33600000000000002</c:v>
                </c:pt>
                <c:pt idx="183">
                  <c:v>-1.077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167680"/>
        <c:axId val="234169856"/>
      </c:scatterChart>
      <c:valAx>
        <c:axId val="234167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3 m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169856"/>
        <c:crosses val="autoZero"/>
        <c:crossBetween val="midCat"/>
      </c:valAx>
      <c:valAx>
        <c:axId val="234169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</a:t>
                </a:r>
                <a:r>
                  <a:rPr lang="en-CA" baseline="0"/>
                  <a:t> m</a:t>
                </a:r>
                <a:r>
                  <a:rPr lang="en-CA"/>
                  <a:t>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1676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049925634295713"/>
                  <c:y val="-8.3094196558763489E-2"/>
                </c:manualLayout>
              </c:layout>
              <c:numFmt formatCode="General" sourceLinked="0"/>
            </c:trendlineLbl>
          </c:trendline>
          <c:xVal>
            <c:numRef>
              <c:f>Data!$DJ$158:$DJ$249</c:f>
              <c:numCache>
                <c:formatCode>General</c:formatCode>
                <c:ptCount val="92"/>
                <c:pt idx="10">
                  <c:v>58</c:v>
                </c:pt>
                <c:pt idx="11">
                  <c:v>45</c:v>
                </c:pt>
                <c:pt idx="12">
                  <c:v>52</c:v>
                </c:pt>
                <c:pt idx="13">
                  <c:v>66</c:v>
                </c:pt>
                <c:pt idx="14">
                  <c:v>63</c:v>
                </c:pt>
                <c:pt idx="15">
                  <c:v>65</c:v>
                </c:pt>
                <c:pt idx="16">
                  <c:v>60</c:v>
                </c:pt>
                <c:pt idx="17">
                  <c:v>58</c:v>
                </c:pt>
                <c:pt idx="18">
                  <c:v>81</c:v>
                </c:pt>
                <c:pt idx="19">
                  <c:v>96</c:v>
                </c:pt>
                <c:pt idx="20">
                  <c:v>68</c:v>
                </c:pt>
                <c:pt idx="21">
                  <c:v>52</c:v>
                </c:pt>
                <c:pt idx="22">
                  <c:v>39</c:v>
                </c:pt>
                <c:pt idx="23">
                  <c:v>46</c:v>
                </c:pt>
                <c:pt idx="24">
                  <c:v>41</c:v>
                </c:pt>
                <c:pt idx="25">
                  <c:v>35</c:v>
                </c:pt>
                <c:pt idx="26">
                  <c:v>31</c:v>
                </c:pt>
                <c:pt idx="27">
                  <c:v>28</c:v>
                </c:pt>
                <c:pt idx="28">
                  <c:v>28</c:v>
                </c:pt>
                <c:pt idx="29">
                  <c:v>29</c:v>
                </c:pt>
                <c:pt idx="30">
                  <c:v>33</c:v>
                </c:pt>
                <c:pt idx="31">
                  <c:v>40</c:v>
                </c:pt>
                <c:pt idx="32">
                  <c:v>60</c:v>
                </c:pt>
                <c:pt idx="33">
                  <c:v>75</c:v>
                </c:pt>
                <c:pt idx="34">
                  <c:v>53</c:v>
                </c:pt>
                <c:pt idx="35">
                  <c:v>56</c:v>
                </c:pt>
                <c:pt idx="36">
                  <c:v>64</c:v>
                </c:pt>
                <c:pt idx="37">
                  <c:v>58</c:v>
                </c:pt>
                <c:pt idx="38">
                  <c:v>56</c:v>
                </c:pt>
                <c:pt idx="39">
                  <c:v>65</c:v>
                </c:pt>
                <c:pt idx="40">
                  <c:v>47</c:v>
                </c:pt>
                <c:pt idx="41">
                  <c:v>45</c:v>
                </c:pt>
                <c:pt idx="42">
                  <c:v>49</c:v>
                </c:pt>
                <c:pt idx="43">
                  <c:v>51</c:v>
                </c:pt>
                <c:pt idx="44">
                  <c:v>36</c:v>
                </c:pt>
                <c:pt idx="45">
                  <c:v>39</c:v>
                </c:pt>
                <c:pt idx="46">
                  <c:v>40</c:v>
                </c:pt>
                <c:pt idx="47">
                  <c:v>36</c:v>
                </c:pt>
                <c:pt idx="48">
                  <c:v>32</c:v>
                </c:pt>
                <c:pt idx="49">
                  <c:v>38</c:v>
                </c:pt>
                <c:pt idx="50">
                  <c:v>44</c:v>
                </c:pt>
                <c:pt idx="51">
                  <c:v>42</c:v>
                </c:pt>
                <c:pt idx="52">
                  <c:v>70</c:v>
                </c:pt>
                <c:pt idx="53">
                  <c:v>70</c:v>
                </c:pt>
                <c:pt idx="54">
                  <c:v>88</c:v>
                </c:pt>
                <c:pt idx="55">
                  <c:v>67</c:v>
                </c:pt>
                <c:pt idx="56">
                  <c:v>57</c:v>
                </c:pt>
                <c:pt idx="57">
                  <c:v>53</c:v>
                </c:pt>
                <c:pt idx="58">
                  <c:v>67</c:v>
                </c:pt>
                <c:pt idx="59">
                  <c:v>53</c:v>
                </c:pt>
                <c:pt idx="60">
                  <c:v>58</c:v>
                </c:pt>
                <c:pt idx="61">
                  <c:v>68</c:v>
                </c:pt>
                <c:pt idx="62">
                  <c:v>57</c:v>
                </c:pt>
                <c:pt idx="63">
                  <c:v>54</c:v>
                </c:pt>
                <c:pt idx="64">
                  <c:v>35</c:v>
                </c:pt>
                <c:pt idx="65">
                  <c:v>56</c:v>
                </c:pt>
                <c:pt idx="66">
                  <c:v>91</c:v>
                </c:pt>
                <c:pt idx="67">
                  <c:v>90</c:v>
                </c:pt>
                <c:pt idx="68">
                  <c:v>84</c:v>
                </c:pt>
                <c:pt idx="69">
                  <c:v>58</c:v>
                </c:pt>
                <c:pt idx="70">
                  <c:v>55</c:v>
                </c:pt>
                <c:pt idx="71">
                  <c:v>79</c:v>
                </c:pt>
                <c:pt idx="72">
                  <c:v>96</c:v>
                </c:pt>
                <c:pt idx="73">
                  <c:v>74</c:v>
                </c:pt>
                <c:pt idx="74">
                  <c:v>78</c:v>
                </c:pt>
                <c:pt idx="75">
                  <c:v>87</c:v>
                </c:pt>
                <c:pt idx="76">
                  <c:v>70</c:v>
                </c:pt>
                <c:pt idx="77">
                  <c:v>92</c:v>
                </c:pt>
                <c:pt idx="78">
                  <c:v>77</c:v>
                </c:pt>
                <c:pt idx="79">
                  <c:v>69</c:v>
                </c:pt>
                <c:pt idx="80">
                  <c:v>47</c:v>
                </c:pt>
                <c:pt idx="81">
                  <c:v>40</c:v>
                </c:pt>
                <c:pt idx="82">
                  <c:v>35</c:v>
                </c:pt>
                <c:pt idx="83">
                  <c:v>44</c:v>
                </c:pt>
                <c:pt idx="84">
                  <c:v>66</c:v>
                </c:pt>
                <c:pt idx="85">
                  <c:v>42</c:v>
                </c:pt>
                <c:pt idx="86">
                  <c:v>46</c:v>
                </c:pt>
                <c:pt idx="87">
                  <c:v>48</c:v>
                </c:pt>
                <c:pt idx="88">
                  <c:v>47</c:v>
                </c:pt>
                <c:pt idx="89">
                  <c:v>90</c:v>
                </c:pt>
                <c:pt idx="90">
                  <c:v>70</c:v>
                </c:pt>
                <c:pt idx="91">
                  <c:v>43</c:v>
                </c:pt>
              </c:numCache>
            </c:numRef>
          </c:xVal>
          <c:yVal>
            <c:numRef>
              <c:f>Data!$AH$158:$AH$249</c:f>
              <c:numCache>
                <c:formatCode>General</c:formatCode>
                <c:ptCount val="92"/>
                <c:pt idx="0">
                  <c:v>27.9</c:v>
                </c:pt>
                <c:pt idx="1">
                  <c:v>39.74</c:v>
                </c:pt>
                <c:pt idx="2">
                  <c:v>30.46</c:v>
                </c:pt>
                <c:pt idx="3">
                  <c:v>34.19</c:v>
                </c:pt>
                <c:pt idx="4">
                  <c:v>103.7</c:v>
                </c:pt>
                <c:pt idx="5">
                  <c:v>104.9</c:v>
                </c:pt>
                <c:pt idx="6">
                  <c:v>27.44</c:v>
                </c:pt>
                <c:pt idx="7">
                  <c:v>17.16</c:v>
                </c:pt>
                <c:pt idx="8">
                  <c:v>18.510000000000002</c:v>
                </c:pt>
                <c:pt idx="9">
                  <c:v>33.93</c:v>
                </c:pt>
                <c:pt idx="10">
                  <c:v>62.95</c:v>
                </c:pt>
                <c:pt idx="11">
                  <c:v>36.46</c:v>
                </c:pt>
                <c:pt idx="12">
                  <c:v>54.05</c:v>
                </c:pt>
                <c:pt idx="13">
                  <c:v>64.95</c:v>
                </c:pt>
                <c:pt idx="14">
                  <c:v>63.98</c:v>
                </c:pt>
                <c:pt idx="15">
                  <c:v>58.97</c:v>
                </c:pt>
                <c:pt idx="16">
                  <c:v>62.19</c:v>
                </c:pt>
                <c:pt idx="17">
                  <c:v>55.87</c:v>
                </c:pt>
                <c:pt idx="18">
                  <c:v>74.7</c:v>
                </c:pt>
                <c:pt idx="19">
                  <c:v>104</c:v>
                </c:pt>
                <c:pt idx="20">
                  <c:v>56.79</c:v>
                </c:pt>
                <c:pt idx="21">
                  <c:v>42.98</c:v>
                </c:pt>
                <c:pt idx="22">
                  <c:v>30.74</c:v>
                </c:pt>
                <c:pt idx="23">
                  <c:v>42.01</c:v>
                </c:pt>
                <c:pt idx="24">
                  <c:v>33.58</c:v>
                </c:pt>
                <c:pt idx="25">
                  <c:v>29.81</c:v>
                </c:pt>
                <c:pt idx="26">
                  <c:v>27.5</c:v>
                </c:pt>
                <c:pt idx="27">
                  <c:v>23.23</c:v>
                </c:pt>
                <c:pt idx="28">
                  <c:v>20.93</c:v>
                </c:pt>
                <c:pt idx="29">
                  <c:v>22.88</c:v>
                </c:pt>
                <c:pt idx="30">
                  <c:v>24.06</c:v>
                </c:pt>
                <c:pt idx="31">
                  <c:v>43</c:v>
                </c:pt>
                <c:pt idx="32">
                  <c:v>53.34</c:v>
                </c:pt>
                <c:pt idx="33">
                  <c:v>64.12</c:v>
                </c:pt>
                <c:pt idx="34">
                  <c:v>41.83</c:v>
                </c:pt>
                <c:pt idx="35">
                  <c:v>44.29</c:v>
                </c:pt>
                <c:pt idx="36">
                  <c:v>66.64</c:v>
                </c:pt>
                <c:pt idx="37">
                  <c:v>51.28</c:v>
                </c:pt>
                <c:pt idx="38">
                  <c:v>45.95</c:v>
                </c:pt>
                <c:pt idx="39">
                  <c:v>55.45</c:v>
                </c:pt>
                <c:pt idx="40">
                  <c:v>38.130000000000003</c:v>
                </c:pt>
                <c:pt idx="41">
                  <c:v>32.03</c:v>
                </c:pt>
                <c:pt idx="42">
                  <c:v>37.700000000000003</c:v>
                </c:pt>
                <c:pt idx="43">
                  <c:v>37.5</c:v>
                </c:pt>
                <c:pt idx="44">
                  <c:v>31</c:v>
                </c:pt>
                <c:pt idx="45">
                  <c:v>35.79</c:v>
                </c:pt>
                <c:pt idx="46">
                  <c:v>35.65</c:v>
                </c:pt>
                <c:pt idx="47">
                  <c:v>30.05</c:v>
                </c:pt>
                <c:pt idx="48">
                  <c:v>18.03</c:v>
                </c:pt>
                <c:pt idx="49">
                  <c:v>38.58</c:v>
                </c:pt>
                <c:pt idx="50">
                  <c:v>36.200000000000003</c:v>
                </c:pt>
                <c:pt idx="51">
                  <c:v>37.35</c:v>
                </c:pt>
                <c:pt idx="52">
                  <c:v>55.77</c:v>
                </c:pt>
                <c:pt idx="53">
                  <c:v>65.099999999999994</c:v>
                </c:pt>
                <c:pt idx="54">
                  <c:v>82.2</c:v>
                </c:pt>
                <c:pt idx="55">
                  <c:v>65.010000000000005</c:v>
                </c:pt>
                <c:pt idx="56">
                  <c:v>44.21</c:v>
                </c:pt>
                <c:pt idx="57">
                  <c:v>41.27</c:v>
                </c:pt>
                <c:pt idx="58">
                  <c:v>64.319999999999993</c:v>
                </c:pt>
                <c:pt idx="59">
                  <c:v>43.46</c:v>
                </c:pt>
                <c:pt idx="60">
                  <c:v>50.15</c:v>
                </c:pt>
                <c:pt idx="61">
                  <c:v>61.88</c:v>
                </c:pt>
                <c:pt idx="62">
                  <c:v>45.71</c:v>
                </c:pt>
                <c:pt idx="63">
                  <c:v>44.04</c:v>
                </c:pt>
                <c:pt idx="64">
                  <c:v>28.7</c:v>
                </c:pt>
                <c:pt idx="65">
                  <c:v>62.27</c:v>
                </c:pt>
                <c:pt idx="66">
                  <c:v>78.2</c:v>
                </c:pt>
                <c:pt idx="67">
                  <c:v>77.599999999999994</c:v>
                </c:pt>
                <c:pt idx="68">
                  <c:v>95.2</c:v>
                </c:pt>
                <c:pt idx="69">
                  <c:v>54.88</c:v>
                </c:pt>
                <c:pt idx="70">
                  <c:v>41.91</c:v>
                </c:pt>
                <c:pt idx="71">
                  <c:v>69.87</c:v>
                </c:pt>
                <c:pt idx="72">
                  <c:v>91.7</c:v>
                </c:pt>
                <c:pt idx="73">
                  <c:v>55.04</c:v>
                </c:pt>
                <c:pt idx="74">
                  <c:v>60.25</c:v>
                </c:pt>
                <c:pt idx="75">
                  <c:v>78.400000000000006</c:v>
                </c:pt>
                <c:pt idx="76">
                  <c:v>55.6</c:v>
                </c:pt>
                <c:pt idx="77">
                  <c:v>86.6</c:v>
                </c:pt>
                <c:pt idx="78">
                  <c:v>67.47</c:v>
                </c:pt>
                <c:pt idx="79">
                  <c:v>55.38</c:v>
                </c:pt>
                <c:pt idx="80">
                  <c:v>41.97</c:v>
                </c:pt>
                <c:pt idx="81">
                  <c:v>27.03</c:v>
                </c:pt>
                <c:pt idx="82">
                  <c:v>24.12</c:v>
                </c:pt>
                <c:pt idx="83">
                  <c:v>29.47</c:v>
                </c:pt>
                <c:pt idx="84">
                  <c:v>44.42</c:v>
                </c:pt>
                <c:pt idx="85">
                  <c:v>35.68</c:v>
                </c:pt>
                <c:pt idx="86">
                  <c:v>45.7</c:v>
                </c:pt>
                <c:pt idx="87">
                  <c:v>43.61</c:v>
                </c:pt>
                <c:pt idx="88">
                  <c:v>37.57</c:v>
                </c:pt>
                <c:pt idx="89">
                  <c:v>81.099999999999994</c:v>
                </c:pt>
                <c:pt idx="90">
                  <c:v>52.59</c:v>
                </c:pt>
                <c:pt idx="91">
                  <c:v>34.340000000000003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200448"/>
        <c:axId val="234206720"/>
      </c:scatterChart>
      <c:valAx>
        <c:axId val="234200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206720"/>
        <c:crosses val="autoZero"/>
        <c:crossBetween val="midCat"/>
      </c:valAx>
      <c:valAx>
        <c:axId val="234206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Sicamous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2004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Daily Solar Radiation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Sol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Data!$C$7:$C$371</c:f>
              <c:numCache>
                <c:formatCode>General</c:formatCode>
                <c:ptCount val="365"/>
                <c:pt idx="0">
                  <c:v>4.29</c:v>
                </c:pt>
                <c:pt idx="1">
                  <c:v>4.367</c:v>
                </c:pt>
                <c:pt idx="2">
                  <c:v>4.5590000000000002</c:v>
                </c:pt>
                <c:pt idx="3">
                  <c:v>4.8899999999999997</c:v>
                </c:pt>
                <c:pt idx="4">
                  <c:v>5.3650000000000002</c:v>
                </c:pt>
                <c:pt idx="5">
                  <c:v>3.726</c:v>
                </c:pt>
                <c:pt idx="6">
                  <c:v>6.0469999999999997</c:v>
                </c:pt>
                <c:pt idx="7">
                  <c:v>0.63100000000000001</c:v>
                </c:pt>
                <c:pt idx="8">
                  <c:v>0.54100000000000004</c:v>
                </c:pt>
                <c:pt idx="9">
                  <c:v>0.57199999999999995</c:v>
                </c:pt>
                <c:pt idx="10">
                  <c:v>0.246</c:v>
                </c:pt>
                <c:pt idx="11">
                  <c:v>0.73699999999999999</c:v>
                </c:pt>
                <c:pt idx="12">
                  <c:v>0.40200000000000002</c:v>
                </c:pt>
                <c:pt idx="13">
                  <c:v>0.38400000000000001</c:v>
                </c:pt>
                <c:pt idx="14">
                  <c:v>0.44700000000000001</c:v>
                </c:pt>
                <c:pt idx="15">
                  <c:v>0.34499999999999997</c:v>
                </c:pt>
                <c:pt idx="16">
                  <c:v>0.33600000000000002</c:v>
                </c:pt>
                <c:pt idx="17">
                  <c:v>0.27400000000000002</c:v>
                </c:pt>
                <c:pt idx="18">
                  <c:v>1.65</c:v>
                </c:pt>
                <c:pt idx="19">
                  <c:v>0.85199999999999998</c:v>
                </c:pt>
                <c:pt idx="20">
                  <c:v>1.5049999999999999</c:v>
                </c:pt>
                <c:pt idx="21">
                  <c:v>2.0529999999999999</c:v>
                </c:pt>
                <c:pt idx="22">
                  <c:v>3.464</c:v>
                </c:pt>
                <c:pt idx="23">
                  <c:v>6.2679999999999998</c:v>
                </c:pt>
                <c:pt idx="24">
                  <c:v>3.3250000000000002</c:v>
                </c:pt>
                <c:pt idx="25">
                  <c:v>1.5309999999999999</c:v>
                </c:pt>
                <c:pt idx="26">
                  <c:v>6.8719999999999999</c:v>
                </c:pt>
                <c:pt idx="27">
                  <c:v>5.0209999999999999</c:v>
                </c:pt>
                <c:pt idx="28">
                  <c:v>1.88</c:v>
                </c:pt>
                <c:pt idx="29">
                  <c:v>0.66500000000000004</c:v>
                </c:pt>
                <c:pt idx="30">
                  <c:v>0.95899999999999996</c:v>
                </c:pt>
                <c:pt idx="31">
                  <c:v>4.2149999999999999</c:v>
                </c:pt>
                <c:pt idx="32">
                  <c:v>6.7510000000000003</c:v>
                </c:pt>
                <c:pt idx="33">
                  <c:v>1.702</c:v>
                </c:pt>
                <c:pt idx="34">
                  <c:v>7.32</c:v>
                </c:pt>
                <c:pt idx="35">
                  <c:v>6.5730000000000004</c:v>
                </c:pt>
                <c:pt idx="36">
                  <c:v>2.3260000000000001</c:v>
                </c:pt>
                <c:pt idx="37">
                  <c:v>4.8070000000000004</c:v>
                </c:pt>
                <c:pt idx="38">
                  <c:v>3.952</c:v>
                </c:pt>
                <c:pt idx="39">
                  <c:v>8.85</c:v>
                </c:pt>
                <c:pt idx="40">
                  <c:v>6.1689999999999996</c:v>
                </c:pt>
                <c:pt idx="41">
                  <c:v>6.4359999999999999</c:v>
                </c:pt>
                <c:pt idx="42">
                  <c:v>9.7100000000000009</c:v>
                </c:pt>
                <c:pt idx="43">
                  <c:v>10.039999999999999</c:v>
                </c:pt>
                <c:pt idx="44">
                  <c:v>7.49</c:v>
                </c:pt>
                <c:pt idx="45">
                  <c:v>2.4729999999999999</c:v>
                </c:pt>
                <c:pt idx="46">
                  <c:v>2.246</c:v>
                </c:pt>
                <c:pt idx="47">
                  <c:v>2.2480000000000002</c:v>
                </c:pt>
                <c:pt idx="48">
                  <c:v>1.3919999999999999</c:v>
                </c:pt>
                <c:pt idx="49">
                  <c:v>5.4649999999999999</c:v>
                </c:pt>
                <c:pt idx="50">
                  <c:v>2.4159999999999999</c:v>
                </c:pt>
                <c:pt idx="51">
                  <c:v>5.3029999999999999</c:v>
                </c:pt>
                <c:pt idx="52">
                  <c:v>11.21</c:v>
                </c:pt>
                <c:pt idx="53">
                  <c:v>3.21</c:v>
                </c:pt>
                <c:pt idx="54">
                  <c:v>1.915</c:v>
                </c:pt>
                <c:pt idx="55">
                  <c:v>7.56</c:v>
                </c:pt>
                <c:pt idx="56">
                  <c:v>10.67</c:v>
                </c:pt>
                <c:pt idx="57">
                  <c:v>13.12</c:v>
                </c:pt>
                <c:pt idx="58">
                  <c:v>12.47</c:v>
                </c:pt>
                <c:pt idx="59">
                  <c:v>13.79</c:v>
                </c:pt>
                <c:pt idx="60">
                  <c:v>13.8</c:v>
                </c:pt>
                <c:pt idx="61">
                  <c:v>12.55</c:v>
                </c:pt>
                <c:pt idx="62">
                  <c:v>8.01</c:v>
                </c:pt>
                <c:pt idx="63">
                  <c:v>10.7</c:v>
                </c:pt>
                <c:pt idx="64">
                  <c:v>14.6</c:v>
                </c:pt>
                <c:pt idx="65">
                  <c:v>8.41</c:v>
                </c:pt>
                <c:pt idx="66">
                  <c:v>3.0430000000000001</c:v>
                </c:pt>
                <c:pt idx="67">
                  <c:v>3.468</c:v>
                </c:pt>
                <c:pt idx="68">
                  <c:v>7.57</c:v>
                </c:pt>
                <c:pt idx="69">
                  <c:v>9</c:v>
                </c:pt>
                <c:pt idx="70">
                  <c:v>6.8739999999999997</c:v>
                </c:pt>
                <c:pt idx="71">
                  <c:v>7.15</c:v>
                </c:pt>
                <c:pt idx="72">
                  <c:v>7.43</c:v>
                </c:pt>
                <c:pt idx="73">
                  <c:v>7.65</c:v>
                </c:pt>
                <c:pt idx="74">
                  <c:v>13.67</c:v>
                </c:pt>
                <c:pt idx="75">
                  <c:v>12.01</c:v>
                </c:pt>
                <c:pt idx="76">
                  <c:v>4.6779999999999999</c:v>
                </c:pt>
                <c:pt idx="77">
                  <c:v>5.6159999999999997</c:v>
                </c:pt>
                <c:pt idx="78">
                  <c:v>8.34</c:v>
                </c:pt>
                <c:pt idx="79">
                  <c:v>10.75</c:v>
                </c:pt>
                <c:pt idx="80">
                  <c:v>16.29</c:v>
                </c:pt>
                <c:pt idx="81">
                  <c:v>4.6719999999999997</c:v>
                </c:pt>
                <c:pt idx="82">
                  <c:v>9.06</c:v>
                </c:pt>
                <c:pt idx="83">
                  <c:v>19.600000000000001</c:v>
                </c:pt>
                <c:pt idx="84">
                  <c:v>18.510000000000002</c:v>
                </c:pt>
                <c:pt idx="85">
                  <c:v>19.62</c:v>
                </c:pt>
                <c:pt idx="86">
                  <c:v>19.61</c:v>
                </c:pt>
                <c:pt idx="87">
                  <c:v>20.2</c:v>
                </c:pt>
                <c:pt idx="88">
                  <c:v>19.71</c:v>
                </c:pt>
                <c:pt idx="89">
                  <c:v>16.649999999999999</c:v>
                </c:pt>
                <c:pt idx="90">
                  <c:v>7.89</c:v>
                </c:pt>
                <c:pt idx="91">
                  <c:v>6.8159999999999998</c:v>
                </c:pt>
                <c:pt idx="92">
                  <c:v>13.28</c:v>
                </c:pt>
                <c:pt idx="93">
                  <c:v>7.83</c:v>
                </c:pt>
                <c:pt idx="94">
                  <c:v>13.16</c:v>
                </c:pt>
                <c:pt idx="95">
                  <c:v>19.91</c:v>
                </c:pt>
                <c:pt idx="96">
                  <c:v>10.93</c:v>
                </c:pt>
                <c:pt idx="97">
                  <c:v>3.556</c:v>
                </c:pt>
                <c:pt idx="98">
                  <c:v>10.93</c:v>
                </c:pt>
                <c:pt idx="99">
                  <c:v>13.56</c:v>
                </c:pt>
                <c:pt idx="100">
                  <c:v>17.739999999999998</c:v>
                </c:pt>
                <c:pt idx="101">
                  <c:v>13.76</c:v>
                </c:pt>
                <c:pt idx="102">
                  <c:v>7.63</c:v>
                </c:pt>
                <c:pt idx="103">
                  <c:v>10</c:v>
                </c:pt>
                <c:pt idx="104">
                  <c:v>12.44</c:v>
                </c:pt>
                <c:pt idx="105">
                  <c:v>21.12</c:v>
                </c:pt>
                <c:pt idx="106">
                  <c:v>9</c:v>
                </c:pt>
                <c:pt idx="107">
                  <c:v>11.34</c:v>
                </c:pt>
                <c:pt idx="108">
                  <c:v>8.17</c:v>
                </c:pt>
                <c:pt idx="109">
                  <c:v>15.09</c:v>
                </c:pt>
                <c:pt idx="110">
                  <c:v>22.41</c:v>
                </c:pt>
                <c:pt idx="111">
                  <c:v>25.6</c:v>
                </c:pt>
                <c:pt idx="112">
                  <c:v>25.12</c:v>
                </c:pt>
                <c:pt idx="113">
                  <c:v>14.15</c:v>
                </c:pt>
                <c:pt idx="114">
                  <c:v>21.65</c:v>
                </c:pt>
                <c:pt idx="115">
                  <c:v>10.56</c:v>
                </c:pt>
                <c:pt idx="116">
                  <c:v>25.42</c:v>
                </c:pt>
                <c:pt idx="117">
                  <c:v>16.45</c:v>
                </c:pt>
                <c:pt idx="118">
                  <c:v>18.47</c:v>
                </c:pt>
                <c:pt idx="119">
                  <c:v>11.47</c:v>
                </c:pt>
                <c:pt idx="120">
                  <c:v>16.87</c:v>
                </c:pt>
                <c:pt idx="121">
                  <c:v>10.61</c:v>
                </c:pt>
                <c:pt idx="122">
                  <c:v>8.8000000000000007</c:v>
                </c:pt>
                <c:pt idx="123">
                  <c:v>14.3</c:v>
                </c:pt>
                <c:pt idx="124">
                  <c:v>9.64</c:v>
                </c:pt>
                <c:pt idx="125">
                  <c:v>18.27</c:v>
                </c:pt>
                <c:pt idx="126">
                  <c:v>16.21</c:v>
                </c:pt>
                <c:pt idx="127">
                  <c:v>18.420000000000002</c:v>
                </c:pt>
                <c:pt idx="128">
                  <c:v>18.760000000000002</c:v>
                </c:pt>
                <c:pt idx="129">
                  <c:v>11.69</c:v>
                </c:pt>
                <c:pt idx="130">
                  <c:v>6.7130000000000001</c:v>
                </c:pt>
                <c:pt idx="131">
                  <c:v>10.35</c:v>
                </c:pt>
                <c:pt idx="132">
                  <c:v>29.8</c:v>
                </c:pt>
                <c:pt idx="133">
                  <c:v>17.190000000000001</c:v>
                </c:pt>
                <c:pt idx="134">
                  <c:v>22.81</c:v>
                </c:pt>
                <c:pt idx="135">
                  <c:v>25.21</c:v>
                </c:pt>
                <c:pt idx="136">
                  <c:v>11.95</c:v>
                </c:pt>
                <c:pt idx="137">
                  <c:v>27.66</c:v>
                </c:pt>
                <c:pt idx="138">
                  <c:v>30.23</c:v>
                </c:pt>
                <c:pt idx="139">
                  <c:v>20.58</c:v>
                </c:pt>
                <c:pt idx="140">
                  <c:v>31.34</c:v>
                </c:pt>
                <c:pt idx="141">
                  <c:v>31.24</c:v>
                </c:pt>
                <c:pt idx="142">
                  <c:v>30.05</c:v>
                </c:pt>
                <c:pt idx="143">
                  <c:v>27.08</c:v>
                </c:pt>
                <c:pt idx="144">
                  <c:v>31.05</c:v>
                </c:pt>
                <c:pt idx="145">
                  <c:v>31.44</c:v>
                </c:pt>
                <c:pt idx="146">
                  <c:v>31.51</c:v>
                </c:pt>
                <c:pt idx="147">
                  <c:v>30.93</c:v>
                </c:pt>
                <c:pt idx="148">
                  <c:v>30.43</c:v>
                </c:pt>
                <c:pt idx="149">
                  <c:v>29.88</c:v>
                </c:pt>
                <c:pt idx="150">
                  <c:v>28.59</c:v>
                </c:pt>
                <c:pt idx="151">
                  <c:v>28.76</c:v>
                </c:pt>
                <c:pt idx="152">
                  <c:v>19.25</c:v>
                </c:pt>
                <c:pt idx="153">
                  <c:v>29.18</c:v>
                </c:pt>
                <c:pt idx="154">
                  <c:v>16.47</c:v>
                </c:pt>
                <c:pt idx="155">
                  <c:v>5.3689999999999998</c:v>
                </c:pt>
                <c:pt idx="156">
                  <c:v>7.95</c:v>
                </c:pt>
                <c:pt idx="157">
                  <c:v>29.15</c:v>
                </c:pt>
                <c:pt idx="158">
                  <c:v>32.32</c:v>
                </c:pt>
                <c:pt idx="159">
                  <c:v>31.12</c:v>
                </c:pt>
                <c:pt idx="160">
                  <c:v>23.62</c:v>
                </c:pt>
                <c:pt idx="161">
                  <c:v>11.73</c:v>
                </c:pt>
                <c:pt idx="162">
                  <c:v>22.25</c:v>
                </c:pt>
                <c:pt idx="163">
                  <c:v>19.16</c:v>
                </c:pt>
                <c:pt idx="164">
                  <c:v>10.47</c:v>
                </c:pt>
                <c:pt idx="165">
                  <c:v>17.989999999999998</c:v>
                </c:pt>
                <c:pt idx="166">
                  <c:v>15.72</c:v>
                </c:pt>
                <c:pt idx="167">
                  <c:v>12.86</c:v>
                </c:pt>
                <c:pt idx="168">
                  <c:v>13.46</c:v>
                </c:pt>
                <c:pt idx="169">
                  <c:v>11.64</c:v>
                </c:pt>
                <c:pt idx="170">
                  <c:v>4.1150000000000002</c:v>
                </c:pt>
                <c:pt idx="171">
                  <c:v>14.07</c:v>
                </c:pt>
                <c:pt idx="172">
                  <c:v>26.16</c:v>
                </c:pt>
                <c:pt idx="173">
                  <c:v>29.99</c:v>
                </c:pt>
                <c:pt idx="174">
                  <c:v>26.01</c:v>
                </c:pt>
                <c:pt idx="175">
                  <c:v>32.15</c:v>
                </c:pt>
                <c:pt idx="176">
                  <c:v>27.4</c:v>
                </c:pt>
                <c:pt idx="177">
                  <c:v>31.22</c:v>
                </c:pt>
                <c:pt idx="178">
                  <c:v>32.35</c:v>
                </c:pt>
                <c:pt idx="179">
                  <c:v>29</c:v>
                </c:pt>
                <c:pt idx="180">
                  <c:v>29.52</c:v>
                </c:pt>
                <c:pt idx="181">
                  <c:v>22.7</c:v>
                </c:pt>
                <c:pt idx="182">
                  <c:v>10.73</c:v>
                </c:pt>
                <c:pt idx="183">
                  <c:v>18.75</c:v>
                </c:pt>
                <c:pt idx="184">
                  <c:v>13.79</c:v>
                </c:pt>
                <c:pt idx="185">
                  <c:v>18.82</c:v>
                </c:pt>
                <c:pt idx="186">
                  <c:v>14.15</c:v>
                </c:pt>
                <c:pt idx="187">
                  <c:v>12.26</c:v>
                </c:pt>
                <c:pt idx="188">
                  <c:v>14.78</c:v>
                </c:pt>
                <c:pt idx="189">
                  <c:v>16</c:v>
                </c:pt>
                <c:pt idx="190">
                  <c:v>12.79</c:v>
                </c:pt>
                <c:pt idx="191">
                  <c:v>22.43</c:v>
                </c:pt>
                <c:pt idx="192">
                  <c:v>28.5</c:v>
                </c:pt>
                <c:pt idx="193">
                  <c:v>24.24</c:v>
                </c:pt>
                <c:pt idx="194">
                  <c:v>28.35</c:v>
                </c:pt>
                <c:pt idx="195">
                  <c:v>29.78</c:v>
                </c:pt>
                <c:pt idx="196">
                  <c:v>30.31</c:v>
                </c:pt>
                <c:pt idx="197">
                  <c:v>30.36</c:v>
                </c:pt>
                <c:pt idx="198">
                  <c:v>29.57</c:v>
                </c:pt>
                <c:pt idx="199">
                  <c:v>30.06</c:v>
                </c:pt>
                <c:pt idx="200">
                  <c:v>16.559999999999999</c:v>
                </c:pt>
                <c:pt idx="201">
                  <c:v>23.56</c:v>
                </c:pt>
                <c:pt idx="202">
                  <c:v>25.3</c:v>
                </c:pt>
                <c:pt idx="203">
                  <c:v>12.06</c:v>
                </c:pt>
                <c:pt idx="204">
                  <c:v>14.68</c:v>
                </c:pt>
                <c:pt idx="205">
                  <c:v>7.93</c:v>
                </c:pt>
                <c:pt idx="206">
                  <c:v>11.71</c:v>
                </c:pt>
                <c:pt idx="207">
                  <c:v>20.43</c:v>
                </c:pt>
                <c:pt idx="208">
                  <c:v>19.62</c:v>
                </c:pt>
                <c:pt idx="209">
                  <c:v>4.9249999999999998</c:v>
                </c:pt>
                <c:pt idx="210">
                  <c:v>19.3</c:v>
                </c:pt>
                <c:pt idx="211">
                  <c:v>16.22</c:v>
                </c:pt>
                <c:pt idx="212">
                  <c:v>11.7</c:v>
                </c:pt>
                <c:pt idx="213">
                  <c:v>16.39</c:v>
                </c:pt>
                <c:pt idx="214">
                  <c:v>26.52</c:v>
                </c:pt>
                <c:pt idx="215">
                  <c:v>26.99</c:v>
                </c:pt>
                <c:pt idx="216">
                  <c:v>8.0399999999999991</c:v>
                </c:pt>
                <c:pt idx="217">
                  <c:v>7.18</c:v>
                </c:pt>
                <c:pt idx="218">
                  <c:v>9.57</c:v>
                </c:pt>
                <c:pt idx="219">
                  <c:v>4.0679999999999996</c:v>
                </c:pt>
                <c:pt idx="220">
                  <c:v>15.83</c:v>
                </c:pt>
                <c:pt idx="221">
                  <c:v>15.75</c:v>
                </c:pt>
                <c:pt idx="222">
                  <c:v>6.0880000000000001</c:v>
                </c:pt>
                <c:pt idx="223">
                  <c:v>6.2759999999999998</c:v>
                </c:pt>
                <c:pt idx="224">
                  <c:v>17.170000000000002</c:v>
                </c:pt>
                <c:pt idx="225">
                  <c:v>5.5389999999999997</c:v>
                </c:pt>
                <c:pt idx="226">
                  <c:v>8.7899999999999991</c:v>
                </c:pt>
                <c:pt idx="227">
                  <c:v>14.6</c:v>
                </c:pt>
                <c:pt idx="228">
                  <c:v>5.3819999999999997</c:v>
                </c:pt>
                <c:pt idx="229">
                  <c:v>9.5399999999999991</c:v>
                </c:pt>
                <c:pt idx="230">
                  <c:v>16.75</c:v>
                </c:pt>
                <c:pt idx="231">
                  <c:v>21.41</c:v>
                </c:pt>
                <c:pt idx="232">
                  <c:v>21.28</c:v>
                </c:pt>
                <c:pt idx="233">
                  <c:v>23.63</c:v>
                </c:pt>
                <c:pt idx="234">
                  <c:v>23.09</c:v>
                </c:pt>
                <c:pt idx="235">
                  <c:v>16.03</c:v>
                </c:pt>
                <c:pt idx="236">
                  <c:v>23.1</c:v>
                </c:pt>
                <c:pt idx="237">
                  <c:v>18.63</c:v>
                </c:pt>
                <c:pt idx="238">
                  <c:v>19.52</c:v>
                </c:pt>
                <c:pt idx="239">
                  <c:v>23.2</c:v>
                </c:pt>
                <c:pt idx="240">
                  <c:v>9.4600000000000009</c:v>
                </c:pt>
                <c:pt idx="241">
                  <c:v>19.86</c:v>
                </c:pt>
                <c:pt idx="242">
                  <c:v>23.05</c:v>
                </c:pt>
                <c:pt idx="243">
                  <c:v>23.12</c:v>
                </c:pt>
                <c:pt idx="244">
                  <c:v>22.96</c:v>
                </c:pt>
                <c:pt idx="245">
                  <c:v>22.76</c:v>
                </c:pt>
                <c:pt idx="246">
                  <c:v>19.809999999999999</c:v>
                </c:pt>
                <c:pt idx="247">
                  <c:v>5.3550000000000004</c:v>
                </c:pt>
                <c:pt idx="248">
                  <c:v>15.84</c:v>
                </c:pt>
                <c:pt idx="249">
                  <c:v>19.27</c:v>
                </c:pt>
                <c:pt idx="250">
                  <c:v>19.63</c:v>
                </c:pt>
                <c:pt idx="251">
                  <c:v>19.8</c:v>
                </c:pt>
                <c:pt idx="252">
                  <c:v>20.41</c:v>
                </c:pt>
                <c:pt idx="253">
                  <c:v>19.11</c:v>
                </c:pt>
                <c:pt idx="254">
                  <c:v>19.57</c:v>
                </c:pt>
                <c:pt idx="255">
                  <c:v>18.68</c:v>
                </c:pt>
                <c:pt idx="256">
                  <c:v>19.43</c:v>
                </c:pt>
                <c:pt idx="257">
                  <c:v>19.559999999999999</c:v>
                </c:pt>
                <c:pt idx="258">
                  <c:v>19.38</c:v>
                </c:pt>
                <c:pt idx="259">
                  <c:v>19.3</c:v>
                </c:pt>
                <c:pt idx="260">
                  <c:v>12.87</c:v>
                </c:pt>
                <c:pt idx="261">
                  <c:v>18.71</c:v>
                </c:pt>
                <c:pt idx="262">
                  <c:v>18.899999999999999</c:v>
                </c:pt>
                <c:pt idx="263">
                  <c:v>18.43</c:v>
                </c:pt>
                <c:pt idx="264">
                  <c:v>16.239999999999998</c:v>
                </c:pt>
                <c:pt idx="265">
                  <c:v>17.73</c:v>
                </c:pt>
                <c:pt idx="266">
                  <c:v>17.440000000000001</c:v>
                </c:pt>
                <c:pt idx="267">
                  <c:v>15.29</c:v>
                </c:pt>
                <c:pt idx="268">
                  <c:v>10.66</c:v>
                </c:pt>
                <c:pt idx="269">
                  <c:v>6.8940000000000001</c:v>
                </c:pt>
                <c:pt idx="270">
                  <c:v>8.66</c:v>
                </c:pt>
                <c:pt idx="271">
                  <c:v>12.76</c:v>
                </c:pt>
                <c:pt idx="272">
                  <c:v>3.931</c:v>
                </c:pt>
                <c:pt idx="273">
                  <c:v>11.44</c:v>
                </c:pt>
                <c:pt idx="274">
                  <c:v>4.274</c:v>
                </c:pt>
                <c:pt idx="275">
                  <c:v>0.92100000000000004</c:v>
                </c:pt>
                <c:pt idx="276">
                  <c:v>14.13</c:v>
                </c:pt>
                <c:pt idx="277">
                  <c:v>6.6779999999999999</c:v>
                </c:pt>
                <c:pt idx="278">
                  <c:v>5.6429999999999998</c:v>
                </c:pt>
                <c:pt idx="279">
                  <c:v>6.4850000000000003</c:v>
                </c:pt>
                <c:pt idx="280">
                  <c:v>5.0949999999999998</c:v>
                </c:pt>
                <c:pt idx="281">
                  <c:v>3.476</c:v>
                </c:pt>
                <c:pt idx="282">
                  <c:v>5.8319999999999999</c:v>
                </c:pt>
                <c:pt idx="283">
                  <c:v>2.738</c:v>
                </c:pt>
                <c:pt idx="284">
                  <c:v>3.0049999999999999</c:v>
                </c:pt>
                <c:pt idx="285">
                  <c:v>0.49299999999999999</c:v>
                </c:pt>
                <c:pt idx="286">
                  <c:v>1.9259999999999999</c:v>
                </c:pt>
                <c:pt idx="287">
                  <c:v>3.3109999999999999</c:v>
                </c:pt>
                <c:pt idx="288">
                  <c:v>2.9319999999999999</c:v>
                </c:pt>
                <c:pt idx="289">
                  <c:v>1.335</c:v>
                </c:pt>
                <c:pt idx="290">
                  <c:v>3.8929999999999998</c:v>
                </c:pt>
                <c:pt idx="291">
                  <c:v>9.66</c:v>
                </c:pt>
                <c:pt idx="292">
                  <c:v>4.7380000000000004</c:v>
                </c:pt>
                <c:pt idx="293">
                  <c:v>5.8620000000000001</c:v>
                </c:pt>
                <c:pt idx="294">
                  <c:v>10.11</c:v>
                </c:pt>
                <c:pt idx="295">
                  <c:v>2.851</c:v>
                </c:pt>
                <c:pt idx="296">
                  <c:v>4.0469999999999997</c:v>
                </c:pt>
                <c:pt idx="297">
                  <c:v>0.94099999999999995</c:v>
                </c:pt>
                <c:pt idx="298">
                  <c:v>4.3460000000000001</c:v>
                </c:pt>
                <c:pt idx="299">
                  <c:v>3.403</c:v>
                </c:pt>
                <c:pt idx="300">
                  <c:v>6.2869999999999999</c:v>
                </c:pt>
                <c:pt idx="301">
                  <c:v>10.02</c:v>
                </c:pt>
                <c:pt idx="302">
                  <c:v>4.3710000000000004</c:v>
                </c:pt>
                <c:pt idx="303">
                  <c:v>9.41</c:v>
                </c:pt>
                <c:pt idx="304">
                  <c:v>9.1300000000000008</c:v>
                </c:pt>
                <c:pt idx="305">
                  <c:v>8.8699999999999992</c:v>
                </c:pt>
                <c:pt idx="306">
                  <c:v>7.17</c:v>
                </c:pt>
                <c:pt idx="307">
                  <c:v>1.5589999999999999</c:v>
                </c:pt>
                <c:pt idx="308">
                  <c:v>0.73799999999999999</c:v>
                </c:pt>
                <c:pt idx="309">
                  <c:v>0.63400000000000001</c:v>
                </c:pt>
                <c:pt idx="310">
                  <c:v>0.50600000000000001</c:v>
                </c:pt>
                <c:pt idx="311">
                  <c:v>1.218</c:v>
                </c:pt>
                <c:pt idx="312">
                  <c:v>2.8980000000000001</c:v>
                </c:pt>
                <c:pt idx="313">
                  <c:v>4.1980000000000004</c:v>
                </c:pt>
                <c:pt idx="314">
                  <c:v>4.5750000000000002</c:v>
                </c:pt>
                <c:pt idx="315">
                  <c:v>4.8330000000000002</c:v>
                </c:pt>
                <c:pt idx="316">
                  <c:v>0.17299999999999999</c:v>
                </c:pt>
                <c:pt idx="317">
                  <c:v>1.4339999999999999</c:v>
                </c:pt>
                <c:pt idx="318">
                  <c:v>2.9020000000000001</c:v>
                </c:pt>
                <c:pt idx="319">
                  <c:v>4.7329999999999997</c:v>
                </c:pt>
                <c:pt idx="320">
                  <c:v>0.98299999999999998</c:v>
                </c:pt>
                <c:pt idx="321">
                  <c:v>4.2380000000000004</c:v>
                </c:pt>
                <c:pt idx="322">
                  <c:v>6.57</c:v>
                </c:pt>
                <c:pt idx="323">
                  <c:v>6.5529999999999999</c:v>
                </c:pt>
                <c:pt idx="324">
                  <c:v>1.921</c:v>
                </c:pt>
                <c:pt idx="325">
                  <c:v>1.1000000000000001</c:v>
                </c:pt>
                <c:pt idx="326">
                  <c:v>0.68500000000000005</c:v>
                </c:pt>
                <c:pt idx="327">
                  <c:v>2.7829999999999999</c:v>
                </c:pt>
                <c:pt idx="328">
                  <c:v>1.518</c:v>
                </c:pt>
                <c:pt idx="329">
                  <c:v>2.1640000000000001</c:v>
                </c:pt>
                <c:pt idx="330">
                  <c:v>0.80700000000000005</c:v>
                </c:pt>
                <c:pt idx="331">
                  <c:v>0.223</c:v>
                </c:pt>
                <c:pt idx="332">
                  <c:v>2.0699999999999998</c:v>
                </c:pt>
                <c:pt idx="333">
                  <c:v>2.3199999999999998</c:v>
                </c:pt>
                <c:pt idx="334">
                  <c:v>2.9910000000000001</c:v>
                </c:pt>
                <c:pt idx="335">
                  <c:v>1.63</c:v>
                </c:pt>
                <c:pt idx="336">
                  <c:v>2.2610000000000001</c:v>
                </c:pt>
                <c:pt idx="337">
                  <c:v>3.13</c:v>
                </c:pt>
                <c:pt idx="338">
                  <c:v>5.2</c:v>
                </c:pt>
                <c:pt idx="339">
                  <c:v>1.6990000000000001</c:v>
                </c:pt>
                <c:pt idx="340">
                  <c:v>4.5819999999999999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Data!$BH$7:$BH$371</c:f>
              <c:numCache>
                <c:formatCode>0.00</c:formatCode>
                <c:ptCount val="365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SolCal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Data!$BJ$7:$BJ$371</c:f>
              <c:numCache>
                <c:formatCode>0.00</c:formatCode>
                <c:ptCount val="365"/>
                <c:pt idx="0">
                  <c:v>4.29</c:v>
                </c:pt>
                <c:pt idx="1">
                  <c:v>4.37</c:v>
                </c:pt>
                <c:pt idx="2">
                  <c:v>4.5599999999999996</c:v>
                </c:pt>
                <c:pt idx="3">
                  <c:v>4.8899999999999997</c:v>
                </c:pt>
                <c:pt idx="4">
                  <c:v>5.37</c:v>
                </c:pt>
                <c:pt idx="5">
                  <c:v>3.73</c:v>
                </c:pt>
                <c:pt idx="6">
                  <c:v>6.05</c:v>
                </c:pt>
                <c:pt idx="7">
                  <c:v>0.63</c:v>
                </c:pt>
                <c:pt idx="8">
                  <c:v>0.54</c:v>
                </c:pt>
                <c:pt idx="9">
                  <c:v>0.56999999999999995</c:v>
                </c:pt>
                <c:pt idx="10">
                  <c:v>0.25</c:v>
                </c:pt>
                <c:pt idx="11">
                  <c:v>0.74</c:v>
                </c:pt>
                <c:pt idx="12">
                  <c:v>0.4</c:v>
                </c:pt>
                <c:pt idx="13">
                  <c:v>0.38</c:v>
                </c:pt>
                <c:pt idx="14">
                  <c:v>0.45</c:v>
                </c:pt>
                <c:pt idx="15">
                  <c:v>0.35</c:v>
                </c:pt>
                <c:pt idx="16">
                  <c:v>0.34</c:v>
                </c:pt>
                <c:pt idx="17">
                  <c:v>0.27</c:v>
                </c:pt>
                <c:pt idx="18">
                  <c:v>1.65</c:v>
                </c:pt>
                <c:pt idx="19">
                  <c:v>0.85</c:v>
                </c:pt>
                <c:pt idx="20">
                  <c:v>1.51</c:v>
                </c:pt>
                <c:pt idx="21">
                  <c:v>2.0499999999999998</c:v>
                </c:pt>
                <c:pt idx="22">
                  <c:v>3.46</c:v>
                </c:pt>
                <c:pt idx="23">
                  <c:v>6.27</c:v>
                </c:pt>
                <c:pt idx="24">
                  <c:v>3.33</c:v>
                </c:pt>
                <c:pt idx="25">
                  <c:v>1.53</c:v>
                </c:pt>
                <c:pt idx="26">
                  <c:v>6.87</c:v>
                </c:pt>
                <c:pt idx="27">
                  <c:v>5.0199999999999996</c:v>
                </c:pt>
                <c:pt idx="28">
                  <c:v>1.88</c:v>
                </c:pt>
                <c:pt idx="29">
                  <c:v>0.67</c:v>
                </c:pt>
                <c:pt idx="30">
                  <c:v>0.96</c:v>
                </c:pt>
                <c:pt idx="31">
                  <c:v>4.22</c:v>
                </c:pt>
                <c:pt idx="32">
                  <c:v>6.75</c:v>
                </c:pt>
                <c:pt idx="33">
                  <c:v>1.7</c:v>
                </c:pt>
                <c:pt idx="34">
                  <c:v>7.32</c:v>
                </c:pt>
                <c:pt idx="35">
                  <c:v>6.57</c:v>
                </c:pt>
                <c:pt idx="36">
                  <c:v>2.33</c:v>
                </c:pt>
                <c:pt idx="37">
                  <c:v>4.8099999999999996</c:v>
                </c:pt>
                <c:pt idx="38">
                  <c:v>3.95</c:v>
                </c:pt>
                <c:pt idx="39">
                  <c:v>8.85</c:v>
                </c:pt>
                <c:pt idx="40">
                  <c:v>6.17</c:v>
                </c:pt>
                <c:pt idx="41">
                  <c:v>6.44</c:v>
                </c:pt>
                <c:pt idx="42">
                  <c:v>9.7100000000000009</c:v>
                </c:pt>
                <c:pt idx="43">
                  <c:v>10.039999999999999</c:v>
                </c:pt>
                <c:pt idx="44">
                  <c:v>7.49</c:v>
                </c:pt>
                <c:pt idx="45">
                  <c:v>2.4700000000000002</c:v>
                </c:pt>
                <c:pt idx="46">
                  <c:v>2.25</c:v>
                </c:pt>
                <c:pt idx="47">
                  <c:v>2.25</c:v>
                </c:pt>
                <c:pt idx="48">
                  <c:v>1.39</c:v>
                </c:pt>
                <c:pt idx="49">
                  <c:v>5.47</c:v>
                </c:pt>
                <c:pt idx="50">
                  <c:v>2.42</c:v>
                </c:pt>
                <c:pt idx="51">
                  <c:v>5.3</c:v>
                </c:pt>
                <c:pt idx="52">
                  <c:v>11.21</c:v>
                </c:pt>
                <c:pt idx="53">
                  <c:v>3.21</c:v>
                </c:pt>
                <c:pt idx="54">
                  <c:v>1.92</c:v>
                </c:pt>
                <c:pt idx="55">
                  <c:v>7.56</c:v>
                </c:pt>
                <c:pt idx="56">
                  <c:v>10.67</c:v>
                </c:pt>
                <c:pt idx="57">
                  <c:v>13.12</c:v>
                </c:pt>
                <c:pt idx="58">
                  <c:v>12.47</c:v>
                </c:pt>
                <c:pt idx="59">
                  <c:v>13.79</c:v>
                </c:pt>
                <c:pt idx="60">
                  <c:v>13.8</c:v>
                </c:pt>
                <c:pt idx="61">
                  <c:v>12.55</c:v>
                </c:pt>
                <c:pt idx="62">
                  <c:v>8.01</c:v>
                </c:pt>
                <c:pt idx="63">
                  <c:v>10.7</c:v>
                </c:pt>
                <c:pt idx="64">
                  <c:v>14.6</c:v>
                </c:pt>
                <c:pt idx="65">
                  <c:v>8.41</c:v>
                </c:pt>
                <c:pt idx="66">
                  <c:v>3.04</c:v>
                </c:pt>
                <c:pt idx="67">
                  <c:v>3.47</c:v>
                </c:pt>
                <c:pt idx="68">
                  <c:v>7.57</c:v>
                </c:pt>
                <c:pt idx="69">
                  <c:v>9</c:v>
                </c:pt>
                <c:pt idx="70">
                  <c:v>6.87</c:v>
                </c:pt>
                <c:pt idx="71">
                  <c:v>7.15</c:v>
                </c:pt>
                <c:pt idx="72">
                  <c:v>7.43</c:v>
                </c:pt>
                <c:pt idx="73">
                  <c:v>7.65</c:v>
                </c:pt>
                <c:pt idx="74">
                  <c:v>13.67</c:v>
                </c:pt>
                <c:pt idx="75">
                  <c:v>12.01</c:v>
                </c:pt>
                <c:pt idx="76">
                  <c:v>4.68</c:v>
                </c:pt>
                <c:pt idx="77">
                  <c:v>5.62</c:v>
                </c:pt>
                <c:pt idx="78">
                  <c:v>8.34</c:v>
                </c:pt>
                <c:pt idx="79">
                  <c:v>10.75</c:v>
                </c:pt>
                <c:pt idx="80">
                  <c:v>16.29</c:v>
                </c:pt>
                <c:pt idx="81">
                  <c:v>4.67</c:v>
                </c:pt>
                <c:pt idx="82">
                  <c:v>9.06</c:v>
                </c:pt>
                <c:pt idx="83">
                  <c:v>19.600000000000001</c:v>
                </c:pt>
                <c:pt idx="84">
                  <c:v>18.510000000000002</c:v>
                </c:pt>
                <c:pt idx="85">
                  <c:v>19.62</c:v>
                </c:pt>
                <c:pt idx="86">
                  <c:v>19.61</c:v>
                </c:pt>
                <c:pt idx="87">
                  <c:v>20.2</c:v>
                </c:pt>
                <c:pt idx="88">
                  <c:v>19.71</c:v>
                </c:pt>
                <c:pt idx="89">
                  <c:v>16.649999999999999</c:v>
                </c:pt>
                <c:pt idx="90">
                  <c:v>7.89</c:v>
                </c:pt>
                <c:pt idx="91">
                  <c:v>6.82</c:v>
                </c:pt>
                <c:pt idx="92">
                  <c:v>13.28</c:v>
                </c:pt>
                <c:pt idx="93">
                  <c:v>7.83</c:v>
                </c:pt>
                <c:pt idx="94">
                  <c:v>13.16</c:v>
                </c:pt>
                <c:pt idx="95">
                  <c:v>19.91</c:v>
                </c:pt>
                <c:pt idx="96">
                  <c:v>10.93</c:v>
                </c:pt>
                <c:pt idx="97">
                  <c:v>3.56</c:v>
                </c:pt>
                <c:pt idx="98">
                  <c:v>10.93</c:v>
                </c:pt>
                <c:pt idx="99">
                  <c:v>13.56</c:v>
                </c:pt>
                <c:pt idx="100">
                  <c:v>17.739999999999998</c:v>
                </c:pt>
                <c:pt idx="101">
                  <c:v>13.76</c:v>
                </c:pt>
                <c:pt idx="102">
                  <c:v>7.63</c:v>
                </c:pt>
                <c:pt idx="103">
                  <c:v>10</c:v>
                </c:pt>
                <c:pt idx="104">
                  <c:v>12.44</c:v>
                </c:pt>
                <c:pt idx="105">
                  <c:v>21.12</c:v>
                </c:pt>
                <c:pt idx="106">
                  <c:v>9</c:v>
                </c:pt>
                <c:pt idx="107">
                  <c:v>11.34</c:v>
                </c:pt>
                <c:pt idx="108">
                  <c:v>8.17</c:v>
                </c:pt>
                <c:pt idx="109">
                  <c:v>15.09</c:v>
                </c:pt>
                <c:pt idx="110">
                  <c:v>22.41</c:v>
                </c:pt>
                <c:pt idx="111">
                  <c:v>25.6</c:v>
                </c:pt>
                <c:pt idx="112">
                  <c:v>25.12</c:v>
                </c:pt>
                <c:pt idx="113">
                  <c:v>14.15</c:v>
                </c:pt>
                <c:pt idx="114">
                  <c:v>21.65</c:v>
                </c:pt>
                <c:pt idx="115">
                  <c:v>10.56</c:v>
                </c:pt>
                <c:pt idx="116">
                  <c:v>25.42</c:v>
                </c:pt>
                <c:pt idx="117">
                  <c:v>16.45</c:v>
                </c:pt>
                <c:pt idx="118">
                  <c:v>18.47</c:v>
                </c:pt>
                <c:pt idx="119">
                  <c:v>11.47</c:v>
                </c:pt>
                <c:pt idx="120">
                  <c:v>16.87</c:v>
                </c:pt>
                <c:pt idx="121">
                  <c:v>10.61</c:v>
                </c:pt>
                <c:pt idx="122">
                  <c:v>8.8000000000000007</c:v>
                </c:pt>
                <c:pt idx="123">
                  <c:v>14.3</c:v>
                </c:pt>
                <c:pt idx="124">
                  <c:v>9.64</c:v>
                </c:pt>
                <c:pt idx="125">
                  <c:v>18.27</c:v>
                </c:pt>
                <c:pt idx="126">
                  <c:v>16.21</c:v>
                </c:pt>
                <c:pt idx="127">
                  <c:v>18.420000000000002</c:v>
                </c:pt>
                <c:pt idx="128">
                  <c:v>18.760000000000002</c:v>
                </c:pt>
                <c:pt idx="129">
                  <c:v>11.69</c:v>
                </c:pt>
                <c:pt idx="130">
                  <c:v>6.71</c:v>
                </c:pt>
                <c:pt idx="131">
                  <c:v>10.35</c:v>
                </c:pt>
                <c:pt idx="132">
                  <c:v>29.8</c:v>
                </c:pt>
                <c:pt idx="133">
                  <c:v>17.190000000000001</c:v>
                </c:pt>
                <c:pt idx="134">
                  <c:v>22.81</c:v>
                </c:pt>
                <c:pt idx="135">
                  <c:v>25.21</c:v>
                </c:pt>
                <c:pt idx="136">
                  <c:v>11.95</c:v>
                </c:pt>
                <c:pt idx="137">
                  <c:v>27.66</c:v>
                </c:pt>
                <c:pt idx="138">
                  <c:v>30.23</c:v>
                </c:pt>
                <c:pt idx="139">
                  <c:v>20.58</c:v>
                </c:pt>
                <c:pt idx="140">
                  <c:v>31.34</c:v>
                </c:pt>
                <c:pt idx="141">
                  <c:v>31.24</c:v>
                </c:pt>
                <c:pt idx="142">
                  <c:v>30.05</c:v>
                </c:pt>
                <c:pt idx="143">
                  <c:v>27.08</c:v>
                </c:pt>
                <c:pt idx="144">
                  <c:v>31.05</c:v>
                </c:pt>
                <c:pt idx="145">
                  <c:v>31.44</c:v>
                </c:pt>
                <c:pt idx="146">
                  <c:v>31.51</c:v>
                </c:pt>
                <c:pt idx="147">
                  <c:v>30.93</c:v>
                </c:pt>
                <c:pt idx="148">
                  <c:v>30.43</c:v>
                </c:pt>
                <c:pt idx="149">
                  <c:v>29.88</c:v>
                </c:pt>
                <c:pt idx="150">
                  <c:v>28.59</c:v>
                </c:pt>
                <c:pt idx="151">
                  <c:v>28.76</c:v>
                </c:pt>
                <c:pt idx="152">
                  <c:v>19.25</c:v>
                </c:pt>
                <c:pt idx="153">
                  <c:v>29.18</c:v>
                </c:pt>
                <c:pt idx="154">
                  <c:v>16.47</c:v>
                </c:pt>
                <c:pt idx="155">
                  <c:v>5.37</c:v>
                </c:pt>
                <c:pt idx="156">
                  <c:v>7.95</c:v>
                </c:pt>
                <c:pt idx="157">
                  <c:v>29.15</c:v>
                </c:pt>
                <c:pt idx="158">
                  <c:v>32.32</c:v>
                </c:pt>
                <c:pt idx="159">
                  <c:v>31.12</c:v>
                </c:pt>
                <c:pt idx="160">
                  <c:v>23.62</c:v>
                </c:pt>
                <c:pt idx="161">
                  <c:v>11.73</c:v>
                </c:pt>
                <c:pt idx="162">
                  <c:v>22.25</c:v>
                </c:pt>
                <c:pt idx="163">
                  <c:v>19.16</c:v>
                </c:pt>
                <c:pt idx="164">
                  <c:v>10.47</c:v>
                </c:pt>
                <c:pt idx="165">
                  <c:v>17.989999999999998</c:v>
                </c:pt>
                <c:pt idx="166">
                  <c:v>15.72</c:v>
                </c:pt>
                <c:pt idx="167">
                  <c:v>12.86</c:v>
                </c:pt>
                <c:pt idx="168">
                  <c:v>13.46</c:v>
                </c:pt>
                <c:pt idx="169">
                  <c:v>11.64</c:v>
                </c:pt>
                <c:pt idx="170">
                  <c:v>4.12</c:v>
                </c:pt>
                <c:pt idx="171">
                  <c:v>14.07</c:v>
                </c:pt>
                <c:pt idx="172">
                  <c:v>26.16</c:v>
                </c:pt>
                <c:pt idx="173">
                  <c:v>29.99</c:v>
                </c:pt>
                <c:pt idx="174">
                  <c:v>26.01</c:v>
                </c:pt>
                <c:pt idx="175">
                  <c:v>32.15</c:v>
                </c:pt>
                <c:pt idx="176">
                  <c:v>27.4</c:v>
                </c:pt>
                <c:pt idx="177">
                  <c:v>31.22</c:v>
                </c:pt>
                <c:pt idx="178">
                  <c:v>32.35</c:v>
                </c:pt>
                <c:pt idx="179">
                  <c:v>29</c:v>
                </c:pt>
                <c:pt idx="180">
                  <c:v>29.52</c:v>
                </c:pt>
                <c:pt idx="181">
                  <c:v>22.7</c:v>
                </c:pt>
                <c:pt idx="182">
                  <c:v>10.73</c:v>
                </c:pt>
                <c:pt idx="183">
                  <c:v>18.75</c:v>
                </c:pt>
                <c:pt idx="184">
                  <c:v>13.79</c:v>
                </c:pt>
                <c:pt idx="185">
                  <c:v>18.82</c:v>
                </c:pt>
                <c:pt idx="186">
                  <c:v>14.15</c:v>
                </c:pt>
                <c:pt idx="187">
                  <c:v>12.26</c:v>
                </c:pt>
                <c:pt idx="188">
                  <c:v>14.78</c:v>
                </c:pt>
                <c:pt idx="189">
                  <c:v>16</c:v>
                </c:pt>
                <c:pt idx="190">
                  <c:v>12.79</c:v>
                </c:pt>
                <c:pt idx="191">
                  <c:v>22.43</c:v>
                </c:pt>
                <c:pt idx="192">
                  <c:v>28.5</c:v>
                </c:pt>
                <c:pt idx="193">
                  <c:v>24.24</c:v>
                </c:pt>
                <c:pt idx="194">
                  <c:v>28.35</c:v>
                </c:pt>
                <c:pt idx="195">
                  <c:v>29.78</c:v>
                </c:pt>
                <c:pt idx="196">
                  <c:v>30.31</c:v>
                </c:pt>
                <c:pt idx="197">
                  <c:v>30.36</c:v>
                </c:pt>
                <c:pt idx="198">
                  <c:v>29.57</c:v>
                </c:pt>
                <c:pt idx="199">
                  <c:v>30.06</c:v>
                </c:pt>
                <c:pt idx="200">
                  <c:v>16.559999999999999</c:v>
                </c:pt>
                <c:pt idx="201">
                  <c:v>23.56</c:v>
                </c:pt>
                <c:pt idx="202">
                  <c:v>25.3</c:v>
                </c:pt>
                <c:pt idx="203">
                  <c:v>12.06</c:v>
                </c:pt>
                <c:pt idx="204">
                  <c:v>14.68</c:v>
                </c:pt>
                <c:pt idx="205">
                  <c:v>7.93</c:v>
                </c:pt>
                <c:pt idx="206">
                  <c:v>11.71</c:v>
                </c:pt>
                <c:pt idx="207">
                  <c:v>20.43</c:v>
                </c:pt>
                <c:pt idx="208">
                  <c:v>19.62</c:v>
                </c:pt>
                <c:pt idx="209">
                  <c:v>4.93</c:v>
                </c:pt>
                <c:pt idx="210">
                  <c:v>19.3</c:v>
                </c:pt>
                <c:pt idx="211">
                  <c:v>16.22</c:v>
                </c:pt>
                <c:pt idx="212">
                  <c:v>11.7</c:v>
                </c:pt>
                <c:pt idx="213">
                  <c:v>16.39</c:v>
                </c:pt>
                <c:pt idx="214">
                  <c:v>26.52</c:v>
                </c:pt>
                <c:pt idx="215">
                  <c:v>26.99</c:v>
                </c:pt>
                <c:pt idx="216">
                  <c:v>8.0399999999999991</c:v>
                </c:pt>
                <c:pt idx="217">
                  <c:v>7.18</c:v>
                </c:pt>
                <c:pt idx="218">
                  <c:v>9.57</c:v>
                </c:pt>
                <c:pt idx="219">
                  <c:v>4.07</c:v>
                </c:pt>
                <c:pt idx="220">
                  <c:v>15.83</c:v>
                </c:pt>
                <c:pt idx="221">
                  <c:v>15.75</c:v>
                </c:pt>
                <c:pt idx="222">
                  <c:v>6.09</c:v>
                </c:pt>
                <c:pt idx="223">
                  <c:v>6.28</c:v>
                </c:pt>
                <c:pt idx="224">
                  <c:v>17.170000000000002</c:v>
                </c:pt>
                <c:pt idx="225">
                  <c:v>5.54</c:v>
                </c:pt>
                <c:pt idx="226">
                  <c:v>8.7899999999999991</c:v>
                </c:pt>
                <c:pt idx="227">
                  <c:v>14.6</c:v>
                </c:pt>
                <c:pt idx="228">
                  <c:v>5.38</c:v>
                </c:pt>
                <c:pt idx="229">
                  <c:v>9.5399999999999991</c:v>
                </c:pt>
                <c:pt idx="230">
                  <c:v>16.75</c:v>
                </c:pt>
                <c:pt idx="231">
                  <c:v>21.41</c:v>
                </c:pt>
                <c:pt idx="232">
                  <c:v>21.28</c:v>
                </c:pt>
                <c:pt idx="233">
                  <c:v>23.63</c:v>
                </c:pt>
                <c:pt idx="234">
                  <c:v>23.09</c:v>
                </c:pt>
                <c:pt idx="235">
                  <c:v>16.03</c:v>
                </c:pt>
                <c:pt idx="236">
                  <c:v>23.1</c:v>
                </c:pt>
                <c:pt idx="237">
                  <c:v>18.63</c:v>
                </c:pt>
                <c:pt idx="238">
                  <c:v>19.52</c:v>
                </c:pt>
                <c:pt idx="239">
                  <c:v>23.2</c:v>
                </c:pt>
                <c:pt idx="240">
                  <c:v>9.4600000000000009</c:v>
                </c:pt>
                <c:pt idx="241">
                  <c:v>19.86</c:v>
                </c:pt>
                <c:pt idx="242">
                  <c:v>23.05</c:v>
                </c:pt>
                <c:pt idx="243">
                  <c:v>23.12</c:v>
                </c:pt>
                <c:pt idx="244">
                  <c:v>22.96</c:v>
                </c:pt>
                <c:pt idx="245">
                  <c:v>22.76</c:v>
                </c:pt>
                <c:pt idx="246">
                  <c:v>19.809999999999999</c:v>
                </c:pt>
                <c:pt idx="247">
                  <c:v>5.36</c:v>
                </c:pt>
                <c:pt idx="248">
                  <c:v>15.84</c:v>
                </c:pt>
                <c:pt idx="249">
                  <c:v>19.27</c:v>
                </c:pt>
                <c:pt idx="250">
                  <c:v>19.63</c:v>
                </c:pt>
                <c:pt idx="251">
                  <c:v>19.8</c:v>
                </c:pt>
                <c:pt idx="252">
                  <c:v>20.41</c:v>
                </c:pt>
                <c:pt idx="253">
                  <c:v>19.11</c:v>
                </c:pt>
                <c:pt idx="254">
                  <c:v>19.57</c:v>
                </c:pt>
                <c:pt idx="255">
                  <c:v>18.68</c:v>
                </c:pt>
                <c:pt idx="256">
                  <c:v>19.43</c:v>
                </c:pt>
                <c:pt idx="257">
                  <c:v>19.559999999999999</c:v>
                </c:pt>
                <c:pt idx="258">
                  <c:v>19.38</c:v>
                </c:pt>
                <c:pt idx="259">
                  <c:v>19.3</c:v>
                </c:pt>
                <c:pt idx="260">
                  <c:v>12.87</c:v>
                </c:pt>
                <c:pt idx="261">
                  <c:v>18.71</c:v>
                </c:pt>
                <c:pt idx="262">
                  <c:v>18.899999999999999</c:v>
                </c:pt>
                <c:pt idx="263">
                  <c:v>18.43</c:v>
                </c:pt>
                <c:pt idx="264">
                  <c:v>16.239999999999998</c:v>
                </c:pt>
                <c:pt idx="265">
                  <c:v>17.73</c:v>
                </c:pt>
                <c:pt idx="266">
                  <c:v>17.440000000000001</c:v>
                </c:pt>
                <c:pt idx="267">
                  <c:v>15.29</c:v>
                </c:pt>
                <c:pt idx="268">
                  <c:v>10.66</c:v>
                </c:pt>
                <c:pt idx="269">
                  <c:v>6.89</c:v>
                </c:pt>
                <c:pt idx="270">
                  <c:v>8.66</c:v>
                </c:pt>
                <c:pt idx="271">
                  <c:v>12.76</c:v>
                </c:pt>
                <c:pt idx="272">
                  <c:v>3.93</c:v>
                </c:pt>
                <c:pt idx="273">
                  <c:v>11.44</c:v>
                </c:pt>
                <c:pt idx="274">
                  <c:v>4.2699999999999996</c:v>
                </c:pt>
                <c:pt idx="275">
                  <c:v>0.92</c:v>
                </c:pt>
                <c:pt idx="276">
                  <c:v>14.13</c:v>
                </c:pt>
                <c:pt idx="277">
                  <c:v>6.68</c:v>
                </c:pt>
                <c:pt idx="278">
                  <c:v>5.64</c:v>
                </c:pt>
                <c:pt idx="279">
                  <c:v>6.49</c:v>
                </c:pt>
                <c:pt idx="280">
                  <c:v>5.0999999999999996</c:v>
                </c:pt>
                <c:pt idx="281">
                  <c:v>3.48</c:v>
                </c:pt>
                <c:pt idx="282">
                  <c:v>5.83</c:v>
                </c:pt>
                <c:pt idx="283">
                  <c:v>2.74</c:v>
                </c:pt>
                <c:pt idx="284">
                  <c:v>3.01</c:v>
                </c:pt>
                <c:pt idx="285">
                  <c:v>0.49</c:v>
                </c:pt>
                <c:pt idx="286">
                  <c:v>1.93</c:v>
                </c:pt>
                <c:pt idx="287">
                  <c:v>3.31</c:v>
                </c:pt>
                <c:pt idx="288">
                  <c:v>2.93</c:v>
                </c:pt>
                <c:pt idx="289">
                  <c:v>1.34</c:v>
                </c:pt>
                <c:pt idx="290">
                  <c:v>3.89</c:v>
                </c:pt>
                <c:pt idx="291">
                  <c:v>9.66</c:v>
                </c:pt>
                <c:pt idx="292">
                  <c:v>4.74</c:v>
                </c:pt>
                <c:pt idx="293">
                  <c:v>5.86</c:v>
                </c:pt>
                <c:pt idx="294">
                  <c:v>10.11</c:v>
                </c:pt>
                <c:pt idx="295">
                  <c:v>2.85</c:v>
                </c:pt>
                <c:pt idx="296">
                  <c:v>4.05</c:v>
                </c:pt>
                <c:pt idx="297">
                  <c:v>0.94</c:v>
                </c:pt>
                <c:pt idx="298">
                  <c:v>4.3499999999999996</c:v>
                </c:pt>
                <c:pt idx="299">
                  <c:v>3.4</c:v>
                </c:pt>
                <c:pt idx="300">
                  <c:v>6.29</c:v>
                </c:pt>
                <c:pt idx="301">
                  <c:v>10.02</c:v>
                </c:pt>
                <c:pt idx="302">
                  <c:v>4.37</c:v>
                </c:pt>
                <c:pt idx="303">
                  <c:v>9.41</c:v>
                </c:pt>
                <c:pt idx="304">
                  <c:v>9.1300000000000008</c:v>
                </c:pt>
                <c:pt idx="305">
                  <c:v>8.8699999999999992</c:v>
                </c:pt>
                <c:pt idx="306">
                  <c:v>7.17</c:v>
                </c:pt>
                <c:pt idx="307">
                  <c:v>1.56</c:v>
                </c:pt>
                <c:pt idx="308">
                  <c:v>0.74</c:v>
                </c:pt>
                <c:pt idx="309">
                  <c:v>0.63</c:v>
                </c:pt>
                <c:pt idx="310">
                  <c:v>0.51</c:v>
                </c:pt>
                <c:pt idx="311">
                  <c:v>1.22</c:v>
                </c:pt>
                <c:pt idx="312">
                  <c:v>2.9</c:v>
                </c:pt>
                <c:pt idx="313">
                  <c:v>4.2</c:v>
                </c:pt>
                <c:pt idx="314">
                  <c:v>4.58</c:v>
                </c:pt>
                <c:pt idx="315">
                  <c:v>4.83</c:v>
                </c:pt>
                <c:pt idx="316">
                  <c:v>0.17</c:v>
                </c:pt>
                <c:pt idx="317">
                  <c:v>1.43</c:v>
                </c:pt>
                <c:pt idx="318">
                  <c:v>2.9</c:v>
                </c:pt>
                <c:pt idx="319">
                  <c:v>4.7300000000000004</c:v>
                </c:pt>
                <c:pt idx="320">
                  <c:v>0.98</c:v>
                </c:pt>
                <c:pt idx="321">
                  <c:v>4.24</c:v>
                </c:pt>
                <c:pt idx="322">
                  <c:v>6.57</c:v>
                </c:pt>
                <c:pt idx="323">
                  <c:v>6.55</c:v>
                </c:pt>
                <c:pt idx="324">
                  <c:v>1.92</c:v>
                </c:pt>
                <c:pt idx="325">
                  <c:v>1.1000000000000001</c:v>
                </c:pt>
                <c:pt idx="326">
                  <c:v>0.69</c:v>
                </c:pt>
                <c:pt idx="327">
                  <c:v>2.78</c:v>
                </c:pt>
                <c:pt idx="328">
                  <c:v>1.52</c:v>
                </c:pt>
                <c:pt idx="329">
                  <c:v>2.16</c:v>
                </c:pt>
                <c:pt idx="330">
                  <c:v>0.81</c:v>
                </c:pt>
                <c:pt idx="331">
                  <c:v>0.22</c:v>
                </c:pt>
                <c:pt idx="332">
                  <c:v>2.0699999999999998</c:v>
                </c:pt>
                <c:pt idx="333">
                  <c:v>2.3199999999999998</c:v>
                </c:pt>
                <c:pt idx="334">
                  <c:v>2.99</c:v>
                </c:pt>
                <c:pt idx="335">
                  <c:v>1.63</c:v>
                </c:pt>
                <c:pt idx="336">
                  <c:v>2.2599999999999998</c:v>
                </c:pt>
                <c:pt idx="337">
                  <c:v>3.13</c:v>
                </c:pt>
                <c:pt idx="338">
                  <c:v>5.2</c:v>
                </c:pt>
                <c:pt idx="339">
                  <c:v>1.7</c:v>
                </c:pt>
                <c:pt idx="340">
                  <c:v>4.58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373504"/>
        <c:axId val="234375040"/>
      </c:lineChart>
      <c:catAx>
        <c:axId val="23437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437504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4375040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4373504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Daily PAR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PARCal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Data!$BK$7:$BK$371</c:f>
              <c:numCache>
                <c:formatCode>0.00</c:formatCode>
                <c:ptCount val="365"/>
                <c:pt idx="0">
                  <c:v>8.26</c:v>
                </c:pt>
                <c:pt idx="1">
                  <c:v>8.3699999999999992</c:v>
                </c:pt>
                <c:pt idx="2">
                  <c:v>8.86</c:v>
                </c:pt>
                <c:pt idx="3">
                  <c:v>9.15</c:v>
                </c:pt>
                <c:pt idx="4">
                  <c:v>9.66</c:v>
                </c:pt>
                <c:pt idx="5">
                  <c:v>6.33</c:v>
                </c:pt>
                <c:pt idx="6">
                  <c:v>11.93</c:v>
                </c:pt>
                <c:pt idx="7">
                  <c:v>1.58</c:v>
                </c:pt>
                <c:pt idx="8">
                  <c:v>1.23</c:v>
                </c:pt>
                <c:pt idx="9">
                  <c:v>1</c:v>
                </c:pt>
                <c:pt idx="10">
                  <c:v>0.68</c:v>
                </c:pt>
                <c:pt idx="11">
                  <c:v>1.59</c:v>
                </c:pt>
                <c:pt idx="12">
                  <c:v>0.95</c:v>
                </c:pt>
                <c:pt idx="13">
                  <c:v>0.97</c:v>
                </c:pt>
                <c:pt idx="14">
                  <c:v>1.27</c:v>
                </c:pt>
                <c:pt idx="15">
                  <c:v>1.01</c:v>
                </c:pt>
                <c:pt idx="16">
                  <c:v>0.98</c:v>
                </c:pt>
                <c:pt idx="17">
                  <c:v>0.83</c:v>
                </c:pt>
                <c:pt idx="18">
                  <c:v>4.3600000000000003</c:v>
                </c:pt>
                <c:pt idx="19">
                  <c:v>4.47</c:v>
                </c:pt>
                <c:pt idx="20">
                  <c:v>6.15</c:v>
                </c:pt>
                <c:pt idx="21">
                  <c:v>8.76</c:v>
                </c:pt>
                <c:pt idx="22">
                  <c:v>13.06</c:v>
                </c:pt>
                <c:pt idx="23">
                  <c:v>12.66</c:v>
                </c:pt>
                <c:pt idx="24">
                  <c:v>6.98</c:v>
                </c:pt>
                <c:pt idx="25">
                  <c:v>3.26</c:v>
                </c:pt>
                <c:pt idx="26">
                  <c:v>12.56</c:v>
                </c:pt>
                <c:pt idx="27">
                  <c:v>9.42</c:v>
                </c:pt>
                <c:pt idx="28">
                  <c:v>4.01</c:v>
                </c:pt>
                <c:pt idx="29">
                  <c:v>1.3</c:v>
                </c:pt>
                <c:pt idx="30">
                  <c:v>2.1</c:v>
                </c:pt>
                <c:pt idx="31">
                  <c:v>8.77</c:v>
                </c:pt>
                <c:pt idx="32">
                  <c:v>13.71</c:v>
                </c:pt>
                <c:pt idx="33">
                  <c:v>3.8</c:v>
                </c:pt>
                <c:pt idx="34">
                  <c:v>14.98</c:v>
                </c:pt>
                <c:pt idx="35">
                  <c:v>13.73</c:v>
                </c:pt>
                <c:pt idx="36">
                  <c:v>5.19</c:v>
                </c:pt>
                <c:pt idx="37">
                  <c:v>6.75</c:v>
                </c:pt>
                <c:pt idx="38">
                  <c:v>8.65</c:v>
                </c:pt>
                <c:pt idx="39">
                  <c:v>17.84</c:v>
                </c:pt>
                <c:pt idx="40">
                  <c:v>12.68</c:v>
                </c:pt>
                <c:pt idx="41">
                  <c:v>13.44</c:v>
                </c:pt>
                <c:pt idx="42">
                  <c:v>19.649999999999999</c:v>
                </c:pt>
                <c:pt idx="43">
                  <c:v>20.25</c:v>
                </c:pt>
                <c:pt idx="44">
                  <c:v>15.82</c:v>
                </c:pt>
                <c:pt idx="45">
                  <c:v>6.15</c:v>
                </c:pt>
                <c:pt idx="46">
                  <c:v>5.19</c:v>
                </c:pt>
                <c:pt idx="47">
                  <c:v>6.12</c:v>
                </c:pt>
                <c:pt idx="48">
                  <c:v>3.23</c:v>
                </c:pt>
                <c:pt idx="49">
                  <c:v>11.04</c:v>
                </c:pt>
                <c:pt idx="50">
                  <c:v>5.24</c:v>
                </c:pt>
                <c:pt idx="51">
                  <c:v>10.96</c:v>
                </c:pt>
                <c:pt idx="52">
                  <c:v>22.53</c:v>
                </c:pt>
                <c:pt idx="53">
                  <c:v>6.67</c:v>
                </c:pt>
                <c:pt idx="54">
                  <c:v>4.29</c:v>
                </c:pt>
                <c:pt idx="55">
                  <c:v>15.51</c:v>
                </c:pt>
                <c:pt idx="56">
                  <c:v>21.42</c:v>
                </c:pt>
                <c:pt idx="57">
                  <c:v>26.38</c:v>
                </c:pt>
                <c:pt idx="58">
                  <c:v>25.15</c:v>
                </c:pt>
                <c:pt idx="59">
                  <c:v>27.4</c:v>
                </c:pt>
                <c:pt idx="60">
                  <c:v>27.71</c:v>
                </c:pt>
                <c:pt idx="61">
                  <c:v>25.24</c:v>
                </c:pt>
                <c:pt idx="62">
                  <c:v>16.89</c:v>
                </c:pt>
                <c:pt idx="63">
                  <c:v>20.69</c:v>
                </c:pt>
                <c:pt idx="64">
                  <c:v>30.3</c:v>
                </c:pt>
                <c:pt idx="65">
                  <c:v>18.100000000000001</c:v>
                </c:pt>
                <c:pt idx="66">
                  <c:v>7.04</c:v>
                </c:pt>
                <c:pt idx="67">
                  <c:v>7.98</c:v>
                </c:pt>
                <c:pt idx="68">
                  <c:v>16.25</c:v>
                </c:pt>
                <c:pt idx="69">
                  <c:v>18.989999999999998</c:v>
                </c:pt>
                <c:pt idx="70">
                  <c:v>15.23</c:v>
                </c:pt>
                <c:pt idx="71">
                  <c:v>15.36</c:v>
                </c:pt>
                <c:pt idx="72">
                  <c:v>15.82</c:v>
                </c:pt>
                <c:pt idx="73">
                  <c:v>16.05</c:v>
                </c:pt>
                <c:pt idx="74">
                  <c:v>27.75</c:v>
                </c:pt>
                <c:pt idx="75">
                  <c:v>24.72</c:v>
                </c:pt>
                <c:pt idx="76">
                  <c:v>10.15</c:v>
                </c:pt>
                <c:pt idx="77">
                  <c:v>12.12</c:v>
                </c:pt>
                <c:pt idx="78">
                  <c:v>17.690000000000001</c:v>
                </c:pt>
                <c:pt idx="79">
                  <c:v>22.05</c:v>
                </c:pt>
                <c:pt idx="80">
                  <c:v>32.93</c:v>
                </c:pt>
                <c:pt idx="81">
                  <c:v>9.77</c:v>
                </c:pt>
                <c:pt idx="82">
                  <c:v>15.66</c:v>
                </c:pt>
                <c:pt idx="83">
                  <c:v>39.200000000000003</c:v>
                </c:pt>
                <c:pt idx="84">
                  <c:v>37.61</c:v>
                </c:pt>
                <c:pt idx="85">
                  <c:v>39.28</c:v>
                </c:pt>
                <c:pt idx="86">
                  <c:v>39.51</c:v>
                </c:pt>
                <c:pt idx="87">
                  <c:v>40.83</c:v>
                </c:pt>
                <c:pt idx="88">
                  <c:v>39.75</c:v>
                </c:pt>
                <c:pt idx="89">
                  <c:v>33.520000000000003</c:v>
                </c:pt>
                <c:pt idx="90">
                  <c:v>16.5</c:v>
                </c:pt>
                <c:pt idx="91">
                  <c:v>14.94</c:v>
                </c:pt>
                <c:pt idx="92">
                  <c:v>27.93</c:v>
                </c:pt>
                <c:pt idx="93">
                  <c:v>16.52</c:v>
                </c:pt>
                <c:pt idx="94">
                  <c:v>27.13</c:v>
                </c:pt>
                <c:pt idx="95">
                  <c:v>40.42</c:v>
                </c:pt>
                <c:pt idx="96">
                  <c:v>23.09</c:v>
                </c:pt>
                <c:pt idx="97">
                  <c:v>5.09</c:v>
                </c:pt>
                <c:pt idx="98">
                  <c:v>15.54</c:v>
                </c:pt>
                <c:pt idx="99">
                  <c:v>28.14</c:v>
                </c:pt>
                <c:pt idx="100">
                  <c:v>36.06</c:v>
                </c:pt>
                <c:pt idx="101">
                  <c:v>28.24</c:v>
                </c:pt>
                <c:pt idx="102">
                  <c:v>15.68</c:v>
                </c:pt>
                <c:pt idx="103">
                  <c:v>21.17</c:v>
                </c:pt>
                <c:pt idx="104">
                  <c:v>26.31</c:v>
                </c:pt>
                <c:pt idx="105">
                  <c:v>42.6</c:v>
                </c:pt>
                <c:pt idx="106">
                  <c:v>18.63</c:v>
                </c:pt>
                <c:pt idx="107">
                  <c:v>23.63</c:v>
                </c:pt>
                <c:pt idx="108">
                  <c:v>17.72</c:v>
                </c:pt>
                <c:pt idx="109">
                  <c:v>30.68</c:v>
                </c:pt>
                <c:pt idx="110">
                  <c:v>45.47</c:v>
                </c:pt>
                <c:pt idx="111">
                  <c:v>51.82</c:v>
                </c:pt>
                <c:pt idx="112">
                  <c:v>50.9</c:v>
                </c:pt>
                <c:pt idx="113">
                  <c:v>29.28</c:v>
                </c:pt>
                <c:pt idx="114">
                  <c:v>44.14</c:v>
                </c:pt>
                <c:pt idx="115">
                  <c:v>22.57</c:v>
                </c:pt>
                <c:pt idx="116">
                  <c:v>51.24</c:v>
                </c:pt>
                <c:pt idx="117">
                  <c:v>34.08</c:v>
                </c:pt>
                <c:pt idx="118">
                  <c:v>38.22</c:v>
                </c:pt>
                <c:pt idx="119">
                  <c:v>24.25</c:v>
                </c:pt>
                <c:pt idx="120">
                  <c:v>35.01</c:v>
                </c:pt>
                <c:pt idx="121">
                  <c:v>22.57</c:v>
                </c:pt>
                <c:pt idx="122">
                  <c:v>18.190000000000001</c:v>
                </c:pt>
                <c:pt idx="123">
                  <c:v>30.54</c:v>
                </c:pt>
                <c:pt idx="124">
                  <c:v>20.71</c:v>
                </c:pt>
                <c:pt idx="125">
                  <c:v>37.880000000000003</c:v>
                </c:pt>
                <c:pt idx="126">
                  <c:v>34.1</c:v>
                </c:pt>
                <c:pt idx="127">
                  <c:v>37.93</c:v>
                </c:pt>
                <c:pt idx="128">
                  <c:v>38.36</c:v>
                </c:pt>
                <c:pt idx="129">
                  <c:v>24.97</c:v>
                </c:pt>
                <c:pt idx="130">
                  <c:v>15.26</c:v>
                </c:pt>
                <c:pt idx="131">
                  <c:v>22.71</c:v>
                </c:pt>
                <c:pt idx="132">
                  <c:v>59.91</c:v>
                </c:pt>
                <c:pt idx="133">
                  <c:v>35.01</c:v>
                </c:pt>
                <c:pt idx="134">
                  <c:v>46.31</c:v>
                </c:pt>
                <c:pt idx="135">
                  <c:v>51.57</c:v>
                </c:pt>
                <c:pt idx="136">
                  <c:v>25.33</c:v>
                </c:pt>
                <c:pt idx="137">
                  <c:v>55.32</c:v>
                </c:pt>
                <c:pt idx="138">
                  <c:v>60.74</c:v>
                </c:pt>
                <c:pt idx="139">
                  <c:v>42.17</c:v>
                </c:pt>
                <c:pt idx="140">
                  <c:v>62.89</c:v>
                </c:pt>
                <c:pt idx="141">
                  <c:v>62.59</c:v>
                </c:pt>
                <c:pt idx="142">
                  <c:v>60.2</c:v>
                </c:pt>
                <c:pt idx="143">
                  <c:v>55.1</c:v>
                </c:pt>
                <c:pt idx="144">
                  <c:v>62.35</c:v>
                </c:pt>
                <c:pt idx="145">
                  <c:v>63.29</c:v>
                </c:pt>
                <c:pt idx="146">
                  <c:v>63.8</c:v>
                </c:pt>
                <c:pt idx="147">
                  <c:v>62.77</c:v>
                </c:pt>
                <c:pt idx="148">
                  <c:v>62.01</c:v>
                </c:pt>
                <c:pt idx="149">
                  <c:v>60.86</c:v>
                </c:pt>
                <c:pt idx="150">
                  <c:v>58.5</c:v>
                </c:pt>
                <c:pt idx="151">
                  <c:v>58.94</c:v>
                </c:pt>
                <c:pt idx="152">
                  <c:v>39.93</c:v>
                </c:pt>
                <c:pt idx="153">
                  <c:v>60.54</c:v>
                </c:pt>
                <c:pt idx="154">
                  <c:v>35.31</c:v>
                </c:pt>
                <c:pt idx="155">
                  <c:v>11.96</c:v>
                </c:pt>
                <c:pt idx="156">
                  <c:v>17.53</c:v>
                </c:pt>
                <c:pt idx="157">
                  <c:v>58.87</c:v>
                </c:pt>
                <c:pt idx="158">
                  <c:v>64.97</c:v>
                </c:pt>
                <c:pt idx="159">
                  <c:v>62.78</c:v>
                </c:pt>
                <c:pt idx="160">
                  <c:v>48.59</c:v>
                </c:pt>
                <c:pt idx="161">
                  <c:v>24.73</c:v>
                </c:pt>
                <c:pt idx="162">
                  <c:v>45.46</c:v>
                </c:pt>
                <c:pt idx="163">
                  <c:v>39.24</c:v>
                </c:pt>
                <c:pt idx="164">
                  <c:v>22.04</c:v>
                </c:pt>
                <c:pt idx="165">
                  <c:v>37.380000000000003</c:v>
                </c:pt>
                <c:pt idx="166">
                  <c:v>32.619999999999997</c:v>
                </c:pt>
                <c:pt idx="167">
                  <c:v>26.7</c:v>
                </c:pt>
                <c:pt idx="168">
                  <c:v>27.91</c:v>
                </c:pt>
                <c:pt idx="169">
                  <c:v>24.36</c:v>
                </c:pt>
                <c:pt idx="170">
                  <c:v>8.66</c:v>
                </c:pt>
                <c:pt idx="171">
                  <c:v>29.04</c:v>
                </c:pt>
                <c:pt idx="172">
                  <c:v>53.21</c:v>
                </c:pt>
                <c:pt idx="173">
                  <c:v>61.26</c:v>
                </c:pt>
                <c:pt idx="174">
                  <c:v>53.02</c:v>
                </c:pt>
                <c:pt idx="175">
                  <c:v>64.97</c:v>
                </c:pt>
                <c:pt idx="176">
                  <c:v>54.87</c:v>
                </c:pt>
                <c:pt idx="177">
                  <c:v>61.7</c:v>
                </c:pt>
                <c:pt idx="178">
                  <c:v>65.03</c:v>
                </c:pt>
                <c:pt idx="179">
                  <c:v>58.16</c:v>
                </c:pt>
                <c:pt idx="180">
                  <c:v>59.48</c:v>
                </c:pt>
                <c:pt idx="181">
                  <c:v>46.19</c:v>
                </c:pt>
                <c:pt idx="182">
                  <c:v>22.76</c:v>
                </c:pt>
                <c:pt idx="183">
                  <c:v>38.590000000000003</c:v>
                </c:pt>
                <c:pt idx="184">
                  <c:v>28.79</c:v>
                </c:pt>
                <c:pt idx="185">
                  <c:v>38.1</c:v>
                </c:pt>
                <c:pt idx="186">
                  <c:v>29.16</c:v>
                </c:pt>
                <c:pt idx="187">
                  <c:v>25.48</c:v>
                </c:pt>
                <c:pt idx="188">
                  <c:v>30.43</c:v>
                </c:pt>
                <c:pt idx="189">
                  <c:v>33.15</c:v>
                </c:pt>
                <c:pt idx="190">
                  <c:v>26.4</c:v>
                </c:pt>
                <c:pt idx="191">
                  <c:v>45.24</c:v>
                </c:pt>
                <c:pt idx="192">
                  <c:v>57.28</c:v>
                </c:pt>
                <c:pt idx="193">
                  <c:v>48.97</c:v>
                </c:pt>
                <c:pt idx="194">
                  <c:v>57.69</c:v>
                </c:pt>
                <c:pt idx="195">
                  <c:v>60.21</c:v>
                </c:pt>
                <c:pt idx="196">
                  <c:v>61.87</c:v>
                </c:pt>
                <c:pt idx="197">
                  <c:v>62.64</c:v>
                </c:pt>
                <c:pt idx="198">
                  <c:v>60.53</c:v>
                </c:pt>
                <c:pt idx="199">
                  <c:v>61.35</c:v>
                </c:pt>
                <c:pt idx="200">
                  <c:v>34.840000000000003</c:v>
                </c:pt>
                <c:pt idx="201">
                  <c:v>48.96</c:v>
                </c:pt>
                <c:pt idx="202">
                  <c:v>51.61</c:v>
                </c:pt>
                <c:pt idx="203">
                  <c:v>25.55</c:v>
                </c:pt>
                <c:pt idx="204">
                  <c:v>30.56</c:v>
                </c:pt>
                <c:pt idx="205">
                  <c:v>16.98</c:v>
                </c:pt>
                <c:pt idx="206">
                  <c:v>24.47</c:v>
                </c:pt>
                <c:pt idx="207">
                  <c:v>41.41</c:v>
                </c:pt>
                <c:pt idx="208">
                  <c:v>39.85</c:v>
                </c:pt>
                <c:pt idx="209">
                  <c:v>10.48</c:v>
                </c:pt>
                <c:pt idx="210">
                  <c:v>39.54</c:v>
                </c:pt>
                <c:pt idx="211">
                  <c:v>33.46</c:v>
                </c:pt>
                <c:pt idx="212">
                  <c:v>24.43</c:v>
                </c:pt>
                <c:pt idx="213">
                  <c:v>34.07</c:v>
                </c:pt>
                <c:pt idx="214">
                  <c:v>54.27</c:v>
                </c:pt>
                <c:pt idx="215">
                  <c:v>55.1</c:v>
                </c:pt>
                <c:pt idx="216">
                  <c:v>16.93</c:v>
                </c:pt>
                <c:pt idx="217">
                  <c:v>15.36</c:v>
                </c:pt>
                <c:pt idx="218">
                  <c:v>19.72</c:v>
                </c:pt>
                <c:pt idx="219">
                  <c:v>8.48</c:v>
                </c:pt>
                <c:pt idx="220">
                  <c:v>32.07</c:v>
                </c:pt>
                <c:pt idx="221">
                  <c:v>31.86</c:v>
                </c:pt>
                <c:pt idx="222">
                  <c:v>12.55</c:v>
                </c:pt>
                <c:pt idx="223">
                  <c:v>13.32</c:v>
                </c:pt>
                <c:pt idx="224">
                  <c:v>35.31</c:v>
                </c:pt>
                <c:pt idx="225">
                  <c:v>11.96</c:v>
                </c:pt>
                <c:pt idx="226">
                  <c:v>18.53</c:v>
                </c:pt>
                <c:pt idx="227">
                  <c:v>29.64</c:v>
                </c:pt>
                <c:pt idx="228">
                  <c:v>11.58</c:v>
                </c:pt>
                <c:pt idx="229">
                  <c:v>19.690000000000001</c:v>
                </c:pt>
                <c:pt idx="230">
                  <c:v>34.049999999999997</c:v>
                </c:pt>
                <c:pt idx="231">
                  <c:v>43.59</c:v>
                </c:pt>
                <c:pt idx="232">
                  <c:v>42.23</c:v>
                </c:pt>
                <c:pt idx="233">
                  <c:v>46.9</c:v>
                </c:pt>
                <c:pt idx="234">
                  <c:v>45.76</c:v>
                </c:pt>
                <c:pt idx="235">
                  <c:v>32.1</c:v>
                </c:pt>
                <c:pt idx="236">
                  <c:v>45.64</c:v>
                </c:pt>
                <c:pt idx="237">
                  <c:v>37.4</c:v>
                </c:pt>
                <c:pt idx="238">
                  <c:v>39.26</c:v>
                </c:pt>
                <c:pt idx="239">
                  <c:v>46.54</c:v>
                </c:pt>
                <c:pt idx="240">
                  <c:v>19.329999999999998</c:v>
                </c:pt>
                <c:pt idx="241">
                  <c:v>39.729999999999997</c:v>
                </c:pt>
                <c:pt idx="242">
                  <c:v>45.5</c:v>
                </c:pt>
                <c:pt idx="243">
                  <c:v>45.46</c:v>
                </c:pt>
                <c:pt idx="244">
                  <c:v>45.32</c:v>
                </c:pt>
                <c:pt idx="245">
                  <c:v>44.9</c:v>
                </c:pt>
                <c:pt idx="246">
                  <c:v>39.950000000000003</c:v>
                </c:pt>
                <c:pt idx="247">
                  <c:v>11.61</c:v>
                </c:pt>
                <c:pt idx="248">
                  <c:v>32.26</c:v>
                </c:pt>
                <c:pt idx="249">
                  <c:v>39.21</c:v>
                </c:pt>
                <c:pt idx="250">
                  <c:v>39.86</c:v>
                </c:pt>
                <c:pt idx="251">
                  <c:v>40.130000000000003</c:v>
                </c:pt>
                <c:pt idx="252">
                  <c:v>41.32</c:v>
                </c:pt>
                <c:pt idx="253">
                  <c:v>38.96</c:v>
                </c:pt>
                <c:pt idx="254">
                  <c:v>40.06</c:v>
                </c:pt>
                <c:pt idx="255">
                  <c:v>37.96</c:v>
                </c:pt>
                <c:pt idx="256">
                  <c:v>39.15</c:v>
                </c:pt>
                <c:pt idx="257">
                  <c:v>39.81</c:v>
                </c:pt>
                <c:pt idx="258">
                  <c:v>39.39</c:v>
                </c:pt>
                <c:pt idx="259">
                  <c:v>39.119999999999997</c:v>
                </c:pt>
                <c:pt idx="260">
                  <c:v>26.87</c:v>
                </c:pt>
                <c:pt idx="261">
                  <c:v>37.340000000000003</c:v>
                </c:pt>
                <c:pt idx="262">
                  <c:v>37.270000000000003</c:v>
                </c:pt>
                <c:pt idx="263">
                  <c:v>36.549999999999997</c:v>
                </c:pt>
                <c:pt idx="264">
                  <c:v>32.82</c:v>
                </c:pt>
                <c:pt idx="265">
                  <c:v>35.76</c:v>
                </c:pt>
                <c:pt idx="266">
                  <c:v>35.270000000000003</c:v>
                </c:pt>
                <c:pt idx="267">
                  <c:v>31.05</c:v>
                </c:pt>
                <c:pt idx="268">
                  <c:v>22.29</c:v>
                </c:pt>
                <c:pt idx="269">
                  <c:v>14.74</c:v>
                </c:pt>
                <c:pt idx="270">
                  <c:v>17.8</c:v>
                </c:pt>
                <c:pt idx="271">
                  <c:v>25.59</c:v>
                </c:pt>
                <c:pt idx="272">
                  <c:v>8.23</c:v>
                </c:pt>
                <c:pt idx="273">
                  <c:v>25.03</c:v>
                </c:pt>
                <c:pt idx="274">
                  <c:v>8.92</c:v>
                </c:pt>
                <c:pt idx="275">
                  <c:v>1.74</c:v>
                </c:pt>
                <c:pt idx="276">
                  <c:v>26.61</c:v>
                </c:pt>
                <c:pt idx="277">
                  <c:v>13.78</c:v>
                </c:pt>
                <c:pt idx="278">
                  <c:v>11.31</c:v>
                </c:pt>
                <c:pt idx="279">
                  <c:v>13.19</c:v>
                </c:pt>
                <c:pt idx="280">
                  <c:v>10.199999999999999</c:v>
                </c:pt>
                <c:pt idx="281">
                  <c:v>6.97</c:v>
                </c:pt>
                <c:pt idx="282">
                  <c:v>11.82</c:v>
                </c:pt>
                <c:pt idx="283">
                  <c:v>5.78</c:v>
                </c:pt>
                <c:pt idx="284">
                  <c:v>5.6</c:v>
                </c:pt>
                <c:pt idx="285">
                  <c:v>1.06</c:v>
                </c:pt>
                <c:pt idx="286">
                  <c:v>4.03</c:v>
                </c:pt>
                <c:pt idx="287">
                  <c:v>6.6</c:v>
                </c:pt>
                <c:pt idx="288">
                  <c:v>6.24</c:v>
                </c:pt>
                <c:pt idx="289">
                  <c:v>2.86</c:v>
                </c:pt>
                <c:pt idx="290">
                  <c:v>7.68</c:v>
                </c:pt>
                <c:pt idx="291">
                  <c:v>18.87</c:v>
                </c:pt>
                <c:pt idx="292">
                  <c:v>9.56</c:v>
                </c:pt>
                <c:pt idx="293">
                  <c:v>11.84</c:v>
                </c:pt>
                <c:pt idx="294">
                  <c:v>19.63</c:v>
                </c:pt>
                <c:pt idx="295">
                  <c:v>5.9</c:v>
                </c:pt>
                <c:pt idx="296">
                  <c:v>8.02</c:v>
                </c:pt>
                <c:pt idx="297">
                  <c:v>1.91</c:v>
                </c:pt>
                <c:pt idx="298">
                  <c:v>8.65</c:v>
                </c:pt>
                <c:pt idx="299">
                  <c:v>7.14</c:v>
                </c:pt>
                <c:pt idx="300">
                  <c:v>12.9</c:v>
                </c:pt>
                <c:pt idx="301">
                  <c:v>19.14</c:v>
                </c:pt>
                <c:pt idx="302">
                  <c:v>9.0500000000000007</c:v>
                </c:pt>
                <c:pt idx="303">
                  <c:v>17.91</c:v>
                </c:pt>
                <c:pt idx="304">
                  <c:v>17.690000000000001</c:v>
                </c:pt>
                <c:pt idx="305">
                  <c:v>17.3</c:v>
                </c:pt>
                <c:pt idx="306">
                  <c:v>14.36</c:v>
                </c:pt>
                <c:pt idx="307">
                  <c:v>3.34</c:v>
                </c:pt>
                <c:pt idx="308">
                  <c:v>1.5</c:v>
                </c:pt>
                <c:pt idx="309">
                  <c:v>1.31</c:v>
                </c:pt>
                <c:pt idx="310">
                  <c:v>1.06</c:v>
                </c:pt>
                <c:pt idx="311">
                  <c:v>2.89</c:v>
                </c:pt>
                <c:pt idx="312">
                  <c:v>5.7</c:v>
                </c:pt>
                <c:pt idx="313">
                  <c:v>8.1</c:v>
                </c:pt>
                <c:pt idx="314">
                  <c:v>9.2799999999999994</c:v>
                </c:pt>
                <c:pt idx="315">
                  <c:v>9.7100000000000009</c:v>
                </c:pt>
                <c:pt idx="316">
                  <c:v>0.5</c:v>
                </c:pt>
                <c:pt idx="317">
                  <c:v>3.48</c:v>
                </c:pt>
                <c:pt idx="318">
                  <c:v>6.02</c:v>
                </c:pt>
                <c:pt idx="319">
                  <c:v>9.8699999999999992</c:v>
                </c:pt>
                <c:pt idx="320">
                  <c:v>2.08</c:v>
                </c:pt>
                <c:pt idx="321">
                  <c:v>8.09</c:v>
                </c:pt>
                <c:pt idx="322">
                  <c:v>12.25</c:v>
                </c:pt>
                <c:pt idx="323">
                  <c:v>12.09</c:v>
                </c:pt>
                <c:pt idx="324">
                  <c:v>3.95</c:v>
                </c:pt>
                <c:pt idx="325">
                  <c:v>2.2999999999999998</c:v>
                </c:pt>
                <c:pt idx="326">
                  <c:v>1.46</c:v>
                </c:pt>
                <c:pt idx="327">
                  <c:v>5.62</c:v>
                </c:pt>
                <c:pt idx="328">
                  <c:v>3.09</c:v>
                </c:pt>
                <c:pt idx="329">
                  <c:v>3.85</c:v>
                </c:pt>
                <c:pt idx="330">
                  <c:v>1.79</c:v>
                </c:pt>
                <c:pt idx="331">
                  <c:v>0.52</c:v>
                </c:pt>
                <c:pt idx="332">
                  <c:v>4.2</c:v>
                </c:pt>
                <c:pt idx="333">
                  <c:v>4.6900000000000004</c:v>
                </c:pt>
                <c:pt idx="334">
                  <c:v>5.86</c:v>
                </c:pt>
                <c:pt idx="335">
                  <c:v>3.29</c:v>
                </c:pt>
                <c:pt idx="336">
                  <c:v>4.54</c:v>
                </c:pt>
                <c:pt idx="337">
                  <c:v>6.18</c:v>
                </c:pt>
                <c:pt idx="338">
                  <c:v>10.28</c:v>
                </c:pt>
                <c:pt idx="339">
                  <c:v>3.87</c:v>
                </c:pt>
                <c:pt idx="340">
                  <c:v>9.31</c:v>
                </c:pt>
              </c:numCache>
            </c:numRef>
          </c:val>
          <c:smooth val="0"/>
        </c:ser>
        <c:ser>
          <c:idx val="0"/>
          <c:order val="1"/>
          <c:tx>
            <c:v>ParMax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Data!$BI$7:$BI$371</c:f>
              <c:numCache>
                <c:formatCode>0.00</c:formatCode>
                <c:ptCount val="365"/>
                <c:pt idx="0">
                  <c:v>9.2717999999999989</c:v>
                </c:pt>
                <c:pt idx="1">
                  <c:v>9.3526000000000007</c:v>
                </c:pt>
                <c:pt idx="2">
                  <c:v>9.4334000000000007</c:v>
                </c:pt>
                <c:pt idx="3">
                  <c:v>9.5343999999999998</c:v>
                </c:pt>
                <c:pt idx="4">
                  <c:v>9.6151999999999997</c:v>
                </c:pt>
                <c:pt idx="5">
                  <c:v>9.7364000000000015</c:v>
                </c:pt>
                <c:pt idx="6">
                  <c:v>9.8374000000000006</c:v>
                </c:pt>
                <c:pt idx="7">
                  <c:v>9.9585999999999988</c:v>
                </c:pt>
                <c:pt idx="8">
                  <c:v>10.079800000000001</c:v>
                </c:pt>
                <c:pt idx="9">
                  <c:v>10.2212</c:v>
                </c:pt>
                <c:pt idx="10">
                  <c:v>10.3626</c:v>
                </c:pt>
                <c:pt idx="11">
                  <c:v>10.504000000000001</c:v>
                </c:pt>
                <c:pt idx="12">
                  <c:v>10.645399999999999</c:v>
                </c:pt>
                <c:pt idx="13">
                  <c:v>10.827200000000001</c:v>
                </c:pt>
                <c:pt idx="14">
                  <c:v>10.988800000000001</c:v>
                </c:pt>
                <c:pt idx="15">
                  <c:v>11.1706</c:v>
                </c:pt>
                <c:pt idx="16">
                  <c:v>11.3726</c:v>
                </c:pt>
                <c:pt idx="17">
                  <c:v>11.554399999999999</c:v>
                </c:pt>
                <c:pt idx="18">
                  <c:v>11.756400000000001</c:v>
                </c:pt>
                <c:pt idx="19">
                  <c:v>11.958399999999999</c:v>
                </c:pt>
                <c:pt idx="20">
                  <c:v>12.160399999999999</c:v>
                </c:pt>
                <c:pt idx="21">
                  <c:v>12.3826</c:v>
                </c:pt>
                <c:pt idx="22">
                  <c:v>12.625</c:v>
                </c:pt>
                <c:pt idx="23">
                  <c:v>12.847200000000001</c:v>
                </c:pt>
                <c:pt idx="24">
                  <c:v>13.089600000000001</c:v>
                </c:pt>
                <c:pt idx="25">
                  <c:v>13.352200000000002</c:v>
                </c:pt>
                <c:pt idx="26">
                  <c:v>13.614800000000001</c:v>
                </c:pt>
                <c:pt idx="27">
                  <c:v>13.8774</c:v>
                </c:pt>
                <c:pt idx="28">
                  <c:v>14.14</c:v>
                </c:pt>
                <c:pt idx="29">
                  <c:v>14.422799999999999</c:v>
                </c:pt>
                <c:pt idx="30">
                  <c:v>14.7056</c:v>
                </c:pt>
                <c:pt idx="31">
                  <c:v>15.008599999999999</c:v>
                </c:pt>
                <c:pt idx="32">
                  <c:v>15.331799999999999</c:v>
                </c:pt>
                <c:pt idx="33">
                  <c:v>15.6348</c:v>
                </c:pt>
                <c:pt idx="34">
                  <c:v>15.958</c:v>
                </c:pt>
                <c:pt idx="35">
                  <c:v>16.281200000000002</c:v>
                </c:pt>
                <c:pt idx="36">
                  <c:v>16.624600000000001</c:v>
                </c:pt>
                <c:pt idx="37">
                  <c:v>16.968</c:v>
                </c:pt>
                <c:pt idx="38">
                  <c:v>17.311399999999999</c:v>
                </c:pt>
                <c:pt idx="39">
                  <c:v>17.675000000000001</c:v>
                </c:pt>
                <c:pt idx="40">
                  <c:v>18.038599999999999</c:v>
                </c:pt>
                <c:pt idx="41">
                  <c:v>18.4224</c:v>
                </c:pt>
                <c:pt idx="42">
                  <c:v>18.8062</c:v>
                </c:pt>
                <c:pt idx="43">
                  <c:v>19.190000000000001</c:v>
                </c:pt>
                <c:pt idx="44">
                  <c:v>19.573799999999999</c:v>
                </c:pt>
                <c:pt idx="45">
                  <c:v>19.977800000000002</c:v>
                </c:pt>
                <c:pt idx="46">
                  <c:v>20.381799999999998</c:v>
                </c:pt>
                <c:pt idx="47">
                  <c:v>20.806000000000001</c:v>
                </c:pt>
                <c:pt idx="48">
                  <c:v>21.21</c:v>
                </c:pt>
                <c:pt idx="49">
                  <c:v>21.654400000000003</c:v>
                </c:pt>
                <c:pt idx="50">
                  <c:v>22.078599999999998</c:v>
                </c:pt>
                <c:pt idx="51">
                  <c:v>22.502800000000001</c:v>
                </c:pt>
                <c:pt idx="52">
                  <c:v>22.967399999999998</c:v>
                </c:pt>
                <c:pt idx="53">
                  <c:v>23.411799999999999</c:v>
                </c:pt>
                <c:pt idx="54">
                  <c:v>23.8764</c:v>
                </c:pt>
                <c:pt idx="55">
                  <c:v>24.320799999999998</c:v>
                </c:pt>
                <c:pt idx="56">
                  <c:v>24.785399999999999</c:v>
                </c:pt>
                <c:pt idx="57">
                  <c:v>25.270199999999999</c:v>
                </c:pt>
                <c:pt idx="58">
                  <c:v>25.754999999999999</c:v>
                </c:pt>
                <c:pt idx="59">
                  <c:v>26.2196</c:v>
                </c:pt>
                <c:pt idx="60">
                  <c:v>26.724600000000002</c:v>
                </c:pt>
                <c:pt idx="61">
                  <c:v>27.209400000000002</c:v>
                </c:pt>
                <c:pt idx="62">
                  <c:v>27.694200000000002</c:v>
                </c:pt>
                <c:pt idx="63">
                  <c:v>28.178999999999998</c:v>
                </c:pt>
                <c:pt idx="64">
                  <c:v>28.704200000000004</c:v>
                </c:pt>
                <c:pt idx="65">
                  <c:v>29.189</c:v>
                </c:pt>
                <c:pt idx="66">
                  <c:v>29.693999999999999</c:v>
                </c:pt>
                <c:pt idx="67">
                  <c:v>30.219200000000001</c:v>
                </c:pt>
                <c:pt idx="68">
                  <c:v>30.744400000000002</c:v>
                </c:pt>
                <c:pt idx="69">
                  <c:v>31.269600000000001</c:v>
                </c:pt>
                <c:pt idx="70">
                  <c:v>31.7746</c:v>
                </c:pt>
                <c:pt idx="71">
                  <c:v>32.279600000000002</c:v>
                </c:pt>
                <c:pt idx="72">
                  <c:v>32.825000000000003</c:v>
                </c:pt>
                <c:pt idx="73">
                  <c:v>33.350200000000001</c:v>
                </c:pt>
                <c:pt idx="74">
                  <c:v>33.875399999999999</c:v>
                </c:pt>
                <c:pt idx="75">
                  <c:v>34.400600000000004</c:v>
                </c:pt>
                <c:pt idx="76">
                  <c:v>34.946000000000005</c:v>
                </c:pt>
                <c:pt idx="77">
                  <c:v>35.471199999999996</c:v>
                </c:pt>
                <c:pt idx="78">
                  <c:v>36.016599999999997</c:v>
                </c:pt>
                <c:pt idx="79">
                  <c:v>36.562000000000005</c:v>
                </c:pt>
                <c:pt idx="80">
                  <c:v>37.087199999999996</c:v>
                </c:pt>
                <c:pt idx="81">
                  <c:v>37.632599999999996</c:v>
                </c:pt>
                <c:pt idx="82">
                  <c:v>38.177999999999997</c:v>
                </c:pt>
                <c:pt idx="83">
                  <c:v>38.703200000000002</c:v>
                </c:pt>
                <c:pt idx="84">
                  <c:v>39.268800000000006</c:v>
                </c:pt>
                <c:pt idx="85">
                  <c:v>39.793999999999997</c:v>
                </c:pt>
                <c:pt idx="86">
                  <c:v>40.339399999999998</c:v>
                </c:pt>
                <c:pt idx="87">
                  <c:v>40.884799999999998</c:v>
                </c:pt>
                <c:pt idx="88">
                  <c:v>41.410000000000004</c:v>
                </c:pt>
                <c:pt idx="89">
                  <c:v>41.955399999999997</c:v>
                </c:pt>
                <c:pt idx="90">
                  <c:v>42.480600000000003</c:v>
                </c:pt>
                <c:pt idx="91">
                  <c:v>43.026000000000003</c:v>
                </c:pt>
                <c:pt idx="92">
                  <c:v>43.551199999999994</c:v>
                </c:pt>
                <c:pt idx="93">
                  <c:v>44.0764</c:v>
                </c:pt>
                <c:pt idx="94">
                  <c:v>44.601599999999998</c:v>
                </c:pt>
                <c:pt idx="95">
                  <c:v>45.126800000000003</c:v>
                </c:pt>
                <c:pt idx="96">
                  <c:v>45.652000000000001</c:v>
                </c:pt>
                <c:pt idx="97">
                  <c:v>46.177199999999999</c:v>
                </c:pt>
                <c:pt idx="98">
                  <c:v>46.682200000000002</c:v>
                </c:pt>
                <c:pt idx="99">
                  <c:v>47.2074</c:v>
                </c:pt>
                <c:pt idx="100">
                  <c:v>47.6922</c:v>
                </c:pt>
                <c:pt idx="101">
                  <c:v>48.2376</c:v>
                </c:pt>
                <c:pt idx="102">
                  <c:v>48.7224</c:v>
                </c:pt>
                <c:pt idx="103">
                  <c:v>49.227400000000003</c:v>
                </c:pt>
                <c:pt idx="104">
                  <c:v>49.712200000000003</c:v>
                </c:pt>
                <c:pt idx="105">
                  <c:v>50.217199999999998</c:v>
                </c:pt>
                <c:pt idx="106">
                  <c:v>50.702000000000005</c:v>
                </c:pt>
                <c:pt idx="107">
                  <c:v>51.186799999999998</c:v>
                </c:pt>
                <c:pt idx="108">
                  <c:v>51.671599999999998</c:v>
                </c:pt>
                <c:pt idx="109">
                  <c:v>52.136199999999995</c:v>
                </c:pt>
                <c:pt idx="110">
                  <c:v>52.6008</c:v>
                </c:pt>
                <c:pt idx="111">
                  <c:v>53.065399999999997</c:v>
                </c:pt>
                <c:pt idx="112">
                  <c:v>53.53</c:v>
                </c:pt>
                <c:pt idx="113">
                  <c:v>53.994599999999998</c:v>
                </c:pt>
                <c:pt idx="114">
                  <c:v>54.439</c:v>
                </c:pt>
                <c:pt idx="115">
                  <c:v>54.883400000000002</c:v>
                </c:pt>
                <c:pt idx="116">
                  <c:v>55.307600000000001</c:v>
                </c:pt>
                <c:pt idx="117">
                  <c:v>55.752000000000002</c:v>
                </c:pt>
                <c:pt idx="118">
                  <c:v>56.176199999999994</c:v>
                </c:pt>
                <c:pt idx="119">
                  <c:v>56.6004</c:v>
                </c:pt>
                <c:pt idx="120">
                  <c:v>57.004399999999997</c:v>
                </c:pt>
                <c:pt idx="121">
                  <c:v>57.408400000000007</c:v>
                </c:pt>
                <c:pt idx="122">
                  <c:v>57.792200000000001</c:v>
                </c:pt>
                <c:pt idx="123">
                  <c:v>58.176000000000002</c:v>
                </c:pt>
                <c:pt idx="124">
                  <c:v>58.559799999999996</c:v>
                </c:pt>
                <c:pt idx="125">
                  <c:v>58.923400000000001</c:v>
                </c:pt>
                <c:pt idx="126">
                  <c:v>59.287000000000006</c:v>
                </c:pt>
                <c:pt idx="127">
                  <c:v>59.650600000000004</c:v>
                </c:pt>
                <c:pt idx="128">
                  <c:v>59.973800000000004</c:v>
                </c:pt>
                <c:pt idx="129">
                  <c:v>60.337400000000002</c:v>
                </c:pt>
                <c:pt idx="130">
                  <c:v>60.660600000000002</c:v>
                </c:pt>
                <c:pt idx="131">
                  <c:v>60.983800000000002</c:v>
                </c:pt>
                <c:pt idx="132">
                  <c:v>61.307000000000002</c:v>
                </c:pt>
                <c:pt idx="133">
                  <c:v>61.61</c:v>
                </c:pt>
                <c:pt idx="134">
                  <c:v>61.933199999999999</c:v>
                </c:pt>
                <c:pt idx="135">
                  <c:v>62.216000000000001</c:v>
                </c:pt>
                <c:pt idx="136">
                  <c:v>62.498800000000003</c:v>
                </c:pt>
                <c:pt idx="137">
                  <c:v>62.781599999999997</c:v>
                </c:pt>
                <c:pt idx="138">
                  <c:v>63.044200000000004</c:v>
                </c:pt>
                <c:pt idx="139">
                  <c:v>63.306800000000003</c:v>
                </c:pt>
                <c:pt idx="140">
                  <c:v>63.569400000000002</c:v>
                </c:pt>
                <c:pt idx="141">
                  <c:v>63.811799999999998</c:v>
                </c:pt>
                <c:pt idx="142">
                  <c:v>64.054200000000009</c:v>
                </c:pt>
                <c:pt idx="143">
                  <c:v>64.276399999999995</c:v>
                </c:pt>
                <c:pt idx="144">
                  <c:v>64.518799999999999</c:v>
                </c:pt>
                <c:pt idx="145">
                  <c:v>64.720799999999997</c:v>
                </c:pt>
                <c:pt idx="146">
                  <c:v>64.922799999999995</c:v>
                </c:pt>
                <c:pt idx="147">
                  <c:v>65.124800000000008</c:v>
                </c:pt>
                <c:pt idx="148">
                  <c:v>65.326800000000006</c:v>
                </c:pt>
                <c:pt idx="149">
                  <c:v>65.488399999999999</c:v>
                </c:pt>
                <c:pt idx="150">
                  <c:v>65.670199999999994</c:v>
                </c:pt>
                <c:pt idx="151">
                  <c:v>65.831800000000001</c:v>
                </c:pt>
                <c:pt idx="152">
                  <c:v>65.973199999999991</c:v>
                </c:pt>
                <c:pt idx="153">
                  <c:v>66.134799999999998</c:v>
                </c:pt>
                <c:pt idx="154">
                  <c:v>66.256</c:v>
                </c:pt>
                <c:pt idx="155">
                  <c:v>66.377200000000002</c:v>
                </c:pt>
                <c:pt idx="156">
                  <c:v>66.498400000000004</c:v>
                </c:pt>
                <c:pt idx="157">
                  <c:v>66.599400000000003</c:v>
                </c:pt>
                <c:pt idx="158">
                  <c:v>66.680199999999999</c:v>
                </c:pt>
                <c:pt idx="159">
                  <c:v>66.781199999999998</c:v>
                </c:pt>
                <c:pt idx="160">
                  <c:v>66.862000000000009</c:v>
                </c:pt>
                <c:pt idx="161">
                  <c:v>66.922600000000003</c:v>
                </c:pt>
                <c:pt idx="162">
                  <c:v>66.983199999999997</c:v>
                </c:pt>
                <c:pt idx="163">
                  <c:v>67.04379999999999</c:v>
                </c:pt>
                <c:pt idx="164">
                  <c:v>67.084199999999996</c:v>
                </c:pt>
                <c:pt idx="165">
                  <c:v>67.124600000000001</c:v>
                </c:pt>
                <c:pt idx="166">
                  <c:v>67.144800000000004</c:v>
                </c:pt>
                <c:pt idx="167">
                  <c:v>67.144800000000004</c:v>
                </c:pt>
                <c:pt idx="168">
                  <c:v>67.165000000000006</c:v>
                </c:pt>
                <c:pt idx="169">
                  <c:v>67.165000000000006</c:v>
                </c:pt>
                <c:pt idx="170">
                  <c:v>67.144800000000004</c:v>
                </c:pt>
                <c:pt idx="171">
                  <c:v>67.144800000000004</c:v>
                </c:pt>
                <c:pt idx="172">
                  <c:v>67.104399999999998</c:v>
                </c:pt>
                <c:pt idx="173">
                  <c:v>67.064000000000007</c:v>
                </c:pt>
                <c:pt idx="174">
                  <c:v>67.023600000000002</c:v>
                </c:pt>
                <c:pt idx="175">
                  <c:v>66.962999999999994</c:v>
                </c:pt>
                <c:pt idx="176">
                  <c:v>66.9024</c:v>
                </c:pt>
                <c:pt idx="177">
                  <c:v>66.821600000000004</c:v>
                </c:pt>
                <c:pt idx="178">
                  <c:v>66.740799999999993</c:v>
                </c:pt>
                <c:pt idx="179">
                  <c:v>66.66</c:v>
                </c:pt>
                <c:pt idx="180">
                  <c:v>66.559000000000012</c:v>
                </c:pt>
                <c:pt idx="181">
                  <c:v>66.437799999999996</c:v>
                </c:pt>
                <c:pt idx="182">
                  <c:v>66.336800000000011</c:v>
                </c:pt>
                <c:pt idx="183">
                  <c:v>66.235799999999998</c:v>
                </c:pt>
                <c:pt idx="184">
                  <c:v>66.114599999999996</c:v>
                </c:pt>
                <c:pt idx="185">
                  <c:v>65.973199999999991</c:v>
                </c:pt>
                <c:pt idx="186">
                  <c:v>65.831800000000001</c:v>
                </c:pt>
                <c:pt idx="187">
                  <c:v>65.690400000000011</c:v>
                </c:pt>
                <c:pt idx="188">
                  <c:v>65.508600000000001</c:v>
                </c:pt>
                <c:pt idx="189">
                  <c:v>65.347000000000008</c:v>
                </c:pt>
                <c:pt idx="190">
                  <c:v>65.185400000000001</c:v>
                </c:pt>
                <c:pt idx="191">
                  <c:v>64.983400000000003</c:v>
                </c:pt>
                <c:pt idx="192">
                  <c:v>64.801599999999993</c:v>
                </c:pt>
                <c:pt idx="193">
                  <c:v>64.579399999999993</c:v>
                </c:pt>
                <c:pt idx="194">
                  <c:v>64.377400000000009</c:v>
                </c:pt>
                <c:pt idx="195">
                  <c:v>64.175399999999996</c:v>
                </c:pt>
                <c:pt idx="196">
                  <c:v>63.933</c:v>
                </c:pt>
                <c:pt idx="197">
                  <c:v>63.710799999999999</c:v>
                </c:pt>
                <c:pt idx="198">
                  <c:v>63.468400000000003</c:v>
                </c:pt>
                <c:pt idx="199">
                  <c:v>63.205799999999996</c:v>
                </c:pt>
                <c:pt idx="200">
                  <c:v>62.963400000000007</c:v>
                </c:pt>
                <c:pt idx="201">
                  <c:v>62.680600000000005</c:v>
                </c:pt>
                <c:pt idx="202">
                  <c:v>62.417999999999999</c:v>
                </c:pt>
                <c:pt idx="203">
                  <c:v>62.135200000000005</c:v>
                </c:pt>
                <c:pt idx="204">
                  <c:v>61.852400000000003</c:v>
                </c:pt>
                <c:pt idx="205">
                  <c:v>61.549399999999999</c:v>
                </c:pt>
                <c:pt idx="206">
                  <c:v>61.246400000000001</c:v>
                </c:pt>
                <c:pt idx="207">
                  <c:v>60.943400000000004</c:v>
                </c:pt>
                <c:pt idx="208">
                  <c:v>60.6</c:v>
                </c:pt>
                <c:pt idx="209">
                  <c:v>60.276800000000001</c:v>
                </c:pt>
                <c:pt idx="210">
                  <c:v>59.953600000000002</c:v>
                </c:pt>
                <c:pt idx="211">
                  <c:v>59.610200000000006</c:v>
                </c:pt>
                <c:pt idx="212">
                  <c:v>59.266800000000003</c:v>
                </c:pt>
                <c:pt idx="213">
                  <c:v>58.923400000000001</c:v>
                </c:pt>
                <c:pt idx="214">
                  <c:v>58.559799999999996</c:v>
                </c:pt>
                <c:pt idx="215">
                  <c:v>58.196199999999997</c:v>
                </c:pt>
                <c:pt idx="216">
                  <c:v>57.832599999999999</c:v>
                </c:pt>
                <c:pt idx="217">
                  <c:v>57.469000000000001</c:v>
                </c:pt>
                <c:pt idx="218">
                  <c:v>57.0852</c:v>
                </c:pt>
                <c:pt idx="219">
                  <c:v>56.681199999999997</c:v>
                </c:pt>
                <c:pt idx="220">
                  <c:v>56.297400000000003</c:v>
                </c:pt>
                <c:pt idx="221">
                  <c:v>55.893400000000007</c:v>
                </c:pt>
                <c:pt idx="222">
                  <c:v>55.489399999999996</c:v>
                </c:pt>
                <c:pt idx="223">
                  <c:v>55.0854</c:v>
                </c:pt>
                <c:pt idx="224">
                  <c:v>54.661200000000001</c:v>
                </c:pt>
                <c:pt idx="225">
                  <c:v>54.257199999999997</c:v>
                </c:pt>
                <c:pt idx="226">
                  <c:v>53.812800000000003</c:v>
                </c:pt>
                <c:pt idx="227">
                  <c:v>53.388599999999997</c:v>
                </c:pt>
                <c:pt idx="228">
                  <c:v>52.964399999999998</c:v>
                </c:pt>
                <c:pt idx="229">
                  <c:v>52.4998</c:v>
                </c:pt>
                <c:pt idx="230">
                  <c:v>52.055399999999999</c:v>
                </c:pt>
                <c:pt idx="231">
                  <c:v>51.611000000000004</c:v>
                </c:pt>
                <c:pt idx="232">
                  <c:v>51.1464</c:v>
                </c:pt>
                <c:pt idx="233">
                  <c:v>50.681800000000003</c:v>
                </c:pt>
                <c:pt idx="234">
                  <c:v>50.217199999999998</c:v>
                </c:pt>
                <c:pt idx="235">
                  <c:v>49.732400000000005</c:v>
                </c:pt>
                <c:pt idx="236">
                  <c:v>49.267800000000001</c:v>
                </c:pt>
                <c:pt idx="237">
                  <c:v>48.803200000000004</c:v>
                </c:pt>
                <c:pt idx="238">
                  <c:v>48.318400000000004</c:v>
                </c:pt>
                <c:pt idx="239">
                  <c:v>47.813400000000001</c:v>
                </c:pt>
                <c:pt idx="240">
                  <c:v>47.328600000000002</c:v>
                </c:pt>
                <c:pt idx="241">
                  <c:v>46.843800000000002</c:v>
                </c:pt>
                <c:pt idx="242">
                  <c:v>46.338800000000006</c:v>
                </c:pt>
                <c:pt idx="243">
                  <c:v>45.833800000000004</c:v>
                </c:pt>
                <c:pt idx="244">
                  <c:v>45.348999999999997</c:v>
                </c:pt>
                <c:pt idx="245">
                  <c:v>44.844000000000001</c:v>
                </c:pt>
                <c:pt idx="246">
                  <c:v>44.338999999999999</c:v>
                </c:pt>
                <c:pt idx="247">
                  <c:v>43.833999999999996</c:v>
                </c:pt>
                <c:pt idx="248">
                  <c:v>43.349200000000003</c:v>
                </c:pt>
                <c:pt idx="249">
                  <c:v>42.844200000000001</c:v>
                </c:pt>
                <c:pt idx="250">
                  <c:v>42.318999999999996</c:v>
                </c:pt>
                <c:pt idx="251">
                  <c:v>41.814</c:v>
                </c:pt>
                <c:pt idx="252">
                  <c:v>41.308999999999997</c:v>
                </c:pt>
                <c:pt idx="253">
                  <c:v>40.804000000000002</c:v>
                </c:pt>
                <c:pt idx="254">
                  <c:v>40.278800000000004</c:v>
                </c:pt>
                <c:pt idx="255">
                  <c:v>39.753599999999999</c:v>
                </c:pt>
                <c:pt idx="256">
                  <c:v>39.248600000000003</c:v>
                </c:pt>
                <c:pt idx="257">
                  <c:v>38.723400000000005</c:v>
                </c:pt>
                <c:pt idx="258">
                  <c:v>38.218400000000003</c:v>
                </c:pt>
                <c:pt idx="259">
                  <c:v>37.693199999999997</c:v>
                </c:pt>
                <c:pt idx="260">
                  <c:v>37.167999999999999</c:v>
                </c:pt>
                <c:pt idx="261">
                  <c:v>36.662999999999997</c:v>
                </c:pt>
                <c:pt idx="262">
                  <c:v>36.137799999999999</c:v>
                </c:pt>
                <c:pt idx="263">
                  <c:v>35.632800000000003</c:v>
                </c:pt>
                <c:pt idx="264">
                  <c:v>35.107599999999998</c:v>
                </c:pt>
                <c:pt idx="265">
                  <c:v>34.602599999999995</c:v>
                </c:pt>
                <c:pt idx="266">
                  <c:v>34.077400000000004</c:v>
                </c:pt>
                <c:pt idx="267">
                  <c:v>33.572400000000002</c:v>
                </c:pt>
                <c:pt idx="268">
                  <c:v>33.067399999999999</c:v>
                </c:pt>
                <c:pt idx="269">
                  <c:v>32.562400000000004</c:v>
                </c:pt>
                <c:pt idx="270">
                  <c:v>32.037199999999999</c:v>
                </c:pt>
                <c:pt idx="271">
                  <c:v>31.5322</c:v>
                </c:pt>
                <c:pt idx="272">
                  <c:v>31.027200000000001</c:v>
                </c:pt>
                <c:pt idx="273">
                  <c:v>30.542399999999997</c:v>
                </c:pt>
                <c:pt idx="274">
                  <c:v>30.037399999999998</c:v>
                </c:pt>
                <c:pt idx="275">
                  <c:v>29.552600000000002</c:v>
                </c:pt>
                <c:pt idx="276">
                  <c:v>29.047600000000003</c:v>
                </c:pt>
                <c:pt idx="277">
                  <c:v>28.583000000000002</c:v>
                </c:pt>
                <c:pt idx="278">
                  <c:v>28.077999999999999</c:v>
                </c:pt>
                <c:pt idx="279">
                  <c:v>27.613399999999999</c:v>
                </c:pt>
                <c:pt idx="280">
                  <c:v>27.128599999999999</c:v>
                </c:pt>
                <c:pt idx="281">
                  <c:v>26.663999999999998</c:v>
                </c:pt>
                <c:pt idx="282">
                  <c:v>26.179200000000002</c:v>
                </c:pt>
                <c:pt idx="283">
                  <c:v>25.7348</c:v>
                </c:pt>
                <c:pt idx="284">
                  <c:v>25.270199999999999</c:v>
                </c:pt>
                <c:pt idx="285">
                  <c:v>24.805599999999998</c:v>
                </c:pt>
                <c:pt idx="286">
                  <c:v>24.3612</c:v>
                </c:pt>
                <c:pt idx="287">
                  <c:v>23.916799999999999</c:v>
                </c:pt>
                <c:pt idx="288">
                  <c:v>23.4724</c:v>
                </c:pt>
                <c:pt idx="289">
                  <c:v>23.048200000000001</c:v>
                </c:pt>
                <c:pt idx="290">
                  <c:v>22.6038</c:v>
                </c:pt>
                <c:pt idx="291">
                  <c:v>22.179600000000001</c:v>
                </c:pt>
                <c:pt idx="292">
                  <c:v>21.755399999999998</c:v>
                </c:pt>
                <c:pt idx="293">
                  <c:v>21.351400000000002</c:v>
                </c:pt>
                <c:pt idx="294">
                  <c:v>20.927199999999999</c:v>
                </c:pt>
                <c:pt idx="295">
                  <c:v>20.543399999999998</c:v>
                </c:pt>
                <c:pt idx="296">
                  <c:v>20.139400000000002</c:v>
                </c:pt>
                <c:pt idx="297">
                  <c:v>19.755599999999998</c:v>
                </c:pt>
                <c:pt idx="298">
                  <c:v>19.3718</c:v>
                </c:pt>
                <c:pt idx="299">
                  <c:v>18.988</c:v>
                </c:pt>
                <c:pt idx="300">
                  <c:v>18.624400000000001</c:v>
                </c:pt>
                <c:pt idx="301">
                  <c:v>18.2608</c:v>
                </c:pt>
                <c:pt idx="302">
                  <c:v>17.897199999999998</c:v>
                </c:pt>
                <c:pt idx="303">
                  <c:v>17.5336</c:v>
                </c:pt>
                <c:pt idx="304">
                  <c:v>17.190200000000001</c:v>
                </c:pt>
                <c:pt idx="305">
                  <c:v>16.846799999999998</c:v>
                </c:pt>
                <c:pt idx="306">
                  <c:v>16.523599999999998</c:v>
                </c:pt>
                <c:pt idx="307">
                  <c:v>16.200399999999998</c:v>
                </c:pt>
                <c:pt idx="308">
                  <c:v>15.8772</c:v>
                </c:pt>
                <c:pt idx="309">
                  <c:v>15.574199999999999</c:v>
                </c:pt>
                <c:pt idx="310">
                  <c:v>15.250999999999999</c:v>
                </c:pt>
                <c:pt idx="311">
                  <c:v>14.968200000000001</c:v>
                </c:pt>
                <c:pt idx="312">
                  <c:v>14.6652</c:v>
                </c:pt>
                <c:pt idx="313">
                  <c:v>14.382400000000001</c:v>
                </c:pt>
                <c:pt idx="314">
                  <c:v>14.1198</c:v>
                </c:pt>
                <c:pt idx="315">
                  <c:v>13.837</c:v>
                </c:pt>
                <c:pt idx="316">
                  <c:v>13.574399999999999</c:v>
                </c:pt>
                <c:pt idx="317">
                  <c:v>13.3118</c:v>
                </c:pt>
                <c:pt idx="318">
                  <c:v>13.0694</c:v>
                </c:pt>
                <c:pt idx="319">
                  <c:v>12.827</c:v>
                </c:pt>
                <c:pt idx="320">
                  <c:v>12.604800000000001</c:v>
                </c:pt>
                <c:pt idx="321">
                  <c:v>12.3826</c:v>
                </c:pt>
                <c:pt idx="322">
                  <c:v>12.160399999999999</c:v>
                </c:pt>
                <c:pt idx="323">
                  <c:v>11.9382</c:v>
                </c:pt>
                <c:pt idx="324">
                  <c:v>11.7362</c:v>
                </c:pt>
                <c:pt idx="325">
                  <c:v>11.5342</c:v>
                </c:pt>
                <c:pt idx="326">
                  <c:v>11.352400000000001</c:v>
                </c:pt>
                <c:pt idx="327">
                  <c:v>11.1706</c:v>
                </c:pt>
                <c:pt idx="328">
                  <c:v>11.009</c:v>
                </c:pt>
                <c:pt idx="329">
                  <c:v>10.827200000000001</c:v>
                </c:pt>
                <c:pt idx="330">
                  <c:v>10.665600000000001</c:v>
                </c:pt>
                <c:pt idx="331">
                  <c:v>10.504000000000001</c:v>
                </c:pt>
                <c:pt idx="332">
                  <c:v>10.3626</c:v>
                </c:pt>
                <c:pt idx="333">
                  <c:v>10.2212</c:v>
                </c:pt>
                <c:pt idx="334">
                  <c:v>10.1</c:v>
                </c:pt>
                <c:pt idx="335">
                  <c:v>9.9585999999999988</c:v>
                </c:pt>
                <c:pt idx="336">
                  <c:v>9.8374000000000006</c:v>
                </c:pt>
                <c:pt idx="337">
                  <c:v>9.7364000000000015</c:v>
                </c:pt>
                <c:pt idx="338">
                  <c:v>9.6353999999999989</c:v>
                </c:pt>
                <c:pt idx="339">
                  <c:v>9.5142000000000007</c:v>
                </c:pt>
                <c:pt idx="340">
                  <c:v>9.4334000000000007</c:v>
                </c:pt>
                <c:pt idx="341">
                  <c:v>9.3526000000000007</c:v>
                </c:pt>
                <c:pt idx="342">
                  <c:v>9.2717999999999989</c:v>
                </c:pt>
                <c:pt idx="343">
                  <c:v>9.1909999999999989</c:v>
                </c:pt>
                <c:pt idx="344">
                  <c:v>9.1303999999999998</c:v>
                </c:pt>
                <c:pt idx="345">
                  <c:v>9.0698000000000008</c:v>
                </c:pt>
                <c:pt idx="346">
                  <c:v>9.029399999999999</c:v>
                </c:pt>
                <c:pt idx="347">
                  <c:v>8.9688000000000017</c:v>
                </c:pt>
                <c:pt idx="348">
                  <c:v>8.9283999999999999</c:v>
                </c:pt>
                <c:pt idx="349">
                  <c:v>8.8880000000000017</c:v>
                </c:pt>
                <c:pt idx="350">
                  <c:v>8.867799999999999</c:v>
                </c:pt>
                <c:pt idx="351">
                  <c:v>8.867799999999999</c:v>
                </c:pt>
                <c:pt idx="352">
                  <c:v>8.8475999999999999</c:v>
                </c:pt>
                <c:pt idx="353">
                  <c:v>8.8274000000000008</c:v>
                </c:pt>
                <c:pt idx="354">
                  <c:v>8.8475999999999999</c:v>
                </c:pt>
                <c:pt idx="355">
                  <c:v>8.8475999999999999</c:v>
                </c:pt>
                <c:pt idx="356">
                  <c:v>8.867799999999999</c:v>
                </c:pt>
                <c:pt idx="357">
                  <c:v>8.8880000000000017</c:v>
                </c:pt>
                <c:pt idx="358">
                  <c:v>8.9082000000000008</c:v>
                </c:pt>
                <c:pt idx="359">
                  <c:v>8.948599999999999</c:v>
                </c:pt>
                <c:pt idx="360">
                  <c:v>8.9890000000000008</c:v>
                </c:pt>
                <c:pt idx="361">
                  <c:v>9.029399999999999</c:v>
                </c:pt>
                <c:pt idx="362">
                  <c:v>9.09</c:v>
                </c:pt>
                <c:pt idx="363">
                  <c:v>9.1506000000000007</c:v>
                </c:pt>
                <c:pt idx="364">
                  <c:v>9.2111999999999998</c:v>
                </c:pt>
              </c:numCache>
            </c:numRef>
          </c:val>
          <c:smooth val="0"/>
        </c:ser>
        <c:ser>
          <c:idx val="1"/>
          <c:order val="2"/>
          <c:tx>
            <c:v>PAR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Data!$D$7:$D$371</c:f>
              <c:numCache>
                <c:formatCode>General</c:formatCode>
                <c:ptCount val="365"/>
                <c:pt idx="0">
                  <c:v>7.65</c:v>
                </c:pt>
                <c:pt idx="1">
                  <c:v>7.75</c:v>
                </c:pt>
                <c:pt idx="2">
                  <c:v>8.1999999999999993</c:v>
                </c:pt>
                <c:pt idx="3">
                  <c:v>8.4700000000000006</c:v>
                </c:pt>
                <c:pt idx="4">
                  <c:v>8.94</c:v>
                </c:pt>
                <c:pt idx="5">
                  <c:v>5.8650000000000002</c:v>
                </c:pt>
                <c:pt idx="6">
                  <c:v>11.05</c:v>
                </c:pt>
                <c:pt idx="7">
                  <c:v>1.4590000000000001</c:v>
                </c:pt>
                <c:pt idx="8">
                  <c:v>1.1379999999999999</c:v>
                </c:pt>
                <c:pt idx="9">
                  <c:v>0.92600000000000005</c:v>
                </c:pt>
                <c:pt idx="10">
                  <c:v>0.626</c:v>
                </c:pt>
                <c:pt idx="11">
                  <c:v>1.4710000000000001</c:v>
                </c:pt>
                <c:pt idx="12">
                  <c:v>0.879</c:v>
                </c:pt>
                <c:pt idx="13">
                  <c:v>0.89900000000000002</c:v>
                </c:pt>
                <c:pt idx="14">
                  <c:v>1.179</c:v>
                </c:pt>
                <c:pt idx="15">
                  <c:v>0.93200000000000005</c:v>
                </c:pt>
                <c:pt idx="16">
                  <c:v>0.90600000000000003</c:v>
                </c:pt>
                <c:pt idx="17">
                  <c:v>0.77300000000000002</c:v>
                </c:pt>
                <c:pt idx="18">
                  <c:v>4.0350000000000001</c:v>
                </c:pt>
                <c:pt idx="19">
                  <c:v>4.1429999999999998</c:v>
                </c:pt>
                <c:pt idx="20">
                  <c:v>5.6909999999999998</c:v>
                </c:pt>
                <c:pt idx="21">
                  <c:v>8.11</c:v>
                </c:pt>
                <c:pt idx="22">
                  <c:v>12.09</c:v>
                </c:pt>
                <c:pt idx="23">
                  <c:v>11.72</c:v>
                </c:pt>
                <c:pt idx="24">
                  <c:v>6.4669999999999996</c:v>
                </c:pt>
                <c:pt idx="25">
                  <c:v>3.016</c:v>
                </c:pt>
                <c:pt idx="26">
                  <c:v>11.63</c:v>
                </c:pt>
                <c:pt idx="27">
                  <c:v>8.7200000000000006</c:v>
                </c:pt>
                <c:pt idx="28">
                  <c:v>3.7130000000000001</c:v>
                </c:pt>
                <c:pt idx="29">
                  <c:v>1.2070000000000001</c:v>
                </c:pt>
                <c:pt idx="30">
                  <c:v>1.948</c:v>
                </c:pt>
                <c:pt idx="31">
                  <c:v>8.1199999999999992</c:v>
                </c:pt>
                <c:pt idx="32">
                  <c:v>12.69</c:v>
                </c:pt>
                <c:pt idx="33">
                  <c:v>3.5139999999999998</c:v>
                </c:pt>
                <c:pt idx="34">
                  <c:v>13.87</c:v>
                </c:pt>
                <c:pt idx="35">
                  <c:v>12.71</c:v>
                </c:pt>
                <c:pt idx="36">
                  <c:v>4.8070000000000004</c:v>
                </c:pt>
                <c:pt idx="37">
                  <c:v>6.2480000000000002</c:v>
                </c:pt>
                <c:pt idx="38">
                  <c:v>8.01</c:v>
                </c:pt>
                <c:pt idx="39">
                  <c:v>16.52</c:v>
                </c:pt>
                <c:pt idx="40">
                  <c:v>11.74</c:v>
                </c:pt>
                <c:pt idx="41">
                  <c:v>12.44</c:v>
                </c:pt>
                <c:pt idx="42">
                  <c:v>18.190000000000001</c:v>
                </c:pt>
                <c:pt idx="43">
                  <c:v>18.75</c:v>
                </c:pt>
                <c:pt idx="44">
                  <c:v>14.65</c:v>
                </c:pt>
                <c:pt idx="45">
                  <c:v>5.6970000000000001</c:v>
                </c:pt>
                <c:pt idx="46">
                  <c:v>4.8040000000000003</c:v>
                </c:pt>
                <c:pt idx="47">
                  <c:v>5.665</c:v>
                </c:pt>
                <c:pt idx="48">
                  <c:v>2.9929999999999999</c:v>
                </c:pt>
                <c:pt idx="49">
                  <c:v>10.220000000000001</c:v>
                </c:pt>
                <c:pt idx="50">
                  <c:v>4.8490000000000002</c:v>
                </c:pt>
                <c:pt idx="51">
                  <c:v>10.15</c:v>
                </c:pt>
                <c:pt idx="52">
                  <c:v>20.86</c:v>
                </c:pt>
                <c:pt idx="53">
                  <c:v>6.1719999999999997</c:v>
                </c:pt>
                <c:pt idx="54">
                  <c:v>3.9689999999999999</c:v>
                </c:pt>
                <c:pt idx="55">
                  <c:v>14.36</c:v>
                </c:pt>
                <c:pt idx="56">
                  <c:v>19.829999999999998</c:v>
                </c:pt>
                <c:pt idx="57">
                  <c:v>24.43</c:v>
                </c:pt>
                <c:pt idx="58">
                  <c:v>23.29</c:v>
                </c:pt>
                <c:pt idx="59">
                  <c:v>25.37</c:v>
                </c:pt>
                <c:pt idx="60">
                  <c:v>25.66</c:v>
                </c:pt>
                <c:pt idx="61">
                  <c:v>23.37</c:v>
                </c:pt>
                <c:pt idx="62">
                  <c:v>15.64</c:v>
                </c:pt>
                <c:pt idx="63">
                  <c:v>19.16</c:v>
                </c:pt>
                <c:pt idx="64">
                  <c:v>28.06</c:v>
                </c:pt>
                <c:pt idx="65">
                  <c:v>16.760000000000002</c:v>
                </c:pt>
                <c:pt idx="66">
                  <c:v>6.5179999999999998</c:v>
                </c:pt>
                <c:pt idx="67">
                  <c:v>7.39</c:v>
                </c:pt>
                <c:pt idx="68">
                  <c:v>15.05</c:v>
                </c:pt>
                <c:pt idx="69">
                  <c:v>17.579999999999998</c:v>
                </c:pt>
                <c:pt idx="70">
                  <c:v>14.1</c:v>
                </c:pt>
                <c:pt idx="71">
                  <c:v>14.22</c:v>
                </c:pt>
                <c:pt idx="72">
                  <c:v>14.65</c:v>
                </c:pt>
                <c:pt idx="73">
                  <c:v>14.86</c:v>
                </c:pt>
                <c:pt idx="74">
                  <c:v>25.69</c:v>
                </c:pt>
                <c:pt idx="75">
                  <c:v>22.89</c:v>
                </c:pt>
                <c:pt idx="76">
                  <c:v>9.4</c:v>
                </c:pt>
                <c:pt idx="77">
                  <c:v>11.22</c:v>
                </c:pt>
                <c:pt idx="78">
                  <c:v>16.38</c:v>
                </c:pt>
                <c:pt idx="79">
                  <c:v>20.420000000000002</c:v>
                </c:pt>
                <c:pt idx="80">
                  <c:v>30.49</c:v>
                </c:pt>
                <c:pt idx="81">
                  <c:v>9.0500000000000007</c:v>
                </c:pt>
                <c:pt idx="82">
                  <c:v>14.5</c:v>
                </c:pt>
                <c:pt idx="83">
                  <c:v>36.299999999999997</c:v>
                </c:pt>
                <c:pt idx="84">
                  <c:v>34.82</c:v>
                </c:pt>
                <c:pt idx="85">
                  <c:v>36.369999999999997</c:v>
                </c:pt>
                <c:pt idx="86">
                  <c:v>36.58</c:v>
                </c:pt>
                <c:pt idx="87">
                  <c:v>37.81</c:v>
                </c:pt>
                <c:pt idx="88">
                  <c:v>36.81</c:v>
                </c:pt>
                <c:pt idx="89">
                  <c:v>31.04</c:v>
                </c:pt>
                <c:pt idx="90">
                  <c:v>15.28</c:v>
                </c:pt>
                <c:pt idx="91">
                  <c:v>13.83</c:v>
                </c:pt>
                <c:pt idx="92">
                  <c:v>25.86</c:v>
                </c:pt>
                <c:pt idx="93">
                  <c:v>15.3</c:v>
                </c:pt>
                <c:pt idx="94">
                  <c:v>25.12</c:v>
                </c:pt>
                <c:pt idx="95">
                  <c:v>37.43</c:v>
                </c:pt>
                <c:pt idx="96">
                  <c:v>21.38</c:v>
                </c:pt>
                <c:pt idx="97">
                  <c:v>4.7160000000000002</c:v>
                </c:pt>
                <c:pt idx="98">
                  <c:v>14.39</c:v>
                </c:pt>
                <c:pt idx="99">
                  <c:v>26.06</c:v>
                </c:pt>
                <c:pt idx="100">
                  <c:v>33.39</c:v>
                </c:pt>
                <c:pt idx="101">
                  <c:v>26.15</c:v>
                </c:pt>
                <c:pt idx="102">
                  <c:v>14.52</c:v>
                </c:pt>
                <c:pt idx="103">
                  <c:v>19.600000000000001</c:v>
                </c:pt>
                <c:pt idx="104">
                  <c:v>24.36</c:v>
                </c:pt>
                <c:pt idx="105">
                  <c:v>39.44</c:v>
                </c:pt>
                <c:pt idx="106">
                  <c:v>17.25</c:v>
                </c:pt>
                <c:pt idx="107">
                  <c:v>21.88</c:v>
                </c:pt>
                <c:pt idx="108">
                  <c:v>16.41</c:v>
                </c:pt>
                <c:pt idx="109">
                  <c:v>28.41</c:v>
                </c:pt>
                <c:pt idx="110">
                  <c:v>42.1</c:v>
                </c:pt>
                <c:pt idx="111">
                  <c:v>47.98</c:v>
                </c:pt>
                <c:pt idx="112">
                  <c:v>47.13</c:v>
                </c:pt>
                <c:pt idx="113">
                  <c:v>27.11</c:v>
                </c:pt>
                <c:pt idx="114">
                  <c:v>40.869999999999997</c:v>
                </c:pt>
                <c:pt idx="115">
                  <c:v>20.9</c:v>
                </c:pt>
                <c:pt idx="116">
                  <c:v>47.44</c:v>
                </c:pt>
                <c:pt idx="117">
                  <c:v>31.56</c:v>
                </c:pt>
                <c:pt idx="118">
                  <c:v>35.39</c:v>
                </c:pt>
                <c:pt idx="119">
                  <c:v>22.45</c:v>
                </c:pt>
                <c:pt idx="120">
                  <c:v>32.42</c:v>
                </c:pt>
                <c:pt idx="121">
                  <c:v>20.9</c:v>
                </c:pt>
                <c:pt idx="122">
                  <c:v>16.84</c:v>
                </c:pt>
                <c:pt idx="123">
                  <c:v>28.28</c:v>
                </c:pt>
                <c:pt idx="124">
                  <c:v>19.18</c:v>
                </c:pt>
                <c:pt idx="125">
                  <c:v>35.07</c:v>
                </c:pt>
                <c:pt idx="126">
                  <c:v>31.57</c:v>
                </c:pt>
                <c:pt idx="127">
                  <c:v>35.119999999999997</c:v>
                </c:pt>
                <c:pt idx="128">
                  <c:v>35.520000000000003</c:v>
                </c:pt>
                <c:pt idx="129">
                  <c:v>23.12</c:v>
                </c:pt>
                <c:pt idx="130">
                  <c:v>14.13</c:v>
                </c:pt>
                <c:pt idx="131">
                  <c:v>21.03</c:v>
                </c:pt>
                <c:pt idx="132">
                  <c:v>55.47</c:v>
                </c:pt>
                <c:pt idx="133">
                  <c:v>32.42</c:v>
                </c:pt>
                <c:pt idx="134">
                  <c:v>42.88</c:v>
                </c:pt>
                <c:pt idx="135">
                  <c:v>47.75</c:v>
                </c:pt>
                <c:pt idx="136">
                  <c:v>23.45</c:v>
                </c:pt>
                <c:pt idx="137">
                  <c:v>51.22</c:v>
                </c:pt>
                <c:pt idx="138">
                  <c:v>56.24</c:v>
                </c:pt>
                <c:pt idx="139">
                  <c:v>39.049999999999997</c:v>
                </c:pt>
                <c:pt idx="140">
                  <c:v>58.23</c:v>
                </c:pt>
                <c:pt idx="141">
                  <c:v>57.95</c:v>
                </c:pt>
                <c:pt idx="142">
                  <c:v>55.74</c:v>
                </c:pt>
                <c:pt idx="143">
                  <c:v>51.02</c:v>
                </c:pt>
                <c:pt idx="144">
                  <c:v>57.73</c:v>
                </c:pt>
                <c:pt idx="145">
                  <c:v>58.6</c:v>
                </c:pt>
                <c:pt idx="146">
                  <c:v>59.07</c:v>
                </c:pt>
                <c:pt idx="147">
                  <c:v>58.12</c:v>
                </c:pt>
                <c:pt idx="148">
                  <c:v>57.42</c:v>
                </c:pt>
                <c:pt idx="149">
                  <c:v>56.35</c:v>
                </c:pt>
                <c:pt idx="150">
                  <c:v>54.17</c:v>
                </c:pt>
                <c:pt idx="151">
                  <c:v>54.57</c:v>
                </c:pt>
                <c:pt idx="152">
                  <c:v>36.97</c:v>
                </c:pt>
                <c:pt idx="153">
                  <c:v>56.06</c:v>
                </c:pt>
                <c:pt idx="154">
                  <c:v>32.69</c:v>
                </c:pt>
                <c:pt idx="155">
                  <c:v>11.07</c:v>
                </c:pt>
                <c:pt idx="156">
                  <c:v>16.23</c:v>
                </c:pt>
                <c:pt idx="157">
                  <c:v>54.51</c:v>
                </c:pt>
                <c:pt idx="158">
                  <c:v>60.16</c:v>
                </c:pt>
                <c:pt idx="159">
                  <c:v>58.13</c:v>
                </c:pt>
                <c:pt idx="160">
                  <c:v>44.99</c:v>
                </c:pt>
                <c:pt idx="161">
                  <c:v>22.9</c:v>
                </c:pt>
                <c:pt idx="162">
                  <c:v>42.09</c:v>
                </c:pt>
                <c:pt idx="163">
                  <c:v>36.33</c:v>
                </c:pt>
                <c:pt idx="164">
                  <c:v>20.41</c:v>
                </c:pt>
                <c:pt idx="165">
                  <c:v>34.61</c:v>
                </c:pt>
                <c:pt idx="166">
                  <c:v>30.2</c:v>
                </c:pt>
                <c:pt idx="167">
                  <c:v>24.72</c:v>
                </c:pt>
                <c:pt idx="168">
                  <c:v>25.84</c:v>
                </c:pt>
                <c:pt idx="169">
                  <c:v>22.56</c:v>
                </c:pt>
                <c:pt idx="170">
                  <c:v>8.02</c:v>
                </c:pt>
                <c:pt idx="171">
                  <c:v>26.89</c:v>
                </c:pt>
                <c:pt idx="172">
                  <c:v>49.27</c:v>
                </c:pt>
                <c:pt idx="173">
                  <c:v>56.72</c:v>
                </c:pt>
                <c:pt idx="174">
                  <c:v>49.09</c:v>
                </c:pt>
                <c:pt idx="175">
                  <c:v>60.16</c:v>
                </c:pt>
                <c:pt idx="176">
                  <c:v>50.81</c:v>
                </c:pt>
                <c:pt idx="177">
                  <c:v>57.13</c:v>
                </c:pt>
                <c:pt idx="178">
                  <c:v>60.21</c:v>
                </c:pt>
                <c:pt idx="179">
                  <c:v>53.85</c:v>
                </c:pt>
                <c:pt idx="180">
                  <c:v>55.07</c:v>
                </c:pt>
                <c:pt idx="181">
                  <c:v>42.77</c:v>
                </c:pt>
                <c:pt idx="182">
                  <c:v>21.07</c:v>
                </c:pt>
                <c:pt idx="183">
                  <c:v>35.729999999999997</c:v>
                </c:pt>
                <c:pt idx="184">
                  <c:v>26.66</c:v>
                </c:pt>
                <c:pt idx="185">
                  <c:v>35.28</c:v>
                </c:pt>
                <c:pt idx="186">
                  <c:v>27</c:v>
                </c:pt>
                <c:pt idx="187">
                  <c:v>23.59</c:v>
                </c:pt>
                <c:pt idx="188">
                  <c:v>28.18</c:v>
                </c:pt>
                <c:pt idx="189">
                  <c:v>30.69</c:v>
                </c:pt>
                <c:pt idx="190">
                  <c:v>24.44</c:v>
                </c:pt>
                <c:pt idx="191">
                  <c:v>41.89</c:v>
                </c:pt>
                <c:pt idx="192">
                  <c:v>53.04</c:v>
                </c:pt>
                <c:pt idx="193">
                  <c:v>45.34</c:v>
                </c:pt>
                <c:pt idx="194">
                  <c:v>53.42</c:v>
                </c:pt>
                <c:pt idx="195">
                  <c:v>55.75</c:v>
                </c:pt>
                <c:pt idx="196">
                  <c:v>57.29</c:v>
                </c:pt>
                <c:pt idx="197">
                  <c:v>58</c:v>
                </c:pt>
                <c:pt idx="198">
                  <c:v>56.05</c:v>
                </c:pt>
                <c:pt idx="199">
                  <c:v>56.81</c:v>
                </c:pt>
                <c:pt idx="200">
                  <c:v>32.26</c:v>
                </c:pt>
                <c:pt idx="201">
                  <c:v>45.33</c:v>
                </c:pt>
                <c:pt idx="202">
                  <c:v>47.79</c:v>
                </c:pt>
                <c:pt idx="203">
                  <c:v>23.66</c:v>
                </c:pt>
                <c:pt idx="204">
                  <c:v>28.3</c:v>
                </c:pt>
                <c:pt idx="205">
                  <c:v>15.72</c:v>
                </c:pt>
                <c:pt idx="206">
                  <c:v>22.66</c:v>
                </c:pt>
                <c:pt idx="207">
                  <c:v>38.340000000000003</c:v>
                </c:pt>
                <c:pt idx="208">
                  <c:v>36.9</c:v>
                </c:pt>
                <c:pt idx="209">
                  <c:v>9.6999999999999993</c:v>
                </c:pt>
                <c:pt idx="210">
                  <c:v>36.61</c:v>
                </c:pt>
                <c:pt idx="211">
                  <c:v>30.98</c:v>
                </c:pt>
                <c:pt idx="212">
                  <c:v>22.62</c:v>
                </c:pt>
                <c:pt idx="213">
                  <c:v>31.55</c:v>
                </c:pt>
                <c:pt idx="214">
                  <c:v>50.25</c:v>
                </c:pt>
                <c:pt idx="215">
                  <c:v>51.02</c:v>
                </c:pt>
                <c:pt idx="216">
                  <c:v>15.68</c:v>
                </c:pt>
                <c:pt idx="217">
                  <c:v>14.22</c:v>
                </c:pt>
                <c:pt idx="218">
                  <c:v>18.260000000000002</c:v>
                </c:pt>
                <c:pt idx="219">
                  <c:v>7.85</c:v>
                </c:pt>
                <c:pt idx="220">
                  <c:v>29.69</c:v>
                </c:pt>
                <c:pt idx="221">
                  <c:v>29.5</c:v>
                </c:pt>
                <c:pt idx="222">
                  <c:v>11.62</c:v>
                </c:pt>
                <c:pt idx="223">
                  <c:v>12.33</c:v>
                </c:pt>
                <c:pt idx="224">
                  <c:v>32.69</c:v>
                </c:pt>
                <c:pt idx="225">
                  <c:v>11.07</c:v>
                </c:pt>
                <c:pt idx="226">
                  <c:v>17.16</c:v>
                </c:pt>
                <c:pt idx="227">
                  <c:v>27.44</c:v>
                </c:pt>
                <c:pt idx="228">
                  <c:v>10.72</c:v>
                </c:pt>
                <c:pt idx="229">
                  <c:v>18.23</c:v>
                </c:pt>
                <c:pt idx="230">
                  <c:v>31.53</c:v>
                </c:pt>
                <c:pt idx="231">
                  <c:v>40.36</c:v>
                </c:pt>
                <c:pt idx="232">
                  <c:v>39.1</c:v>
                </c:pt>
                <c:pt idx="233">
                  <c:v>43.43</c:v>
                </c:pt>
                <c:pt idx="234">
                  <c:v>42.37</c:v>
                </c:pt>
                <c:pt idx="235">
                  <c:v>29.72</c:v>
                </c:pt>
                <c:pt idx="236">
                  <c:v>42.26</c:v>
                </c:pt>
                <c:pt idx="237">
                  <c:v>34.630000000000003</c:v>
                </c:pt>
                <c:pt idx="238">
                  <c:v>36.35</c:v>
                </c:pt>
                <c:pt idx="239">
                  <c:v>43.09</c:v>
                </c:pt>
                <c:pt idx="240">
                  <c:v>17.899999999999999</c:v>
                </c:pt>
                <c:pt idx="241">
                  <c:v>36.79</c:v>
                </c:pt>
                <c:pt idx="242">
                  <c:v>42.13</c:v>
                </c:pt>
                <c:pt idx="243">
                  <c:v>42.09</c:v>
                </c:pt>
                <c:pt idx="244">
                  <c:v>41.96</c:v>
                </c:pt>
                <c:pt idx="245">
                  <c:v>41.57</c:v>
                </c:pt>
                <c:pt idx="246">
                  <c:v>36.99</c:v>
                </c:pt>
                <c:pt idx="247">
                  <c:v>10.75</c:v>
                </c:pt>
                <c:pt idx="248">
                  <c:v>29.87</c:v>
                </c:pt>
                <c:pt idx="249">
                  <c:v>36.31</c:v>
                </c:pt>
                <c:pt idx="250">
                  <c:v>36.909999999999997</c:v>
                </c:pt>
                <c:pt idx="251">
                  <c:v>37.159999999999997</c:v>
                </c:pt>
                <c:pt idx="252">
                  <c:v>38.26</c:v>
                </c:pt>
                <c:pt idx="253">
                  <c:v>36.07</c:v>
                </c:pt>
                <c:pt idx="254">
                  <c:v>37.090000000000003</c:v>
                </c:pt>
                <c:pt idx="255">
                  <c:v>35.15</c:v>
                </c:pt>
                <c:pt idx="256">
                  <c:v>36.25</c:v>
                </c:pt>
                <c:pt idx="257">
                  <c:v>36.86</c:v>
                </c:pt>
                <c:pt idx="258">
                  <c:v>36.47</c:v>
                </c:pt>
                <c:pt idx="259">
                  <c:v>36.22</c:v>
                </c:pt>
                <c:pt idx="260">
                  <c:v>24.88</c:v>
                </c:pt>
                <c:pt idx="261">
                  <c:v>34.57</c:v>
                </c:pt>
                <c:pt idx="262">
                  <c:v>34.51</c:v>
                </c:pt>
                <c:pt idx="263">
                  <c:v>33.840000000000003</c:v>
                </c:pt>
                <c:pt idx="264">
                  <c:v>30.39</c:v>
                </c:pt>
                <c:pt idx="265">
                  <c:v>33.11</c:v>
                </c:pt>
                <c:pt idx="266">
                  <c:v>32.659999999999997</c:v>
                </c:pt>
                <c:pt idx="267">
                  <c:v>28.75</c:v>
                </c:pt>
                <c:pt idx="268">
                  <c:v>20.64</c:v>
                </c:pt>
                <c:pt idx="269">
                  <c:v>13.65</c:v>
                </c:pt>
                <c:pt idx="270">
                  <c:v>16.48</c:v>
                </c:pt>
                <c:pt idx="271">
                  <c:v>23.69</c:v>
                </c:pt>
                <c:pt idx="272">
                  <c:v>7.62</c:v>
                </c:pt>
                <c:pt idx="273">
                  <c:v>23.18</c:v>
                </c:pt>
                <c:pt idx="274">
                  <c:v>8.26</c:v>
                </c:pt>
                <c:pt idx="275">
                  <c:v>1.615</c:v>
                </c:pt>
                <c:pt idx="276">
                  <c:v>24.64</c:v>
                </c:pt>
                <c:pt idx="277">
                  <c:v>12.76</c:v>
                </c:pt>
                <c:pt idx="278">
                  <c:v>10.47</c:v>
                </c:pt>
                <c:pt idx="279">
                  <c:v>12.21</c:v>
                </c:pt>
                <c:pt idx="280">
                  <c:v>9.44</c:v>
                </c:pt>
                <c:pt idx="281">
                  <c:v>6.4580000000000002</c:v>
                </c:pt>
                <c:pt idx="282">
                  <c:v>10.94</c:v>
                </c:pt>
                <c:pt idx="283">
                  <c:v>5.3479999999999999</c:v>
                </c:pt>
                <c:pt idx="284">
                  <c:v>5.1870000000000003</c:v>
                </c:pt>
                <c:pt idx="285">
                  <c:v>0.98</c:v>
                </c:pt>
                <c:pt idx="286">
                  <c:v>3.7330000000000001</c:v>
                </c:pt>
                <c:pt idx="287">
                  <c:v>6.1109999999999998</c:v>
                </c:pt>
                <c:pt idx="288">
                  <c:v>5.7770000000000001</c:v>
                </c:pt>
                <c:pt idx="289">
                  <c:v>2.6459999999999999</c:v>
                </c:pt>
                <c:pt idx="290">
                  <c:v>7.11</c:v>
                </c:pt>
                <c:pt idx="291">
                  <c:v>17.47</c:v>
                </c:pt>
                <c:pt idx="292">
                  <c:v>8.85</c:v>
                </c:pt>
                <c:pt idx="293">
                  <c:v>10.96</c:v>
                </c:pt>
                <c:pt idx="294">
                  <c:v>18.18</c:v>
                </c:pt>
                <c:pt idx="295">
                  <c:v>5.4619999999999997</c:v>
                </c:pt>
                <c:pt idx="296">
                  <c:v>7.43</c:v>
                </c:pt>
                <c:pt idx="297">
                  <c:v>1.7649999999999999</c:v>
                </c:pt>
                <c:pt idx="298">
                  <c:v>8.01</c:v>
                </c:pt>
                <c:pt idx="299">
                  <c:v>6.6070000000000002</c:v>
                </c:pt>
                <c:pt idx="300">
                  <c:v>11.94</c:v>
                </c:pt>
                <c:pt idx="301">
                  <c:v>17.72</c:v>
                </c:pt>
                <c:pt idx="302">
                  <c:v>8.3800000000000008</c:v>
                </c:pt>
                <c:pt idx="303">
                  <c:v>16.579999999999998</c:v>
                </c:pt>
                <c:pt idx="304">
                  <c:v>16.38</c:v>
                </c:pt>
                <c:pt idx="305">
                  <c:v>16.02</c:v>
                </c:pt>
                <c:pt idx="306">
                  <c:v>13.3</c:v>
                </c:pt>
                <c:pt idx="307">
                  <c:v>3.089</c:v>
                </c:pt>
                <c:pt idx="308">
                  <c:v>1.389</c:v>
                </c:pt>
                <c:pt idx="309">
                  <c:v>1.2170000000000001</c:v>
                </c:pt>
                <c:pt idx="310">
                  <c:v>0.98099999999999998</c:v>
                </c:pt>
                <c:pt idx="311">
                  <c:v>2.673</c:v>
                </c:pt>
                <c:pt idx="312">
                  <c:v>5.2809999999999997</c:v>
                </c:pt>
                <c:pt idx="313">
                  <c:v>7.5</c:v>
                </c:pt>
                <c:pt idx="314">
                  <c:v>8.59</c:v>
                </c:pt>
                <c:pt idx="315">
                  <c:v>8.99</c:v>
                </c:pt>
                <c:pt idx="316">
                  <c:v>0.45900000000000002</c:v>
                </c:pt>
                <c:pt idx="317">
                  <c:v>3.2189999999999999</c:v>
                </c:pt>
                <c:pt idx="318">
                  <c:v>5.577</c:v>
                </c:pt>
                <c:pt idx="319">
                  <c:v>9.14</c:v>
                </c:pt>
                <c:pt idx="320">
                  <c:v>1.925</c:v>
                </c:pt>
                <c:pt idx="321">
                  <c:v>7.49</c:v>
                </c:pt>
                <c:pt idx="322">
                  <c:v>11.34</c:v>
                </c:pt>
                <c:pt idx="323">
                  <c:v>11.19</c:v>
                </c:pt>
                <c:pt idx="324">
                  <c:v>3.657</c:v>
                </c:pt>
                <c:pt idx="325">
                  <c:v>2.13</c:v>
                </c:pt>
                <c:pt idx="326">
                  <c:v>1.35</c:v>
                </c:pt>
                <c:pt idx="327">
                  <c:v>5.2009999999999996</c:v>
                </c:pt>
                <c:pt idx="328">
                  <c:v>2.8610000000000002</c:v>
                </c:pt>
                <c:pt idx="329">
                  <c:v>3.5649999999999999</c:v>
                </c:pt>
                <c:pt idx="330">
                  <c:v>1.655</c:v>
                </c:pt>
                <c:pt idx="331">
                  <c:v>0.47899999999999998</c:v>
                </c:pt>
                <c:pt idx="332">
                  <c:v>3.891</c:v>
                </c:pt>
                <c:pt idx="333">
                  <c:v>4.3460000000000001</c:v>
                </c:pt>
                <c:pt idx="334">
                  <c:v>5.4279999999999999</c:v>
                </c:pt>
                <c:pt idx="335">
                  <c:v>3.044</c:v>
                </c:pt>
                <c:pt idx="336">
                  <c:v>4.2069999999999999</c:v>
                </c:pt>
                <c:pt idx="337">
                  <c:v>5.7220000000000004</c:v>
                </c:pt>
                <c:pt idx="338">
                  <c:v>9.52</c:v>
                </c:pt>
                <c:pt idx="339">
                  <c:v>3.5830000000000002</c:v>
                </c:pt>
                <c:pt idx="340">
                  <c:v>8.6199999999999992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402176"/>
        <c:axId val="234403712"/>
      </c:lineChart>
      <c:catAx>
        <c:axId val="23440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440371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4403712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 (mol/m2)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4402176"/>
        <c:crosses val="autoZero"/>
        <c:crossBetween val="between"/>
        <c:majorUnit val="10"/>
        <c:minorUnit val="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Temperatures - 6 m</a:t>
            </a:r>
          </a:p>
        </c:rich>
      </c:tx>
      <c:layout>
        <c:manualLayout>
          <c:xMode val="edge"/>
          <c:yMode val="edge"/>
          <c:x val="0.1525612472160356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Data!$R$7:$R$371</c:f>
              <c:numCache>
                <c:formatCode>General</c:formatCode>
                <c:ptCount val="365"/>
                <c:pt idx="0">
                  <c:v>-4.4539999999999997</c:v>
                </c:pt>
                <c:pt idx="1">
                  <c:v>-5.7160000000000002</c:v>
                </c:pt>
                <c:pt idx="2">
                  <c:v>-5.7060000000000004</c:v>
                </c:pt>
                <c:pt idx="3">
                  <c:v>-4.87</c:v>
                </c:pt>
                <c:pt idx="4">
                  <c:v>-5.734</c:v>
                </c:pt>
                <c:pt idx="5">
                  <c:v>-5.7720000000000002</c:v>
                </c:pt>
                <c:pt idx="6">
                  <c:v>-5.2670000000000003</c:v>
                </c:pt>
                <c:pt idx="7">
                  <c:v>-5.0000000000000001E-3</c:v>
                </c:pt>
                <c:pt idx="8">
                  <c:v>1.1919999999999999</c:v>
                </c:pt>
                <c:pt idx="9">
                  <c:v>2.2080000000000002</c:v>
                </c:pt>
                <c:pt idx="10">
                  <c:v>-0.377</c:v>
                </c:pt>
                <c:pt idx="11">
                  <c:v>1.0620000000000001</c:v>
                </c:pt>
                <c:pt idx="12">
                  <c:v>-0.26300000000000001</c:v>
                </c:pt>
                <c:pt idx="13">
                  <c:v>-0.32900000000000001</c:v>
                </c:pt>
                <c:pt idx="14">
                  <c:v>0.501</c:v>
                </c:pt>
                <c:pt idx="15">
                  <c:v>-3.26</c:v>
                </c:pt>
                <c:pt idx="16">
                  <c:v>-4.9640000000000004</c:v>
                </c:pt>
                <c:pt idx="17">
                  <c:v>-1.4339999999999999</c:v>
                </c:pt>
                <c:pt idx="18">
                  <c:v>3.0710000000000002</c:v>
                </c:pt>
                <c:pt idx="19">
                  <c:v>3.4790000000000001</c:v>
                </c:pt>
                <c:pt idx="20">
                  <c:v>1.1579999999999999</c:v>
                </c:pt>
                <c:pt idx="21">
                  <c:v>2.0680000000000001</c:v>
                </c:pt>
                <c:pt idx="22">
                  <c:v>1.0049999999999999</c:v>
                </c:pt>
                <c:pt idx="23">
                  <c:v>5.4969999999999999</c:v>
                </c:pt>
                <c:pt idx="24">
                  <c:v>3.415</c:v>
                </c:pt>
                <c:pt idx="25">
                  <c:v>0.88600000000000001</c:v>
                </c:pt>
                <c:pt idx="26">
                  <c:v>2.4</c:v>
                </c:pt>
                <c:pt idx="27">
                  <c:v>0.49399999999999999</c:v>
                </c:pt>
                <c:pt idx="28">
                  <c:v>1.6659999999999999</c:v>
                </c:pt>
                <c:pt idx="29">
                  <c:v>2.0470000000000002</c:v>
                </c:pt>
                <c:pt idx="30">
                  <c:v>3.2559999999999998</c:v>
                </c:pt>
                <c:pt idx="31">
                  <c:v>3.121</c:v>
                </c:pt>
                <c:pt idx="32">
                  <c:v>2.7309999999999999</c:v>
                </c:pt>
                <c:pt idx="33">
                  <c:v>1.0940000000000001</c:v>
                </c:pt>
                <c:pt idx="34">
                  <c:v>5.9989999999999997</c:v>
                </c:pt>
                <c:pt idx="35">
                  <c:v>12.53</c:v>
                </c:pt>
                <c:pt idx="36">
                  <c:v>3.9420000000000002</c:v>
                </c:pt>
                <c:pt idx="37">
                  <c:v>6.7220000000000004</c:v>
                </c:pt>
                <c:pt idx="38">
                  <c:v>-0.83699999999999997</c:v>
                </c:pt>
                <c:pt idx="39">
                  <c:v>0.315</c:v>
                </c:pt>
                <c:pt idx="40">
                  <c:v>-3.5489999999999999</c:v>
                </c:pt>
                <c:pt idx="41">
                  <c:v>-6.38</c:v>
                </c:pt>
                <c:pt idx="42">
                  <c:v>-12.82</c:v>
                </c:pt>
                <c:pt idx="43">
                  <c:v>-10.69</c:v>
                </c:pt>
                <c:pt idx="44">
                  <c:v>-11.96</c:v>
                </c:pt>
                <c:pt idx="45">
                  <c:v>-6.1539999999999999</c:v>
                </c:pt>
                <c:pt idx="46">
                  <c:v>-2.9390000000000001</c:v>
                </c:pt>
                <c:pt idx="47">
                  <c:v>0.47099999999999997</c:v>
                </c:pt>
                <c:pt idx="48">
                  <c:v>2.3170000000000002</c:v>
                </c:pt>
                <c:pt idx="49">
                  <c:v>3.8519999999999999</c:v>
                </c:pt>
                <c:pt idx="50">
                  <c:v>7.81</c:v>
                </c:pt>
                <c:pt idx="51">
                  <c:v>2.6960000000000002</c:v>
                </c:pt>
                <c:pt idx="52">
                  <c:v>2.0110000000000001</c:v>
                </c:pt>
                <c:pt idx="53">
                  <c:v>4.5110000000000001</c:v>
                </c:pt>
                <c:pt idx="54">
                  <c:v>4.8099999999999996</c:v>
                </c:pt>
                <c:pt idx="55">
                  <c:v>0.54300000000000004</c:v>
                </c:pt>
                <c:pt idx="56">
                  <c:v>-7.18</c:v>
                </c:pt>
                <c:pt idx="57">
                  <c:v>-7.22</c:v>
                </c:pt>
                <c:pt idx="58">
                  <c:v>-5.1760000000000002</c:v>
                </c:pt>
                <c:pt idx="59">
                  <c:v>-3.5259999999999998</c:v>
                </c:pt>
                <c:pt idx="60">
                  <c:v>-2.2959999999999998</c:v>
                </c:pt>
                <c:pt idx="61">
                  <c:v>1.5660000000000001</c:v>
                </c:pt>
                <c:pt idx="62">
                  <c:v>-5.9359999999999999</c:v>
                </c:pt>
                <c:pt idx="63">
                  <c:v>-10.92</c:v>
                </c:pt>
                <c:pt idx="64">
                  <c:v>-9.48</c:v>
                </c:pt>
                <c:pt idx="65">
                  <c:v>-4.4969999999999999</c:v>
                </c:pt>
                <c:pt idx="66">
                  <c:v>-1.9950000000000001</c:v>
                </c:pt>
                <c:pt idx="67">
                  <c:v>4.05</c:v>
                </c:pt>
                <c:pt idx="68">
                  <c:v>4.827</c:v>
                </c:pt>
                <c:pt idx="69">
                  <c:v>5.4279999999999999</c:v>
                </c:pt>
                <c:pt idx="70">
                  <c:v>1.9339999999999999</c:v>
                </c:pt>
                <c:pt idx="71">
                  <c:v>1.6339999999999999</c:v>
                </c:pt>
                <c:pt idx="72">
                  <c:v>6.24</c:v>
                </c:pt>
                <c:pt idx="73">
                  <c:v>2.7650000000000001</c:v>
                </c:pt>
                <c:pt idx="74">
                  <c:v>5.4160000000000004</c:v>
                </c:pt>
                <c:pt idx="75">
                  <c:v>5.226</c:v>
                </c:pt>
                <c:pt idx="76">
                  <c:v>3.0070000000000001</c:v>
                </c:pt>
                <c:pt idx="77">
                  <c:v>4.3659999999999997</c:v>
                </c:pt>
                <c:pt idx="78">
                  <c:v>2.899</c:v>
                </c:pt>
                <c:pt idx="79">
                  <c:v>0.89200000000000002</c:v>
                </c:pt>
                <c:pt idx="80">
                  <c:v>2.472</c:v>
                </c:pt>
                <c:pt idx="81">
                  <c:v>1.3620000000000001</c:v>
                </c:pt>
                <c:pt idx="82">
                  <c:v>-3.9E-2</c:v>
                </c:pt>
                <c:pt idx="83">
                  <c:v>1.149</c:v>
                </c:pt>
                <c:pt idx="84">
                  <c:v>3.004</c:v>
                </c:pt>
                <c:pt idx="85">
                  <c:v>7.94</c:v>
                </c:pt>
                <c:pt idx="86">
                  <c:v>8.9700000000000006</c:v>
                </c:pt>
                <c:pt idx="87">
                  <c:v>9.5299999999999994</c:v>
                </c:pt>
                <c:pt idx="88">
                  <c:v>11.35</c:v>
                </c:pt>
                <c:pt idx="89">
                  <c:v>11.33</c:v>
                </c:pt>
                <c:pt idx="90">
                  <c:v>4.359</c:v>
                </c:pt>
                <c:pt idx="91">
                  <c:v>0.60399999999999998</c:v>
                </c:pt>
                <c:pt idx="92">
                  <c:v>9.2200000000000006</c:v>
                </c:pt>
                <c:pt idx="93">
                  <c:v>5.3819999999999997</c:v>
                </c:pt>
                <c:pt idx="94">
                  <c:v>3.2530000000000001</c:v>
                </c:pt>
                <c:pt idx="95">
                  <c:v>6.4539999999999997</c:v>
                </c:pt>
                <c:pt idx="96">
                  <c:v>5.27</c:v>
                </c:pt>
                <c:pt idx="97">
                  <c:v>1.1739999999999999</c:v>
                </c:pt>
                <c:pt idx="98">
                  <c:v>4.05</c:v>
                </c:pt>
                <c:pt idx="99">
                  <c:v>3.2759999999999998</c:v>
                </c:pt>
                <c:pt idx="100">
                  <c:v>2.9369999999999998</c:v>
                </c:pt>
                <c:pt idx="101">
                  <c:v>3.5609999999999999</c:v>
                </c:pt>
                <c:pt idx="102">
                  <c:v>2.044</c:v>
                </c:pt>
                <c:pt idx="103">
                  <c:v>-0.30199999999999999</c:v>
                </c:pt>
                <c:pt idx="104">
                  <c:v>2.41</c:v>
                </c:pt>
                <c:pt idx="105">
                  <c:v>5.4640000000000004</c:v>
                </c:pt>
                <c:pt idx="106">
                  <c:v>3.1040000000000001</c:v>
                </c:pt>
                <c:pt idx="107">
                  <c:v>4.9989999999999997</c:v>
                </c:pt>
                <c:pt idx="108">
                  <c:v>0.52100000000000002</c:v>
                </c:pt>
                <c:pt idx="109">
                  <c:v>5.59</c:v>
                </c:pt>
                <c:pt idx="110">
                  <c:v>7.06</c:v>
                </c:pt>
                <c:pt idx="111">
                  <c:v>9.77</c:v>
                </c:pt>
                <c:pt idx="112">
                  <c:v>11.54</c:v>
                </c:pt>
                <c:pt idx="113">
                  <c:v>6.9370000000000003</c:v>
                </c:pt>
                <c:pt idx="114">
                  <c:v>10.58</c:v>
                </c:pt>
                <c:pt idx="115">
                  <c:v>6.8280000000000003</c:v>
                </c:pt>
                <c:pt idx="116">
                  <c:v>9.5</c:v>
                </c:pt>
                <c:pt idx="117">
                  <c:v>9.2100000000000009</c:v>
                </c:pt>
                <c:pt idx="118">
                  <c:v>6.4340000000000002</c:v>
                </c:pt>
                <c:pt idx="119">
                  <c:v>5.01</c:v>
                </c:pt>
                <c:pt idx="120">
                  <c:v>9.02</c:v>
                </c:pt>
                <c:pt idx="121">
                  <c:v>8.7799999999999994</c:v>
                </c:pt>
                <c:pt idx="122">
                  <c:v>5.1159999999999997</c:v>
                </c:pt>
                <c:pt idx="123">
                  <c:v>8.23</c:v>
                </c:pt>
                <c:pt idx="124">
                  <c:v>6.5780000000000003</c:v>
                </c:pt>
                <c:pt idx="125">
                  <c:v>10.06</c:v>
                </c:pt>
                <c:pt idx="126">
                  <c:v>11.32</c:v>
                </c:pt>
                <c:pt idx="127">
                  <c:v>12.76</c:v>
                </c:pt>
                <c:pt idx="128">
                  <c:v>13.83</c:v>
                </c:pt>
                <c:pt idx="129">
                  <c:v>10.19</c:v>
                </c:pt>
                <c:pt idx="130">
                  <c:v>4.1909999999999998</c:v>
                </c:pt>
                <c:pt idx="131">
                  <c:v>5.4480000000000004</c:v>
                </c:pt>
                <c:pt idx="132">
                  <c:v>14.47</c:v>
                </c:pt>
                <c:pt idx="133">
                  <c:v>13.6</c:v>
                </c:pt>
                <c:pt idx="134">
                  <c:v>14.73</c:v>
                </c:pt>
                <c:pt idx="135">
                  <c:v>16.59</c:v>
                </c:pt>
                <c:pt idx="136">
                  <c:v>10.49</c:v>
                </c:pt>
                <c:pt idx="137">
                  <c:v>7.27</c:v>
                </c:pt>
                <c:pt idx="138">
                  <c:v>9.8800000000000008</c:v>
                </c:pt>
                <c:pt idx="139">
                  <c:v>7</c:v>
                </c:pt>
                <c:pt idx="140">
                  <c:v>11.18</c:v>
                </c:pt>
                <c:pt idx="141">
                  <c:v>14.13</c:v>
                </c:pt>
                <c:pt idx="142">
                  <c:v>15.99</c:v>
                </c:pt>
                <c:pt idx="143">
                  <c:v>15.7</c:v>
                </c:pt>
                <c:pt idx="144">
                  <c:v>12.89</c:v>
                </c:pt>
                <c:pt idx="145">
                  <c:v>15.05</c:v>
                </c:pt>
                <c:pt idx="146">
                  <c:v>19.2</c:v>
                </c:pt>
                <c:pt idx="147">
                  <c:v>22.07</c:v>
                </c:pt>
                <c:pt idx="148">
                  <c:v>22.49</c:v>
                </c:pt>
                <c:pt idx="149">
                  <c:v>19.34</c:v>
                </c:pt>
                <c:pt idx="150">
                  <c:v>17.34</c:v>
                </c:pt>
                <c:pt idx="151">
                  <c:v>19.47</c:v>
                </c:pt>
                <c:pt idx="152">
                  <c:v>17.32</c:v>
                </c:pt>
                <c:pt idx="153">
                  <c:v>19.93</c:v>
                </c:pt>
                <c:pt idx="154">
                  <c:v>16.86</c:v>
                </c:pt>
                <c:pt idx="155">
                  <c:v>5.9390000000000001</c:v>
                </c:pt>
                <c:pt idx="156">
                  <c:v>7.59</c:v>
                </c:pt>
                <c:pt idx="157">
                  <c:v>16.36</c:v>
                </c:pt>
                <c:pt idx="158">
                  <c:v>17.850000000000001</c:v>
                </c:pt>
                <c:pt idx="159">
                  <c:v>18</c:v>
                </c:pt>
                <c:pt idx="160">
                  <c:v>17.329999999999998</c:v>
                </c:pt>
                <c:pt idx="161">
                  <c:v>10.49</c:v>
                </c:pt>
                <c:pt idx="162">
                  <c:v>13.25</c:v>
                </c:pt>
                <c:pt idx="163">
                  <c:v>10.6</c:v>
                </c:pt>
                <c:pt idx="164">
                  <c:v>9.7799999999999994</c:v>
                </c:pt>
                <c:pt idx="165">
                  <c:v>13.71</c:v>
                </c:pt>
                <c:pt idx="166">
                  <c:v>14.42</c:v>
                </c:pt>
                <c:pt idx="167">
                  <c:v>11.57</c:v>
                </c:pt>
                <c:pt idx="168">
                  <c:v>12.68</c:v>
                </c:pt>
                <c:pt idx="169">
                  <c:v>10.56</c:v>
                </c:pt>
                <c:pt idx="170">
                  <c:v>9.49</c:v>
                </c:pt>
                <c:pt idx="171">
                  <c:v>15.87</c:v>
                </c:pt>
                <c:pt idx="172">
                  <c:v>17.73</c:v>
                </c:pt>
                <c:pt idx="173">
                  <c:v>19.73</c:v>
                </c:pt>
                <c:pt idx="174">
                  <c:v>18.91</c:v>
                </c:pt>
                <c:pt idx="175">
                  <c:v>18.13</c:v>
                </c:pt>
                <c:pt idx="176">
                  <c:v>13.5</c:v>
                </c:pt>
                <c:pt idx="177">
                  <c:v>17.100000000000001</c:v>
                </c:pt>
                <c:pt idx="178">
                  <c:v>21.13</c:v>
                </c:pt>
                <c:pt idx="179">
                  <c:v>22.11</c:v>
                </c:pt>
                <c:pt idx="180">
                  <c:v>23.38</c:v>
                </c:pt>
                <c:pt idx="181">
                  <c:v>23.26</c:v>
                </c:pt>
                <c:pt idx="182">
                  <c:v>16.12</c:v>
                </c:pt>
                <c:pt idx="183">
                  <c:v>15.29</c:v>
                </c:pt>
                <c:pt idx="184">
                  <c:v>12.02</c:v>
                </c:pt>
                <c:pt idx="185">
                  <c:v>16.18</c:v>
                </c:pt>
                <c:pt idx="186">
                  <c:v>15.25</c:v>
                </c:pt>
                <c:pt idx="187">
                  <c:v>16.239999999999998</c:v>
                </c:pt>
                <c:pt idx="188">
                  <c:v>18.16</c:v>
                </c:pt>
                <c:pt idx="189">
                  <c:v>20.149999999999999</c:v>
                </c:pt>
                <c:pt idx="190">
                  <c:v>13.76</c:v>
                </c:pt>
                <c:pt idx="191">
                  <c:v>14.61</c:v>
                </c:pt>
                <c:pt idx="192">
                  <c:v>16.43</c:v>
                </c:pt>
                <c:pt idx="193">
                  <c:v>17.86</c:v>
                </c:pt>
                <c:pt idx="194">
                  <c:v>16.649999999999999</c:v>
                </c:pt>
                <c:pt idx="195">
                  <c:v>18.510000000000002</c:v>
                </c:pt>
                <c:pt idx="196">
                  <c:v>20.239999999999998</c:v>
                </c:pt>
                <c:pt idx="197">
                  <c:v>21.09</c:v>
                </c:pt>
                <c:pt idx="198">
                  <c:v>20.93</c:v>
                </c:pt>
                <c:pt idx="199">
                  <c:v>22.91</c:v>
                </c:pt>
                <c:pt idx="200">
                  <c:v>21.05</c:v>
                </c:pt>
                <c:pt idx="201">
                  <c:v>19.04</c:v>
                </c:pt>
                <c:pt idx="202">
                  <c:v>21.46</c:v>
                </c:pt>
                <c:pt idx="203">
                  <c:v>14.66</c:v>
                </c:pt>
                <c:pt idx="204">
                  <c:v>15.61</c:v>
                </c:pt>
                <c:pt idx="205">
                  <c:v>14.05</c:v>
                </c:pt>
                <c:pt idx="206">
                  <c:v>14.46</c:v>
                </c:pt>
                <c:pt idx="207">
                  <c:v>12.77</c:v>
                </c:pt>
                <c:pt idx="208">
                  <c:v>16.21</c:v>
                </c:pt>
                <c:pt idx="209">
                  <c:v>8.82</c:v>
                </c:pt>
                <c:pt idx="210">
                  <c:v>14.47</c:v>
                </c:pt>
                <c:pt idx="211">
                  <c:v>15.75</c:v>
                </c:pt>
                <c:pt idx="212">
                  <c:v>14.25</c:v>
                </c:pt>
                <c:pt idx="213">
                  <c:v>14.07</c:v>
                </c:pt>
                <c:pt idx="214">
                  <c:v>19.190000000000001</c:v>
                </c:pt>
                <c:pt idx="215">
                  <c:v>23.83</c:v>
                </c:pt>
                <c:pt idx="216">
                  <c:v>15.59</c:v>
                </c:pt>
                <c:pt idx="217">
                  <c:v>7.58</c:v>
                </c:pt>
                <c:pt idx="218">
                  <c:v>9.5</c:v>
                </c:pt>
                <c:pt idx="219">
                  <c:v>8.9600000000000009</c:v>
                </c:pt>
                <c:pt idx="220">
                  <c:v>15.09</c:v>
                </c:pt>
                <c:pt idx="221">
                  <c:v>16.260000000000002</c:v>
                </c:pt>
                <c:pt idx="222">
                  <c:v>12.15</c:v>
                </c:pt>
                <c:pt idx="223">
                  <c:v>5.6630000000000003</c:v>
                </c:pt>
                <c:pt idx="224">
                  <c:v>13.92</c:v>
                </c:pt>
                <c:pt idx="225">
                  <c:v>10.01</c:v>
                </c:pt>
                <c:pt idx="226">
                  <c:v>9.9499999999999993</c:v>
                </c:pt>
                <c:pt idx="227">
                  <c:v>10.02</c:v>
                </c:pt>
                <c:pt idx="228">
                  <c:v>6.9109999999999996</c:v>
                </c:pt>
                <c:pt idx="229">
                  <c:v>9.4499999999999993</c:v>
                </c:pt>
                <c:pt idx="230">
                  <c:v>13.51</c:v>
                </c:pt>
                <c:pt idx="231">
                  <c:v>17.37</c:v>
                </c:pt>
                <c:pt idx="232">
                  <c:v>18.89</c:v>
                </c:pt>
                <c:pt idx="233">
                  <c:v>18.05</c:v>
                </c:pt>
                <c:pt idx="234">
                  <c:v>17.64</c:v>
                </c:pt>
                <c:pt idx="235">
                  <c:v>11.56</c:v>
                </c:pt>
                <c:pt idx="236">
                  <c:v>15.19</c:v>
                </c:pt>
                <c:pt idx="237">
                  <c:v>13.2</c:v>
                </c:pt>
                <c:pt idx="238">
                  <c:v>15.24</c:v>
                </c:pt>
                <c:pt idx="239">
                  <c:v>17.54</c:v>
                </c:pt>
                <c:pt idx="240">
                  <c:v>9.8000000000000007</c:v>
                </c:pt>
                <c:pt idx="241">
                  <c:v>13.73</c:v>
                </c:pt>
                <c:pt idx="242">
                  <c:v>17.21</c:v>
                </c:pt>
                <c:pt idx="243">
                  <c:v>19.46</c:v>
                </c:pt>
                <c:pt idx="244">
                  <c:v>21.47</c:v>
                </c:pt>
                <c:pt idx="245">
                  <c:v>22.76</c:v>
                </c:pt>
                <c:pt idx="246">
                  <c:v>27.01</c:v>
                </c:pt>
                <c:pt idx="247">
                  <c:v>13.53</c:v>
                </c:pt>
                <c:pt idx="248">
                  <c:v>15.94</c:v>
                </c:pt>
                <c:pt idx="249">
                  <c:v>18.78</c:v>
                </c:pt>
                <c:pt idx="250">
                  <c:v>19.09</c:v>
                </c:pt>
                <c:pt idx="251">
                  <c:v>19.63</c:v>
                </c:pt>
                <c:pt idx="252">
                  <c:v>20.22</c:v>
                </c:pt>
                <c:pt idx="253">
                  <c:v>19.09</c:v>
                </c:pt>
                <c:pt idx="254">
                  <c:v>17.68</c:v>
                </c:pt>
                <c:pt idx="255">
                  <c:v>19.09</c:v>
                </c:pt>
                <c:pt idx="256">
                  <c:v>18.809999999999999</c:v>
                </c:pt>
                <c:pt idx="257">
                  <c:v>17.11</c:v>
                </c:pt>
                <c:pt idx="258">
                  <c:v>16.510000000000002</c:v>
                </c:pt>
                <c:pt idx="259">
                  <c:v>17.47</c:v>
                </c:pt>
                <c:pt idx="260">
                  <c:v>13.24</c:v>
                </c:pt>
                <c:pt idx="261">
                  <c:v>12.27</c:v>
                </c:pt>
                <c:pt idx="262">
                  <c:v>13.38</c:v>
                </c:pt>
                <c:pt idx="263">
                  <c:v>13.65</c:v>
                </c:pt>
                <c:pt idx="264">
                  <c:v>15.55</c:v>
                </c:pt>
                <c:pt idx="265">
                  <c:v>18.77</c:v>
                </c:pt>
                <c:pt idx="266">
                  <c:v>19.36</c:v>
                </c:pt>
                <c:pt idx="267">
                  <c:v>17.29</c:v>
                </c:pt>
                <c:pt idx="268">
                  <c:v>12.16</c:v>
                </c:pt>
                <c:pt idx="269">
                  <c:v>10.38</c:v>
                </c:pt>
                <c:pt idx="270">
                  <c:v>10.41</c:v>
                </c:pt>
                <c:pt idx="271">
                  <c:v>10.82</c:v>
                </c:pt>
                <c:pt idx="272">
                  <c:v>7.57</c:v>
                </c:pt>
                <c:pt idx="273">
                  <c:v>3.7130000000000001</c:v>
                </c:pt>
                <c:pt idx="274">
                  <c:v>4.3019999999999996</c:v>
                </c:pt>
                <c:pt idx="275">
                  <c:v>3.84</c:v>
                </c:pt>
                <c:pt idx="276">
                  <c:v>5.4279999999999999</c:v>
                </c:pt>
                <c:pt idx="277">
                  <c:v>5.5540000000000003</c:v>
                </c:pt>
                <c:pt idx="278">
                  <c:v>5.4909999999999997</c:v>
                </c:pt>
                <c:pt idx="279">
                  <c:v>5.7089999999999996</c:v>
                </c:pt>
                <c:pt idx="280">
                  <c:v>5.2329999999999997</c:v>
                </c:pt>
                <c:pt idx="281">
                  <c:v>3.8109999999999999</c:v>
                </c:pt>
                <c:pt idx="282">
                  <c:v>8.0399999999999991</c:v>
                </c:pt>
                <c:pt idx="283">
                  <c:v>2.613</c:v>
                </c:pt>
                <c:pt idx="284">
                  <c:v>2.1120000000000001</c:v>
                </c:pt>
                <c:pt idx="285">
                  <c:v>0.501</c:v>
                </c:pt>
                <c:pt idx="286">
                  <c:v>6.4939999999999998</c:v>
                </c:pt>
                <c:pt idx="287">
                  <c:v>9.4499999999999993</c:v>
                </c:pt>
                <c:pt idx="288">
                  <c:v>5.4569999999999999</c:v>
                </c:pt>
                <c:pt idx="289">
                  <c:v>3.43</c:v>
                </c:pt>
                <c:pt idx="290">
                  <c:v>2.2669999999999999</c:v>
                </c:pt>
                <c:pt idx="291">
                  <c:v>6.2939999999999996</c:v>
                </c:pt>
                <c:pt idx="292">
                  <c:v>3.9380000000000002</c:v>
                </c:pt>
                <c:pt idx="293">
                  <c:v>1.9</c:v>
                </c:pt>
                <c:pt idx="294">
                  <c:v>2.9460000000000002</c:v>
                </c:pt>
                <c:pt idx="295">
                  <c:v>1.0920000000000001</c:v>
                </c:pt>
                <c:pt idx="296">
                  <c:v>1.3180000000000001</c:v>
                </c:pt>
                <c:pt idx="297">
                  <c:v>1.0920000000000001</c:v>
                </c:pt>
                <c:pt idx="298">
                  <c:v>3.2080000000000002</c:v>
                </c:pt>
                <c:pt idx="299">
                  <c:v>1.7999999999999999E-2</c:v>
                </c:pt>
                <c:pt idx="300">
                  <c:v>0.215</c:v>
                </c:pt>
                <c:pt idx="301">
                  <c:v>-0.308</c:v>
                </c:pt>
                <c:pt idx="302">
                  <c:v>-5.0739999999999998</c:v>
                </c:pt>
                <c:pt idx="303">
                  <c:v>-2.92</c:v>
                </c:pt>
                <c:pt idx="304">
                  <c:v>-4.0670000000000002</c:v>
                </c:pt>
                <c:pt idx="305">
                  <c:v>-2.4340000000000002</c:v>
                </c:pt>
                <c:pt idx="306">
                  <c:v>-1.411</c:v>
                </c:pt>
                <c:pt idx="307">
                  <c:v>-2.4049999999999998</c:v>
                </c:pt>
                <c:pt idx="308">
                  <c:v>-3.7679999999999998</c:v>
                </c:pt>
                <c:pt idx="309">
                  <c:v>-4.992</c:v>
                </c:pt>
                <c:pt idx="310">
                  <c:v>-4.0810000000000004</c:v>
                </c:pt>
                <c:pt idx="311">
                  <c:v>4.7610000000000001</c:v>
                </c:pt>
                <c:pt idx="312">
                  <c:v>-4.6959999999999997</c:v>
                </c:pt>
                <c:pt idx="313">
                  <c:v>-7.76</c:v>
                </c:pt>
                <c:pt idx="314">
                  <c:v>3.5999999999999997E-2</c:v>
                </c:pt>
                <c:pt idx="315">
                  <c:v>0.26100000000000001</c:v>
                </c:pt>
                <c:pt idx="316">
                  <c:v>0.313</c:v>
                </c:pt>
                <c:pt idx="317">
                  <c:v>3.4649999999999999</c:v>
                </c:pt>
                <c:pt idx="318">
                  <c:v>6.51</c:v>
                </c:pt>
                <c:pt idx="319">
                  <c:v>4.7880000000000003</c:v>
                </c:pt>
                <c:pt idx="320">
                  <c:v>6.31</c:v>
                </c:pt>
                <c:pt idx="321">
                  <c:v>6.1150000000000002</c:v>
                </c:pt>
                <c:pt idx="322">
                  <c:v>3.367</c:v>
                </c:pt>
                <c:pt idx="323">
                  <c:v>9.1199999999999992</c:v>
                </c:pt>
                <c:pt idx="324">
                  <c:v>5.1909999999999998</c:v>
                </c:pt>
                <c:pt idx="325">
                  <c:v>2.706</c:v>
                </c:pt>
                <c:pt idx="326">
                  <c:v>3.7789999999999999</c:v>
                </c:pt>
                <c:pt idx="327">
                  <c:v>5.0730000000000004</c:v>
                </c:pt>
                <c:pt idx="328">
                  <c:v>3.1059999999999999</c:v>
                </c:pt>
                <c:pt idx="329">
                  <c:v>-0.85599999999999998</c:v>
                </c:pt>
                <c:pt idx="330">
                  <c:v>-2.4140000000000001</c:v>
                </c:pt>
                <c:pt idx="331">
                  <c:v>4.5490000000000004</c:v>
                </c:pt>
                <c:pt idx="332">
                  <c:v>6.1040000000000001</c:v>
                </c:pt>
                <c:pt idx="333">
                  <c:v>1.9039999999999999</c:v>
                </c:pt>
                <c:pt idx="334">
                  <c:v>0.10199999999999999</c:v>
                </c:pt>
                <c:pt idx="335">
                  <c:v>-3.7770000000000001</c:v>
                </c:pt>
                <c:pt idx="336">
                  <c:v>-3.7250000000000001</c:v>
                </c:pt>
                <c:pt idx="337">
                  <c:v>-3.6920000000000002</c:v>
                </c:pt>
                <c:pt idx="338">
                  <c:v>-7.97</c:v>
                </c:pt>
                <c:pt idx="339">
                  <c:v>-8.02</c:v>
                </c:pt>
                <c:pt idx="340">
                  <c:v>-9.1199999999999992</c:v>
                </c:pt>
                <c:pt idx="341">
                  <c:v>-12.2</c:v>
                </c:pt>
                <c:pt idx="342">
                  <c:v>-10</c:v>
                </c:pt>
                <c:pt idx="343">
                  <c:v>-3.3</c:v>
                </c:pt>
                <c:pt idx="344">
                  <c:v>1.8</c:v>
                </c:pt>
                <c:pt idx="345">
                  <c:v>3.9</c:v>
                </c:pt>
                <c:pt idx="346">
                  <c:v>2.4</c:v>
                </c:pt>
                <c:pt idx="347">
                  <c:v>-0.5</c:v>
                </c:pt>
                <c:pt idx="348">
                  <c:v>-2.9</c:v>
                </c:pt>
                <c:pt idx="349">
                  <c:v>1.7</c:v>
                </c:pt>
                <c:pt idx="350">
                  <c:v>-4.7</c:v>
                </c:pt>
                <c:pt idx="351">
                  <c:v>-3.7</c:v>
                </c:pt>
                <c:pt idx="352">
                  <c:v>-1.9</c:v>
                </c:pt>
                <c:pt idx="353">
                  <c:v>-0.7</c:v>
                </c:pt>
                <c:pt idx="354">
                  <c:v>-5.2</c:v>
                </c:pt>
                <c:pt idx="355">
                  <c:v>-7.1</c:v>
                </c:pt>
                <c:pt idx="356">
                  <c:v>-1.3</c:v>
                </c:pt>
                <c:pt idx="357">
                  <c:v>0.6</c:v>
                </c:pt>
                <c:pt idx="358">
                  <c:v>-2.9</c:v>
                </c:pt>
                <c:pt idx="359">
                  <c:v>-1.7</c:v>
                </c:pt>
                <c:pt idx="360">
                  <c:v>-2.7</c:v>
                </c:pt>
                <c:pt idx="361">
                  <c:v>-6</c:v>
                </c:pt>
                <c:pt idx="362">
                  <c:v>-2.2000000000000002</c:v>
                </c:pt>
                <c:pt idx="363">
                  <c:v>-1.1000000000000001</c:v>
                </c:pt>
                <c:pt idx="364">
                  <c:v>-0.2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Data!$AF$7:$AF$371</c:f>
              <c:numCache>
                <c:formatCode>General</c:formatCode>
                <c:ptCount val="365"/>
                <c:pt idx="0">
                  <c:v>-20.36</c:v>
                </c:pt>
                <c:pt idx="1">
                  <c:v>-21.33</c:v>
                </c:pt>
                <c:pt idx="2">
                  <c:v>-21.81</c:v>
                </c:pt>
                <c:pt idx="3">
                  <c:v>-20.18</c:v>
                </c:pt>
                <c:pt idx="4">
                  <c:v>-22.01</c:v>
                </c:pt>
                <c:pt idx="5">
                  <c:v>-21.43</c:v>
                </c:pt>
                <c:pt idx="6">
                  <c:v>-24.24</c:v>
                </c:pt>
                <c:pt idx="7">
                  <c:v>-7.66</c:v>
                </c:pt>
                <c:pt idx="8">
                  <c:v>-5.8129999999999997</c:v>
                </c:pt>
                <c:pt idx="9">
                  <c:v>-3.7909999999999999</c:v>
                </c:pt>
                <c:pt idx="10">
                  <c:v>-6.7960000000000003</c:v>
                </c:pt>
                <c:pt idx="11">
                  <c:v>-7.77</c:v>
                </c:pt>
                <c:pt idx="12">
                  <c:v>-2.8540000000000001</c:v>
                </c:pt>
                <c:pt idx="13">
                  <c:v>-6.5529999999999999</c:v>
                </c:pt>
                <c:pt idx="14">
                  <c:v>-5.8949999999999996</c:v>
                </c:pt>
                <c:pt idx="15">
                  <c:v>-6.0010000000000003</c:v>
                </c:pt>
                <c:pt idx="16">
                  <c:v>-7.27</c:v>
                </c:pt>
                <c:pt idx="17">
                  <c:v>-6.19</c:v>
                </c:pt>
                <c:pt idx="18">
                  <c:v>-12.8</c:v>
                </c:pt>
                <c:pt idx="19">
                  <c:v>-13.74</c:v>
                </c:pt>
                <c:pt idx="20">
                  <c:v>-15.99</c:v>
                </c:pt>
                <c:pt idx="21">
                  <c:v>-17.53</c:v>
                </c:pt>
                <c:pt idx="22">
                  <c:v>-18.68</c:v>
                </c:pt>
                <c:pt idx="23">
                  <c:v>-14.79</c:v>
                </c:pt>
                <c:pt idx="24">
                  <c:v>-8.06</c:v>
                </c:pt>
                <c:pt idx="25">
                  <c:v>-5.8520000000000003</c:v>
                </c:pt>
                <c:pt idx="26">
                  <c:v>-12.43</c:v>
                </c:pt>
                <c:pt idx="27">
                  <c:v>-14.96</c:v>
                </c:pt>
                <c:pt idx="28">
                  <c:v>-1.091</c:v>
                </c:pt>
                <c:pt idx="29">
                  <c:v>-4.4379999999999997</c:v>
                </c:pt>
                <c:pt idx="30">
                  <c:v>-1.0999999999999999E-2</c:v>
                </c:pt>
                <c:pt idx="31">
                  <c:v>-0.998</c:v>
                </c:pt>
                <c:pt idx="32">
                  <c:v>-5.0590000000000002</c:v>
                </c:pt>
                <c:pt idx="33">
                  <c:v>-7.54</c:v>
                </c:pt>
                <c:pt idx="34">
                  <c:v>-11.17</c:v>
                </c:pt>
                <c:pt idx="35">
                  <c:v>-6.5679999999999996</c:v>
                </c:pt>
                <c:pt idx="36">
                  <c:v>-1.2989999999999999</c:v>
                </c:pt>
                <c:pt idx="37">
                  <c:v>-9.66</c:v>
                </c:pt>
                <c:pt idx="38">
                  <c:v>-11.19</c:v>
                </c:pt>
                <c:pt idx="39">
                  <c:v>-12.92</c:v>
                </c:pt>
                <c:pt idx="40">
                  <c:v>-14.41</c:v>
                </c:pt>
                <c:pt idx="41">
                  <c:v>-18.7</c:v>
                </c:pt>
                <c:pt idx="42">
                  <c:v>-19.63</c:v>
                </c:pt>
                <c:pt idx="43">
                  <c:v>-28.29</c:v>
                </c:pt>
                <c:pt idx="44">
                  <c:v>-28.57</c:v>
                </c:pt>
                <c:pt idx="45">
                  <c:v>-14.03</c:v>
                </c:pt>
                <c:pt idx="46">
                  <c:v>-7.44</c:v>
                </c:pt>
                <c:pt idx="47">
                  <c:v>-3.351</c:v>
                </c:pt>
                <c:pt idx="48">
                  <c:v>-2.84</c:v>
                </c:pt>
                <c:pt idx="49">
                  <c:v>-0.246</c:v>
                </c:pt>
                <c:pt idx="50">
                  <c:v>0.53400000000000003</c:v>
                </c:pt>
                <c:pt idx="51">
                  <c:v>-5.7649999999999997</c:v>
                </c:pt>
                <c:pt idx="52">
                  <c:v>-10.77</c:v>
                </c:pt>
                <c:pt idx="53">
                  <c:v>-11.1</c:v>
                </c:pt>
                <c:pt idx="54">
                  <c:v>-1.1100000000000001</c:v>
                </c:pt>
                <c:pt idx="55">
                  <c:v>-10.36</c:v>
                </c:pt>
                <c:pt idx="56">
                  <c:v>-19.309999999999999</c:v>
                </c:pt>
                <c:pt idx="57">
                  <c:v>-25.03</c:v>
                </c:pt>
                <c:pt idx="58">
                  <c:v>-25.43</c:v>
                </c:pt>
                <c:pt idx="59">
                  <c:v>-26.18</c:v>
                </c:pt>
                <c:pt idx="60">
                  <c:v>-23.26</c:v>
                </c:pt>
                <c:pt idx="61">
                  <c:v>-18.91</c:v>
                </c:pt>
                <c:pt idx="62">
                  <c:v>-14.7</c:v>
                </c:pt>
                <c:pt idx="63">
                  <c:v>-24.61</c:v>
                </c:pt>
                <c:pt idx="64">
                  <c:v>-27.55</c:v>
                </c:pt>
                <c:pt idx="65">
                  <c:v>-22.54</c:v>
                </c:pt>
                <c:pt idx="66">
                  <c:v>-8.7100000000000009</c:v>
                </c:pt>
                <c:pt idx="67">
                  <c:v>-1.9570000000000001</c:v>
                </c:pt>
                <c:pt idx="68">
                  <c:v>0.60499999999999998</c:v>
                </c:pt>
                <c:pt idx="69">
                  <c:v>8.6999999999999994E-2</c:v>
                </c:pt>
                <c:pt idx="70">
                  <c:v>-9.17</c:v>
                </c:pt>
                <c:pt idx="71">
                  <c:v>-9.81</c:v>
                </c:pt>
                <c:pt idx="72">
                  <c:v>-1.3740000000000001</c:v>
                </c:pt>
                <c:pt idx="73">
                  <c:v>-4.8529999999999998</c:v>
                </c:pt>
                <c:pt idx="74">
                  <c:v>-9.0500000000000007</c:v>
                </c:pt>
                <c:pt idx="75">
                  <c:v>-5.1219999999999999</c:v>
                </c:pt>
                <c:pt idx="76">
                  <c:v>-0.79</c:v>
                </c:pt>
                <c:pt idx="77">
                  <c:v>-2.9670000000000001</c:v>
                </c:pt>
                <c:pt idx="78">
                  <c:v>-3.4359999999999999</c:v>
                </c:pt>
                <c:pt idx="79">
                  <c:v>-6.2910000000000004</c:v>
                </c:pt>
                <c:pt idx="80">
                  <c:v>-8.01</c:v>
                </c:pt>
                <c:pt idx="81">
                  <c:v>-5.2939999999999996</c:v>
                </c:pt>
                <c:pt idx="82">
                  <c:v>-7.07</c:v>
                </c:pt>
                <c:pt idx="83">
                  <c:v>-16.7</c:v>
                </c:pt>
                <c:pt idx="84">
                  <c:v>-17.149999999999999</c:v>
                </c:pt>
                <c:pt idx="85">
                  <c:v>-14.04</c:v>
                </c:pt>
                <c:pt idx="86">
                  <c:v>-11.71</c:v>
                </c:pt>
                <c:pt idx="87">
                  <c:v>-8.5399999999999991</c:v>
                </c:pt>
                <c:pt idx="88">
                  <c:v>-6.2380000000000004</c:v>
                </c:pt>
                <c:pt idx="89">
                  <c:v>-7.34</c:v>
                </c:pt>
                <c:pt idx="90">
                  <c:v>-2.391</c:v>
                </c:pt>
                <c:pt idx="91">
                  <c:v>-4.2619999999999996</c:v>
                </c:pt>
                <c:pt idx="92">
                  <c:v>-1.464</c:v>
                </c:pt>
                <c:pt idx="93">
                  <c:v>-7.95</c:v>
                </c:pt>
                <c:pt idx="94">
                  <c:v>-8.6300000000000008</c:v>
                </c:pt>
                <c:pt idx="95">
                  <c:v>-5.0789999999999997</c:v>
                </c:pt>
                <c:pt idx="96">
                  <c:v>-1.67</c:v>
                </c:pt>
                <c:pt idx="97">
                  <c:v>-3.3690000000000002</c:v>
                </c:pt>
                <c:pt idx="98">
                  <c:v>-3.246</c:v>
                </c:pt>
                <c:pt idx="99">
                  <c:v>-7.97</c:v>
                </c:pt>
                <c:pt idx="100">
                  <c:v>-12.25</c:v>
                </c:pt>
                <c:pt idx="101">
                  <c:v>-13.51</c:v>
                </c:pt>
                <c:pt idx="102">
                  <c:v>-3.0190000000000001</c:v>
                </c:pt>
                <c:pt idx="103">
                  <c:v>-4.0860000000000003</c:v>
                </c:pt>
                <c:pt idx="104">
                  <c:v>-11.04</c:v>
                </c:pt>
                <c:pt idx="105">
                  <c:v>-14.68</c:v>
                </c:pt>
                <c:pt idx="106">
                  <c:v>-5.375</c:v>
                </c:pt>
                <c:pt idx="107">
                  <c:v>-4.9349999999999996</c:v>
                </c:pt>
                <c:pt idx="108">
                  <c:v>-6.1159999999999997</c:v>
                </c:pt>
                <c:pt idx="109">
                  <c:v>-7.64</c:v>
                </c:pt>
                <c:pt idx="110">
                  <c:v>-10.01</c:v>
                </c:pt>
                <c:pt idx="111">
                  <c:v>-7.89</c:v>
                </c:pt>
                <c:pt idx="112">
                  <c:v>-7.35</c:v>
                </c:pt>
                <c:pt idx="113">
                  <c:v>-3.081</c:v>
                </c:pt>
                <c:pt idx="114">
                  <c:v>-5.867</c:v>
                </c:pt>
                <c:pt idx="115">
                  <c:v>-4.0670000000000002</c:v>
                </c:pt>
                <c:pt idx="116">
                  <c:v>-0.32500000000000001</c:v>
                </c:pt>
                <c:pt idx="117">
                  <c:v>-1.825</c:v>
                </c:pt>
                <c:pt idx="118">
                  <c:v>-1.538</c:v>
                </c:pt>
                <c:pt idx="119">
                  <c:v>-1.8009999999999999</c:v>
                </c:pt>
                <c:pt idx="120">
                  <c:v>-2.665</c:v>
                </c:pt>
                <c:pt idx="121">
                  <c:v>-1.369</c:v>
                </c:pt>
                <c:pt idx="122">
                  <c:v>-2.0089999999999999</c:v>
                </c:pt>
                <c:pt idx="123">
                  <c:v>-4.1150000000000002</c:v>
                </c:pt>
                <c:pt idx="124">
                  <c:v>-2.74</c:v>
                </c:pt>
                <c:pt idx="125">
                  <c:v>-1.802</c:v>
                </c:pt>
                <c:pt idx="126">
                  <c:v>-1.274</c:v>
                </c:pt>
                <c:pt idx="127">
                  <c:v>-1.613</c:v>
                </c:pt>
                <c:pt idx="128">
                  <c:v>-0.35799999999999998</c:v>
                </c:pt>
                <c:pt idx="129">
                  <c:v>0.13900000000000001</c:v>
                </c:pt>
                <c:pt idx="130">
                  <c:v>0.58499999999999996</c:v>
                </c:pt>
                <c:pt idx="131">
                  <c:v>-0.80400000000000005</c:v>
                </c:pt>
                <c:pt idx="132">
                  <c:v>-3.569</c:v>
                </c:pt>
                <c:pt idx="133">
                  <c:v>-2.0649999999999999</c:v>
                </c:pt>
                <c:pt idx="134">
                  <c:v>-0.96899999999999997</c:v>
                </c:pt>
                <c:pt idx="135">
                  <c:v>-1.7589999999999999</c:v>
                </c:pt>
                <c:pt idx="136">
                  <c:v>1.0409999999999999</c:v>
                </c:pt>
                <c:pt idx="137">
                  <c:v>-2.5369999999999999</c:v>
                </c:pt>
                <c:pt idx="138">
                  <c:v>-5.4580000000000002</c:v>
                </c:pt>
                <c:pt idx="139">
                  <c:v>-3.407</c:v>
                </c:pt>
                <c:pt idx="140">
                  <c:v>-5.3239999999999998</c:v>
                </c:pt>
                <c:pt idx="141">
                  <c:v>-4.4809999999999999</c:v>
                </c:pt>
                <c:pt idx="142">
                  <c:v>-2.835</c:v>
                </c:pt>
                <c:pt idx="143">
                  <c:v>-1.599</c:v>
                </c:pt>
                <c:pt idx="144">
                  <c:v>-0.89900000000000002</c:v>
                </c:pt>
                <c:pt idx="145">
                  <c:v>-3.1139999999999999</c:v>
                </c:pt>
                <c:pt idx="146">
                  <c:v>-1.863</c:v>
                </c:pt>
                <c:pt idx="147">
                  <c:v>-0.38600000000000001</c:v>
                </c:pt>
                <c:pt idx="148">
                  <c:v>1.1819999999999999</c:v>
                </c:pt>
                <c:pt idx="149">
                  <c:v>1.8069999999999999</c:v>
                </c:pt>
                <c:pt idx="150">
                  <c:v>-0.307</c:v>
                </c:pt>
                <c:pt idx="151">
                  <c:v>1.6040000000000001</c:v>
                </c:pt>
                <c:pt idx="152">
                  <c:v>2.681</c:v>
                </c:pt>
                <c:pt idx="153">
                  <c:v>1.5049999999999999</c:v>
                </c:pt>
                <c:pt idx="154">
                  <c:v>3.3479999999999999</c:v>
                </c:pt>
                <c:pt idx="155">
                  <c:v>2.2839999999999998</c:v>
                </c:pt>
                <c:pt idx="156">
                  <c:v>0.56599999999999995</c:v>
                </c:pt>
                <c:pt idx="157">
                  <c:v>0.182</c:v>
                </c:pt>
                <c:pt idx="158">
                  <c:v>-1.0489999999999999</c:v>
                </c:pt>
                <c:pt idx="159">
                  <c:v>-0.42499999999999999</c:v>
                </c:pt>
                <c:pt idx="160">
                  <c:v>0.57599999999999996</c:v>
                </c:pt>
                <c:pt idx="161">
                  <c:v>4.9020000000000001</c:v>
                </c:pt>
                <c:pt idx="162">
                  <c:v>2.0270000000000001</c:v>
                </c:pt>
                <c:pt idx="163">
                  <c:v>2.4220000000000002</c:v>
                </c:pt>
                <c:pt idx="164">
                  <c:v>3.4140000000000001</c:v>
                </c:pt>
                <c:pt idx="165">
                  <c:v>5.0510000000000002</c:v>
                </c:pt>
                <c:pt idx="166">
                  <c:v>1.7270000000000001</c:v>
                </c:pt>
                <c:pt idx="167">
                  <c:v>5.2489999999999997</c:v>
                </c:pt>
                <c:pt idx="168">
                  <c:v>3.9420000000000002</c:v>
                </c:pt>
                <c:pt idx="169">
                  <c:v>2.5950000000000002</c:v>
                </c:pt>
                <c:pt idx="170">
                  <c:v>6.1779999999999999</c:v>
                </c:pt>
                <c:pt idx="171">
                  <c:v>7.44</c:v>
                </c:pt>
                <c:pt idx="172">
                  <c:v>3.41</c:v>
                </c:pt>
                <c:pt idx="173">
                  <c:v>4.3609999999999998</c:v>
                </c:pt>
                <c:pt idx="174">
                  <c:v>6.4260000000000002</c:v>
                </c:pt>
                <c:pt idx="175">
                  <c:v>1.9370000000000001</c:v>
                </c:pt>
                <c:pt idx="176">
                  <c:v>0.247</c:v>
                </c:pt>
                <c:pt idx="177">
                  <c:v>-1.59</c:v>
                </c:pt>
                <c:pt idx="178">
                  <c:v>1.0409999999999999</c:v>
                </c:pt>
                <c:pt idx="179">
                  <c:v>3.452</c:v>
                </c:pt>
                <c:pt idx="180">
                  <c:v>4.6959999999999997</c:v>
                </c:pt>
                <c:pt idx="181">
                  <c:v>7.07</c:v>
                </c:pt>
                <c:pt idx="182">
                  <c:v>8.81</c:v>
                </c:pt>
                <c:pt idx="183">
                  <c:v>5.7869999999999999</c:v>
                </c:pt>
                <c:pt idx="184">
                  <c:v>4.8010000000000002</c:v>
                </c:pt>
                <c:pt idx="185">
                  <c:v>5.952</c:v>
                </c:pt>
                <c:pt idx="186">
                  <c:v>2.4910000000000001</c:v>
                </c:pt>
                <c:pt idx="187">
                  <c:v>8.0500000000000007</c:v>
                </c:pt>
                <c:pt idx="188">
                  <c:v>6.3460000000000001</c:v>
                </c:pt>
                <c:pt idx="189">
                  <c:v>7.8</c:v>
                </c:pt>
                <c:pt idx="190">
                  <c:v>5.4340000000000002</c:v>
                </c:pt>
                <c:pt idx="191">
                  <c:v>-7.32</c:v>
                </c:pt>
                <c:pt idx="192">
                  <c:v>-0.26500000000000001</c:v>
                </c:pt>
                <c:pt idx="193">
                  <c:v>1.627</c:v>
                </c:pt>
                <c:pt idx="194">
                  <c:v>4.8949999999999996</c:v>
                </c:pt>
                <c:pt idx="195">
                  <c:v>2.056</c:v>
                </c:pt>
                <c:pt idx="196">
                  <c:v>5.0970000000000004</c:v>
                </c:pt>
                <c:pt idx="197">
                  <c:v>3.5129999999999999</c:v>
                </c:pt>
                <c:pt idx="198">
                  <c:v>5.508</c:v>
                </c:pt>
                <c:pt idx="199">
                  <c:v>3.8769999999999998</c:v>
                </c:pt>
                <c:pt idx="200">
                  <c:v>7.09</c:v>
                </c:pt>
                <c:pt idx="201">
                  <c:v>6.61</c:v>
                </c:pt>
                <c:pt idx="202">
                  <c:v>4.2309999999999999</c:v>
                </c:pt>
                <c:pt idx="203">
                  <c:v>8.25</c:v>
                </c:pt>
                <c:pt idx="204">
                  <c:v>8.57</c:v>
                </c:pt>
                <c:pt idx="205">
                  <c:v>8.91</c:v>
                </c:pt>
                <c:pt idx="206">
                  <c:v>8.6</c:v>
                </c:pt>
                <c:pt idx="207">
                  <c:v>1.284</c:v>
                </c:pt>
                <c:pt idx="208">
                  <c:v>0.49099999999999999</c:v>
                </c:pt>
                <c:pt idx="209">
                  <c:v>3.2149999999999999</c:v>
                </c:pt>
                <c:pt idx="210">
                  <c:v>4.9400000000000004</c:v>
                </c:pt>
                <c:pt idx="211">
                  <c:v>6.0529999999999999</c:v>
                </c:pt>
                <c:pt idx="212">
                  <c:v>5.431</c:v>
                </c:pt>
                <c:pt idx="213">
                  <c:v>4.641</c:v>
                </c:pt>
                <c:pt idx="214">
                  <c:v>4.3579999999999997</c:v>
                </c:pt>
                <c:pt idx="215">
                  <c:v>5.5640000000000001</c:v>
                </c:pt>
                <c:pt idx="216">
                  <c:v>5.3049999999999997</c:v>
                </c:pt>
                <c:pt idx="217">
                  <c:v>4.1470000000000002</c:v>
                </c:pt>
                <c:pt idx="218">
                  <c:v>2.621</c:v>
                </c:pt>
                <c:pt idx="219">
                  <c:v>4.2300000000000004</c:v>
                </c:pt>
                <c:pt idx="220">
                  <c:v>3.5990000000000002</c:v>
                </c:pt>
                <c:pt idx="221">
                  <c:v>1.333</c:v>
                </c:pt>
                <c:pt idx="222">
                  <c:v>5.5670000000000002</c:v>
                </c:pt>
                <c:pt idx="223">
                  <c:v>3.5219999999999998</c:v>
                </c:pt>
                <c:pt idx="224">
                  <c:v>3.7810000000000001</c:v>
                </c:pt>
                <c:pt idx="225">
                  <c:v>4.1929999999999996</c:v>
                </c:pt>
                <c:pt idx="226">
                  <c:v>2.8029999999999999</c:v>
                </c:pt>
                <c:pt idx="227">
                  <c:v>1.8520000000000001</c:v>
                </c:pt>
                <c:pt idx="228">
                  <c:v>1.2290000000000001</c:v>
                </c:pt>
                <c:pt idx="229">
                  <c:v>3.6880000000000002</c:v>
                </c:pt>
                <c:pt idx="230">
                  <c:v>4.3150000000000004</c:v>
                </c:pt>
                <c:pt idx="231">
                  <c:v>0.46700000000000003</c:v>
                </c:pt>
                <c:pt idx="232">
                  <c:v>4.8070000000000004</c:v>
                </c:pt>
                <c:pt idx="233">
                  <c:v>2.8490000000000002</c:v>
                </c:pt>
                <c:pt idx="234">
                  <c:v>0.34499999999999997</c:v>
                </c:pt>
                <c:pt idx="235">
                  <c:v>-1.002</c:v>
                </c:pt>
                <c:pt idx="236">
                  <c:v>-2.419</c:v>
                </c:pt>
                <c:pt idx="237">
                  <c:v>0.84299999999999997</c:v>
                </c:pt>
                <c:pt idx="238">
                  <c:v>-1.3320000000000001</c:v>
                </c:pt>
                <c:pt idx="239">
                  <c:v>0.63600000000000001</c:v>
                </c:pt>
                <c:pt idx="240">
                  <c:v>1.839</c:v>
                </c:pt>
                <c:pt idx="241">
                  <c:v>0.33600000000000002</c:v>
                </c:pt>
                <c:pt idx="242">
                  <c:v>-1.077</c:v>
                </c:pt>
                <c:pt idx="243">
                  <c:v>0.32400000000000001</c:v>
                </c:pt>
                <c:pt idx="244">
                  <c:v>1.609</c:v>
                </c:pt>
                <c:pt idx="245">
                  <c:v>0.67</c:v>
                </c:pt>
                <c:pt idx="246">
                  <c:v>3.3860000000000001</c:v>
                </c:pt>
                <c:pt idx="247">
                  <c:v>5.5149999999999997</c:v>
                </c:pt>
                <c:pt idx="248">
                  <c:v>3.5649999999999999</c:v>
                </c:pt>
                <c:pt idx="249">
                  <c:v>1.6559999999999999</c:v>
                </c:pt>
                <c:pt idx="250">
                  <c:v>1.8069999999999999</c:v>
                </c:pt>
                <c:pt idx="251">
                  <c:v>2.383</c:v>
                </c:pt>
                <c:pt idx="252">
                  <c:v>2.3170000000000002</c:v>
                </c:pt>
                <c:pt idx="253">
                  <c:v>2.121</c:v>
                </c:pt>
                <c:pt idx="254">
                  <c:v>0.53400000000000003</c:v>
                </c:pt>
                <c:pt idx="255">
                  <c:v>2.093</c:v>
                </c:pt>
                <c:pt idx="256">
                  <c:v>0.50600000000000001</c:v>
                </c:pt>
                <c:pt idx="257">
                  <c:v>1.2569999999999999</c:v>
                </c:pt>
                <c:pt idx="258">
                  <c:v>-1.0069999999999999</c:v>
                </c:pt>
                <c:pt idx="259">
                  <c:v>-1.214</c:v>
                </c:pt>
                <c:pt idx="260">
                  <c:v>0.83299999999999996</c:v>
                </c:pt>
                <c:pt idx="261">
                  <c:v>-2.4430000000000001</c:v>
                </c:pt>
                <c:pt idx="262">
                  <c:v>-4.4050000000000002</c:v>
                </c:pt>
                <c:pt idx="263">
                  <c:v>-5.2510000000000003</c:v>
                </c:pt>
                <c:pt idx="264">
                  <c:v>-3.625</c:v>
                </c:pt>
                <c:pt idx="265">
                  <c:v>-1.218</c:v>
                </c:pt>
                <c:pt idx="266">
                  <c:v>-0.54600000000000004</c:v>
                </c:pt>
                <c:pt idx="267">
                  <c:v>-2.226</c:v>
                </c:pt>
                <c:pt idx="268">
                  <c:v>-1.599</c:v>
                </c:pt>
                <c:pt idx="269">
                  <c:v>3.01</c:v>
                </c:pt>
                <c:pt idx="270">
                  <c:v>3.1349999999999998</c:v>
                </c:pt>
                <c:pt idx="271">
                  <c:v>3.4950000000000001</c:v>
                </c:pt>
                <c:pt idx="272">
                  <c:v>-0.34</c:v>
                </c:pt>
                <c:pt idx="273">
                  <c:v>-3.82</c:v>
                </c:pt>
                <c:pt idx="274">
                  <c:v>-0.65900000000000003</c:v>
                </c:pt>
                <c:pt idx="275">
                  <c:v>-0.77700000000000002</c:v>
                </c:pt>
                <c:pt idx="276">
                  <c:v>-4.7779999999999996</c:v>
                </c:pt>
                <c:pt idx="277">
                  <c:v>-4.0620000000000003</c:v>
                </c:pt>
                <c:pt idx="278">
                  <c:v>0.374</c:v>
                </c:pt>
                <c:pt idx="279">
                  <c:v>0.52900000000000003</c:v>
                </c:pt>
                <c:pt idx="280">
                  <c:v>7.3999999999999996E-2</c:v>
                </c:pt>
                <c:pt idx="281">
                  <c:v>-0.93100000000000005</c:v>
                </c:pt>
                <c:pt idx="282">
                  <c:v>0.2</c:v>
                </c:pt>
                <c:pt idx="283">
                  <c:v>-0.13800000000000001</c:v>
                </c:pt>
                <c:pt idx="284">
                  <c:v>-1.3120000000000001</c:v>
                </c:pt>
                <c:pt idx="285">
                  <c:v>-1.534</c:v>
                </c:pt>
                <c:pt idx="286">
                  <c:v>0.10100000000000001</c:v>
                </c:pt>
                <c:pt idx="287">
                  <c:v>1.796</c:v>
                </c:pt>
                <c:pt idx="288">
                  <c:v>-0.19</c:v>
                </c:pt>
                <c:pt idx="289">
                  <c:v>6.4000000000000001E-2</c:v>
                </c:pt>
                <c:pt idx="290">
                  <c:v>-5.2809999999999997</c:v>
                </c:pt>
                <c:pt idx="291">
                  <c:v>-6.5350000000000001</c:v>
                </c:pt>
                <c:pt idx="292">
                  <c:v>-1.8580000000000001</c:v>
                </c:pt>
                <c:pt idx="293">
                  <c:v>-3.63</c:v>
                </c:pt>
                <c:pt idx="294">
                  <c:v>-4.9880000000000004</c:v>
                </c:pt>
                <c:pt idx="295">
                  <c:v>-2.8490000000000002</c:v>
                </c:pt>
                <c:pt idx="296">
                  <c:v>-1.8120000000000001</c:v>
                </c:pt>
                <c:pt idx="297">
                  <c:v>-1.863</c:v>
                </c:pt>
                <c:pt idx="298">
                  <c:v>-1.661</c:v>
                </c:pt>
                <c:pt idx="299">
                  <c:v>-7.77</c:v>
                </c:pt>
                <c:pt idx="300">
                  <c:v>-12.72</c:v>
                </c:pt>
                <c:pt idx="301">
                  <c:v>-14.67</c:v>
                </c:pt>
                <c:pt idx="302">
                  <c:v>-16.84</c:v>
                </c:pt>
                <c:pt idx="303">
                  <c:v>-17.04</c:v>
                </c:pt>
                <c:pt idx="304">
                  <c:v>-19.47</c:v>
                </c:pt>
                <c:pt idx="305">
                  <c:v>-16.97</c:v>
                </c:pt>
                <c:pt idx="306">
                  <c:v>-15.65</c:v>
                </c:pt>
                <c:pt idx="307">
                  <c:v>-10.4</c:v>
                </c:pt>
                <c:pt idx="308">
                  <c:v>-8.84</c:v>
                </c:pt>
                <c:pt idx="309">
                  <c:v>-11.67</c:v>
                </c:pt>
                <c:pt idx="310">
                  <c:v>-13.56</c:v>
                </c:pt>
                <c:pt idx="311">
                  <c:v>-4.758</c:v>
                </c:pt>
                <c:pt idx="312">
                  <c:v>-15.91</c:v>
                </c:pt>
                <c:pt idx="313">
                  <c:v>-16.27</c:v>
                </c:pt>
                <c:pt idx="314">
                  <c:v>-7.75</c:v>
                </c:pt>
                <c:pt idx="315">
                  <c:v>-3.0049999999999999</c:v>
                </c:pt>
                <c:pt idx="316">
                  <c:v>-2.2309999999999999</c:v>
                </c:pt>
                <c:pt idx="317">
                  <c:v>0.219</c:v>
                </c:pt>
                <c:pt idx="318">
                  <c:v>-0.02</c:v>
                </c:pt>
                <c:pt idx="319">
                  <c:v>0.154</c:v>
                </c:pt>
                <c:pt idx="320">
                  <c:v>0.41599999999999998</c:v>
                </c:pt>
                <c:pt idx="321">
                  <c:v>-1.6419999999999999</c:v>
                </c:pt>
                <c:pt idx="322">
                  <c:v>-11.24</c:v>
                </c:pt>
                <c:pt idx="323">
                  <c:v>-12.21</c:v>
                </c:pt>
                <c:pt idx="324">
                  <c:v>-6.173</c:v>
                </c:pt>
                <c:pt idx="325">
                  <c:v>-0.14699999999999999</c:v>
                </c:pt>
                <c:pt idx="326">
                  <c:v>-0.71499999999999997</c:v>
                </c:pt>
                <c:pt idx="327">
                  <c:v>0.37</c:v>
                </c:pt>
                <c:pt idx="328">
                  <c:v>-3.54</c:v>
                </c:pt>
                <c:pt idx="329">
                  <c:v>-3.298</c:v>
                </c:pt>
                <c:pt idx="330">
                  <c:v>-4.5720000000000001</c:v>
                </c:pt>
                <c:pt idx="331">
                  <c:v>-3.7440000000000002</c:v>
                </c:pt>
                <c:pt idx="332">
                  <c:v>1.718</c:v>
                </c:pt>
                <c:pt idx="333">
                  <c:v>-0.17499999999999999</c:v>
                </c:pt>
                <c:pt idx="334">
                  <c:v>-4.907</c:v>
                </c:pt>
                <c:pt idx="335">
                  <c:v>-8.26</c:v>
                </c:pt>
                <c:pt idx="336">
                  <c:v>-6.3280000000000003</c:v>
                </c:pt>
                <c:pt idx="337">
                  <c:v>-18.510000000000002</c:v>
                </c:pt>
                <c:pt idx="338">
                  <c:v>-25.76</c:v>
                </c:pt>
                <c:pt idx="339">
                  <c:v>-25.21</c:v>
                </c:pt>
                <c:pt idx="340">
                  <c:v>-33.299999999999997</c:v>
                </c:pt>
                <c:pt idx="341">
                  <c:v>-41.7</c:v>
                </c:pt>
                <c:pt idx="342">
                  <c:v>-30.7</c:v>
                </c:pt>
                <c:pt idx="343">
                  <c:v>-14.2</c:v>
                </c:pt>
                <c:pt idx="344">
                  <c:v>-7.8</c:v>
                </c:pt>
                <c:pt idx="345">
                  <c:v>-4.2</c:v>
                </c:pt>
                <c:pt idx="346">
                  <c:v>-6.4</c:v>
                </c:pt>
                <c:pt idx="347">
                  <c:v>-10.1</c:v>
                </c:pt>
                <c:pt idx="348">
                  <c:v>-12.6</c:v>
                </c:pt>
                <c:pt idx="349">
                  <c:v>-13.4</c:v>
                </c:pt>
                <c:pt idx="350">
                  <c:v>-10.8</c:v>
                </c:pt>
                <c:pt idx="351">
                  <c:v>-8.4</c:v>
                </c:pt>
                <c:pt idx="352">
                  <c:v>-8.3000000000000007</c:v>
                </c:pt>
                <c:pt idx="353">
                  <c:v>-7.9</c:v>
                </c:pt>
                <c:pt idx="354">
                  <c:v>-9.3000000000000007</c:v>
                </c:pt>
                <c:pt idx="355">
                  <c:v>-13.7</c:v>
                </c:pt>
                <c:pt idx="356">
                  <c:v>-21.1</c:v>
                </c:pt>
                <c:pt idx="357">
                  <c:v>-18.600000000000001</c:v>
                </c:pt>
                <c:pt idx="358">
                  <c:v>-21.5</c:v>
                </c:pt>
                <c:pt idx="359">
                  <c:v>-21.6</c:v>
                </c:pt>
                <c:pt idx="360">
                  <c:v>-15.5</c:v>
                </c:pt>
                <c:pt idx="361">
                  <c:v>-10.9</c:v>
                </c:pt>
                <c:pt idx="362">
                  <c:v>-9.6</c:v>
                </c:pt>
                <c:pt idx="363">
                  <c:v>-7.8</c:v>
                </c:pt>
                <c:pt idx="364">
                  <c:v>-6.1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737664"/>
        <c:axId val="234739584"/>
      </c:lineChart>
      <c:catAx>
        <c:axId val="234737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73958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47395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7376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Temperature -  3 metres</a:t>
            </a:r>
          </a:p>
        </c:rich>
      </c:tx>
      <c:layout>
        <c:manualLayout>
          <c:xMode val="edge"/>
          <c:yMode val="edge"/>
          <c:x val="0.1559020044543429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Data!$V$7:$V$371</c:f>
              <c:numCache>
                <c:formatCode>General</c:formatCode>
                <c:ptCount val="365"/>
                <c:pt idx="0">
                  <c:v>-4.7469999999999999</c:v>
                </c:pt>
                <c:pt idx="1">
                  <c:v>-6.915</c:v>
                </c:pt>
                <c:pt idx="2">
                  <c:v>-5.7050000000000001</c:v>
                </c:pt>
                <c:pt idx="3">
                  <c:v>-5.5570000000000004</c:v>
                </c:pt>
                <c:pt idx="4">
                  <c:v>-4.9580000000000002</c:v>
                </c:pt>
                <c:pt idx="5">
                  <c:v>-4.03</c:v>
                </c:pt>
                <c:pt idx="6">
                  <c:v>-5.3650000000000002</c:v>
                </c:pt>
                <c:pt idx="7">
                  <c:v>-0.16500000000000001</c:v>
                </c:pt>
                <c:pt idx="8">
                  <c:v>1.583</c:v>
                </c:pt>
                <c:pt idx="9">
                  <c:v>2.2149999999999999</c:v>
                </c:pt>
                <c:pt idx="10">
                  <c:v>0.28699999999999998</c:v>
                </c:pt>
                <c:pt idx="11">
                  <c:v>0.64700000000000002</c:v>
                </c:pt>
                <c:pt idx="12">
                  <c:v>-0.32700000000000001</c:v>
                </c:pt>
                <c:pt idx="13">
                  <c:v>6.5000000000000002E-2</c:v>
                </c:pt>
                <c:pt idx="14">
                  <c:v>1.5629999999999999</c:v>
                </c:pt>
                <c:pt idx="15">
                  <c:v>-2.9119999999999999</c:v>
                </c:pt>
                <c:pt idx="16">
                  <c:v>-4.907</c:v>
                </c:pt>
                <c:pt idx="17">
                  <c:v>-1.7230000000000001</c:v>
                </c:pt>
                <c:pt idx="18">
                  <c:v>5.4720000000000004</c:v>
                </c:pt>
                <c:pt idx="19">
                  <c:v>3.3220000000000001</c:v>
                </c:pt>
                <c:pt idx="20">
                  <c:v>1.135</c:v>
                </c:pt>
                <c:pt idx="21">
                  <c:v>1.8340000000000001</c:v>
                </c:pt>
                <c:pt idx="22">
                  <c:v>1.2649999999999999</c:v>
                </c:pt>
                <c:pt idx="23">
                  <c:v>4.5780000000000003</c:v>
                </c:pt>
                <c:pt idx="24">
                  <c:v>4.5179999999999998</c:v>
                </c:pt>
                <c:pt idx="25">
                  <c:v>1.617</c:v>
                </c:pt>
                <c:pt idx="26">
                  <c:v>3.806</c:v>
                </c:pt>
                <c:pt idx="27">
                  <c:v>1.498</c:v>
                </c:pt>
                <c:pt idx="28">
                  <c:v>1.4470000000000001</c:v>
                </c:pt>
                <c:pt idx="29">
                  <c:v>1.7390000000000001</c:v>
                </c:pt>
                <c:pt idx="30">
                  <c:v>3.6520000000000001</c:v>
                </c:pt>
                <c:pt idx="31">
                  <c:v>3.016</c:v>
                </c:pt>
                <c:pt idx="32">
                  <c:v>4.3339999999999996</c:v>
                </c:pt>
                <c:pt idx="33">
                  <c:v>0.505</c:v>
                </c:pt>
                <c:pt idx="34">
                  <c:v>7.06</c:v>
                </c:pt>
                <c:pt idx="35">
                  <c:v>12.79</c:v>
                </c:pt>
                <c:pt idx="36">
                  <c:v>4.2939999999999996</c:v>
                </c:pt>
                <c:pt idx="37">
                  <c:v>6.7279999999999998</c:v>
                </c:pt>
                <c:pt idx="38">
                  <c:v>-0.28299999999999997</c:v>
                </c:pt>
                <c:pt idx="39">
                  <c:v>3.1</c:v>
                </c:pt>
                <c:pt idx="40">
                  <c:v>-2.657</c:v>
                </c:pt>
                <c:pt idx="41">
                  <c:v>-4.1509999999999998</c:v>
                </c:pt>
                <c:pt idx="42">
                  <c:v>-12.44</c:v>
                </c:pt>
                <c:pt idx="43">
                  <c:v>-6.8170000000000002</c:v>
                </c:pt>
                <c:pt idx="44">
                  <c:v>-10.77</c:v>
                </c:pt>
                <c:pt idx="45">
                  <c:v>-2.4700000000000002</c:v>
                </c:pt>
                <c:pt idx="46">
                  <c:v>-3.0339999999999998</c:v>
                </c:pt>
                <c:pt idx="47">
                  <c:v>1.121</c:v>
                </c:pt>
                <c:pt idx="48">
                  <c:v>1.9890000000000001</c:v>
                </c:pt>
                <c:pt idx="49">
                  <c:v>4.08</c:v>
                </c:pt>
                <c:pt idx="50">
                  <c:v>8.02</c:v>
                </c:pt>
                <c:pt idx="51">
                  <c:v>1.9910000000000001</c:v>
                </c:pt>
                <c:pt idx="52">
                  <c:v>3.907</c:v>
                </c:pt>
                <c:pt idx="53">
                  <c:v>4.4779999999999998</c:v>
                </c:pt>
                <c:pt idx="54">
                  <c:v>4.0469999999999997</c:v>
                </c:pt>
                <c:pt idx="55">
                  <c:v>1.1359999999999999</c:v>
                </c:pt>
                <c:pt idx="56">
                  <c:v>-5.8529999999999998</c:v>
                </c:pt>
                <c:pt idx="57">
                  <c:v>-4.6849999999999996</c:v>
                </c:pt>
                <c:pt idx="58">
                  <c:v>-3.4780000000000002</c:v>
                </c:pt>
                <c:pt idx="59">
                  <c:v>-0.106</c:v>
                </c:pt>
                <c:pt idx="60">
                  <c:v>-0.54</c:v>
                </c:pt>
                <c:pt idx="61">
                  <c:v>3.5209999999999999</c:v>
                </c:pt>
                <c:pt idx="62">
                  <c:v>-4.7389999999999999</c:v>
                </c:pt>
                <c:pt idx="63">
                  <c:v>-9.32</c:v>
                </c:pt>
                <c:pt idx="64">
                  <c:v>-6.4379999999999997</c:v>
                </c:pt>
                <c:pt idx="65">
                  <c:v>-3.0379999999999998</c:v>
                </c:pt>
                <c:pt idx="66">
                  <c:v>-1.9850000000000001</c:v>
                </c:pt>
                <c:pt idx="67">
                  <c:v>3.5659999999999998</c:v>
                </c:pt>
                <c:pt idx="68">
                  <c:v>6.0209999999999999</c:v>
                </c:pt>
                <c:pt idx="69">
                  <c:v>7.79</c:v>
                </c:pt>
                <c:pt idx="70">
                  <c:v>2.0670000000000002</c:v>
                </c:pt>
                <c:pt idx="71">
                  <c:v>2.6379999999999999</c:v>
                </c:pt>
                <c:pt idx="72">
                  <c:v>7.74</c:v>
                </c:pt>
                <c:pt idx="73">
                  <c:v>3.1859999999999999</c:v>
                </c:pt>
                <c:pt idx="74">
                  <c:v>7.01</c:v>
                </c:pt>
                <c:pt idx="75">
                  <c:v>6.915</c:v>
                </c:pt>
                <c:pt idx="76">
                  <c:v>3.24</c:v>
                </c:pt>
                <c:pt idx="77">
                  <c:v>6.0220000000000002</c:v>
                </c:pt>
                <c:pt idx="78">
                  <c:v>5.3220000000000001</c:v>
                </c:pt>
                <c:pt idx="79">
                  <c:v>3.6520000000000001</c:v>
                </c:pt>
                <c:pt idx="80">
                  <c:v>4.2460000000000004</c:v>
                </c:pt>
                <c:pt idx="81">
                  <c:v>2.4940000000000002</c:v>
                </c:pt>
                <c:pt idx="82">
                  <c:v>2.5619999999999998</c:v>
                </c:pt>
                <c:pt idx="83">
                  <c:v>5.617</c:v>
                </c:pt>
                <c:pt idx="84">
                  <c:v>5.2649999999999997</c:v>
                </c:pt>
                <c:pt idx="85">
                  <c:v>10.1</c:v>
                </c:pt>
                <c:pt idx="86">
                  <c:v>10.72</c:v>
                </c:pt>
                <c:pt idx="87">
                  <c:v>11.17</c:v>
                </c:pt>
                <c:pt idx="88">
                  <c:v>13.9</c:v>
                </c:pt>
                <c:pt idx="89">
                  <c:v>12.33</c:v>
                </c:pt>
                <c:pt idx="90">
                  <c:v>5.5309999999999997</c:v>
                </c:pt>
                <c:pt idx="91">
                  <c:v>0.91700000000000004</c:v>
                </c:pt>
                <c:pt idx="92">
                  <c:v>10.87</c:v>
                </c:pt>
                <c:pt idx="93">
                  <c:v>5.4960000000000004</c:v>
                </c:pt>
                <c:pt idx="94">
                  <c:v>4.758</c:v>
                </c:pt>
                <c:pt idx="95">
                  <c:v>8.76</c:v>
                </c:pt>
                <c:pt idx="96">
                  <c:v>6.6470000000000002</c:v>
                </c:pt>
                <c:pt idx="97">
                  <c:v>1.3009999999999999</c:v>
                </c:pt>
                <c:pt idx="98">
                  <c:v>7.24</c:v>
                </c:pt>
                <c:pt idx="99">
                  <c:v>5.1829999999999998</c:v>
                </c:pt>
                <c:pt idx="100">
                  <c:v>7.09</c:v>
                </c:pt>
                <c:pt idx="101">
                  <c:v>5.266</c:v>
                </c:pt>
                <c:pt idx="102">
                  <c:v>3.7069999999999999</c:v>
                </c:pt>
                <c:pt idx="103">
                  <c:v>1.4810000000000001</c:v>
                </c:pt>
                <c:pt idx="104">
                  <c:v>5.3319999999999999</c:v>
                </c:pt>
                <c:pt idx="105">
                  <c:v>7.82</c:v>
                </c:pt>
                <c:pt idx="106">
                  <c:v>4.2069999999999999</c:v>
                </c:pt>
                <c:pt idx="107">
                  <c:v>8.4600000000000009</c:v>
                </c:pt>
                <c:pt idx="108">
                  <c:v>2.2709999999999999</c:v>
                </c:pt>
                <c:pt idx="109">
                  <c:v>7.87</c:v>
                </c:pt>
                <c:pt idx="110">
                  <c:v>9.33</c:v>
                </c:pt>
                <c:pt idx="111">
                  <c:v>12.02</c:v>
                </c:pt>
                <c:pt idx="112">
                  <c:v>13.12</c:v>
                </c:pt>
                <c:pt idx="113">
                  <c:v>7.56</c:v>
                </c:pt>
                <c:pt idx="114">
                  <c:v>12.97</c:v>
                </c:pt>
                <c:pt idx="115">
                  <c:v>6.734</c:v>
                </c:pt>
                <c:pt idx="116">
                  <c:v>10.67</c:v>
                </c:pt>
                <c:pt idx="117">
                  <c:v>9.8000000000000007</c:v>
                </c:pt>
                <c:pt idx="118">
                  <c:v>8.7799999999999994</c:v>
                </c:pt>
                <c:pt idx="119">
                  <c:v>6.01</c:v>
                </c:pt>
                <c:pt idx="120">
                  <c:v>10.62</c:v>
                </c:pt>
                <c:pt idx="121">
                  <c:v>9.4499999999999993</c:v>
                </c:pt>
                <c:pt idx="122">
                  <c:v>8.68</c:v>
                </c:pt>
                <c:pt idx="123">
                  <c:v>12.35</c:v>
                </c:pt>
                <c:pt idx="124">
                  <c:v>6.3440000000000003</c:v>
                </c:pt>
                <c:pt idx="125">
                  <c:v>12.55</c:v>
                </c:pt>
                <c:pt idx="126">
                  <c:v>12.84</c:v>
                </c:pt>
                <c:pt idx="127">
                  <c:v>13.57</c:v>
                </c:pt>
                <c:pt idx="128">
                  <c:v>15.23</c:v>
                </c:pt>
                <c:pt idx="129">
                  <c:v>12.59</c:v>
                </c:pt>
                <c:pt idx="130">
                  <c:v>4.556</c:v>
                </c:pt>
                <c:pt idx="131">
                  <c:v>7.85</c:v>
                </c:pt>
                <c:pt idx="132">
                  <c:v>16.64</c:v>
                </c:pt>
                <c:pt idx="133">
                  <c:v>13.97</c:v>
                </c:pt>
                <c:pt idx="134">
                  <c:v>16.170000000000002</c:v>
                </c:pt>
                <c:pt idx="135">
                  <c:v>18.850000000000001</c:v>
                </c:pt>
                <c:pt idx="136">
                  <c:v>12.24</c:v>
                </c:pt>
                <c:pt idx="137">
                  <c:v>8.6999999999999993</c:v>
                </c:pt>
                <c:pt idx="138">
                  <c:v>11.22</c:v>
                </c:pt>
                <c:pt idx="139">
                  <c:v>8.31</c:v>
                </c:pt>
                <c:pt idx="140">
                  <c:v>13.1</c:v>
                </c:pt>
                <c:pt idx="141">
                  <c:v>15.83</c:v>
                </c:pt>
                <c:pt idx="142">
                  <c:v>17.420000000000002</c:v>
                </c:pt>
                <c:pt idx="143">
                  <c:v>16.95</c:v>
                </c:pt>
                <c:pt idx="144">
                  <c:v>15.45</c:v>
                </c:pt>
                <c:pt idx="145">
                  <c:v>16.57</c:v>
                </c:pt>
                <c:pt idx="146">
                  <c:v>20.48</c:v>
                </c:pt>
                <c:pt idx="147">
                  <c:v>24.03</c:v>
                </c:pt>
                <c:pt idx="148">
                  <c:v>23.63</c:v>
                </c:pt>
                <c:pt idx="149">
                  <c:v>20.87</c:v>
                </c:pt>
                <c:pt idx="150">
                  <c:v>18.75</c:v>
                </c:pt>
                <c:pt idx="151">
                  <c:v>21.86</c:v>
                </c:pt>
                <c:pt idx="152">
                  <c:v>19.36</c:v>
                </c:pt>
                <c:pt idx="153">
                  <c:v>21.57</c:v>
                </c:pt>
                <c:pt idx="154">
                  <c:v>18.57</c:v>
                </c:pt>
                <c:pt idx="155">
                  <c:v>5.7930000000000001</c:v>
                </c:pt>
                <c:pt idx="156">
                  <c:v>8.11</c:v>
                </c:pt>
                <c:pt idx="157">
                  <c:v>18.940000000000001</c:v>
                </c:pt>
                <c:pt idx="158">
                  <c:v>19.2</c:v>
                </c:pt>
                <c:pt idx="159">
                  <c:v>19.809999999999999</c:v>
                </c:pt>
                <c:pt idx="160">
                  <c:v>19.37</c:v>
                </c:pt>
                <c:pt idx="161">
                  <c:v>12.01</c:v>
                </c:pt>
                <c:pt idx="162">
                  <c:v>14.84</c:v>
                </c:pt>
                <c:pt idx="163">
                  <c:v>12.12</c:v>
                </c:pt>
                <c:pt idx="164">
                  <c:v>10.32</c:v>
                </c:pt>
                <c:pt idx="165">
                  <c:v>14.71</c:v>
                </c:pt>
                <c:pt idx="166">
                  <c:v>16.37</c:v>
                </c:pt>
                <c:pt idx="167">
                  <c:v>12.53</c:v>
                </c:pt>
                <c:pt idx="168">
                  <c:v>13.51</c:v>
                </c:pt>
                <c:pt idx="169">
                  <c:v>11.23</c:v>
                </c:pt>
                <c:pt idx="170">
                  <c:v>9.82</c:v>
                </c:pt>
                <c:pt idx="171">
                  <c:v>17.600000000000001</c:v>
                </c:pt>
                <c:pt idx="172">
                  <c:v>20.14</c:v>
                </c:pt>
                <c:pt idx="173">
                  <c:v>20.83</c:v>
                </c:pt>
                <c:pt idx="174">
                  <c:v>20.13</c:v>
                </c:pt>
                <c:pt idx="175">
                  <c:v>19.170000000000002</c:v>
                </c:pt>
                <c:pt idx="176">
                  <c:v>14.7</c:v>
                </c:pt>
                <c:pt idx="177">
                  <c:v>18.55</c:v>
                </c:pt>
                <c:pt idx="178">
                  <c:v>22.42</c:v>
                </c:pt>
                <c:pt idx="179">
                  <c:v>23.67</c:v>
                </c:pt>
                <c:pt idx="180">
                  <c:v>24.49</c:v>
                </c:pt>
                <c:pt idx="181">
                  <c:v>24.31</c:v>
                </c:pt>
                <c:pt idx="182">
                  <c:v>15.77</c:v>
                </c:pt>
                <c:pt idx="183">
                  <c:v>16.88</c:v>
                </c:pt>
                <c:pt idx="184">
                  <c:v>13.02</c:v>
                </c:pt>
                <c:pt idx="185">
                  <c:v>17.309999999999999</c:v>
                </c:pt>
                <c:pt idx="186">
                  <c:v>16.97</c:v>
                </c:pt>
                <c:pt idx="187">
                  <c:v>17.670000000000002</c:v>
                </c:pt>
                <c:pt idx="188">
                  <c:v>20.11</c:v>
                </c:pt>
                <c:pt idx="189">
                  <c:v>21.58</c:v>
                </c:pt>
                <c:pt idx="190">
                  <c:v>14.99</c:v>
                </c:pt>
                <c:pt idx="191">
                  <c:v>15.61</c:v>
                </c:pt>
                <c:pt idx="192">
                  <c:v>17.82</c:v>
                </c:pt>
                <c:pt idx="193">
                  <c:v>19.350000000000001</c:v>
                </c:pt>
                <c:pt idx="194">
                  <c:v>17.899999999999999</c:v>
                </c:pt>
                <c:pt idx="195">
                  <c:v>20.13</c:v>
                </c:pt>
                <c:pt idx="196">
                  <c:v>21.78</c:v>
                </c:pt>
                <c:pt idx="197">
                  <c:v>22.67</c:v>
                </c:pt>
                <c:pt idx="198">
                  <c:v>22.1</c:v>
                </c:pt>
                <c:pt idx="199">
                  <c:v>24.83</c:v>
                </c:pt>
                <c:pt idx="200">
                  <c:v>21.96</c:v>
                </c:pt>
                <c:pt idx="201">
                  <c:v>21.41</c:v>
                </c:pt>
                <c:pt idx="202">
                  <c:v>22.65</c:v>
                </c:pt>
                <c:pt idx="203">
                  <c:v>15.61</c:v>
                </c:pt>
                <c:pt idx="204">
                  <c:v>16.53</c:v>
                </c:pt>
                <c:pt idx="205">
                  <c:v>14.97</c:v>
                </c:pt>
                <c:pt idx="206">
                  <c:v>15.2</c:v>
                </c:pt>
                <c:pt idx="207">
                  <c:v>14.13</c:v>
                </c:pt>
                <c:pt idx="208">
                  <c:v>17.510000000000002</c:v>
                </c:pt>
                <c:pt idx="209">
                  <c:v>8.4600000000000009</c:v>
                </c:pt>
                <c:pt idx="210">
                  <c:v>16.66</c:v>
                </c:pt>
                <c:pt idx="211">
                  <c:v>17.07</c:v>
                </c:pt>
                <c:pt idx="212">
                  <c:v>15.17</c:v>
                </c:pt>
                <c:pt idx="213">
                  <c:v>16.02</c:v>
                </c:pt>
                <c:pt idx="214">
                  <c:v>21.05</c:v>
                </c:pt>
                <c:pt idx="215">
                  <c:v>25.2</c:v>
                </c:pt>
                <c:pt idx="216">
                  <c:v>15.18</c:v>
                </c:pt>
                <c:pt idx="217">
                  <c:v>7.62</c:v>
                </c:pt>
                <c:pt idx="218">
                  <c:v>11.03</c:v>
                </c:pt>
                <c:pt idx="219">
                  <c:v>9.94</c:v>
                </c:pt>
                <c:pt idx="220">
                  <c:v>16.55</c:v>
                </c:pt>
                <c:pt idx="221">
                  <c:v>16.649999999999999</c:v>
                </c:pt>
                <c:pt idx="222">
                  <c:v>13.8</c:v>
                </c:pt>
                <c:pt idx="223">
                  <c:v>5.9169999999999998</c:v>
                </c:pt>
                <c:pt idx="224">
                  <c:v>15.58</c:v>
                </c:pt>
                <c:pt idx="225">
                  <c:v>11.64</c:v>
                </c:pt>
                <c:pt idx="226">
                  <c:v>11.19</c:v>
                </c:pt>
                <c:pt idx="227">
                  <c:v>11.69</c:v>
                </c:pt>
                <c:pt idx="228">
                  <c:v>7.27</c:v>
                </c:pt>
                <c:pt idx="229">
                  <c:v>9.91</c:v>
                </c:pt>
                <c:pt idx="230">
                  <c:v>14.83</c:v>
                </c:pt>
                <c:pt idx="231">
                  <c:v>18.920000000000002</c:v>
                </c:pt>
                <c:pt idx="232">
                  <c:v>20.55</c:v>
                </c:pt>
                <c:pt idx="233">
                  <c:v>20.07</c:v>
                </c:pt>
                <c:pt idx="234">
                  <c:v>18.2</c:v>
                </c:pt>
                <c:pt idx="235">
                  <c:v>12.83</c:v>
                </c:pt>
                <c:pt idx="236">
                  <c:v>16.079999999999998</c:v>
                </c:pt>
                <c:pt idx="237">
                  <c:v>13.93</c:v>
                </c:pt>
                <c:pt idx="238">
                  <c:v>16.41</c:v>
                </c:pt>
                <c:pt idx="239">
                  <c:v>17.88</c:v>
                </c:pt>
                <c:pt idx="240">
                  <c:v>10.87</c:v>
                </c:pt>
                <c:pt idx="241">
                  <c:v>14.99</c:v>
                </c:pt>
                <c:pt idx="242">
                  <c:v>17.489999999999998</c:v>
                </c:pt>
                <c:pt idx="243">
                  <c:v>19.62</c:v>
                </c:pt>
                <c:pt idx="244">
                  <c:v>21.23</c:v>
                </c:pt>
                <c:pt idx="245">
                  <c:v>22.98</c:v>
                </c:pt>
                <c:pt idx="246">
                  <c:v>27.78</c:v>
                </c:pt>
                <c:pt idx="247">
                  <c:v>13.1</c:v>
                </c:pt>
                <c:pt idx="248">
                  <c:v>15.9</c:v>
                </c:pt>
                <c:pt idx="249">
                  <c:v>19.190000000000001</c:v>
                </c:pt>
                <c:pt idx="250">
                  <c:v>19.5</c:v>
                </c:pt>
                <c:pt idx="251">
                  <c:v>20.23</c:v>
                </c:pt>
                <c:pt idx="252">
                  <c:v>20.57</c:v>
                </c:pt>
                <c:pt idx="253">
                  <c:v>18.989999999999998</c:v>
                </c:pt>
                <c:pt idx="254">
                  <c:v>17.989999999999998</c:v>
                </c:pt>
                <c:pt idx="255">
                  <c:v>19.21</c:v>
                </c:pt>
                <c:pt idx="256">
                  <c:v>19.190000000000001</c:v>
                </c:pt>
                <c:pt idx="257">
                  <c:v>17.47</c:v>
                </c:pt>
                <c:pt idx="258">
                  <c:v>16.84</c:v>
                </c:pt>
                <c:pt idx="259">
                  <c:v>18.04</c:v>
                </c:pt>
                <c:pt idx="260">
                  <c:v>14.37</c:v>
                </c:pt>
                <c:pt idx="261">
                  <c:v>13.07</c:v>
                </c:pt>
                <c:pt idx="262">
                  <c:v>13.28</c:v>
                </c:pt>
                <c:pt idx="263">
                  <c:v>14.52</c:v>
                </c:pt>
                <c:pt idx="264">
                  <c:v>16.11</c:v>
                </c:pt>
                <c:pt idx="265">
                  <c:v>19.48</c:v>
                </c:pt>
                <c:pt idx="266">
                  <c:v>19.23</c:v>
                </c:pt>
                <c:pt idx="267">
                  <c:v>18.66</c:v>
                </c:pt>
                <c:pt idx="268">
                  <c:v>13.91</c:v>
                </c:pt>
                <c:pt idx="269">
                  <c:v>11.68</c:v>
                </c:pt>
                <c:pt idx="270">
                  <c:v>11.29</c:v>
                </c:pt>
                <c:pt idx="271">
                  <c:v>11.58</c:v>
                </c:pt>
                <c:pt idx="272">
                  <c:v>8.2100000000000009</c:v>
                </c:pt>
                <c:pt idx="273">
                  <c:v>5.0830000000000002</c:v>
                </c:pt>
                <c:pt idx="274">
                  <c:v>5.3</c:v>
                </c:pt>
                <c:pt idx="275">
                  <c:v>3.6059999999999999</c:v>
                </c:pt>
                <c:pt idx="276">
                  <c:v>5.8789999999999996</c:v>
                </c:pt>
                <c:pt idx="277">
                  <c:v>5.96</c:v>
                </c:pt>
                <c:pt idx="278">
                  <c:v>6.57</c:v>
                </c:pt>
                <c:pt idx="279">
                  <c:v>6.7389999999999999</c:v>
                </c:pt>
                <c:pt idx="280">
                  <c:v>5.9720000000000004</c:v>
                </c:pt>
                <c:pt idx="281">
                  <c:v>3.9910000000000001</c:v>
                </c:pt>
                <c:pt idx="282">
                  <c:v>8.52</c:v>
                </c:pt>
                <c:pt idx="283">
                  <c:v>2.2730000000000001</c:v>
                </c:pt>
                <c:pt idx="284">
                  <c:v>3.8650000000000002</c:v>
                </c:pt>
                <c:pt idx="285">
                  <c:v>0.39500000000000002</c:v>
                </c:pt>
                <c:pt idx="286">
                  <c:v>6.1970000000000001</c:v>
                </c:pt>
                <c:pt idx="287">
                  <c:v>9.1199999999999992</c:v>
                </c:pt>
                <c:pt idx="288">
                  <c:v>5.27</c:v>
                </c:pt>
                <c:pt idx="289">
                  <c:v>3.2909999999999999</c:v>
                </c:pt>
                <c:pt idx="290">
                  <c:v>2.8929999999999998</c:v>
                </c:pt>
                <c:pt idx="291">
                  <c:v>5.7720000000000002</c:v>
                </c:pt>
                <c:pt idx="292">
                  <c:v>4.2039999999999997</c:v>
                </c:pt>
                <c:pt idx="293">
                  <c:v>2.4620000000000002</c:v>
                </c:pt>
                <c:pt idx="294">
                  <c:v>3.25</c:v>
                </c:pt>
                <c:pt idx="295">
                  <c:v>1.2190000000000001</c:v>
                </c:pt>
                <c:pt idx="296">
                  <c:v>1.363</c:v>
                </c:pt>
                <c:pt idx="297">
                  <c:v>0.754</c:v>
                </c:pt>
                <c:pt idx="298">
                  <c:v>4.05</c:v>
                </c:pt>
                <c:pt idx="299">
                  <c:v>0.52800000000000002</c:v>
                </c:pt>
                <c:pt idx="300">
                  <c:v>0.68500000000000005</c:v>
                </c:pt>
                <c:pt idx="301">
                  <c:v>-1.7000000000000001E-2</c:v>
                </c:pt>
                <c:pt idx="302">
                  <c:v>-3.7679999999999998</c:v>
                </c:pt>
                <c:pt idx="303">
                  <c:v>-2.2869999999999999</c:v>
                </c:pt>
                <c:pt idx="304">
                  <c:v>-3.7549999999999999</c:v>
                </c:pt>
                <c:pt idx="305">
                  <c:v>-2.11</c:v>
                </c:pt>
                <c:pt idx="306">
                  <c:v>-1.208</c:v>
                </c:pt>
                <c:pt idx="307">
                  <c:v>-2.5760000000000001</c:v>
                </c:pt>
                <c:pt idx="308">
                  <c:v>-3.3359999999999999</c:v>
                </c:pt>
                <c:pt idx="309">
                  <c:v>-4.4340000000000002</c:v>
                </c:pt>
                <c:pt idx="310">
                  <c:v>-4.0060000000000002</c:v>
                </c:pt>
                <c:pt idx="311">
                  <c:v>4.4980000000000002</c:v>
                </c:pt>
                <c:pt idx="312">
                  <c:v>-4.3239999999999998</c:v>
                </c:pt>
                <c:pt idx="313">
                  <c:v>-7.29</c:v>
                </c:pt>
                <c:pt idx="314">
                  <c:v>1.8240000000000001</c:v>
                </c:pt>
                <c:pt idx="315">
                  <c:v>1.2050000000000001</c:v>
                </c:pt>
                <c:pt idx="316">
                  <c:v>0.11</c:v>
                </c:pt>
                <c:pt idx="317">
                  <c:v>3.0960000000000001</c:v>
                </c:pt>
                <c:pt idx="318">
                  <c:v>6.2649999999999997</c:v>
                </c:pt>
                <c:pt idx="319">
                  <c:v>5.1440000000000001</c:v>
                </c:pt>
                <c:pt idx="320">
                  <c:v>5.6619999999999999</c:v>
                </c:pt>
                <c:pt idx="321">
                  <c:v>5.4210000000000003</c:v>
                </c:pt>
                <c:pt idx="322">
                  <c:v>2.2429999999999999</c:v>
                </c:pt>
                <c:pt idx="323">
                  <c:v>7.57</c:v>
                </c:pt>
                <c:pt idx="324">
                  <c:v>4.5069999999999997</c:v>
                </c:pt>
                <c:pt idx="325">
                  <c:v>2.1070000000000002</c:v>
                </c:pt>
                <c:pt idx="326">
                  <c:v>3.302</c:v>
                </c:pt>
                <c:pt idx="327">
                  <c:v>5.2789999999999999</c:v>
                </c:pt>
                <c:pt idx="328">
                  <c:v>2.4649999999999999</c:v>
                </c:pt>
                <c:pt idx="329">
                  <c:v>-0.82</c:v>
                </c:pt>
                <c:pt idx="330">
                  <c:v>-2.3250000000000002</c:v>
                </c:pt>
                <c:pt idx="331">
                  <c:v>3.944</c:v>
                </c:pt>
                <c:pt idx="332">
                  <c:v>5.7770000000000001</c:v>
                </c:pt>
                <c:pt idx="333">
                  <c:v>2.0070000000000001</c:v>
                </c:pt>
                <c:pt idx="334">
                  <c:v>-0.501</c:v>
                </c:pt>
                <c:pt idx="335">
                  <c:v>-4.1900000000000004</c:v>
                </c:pt>
                <c:pt idx="336">
                  <c:v>-3.895</c:v>
                </c:pt>
                <c:pt idx="337">
                  <c:v>-3.9089999999999998</c:v>
                </c:pt>
                <c:pt idx="338">
                  <c:v>-9.9</c:v>
                </c:pt>
                <c:pt idx="339">
                  <c:v>-8.4</c:v>
                </c:pt>
                <c:pt idx="340">
                  <c:v>-9.4700000000000006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Data!$AJ$7:$AJ$371</c:f>
              <c:numCache>
                <c:formatCode>General</c:formatCode>
                <c:ptCount val="365"/>
                <c:pt idx="0">
                  <c:v>-21.16</c:v>
                </c:pt>
                <c:pt idx="1">
                  <c:v>-22.16</c:v>
                </c:pt>
                <c:pt idx="2">
                  <c:v>-22.65</c:v>
                </c:pt>
                <c:pt idx="3">
                  <c:v>-21.15</c:v>
                </c:pt>
                <c:pt idx="4">
                  <c:v>-22.99</c:v>
                </c:pt>
                <c:pt idx="5">
                  <c:v>-22.23</c:v>
                </c:pt>
                <c:pt idx="6">
                  <c:v>-25.12</c:v>
                </c:pt>
                <c:pt idx="7">
                  <c:v>-8.42</c:v>
                </c:pt>
                <c:pt idx="8">
                  <c:v>-6.859</c:v>
                </c:pt>
                <c:pt idx="9">
                  <c:v>-4.9050000000000002</c:v>
                </c:pt>
                <c:pt idx="10">
                  <c:v>-7.89</c:v>
                </c:pt>
                <c:pt idx="11">
                  <c:v>-9.59</c:v>
                </c:pt>
                <c:pt idx="12">
                  <c:v>-3.5550000000000002</c:v>
                </c:pt>
                <c:pt idx="13">
                  <c:v>-8.15</c:v>
                </c:pt>
                <c:pt idx="14">
                  <c:v>-6.8289999999999997</c:v>
                </c:pt>
                <c:pt idx="15">
                  <c:v>-7.02</c:v>
                </c:pt>
                <c:pt idx="16">
                  <c:v>-8.39</c:v>
                </c:pt>
                <c:pt idx="17">
                  <c:v>-6.7190000000000003</c:v>
                </c:pt>
                <c:pt idx="18">
                  <c:v>-14.01</c:v>
                </c:pt>
                <c:pt idx="19">
                  <c:v>-15.08</c:v>
                </c:pt>
                <c:pt idx="20">
                  <c:v>-17.46</c:v>
                </c:pt>
                <c:pt idx="21">
                  <c:v>-18.559999999999999</c:v>
                </c:pt>
                <c:pt idx="22">
                  <c:v>-19.77</c:v>
                </c:pt>
                <c:pt idx="23">
                  <c:v>-16.010000000000002</c:v>
                </c:pt>
                <c:pt idx="24">
                  <c:v>-9.36</c:v>
                </c:pt>
                <c:pt idx="25">
                  <c:v>-7.08</c:v>
                </c:pt>
                <c:pt idx="26">
                  <c:v>-14.06</c:v>
                </c:pt>
                <c:pt idx="27">
                  <c:v>-16.55</c:v>
                </c:pt>
                <c:pt idx="28">
                  <c:v>-1.631</c:v>
                </c:pt>
                <c:pt idx="29">
                  <c:v>-6.125</c:v>
                </c:pt>
                <c:pt idx="30">
                  <c:v>-0.54</c:v>
                </c:pt>
                <c:pt idx="31">
                  <c:v>-1.4790000000000001</c:v>
                </c:pt>
                <c:pt idx="32">
                  <c:v>-6.8419999999999996</c:v>
                </c:pt>
                <c:pt idx="33">
                  <c:v>-8.65</c:v>
                </c:pt>
                <c:pt idx="34">
                  <c:v>-12.29</c:v>
                </c:pt>
                <c:pt idx="35">
                  <c:v>-7.61</c:v>
                </c:pt>
                <c:pt idx="36">
                  <c:v>-1.8320000000000001</c:v>
                </c:pt>
                <c:pt idx="37">
                  <c:v>-11.47</c:v>
                </c:pt>
                <c:pt idx="38">
                  <c:v>-12.33</c:v>
                </c:pt>
                <c:pt idx="39">
                  <c:v>-14.4</c:v>
                </c:pt>
                <c:pt idx="40">
                  <c:v>-15.32</c:v>
                </c:pt>
                <c:pt idx="41">
                  <c:v>-19.59</c:v>
                </c:pt>
                <c:pt idx="42">
                  <c:v>-20.82</c:v>
                </c:pt>
                <c:pt idx="43">
                  <c:v>-28.8</c:v>
                </c:pt>
                <c:pt idx="44">
                  <c:v>-29.16</c:v>
                </c:pt>
                <c:pt idx="45">
                  <c:v>-14.47</c:v>
                </c:pt>
                <c:pt idx="46">
                  <c:v>-8.06</c:v>
                </c:pt>
                <c:pt idx="47">
                  <c:v>-3.7810000000000001</c:v>
                </c:pt>
                <c:pt idx="48">
                  <c:v>-4.5469999999999997</c:v>
                </c:pt>
                <c:pt idx="49">
                  <c:v>-2.0640000000000001</c:v>
                </c:pt>
                <c:pt idx="50">
                  <c:v>-7.1999999999999995E-2</c:v>
                </c:pt>
                <c:pt idx="51">
                  <c:v>-7.86</c:v>
                </c:pt>
                <c:pt idx="52">
                  <c:v>-11.91</c:v>
                </c:pt>
                <c:pt idx="53">
                  <c:v>-12.06</c:v>
                </c:pt>
                <c:pt idx="54">
                  <c:v>-2.2309999999999999</c:v>
                </c:pt>
                <c:pt idx="55">
                  <c:v>-12.45</c:v>
                </c:pt>
                <c:pt idx="56">
                  <c:v>-20.420000000000002</c:v>
                </c:pt>
                <c:pt idx="57">
                  <c:v>-25.89</c:v>
                </c:pt>
                <c:pt idx="58">
                  <c:v>-26.25</c:v>
                </c:pt>
                <c:pt idx="59">
                  <c:v>-27.08</c:v>
                </c:pt>
                <c:pt idx="60">
                  <c:v>-24.13</c:v>
                </c:pt>
                <c:pt idx="61">
                  <c:v>-20.03</c:v>
                </c:pt>
                <c:pt idx="62">
                  <c:v>-15.12</c:v>
                </c:pt>
                <c:pt idx="63">
                  <c:v>-25.32</c:v>
                </c:pt>
                <c:pt idx="64">
                  <c:v>-28.18</c:v>
                </c:pt>
                <c:pt idx="65">
                  <c:v>-23.28</c:v>
                </c:pt>
                <c:pt idx="66">
                  <c:v>-10.01</c:v>
                </c:pt>
                <c:pt idx="67">
                  <c:v>-2.52</c:v>
                </c:pt>
                <c:pt idx="68">
                  <c:v>-1.3160000000000001</c:v>
                </c:pt>
                <c:pt idx="69">
                  <c:v>-0.47099999999999997</c:v>
                </c:pt>
                <c:pt idx="70">
                  <c:v>-10.34</c:v>
                </c:pt>
                <c:pt idx="71">
                  <c:v>-11.07</c:v>
                </c:pt>
                <c:pt idx="72">
                  <c:v>-2.653</c:v>
                </c:pt>
                <c:pt idx="73">
                  <c:v>-5.8879999999999999</c:v>
                </c:pt>
                <c:pt idx="74">
                  <c:v>-9.93</c:v>
                </c:pt>
                <c:pt idx="75">
                  <c:v>-7.28</c:v>
                </c:pt>
                <c:pt idx="76">
                  <c:v>-2.4420000000000002</c:v>
                </c:pt>
                <c:pt idx="77">
                  <c:v>-4.149</c:v>
                </c:pt>
                <c:pt idx="78">
                  <c:v>-4.24</c:v>
                </c:pt>
                <c:pt idx="79">
                  <c:v>-7.72</c:v>
                </c:pt>
                <c:pt idx="80">
                  <c:v>-9.66</c:v>
                </c:pt>
                <c:pt idx="81">
                  <c:v>-6.2279999999999998</c:v>
                </c:pt>
                <c:pt idx="82">
                  <c:v>-8.06</c:v>
                </c:pt>
                <c:pt idx="83">
                  <c:v>-18</c:v>
                </c:pt>
                <c:pt idx="84">
                  <c:v>-17.97</c:v>
                </c:pt>
                <c:pt idx="85">
                  <c:v>-15.04</c:v>
                </c:pt>
                <c:pt idx="86">
                  <c:v>-12.63</c:v>
                </c:pt>
                <c:pt idx="87">
                  <c:v>-9.6</c:v>
                </c:pt>
                <c:pt idx="88">
                  <c:v>-7.21</c:v>
                </c:pt>
                <c:pt idx="89">
                  <c:v>-8.4600000000000009</c:v>
                </c:pt>
                <c:pt idx="90">
                  <c:v>-3.2549999999999999</c:v>
                </c:pt>
                <c:pt idx="91">
                  <c:v>-5.4960000000000004</c:v>
                </c:pt>
                <c:pt idx="92">
                  <c:v>-2.081</c:v>
                </c:pt>
                <c:pt idx="93">
                  <c:v>-8.75</c:v>
                </c:pt>
                <c:pt idx="94">
                  <c:v>-9.42</c:v>
                </c:pt>
                <c:pt idx="95">
                  <c:v>-6.0279999999999996</c:v>
                </c:pt>
                <c:pt idx="96">
                  <c:v>-3.2160000000000002</c:v>
                </c:pt>
                <c:pt idx="97">
                  <c:v>-4.3639999999999999</c:v>
                </c:pt>
                <c:pt idx="98">
                  <c:v>-4.2990000000000004</c:v>
                </c:pt>
                <c:pt idx="99">
                  <c:v>-9.4499999999999993</c:v>
                </c:pt>
                <c:pt idx="100">
                  <c:v>-13.38</c:v>
                </c:pt>
                <c:pt idx="101">
                  <c:v>-14.5</c:v>
                </c:pt>
                <c:pt idx="102">
                  <c:v>-3.6589999999999998</c:v>
                </c:pt>
                <c:pt idx="103">
                  <c:v>-4.7380000000000004</c:v>
                </c:pt>
                <c:pt idx="104">
                  <c:v>-12.17</c:v>
                </c:pt>
                <c:pt idx="105">
                  <c:v>-15.55</c:v>
                </c:pt>
                <c:pt idx="106">
                  <c:v>-6.2789999999999999</c:v>
                </c:pt>
                <c:pt idx="107">
                  <c:v>-5.7220000000000004</c:v>
                </c:pt>
                <c:pt idx="108">
                  <c:v>-7.02</c:v>
                </c:pt>
                <c:pt idx="109">
                  <c:v>-8.8699999999999992</c:v>
                </c:pt>
                <c:pt idx="110">
                  <c:v>-10.84</c:v>
                </c:pt>
                <c:pt idx="111">
                  <c:v>-8.68</c:v>
                </c:pt>
                <c:pt idx="112">
                  <c:v>-8.25</c:v>
                </c:pt>
                <c:pt idx="113">
                  <c:v>-4.1630000000000003</c:v>
                </c:pt>
                <c:pt idx="114">
                  <c:v>-6.7809999999999997</c:v>
                </c:pt>
                <c:pt idx="115">
                  <c:v>-4.9279999999999999</c:v>
                </c:pt>
                <c:pt idx="116">
                  <c:v>-1.4239999999999999</c:v>
                </c:pt>
                <c:pt idx="117">
                  <c:v>-3.1480000000000001</c:v>
                </c:pt>
                <c:pt idx="118">
                  <c:v>-2.653</c:v>
                </c:pt>
                <c:pt idx="119">
                  <c:v>-2.9340000000000002</c:v>
                </c:pt>
                <c:pt idx="120">
                  <c:v>-3.42</c:v>
                </c:pt>
                <c:pt idx="121">
                  <c:v>-2.1829999999999998</c:v>
                </c:pt>
                <c:pt idx="122">
                  <c:v>-2.7040000000000002</c:v>
                </c:pt>
                <c:pt idx="123">
                  <c:v>-4.8540000000000001</c:v>
                </c:pt>
                <c:pt idx="124">
                  <c:v>-3.5129999999999999</c:v>
                </c:pt>
                <c:pt idx="125">
                  <c:v>-2.419</c:v>
                </c:pt>
                <c:pt idx="126">
                  <c:v>-2.1179999999999999</c:v>
                </c:pt>
                <c:pt idx="127">
                  <c:v>-2.528</c:v>
                </c:pt>
                <c:pt idx="128">
                  <c:v>-1.3420000000000001</c:v>
                </c:pt>
                <c:pt idx="129">
                  <c:v>-0.67900000000000005</c:v>
                </c:pt>
                <c:pt idx="130">
                  <c:v>1.7000000000000001E-2</c:v>
                </c:pt>
                <c:pt idx="131">
                  <c:v>-1.4630000000000001</c:v>
                </c:pt>
                <c:pt idx="132">
                  <c:v>-4.3239999999999998</c:v>
                </c:pt>
                <c:pt idx="133">
                  <c:v>-2.827</c:v>
                </c:pt>
                <c:pt idx="134">
                  <c:v>-1.647</c:v>
                </c:pt>
                <c:pt idx="135">
                  <c:v>-2.5089999999999999</c:v>
                </c:pt>
                <c:pt idx="136">
                  <c:v>0.33</c:v>
                </c:pt>
                <c:pt idx="137">
                  <c:v>-3.1840000000000002</c:v>
                </c:pt>
                <c:pt idx="138">
                  <c:v>-6.0579999999999998</c:v>
                </c:pt>
                <c:pt idx="139">
                  <c:v>-4.26</c:v>
                </c:pt>
                <c:pt idx="140">
                  <c:v>-5.8170000000000002</c:v>
                </c:pt>
                <c:pt idx="141">
                  <c:v>-5.1150000000000002</c:v>
                </c:pt>
                <c:pt idx="142">
                  <c:v>-3.4769999999999999</c:v>
                </c:pt>
                <c:pt idx="143">
                  <c:v>-2.1440000000000001</c:v>
                </c:pt>
                <c:pt idx="144">
                  <c:v>-1.728</c:v>
                </c:pt>
                <c:pt idx="145">
                  <c:v>-3.7450000000000001</c:v>
                </c:pt>
                <c:pt idx="146">
                  <c:v>-2.456</c:v>
                </c:pt>
                <c:pt idx="147">
                  <c:v>-0.99399999999999999</c:v>
                </c:pt>
                <c:pt idx="148">
                  <c:v>0.60399999999999998</c:v>
                </c:pt>
                <c:pt idx="149">
                  <c:v>1.056</c:v>
                </c:pt>
                <c:pt idx="150">
                  <c:v>-0.88</c:v>
                </c:pt>
                <c:pt idx="151">
                  <c:v>1.0580000000000001</c:v>
                </c:pt>
                <c:pt idx="152">
                  <c:v>2.1080000000000001</c:v>
                </c:pt>
                <c:pt idx="153">
                  <c:v>0.94899999999999995</c:v>
                </c:pt>
                <c:pt idx="154">
                  <c:v>2.8340000000000001</c:v>
                </c:pt>
                <c:pt idx="155">
                  <c:v>2.0750000000000002</c:v>
                </c:pt>
                <c:pt idx="156">
                  <c:v>-5.5E-2</c:v>
                </c:pt>
                <c:pt idx="157">
                  <c:v>-0.39800000000000002</c:v>
                </c:pt>
                <c:pt idx="158">
                  <c:v>-1.581</c:v>
                </c:pt>
                <c:pt idx="159">
                  <c:v>-0.997</c:v>
                </c:pt>
                <c:pt idx="160">
                  <c:v>2.3E-2</c:v>
                </c:pt>
                <c:pt idx="161">
                  <c:v>4.7460000000000004</c:v>
                </c:pt>
                <c:pt idx="162">
                  <c:v>1.0780000000000001</c:v>
                </c:pt>
                <c:pt idx="163">
                  <c:v>2.0430000000000001</c:v>
                </c:pt>
                <c:pt idx="164">
                  <c:v>3.1509999999999998</c:v>
                </c:pt>
                <c:pt idx="165">
                  <c:v>4.8410000000000002</c:v>
                </c:pt>
                <c:pt idx="166">
                  <c:v>1.2450000000000001</c:v>
                </c:pt>
                <c:pt idx="167">
                  <c:v>4.9969999999999999</c:v>
                </c:pt>
                <c:pt idx="168">
                  <c:v>3.621</c:v>
                </c:pt>
                <c:pt idx="169">
                  <c:v>2.052</c:v>
                </c:pt>
                <c:pt idx="170">
                  <c:v>5.99</c:v>
                </c:pt>
                <c:pt idx="171">
                  <c:v>7.14</c:v>
                </c:pt>
                <c:pt idx="172">
                  <c:v>2.931</c:v>
                </c:pt>
                <c:pt idx="173">
                  <c:v>3.8730000000000002</c:v>
                </c:pt>
                <c:pt idx="174">
                  <c:v>5.2569999999999997</c:v>
                </c:pt>
                <c:pt idx="175">
                  <c:v>1.3129999999999999</c:v>
                </c:pt>
                <c:pt idx="176">
                  <c:v>-0.54100000000000004</c:v>
                </c:pt>
                <c:pt idx="177">
                  <c:v>-2.1800000000000002</c:v>
                </c:pt>
                <c:pt idx="178">
                  <c:v>0.252</c:v>
                </c:pt>
                <c:pt idx="179">
                  <c:v>2.5950000000000002</c:v>
                </c:pt>
                <c:pt idx="180">
                  <c:v>3.7930000000000001</c:v>
                </c:pt>
                <c:pt idx="181">
                  <c:v>6.1280000000000001</c:v>
                </c:pt>
                <c:pt idx="182">
                  <c:v>8.44</c:v>
                </c:pt>
                <c:pt idx="183">
                  <c:v>4.6959999999999997</c:v>
                </c:pt>
                <c:pt idx="184">
                  <c:v>4.0140000000000002</c:v>
                </c:pt>
                <c:pt idx="185">
                  <c:v>5.1980000000000004</c:v>
                </c:pt>
                <c:pt idx="186">
                  <c:v>1.786</c:v>
                </c:pt>
                <c:pt idx="187">
                  <c:v>7.28</c:v>
                </c:pt>
                <c:pt idx="188">
                  <c:v>5.548</c:v>
                </c:pt>
                <c:pt idx="189">
                  <c:v>7.23</c:v>
                </c:pt>
                <c:pt idx="190">
                  <c:v>5.056</c:v>
                </c:pt>
                <c:pt idx="191">
                  <c:v>2.077</c:v>
                </c:pt>
                <c:pt idx="192">
                  <c:v>-0.76500000000000001</c:v>
                </c:pt>
                <c:pt idx="193">
                  <c:v>0.996</c:v>
                </c:pt>
                <c:pt idx="194">
                  <c:v>4.0350000000000001</c:v>
                </c:pt>
                <c:pt idx="195">
                  <c:v>1.321</c:v>
                </c:pt>
                <c:pt idx="196">
                  <c:v>4.383</c:v>
                </c:pt>
                <c:pt idx="197">
                  <c:v>2.7189999999999999</c:v>
                </c:pt>
                <c:pt idx="198">
                  <c:v>4.6740000000000004</c:v>
                </c:pt>
                <c:pt idx="199">
                  <c:v>3.113</c:v>
                </c:pt>
                <c:pt idx="200">
                  <c:v>6.1950000000000003</c:v>
                </c:pt>
                <c:pt idx="201">
                  <c:v>5.6660000000000004</c:v>
                </c:pt>
                <c:pt idx="202">
                  <c:v>3.5059999999999998</c:v>
                </c:pt>
                <c:pt idx="203">
                  <c:v>7.56</c:v>
                </c:pt>
                <c:pt idx="204">
                  <c:v>8.1999999999999993</c:v>
                </c:pt>
                <c:pt idx="205">
                  <c:v>8.51</c:v>
                </c:pt>
                <c:pt idx="206">
                  <c:v>8.18</c:v>
                </c:pt>
                <c:pt idx="207">
                  <c:v>0.61599999999999999</c:v>
                </c:pt>
                <c:pt idx="208">
                  <c:v>-0.111</c:v>
                </c:pt>
                <c:pt idx="209">
                  <c:v>3.125</c:v>
                </c:pt>
                <c:pt idx="210">
                  <c:v>4.7329999999999997</c:v>
                </c:pt>
                <c:pt idx="211">
                  <c:v>5.1130000000000004</c:v>
                </c:pt>
                <c:pt idx="212">
                  <c:v>4.6319999999999997</c:v>
                </c:pt>
                <c:pt idx="213">
                  <c:v>4.0469999999999997</c:v>
                </c:pt>
                <c:pt idx="214">
                  <c:v>3.714</c:v>
                </c:pt>
                <c:pt idx="215">
                  <c:v>4.8109999999999999</c:v>
                </c:pt>
                <c:pt idx="216">
                  <c:v>5.1079999999999997</c:v>
                </c:pt>
                <c:pt idx="217">
                  <c:v>4.0270000000000001</c:v>
                </c:pt>
                <c:pt idx="218">
                  <c:v>2.29</c:v>
                </c:pt>
                <c:pt idx="219">
                  <c:v>4.0250000000000004</c:v>
                </c:pt>
                <c:pt idx="220">
                  <c:v>2.7440000000000002</c:v>
                </c:pt>
                <c:pt idx="221">
                  <c:v>0.68700000000000006</c:v>
                </c:pt>
                <c:pt idx="222">
                  <c:v>5.0720000000000001</c:v>
                </c:pt>
                <c:pt idx="223">
                  <c:v>2.9790000000000001</c:v>
                </c:pt>
                <c:pt idx="224">
                  <c:v>3.0179999999999998</c:v>
                </c:pt>
                <c:pt idx="225">
                  <c:v>3.367</c:v>
                </c:pt>
                <c:pt idx="226">
                  <c:v>1.9510000000000001</c:v>
                </c:pt>
                <c:pt idx="227">
                  <c:v>1.1180000000000001</c:v>
                </c:pt>
                <c:pt idx="228">
                  <c:v>0.77300000000000002</c:v>
                </c:pt>
                <c:pt idx="229">
                  <c:v>3.3479999999999999</c:v>
                </c:pt>
                <c:pt idx="230">
                  <c:v>3.6890000000000001</c:v>
                </c:pt>
                <c:pt idx="231">
                  <c:v>-0.14799999999999999</c:v>
                </c:pt>
                <c:pt idx="232">
                  <c:v>3.5329999999999999</c:v>
                </c:pt>
                <c:pt idx="233">
                  <c:v>1.9359999999999999</c:v>
                </c:pt>
                <c:pt idx="234">
                  <c:v>-0.40899999999999997</c:v>
                </c:pt>
                <c:pt idx="235">
                  <c:v>-1.7170000000000001</c:v>
                </c:pt>
                <c:pt idx="236">
                  <c:v>-3.125</c:v>
                </c:pt>
                <c:pt idx="237">
                  <c:v>5.0000000000000001E-3</c:v>
                </c:pt>
                <c:pt idx="238">
                  <c:v>-2.0659999999999998</c:v>
                </c:pt>
                <c:pt idx="239">
                  <c:v>-6.3E-2</c:v>
                </c:pt>
                <c:pt idx="240">
                  <c:v>1.0089999999999999</c:v>
                </c:pt>
                <c:pt idx="241">
                  <c:v>-0.30499999999999999</c:v>
                </c:pt>
                <c:pt idx="242">
                  <c:v>-1.67</c:v>
                </c:pt>
                <c:pt idx="243">
                  <c:v>-0.42399999999999999</c:v>
                </c:pt>
                <c:pt idx="244">
                  <c:v>0.92</c:v>
                </c:pt>
                <c:pt idx="245">
                  <c:v>-0.222</c:v>
                </c:pt>
                <c:pt idx="246">
                  <c:v>2.448</c:v>
                </c:pt>
                <c:pt idx="247">
                  <c:v>4.923</c:v>
                </c:pt>
                <c:pt idx="248">
                  <c:v>2.8069999999999999</c:v>
                </c:pt>
                <c:pt idx="249">
                  <c:v>0.90400000000000003</c:v>
                </c:pt>
                <c:pt idx="250">
                  <c:v>1.2</c:v>
                </c:pt>
                <c:pt idx="251">
                  <c:v>1.6879999999999999</c:v>
                </c:pt>
                <c:pt idx="252">
                  <c:v>1.6160000000000001</c:v>
                </c:pt>
                <c:pt idx="253">
                  <c:v>1.399</c:v>
                </c:pt>
                <c:pt idx="254">
                  <c:v>-0.18</c:v>
                </c:pt>
                <c:pt idx="255">
                  <c:v>1.3480000000000001</c:v>
                </c:pt>
                <c:pt idx="256">
                  <c:v>-0.125</c:v>
                </c:pt>
                <c:pt idx="257">
                  <c:v>0.378</c:v>
                </c:pt>
                <c:pt idx="258">
                  <c:v>-1.6559999999999999</c:v>
                </c:pt>
                <c:pt idx="259">
                  <c:v>-1.825</c:v>
                </c:pt>
                <c:pt idx="260">
                  <c:v>3.5000000000000003E-2</c:v>
                </c:pt>
                <c:pt idx="261">
                  <c:v>-3.1040000000000001</c:v>
                </c:pt>
                <c:pt idx="262">
                  <c:v>-5.1020000000000003</c:v>
                </c:pt>
                <c:pt idx="263">
                  <c:v>-5.98</c:v>
                </c:pt>
                <c:pt idx="264">
                  <c:v>-4.3179999999999996</c:v>
                </c:pt>
                <c:pt idx="265">
                  <c:v>-2.0070000000000001</c:v>
                </c:pt>
                <c:pt idx="266">
                  <c:v>-1.204</c:v>
                </c:pt>
                <c:pt idx="267">
                  <c:v>-2.9129999999999998</c:v>
                </c:pt>
                <c:pt idx="268">
                  <c:v>-2.3239999999999998</c:v>
                </c:pt>
                <c:pt idx="269">
                  <c:v>2.4809999999999999</c:v>
                </c:pt>
                <c:pt idx="270">
                  <c:v>2.5470000000000002</c:v>
                </c:pt>
                <c:pt idx="271">
                  <c:v>2.7629999999999999</c:v>
                </c:pt>
                <c:pt idx="272">
                  <c:v>-0.66300000000000003</c:v>
                </c:pt>
                <c:pt idx="273">
                  <c:v>-5.0049999999999999</c:v>
                </c:pt>
                <c:pt idx="274">
                  <c:v>-0.878</c:v>
                </c:pt>
                <c:pt idx="275">
                  <c:v>-1.43</c:v>
                </c:pt>
                <c:pt idx="276">
                  <c:v>-5.2690000000000001</c:v>
                </c:pt>
                <c:pt idx="277">
                  <c:v>-4.5629999999999997</c:v>
                </c:pt>
                <c:pt idx="278">
                  <c:v>0.10299999999999999</c:v>
                </c:pt>
                <c:pt idx="279">
                  <c:v>0.377</c:v>
                </c:pt>
                <c:pt idx="280">
                  <c:v>-0.17899999999999999</c:v>
                </c:pt>
                <c:pt idx="281">
                  <c:v>-1.298</c:v>
                </c:pt>
                <c:pt idx="282">
                  <c:v>-0.41599999999999998</c:v>
                </c:pt>
                <c:pt idx="283">
                  <c:v>-0.45500000000000002</c:v>
                </c:pt>
                <c:pt idx="284">
                  <c:v>-1.9339999999999999</c:v>
                </c:pt>
                <c:pt idx="285">
                  <c:v>-1.6930000000000001</c:v>
                </c:pt>
                <c:pt idx="286">
                  <c:v>-0.124</c:v>
                </c:pt>
                <c:pt idx="287">
                  <c:v>1.2909999999999999</c:v>
                </c:pt>
                <c:pt idx="288">
                  <c:v>-0.52400000000000002</c:v>
                </c:pt>
                <c:pt idx="289">
                  <c:v>-0.38700000000000001</c:v>
                </c:pt>
                <c:pt idx="290">
                  <c:v>-5.9219999999999997</c:v>
                </c:pt>
                <c:pt idx="291">
                  <c:v>-7.03</c:v>
                </c:pt>
                <c:pt idx="292">
                  <c:v>-2.657</c:v>
                </c:pt>
                <c:pt idx="293">
                  <c:v>-4.2320000000000002</c:v>
                </c:pt>
                <c:pt idx="294">
                  <c:v>-5.5679999999999996</c:v>
                </c:pt>
                <c:pt idx="295">
                  <c:v>-3.661</c:v>
                </c:pt>
                <c:pt idx="296">
                  <c:v>-2.3490000000000002</c:v>
                </c:pt>
                <c:pt idx="297">
                  <c:v>-2.7160000000000002</c:v>
                </c:pt>
                <c:pt idx="298">
                  <c:v>-2.3719999999999999</c:v>
                </c:pt>
                <c:pt idx="299">
                  <c:v>-8.61</c:v>
                </c:pt>
                <c:pt idx="300">
                  <c:v>-13.36</c:v>
                </c:pt>
                <c:pt idx="301">
                  <c:v>-15.24</c:v>
                </c:pt>
                <c:pt idx="302">
                  <c:v>-17.32</c:v>
                </c:pt>
                <c:pt idx="303">
                  <c:v>-17.68</c:v>
                </c:pt>
                <c:pt idx="304">
                  <c:v>-19.98</c:v>
                </c:pt>
                <c:pt idx="305">
                  <c:v>-17.48</c:v>
                </c:pt>
                <c:pt idx="306">
                  <c:v>-16.239999999999998</c:v>
                </c:pt>
                <c:pt idx="307">
                  <c:v>-10.85</c:v>
                </c:pt>
                <c:pt idx="308">
                  <c:v>-9.52</c:v>
                </c:pt>
                <c:pt idx="309">
                  <c:v>-12.45</c:v>
                </c:pt>
                <c:pt idx="310">
                  <c:v>-14.2</c:v>
                </c:pt>
                <c:pt idx="311">
                  <c:v>-5.1890000000000001</c:v>
                </c:pt>
                <c:pt idx="312">
                  <c:v>-16.12</c:v>
                </c:pt>
                <c:pt idx="313">
                  <c:v>-16.53</c:v>
                </c:pt>
                <c:pt idx="314">
                  <c:v>-7.92</c:v>
                </c:pt>
                <c:pt idx="315">
                  <c:v>-3.5089999999999999</c:v>
                </c:pt>
                <c:pt idx="316">
                  <c:v>-2.653</c:v>
                </c:pt>
                <c:pt idx="317">
                  <c:v>-0.28499999999999998</c:v>
                </c:pt>
                <c:pt idx="318">
                  <c:v>-0.93799999999999994</c:v>
                </c:pt>
                <c:pt idx="319">
                  <c:v>-0.58599999999999997</c:v>
                </c:pt>
                <c:pt idx="320">
                  <c:v>-9.1999999999999998E-2</c:v>
                </c:pt>
                <c:pt idx="321">
                  <c:v>-2.4460000000000002</c:v>
                </c:pt>
                <c:pt idx="322">
                  <c:v>-12.11</c:v>
                </c:pt>
                <c:pt idx="323">
                  <c:v>-13.34</c:v>
                </c:pt>
                <c:pt idx="324">
                  <c:v>-7.57</c:v>
                </c:pt>
                <c:pt idx="325">
                  <c:v>-0.66100000000000003</c:v>
                </c:pt>
                <c:pt idx="326">
                  <c:v>-1.42</c:v>
                </c:pt>
                <c:pt idx="327">
                  <c:v>-1.1639999999999999</c:v>
                </c:pt>
                <c:pt idx="328">
                  <c:v>-4.8339999999999996</c:v>
                </c:pt>
                <c:pt idx="329">
                  <c:v>-4.0129999999999999</c:v>
                </c:pt>
                <c:pt idx="330">
                  <c:v>-5.3540000000000001</c:v>
                </c:pt>
                <c:pt idx="331">
                  <c:v>-4.2530000000000001</c:v>
                </c:pt>
                <c:pt idx="332">
                  <c:v>1.1040000000000001</c:v>
                </c:pt>
                <c:pt idx="333">
                  <c:v>-0.88700000000000001</c:v>
                </c:pt>
                <c:pt idx="334">
                  <c:v>-5.3339999999999996</c:v>
                </c:pt>
                <c:pt idx="335">
                  <c:v>-10.11</c:v>
                </c:pt>
                <c:pt idx="336">
                  <c:v>-7.27</c:v>
                </c:pt>
                <c:pt idx="337">
                  <c:v>-19.86</c:v>
                </c:pt>
                <c:pt idx="338">
                  <c:v>-26.62</c:v>
                </c:pt>
                <c:pt idx="339">
                  <c:v>-26.28</c:v>
                </c:pt>
                <c:pt idx="340">
                  <c:v>-34.36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12160"/>
        <c:axId val="235218432"/>
      </c:lineChart>
      <c:catAx>
        <c:axId val="23521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1843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521843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12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- 1.5 metres</a:t>
            </a:r>
          </a:p>
        </c:rich>
      </c:tx>
      <c:layout>
        <c:manualLayout>
          <c:xMode val="edge"/>
          <c:yMode val="edge"/>
          <c:x val="0.1481069042316258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Data!$W$7:$W$371</c:f>
              <c:numCache>
                <c:formatCode>General</c:formatCode>
                <c:ptCount val="365"/>
                <c:pt idx="0">
                  <c:v>-9.19</c:v>
                </c:pt>
                <c:pt idx="1">
                  <c:v>-10.23</c:v>
                </c:pt>
                <c:pt idx="2">
                  <c:v>-8.86</c:v>
                </c:pt>
                <c:pt idx="3">
                  <c:v>-7.06</c:v>
                </c:pt>
                <c:pt idx="4">
                  <c:v>-7.43</c:v>
                </c:pt>
                <c:pt idx="5">
                  <c:v>-6.7560000000000002</c:v>
                </c:pt>
                <c:pt idx="6">
                  <c:v>-6.1550000000000002</c:v>
                </c:pt>
                <c:pt idx="7">
                  <c:v>-1.431</c:v>
                </c:pt>
                <c:pt idx="8">
                  <c:v>1.0620000000000001</c:v>
                </c:pt>
                <c:pt idx="9">
                  <c:v>1.8480000000000001</c:v>
                </c:pt>
                <c:pt idx="10">
                  <c:v>-1.3959999999999999</c:v>
                </c:pt>
                <c:pt idx="11">
                  <c:v>-1.1180000000000001</c:v>
                </c:pt>
                <c:pt idx="12">
                  <c:v>-0.49099999999999999</c:v>
                </c:pt>
                <c:pt idx="13">
                  <c:v>-0.70799999999999996</c:v>
                </c:pt>
                <c:pt idx="14">
                  <c:v>-0.40400000000000003</c:v>
                </c:pt>
                <c:pt idx="15">
                  <c:v>-3.4209999999999998</c:v>
                </c:pt>
                <c:pt idx="16">
                  <c:v>-4.9530000000000003</c:v>
                </c:pt>
                <c:pt idx="17">
                  <c:v>-1.4810000000000001</c:v>
                </c:pt>
                <c:pt idx="18">
                  <c:v>1.873</c:v>
                </c:pt>
                <c:pt idx="19">
                  <c:v>7.9000000000000001E-2</c:v>
                </c:pt>
                <c:pt idx="20">
                  <c:v>-1.867</c:v>
                </c:pt>
                <c:pt idx="21">
                  <c:v>-2.6019999999999999</c:v>
                </c:pt>
                <c:pt idx="22">
                  <c:v>-2.6859999999999999</c:v>
                </c:pt>
                <c:pt idx="23">
                  <c:v>2.1120000000000001</c:v>
                </c:pt>
                <c:pt idx="24">
                  <c:v>3.0830000000000002</c:v>
                </c:pt>
                <c:pt idx="25">
                  <c:v>0.51100000000000001</c:v>
                </c:pt>
                <c:pt idx="26">
                  <c:v>0.68100000000000005</c:v>
                </c:pt>
                <c:pt idx="27">
                  <c:v>0.29899999999999999</c:v>
                </c:pt>
                <c:pt idx="28">
                  <c:v>1.462</c:v>
                </c:pt>
                <c:pt idx="29">
                  <c:v>1.962</c:v>
                </c:pt>
                <c:pt idx="30">
                  <c:v>2.952</c:v>
                </c:pt>
                <c:pt idx="31">
                  <c:v>2.6120000000000001</c:v>
                </c:pt>
                <c:pt idx="32">
                  <c:v>2.8439999999999999</c:v>
                </c:pt>
                <c:pt idx="33">
                  <c:v>0.71199999999999997</c:v>
                </c:pt>
                <c:pt idx="34">
                  <c:v>5.5119999999999996</c:v>
                </c:pt>
                <c:pt idx="35">
                  <c:v>8.7200000000000006</c:v>
                </c:pt>
                <c:pt idx="36">
                  <c:v>2.9420000000000002</c:v>
                </c:pt>
                <c:pt idx="37">
                  <c:v>3.87</c:v>
                </c:pt>
                <c:pt idx="38">
                  <c:v>-2.6640000000000001</c:v>
                </c:pt>
                <c:pt idx="39">
                  <c:v>0.95899999999999996</c:v>
                </c:pt>
                <c:pt idx="40">
                  <c:v>-3.6619999999999999</c:v>
                </c:pt>
                <c:pt idx="41">
                  <c:v>-6.8550000000000004</c:v>
                </c:pt>
                <c:pt idx="42">
                  <c:v>-13.16</c:v>
                </c:pt>
                <c:pt idx="43">
                  <c:v>-10.08</c:v>
                </c:pt>
                <c:pt idx="44">
                  <c:v>-11.5</c:v>
                </c:pt>
                <c:pt idx="45">
                  <c:v>-7.24</c:v>
                </c:pt>
                <c:pt idx="46">
                  <c:v>-3.1259999999999999</c:v>
                </c:pt>
                <c:pt idx="47">
                  <c:v>1.0980000000000001</c:v>
                </c:pt>
                <c:pt idx="48">
                  <c:v>1.92</c:v>
                </c:pt>
                <c:pt idx="49">
                  <c:v>3.5310000000000001</c:v>
                </c:pt>
                <c:pt idx="50">
                  <c:v>7.42</c:v>
                </c:pt>
                <c:pt idx="51">
                  <c:v>2.1859999999999999</c:v>
                </c:pt>
                <c:pt idx="52">
                  <c:v>2.5790000000000002</c:v>
                </c:pt>
                <c:pt idx="53">
                  <c:v>3.8730000000000002</c:v>
                </c:pt>
                <c:pt idx="54">
                  <c:v>4.0919999999999996</c:v>
                </c:pt>
                <c:pt idx="55">
                  <c:v>0.35499999999999998</c:v>
                </c:pt>
                <c:pt idx="56">
                  <c:v>-6.2279999999999998</c:v>
                </c:pt>
                <c:pt idx="57">
                  <c:v>-6.0229999999999997</c:v>
                </c:pt>
                <c:pt idx="58">
                  <c:v>-4.6900000000000004</c:v>
                </c:pt>
                <c:pt idx="59">
                  <c:v>-2.7730000000000001</c:v>
                </c:pt>
                <c:pt idx="60">
                  <c:v>-2.121</c:v>
                </c:pt>
                <c:pt idx="61">
                  <c:v>1.6</c:v>
                </c:pt>
                <c:pt idx="62">
                  <c:v>-5.8449999999999998</c:v>
                </c:pt>
                <c:pt idx="63">
                  <c:v>-12.1</c:v>
                </c:pt>
                <c:pt idx="64">
                  <c:v>-9.6199999999999992</c:v>
                </c:pt>
                <c:pt idx="65">
                  <c:v>-4.8959999999999999</c:v>
                </c:pt>
                <c:pt idx="66">
                  <c:v>-1.774</c:v>
                </c:pt>
                <c:pt idx="67">
                  <c:v>3.718</c:v>
                </c:pt>
                <c:pt idx="68">
                  <c:v>4.9850000000000003</c:v>
                </c:pt>
                <c:pt idx="69">
                  <c:v>6.8410000000000002</c:v>
                </c:pt>
                <c:pt idx="70">
                  <c:v>1.8140000000000001</c:v>
                </c:pt>
                <c:pt idx="71">
                  <c:v>1.546</c:v>
                </c:pt>
                <c:pt idx="72">
                  <c:v>6.0039999999999996</c:v>
                </c:pt>
                <c:pt idx="73">
                  <c:v>1.41</c:v>
                </c:pt>
                <c:pt idx="74">
                  <c:v>5.3769999999999998</c:v>
                </c:pt>
                <c:pt idx="75">
                  <c:v>4.7709999999999999</c:v>
                </c:pt>
                <c:pt idx="76">
                  <c:v>2.85</c:v>
                </c:pt>
                <c:pt idx="77">
                  <c:v>4.5880000000000001</c:v>
                </c:pt>
                <c:pt idx="78">
                  <c:v>3.956</c:v>
                </c:pt>
                <c:pt idx="79">
                  <c:v>1.7929999999999999</c:v>
                </c:pt>
                <c:pt idx="80">
                  <c:v>3.327</c:v>
                </c:pt>
                <c:pt idx="81">
                  <c:v>1.5169999999999999</c:v>
                </c:pt>
                <c:pt idx="82">
                  <c:v>0.47699999999999998</c:v>
                </c:pt>
                <c:pt idx="83">
                  <c:v>0.68899999999999995</c:v>
                </c:pt>
                <c:pt idx="84">
                  <c:v>2.798</c:v>
                </c:pt>
                <c:pt idx="85">
                  <c:v>8.44</c:v>
                </c:pt>
                <c:pt idx="86">
                  <c:v>8.17</c:v>
                </c:pt>
                <c:pt idx="87">
                  <c:v>9.5500000000000007</c:v>
                </c:pt>
                <c:pt idx="88">
                  <c:v>11.05</c:v>
                </c:pt>
                <c:pt idx="89">
                  <c:v>11.4</c:v>
                </c:pt>
                <c:pt idx="90">
                  <c:v>2.5299999999999998</c:v>
                </c:pt>
                <c:pt idx="91">
                  <c:v>0.89300000000000002</c:v>
                </c:pt>
                <c:pt idx="92">
                  <c:v>8.4600000000000009</c:v>
                </c:pt>
                <c:pt idx="93">
                  <c:v>5.1189999999999998</c:v>
                </c:pt>
                <c:pt idx="94">
                  <c:v>3.9860000000000002</c:v>
                </c:pt>
                <c:pt idx="95">
                  <c:v>7.63</c:v>
                </c:pt>
                <c:pt idx="96">
                  <c:v>5.665</c:v>
                </c:pt>
                <c:pt idx="97">
                  <c:v>0.312</c:v>
                </c:pt>
                <c:pt idx="98">
                  <c:v>4.4539999999999997</c:v>
                </c:pt>
                <c:pt idx="99">
                  <c:v>3.8570000000000002</c:v>
                </c:pt>
                <c:pt idx="100">
                  <c:v>2.9420000000000002</c:v>
                </c:pt>
                <c:pt idx="101">
                  <c:v>4.3479999999999999</c:v>
                </c:pt>
                <c:pt idx="102">
                  <c:v>2.9329999999999998</c:v>
                </c:pt>
                <c:pt idx="103">
                  <c:v>1.1819999999999999</c:v>
                </c:pt>
                <c:pt idx="104">
                  <c:v>1.917</c:v>
                </c:pt>
                <c:pt idx="105">
                  <c:v>5.6689999999999996</c:v>
                </c:pt>
                <c:pt idx="106">
                  <c:v>2.887</c:v>
                </c:pt>
                <c:pt idx="107">
                  <c:v>4.8380000000000001</c:v>
                </c:pt>
                <c:pt idx="108">
                  <c:v>0.96499999999999997</c:v>
                </c:pt>
                <c:pt idx="109">
                  <c:v>5.6980000000000004</c:v>
                </c:pt>
                <c:pt idx="110">
                  <c:v>8.09</c:v>
                </c:pt>
                <c:pt idx="111">
                  <c:v>10.23</c:v>
                </c:pt>
                <c:pt idx="112">
                  <c:v>12</c:v>
                </c:pt>
                <c:pt idx="113">
                  <c:v>6.298</c:v>
                </c:pt>
                <c:pt idx="114">
                  <c:v>11.22</c:v>
                </c:pt>
                <c:pt idx="115">
                  <c:v>6.2549999999999999</c:v>
                </c:pt>
                <c:pt idx="116">
                  <c:v>10.48</c:v>
                </c:pt>
                <c:pt idx="117">
                  <c:v>9.61</c:v>
                </c:pt>
                <c:pt idx="118">
                  <c:v>8.31</c:v>
                </c:pt>
                <c:pt idx="119">
                  <c:v>5.8419999999999996</c:v>
                </c:pt>
                <c:pt idx="120">
                  <c:v>9.42</c:v>
                </c:pt>
                <c:pt idx="121">
                  <c:v>9.0299999999999994</c:v>
                </c:pt>
                <c:pt idx="122">
                  <c:v>5.3079999999999998</c:v>
                </c:pt>
                <c:pt idx="123">
                  <c:v>9.07</c:v>
                </c:pt>
                <c:pt idx="124">
                  <c:v>6.359</c:v>
                </c:pt>
                <c:pt idx="125">
                  <c:v>11.76</c:v>
                </c:pt>
                <c:pt idx="126">
                  <c:v>12.88</c:v>
                </c:pt>
                <c:pt idx="127">
                  <c:v>14.16</c:v>
                </c:pt>
                <c:pt idx="128">
                  <c:v>15.02</c:v>
                </c:pt>
                <c:pt idx="129">
                  <c:v>12.89</c:v>
                </c:pt>
                <c:pt idx="130">
                  <c:v>3.8919999999999999</c:v>
                </c:pt>
                <c:pt idx="131">
                  <c:v>6.4320000000000004</c:v>
                </c:pt>
                <c:pt idx="132">
                  <c:v>15.61</c:v>
                </c:pt>
                <c:pt idx="133">
                  <c:v>13.76</c:v>
                </c:pt>
                <c:pt idx="134">
                  <c:v>15.53</c:v>
                </c:pt>
                <c:pt idx="135">
                  <c:v>17.91</c:v>
                </c:pt>
                <c:pt idx="136">
                  <c:v>11.53</c:v>
                </c:pt>
                <c:pt idx="137">
                  <c:v>8.6199999999999992</c:v>
                </c:pt>
                <c:pt idx="138">
                  <c:v>11.28</c:v>
                </c:pt>
                <c:pt idx="139">
                  <c:v>10.029999999999999</c:v>
                </c:pt>
                <c:pt idx="140">
                  <c:v>12.6</c:v>
                </c:pt>
                <c:pt idx="141">
                  <c:v>16.07</c:v>
                </c:pt>
                <c:pt idx="142">
                  <c:v>19.59</c:v>
                </c:pt>
                <c:pt idx="143">
                  <c:v>19.489999999999998</c:v>
                </c:pt>
                <c:pt idx="144">
                  <c:v>15.75</c:v>
                </c:pt>
                <c:pt idx="145">
                  <c:v>17.41</c:v>
                </c:pt>
                <c:pt idx="146">
                  <c:v>21.6</c:v>
                </c:pt>
                <c:pt idx="147">
                  <c:v>24.35</c:v>
                </c:pt>
                <c:pt idx="148">
                  <c:v>25.22</c:v>
                </c:pt>
                <c:pt idx="149">
                  <c:v>22.77</c:v>
                </c:pt>
                <c:pt idx="150">
                  <c:v>21.47</c:v>
                </c:pt>
                <c:pt idx="151">
                  <c:v>22.52</c:v>
                </c:pt>
                <c:pt idx="152">
                  <c:v>20.39</c:v>
                </c:pt>
                <c:pt idx="153">
                  <c:v>22.72</c:v>
                </c:pt>
                <c:pt idx="154">
                  <c:v>19.739999999999998</c:v>
                </c:pt>
                <c:pt idx="155">
                  <c:v>5.7779999999999996</c:v>
                </c:pt>
                <c:pt idx="156">
                  <c:v>8.0399999999999991</c:v>
                </c:pt>
                <c:pt idx="157">
                  <c:v>18.52</c:v>
                </c:pt>
                <c:pt idx="158">
                  <c:v>20.09</c:v>
                </c:pt>
                <c:pt idx="159">
                  <c:v>22.11</c:v>
                </c:pt>
                <c:pt idx="160">
                  <c:v>20.69</c:v>
                </c:pt>
                <c:pt idx="161">
                  <c:v>12.97</c:v>
                </c:pt>
                <c:pt idx="162">
                  <c:v>16.53</c:v>
                </c:pt>
                <c:pt idx="163">
                  <c:v>13.27</c:v>
                </c:pt>
                <c:pt idx="164">
                  <c:v>12.22</c:v>
                </c:pt>
                <c:pt idx="165">
                  <c:v>16.48</c:v>
                </c:pt>
                <c:pt idx="166">
                  <c:v>17.510000000000002</c:v>
                </c:pt>
                <c:pt idx="167">
                  <c:v>13.18</c:v>
                </c:pt>
                <c:pt idx="168">
                  <c:v>15.27</c:v>
                </c:pt>
                <c:pt idx="169">
                  <c:v>11.82</c:v>
                </c:pt>
                <c:pt idx="170">
                  <c:v>10.029999999999999</c:v>
                </c:pt>
                <c:pt idx="171">
                  <c:v>17.809999999999999</c:v>
                </c:pt>
                <c:pt idx="172">
                  <c:v>20.88</c:v>
                </c:pt>
                <c:pt idx="173">
                  <c:v>23.46</c:v>
                </c:pt>
                <c:pt idx="174">
                  <c:v>21.99</c:v>
                </c:pt>
                <c:pt idx="175">
                  <c:v>21.16</c:v>
                </c:pt>
                <c:pt idx="176">
                  <c:v>16.96</c:v>
                </c:pt>
                <c:pt idx="177">
                  <c:v>20.010000000000002</c:v>
                </c:pt>
                <c:pt idx="178">
                  <c:v>23.29</c:v>
                </c:pt>
                <c:pt idx="179">
                  <c:v>24.68</c:v>
                </c:pt>
                <c:pt idx="180">
                  <c:v>26.58</c:v>
                </c:pt>
                <c:pt idx="181">
                  <c:v>26.18</c:v>
                </c:pt>
                <c:pt idx="182">
                  <c:v>16.149999999999999</c:v>
                </c:pt>
                <c:pt idx="183">
                  <c:v>17.39</c:v>
                </c:pt>
                <c:pt idx="184">
                  <c:v>15.21</c:v>
                </c:pt>
                <c:pt idx="185">
                  <c:v>18.16</c:v>
                </c:pt>
                <c:pt idx="186">
                  <c:v>19.22</c:v>
                </c:pt>
                <c:pt idx="187">
                  <c:v>19.100000000000001</c:v>
                </c:pt>
                <c:pt idx="188">
                  <c:v>21.06</c:v>
                </c:pt>
                <c:pt idx="189">
                  <c:v>24.5</c:v>
                </c:pt>
                <c:pt idx="190">
                  <c:v>16.190000000000001</c:v>
                </c:pt>
                <c:pt idx="191">
                  <c:v>17.170000000000002</c:v>
                </c:pt>
                <c:pt idx="192">
                  <c:v>19.91</c:v>
                </c:pt>
                <c:pt idx="193">
                  <c:v>21.23</c:v>
                </c:pt>
                <c:pt idx="194">
                  <c:v>20.59</c:v>
                </c:pt>
                <c:pt idx="195">
                  <c:v>20.36</c:v>
                </c:pt>
                <c:pt idx="196">
                  <c:v>22.43</c:v>
                </c:pt>
                <c:pt idx="197">
                  <c:v>24.26</c:v>
                </c:pt>
                <c:pt idx="198">
                  <c:v>23.35</c:v>
                </c:pt>
                <c:pt idx="199">
                  <c:v>24.91</c:v>
                </c:pt>
                <c:pt idx="200">
                  <c:v>23.31</c:v>
                </c:pt>
                <c:pt idx="201">
                  <c:v>21.86</c:v>
                </c:pt>
                <c:pt idx="202">
                  <c:v>23.2</c:v>
                </c:pt>
                <c:pt idx="203">
                  <c:v>18.47</c:v>
                </c:pt>
                <c:pt idx="204">
                  <c:v>18.48</c:v>
                </c:pt>
                <c:pt idx="205">
                  <c:v>16.079999999999998</c:v>
                </c:pt>
                <c:pt idx="206">
                  <c:v>16.149999999999999</c:v>
                </c:pt>
                <c:pt idx="207">
                  <c:v>15.71</c:v>
                </c:pt>
                <c:pt idx="208">
                  <c:v>19.8</c:v>
                </c:pt>
                <c:pt idx="209">
                  <c:v>9.08</c:v>
                </c:pt>
                <c:pt idx="210">
                  <c:v>17.61</c:v>
                </c:pt>
                <c:pt idx="211">
                  <c:v>18.829999999999998</c:v>
                </c:pt>
                <c:pt idx="212">
                  <c:v>16.45</c:v>
                </c:pt>
                <c:pt idx="213">
                  <c:v>17.82</c:v>
                </c:pt>
                <c:pt idx="214">
                  <c:v>22.48</c:v>
                </c:pt>
                <c:pt idx="215">
                  <c:v>24.96</c:v>
                </c:pt>
                <c:pt idx="216">
                  <c:v>15.62</c:v>
                </c:pt>
                <c:pt idx="217">
                  <c:v>8.58</c:v>
                </c:pt>
                <c:pt idx="218">
                  <c:v>12.72</c:v>
                </c:pt>
                <c:pt idx="219">
                  <c:v>10.07</c:v>
                </c:pt>
                <c:pt idx="220">
                  <c:v>17.2</c:v>
                </c:pt>
                <c:pt idx="221">
                  <c:v>17.79</c:v>
                </c:pt>
                <c:pt idx="222">
                  <c:v>13.65</c:v>
                </c:pt>
                <c:pt idx="223">
                  <c:v>6.8810000000000002</c:v>
                </c:pt>
                <c:pt idx="224">
                  <c:v>15.53</c:v>
                </c:pt>
                <c:pt idx="225">
                  <c:v>13.21</c:v>
                </c:pt>
                <c:pt idx="226">
                  <c:v>13.49</c:v>
                </c:pt>
                <c:pt idx="227">
                  <c:v>14.32</c:v>
                </c:pt>
                <c:pt idx="228">
                  <c:v>8.16</c:v>
                </c:pt>
                <c:pt idx="229">
                  <c:v>11.39</c:v>
                </c:pt>
                <c:pt idx="230">
                  <c:v>16.100000000000001</c:v>
                </c:pt>
                <c:pt idx="231">
                  <c:v>20.45</c:v>
                </c:pt>
                <c:pt idx="232">
                  <c:v>23.26</c:v>
                </c:pt>
                <c:pt idx="233">
                  <c:v>20.05</c:v>
                </c:pt>
                <c:pt idx="234">
                  <c:v>20.67</c:v>
                </c:pt>
                <c:pt idx="235">
                  <c:v>15.81</c:v>
                </c:pt>
                <c:pt idx="236">
                  <c:v>17.809999999999999</c:v>
                </c:pt>
                <c:pt idx="237">
                  <c:v>15.84</c:v>
                </c:pt>
                <c:pt idx="238">
                  <c:v>19.39</c:v>
                </c:pt>
                <c:pt idx="239">
                  <c:v>20.39</c:v>
                </c:pt>
                <c:pt idx="240">
                  <c:v>12.47</c:v>
                </c:pt>
                <c:pt idx="241">
                  <c:v>18.03</c:v>
                </c:pt>
                <c:pt idx="242">
                  <c:v>20.21</c:v>
                </c:pt>
                <c:pt idx="243">
                  <c:v>22.17</c:v>
                </c:pt>
                <c:pt idx="244">
                  <c:v>24.06</c:v>
                </c:pt>
                <c:pt idx="245">
                  <c:v>24.83</c:v>
                </c:pt>
                <c:pt idx="246">
                  <c:v>30.08</c:v>
                </c:pt>
                <c:pt idx="247">
                  <c:v>13.84</c:v>
                </c:pt>
                <c:pt idx="248">
                  <c:v>18.25</c:v>
                </c:pt>
                <c:pt idx="249">
                  <c:v>21.59</c:v>
                </c:pt>
                <c:pt idx="250">
                  <c:v>21.49</c:v>
                </c:pt>
                <c:pt idx="251">
                  <c:v>24.02</c:v>
                </c:pt>
                <c:pt idx="252">
                  <c:v>23.33</c:v>
                </c:pt>
                <c:pt idx="253">
                  <c:v>20.9</c:v>
                </c:pt>
                <c:pt idx="254">
                  <c:v>20.55</c:v>
                </c:pt>
                <c:pt idx="255">
                  <c:v>22.67</c:v>
                </c:pt>
                <c:pt idx="256">
                  <c:v>22.2</c:v>
                </c:pt>
                <c:pt idx="257">
                  <c:v>19.989999999999998</c:v>
                </c:pt>
                <c:pt idx="258">
                  <c:v>19.760000000000002</c:v>
                </c:pt>
                <c:pt idx="259">
                  <c:v>20.16</c:v>
                </c:pt>
                <c:pt idx="260">
                  <c:v>16.68</c:v>
                </c:pt>
                <c:pt idx="261">
                  <c:v>16.28</c:v>
                </c:pt>
                <c:pt idx="262">
                  <c:v>16.510000000000002</c:v>
                </c:pt>
                <c:pt idx="263">
                  <c:v>16.93</c:v>
                </c:pt>
                <c:pt idx="264">
                  <c:v>18.16</c:v>
                </c:pt>
                <c:pt idx="265">
                  <c:v>21.81</c:v>
                </c:pt>
                <c:pt idx="266">
                  <c:v>21.98</c:v>
                </c:pt>
                <c:pt idx="267">
                  <c:v>22.85</c:v>
                </c:pt>
                <c:pt idx="268">
                  <c:v>16.32</c:v>
                </c:pt>
                <c:pt idx="269">
                  <c:v>13.6</c:v>
                </c:pt>
                <c:pt idx="270">
                  <c:v>13.39</c:v>
                </c:pt>
                <c:pt idx="271">
                  <c:v>13.83</c:v>
                </c:pt>
                <c:pt idx="272">
                  <c:v>8.94</c:v>
                </c:pt>
                <c:pt idx="273">
                  <c:v>7.33</c:v>
                </c:pt>
                <c:pt idx="274">
                  <c:v>5.7110000000000003</c:v>
                </c:pt>
                <c:pt idx="275">
                  <c:v>4.04</c:v>
                </c:pt>
                <c:pt idx="276">
                  <c:v>7.73</c:v>
                </c:pt>
                <c:pt idx="277">
                  <c:v>6.766</c:v>
                </c:pt>
                <c:pt idx="278">
                  <c:v>6.4249999999999998</c:v>
                </c:pt>
                <c:pt idx="279">
                  <c:v>8.6</c:v>
                </c:pt>
                <c:pt idx="280">
                  <c:v>7.55</c:v>
                </c:pt>
                <c:pt idx="281">
                  <c:v>4.194</c:v>
                </c:pt>
                <c:pt idx="282">
                  <c:v>10.029999999999999</c:v>
                </c:pt>
                <c:pt idx="283">
                  <c:v>2.597</c:v>
                </c:pt>
                <c:pt idx="284">
                  <c:v>3.548</c:v>
                </c:pt>
                <c:pt idx="285">
                  <c:v>0.41599999999999998</c:v>
                </c:pt>
                <c:pt idx="286">
                  <c:v>5.4210000000000003</c:v>
                </c:pt>
                <c:pt idx="287">
                  <c:v>10.88</c:v>
                </c:pt>
                <c:pt idx="288">
                  <c:v>5.3090000000000002</c:v>
                </c:pt>
                <c:pt idx="289">
                  <c:v>3.1640000000000001</c:v>
                </c:pt>
                <c:pt idx="290">
                  <c:v>3.1629999999999998</c:v>
                </c:pt>
                <c:pt idx="291">
                  <c:v>7.91</c:v>
                </c:pt>
                <c:pt idx="292">
                  <c:v>6.3520000000000003</c:v>
                </c:pt>
                <c:pt idx="293">
                  <c:v>3.8260000000000001</c:v>
                </c:pt>
                <c:pt idx="294">
                  <c:v>4.9109999999999996</c:v>
                </c:pt>
                <c:pt idx="295">
                  <c:v>1.67</c:v>
                </c:pt>
                <c:pt idx="296">
                  <c:v>1.56</c:v>
                </c:pt>
                <c:pt idx="297">
                  <c:v>0.93300000000000005</c:v>
                </c:pt>
                <c:pt idx="298">
                  <c:v>3.827</c:v>
                </c:pt>
                <c:pt idx="299">
                  <c:v>1.02</c:v>
                </c:pt>
                <c:pt idx="300">
                  <c:v>2.585</c:v>
                </c:pt>
                <c:pt idx="301">
                  <c:v>1.27</c:v>
                </c:pt>
                <c:pt idx="302">
                  <c:v>-4.9770000000000003</c:v>
                </c:pt>
                <c:pt idx="303">
                  <c:v>-0.37</c:v>
                </c:pt>
                <c:pt idx="304">
                  <c:v>-3.7519999999999998</c:v>
                </c:pt>
                <c:pt idx="305">
                  <c:v>-0.83499999999999996</c:v>
                </c:pt>
                <c:pt idx="306">
                  <c:v>-0.92800000000000005</c:v>
                </c:pt>
                <c:pt idx="307">
                  <c:v>-2.589</c:v>
                </c:pt>
                <c:pt idx="308">
                  <c:v>-3.637</c:v>
                </c:pt>
                <c:pt idx="309">
                  <c:v>-4.9219999999999997</c:v>
                </c:pt>
                <c:pt idx="310">
                  <c:v>-4.0640000000000001</c:v>
                </c:pt>
                <c:pt idx="311">
                  <c:v>4.5990000000000002</c:v>
                </c:pt>
                <c:pt idx="312">
                  <c:v>-4.2750000000000004</c:v>
                </c:pt>
                <c:pt idx="313">
                  <c:v>-6.8369999999999997</c:v>
                </c:pt>
                <c:pt idx="314">
                  <c:v>1.649</c:v>
                </c:pt>
                <c:pt idx="315">
                  <c:v>1.3740000000000001</c:v>
                </c:pt>
                <c:pt idx="316">
                  <c:v>-0.19800000000000001</c:v>
                </c:pt>
                <c:pt idx="317">
                  <c:v>3.581</c:v>
                </c:pt>
                <c:pt idx="318">
                  <c:v>5.8940000000000001</c:v>
                </c:pt>
                <c:pt idx="319">
                  <c:v>5.6849999999999996</c:v>
                </c:pt>
                <c:pt idx="320">
                  <c:v>5.9509999999999996</c:v>
                </c:pt>
                <c:pt idx="321">
                  <c:v>5.8630000000000004</c:v>
                </c:pt>
                <c:pt idx="322">
                  <c:v>3.843</c:v>
                </c:pt>
                <c:pt idx="323">
                  <c:v>8.4499999999999993</c:v>
                </c:pt>
                <c:pt idx="324">
                  <c:v>4.4669999999999996</c:v>
                </c:pt>
                <c:pt idx="325">
                  <c:v>1.748</c:v>
                </c:pt>
                <c:pt idx="326">
                  <c:v>3.262</c:v>
                </c:pt>
                <c:pt idx="327">
                  <c:v>5.0430000000000001</c:v>
                </c:pt>
                <c:pt idx="328">
                  <c:v>2.5339999999999998</c:v>
                </c:pt>
                <c:pt idx="329">
                  <c:v>-1.0229999999999999</c:v>
                </c:pt>
                <c:pt idx="330">
                  <c:v>-2.706</c:v>
                </c:pt>
                <c:pt idx="331">
                  <c:v>4.0469999999999997</c:v>
                </c:pt>
                <c:pt idx="332">
                  <c:v>5.883</c:v>
                </c:pt>
                <c:pt idx="333">
                  <c:v>1.7909999999999999</c:v>
                </c:pt>
                <c:pt idx="334">
                  <c:v>-0.36299999999999999</c:v>
                </c:pt>
                <c:pt idx="335">
                  <c:v>-4.056</c:v>
                </c:pt>
                <c:pt idx="336">
                  <c:v>-3.948</c:v>
                </c:pt>
                <c:pt idx="337">
                  <c:v>-3.8410000000000002</c:v>
                </c:pt>
                <c:pt idx="338">
                  <c:v>-9.8699999999999992</c:v>
                </c:pt>
                <c:pt idx="339">
                  <c:v>-8.27</c:v>
                </c:pt>
                <c:pt idx="340">
                  <c:v>-9.4499999999999993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Data!$AK$7:$AK$371</c:f>
              <c:numCache>
                <c:formatCode>General</c:formatCode>
                <c:ptCount val="365"/>
                <c:pt idx="0">
                  <c:v>-22.66</c:v>
                </c:pt>
                <c:pt idx="1">
                  <c:v>-23.52</c:v>
                </c:pt>
                <c:pt idx="2">
                  <c:v>-23.91</c:v>
                </c:pt>
                <c:pt idx="3">
                  <c:v>-22.62</c:v>
                </c:pt>
                <c:pt idx="4">
                  <c:v>-24.51</c:v>
                </c:pt>
                <c:pt idx="5">
                  <c:v>-23.33</c:v>
                </c:pt>
                <c:pt idx="6">
                  <c:v>-26.44</c:v>
                </c:pt>
                <c:pt idx="7">
                  <c:v>-9.7200000000000006</c:v>
                </c:pt>
                <c:pt idx="8">
                  <c:v>-7.82</c:v>
                </c:pt>
                <c:pt idx="9">
                  <c:v>-6.4119999999999999</c:v>
                </c:pt>
                <c:pt idx="10">
                  <c:v>-9.82</c:v>
                </c:pt>
                <c:pt idx="11">
                  <c:v>-11.81</c:v>
                </c:pt>
                <c:pt idx="12">
                  <c:v>-4.1230000000000002</c:v>
                </c:pt>
                <c:pt idx="13">
                  <c:v>-9.6</c:v>
                </c:pt>
                <c:pt idx="14">
                  <c:v>-8.6</c:v>
                </c:pt>
                <c:pt idx="15">
                  <c:v>-8.58</c:v>
                </c:pt>
                <c:pt idx="16">
                  <c:v>-10.45</c:v>
                </c:pt>
                <c:pt idx="17">
                  <c:v>-7.01</c:v>
                </c:pt>
                <c:pt idx="18">
                  <c:v>-15.38</c:v>
                </c:pt>
                <c:pt idx="19">
                  <c:v>-16.43</c:v>
                </c:pt>
                <c:pt idx="20">
                  <c:v>-18.899999999999999</c:v>
                </c:pt>
                <c:pt idx="21">
                  <c:v>-20.46</c:v>
                </c:pt>
                <c:pt idx="22">
                  <c:v>-21.83</c:v>
                </c:pt>
                <c:pt idx="23">
                  <c:v>-17.260000000000002</c:v>
                </c:pt>
                <c:pt idx="24">
                  <c:v>-10.38</c:v>
                </c:pt>
                <c:pt idx="25">
                  <c:v>-8.93</c:v>
                </c:pt>
                <c:pt idx="26">
                  <c:v>-15.7</c:v>
                </c:pt>
                <c:pt idx="27">
                  <c:v>-18.100000000000001</c:v>
                </c:pt>
                <c:pt idx="28">
                  <c:v>-1.609</c:v>
                </c:pt>
                <c:pt idx="29">
                  <c:v>-8.9</c:v>
                </c:pt>
                <c:pt idx="30">
                  <c:v>-1.103</c:v>
                </c:pt>
                <c:pt idx="31">
                  <c:v>-1.7030000000000001</c:v>
                </c:pt>
                <c:pt idx="32">
                  <c:v>-11.39</c:v>
                </c:pt>
                <c:pt idx="33">
                  <c:v>-10.82</c:v>
                </c:pt>
                <c:pt idx="34">
                  <c:v>-14.04</c:v>
                </c:pt>
                <c:pt idx="35">
                  <c:v>-8.74</c:v>
                </c:pt>
                <c:pt idx="36">
                  <c:v>-1.82</c:v>
                </c:pt>
                <c:pt idx="37">
                  <c:v>-13.56</c:v>
                </c:pt>
                <c:pt idx="38">
                  <c:v>-14.25</c:v>
                </c:pt>
                <c:pt idx="39">
                  <c:v>-15.93</c:v>
                </c:pt>
                <c:pt idx="40">
                  <c:v>-17.23</c:v>
                </c:pt>
                <c:pt idx="41">
                  <c:v>-21.47</c:v>
                </c:pt>
                <c:pt idx="42">
                  <c:v>-23.21</c:v>
                </c:pt>
                <c:pt idx="43">
                  <c:v>-30.98</c:v>
                </c:pt>
                <c:pt idx="44">
                  <c:v>-30.17</c:v>
                </c:pt>
                <c:pt idx="45">
                  <c:v>-14.57</c:v>
                </c:pt>
                <c:pt idx="46">
                  <c:v>-8.4499999999999993</c:v>
                </c:pt>
                <c:pt idx="47">
                  <c:v>-3.92</c:v>
                </c:pt>
                <c:pt idx="48">
                  <c:v>-6.7469999999999999</c:v>
                </c:pt>
                <c:pt idx="49">
                  <c:v>-4.3739999999999997</c:v>
                </c:pt>
                <c:pt idx="50">
                  <c:v>-0.21</c:v>
                </c:pt>
                <c:pt idx="51">
                  <c:v>-10.69</c:v>
                </c:pt>
                <c:pt idx="52">
                  <c:v>-13.05</c:v>
                </c:pt>
                <c:pt idx="53">
                  <c:v>-12.66</c:v>
                </c:pt>
                <c:pt idx="54">
                  <c:v>-2.9660000000000002</c:v>
                </c:pt>
                <c:pt idx="55">
                  <c:v>-16.899999999999999</c:v>
                </c:pt>
                <c:pt idx="56">
                  <c:v>-21.5</c:v>
                </c:pt>
                <c:pt idx="57">
                  <c:v>-27.06</c:v>
                </c:pt>
                <c:pt idx="58">
                  <c:v>-27.28</c:v>
                </c:pt>
                <c:pt idx="59">
                  <c:v>-28.26</c:v>
                </c:pt>
                <c:pt idx="60">
                  <c:v>-24.76</c:v>
                </c:pt>
                <c:pt idx="61">
                  <c:v>-21</c:v>
                </c:pt>
                <c:pt idx="62">
                  <c:v>-15.6</c:v>
                </c:pt>
                <c:pt idx="63">
                  <c:v>-26.78</c:v>
                </c:pt>
                <c:pt idx="64">
                  <c:v>-29.02</c:v>
                </c:pt>
                <c:pt idx="65">
                  <c:v>-24.47</c:v>
                </c:pt>
                <c:pt idx="66">
                  <c:v>-12.96</c:v>
                </c:pt>
                <c:pt idx="67">
                  <c:v>-2.6930000000000001</c:v>
                </c:pt>
                <c:pt idx="68">
                  <c:v>-3.226</c:v>
                </c:pt>
                <c:pt idx="69">
                  <c:v>-0.54</c:v>
                </c:pt>
                <c:pt idx="70">
                  <c:v>-11.78</c:v>
                </c:pt>
                <c:pt idx="71">
                  <c:v>-13.08</c:v>
                </c:pt>
                <c:pt idx="72">
                  <c:v>-4.7160000000000002</c:v>
                </c:pt>
                <c:pt idx="73">
                  <c:v>-7.39</c:v>
                </c:pt>
                <c:pt idx="74">
                  <c:v>-10.96</c:v>
                </c:pt>
                <c:pt idx="75">
                  <c:v>-9.7200000000000006</c:v>
                </c:pt>
                <c:pt idx="76">
                  <c:v>-3.5649999999999999</c:v>
                </c:pt>
                <c:pt idx="77">
                  <c:v>-5.8380000000000001</c:v>
                </c:pt>
                <c:pt idx="78">
                  <c:v>-6.9749999999999996</c:v>
                </c:pt>
                <c:pt idx="79">
                  <c:v>-10.71</c:v>
                </c:pt>
                <c:pt idx="80">
                  <c:v>-12.52</c:v>
                </c:pt>
                <c:pt idx="81">
                  <c:v>-9.23</c:v>
                </c:pt>
                <c:pt idx="82">
                  <c:v>-11.54</c:v>
                </c:pt>
                <c:pt idx="83">
                  <c:v>-20.67</c:v>
                </c:pt>
                <c:pt idx="84">
                  <c:v>-19.27</c:v>
                </c:pt>
                <c:pt idx="85">
                  <c:v>-16.36</c:v>
                </c:pt>
                <c:pt idx="86">
                  <c:v>-13.68</c:v>
                </c:pt>
                <c:pt idx="87">
                  <c:v>-10.64</c:v>
                </c:pt>
                <c:pt idx="88">
                  <c:v>-7.95</c:v>
                </c:pt>
                <c:pt idx="89">
                  <c:v>-9.42</c:v>
                </c:pt>
                <c:pt idx="90">
                  <c:v>-4.2640000000000002</c:v>
                </c:pt>
                <c:pt idx="91">
                  <c:v>-6.4980000000000002</c:v>
                </c:pt>
                <c:pt idx="92">
                  <c:v>-2.3929999999999998</c:v>
                </c:pt>
                <c:pt idx="93">
                  <c:v>-9.9</c:v>
                </c:pt>
                <c:pt idx="94">
                  <c:v>-10.16</c:v>
                </c:pt>
                <c:pt idx="95">
                  <c:v>-7.66</c:v>
                </c:pt>
                <c:pt idx="96">
                  <c:v>-4.1050000000000004</c:v>
                </c:pt>
                <c:pt idx="97">
                  <c:v>-6.4119999999999999</c:v>
                </c:pt>
                <c:pt idx="98">
                  <c:v>-7.62</c:v>
                </c:pt>
                <c:pt idx="99">
                  <c:v>-13.37</c:v>
                </c:pt>
                <c:pt idx="100">
                  <c:v>-15.22</c:v>
                </c:pt>
                <c:pt idx="101">
                  <c:v>-16.18</c:v>
                </c:pt>
                <c:pt idx="102">
                  <c:v>-4.5810000000000004</c:v>
                </c:pt>
                <c:pt idx="103">
                  <c:v>-5.32</c:v>
                </c:pt>
                <c:pt idx="104">
                  <c:v>-14.53</c:v>
                </c:pt>
                <c:pt idx="105">
                  <c:v>-16.940000000000001</c:v>
                </c:pt>
                <c:pt idx="106">
                  <c:v>-9.32</c:v>
                </c:pt>
                <c:pt idx="107">
                  <c:v>-6.33</c:v>
                </c:pt>
                <c:pt idx="108">
                  <c:v>-10.73</c:v>
                </c:pt>
                <c:pt idx="109">
                  <c:v>-13.05</c:v>
                </c:pt>
                <c:pt idx="110">
                  <c:v>-12.24</c:v>
                </c:pt>
                <c:pt idx="111">
                  <c:v>-9.66</c:v>
                </c:pt>
                <c:pt idx="112">
                  <c:v>-9</c:v>
                </c:pt>
                <c:pt idx="113">
                  <c:v>-4.9260000000000002</c:v>
                </c:pt>
                <c:pt idx="114">
                  <c:v>-8.0299999999999994</c:v>
                </c:pt>
                <c:pt idx="115">
                  <c:v>-5.5650000000000004</c:v>
                </c:pt>
                <c:pt idx="116">
                  <c:v>-1.9830000000000001</c:v>
                </c:pt>
                <c:pt idx="117">
                  <c:v>-3.6240000000000001</c:v>
                </c:pt>
                <c:pt idx="118">
                  <c:v>-3.7450000000000001</c:v>
                </c:pt>
                <c:pt idx="119">
                  <c:v>-3.4889999999999999</c:v>
                </c:pt>
                <c:pt idx="120">
                  <c:v>-4.0890000000000004</c:v>
                </c:pt>
                <c:pt idx="121">
                  <c:v>-2.726</c:v>
                </c:pt>
                <c:pt idx="122">
                  <c:v>-3.4630000000000001</c:v>
                </c:pt>
                <c:pt idx="123">
                  <c:v>-5.8949999999999996</c:v>
                </c:pt>
                <c:pt idx="124">
                  <c:v>-4.1029999999999998</c:v>
                </c:pt>
                <c:pt idx="125">
                  <c:v>-2.835</c:v>
                </c:pt>
                <c:pt idx="126">
                  <c:v>-2.6619999999999999</c:v>
                </c:pt>
                <c:pt idx="127">
                  <c:v>-3.1960000000000002</c:v>
                </c:pt>
                <c:pt idx="128">
                  <c:v>-2.1869999999999998</c:v>
                </c:pt>
                <c:pt idx="129">
                  <c:v>-1.333</c:v>
                </c:pt>
                <c:pt idx="130">
                  <c:v>-0.25700000000000001</c:v>
                </c:pt>
                <c:pt idx="131">
                  <c:v>-1.966</c:v>
                </c:pt>
                <c:pt idx="132">
                  <c:v>-4.9489999999999998</c:v>
                </c:pt>
                <c:pt idx="133">
                  <c:v>-3.3159999999999998</c:v>
                </c:pt>
                <c:pt idx="134">
                  <c:v>-1.95</c:v>
                </c:pt>
                <c:pt idx="135">
                  <c:v>-2.903</c:v>
                </c:pt>
                <c:pt idx="136">
                  <c:v>7.8E-2</c:v>
                </c:pt>
                <c:pt idx="137">
                  <c:v>-3.6669999999999998</c:v>
                </c:pt>
                <c:pt idx="138">
                  <c:v>-6.4340000000000002</c:v>
                </c:pt>
                <c:pt idx="139">
                  <c:v>-4.4950000000000001</c:v>
                </c:pt>
                <c:pt idx="140">
                  <c:v>-5.9089999999999998</c:v>
                </c:pt>
                <c:pt idx="141">
                  <c:v>-5.4950000000000001</c:v>
                </c:pt>
                <c:pt idx="142">
                  <c:v>-3.62</c:v>
                </c:pt>
                <c:pt idx="143">
                  <c:v>-2.3290000000000002</c:v>
                </c:pt>
                <c:pt idx="144">
                  <c:v>-2.129</c:v>
                </c:pt>
                <c:pt idx="145">
                  <c:v>-4.0890000000000004</c:v>
                </c:pt>
                <c:pt idx="146">
                  <c:v>-2.5590000000000002</c:v>
                </c:pt>
                <c:pt idx="147">
                  <c:v>-1.0980000000000001</c:v>
                </c:pt>
                <c:pt idx="148">
                  <c:v>0.39400000000000002</c:v>
                </c:pt>
                <c:pt idx="149">
                  <c:v>0.90300000000000002</c:v>
                </c:pt>
                <c:pt idx="150">
                  <c:v>-1.0920000000000001</c:v>
                </c:pt>
                <c:pt idx="151">
                  <c:v>0.99199999999999999</c:v>
                </c:pt>
                <c:pt idx="152">
                  <c:v>1.9470000000000001</c:v>
                </c:pt>
                <c:pt idx="153">
                  <c:v>0.83499999999999996</c:v>
                </c:pt>
                <c:pt idx="154">
                  <c:v>2.7189999999999999</c:v>
                </c:pt>
                <c:pt idx="155">
                  <c:v>2.0979999999999999</c:v>
                </c:pt>
                <c:pt idx="156">
                  <c:v>-0.193</c:v>
                </c:pt>
                <c:pt idx="157">
                  <c:v>-0.59399999999999997</c:v>
                </c:pt>
                <c:pt idx="158">
                  <c:v>-1.83</c:v>
                </c:pt>
                <c:pt idx="159">
                  <c:v>-1.244</c:v>
                </c:pt>
                <c:pt idx="160">
                  <c:v>-0.28899999999999998</c:v>
                </c:pt>
                <c:pt idx="161">
                  <c:v>4.6870000000000003</c:v>
                </c:pt>
                <c:pt idx="162">
                  <c:v>0.47499999999999998</c:v>
                </c:pt>
                <c:pt idx="163">
                  <c:v>2.0649999999999999</c:v>
                </c:pt>
                <c:pt idx="164">
                  <c:v>3.097</c:v>
                </c:pt>
                <c:pt idx="165">
                  <c:v>4.6630000000000003</c:v>
                </c:pt>
                <c:pt idx="166">
                  <c:v>1.1299999999999999</c:v>
                </c:pt>
                <c:pt idx="167">
                  <c:v>4.6449999999999996</c:v>
                </c:pt>
                <c:pt idx="168">
                  <c:v>3.4550000000000001</c:v>
                </c:pt>
                <c:pt idx="169">
                  <c:v>1.7110000000000001</c:v>
                </c:pt>
                <c:pt idx="170">
                  <c:v>5.9960000000000004</c:v>
                </c:pt>
                <c:pt idx="171">
                  <c:v>7.04</c:v>
                </c:pt>
                <c:pt idx="172">
                  <c:v>2.6989999999999998</c:v>
                </c:pt>
                <c:pt idx="173">
                  <c:v>3.7</c:v>
                </c:pt>
                <c:pt idx="174">
                  <c:v>4.5209999999999999</c:v>
                </c:pt>
                <c:pt idx="175">
                  <c:v>1.0369999999999999</c:v>
                </c:pt>
                <c:pt idx="176">
                  <c:v>-0.95899999999999996</c:v>
                </c:pt>
                <c:pt idx="177">
                  <c:v>-2.5609999999999999</c:v>
                </c:pt>
                <c:pt idx="178">
                  <c:v>-0.157</c:v>
                </c:pt>
                <c:pt idx="179">
                  <c:v>2.0659999999999998</c:v>
                </c:pt>
                <c:pt idx="180">
                  <c:v>3.2160000000000002</c:v>
                </c:pt>
                <c:pt idx="181">
                  <c:v>5.6059999999999999</c:v>
                </c:pt>
                <c:pt idx="182">
                  <c:v>8.09</c:v>
                </c:pt>
                <c:pt idx="183">
                  <c:v>4.2969999999999997</c:v>
                </c:pt>
                <c:pt idx="184">
                  <c:v>3.2829999999999999</c:v>
                </c:pt>
                <c:pt idx="185">
                  <c:v>4.7640000000000002</c:v>
                </c:pt>
                <c:pt idx="186">
                  <c:v>1.113</c:v>
                </c:pt>
                <c:pt idx="187">
                  <c:v>6.9139999999999997</c:v>
                </c:pt>
                <c:pt idx="188">
                  <c:v>5.101</c:v>
                </c:pt>
                <c:pt idx="189">
                  <c:v>6.6980000000000004</c:v>
                </c:pt>
                <c:pt idx="190">
                  <c:v>4.8010000000000002</c:v>
                </c:pt>
                <c:pt idx="191">
                  <c:v>1.296</c:v>
                </c:pt>
                <c:pt idx="192">
                  <c:v>-1.2130000000000001</c:v>
                </c:pt>
                <c:pt idx="193">
                  <c:v>0.52200000000000002</c:v>
                </c:pt>
                <c:pt idx="194">
                  <c:v>3.4510000000000001</c:v>
                </c:pt>
                <c:pt idx="195">
                  <c:v>0.75800000000000001</c:v>
                </c:pt>
                <c:pt idx="196">
                  <c:v>3.9039999999999999</c:v>
                </c:pt>
                <c:pt idx="197">
                  <c:v>2.0739999999999998</c:v>
                </c:pt>
                <c:pt idx="198">
                  <c:v>3.8439999999999999</c:v>
                </c:pt>
                <c:pt idx="199">
                  <c:v>2.504</c:v>
                </c:pt>
                <c:pt idx="200">
                  <c:v>5.4290000000000003</c:v>
                </c:pt>
                <c:pt idx="201">
                  <c:v>4.9340000000000002</c:v>
                </c:pt>
                <c:pt idx="202">
                  <c:v>2.831</c:v>
                </c:pt>
                <c:pt idx="203">
                  <c:v>6.915</c:v>
                </c:pt>
                <c:pt idx="204">
                  <c:v>7.95</c:v>
                </c:pt>
                <c:pt idx="205">
                  <c:v>8.25</c:v>
                </c:pt>
                <c:pt idx="206">
                  <c:v>7.51</c:v>
                </c:pt>
                <c:pt idx="207">
                  <c:v>0.153</c:v>
                </c:pt>
                <c:pt idx="208">
                  <c:v>-0.64800000000000002</c:v>
                </c:pt>
                <c:pt idx="209">
                  <c:v>2.915</c:v>
                </c:pt>
                <c:pt idx="210">
                  <c:v>4.516</c:v>
                </c:pt>
                <c:pt idx="211">
                  <c:v>4.4770000000000003</c:v>
                </c:pt>
                <c:pt idx="212">
                  <c:v>3.3969999999999998</c:v>
                </c:pt>
                <c:pt idx="213">
                  <c:v>3.4039999999999999</c:v>
                </c:pt>
                <c:pt idx="214">
                  <c:v>2.9710000000000001</c:v>
                </c:pt>
                <c:pt idx="215">
                  <c:v>4.3620000000000001</c:v>
                </c:pt>
                <c:pt idx="216">
                  <c:v>4.8220000000000001</c:v>
                </c:pt>
                <c:pt idx="217">
                  <c:v>3.4649999999999999</c:v>
                </c:pt>
                <c:pt idx="218">
                  <c:v>1.964</c:v>
                </c:pt>
                <c:pt idx="219">
                  <c:v>3.831</c:v>
                </c:pt>
                <c:pt idx="220">
                  <c:v>2.1160000000000001</c:v>
                </c:pt>
                <c:pt idx="221">
                  <c:v>0.376</c:v>
                </c:pt>
                <c:pt idx="222">
                  <c:v>4.3620000000000001</c:v>
                </c:pt>
                <c:pt idx="223">
                  <c:v>2.83</c:v>
                </c:pt>
                <c:pt idx="224">
                  <c:v>2.48</c:v>
                </c:pt>
                <c:pt idx="225">
                  <c:v>3.08</c:v>
                </c:pt>
                <c:pt idx="226">
                  <c:v>1.3680000000000001</c:v>
                </c:pt>
                <c:pt idx="227">
                  <c:v>0.73799999999999999</c:v>
                </c:pt>
                <c:pt idx="228">
                  <c:v>0.5</c:v>
                </c:pt>
                <c:pt idx="229">
                  <c:v>3.21</c:v>
                </c:pt>
                <c:pt idx="230">
                  <c:v>3.2480000000000002</c:v>
                </c:pt>
                <c:pt idx="231">
                  <c:v>-0.46500000000000002</c:v>
                </c:pt>
                <c:pt idx="232">
                  <c:v>2.573</c:v>
                </c:pt>
                <c:pt idx="233">
                  <c:v>1.355</c:v>
                </c:pt>
                <c:pt idx="234">
                  <c:v>-0.81799999999999995</c:v>
                </c:pt>
                <c:pt idx="235">
                  <c:v>-2.202</c:v>
                </c:pt>
                <c:pt idx="236">
                  <c:v>-3.5070000000000001</c:v>
                </c:pt>
                <c:pt idx="237">
                  <c:v>-0.59599999999999997</c:v>
                </c:pt>
                <c:pt idx="238">
                  <c:v>-2.5339999999999998</c:v>
                </c:pt>
                <c:pt idx="239">
                  <c:v>-0.55100000000000005</c:v>
                </c:pt>
                <c:pt idx="240">
                  <c:v>0.52600000000000002</c:v>
                </c:pt>
                <c:pt idx="241">
                  <c:v>-0.67200000000000004</c:v>
                </c:pt>
                <c:pt idx="242">
                  <c:v>-1.9810000000000001</c:v>
                </c:pt>
                <c:pt idx="243">
                  <c:v>-0.86899999999999999</c:v>
                </c:pt>
                <c:pt idx="244">
                  <c:v>0.48199999999999998</c:v>
                </c:pt>
                <c:pt idx="245">
                  <c:v>-0.78900000000000003</c:v>
                </c:pt>
                <c:pt idx="246">
                  <c:v>1.748</c:v>
                </c:pt>
                <c:pt idx="247">
                  <c:v>4.6260000000000003</c:v>
                </c:pt>
                <c:pt idx="248">
                  <c:v>2.242</c:v>
                </c:pt>
                <c:pt idx="249">
                  <c:v>0.46300000000000002</c:v>
                </c:pt>
                <c:pt idx="250">
                  <c:v>0.78700000000000003</c:v>
                </c:pt>
                <c:pt idx="251">
                  <c:v>1.2609999999999999</c:v>
                </c:pt>
                <c:pt idx="252">
                  <c:v>1.145</c:v>
                </c:pt>
                <c:pt idx="253">
                  <c:v>0.79800000000000004</c:v>
                </c:pt>
                <c:pt idx="254">
                  <c:v>-0.68700000000000006</c:v>
                </c:pt>
                <c:pt idx="255">
                  <c:v>0.624</c:v>
                </c:pt>
                <c:pt idx="256">
                  <c:v>-0.64600000000000002</c:v>
                </c:pt>
                <c:pt idx="257">
                  <c:v>-0.29099999999999998</c:v>
                </c:pt>
                <c:pt idx="258">
                  <c:v>-2.0950000000000002</c:v>
                </c:pt>
                <c:pt idx="259">
                  <c:v>-2.3570000000000002</c:v>
                </c:pt>
                <c:pt idx="260">
                  <c:v>-0.629</c:v>
                </c:pt>
                <c:pt idx="261">
                  <c:v>-3.778</c:v>
                </c:pt>
                <c:pt idx="262">
                  <c:v>-5.7809999999999997</c:v>
                </c:pt>
                <c:pt idx="263">
                  <c:v>-6.5720000000000001</c:v>
                </c:pt>
                <c:pt idx="264">
                  <c:v>-4.9969999999999999</c:v>
                </c:pt>
                <c:pt idx="265">
                  <c:v>-2.5390000000000001</c:v>
                </c:pt>
                <c:pt idx="266">
                  <c:v>-1.7849999999999999</c:v>
                </c:pt>
                <c:pt idx="267">
                  <c:v>-3.4460000000000002</c:v>
                </c:pt>
                <c:pt idx="268">
                  <c:v>-2.891</c:v>
                </c:pt>
                <c:pt idx="269">
                  <c:v>1.58</c:v>
                </c:pt>
                <c:pt idx="270">
                  <c:v>1.371</c:v>
                </c:pt>
                <c:pt idx="271">
                  <c:v>2.1139999999999999</c:v>
                </c:pt>
                <c:pt idx="272">
                  <c:v>-0.88500000000000001</c:v>
                </c:pt>
                <c:pt idx="273">
                  <c:v>-6.5670000000000002</c:v>
                </c:pt>
                <c:pt idx="274">
                  <c:v>-0.93600000000000005</c:v>
                </c:pt>
                <c:pt idx="275">
                  <c:v>-1.454</c:v>
                </c:pt>
                <c:pt idx="276">
                  <c:v>-6.101</c:v>
                </c:pt>
                <c:pt idx="277">
                  <c:v>-5.2409999999999997</c:v>
                </c:pt>
                <c:pt idx="278">
                  <c:v>-0.188</c:v>
                </c:pt>
                <c:pt idx="279">
                  <c:v>0.308</c:v>
                </c:pt>
                <c:pt idx="280">
                  <c:v>-0.46100000000000002</c:v>
                </c:pt>
                <c:pt idx="281">
                  <c:v>-1.9359999999999999</c:v>
                </c:pt>
                <c:pt idx="282">
                  <c:v>-1.0609999999999999</c:v>
                </c:pt>
                <c:pt idx="283">
                  <c:v>-0.85799999999999998</c:v>
                </c:pt>
                <c:pt idx="284">
                  <c:v>-2.6760000000000002</c:v>
                </c:pt>
                <c:pt idx="285">
                  <c:v>-2.1190000000000002</c:v>
                </c:pt>
                <c:pt idx="286">
                  <c:v>-0.159</c:v>
                </c:pt>
                <c:pt idx="287">
                  <c:v>1.141</c:v>
                </c:pt>
                <c:pt idx="288">
                  <c:v>-0.873</c:v>
                </c:pt>
                <c:pt idx="289">
                  <c:v>-0.629</c:v>
                </c:pt>
                <c:pt idx="290">
                  <c:v>-6.46</c:v>
                </c:pt>
                <c:pt idx="291">
                  <c:v>-7.57</c:v>
                </c:pt>
                <c:pt idx="292">
                  <c:v>-3.1360000000000001</c:v>
                </c:pt>
                <c:pt idx="293">
                  <c:v>-4.8719999999999999</c:v>
                </c:pt>
                <c:pt idx="294">
                  <c:v>-6.5890000000000004</c:v>
                </c:pt>
                <c:pt idx="295">
                  <c:v>-4.2469999999999999</c:v>
                </c:pt>
                <c:pt idx="296">
                  <c:v>-2.57</c:v>
                </c:pt>
                <c:pt idx="297">
                  <c:v>-2.9220000000000002</c:v>
                </c:pt>
                <c:pt idx="298">
                  <c:v>-2.5489999999999999</c:v>
                </c:pt>
                <c:pt idx="299">
                  <c:v>-9.57</c:v>
                </c:pt>
                <c:pt idx="300">
                  <c:v>-13.81</c:v>
                </c:pt>
                <c:pt idx="301">
                  <c:v>-15.63</c:v>
                </c:pt>
                <c:pt idx="302">
                  <c:v>-17.64</c:v>
                </c:pt>
                <c:pt idx="303">
                  <c:v>-18.04</c:v>
                </c:pt>
                <c:pt idx="304">
                  <c:v>-20.28</c:v>
                </c:pt>
                <c:pt idx="305">
                  <c:v>-17.77</c:v>
                </c:pt>
                <c:pt idx="306">
                  <c:v>-16.760000000000002</c:v>
                </c:pt>
                <c:pt idx="307">
                  <c:v>-11.14</c:v>
                </c:pt>
                <c:pt idx="308">
                  <c:v>-10.029999999999999</c:v>
                </c:pt>
                <c:pt idx="309">
                  <c:v>-13.53</c:v>
                </c:pt>
                <c:pt idx="310">
                  <c:v>-14.88</c:v>
                </c:pt>
                <c:pt idx="311">
                  <c:v>-5.2910000000000004</c:v>
                </c:pt>
                <c:pt idx="312">
                  <c:v>-16.14</c:v>
                </c:pt>
                <c:pt idx="313">
                  <c:v>-16.82</c:v>
                </c:pt>
                <c:pt idx="314">
                  <c:v>-7.99</c:v>
                </c:pt>
                <c:pt idx="315">
                  <c:v>-3.8380000000000001</c:v>
                </c:pt>
                <c:pt idx="316">
                  <c:v>-2.7120000000000002</c:v>
                </c:pt>
                <c:pt idx="317">
                  <c:v>-0.63400000000000001</c:v>
                </c:pt>
                <c:pt idx="318">
                  <c:v>-1.887</c:v>
                </c:pt>
                <c:pt idx="319">
                  <c:v>-0.95499999999999996</c:v>
                </c:pt>
                <c:pt idx="320">
                  <c:v>-0.22700000000000001</c:v>
                </c:pt>
                <c:pt idx="321">
                  <c:v>-3.6680000000000001</c:v>
                </c:pt>
                <c:pt idx="322">
                  <c:v>-13.02</c:v>
                </c:pt>
                <c:pt idx="323">
                  <c:v>-14.34</c:v>
                </c:pt>
                <c:pt idx="324">
                  <c:v>-8.57</c:v>
                </c:pt>
                <c:pt idx="325">
                  <c:v>-0.69599999999999995</c:v>
                </c:pt>
                <c:pt idx="326">
                  <c:v>-2.0640000000000001</c:v>
                </c:pt>
                <c:pt idx="327">
                  <c:v>-2.524</c:v>
                </c:pt>
                <c:pt idx="328">
                  <c:v>-5.7160000000000002</c:v>
                </c:pt>
                <c:pt idx="329">
                  <c:v>-4.28</c:v>
                </c:pt>
                <c:pt idx="330">
                  <c:v>-6.11</c:v>
                </c:pt>
                <c:pt idx="331">
                  <c:v>-4.4000000000000004</c:v>
                </c:pt>
                <c:pt idx="332">
                  <c:v>0.92</c:v>
                </c:pt>
                <c:pt idx="333">
                  <c:v>-1.087</c:v>
                </c:pt>
                <c:pt idx="334">
                  <c:v>-5.9130000000000003</c:v>
                </c:pt>
                <c:pt idx="335">
                  <c:v>-12.28</c:v>
                </c:pt>
                <c:pt idx="336">
                  <c:v>-7.96</c:v>
                </c:pt>
                <c:pt idx="337">
                  <c:v>-21.31</c:v>
                </c:pt>
                <c:pt idx="338">
                  <c:v>-27.47</c:v>
                </c:pt>
                <c:pt idx="339">
                  <c:v>-27.21</c:v>
                </c:pt>
                <c:pt idx="340">
                  <c:v>-37.32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264640"/>
        <c:axId val="235479808"/>
      </c:lineChart>
      <c:catAx>
        <c:axId val="23526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47980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547980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2646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Maximum and Minimum Temperature - 0.25 Metres</a:t>
            </a:r>
          </a:p>
        </c:rich>
      </c:tx>
      <c:layout>
        <c:manualLayout>
          <c:xMode val="edge"/>
          <c:yMode val="edge"/>
          <c:x val="0.1414253897550111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109131403118042E-2"/>
          <c:y val="0.15334420880913541"/>
          <c:w val="0.88975501113585742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Data!$X$7:$X$371</c:f>
              <c:numCache>
                <c:formatCode>General</c:formatCode>
                <c:ptCount val="365"/>
                <c:pt idx="0">
                  <c:v>0.16400000000000001</c:v>
                </c:pt>
                <c:pt idx="1">
                  <c:v>-1.2E-2</c:v>
                </c:pt>
                <c:pt idx="2">
                  <c:v>-0.32700000000000001</c:v>
                </c:pt>
                <c:pt idx="3">
                  <c:v>-0.46300000000000002</c:v>
                </c:pt>
                <c:pt idx="4">
                  <c:v>-0.55200000000000005</c:v>
                </c:pt>
                <c:pt idx="5">
                  <c:v>-0.63500000000000001</c:v>
                </c:pt>
                <c:pt idx="6">
                  <c:v>-0.75800000000000001</c:v>
                </c:pt>
                <c:pt idx="7">
                  <c:v>-0.83799999999999997</c:v>
                </c:pt>
                <c:pt idx="8">
                  <c:v>-0.78100000000000003</c:v>
                </c:pt>
                <c:pt idx="9">
                  <c:v>-0.68500000000000005</c:v>
                </c:pt>
                <c:pt idx="10">
                  <c:v>-0.57699999999999996</c:v>
                </c:pt>
                <c:pt idx="11">
                  <c:v>-0.48899999999999999</c:v>
                </c:pt>
                <c:pt idx="12">
                  <c:v>-0.41599999999999998</c:v>
                </c:pt>
                <c:pt idx="13">
                  <c:v>-0.372</c:v>
                </c:pt>
                <c:pt idx="14">
                  <c:v>-0.315</c:v>
                </c:pt>
                <c:pt idx="15">
                  <c:v>-0.26800000000000002</c:v>
                </c:pt>
                <c:pt idx="16">
                  <c:v>-9.7000000000000003E-2</c:v>
                </c:pt>
                <c:pt idx="17">
                  <c:v>1.2E-2</c:v>
                </c:pt>
                <c:pt idx="18">
                  <c:v>6.2E-2</c:v>
                </c:pt>
                <c:pt idx="19">
                  <c:v>9.8000000000000004E-2</c:v>
                </c:pt>
                <c:pt idx="20">
                  <c:v>0.121</c:v>
                </c:pt>
                <c:pt idx="21">
                  <c:v>0.14099999999999999</c:v>
                </c:pt>
                <c:pt idx="22">
                  <c:v>0.127</c:v>
                </c:pt>
                <c:pt idx="23">
                  <c:v>7.0999999999999994E-2</c:v>
                </c:pt>
                <c:pt idx="24">
                  <c:v>-3.4000000000000002E-2</c:v>
                </c:pt>
                <c:pt idx="25">
                  <c:v>-5.6000000000000001E-2</c:v>
                </c:pt>
                <c:pt idx="26">
                  <c:v>-2.4E-2</c:v>
                </c:pt>
                <c:pt idx="27">
                  <c:v>2.1000000000000001E-2</c:v>
                </c:pt>
                <c:pt idx="28">
                  <c:v>6.9000000000000006E-2</c:v>
                </c:pt>
                <c:pt idx="29">
                  <c:v>0.10100000000000001</c:v>
                </c:pt>
                <c:pt idx="30">
                  <c:v>0.13800000000000001</c:v>
                </c:pt>
                <c:pt idx="31">
                  <c:v>0.158</c:v>
                </c:pt>
                <c:pt idx="32">
                  <c:v>0.16800000000000001</c:v>
                </c:pt>
                <c:pt idx="33">
                  <c:v>0.17199999999999999</c:v>
                </c:pt>
                <c:pt idx="34">
                  <c:v>0.18099999999999999</c:v>
                </c:pt>
                <c:pt idx="35">
                  <c:v>0.17699999999999999</c:v>
                </c:pt>
                <c:pt idx="36">
                  <c:v>0.19500000000000001</c:v>
                </c:pt>
                <c:pt idx="37">
                  <c:v>0.17599999999999999</c:v>
                </c:pt>
                <c:pt idx="38">
                  <c:v>0.13</c:v>
                </c:pt>
                <c:pt idx="39">
                  <c:v>8.5000000000000006E-2</c:v>
                </c:pt>
                <c:pt idx="40">
                  <c:v>8.5000000000000006E-2</c:v>
                </c:pt>
                <c:pt idx="41">
                  <c:v>9.0999999999999998E-2</c:v>
                </c:pt>
                <c:pt idx="42">
                  <c:v>0.11899999999999999</c:v>
                </c:pt>
                <c:pt idx="43">
                  <c:v>0.375</c:v>
                </c:pt>
                <c:pt idx="44">
                  <c:v>-2.1999999999999999E-2</c:v>
                </c:pt>
                <c:pt idx="45">
                  <c:v>-0.113</c:v>
                </c:pt>
                <c:pt idx="46">
                  <c:v>-0.35199999999999998</c:v>
                </c:pt>
                <c:pt idx="47">
                  <c:v>-0.44900000000000001</c:v>
                </c:pt>
                <c:pt idx="48">
                  <c:v>-0.438</c:v>
                </c:pt>
                <c:pt idx="49">
                  <c:v>-0.317</c:v>
                </c:pt>
                <c:pt idx="50">
                  <c:v>-0.20699999999999999</c:v>
                </c:pt>
                <c:pt idx="51">
                  <c:v>-0.151</c:v>
                </c:pt>
                <c:pt idx="52">
                  <c:v>-0.124</c:v>
                </c:pt>
                <c:pt idx="53">
                  <c:v>-5.8999999999999997E-2</c:v>
                </c:pt>
                <c:pt idx="54">
                  <c:v>0.02</c:v>
                </c:pt>
                <c:pt idx="55">
                  <c:v>0.02</c:v>
                </c:pt>
                <c:pt idx="56">
                  <c:v>4.5999999999999999E-2</c:v>
                </c:pt>
                <c:pt idx="57">
                  <c:v>4.7E-2</c:v>
                </c:pt>
                <c:pt idx="58">
                  <c:v>1.4E-2</c:v>
                </c:pt>
                <c:pt idx="59">
                  <c:v>-0.124</c:v>
                </c:pt>
                <c:pt idx="60">
                  <c:v>-0.35599999999999998</c:v>
                </c:pt>
                <c:pt idx="61">
                  <c:v>-0.45100000000000001</c:v>
                </c:pt>
                <c:pt idx="62">
                  <c:v>-0.53</c:v>
                </c:pt>
                <c:pt idx="63">
                  <c:v>-0.54800000000000004</c:v>
                </c:pt>
                <c:pt idx="64">
                  <c:v>-0.6</c:v>
                </c:pt>
                <c:pt idx="65">
                  <c:v>-0.63400000000000001</c:v>
                </c:pt>
                <c:pt idx="66">
                  <c:v>-0.66100000000000003</c:v>
                </c:pt>
                <c:pt idx="67">
                  <c:v>-0.53</c:v>
                </c:pt>
                <c:pt idx="68">
                  <c:v>-0.38300000000000001</c:v>
                </c:pt>
                <c:pt idx="69">
                  <c:v>-0.28599999999999998</c:v>
                </c:pt>
                <c:pt idx="70">
                  <c:v>-0.247</c:v>
                </c:pt>
                <c:pt idx="71">
                  <c:v>-0.23100000000000001</c:v>
                </c:pt>
                <c:pt idx="72">
                  <c:v>-0.17699999999999999</c:v>
                </c:pt>
                <c:pt idx="73">
                  <c:v>-8.3000000000000004E-2</c:v>
                </c:pt>
                <c:pt idx="74">
                  <c:v>-4.1000000000000002E-2</c:v>
                </c:pt>
                <c:pt idx="75">
                  <c:v>8.9999999999999993E-3</c:v>
                </c:pt>
                <c:pt idx="76">
                  <c:v>9.6000000000000002E-2</c:v>
                </c:pt>
                <c:pt idx="77">
                  <c:v>4.2000000000000003E-2</c:v>
                </c:pt>
                <c:pt idx="78">
                  <c:v>0.14199999999999999</c:v>
                </c:pt>
                <c:pt idx="79">
                  <c:v>3.9E-2</c:v>
                </c:pt>
                <c:pt idx="80">
                  <c:v>3.2000000000000001E-2</c:v>
                </c:pt>
                <c:pt idx="81">
                  <c:v>3.4000000000000002E-2</c:v>
                </c:pt>
                <c:pt idx="82">
                  <c:v>6.2E-2</c:v>
                </c:pt>
                <c:pt idx="83">
                  <c:v>5.2999999999999999E-2</c:v>
                </c:pt>
                <c:pt idx="84">
                  <c:v>4.5999999999999999E-2</c:v>
                </c:pt>
                <c:pt idx="85">
                  <c:v>7.2999999999999995E-2</c:v>
                </c:pt>
                <c:pt idx="86">
                  <c:v>0.184</c:v>
                </c:pt>
                <c:pt idx="87">
                  <c:v>8.5000000000000006E-2</c:v>
                </c:pt>
                <c:pt idx="88">
                  <c:v>9.0999999999999998E-2</c:v>
                </c:pt>
                <c:pt idx="89">
                  <c:v>8.4000000000000005E-2</c:v>
                </c:pt>
                <c:pt idx="90">
                  <c:v>7.0000000000000007E-2</c:v>
                </c:pt>
                <c:pt idx="91">
                  <c:v>5.5E-2</c:v>
                </c:pt>
                <c:pt idx="92">
                  <c:v>7.0999999999999994E-2</c:v>
                </c:pt>
                <c:pt idx="93">
                  <c:v>7.0000000000000007E-2</c:v>
                </c:pt>
                <c:pt idx="94">
                  <c:v>4.8000000000000001E-2</c:v>
                </c:pt>
                <c:pt idx="95">
                  <c:v>0.11799999999999999</c:v>
                </c:pt>
                <c:pt idx="96">
                  <c:v>8.8999999999999996E-2</c:v>
                </c:pt>
                <c:pt idx="97">
                  <c:v>7.0000000000000007E-2</c:v>
                </c:pt>
                <c:pt idx="98">
                  <c:v>5.7000000000000002E-2</c:v>
                </c:pt>
                <c:pt idx="99">
                  <c:v>5.8999999999999997E-2</c:v>
                </c:pt>
                <c:pt idx="100">
                  <c:v>4.5999999999999999E-2</c:v>
                </c:pt>
                <c:pt idx="101">
                  <c:v>-2E-3</c:v>
                </c:pt>
                <c:pt idx="102">
                  <c:v>3.5000000000000003E-2</c:v>
                </c:pt>
                <c:pt idx="103">
                  <c:v>2.5999999999999999E-2</c:v>
                </c:pt>
                <c:pt idx="104">
                  <c:v>0.02</c:v>
                </c:pt>
                <c:pt idx="105">
                  <c:v>6.0000000000000001E-3</c:v>
                </c:pt>
                <c:pt idx="106">
                  <c:v>1.6E-2</c:v>
                </c:pt>
                <c:pt idx="107">
                  <c:v>3.7999999999999999E-2</c:v>
                </c:pt>
                <c:pt idx="108">
                  <c:v>5.8999999999999997E-2</c:v>
                </c:pt>
                <c:pt idx="109">
                  <c:v>3.9E-2</c:v>
                </c:pt>
                <c:pt idx="110">
                  <c:v>4.7E-2</c:v>
                </c:pt>
                <c:pt idx="111">
                  <c:v>4.9000000000000002E-2</c:v>
                </c:pt>
                <c:pt idx="112">
                  <c:v>1.7999999999999999E-2</c:v>
                </c:pt>
                <c:pt idx="113">
                  <c:v>0.02</c:v>
                </c:pt>
                <c:pt idx="114">
                  <c:v>5.8999999999999997E-2</c:v>
                </c:pt>
                <c:pt idx="115">
                  <c:v>5.0999999999999997E-2</c:v>
                </c:pt>
                <c:pt idx="116">
                  <c:v>0.255</c:v>
                </c:pt>
                <c:pt idx="117">
                  <c:v>0.20499999999999999</c:v>
                </c:pt>
                <c:pt idx="118">
                  <c:v>0.26200000000000001</c:v>
                </c:pt>
                <c:pt idx="119">
                  <c:v>0.185</c:v>
                </c:pt>
                <c:pt idx="120">
                  <c:v>0.247</c:v>
                </c:pt>
                <c:pt idx="121">
                  <c:v>0.23200000000000001</c:v>
                </c:pt>
                <c:pt idx="122">
                  <c:v>0.155</c:v>
                </c:pt>
                <c:pt idx="123">
                  <c:v>0.255</c:v>
                </c:pt>
                <c:pt idx="124">
                  <c:v>0.18</c:v>
                </c:pt>
                <c:pt idx="125">
                  <c:v>0.313</c:v>
                </c:pt>
                <c:pt idx="126">
                  <c:v>0.34200000000000003</c:v>
                </c:pt>
                <c:pt idx="127">
                  <c:v>0.41699999999999998</c:v>
                </c:pt>
                <c:pt idx="128">
                  <c:v>0.40200000000000002</c:v>
                </c:pt>
                <c:pt idx="129">
                  <c:v>0.33300000000000002</c:v>
                </c:pt>
                <c:pt idx="130">
                  <c:v>0.124</c:v>
                </c:pt>
                <c:pt idx="131">
                  <c:v>0.17499999999999999</c:v>
                </c:pt>
                <c:pt idx="132">
                  <c:v>0.316</c:v>
                </c:pt>
                <c:pt idx="133">
                  <c:v>0.27200000000000002</c:v>
                </c:pt>
                <c:pt idx="134">
                  <c:v>0.32100000000000001</c:v>
                </c:pt>
                <c:pt idx="135">
                  <c:v>0.33600000000000002</c:v>
                </c:pt>
                <c:pt idx="136">
                  <c:v>0.27900000000000003</c:v>
                </c:pt>
                <c:pt idx="137">
                  <c:v>0.30099999999999999</c:v>
                </c:pt>
                <c:pt idx="138">
                  <c:v>0.35699999999999998</c:v>
                </c:pt>
                <c:pt idx="139">
                  <c:v>0.28899999999999998</c:v>
                </c:pt>
                <c:pt idx="140">
                  <c:v>0.36799999999999999</c:v>
                </c:pt>
                <c:pt idx="141">
                  <c:v>0.48799999999999999</c:v>
                </c:pt>
                <c:pt idx="142">
                  <c:v>5.43</c:v>
                </c:pt>
                <c:pt idx="143">
                  <c:v>17.5</c:v>
                </c:pt>
                <c:pt idx="144">
                  <c:v>17.77</c:v>
                </c:pt>
                <c:pt idx="145">
                  <c:v>21.13</c:v>
                </c:pt>
                <c:pt idx="146">
                  <c:v>25.55</c:v>
                </c:pt>
                <c:pt idx="147">
                  <c:v>29.12</c:v>
                </c:pt>
                <c:pt idx="148">
                  <c:v>29.83</c:v>
                </c:pt>
                <c:pt idx="149">
                  <c:v>27.5</c:v>
                </c:pt>
                <c:pt idx="150">
                  <c:v>26.45</c:v>
                </c:pt>
                <c:pt idx="151">
                  <c:v>26.77</c:v>
                </c:pt>
                <c:pt idx="152">
                  <c:v>25.94</c:v>
                </c:pt>
                <c:pt idx="153">
                  <c:v>27.17</c:v>
                </c:pt>
                <c:pt idx="154">
                  <c:v>25.2</c:v>
                </c:pt>
                <c:pt idx="155">
                  <c:v>9.1199999999999992</c:v>
                </c:pt>
                <c:pt idx="156">
                  <c:v>9.93</c:v>
                </c:pt>
                <c:pt idx="157">
                  <c:v>22.35</c:v>
                </c:pt>
                <c:pt idx="158">
                  <c:v>22.94</c:v>
                </c:pt>
                <c:pt idx="159">
                  <c:v>27.64</c:v>
                </c:pt>
                <c:pt idx="160">
                  <c:v>29.23</c:v>
                </c:pt>
                <c:pt idx="161">
                  <c:v>18.11</c:v>
                </c:pt>
                <c:pt idx="162">
                  <c:v>27.11</c:v>
                </c:pt>
                <c:pt idx="163">
                  <c:v>20.010000000000002</c:v>
                </c:pt>
                <c:pt idx="164">
                  <c:v>14.32</c:v>
                </c:pt>
                <c:pt idx="165">
                  <c:v>20.16</c:v>
                </c:pt>
                <c:pt idx="166">
                  <c:v>23.56</c:v>
                </c:pt>
                <c:pt idx="167">
                  <c:v>17.3</c:v>
                </c:pt>
                <c:pt idx="168">
                  <c:v>22.43</c:v>
                </c:pt>
                <c:pt idx="169">
                  <c:v>16.8</c:v>
                </c:pt>
                <c:pt idx="170">
                  <c:v>13.4</c:v>
                </c:pt>
                <c:pt idx="171">
                  <c:v>21.52</c:v>
                </c:pt>
                <c:pt idx="172">
                  <c:v>30.98</c:v>
                </c:pt>
                <c:pt idx="173">
                  <c:v>32.71</c:v>
                </c:pt>
                <c:pt idx="174">
                  <c:v>32.71</c:v>
                </c:pt>
                <c:pt idx="175">
                  <c:v>30.25</c:v>
                </c:pt>
                <c:pt idx="176">
                  <c:v>26.94</c:v>
                </c:pt>
                <c:pt idx="177">
                  <c:v>26.9</c:v>
                </c:pt>
                <c:pt idx="178">
                  <c:v>29.7</c:v>
                </c:pt>
                <c:pt idx="179">
                  <c:v>35.619999999999997</c:v>
                </c:pt>
                <c:pt idx="180">
                  <c:v>35.28</c:v>
                </c:pt>
                <c:pt idx="181">
                  <c:v>32.61</c:v>
                </c:pt>
                <c:pt idx="182">
                  <c:v>20.18</c:v>
                </c:pt>
                <c:pt idx="183">
                  <c:v>21.4</c:v>
                </c:pt>
                <c:pt idx="184">
                  <c:v>21.32</c:v>
                </c:pt>
                <c:pt idx="185">
                  <c:v>17.77</c:v>
                </c:pt>
                <c:pt idx="186">
                  <c:v>21.57</c:v>
                </c:pt>
                <c:pt idx="187">
                  <c:v>19.38</c:v>
                </c:pt>
                <c:pt idx="188">
                  <c:v>24.32</c:v>
                </c:pt>
                <c:pt idx="189">
                  <c:v>28.97</c:v>
                </c:pt>
                <c:pt idx="190">
                  <c:v>16.309999999999999</c:v>
                </c:pt>
                <c:pt idx="191">
                  <c:v>20.76</c:v>
                </c:pt>
                <c:pt idx="192">
                  <c:v>27.83</c:v>
                </c:pt>
                <c:pt idx="193">
                  <c:v>26.48</c:v>
                </c:pt>
                <c:pt idx="194">
                  <c:v>27.42</c:v>
                </c:pt>
                <c:pt idx="195">
                  <c:v>26.92</c:v>
                </c:pt>
                <c:pt idx="196">
                  <c:v>28.05</c:v>
                </c:pt>
                <c:pt idx="197">
                  <c:v>29.68</c:v>
                </c:pt>
                <c:pt idx="198">
                  <c:v>29.44</c:v>
                </c:pt>
                <c:pt idx="199">
                  <c:v>31.32</c:v>
                </c:pt>
                <c:pt idx="200">
                  <c:v>29.83</c:v>
                </c:pt>
                <c:pt idx="201">
                  <c:v>29.16</c:v>
                </c:pt>
                <c:pt idx="202">
                  <c:v>28.81</c:v>
                </c:pt>
                <c:pt idx="203">
                  <c:v>19.95</c:v>
                </c:pt>
                <c:pt idx="204">
                  <c:v>21.44</c:v>
                </c:pt>
                <c:pt idx="205">
                  <c:v>18.649999999999999</c:v>
                </c:pt>
                <c:pt idx="206">
                  <c:v>17.64</c:v>
                </c:pt>
                <c:pt idx="207">
                  <c:v>15.73</c:v>
                </c:pt>
                <c:pt idx="208">
                  <c:v>24.8</c:v>
                </c:pt>
                <c:pt idx="209">
                  <c:v>8.3699999999999992</c:v>
                </c:pt>
                <c:pt idx="210">
                  <c:v>18.149999999999999</c:v>
                </c:pt>
                <c:pt idx="211">
                  <c:v>22.81</c:v>
                </c:pt>
                <c:pt idx="212">
                  <c:v>16.350000000000001</c:v>
                </c:pt>
                <c:pt idx="213">
                  <c:v>20.98</c:v>
                </c:pt>
                <c:pt idx="214">
                  <c:v>26.4</c:v>
                </c:pt>
                <c:pt idx="215">
                  <c:v>27.73</c:v>
                </c:pt>
                <c:pt idx="216">
                  <c:v>16.190000000000001</c:v>
                </c:pt>
                <c:pt idx="217">
                  <c:v>9.89</c:v>
                </c:pt>
                <c:pt idx="218">
                  <c:v>13.97</c:v>
                </c:pt>
                <c:pt idx="219">
                  <c:v>10.85</c:v>
                </c:pt>
                <c:pt idx="220">
                  <c:v>15.54</c:v>
                </c:pt>
                <c:pt idx="221">
                  <c:v>19.760000000000002</c:v>
                </c:pt>
                <c:pt idx="222">
                  <c:v>12.63</c:v>
                </c:pt>
                <c:pt idx="223">
                  <c:v>9.3000000000000007</c:v>
                </c:pt>
                <c:pt idx="224">
                  <c:v>16.43</c:v>
                </c:pt>
                <c:pt idx="225">
                  <c:v>11.78</c:v>
                </c:pt>
                <c:pt idx="226">
                  <c:v>14.72</c:v>
                </c:pt>
                <c:pt idx="227">
                  <c:v>13.72</c:v>
                </c:pt>
                <c:pt idx="228">
                  <c:v>8.8699999999999992</c:v>
                </c:pt>
                <c:pt idx="229">
                  <c:v>12.97</c:v>
                </c:pt>
                <c:pt idx="230">
                  <c:v>15.13</c:v>
                </c:pt>
                <c:pt idx="231">
                  <c:v>22.35</c:v>
                </c:pt>
                <c:pt idx="232">
                  <c:v>25.32</c:v>
                </c:pt>
                <c:pt idx="233">
                  <c:v>22.85</c:v>
                </c:pt>
                <c:pt idx="234">
                  <c:v>24.28</c:v>
                </c:pt>
                <c:pt idx="235">
                  <c:v>20.059999999999999</c:v>
                </c:pt>
                <c:pt idx="236">
                  <c:v>20.69</c:v>
                </c:pt>
                <c:pt idx="237">
                  <c:v>23.68</c:v>
                </c:pt>
                <c:pt idx="238">
                  <c:v>23.39</c:v>
                </c:pt>
                <c:pt idx="239">
                  <c:v>23.47</c:v>
                </c:pt>
                <c:pt idx="240">
                  <c:v>15.01</c:v>
                </c:pt>
                <c:pt idx="241">
                  <c:v>18.95</c:v>
                </c:pt>
                <c:pt idx="242">
                  <c:v>22.39</c:v>
                </c:pt>
                <c:pt idx="243">
                  <c:v>25.56</c:v>
                </c:pt>
                <c:pt idx="244">
                  <c:v>25.36</c:v>
                </c:pt>
                <c:pt idx="245">
                  <c:v>27.05</c:v>
                </c:pt>
                <c:pt idx="246">
                  <c:v>31.73</c:v>
                </c:pt>
                <c:pt idx="247">
                  <c:v>13.49</c:v>
                </c:pt>
                <c:pt idx="248">
                  <c:v>18.93</c:v>
                </c:pt>
                <c:pt idx="249">
                  <c:v>21.84</c:v>
                </c:pt>
                <c:pt idx="250">
                  <c:v>25.19</c:v>
                </c:pt>
                <c:pt idx="251">
                  <c:v>25.82</c:v>
                </c:pt>
                <c:pt idx="252">
                  <c:v>25.92</c:v>
                </c:pt>
                <c:pt idx="253">
                  <c:v>24.65</c:v>
                </c:pt>
                <c:pt idx="254">
                  <c:v>24.65</c:v>
                </c:pt>
                <c:pt idx="255">
                  <c:v>24.61</c:v>
                </c:pt>
                <c:pt idx="256">
                  <c:v>24.37</c:v>
                </c:pt>
                <c:pt idx="257">
                  <c:v>23.18</c:v>
                </c:pt>
                <c:pt idx="258">
                  <c:v>23.47</c:v>
                </c:pt>
                <c:pt idx="259">
                  <c:v>22.49</c:v>
                </c:pt>
                <c:pt idx="260">
                  <c:v>21.44</c:v>
                </c:pt>
                <c:pt idx="261">
                  <c:v>19.09</c:v>
                </c:pt>
                <c:pt idx="262">
                  <c:v>18.47</c:v>
                </c:pt>
                <c:pt idx="263">
                  <c:v>20.57</c:v>
                </c:pt>
                <c:pt idx="264">
                  <c:v>20.73</c:v>
                </c:pt>
                <c:pt idx="265">
                  <c:v>24.47</c:v>
                </c:pt>
                <c:pt idx="266">
                  <c:v>23.82</c:v>
                </c:pt>
                <c:pt idx="267">
                  <c:v>25.72</c:v>
                </c:pt>
                <c:pt idx="268">
                  <c:v>19.98</c:v>
                </c:pt>
                <c:pt idx="269">
                  <c:v>16.420000000000002</c:v>
                </c:pt>
                <c:pt idx="270">
                  <c:v>12.63</c:v>
                </c:pt>
                <c:pt idx="271">
                  <c:v>15.76</c:v>
                </c:pt>
                <c:pt idx="272">
                  <c:v>9.8000000000000007</c:v>
                </c:pt>
                <c:pt idx="273">
                  <c:v>10.52</c:v>
                </c:pt>
                <c:pt idx="274">
                  <c:v>8.5500000000000007</c:v>
                </c:pt>
                <c:pt idx="275">
                  <c:v>3.4449999999999998</c:v>
                </c:pt>
                <c:pt idx="276">
                  <c:v>8.36</c:v>
                </c:pt>
                <c:pt idx="277">
                  <c:v>7.59</c:v>
                </c:pt>
                <c:pt idx="278">
                  <c:v>11.23</c:v>
                </c:pt>
                <c:pt idx="279">
                  <c:v>14.23</c:v>
                </c:pt>
                <c:pt idx="280">
                  <c:v>10.85</c:v>
                </c:pt>
                <c:pt idx="281">
                  <c:v>5.3230000000000004</c:v>
                </c:pt>
                <c:pt idx="282">
                  <c:v>11.83</c:v>
                </c:pt>
                <c:pt idx="283">
                  <c:v>2.6539999999999999</c:v>
                </c:pt>
                <c:pt idx="284">
                  <c:v>2.0110000000000001</c:v>
                </c:pt>
                <c:pt idx="285">
                  <c:v>0.71299999999999997</c:v>
                </c:pt>
                <c:pt idx="286">
                  <c:v>2.5379999999999998</c:v>
                </c:pt>
                <c:pt idx="287">
                  <c:v>5.4450000000000003</c:v>
                </c:pt>
                <c:pt idx="288">
                  <c:v>5.9039999999999999</c:v>
                </c:pt>
                <c:pt idx="289">
                  <c:v>1.8220000000000001</c:v>
                </c:pt>
                <c:pt idx="290">
                  <c:v>1.742</c:v>
                </c:pt>
                <c:pt idx="291">
                  <c:v>7.89</c:v>
                </c:pt>
                <c:pt idx="292">
                  <c:v>5.258</c:v>
                </c:pt>
                <c:pt idx="293">
                  <c:v>5.7409999999999997</c:v>
                </c:pt>
                <c:pt idx="294">
                  <c:v>9.43</c:v>
                </c:pt>
                <c:pt idx="295">
                  <c:v>1.8759999999999999</c:v>
                </c:pt>
                <c:pt idx="296">
                  <c:v>1.82</c:v>
                </c:pt>
                <c:pt idx="297">
                  <c:v>0.17299999999999999</c:v>
                </c:pt>
                <c:pt idx="298">
                  <c:v>3.3860000000000001</c:v>
                </c:pt>
                <c:pt idx="299">
                  <c:v>0.89500000000000002</c:v>
                </c:pt>
                <c:pt idx="300">
                  <c:v>5.72</c:v>
                </c:pt>
                <c:pt idx="301">
                  <c:v>4.2679999999999998</c:v>
                </c:pt>
                <c:pt idx="302">
                  <c:v>-3.532</c:v>
                </c:pt>
                <c:pt idx="303">
                  <c:v>3.6429999999999998</c:v>
                </c:pt>
                <c:pt idx="304">
                  <c:v>-8.4000000000000005E-2</c:v>
                </c:pt>
                <c:pt idx="305">
                  <c:v>0.89800000000000002</c:v>
                </c:pt>
                <c:pt idx="306">
                  <c:v>-0.10100000000000001</c:v>
                </c:pt>
                <c:pt idx="307">
                  <c:v>-2.5790000000000002</c:v>
                </c:pt>
                <c:pt idx="308">
                  <c:v>-1.298</c:v>
                </c:pt>
                <c:pt idx="309">
                  <c:v>-2.44</c:v>
                </c:pt>
                <c:pt idx="310">
                  <c:v>-2.008</c:v>
                </c:pt>
                <c:pt idx="311">
                  <c:v>-0.158</c:v>
                </c:pt>
                <c:pt idx="312">
                  <c:v>-0.20699999999999999</c:v>
                </c:pt>
                <c:pt idx="313">
                  <c:v>-0.33300000000000002</c:v>
                </c:pt>
                <c:pt idx="314">
                  <c:v>-0.78800000000000003</c:v>
                </c:pt>
                <c:pt idx="315">
                  <c:v>-0.502</c:v>
                </c:pt>
                <c:pt idx="316">
                  <c:v>-0.43</c:v>
                </c:pt>
                <c:pt idx="317">
                  <c:v>-0.29399999999999998</c:v>
                </c:pt>
                <c:pt idx="318">
                  <c:v>-0.16800000000000001</c:v>
                </c:pt>
                <c:pt idx="319">
                  <c:v>-0.113</c:v>
                </c:pt>
                <c:pt idx="320">
                  <c:v>-0.106</c:v>
                </c:pt>
                <c:pt idx="321">
                  <c:v>-8.7999999999999995E-2</c:v>
                </c:pt>
                <c:pt idx="322">
                  <c:v>-5.8999999999999997E-2</c:v>
                </c:pt>
                <c:pt idx="323">
                  <c:v>-0.17899999999999999</c:v>
                </c:pt>
                <c:pt idx="324">
                  <c:v>-0.53600000000000003</c:v>
                </c:pt>
                <c:pt idx="325">
                  <c:v>-0.188</c:v>
                </c:pt>
                <c:pt idx="326">
                  <c:v>-0.109</c:v>
                </c:pt>
                <c:pt idx="327">
                  <c:v>-1.0999999999999999E-2</c:v>
                </c:pt>
                <c:pt idx="328">
                  <c:v>-5.8999999999999997E-2</c:v>
                </c:pt>
                <c:pt idx="329">
                  <c:v>-7.8E-2</c:v>
                </c:pt>
                <c:pt idx="330">
                  <c:v>-0.108</c:v>
                </c:pt>
                <c:pt idx="331">
                  <c:v>-5.7000000000000002E-2</c:v>
                </c:pt>
                <c:pt idx="332">
                  <c:v>0.11899999999999999</c:v>
                </c:pt>
                <c:pt idx="333">
                  <c:v>9.4E-2</c:v>
                </c:pt>
                <c:pt idx="334">
                  <c:v>3.5000000000000003E-2</c:v>
                </c:pt>
                <c:pt idx="335">
                  <c:v>-5.8000000000000003E-2</c:v>
                </c:pt>
                <c:pt idx="336">
                  <c:v>-0.40400000000000003</c:v>
                </c:pt>
                <c:pt idx="337">
                  <c:v>-0.51700000000000002</c:v>
                </c:pt>
                <c:pt idx="338">
                  <c:v>-0.55300000000000005</c:v>
                </c:pt>
                <c:pt idx="339">
                  <c:v>-0.93799999999999994</c:v>
                </c:pt>
                <c:pt idx="340">
                  <c:v>-0.996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Data!$AL$7:$AL$371</c:f>
              <c:numCache>
                <c:formatCode>General</c:formatCode>
                <c:ptCount val="365"/>
                <c:pt idx="0">
                  <c:v>-3.4000000000000002E-2</c:v>
                </c:pt>
                <c:pt idx="1">
                  <c:v>-0.38300000000000001</c:v>
                </c:pt>
                <c:pt idx="2">
                  <c:v>-0.54200000000000004</c:v>
                </c:pt>
                <c:pt idx="3">
                  <c:v>-0.68300000000000005</c:v>
                </c:pt>
                <c:pt idx="4">
                  <c:v>-0.83599999999999997</c:v>
                </c:pt>
                <c:pt idx="5">
                  <c:v>-0.874</c:v>
                </c:pt>
                <c:pt idx="6">
                  <c:v>-1.1240000000000001</c:v>
                </c:pt>
                <c:pt idx="7">
                  <c:v>-0.92700000000000005</c:v>
                </c:pt>
                <c:pt idx="8">
                  <c:v>-0.91900000000000004</c:v>
                </c:pt>
                <c:pt idx="9">
                  <c:v>-0.81499999999999995</c:v>
                </c:pt>
                <c:pt idx="10">
                  <c:v>-0.72</c:v>
                </c:pt>
                <c:pt idx="11">
                  <c:v>-0.60799999999999998</c:v>
                </c:pt>
                <c:pt idx="12">
                  <c:v>-0.51300000000000001</c:v>
                </c:pt>
                <c:pt idx="13">
                  <c:v>-0.44800000000000001</c:v>
                </c:pt>
                <c:pt idx="14">
                  <c:v>-0.39900000000000002</c:v>
                </c:pt>
                <c:pt idx="15">
                  <c:v>-0.35399999999999998</c:v>
                </c:pt>
                <c:pt idx="16">
                  <c:v>-0.29299999999999998</c:v>
                </c:pt>
                <c:pt idx="17">
                  <c:v>-0.11899999999999999</c:v>
                </c:pt>
                <c:pt idx="18">
                  <c:v>-1.6E-2</c:v>
                </c:pt>
                <c:pt idx="19">
                  <c:v>2.8000000000000001E-2</c:v>
                </c:pt>
                <c:pt idx="20">
                  <c:v>5.1999999999999998E-2</c:v>
                </c:pt>
                <c:pt idx="21">
                  <c:v>6.3E-2</c:v>
                </c:pt>
                <c:pt idx="22">
                  <c:v>3.4000000000000002E-2</c:v>
                </c:pt>
                <c:pt idx="23">
                  <c:v>-5.8999999999999997E-2</c:v>
                </c:pt>
                <c:pt idx="24">
                  <c:v>-0.105</c:v>
                </c:pt>
                <c:pt idx="25">
                  <c:v>-0.106</c:v>
                </c:pt>
                <c:pt idx="26">
                  <c:v>-0.10199999999999999</c:v>
                </c:pt>
                <c:pt idx="27">
                  <c:v>-6.7000000000000004E-2</c:v>
                </c:pt>
                <c:pt idx="28">
                  <c:v>-1.2E-2</c:v>
                </c:pt>
                <c:pt idx="29">
                  <c:v>6.0000000000000001E-3</c:v>
                </c:pt>
                <c:pt idx="30">
                  <c:v>6.9000000000000006E-2</c:v>
                </c:pt>
                <c:pt idx="31">
                  <c:v>0.107</c:v>
                </c:pt>
                <c:pt idx="32">
                  <c:v>0.114</c:v>
                </c:pt>
                <c:pt idx="33">
                  <c:v>0.115</c:v>
                </c:pt>
                <c:pt idx="34">
                  <c:v>8.5999999999999993E-2</c:v>
                </c:pt>
                <c:pt idx="35">
                  <c:v>0.1</c:v>
                </c:pt>
                <c:pt idx="36">
                  <c:v>0.152</c:v>
                </c:pt>
                <c:pt idx="37">
                  <c:v>0.11</c:v>
                </c:pt>
                <c:pt idx="38">
                  <c:v>4.5999999999999999E-2</c:v>
                </c:pt>
                <c:pt idx="39">
                  <c:v>3.2000000000000001E-2</c:v>
                </c:pt>
                <c:pt idx="40">
                  <c:v>3.9E-2</c:v>
                </c:pt>
                <c:pt idx="41">
                  <c:v>3.5999999999999997E-2</c:v>
                </c:pt>
                <c:pt idx="42">
                  <c:v>3.5999999999999997E-2</c:v>
                </c:pt>
                <c:pt idx="43">
                  <c:v>-9.9000000000000005E-2</c:v>
                </c:pt>
                <c:pt idx="44">
                  <c:v>-0.19600000000000001</c:v>
                </c:pt>
                <c:pt idx="45">
                  <c:v>-0.378</c:v>
                </c:pt>
                <c:pt idx="46">
                  <c:v>-0.47499999999999998</c:v>
                </c:pt>
                <c:pt idx="47">
                  <c:v>-0.503</c:v>
                </c:pt>
                <c:pt idx="48">
                  <c:v>-0.501</c:v>
                </c:pt>
                <c:pt idx="49">
                  <c:v>-0.48099999999999998</c:v>
                </c:pt>
                <c:pt idx="50">
                  <c:v>-0.34300000000000003</c:v>
                </c:pt>
                <c:pt idx="51">
                  <c:v>-0.249</c:v>
                </c:pt>
                <c:pt idx="52">
                  <c:v>-0.224</c:v>
                </c:pt>
                <c:pt idx="53">
                  <c:v>-0.15</c:v>
                </c:pt>
                <c:pt idx="54">
                  <c:v>-8.5999999999999993E-2</c:v>
                </c:pt>
                <c:pt idx="55">
                  <c:v>-4.3999999999999997E-2</c:v>
                </c:pt>
                <c:pt idx="56">
                  <c:v>-2.4E-2</c:v>
                </c:pt>
                <c:pt idx="57">
                  <c:v>-0.23400000000000001</c:v>
                </c:pt>
                <c:pt idx="58">
                  <c:v>-0.32</c:v>
                </c:pt>
                <c:pt idx="59">
                  <c:v>-0.45300000000000001</c:v>
                </c:pt>
                <c:pt idx="60">
                  <c:v>-0.59799999999999998</c:v>
                </c:pt>
                <c:pt idx="61">
                  <c:v>-0.59899999999999998</c:v>
                </c:pt>
                <c:pt idx="62">
                  <c:v>-0.61599999999999999</c:v>
                </c:pt>
                <c:pt idx="63">
                  <c:v>-0.72399999999999998</c:v>
                </c:pt>
                <c:pt idx="64">
                  <c:v>-0.97799999999999998</c:v>
                </c:pt>
                <c:pt idx="65">
                  <c:v>-0.82699999999999996</c:v>
                </c:pt>
                <c:pt idx="66">
                  <c:v>-0.73599999999999999</c:v>
                </c:pt>
                <c:pt idx="67">
                  <c:v>-0.73599999999999999</c:v>
                </c:pt>
                <c:pt idx="68">
                  <c:v>-0.55500000000000005</c:v>
                </c:pt>
                <c:pt idx="69">
                  <c:v>-0.40500000000000003</c:v>
                </c:pt>
                <c:pt idx="70">
                  <c:v>-0.309</c:v>
                </c:pt>
                <c:pt idx="71">
                  <c:v>-0.32900000000000001</c:v>
                </c:pt>
                <c:pt idx="72">
                  <c:v>-0.28299999999999997</c:v>
                </c:pt>
                <c:pt idx="73">
                  <c:v>-0.22600000000000001</c:v>
                </c:pt>
                <c:pt idx="74">
                  <c:v>-0.16700000000000001</c:v>
                </c:pt>
                <c:pt idx="75">
                  <c:v>-0.125</c:v>
                </c:pt>
                <c:pt idx="76">
                  <c:v>-7.2999999999999995E-2</c:v>
                </c:pt>
                <c:pt idx="77">
                  <c:v>-4.9000000000000002E-2</c:v>
                </c:pt>
                <c:pt idx="78">
                  <c:v>-4.5999999999999999E-2</c:v>
                </c:pt>
                <c:pt idx="79">
                  <c:v>-1.9E-2</c:v>
                </c:pt>
                <c:pt idx="80">
                  <c:v>-3.5999999999999997E-2</c:v>
                </c:pt>
                <c:pt idx="81">
                  <c:v>-2.3E-2</c:v>
                </c:pt>
                <c:pt idx="82">
                  <c:v>-1E-3</c:v>
                </c:pt>
                <c:pt idx="83">
                  <c:v>2E-3</c:v>
                </c:pt>
                <c:pt idx="84">
                  <c:v>-1.4999999999999999E-2</c:v>
                </c:pt>
                <c:pt idx="85">
                  <c:v>-0.03</c:v>
                </c:pt>
                <c:pt idx="86">
                  <c:v>-3.5000000000000003E-2</c:v>
                </c:pt>
                <c:pt idx="87">
                  <c:v>-0.03</c:v>
                </c:pt>
                <c:pt idx="88">
                  <c:v>-2.5000000000000001E-2</c:v>
                </c:pt>
                <c:pt idx="89">
                  <c:v>-2.9000000000000001E-2</c:v>
                </c:pt>
                <c:pt idx="90">
                  <c:v>2.1000000000000001E-2</c:v>
                </c:pt>
                <c:pt idx="91">
                  <c:v>-1.4E-2</c:v>
                </c:pt>
                <c:pt idx="92">
                  <c:v>1.4999999999999999E-2</c:v>
                </c:pt>
                <c:pt idx="93">
                  <c:v>-1.9E-2</c:v>
                </c:pt>
                <c:pt idx="94">
                  <c:v>-4.8000000000000001E-2</c:v>
                </c:pt>
                <c:pt idx="95">
                  <c:v>-4.8000000000000001E-2</c:v>
                </c:pt>
                <c:pt idx="96">
                  <c:v>-4.8000000000000001E-2</c:v>
                </c:pt>
                <c:pt idx="97">
                  <c:v>1.2E-2</c:v>
                </c:pt>
                <c:pt idx="98">
                  <c:v>1.0999999999999999E-2</c:v>
                </c:pt>
                <c:pt idx="99">
                  <c:v>-1.2E-2</c:v>
                </c:pt>
                <c:pt idx="100">
                  <c:v>-3.1E-2</c:v>
                </c:pt>
                <c:pt idx="101">
                  <c:v>-5.8999999999999997E-2</c:v>
                </c:pt>
                <c:pt idx="102">
                  <c:v>-4.2000000000000003E-2</c:v>
                </c:pt>
                <c:pt idx="103">
                  <c:v>-2.3E-2</c:v>
                </c:pt>
                <c:pt idx="104">
                  <c:v>-3.3000000000000002E-2</c:v>
                </c:pt>
                <c:pt idx="105">
                  <c:v>-5.5E-2</c:v>
                </c:pt>
                <c:pt idx="106">
                  <c:v>-5.0999999999999997E-2</c:v>
                </c:pt>
                <c:pt idx="107">
                  <c:v>-2.7E-2</c:v>
                </c:pt>
                <c:pt idx="108">
                  <c:v>-3.0000000000000001E-3</c:v>
                </c:pt>
                <c:pt idx="109">
                  <c:v>-2.3E-2</c:v>
                </c:pt>
                <c:pt idx="110">
                  <c:v>-3.7999999999999999E-2</c:v>
                </c:pt>
                <c:pt idx="111">
                  <c:v>-1.6E-2</c:v>
                </c:pt>
                <c:pt idx="112">
                  <c:v>-7.2999999999999995E-2</c:v>
                </c:pt>
                <c:pt idx="113">
                  <c:v>-4.9000000000000002E-2</c:v>
                </c:pt>
                <c:pt idx="114">
                  <c:v>-9.1999999999999998E-2</c:v>
                </c:pt>
                <c:pt idx="115">
                  <c:v>-8.5999999999999993E-2</c:v>
                </c:pt>
                <c:pt idx="116">
                  <c:v>-3.1E-2</c:v>
                </c:pt>
                <c:pt idx="117">
                  <c:v>-0.10100000000000001</c:v>
                </c:pt>
                <c:pt idx="118">
                  <c:v>-6.2E-2</c:v>
                </c:pt>
                <c:pt idx="119">
                  <c:v>-6.8000000000000005E-2</c:v>
                </c:pt>
                <c:pt idx="120">
                  <c:v>-7.0000000000000007E-2</c:v>
                </c:pt>
                <c:pt idx="121">
                  <c:v>-0.04</c:v>
                </c:pt>
                <c:pt idx="122">
                  <c:v>-5.2999999999999999E-2</c:v>
                </c:pt>
                <c:pt idx="123">
                  <c:v>-9.9000000000000005E-2</c:v>
                </c:pt>
                <c:pt idx="124">
                  <c:v>-9.5000000000000001E-2</c:v>
                </c:pt>
                <c:pt idx="125">
                  <c:v>-6.8000000000000005E-2</c:v>
                </c:pt>
                <c:pt idx="126">
                  <c:v>-1.7999999999999999E-2</c:v>
                </c:pt>
                <c:pt idx="127">
                  <c:v>-3.7999999999999999E-2</c:v>
                </c:pt>
                <c:pt idx="128">
                  <c:v>-3.4000000000000002E-2</c:v>
                </c:pt>
                <c:pt idx="129">
                  <c:v>-5.3999999999999999E-2</c:v>
                </c:pt>
                <c:pt idx="130">
                  <c:v>-3.1E-2</c:v>
                </c:pt>
                <c:pt idx="131">
                  <c:v>-0.09</c:v>
                </c:pt>
                <c:pt idx="132">
                  <c:v>-0.17799999999999999</c:v>
                </c:pt>
                <c:pt idx="133">
                  <c:v>-0.18</c:v>
                </c:pt>
                <c:pt idx="134">
                  <c:v>-0.109</c:v>
                </c:pt>
                <c:pt idx="135">
                  <c:v>-0.14199999999999999</c:v>
                </c:pt>
                <c:pt idx="136">
                  <c:v>-2.4E-2</c:v>
                </c:pt>
                <c:pt idx="137">
                  <c:v>-0.104</c:v>
                </c:pt>
                <c:pt idx="138">
                  <c:v>-0.17399999999999999</c:v>
                </c:pt>
                <c:pt idx="139">
                  <c:v>-0.17199999999999999</c:v>
                </c:pt>
                <c:pt idx="140">
                  <c:v>-0.16900000000000001</c:v>
                </c:pt>
                <c:pt idx="141">
                  <c:v>-0.187</c:v>
                </c:pt>
                <c:pt idx="142">
                  <c:v>-1.258</c:v>
                </c:pt>
                <c:pt idx="143">
                  <c:v>-2.2719999999999998</c:v>
                </c:pt>
                <c:pt idx="144">
                  <c:v>-2.371</c:v>
                </c:pt>
                <c:pt idx="145">
                  <c:v>-4.3959999999999999</c:v>
                </c:pt>
                <c:pt idx="146">
                  <c:v>-2.9319999999999999</c:v>
                </c:pt>
                <c:pt idx="147">
                  <c:v>-1.421</c:v>
                </c:pt>
                <c:pt idx="148">
                  <c:v>0.17799999999999999</c:v>
                </c:pt>
                <c:pt idx="149">
                  <c:v>0.29599999999999999</c:v>
                </c:pt>
                <c:pt idx="150">
                  <c:v>-1.3420000000000001</c:v>
                </c:pt>
                <c:pt idx="151">
                  <c:v>0.80400000000000005</c:v>
                </c:pt>
                <c:pt idx="152">
                  <c:v>1.7430000000000001</c:v>
                </c:pt>
                <c:pt idx="153">
                  <c:v>0.65300000000000002</c:v>
                </c:pt>
                <c:pt idx="154">
                  <c:v>2.5830000000000002</c:v>
                </c:pt>
                <c:pt idx="155">
                  <c:v>2.3740000000000001</c:v>
                </c:pt>
                <c:pt idx="156">
                  <c:v>-0.505</c:v>
                </c:pt>
                <c:pt idx="157">
                  <c:v>-0.75600000000000001</c:v>
                </c:pt>
                <c:pt idx="158">
                  <c:v>-2.2559999999999998</c:v>
                </c:pt>
                <c:pt idx="159">
                  <c:v>-2.1040000000000001</c:v>
                </c:pt>
                <c:pt idx="160">
                  <c:v>-0.77</c:v>
                </c:pt>
                <c:pt idx="161">
                  <c:v>4.9809999999999999</c:v>
                </c:pt>
                <c:pt idx="162">
                  <c:v>-0.66300000000000003</c:v>
                </c:pt>
                <c:pt idx="163">
                  <c:v>2.0790000000000002</c:v>
                </c:pt>
                <c:pt idx="164">
                  <c:v>3.2519999999999998</c:v>
                </c:pt>
                <c:pt idx="165">
                  <c:v>4.6769999999999996</c:v>
                </c:pt>
                <c:pt idx="166">
                  <c:v>0.752</c:v>
                </c:pt>
                <c:pt idx="167">
                  <c:v>4.5960000000000001</c:v>
                </c:pt>
                <c:pt idx="168">
                  <c:v>2.5739999999999998</c:v>
                </c:pt>
                <c:pt idx="169">
                  <c:v>1.0609999999999999</c:v>
                </c:pt>
                <c:pt idx="170">
                  <c:v>6.5030000000000001</c:v>
                </c:pt>
                <c:pt idx="171">
                  <c:v>6.8849999999999998</c:v>
                </c:pt>
                <c:pt idx="172">
                  <c:v>1.879</c:v>
                </c:pt>
                <c:pt idx="173">
                  <c:v>3.2549999999999999</c:v>
                </c:pt>
                <c:pt idx="174">
                  <c:v>2.9449999999999998</c:v>
                </c:pt>
                <c:pt idx="175">
                  <c:v>0.73699999999999999</c:v>
                </c:pt>
                <c:pt idx="176">
                  <c:v>-1.196</c:v>
                </c:pt>
                <c:pt idx="177">
                  <c:v>-2.5779999999999998</c:v>
                </c:pt>
                <c:pt idx="178">
                  <c:v>-0.56499999999999995</c:v>
                </c:pt>
                <c:pt idx="179">
                  <c:v>1.611</c:v>
                </c:pt>
                <c:pt idx="180">
                  <c:v>2.5419999999999998</c:v>
                </c:pt>
                <c:pt idx="181">
                  <c:v>4.4119999999999999</c:v>
                </c:pt>
                <c:pt idx="182">
                  <c:v>8.19</c:v>
                </c:pt>
                <c:pt idx="183">
                  <c:v>2.6779999999999999</c:v>
                </c:pt>
                <c:pt idx="184">
                  <c:v>1.752</c:v>
                </c:pt>
                <c:pt idx="185">
                  <c:v>4.3440000000000003</c:v>
                </c:pt>
                <c:pt idx="186">
                  <c:v>1.056</c:v>
                </c:pt>
                <c:pt idx="187">
                  <c:v>6.351</c:v>
                </c:pt>
                <c:pt idx="188">
                  <c:v>4.274</c:v>
                </c:pt>
                <c:pt idx="189">
                  <c:v>6.3170000000000002</c:v>
                </c:pt>
                <c:pt idx="190">
                  <c:v>5.3049999999999997</c:v>
                </c:pt>
                <c:pt idx="191">
                  <c:v>1.546</c:v>
                </c:pt>
                <c:pt idx="192">
                  <c:v>-0.56899999999999995</c:v>
                </c:pt>
                <c:pt idx="193">
                  <c:v>1.105</c:v>
                </c:pt>
                <c:pt idx="194">
                  <c:v>3.26</c:v>
                </c:pt>
                <c:pt idx="195">
                  <c:v>0.58299999999999996</c:v>
                </c:pt>
                <c:pt idx="196">
                  <c:v>3.5049999999999999</c:v>
                </c:pt>
                <c:pt idx="197">
                  <c:v>1.891</c:v>
                </c:pt>
                <c:pt idx="198">
                  <c:v>3.7429999999999999</c:v>
                </c:pt>
                <c:pt idx="199">
                  <c:v>2.3809999999999998</c:v>
                </c:pt>
                <c:pt idx="200">
                  <c:v>4.5970000000000004</c:v>
                </c:pt>
                <c:pt idx="201">
                  <c:v>4.867</c:v>
                </c:pt>
                <c:pt idx="202">
                  <c:v>1.8480000000000001</c:v>
                </c:pt>
                <c:pt idx="203">
                  <c:v>6.375</c:v>
                </c:pt>
                <c:pt idx="204">
                  <c:v>8.16</c:v>
                </c:pt>
                <c:pt idx="205">
                  <c:v>8.06</c:v>
                </c:pt>
                <c:pt idx="206">
                  <c:v>6.3170000000000002</c:v>
                </c:pt>
                <c:pt idx="207">
                  <c:v>0.78700000000000003</c:v>
                </c:pt>
                <c:pt idx="208">
                  <c:v>7.6999999999999999E-2</c:v>
                </c:pt>
                <c:pt idx="209">
                  <c:v>2.8820000000000001</c:v>
                </c:pt>
                <c:pt idx="210">
                  <c:v>4.5170000000000003</c:v>
                </c:pt>
                <c:pt idx="211">
                  <c:v>4.194</c:v>
                </c:pt>
                <c:pt idx="212">
                  <c:v>3.4060000000000001</c:v>
                </c:pt>
                <c:pt idx="213">
                  <c:v>3.194</c:v>
                </c:pt>
                <c:pt idx="214">
                  <c:v>2.2370000000000001</c:v>
                </c:pt>
                <c:pt idx="215">
                  <c:v>3.464</c:v>
                </c:pt>
                <c:pt idx="216">
                  <c:v>5.952</c:v>
                </c:pt>
                <c:pt idx="217">
                  <c:v>5.3520000000000003</c:v>
                </c:pt>
                <c:pt idx="218">
                  <c:v>0.64500000000000002</c:v>
                </c:pt>
                <c:pt idx="219">
                  <c:v>2.5950000000000002</c:v>
                </c:pt>
                <c:pt idx="220">
                  <c:v>2.698</c:v>
                </c:pt>
                <c:pt idx="221">
                  <c:v>0.97399999999999998</c:v>
                </c:pt>
                <c:pt idx="222">
                  <c:v>4.7450000000000001</c:v>
                </c:pt>
                <c:pt idx="223">
                  <c:v>3.41</c:v>
                </c:pt>
                <c:pt idx="224">
                  <c:v>2.8540000000000001</c:v>
                </c:pt>
                <c:pt idx="225">
                  <c:v>3.37</c:v>
                </c:pt>
                <c:pt idx="226">
                  <c:v>1.446</c:v>
                </c:pt>
                <c:pt idx="227">
                  <c:v>1.3520000000000001</c:v>
                </c:pt>
                <c:pt idx="228">
                  <c:v>1.3240000000000001</c:v>
                </c:pt>
                <c:pt idx="229">
                  <c:v>3.8620000000000001</c:v>
                </c:pt>
                <c:pt idx="230">
                  <c:v>3.2450000000000001</c:v>
                </c:pt>
                <c:pt idx="231">
                  <c:v>3.7999999999999999E-2</c:v>
                </c:pt>
                <c:pt idx="232">
                  <c:v>1.903</c:v>
                </c:pt>
                <c:pt idx="233">
                  <c:v>0.75700000000000001</c:v>
                </c:pt>
                <c:pt idx="234">
                  <c:v>-0.23499999999999999</c:v>
                </c:pt>
                <c:pt idx="235">
                  <c:v>-1.8320000000000001</c:v>
                </c:pt>
                <c:pt idx="236">
                  <c:v>-3.3119999999999998</c:v>
                </c:pt>
                <c:pt idx="237">
                  <c:v>-0.49399999999999999</c:v>
                </c:pt>
                <c:pt idx="238">
                  <c:v>-2.0030000000000001</c:v>
                </c:pt>
                <c:pt idx="239">
                  <c:v>-2.4E-2</c:v>
                </c:pt>
                <c:pt idx="240">
                  <c:v>0.67</c:v>
                </c:pt>
                <c:pt idx="241">
                  <c:v>2E-3</c:v>
                </c:pt>
                <c:pt idx="242">
                  <c:v>-1.35</c:v>
                </c:pt>
                <c:pt idx="243">
                  <c:v>-0.41199999999999998</c:v>
                </c:pt>
                <c:pt idx="244">
                  <c:v>0.47299999999999998</c:v>
                </c:pt>
                <c:pt idx="245">
                  <c:v>-0.71299999999999997</c:v>
                </c:pt>
                <c:pt idx="246">
                  <c:v>1.5189999999999999</c:v>
                </c:pt>
                <c:pt idx="247">
                  <c:v>4.3639999999999999</c:v>
                </c:pt>
                <c:pt idx="248">
                  <c:v>2.5880000000000001</c:v>
                </c:pt>
                <c:pt idx="249">
                  <c:v>1.0900000000000001</c:v>
                </c:pt>
                <c:pt idx="250">
                  <c:v>0.81699999999999995</c:v>
                </c:pt>
                <c:pt idx="251">
                  <c:v>1.3779999999999999</c:v>
                </c:pt>
                <c:pt idx="252">
                  <c:v>1.0860000000000001</c:v>
                </c:pt>
                <c:pt idx="253">
                  <c:v>0.51900000000000002</c:v>
                </c:pt>
                <c:pt idx="254">
                  <c:v>-0.36</c:v>
                </c:pt>
                <c:pt idx="255">
                  <c:v>0.21099999999999999</c:v>
                </c:pt>
                <c:pt idx="256">
                  <c:v>-0.498</c:v>
                </c:pt>
                <c:pt idx="257">
                  <c:v>-0.84699999999999998</c:v>
                </c:pt>
                <c:pt idx="258">
                  <c:v>-2.4060000000000001</c:v>
                </c:pt>
                <c:pt idx="259">
                  <c:v>-2.706</c:v>
                </c:pt>
                <c:pt idx="260">
                  <c:v>-1.58</c:v>
                </c:pt>
                <c:pt idx="261">
                  <c:v>-4.3570000000000002</c:v>
                </c:pt>
                <c:pt idx="262">
                  <c:v>-7.41</c:v>
                </c:pt>
                <c:pt idx="263">
                  <c:v>-7.18</c:v>
                </c:pt>
                <c:pt idx="264">
                  <c:v>-5.9569999999999999</c:v>
                </c:pt>
                <c:pt idx="265">
                  <c:v>-3.5409999999999999</c:v>
                </c:pt>
                <c:pt idx="266">
                  <c:v>-2.1360000000000001</c:v>
                </c:pt>
                <c:pt idx="267">
                  <c:v>-4.2670000000000003</c:v>
                </c:pt>
                <c:pt idx="268">
                  <c:v>-3.5939999999999999</c:v>
                </c:pt>
                <c:pt idx="269">
                  <c:v>1.62</c:v>
                </c:pt>
                <c:pt idx="270">
                  <c:v>0.34699999999999998</c:v>
                </c:pt>
                <c:pt idx="271">
                  <c:v>2.069</c:v>
                </c:pt>
                <c:pt idx="272">
                  <c:v>-0.17100000000000001</c:v>
                </c:pt>
                <c:pt idx="273">
                  <c:v>-5.4080000000000004</c:v>
                </c:pt>
                <c:pt idx="274">
                  <c:v>-0.59</c:v>
                </c:pt>
                <c:pt idx="275">
                  <c:v>-1.2030000000000001</c:v>
                </c:pt>
                <c:pt idx="276">
                  <c:v>-5.2869999999999999</c:v>
                </c:pt>
                <c:pt idx="277">
                  <c:v>-4.8259999999999996</c:v>
                </c:pt>
                <c:pt idx="278">
                  <c:v>0.11799999999999999</c:v>
                </c:pt>
                <c:pt idx="279">
                  <c:v>0.57699999999999996</c:v>
                </c:pt>
                <c:pt idx="280">
                  <c:v>-0.15</c:v>
                </c:pt>
                <c:pt idx="281">
                  <c:v>-0.53</c:v>
                </c:pt>
                <c:pt idx="282">
                  <c:v>-0.81799999999999995</c:v>
                </c:pt>
                <c:pt idx="283">
                  <c:v>-0.89</c:v>
                </c:pt>
                <c:pt idx="284">
                  <c:v>-0.82799999999999996</c:v>
                </c:pt>
                <c:pt idx="285">
                  <c:v>-1.266</c:v>
                </c:pt>
                <c:pt idx="286">
                  <c:v>0.19600000000000001</c:v>
                </c:pt>
                <c:pt idx="287">
                  <c:v>0.61299999999999999</c:v>
                </c:pt>
                <c:pt idx="288">
                  <c:v>-0.59499999999999997</c:v>
                </c:pt>
                <c:pt idx="289">
                  <c:v>-0.56399999999999995</c:v>
                </c:pt>
                <c:pt idx="290">
                  <c:v>-5.63</c:v>
                </c:pt>
                <c:pt idx="291">
                  <c:v>-7.21</c:v>
                </c:pt>
                <c:pt idx="292">
                  <c:v>-3.7610000000000001</c:v>
                </c:pt>
                <c:pt idx="293">
                  <c:v>-4.9909999999999997</c:v>
                </c:pt>
                <c:pt idx="294">
                  <c:v>-5.6980000000000004</c:v>
                </c:pt>
                <c:pt idx="295">
                  <c:v>-4.5369999999999999</c:v>
                </c:pt>
                <c:pt idx="296">
                  <c:v>-2.351</c:v>
                </c:pt>
                <c:pt idx="297">
                  <c:v>-3.415</c:v>
                </c:pt>
                <c:pt idx="298">
                  <c:v>-1.746</c:v>
                </c:pt>
                <c:pt idx="299">
                  <c:v>-6.8650000000000002</c:v>
                </c:pt>
                <c:pt idx="300">
                  <c:v>-11.44</c:v>
                </c:pt>
                <c:pt idx="301">
                  <c:v>-14.25</c:v>
                </c:pt>
                <c:pt idx="302">
                  <c:v>-15.98</c:v>
                </c:pt>
                <c:pt idx="303">
                  <c:v>-16.079999999999998</c:v>
                </c:pt>
                <c:pt idx="304">
                  <c:v>-18.82</c:v>
                </c:pt>
                <c:pt idx="305">
                  <c:v>-16.7</c:v>
                </c:pt>
                <c:pt idx="306">
                  <c:v>-15.44</c:v>
                </c:pt>
                <c:pt idx="307">
                  <c:v>-10.3</c:v>
                </c:pt>
                <c:pt idx="308">
                  <c:v>-6.33</c:v>
                </c:pt>
                <c:pt idx="309">
                  <c:v>-8.91</c:v>
                </c:pt>
                <c:pt idx="310">
                  <c:v>-10.57</c:v>
                </c:pt>
                <c:pt idx="311">
                  <c:v>-2.0840000000000001</c:v>
                </c:pt>
                <c:pt idx="312">
                  <c:v>-0.34200000000000003</c:v>
                </c:pt>
                <c:pt idx="313">
                  <c:v>-2.593</c:v>
                </c:pt>
                <c:pt idx="314">
                  <c:v>-1.9239999999999999</c:v>
                </c:pt>
                <c:pt idx="315">
                  <c:v>-0.82499999999999996</c:v>
                </c:pt>
                <c:pt idx="316">
                  <c:v>-0.58299999999999996</c:v>
                </c:pt>
                <c:pt idx="317">
                  <c:v>-0.44900000000000001</c:v>
                </c:pt>
                <c:pt idx="318">
                  <c:v>-0.33200000000000002</c:v>
                </c:pt>
                <c:pt idx="319">
                  <c:v>-0.28999999999999998</c:v>
                </c:pt>
                <c:pt idx="320">
                  <c:v>-0.26100000000000001</c:v>
                </c:pt>
                <c:pt idx="321">
                  <c:v>-0.28199999999999997</c:v>
                </c:pt>
                <c:pt idx="322">
                  <c:v>-0.316</c:v>
                </c:pt>
                <c:pt idx="323">
                  <c:v>-0.67200000000000004</c:v>
                </c:pt>
                <c:pt idx="324">
                  <c:v>-0.83199999999999996</c:v>
                </c:pt>
                <c:pt idx="325">
                  <c:v>-0.55400000000000005</c:v>
                </c:pt>
                <c:pt idx="326">
                  <c:v>-0.26900000000000002</c:v>
                </c:pt>
                <c:pt idx="327">
                  <c:v>-0.20699999999999999</c:v>
                </c:pt>
                <c:pt idx="328">
                  <c:v>-0.151</c:v>
                </c:pt>
                <c:pt idx="329">
                  <c:v>-0.158</c:v>
                </c:pt>
                <c:pt idx="330">
                  <c:v>-0.17499999999999999</c:v>
                </c:pt>
                <c:pt idx="331">
                  <c:v>-0.19400000000000001</c:v>
                </c:pt>
                <c:pt idx="332">
                  <c:v>-8.2000000000000003E-2</c:v>
                </c:pt>
                <c:pt idx="333">
                  <c:v>2E-3</c:v>
                </c:pt>
                <c:pt idx="334">
                  <c:v>-9.6000000000000002E-2</c:v>
                </c:pt>
                <c:pt idx="335">
                  <c:v>-0.42899999999999999</c:v>
                </c:pt>
                <c:pt idx="336">
                  <c:v>-0.69199999999999995</c:v>
                </c:pt>
                <c:pt idx="337">
                  <c:v>-0.65600000000000003</c:v>
                </c:pt>
                <c:pt idx="338">
                  <c:v>-1.169</c:v>
                </c:pt>
                <c:pt idx="339">
                  <c:v>-1.2470000000000001</c:v>
                </c:pt>
                <c:pt idx="340">
                  <c:v>-1.4650000000000001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493248"/>
        <c:axId val="235495424"/>
      </c:lineChart>
      <c:catAx>
        <c:axId val="235493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49542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3549542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54932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Data!$T$7:$T$371</c:f>
              <c:numCache>
                <c:formatCode>General</c:formatCode>
                <c:ptCount val="365"/>
                <c:pt idx="0">
                  <c:v>98</c:v>
                </c:pt>
                <c:pt idx="1">
                  <c:v>98.1</c:v>
                </c:pt>
                <c:pt idx="2">
                  <c:v>101.7</c:v>
                </c:pt>
                <c:pt idx="3">
                  <c:v>102.8</c:v>
                </c:pt>
                <c:pt idx="4">
                  <c:v>95</c:v>
                </c:pt>
                <c:pt idx="5">
                  <c:v>97.1</c:v>
                </c:pt>
                <c:pt idx="6">
                  <c:v>98.9</c:v>
                </c:pt>
                <c:pt idx="7">
                  <c:v>105.2</c:v>
                </c:pt>
                <c:pt idx="8">
                  <c:v>103.2</c:v>
                </c:pt>
                <c:pt idx="9">
                  <c:v>104.6</c:v>
                </c:pt>
                <c:pt idx="10">
                  <c:v>102.9</c:v>
                </c:pt>
                <c:pt idx="11">
                  <c:v>103</c:v>
                </c:pt>
                <c:pt idx="12">
                  <c:v>103.1</c:v>
                </c:pt>
                <c:pt idx="13">
                  <c:v>103.3</c:v>
                </c:pt>
                <c:pt idx="14">
                  <c:v>103.8</c:v>
                </c:pt>
                <c:pt idx="15">
                  <c:v>103</c:v>
                </c:pt>
                <c:pt idx="16">
                  <c:v>101.9</c:v>
                </c:pt>
                <c:pt idx="17">
                  <c:v>99.8</c:v>
                </c:pt>
                <c:pt idx="18">
                  <c:v>103.9</c:v>
                </c:pt>
                <c:pt idx="19">
                  <c:v>102.8</c:v>
                </c:pt>
                <c:pt idx="20">
                  <c:v>101.4</c:v>
                </c:pt>
                <c:pt idx="21">
                  <c:v>100.8</c:v>
                </c:pt>
                <c:pt idx="22">
                  <c:v>98.1</c:v>
                </c:pt>
                <c:pt idx="23">
                  <c:v>94.2</c:v>
                </c:pt>
                <c:pt idx="24">
                  <c:v>99.9</c:v>
                </c:pt>
                <c:pt idx="25">
                  <c:v>103.9</c:v>
                </c:pt>
                <c:pt idx="26">
                  <c:v>105.3</c:v>
                </c:pt>
                <c:pt idx="27">
                  <c:v>106.3</c:v>
                </c:pt>
                <c:pt idx="28">
                  <c:v>104.4</c:v>
                </c:pt>
                <c:pt idx="29">
                  <c:v>104.7</c:v>
                </c:pt>
                <c:pt idx="30">
                  <c:v>102.6</c:v>
                </c:pt>
                <c:pt idx="31">
                  <c:v>101.4</c:v>
                </c:pt>
                <c:pt idx="32">
                  <c:v>103</c:v>
                </c:pt>
                <c:pt idx="33">
                  <c:v>102.8</c:v>
                </c:pt>
                <c:pt idx="34">
                  <c:v>101.6</c:v>
                </c:pt>
                <c:pt idx="35">
                  <c:v>103.3</c:v>
                </c:pt>
                <c:pt idx="36">
                  <c:v>105.6</c:v>
                </c:pt>
                <c:pt idx="37">
                  <c:v>105.3</c:v>
                </c:pt>
                <c:pt idx="38">
                  <c:v>105</c:v>
                </c:pt>
                <c:pt idx="39">
                  <c:v>102.7</c:v>
                </c:pt>
                <c:pt idx="40">
                  <c:v>102.4</c:v>
                </c:pt>
                <c:pt idx="41">
                  <c:v>96.7</c:v>
                </c:pt>
                <c:pt idx="42">
                  <c:v>66.56</c:v>
                </c:pt>
                <c:pt idx="43">
                  <c:v>83.4</c:v>
                </c:pt>
                <c:pt idx="44">
                  <c:v>96.8</c:v>
                </c:pt>
                <c:pt idx="45">
                  <c:v>98.9</c:v>
                </c:pt>
                <c:pt idx="46">
                  <c:v>102</c:v>
                </c:pt>
                <c:pt idx="47">
                  <c:v>100.5</c:v>
                </c:pt>
                <c:pt idx="48">
                  <c:v>105</c:v>
                </c:pt>
                <c:pt idx="49">
                  <c:v>103.4</c:v>
                </c:pt>
                <c:pt idx="50">
                  <c:v>102.9</c:v>
                </c:pt>
                <c:pt idx="51">
                  <c:v>98.4</c:v>
                </c:pt>
                <c:pt idx="52">
                  <c:v>97.9</c:v>
                </c:pt>
                <c:pt idx="53">
                  <c:v>97.6</c:v>
                </c:pt>
                <c:pt idx="54">
                  <c:v>93.6</c:v>
                </c:pt>
                <c:pt idx="55">
                  <c:v>99.3</c:v>
                </c:pt>
                <c:pt idx="56">
                  <c:v>94.6</c:v>
                </c:pt>
                <c:pt idx="57">
                  <c:v>88.6</c:v>
                </c:pt>
                <c:pt idx="58">
                  <c:v>88.5</c:v>
                </c:pt>
                <c:pt idx="59">
                  <c:v>87.5</c:v>
                </c:pt>
                <c:pt idx="60">
                  <c:v>86.8</c:v>
                </c:pt>
                <c:pt idx="61">
                  <c:v>91.5</c:v>
                </c:pt>
                <c:pt idx="62">
                  <c:v>98.5</c:v>
                </c:pt>
                <c:pt idx="63">
                  <c:v>93.7</c:v>
                </c:pt>
                <c:pt idx="64">
                  <c:v>90.8</c:v>
                </c:pt>
                <c:pt idx="65">
                  <c:v>92.3</c:v>
                </c:pt>
                <c:pt idx="66">
                  <c:v>102.3</c:v>
                </c:pt>
                <c:pt idx="67">
                  <c:v>104.2</c:v>
                </c:pt>
                <c:pt idx="68">
                  <c:v>100.6</c:v>
                </c:pt>
                <c:pt idx="69">
                  <c:v>105.9</c:v>
                </c:pt>
                <c:pt idx="70">
                  <c:v>103.6</c:v>
                </c:pt>
                <c:pt idx="71">
                  <c:v>105</c:v>
                </c:pt>
                <c:pt idx="72">
                  <c:v>103.1</c:v>
                </c:pt>
                <c:pt idx="73">
                  <c:v>103.8</c:v>
                </c:pt>
                <c:pt idx="74">
                  <c:v>103.2</c:v>
                </c:pt>
                <c:pt idx="75">
                  <c:v>87.8</c:v>
                </c:pt>
                <c:pt idx="76">
                  <c:v>105.4</c:v>
                </c:pt>
                <c:pt idx="77">
                  <c:v>101.2</c:v>
                </c:pt>
                <c:pt idx="78">
                  <c:v>104.9</c:v>
                </c:pt>
                <c:pt idx="79">
                  <c:v>102.5</c:v>
                </c:pt>
                <c:pt idx="80">
                  <c:v>100.9</c:v>
                </c:pt>
                <c:pt idx="81">
                  <c:v>104.6</c:v>
                </c:pt>
                <c:pt idx="82">
                  <c:v>104.5</c:v>
                </c:pt>
                <c:pt idx="83">
                  <c:v>101.7</c:v>
                </c:pt>
                <c:pt idx="84">
                  <c:v>98.2</c:v>
                </c:pt>
                <c:pt idx="85">
                  <c:v>99.9</c:v>
                </c:pt>
                <c:pt idx="86">
                  <c:v>100.8</c:v>
                </c:pt>
                <c:pt idx="87">
                  <c:v>97.6</c:v>
                </c:pt>
                <c:pt idx="88">
                  <c:v>95</c:v>
                </c:pt>
                <c:pt idx="89">
                  <c:v>96</c:v>
                </c:pt>
                <c:pt idx="90">
                  <c:v>106.1</c:v>
                </c:pt>
                <c:pt idx="91">
                  <c:v>104.8</c:v>
                </c:pt>
                <c:pt idx="92">
                  <c:v>104.3</c:v>
                </c:pt>
                <c:pt idx="93">
                  <c:v>104.3</c:v>
                </c:pt>
                <c:pt idx="94">
                  <c:v>100.6</c:v>
                </c:pt>
                <c:pt idx="95">
                  <c:v>96</c:v>
                </c:pt>
                <c:pt idx="96">
                  <c:v>105.9</c:v>
                </c:pt>
                <c:pt idx="97">
                  <c:v>105.9</c:v>
                </c:pt>
                <c:pt idx="98">
                  <c:v>105.3</c:v>
                </c:pt>
                <c:pt idx="99">
                  <c:v>104.7</c:v>
                </c:pt>
                <c:pt idx="100">
                  <c:v>104.8</c:v>
                </c:pt>
                <c:pt idx="101">
                  <c:v>98.6</c:v>
                </c:pt>
                <c:pt idx="102">
                  <c:v>105.9</c:v>
                </c:pt>
                <c:pt idx="103">
                  <c:v>103.5</c:v>
                </c:pt>
                <c:pt idx="104">
                  <c:v>103.3</c:v>
                </c:pt>
                <c:pt idx="105">
                  <c:v>99</c:v>
                </c:pt>
                <c:pt idx="106">
                  <c:v>95.7</c:v>
                </c:pt>
                <c:pt idx="107">
                  <c:v>102.8</c:v>
                </c:pt>
                <c:pt idx="108">
                  <c:v>106.3</c:v>
                </c:pt>
                <c:pt idx="109">
                  <c:v>103.4</c:v>
                </c:pt>
                <c:pt idx="110">
                  <c:v>101.2</c:v>
                </c:pt>
                <c:pt idx="111">
                  <c:v>99.6</c:v>
                </c:pt>
                <c:pt idx="112">
                  <c:v>94.5</c:v>
                </c:pt>
                <c:pt idx="113">
                  <c:v>92.6</c:v>
                </c:pt>
                <c:pt idx="114">
                  <c:v>89.5</c:v>
                </c:pt>
                <c:pt idx="115">
                  <c:v>100.8</c:v>
                </c:pt>
                <c:pt idx="116">
                  <c:v>60.35</c:v>
                </c:pt>
                <c:pt idx="117">
                  <c:v>77.8</c:v>
                </c:pt>
                <c:pt idx="118">
                  <c:v>85.8</c:v>
                </c:pt>
                <c:pt idx="119">
                  <c:v>95.4</c:v>
                </c:pt>
                <c:pt idx="120">
                  <c:v>97.5</c:v>
                </c:pt>
                <c:pt idx="121">
                  <c:v>105.7</c:v>
                </c:pt>
                <c:pt idx="122">
                  <c:v>105.5</c:v>
                </c:pt>
                <c:pt idx="123">
                  <c:v>104.6</c:v>
                </c:pt>
                <c:pt idx="124">
                  <c:v>94.6</c:v>
                </c:pt>
                <c:pt idx="125">
                  <c:v>100.5</c:v>
                </c:pt>
                <c:pt idx="126">
                  <c:v>90.3</c:v>
                </c:pt>
                <c:pt idx="127">
                  <c:v>88.9</c:v>
                </c:pt>
                <c:pt idx="128">
                  <c:v>91.4</c:v>
                </c:pt>
                <c:pt idx="129">
                  <c:v>102.6</c:v>
                </c:pt>
                <c:pt idx="130">
                  <c:v>106.6</c:v>
                </c:pt>
                <c:pt idx="131">
                  <c:v>106.7</c:v>
                </c:pt>
                <c:pt idx="132">
                  <c:v>105.1</c:v>
                </c:pt>
                <c:pt idx="133">
                  <c:v>105.5</c:v>
                </c:pt>
                <c:pt idx="134">
                  <c:v>105.6</c:v>
                </c:pt>
                <c:pt idx="135">
                  <c:v>101.1</c:v>
                </c:pt>
                <c:pt idx="136">
                  <c:v>105.8</c:v>
                </c:pt>
                <c:pt idx="137">
                  <c:v>106</c:v>
                </c:pt>
                <c:pt idx="138">
                  <c:v>96.7</c:v>
                </c:pt>
                <c:pt idx="139">
                  <c:v>97.4</c:v>
                </c:pt>
                <c:pt idx="140">
                  <c:v>100.9</c:v>
                </c:pt>
                <c:pt idx="141">
                  <c:v>88.7</c:v>
                </c:pt>
                <c:pt idx="142">
                  <c:v>89.4</c:v>
                </c:pt>
                <c:pt idx="143">
                  <c:v>90.4</c:v>
                </c:pt>
                <c:pt idx="144">
                  <c:v>96.7</c:v>
                </c:pt>
                <c:pt idx="145">
                  <c:v>91.6</c:v>
                </c:pt>
                <c:pt idx="146">
                  <c:v>91.6</c:v>
                </c:pt>
                <c:pt idx="147">
                  <c:v>92</c:v>
                </c:pt>
                <c:pt idx="148">
                  <c:v>94.2</c:v>
                </c:pt>
                <c:pt idx="149">
                  <c:v>88.9</c:v>
                </c:pt>
                <c:pt idx="150">
                  <c:v>97.9</c:v>
                </c:pt>
                <c:pt idx="151">
                  <c:v>94.9</c:v>
                </c:pt>
                <c:pt idx="152">
                  <c:v>93.7</c:v>
                </c:pt>
                <c:pt idx="153">
                  <c:v>99.4</c:v>
                </c:pt>
                <c:pt idx="154">
                  <c:v>105</c:v>
                </c:pt>
                <c:pt idx="155">
                  <c:v>106.6</c:v>
                </c:pt>
                <c:pt idx="156">
                  <c:v>106.8</c:v>
                </c:pt>
                <c:pt idx="157">
                  <c:v>106.9</c:v>
                </c:pt>
                <c:pt idx="158">
                  <c:v>97.9</c:v>
                </c:pt>
                <c:pt idx="159">
                  <c:v>90.7</c:v>
                </c:pt>
                <c:pt idx="160">
                  <c:v>96.2</c:v>
                </c:pt>
                <c:pt idx="161">
                  <c:v>105.7</c:v>
                </c:pt>
                <c:pt idx="162">
                  <c:v>105.8</c:v>
                </c:pt>
                <c:pt idx="163">
                  <c:v>105.4</c:v>
                </c:pt>
                <c:pt idx="164">
                  <c:v>105</c:v>
                </c:pt>
                <c:pt idx="165">
                  <c:v>105.2</c:v>
                </c:pt>
                <c:pt idx="166">
                  <c:v>102.8</c:v>
                </c:pt>
                <c:pt idx="167">
                  <c:v>102</c:v>
                </c:pt>
                <c:pt idx="168">
                  <c:v>105.3</c:v>
                </c:pt>
                <c:pt idx="169">
                  <c:v>105.6</c:v>
                </c:pt>
                <c:pt idx="170">
                  <c:v>106.3</c:v>
                </c:pt>
                <c:pt idx="171">
                  <c:v>106.3</c:v>
                </c:pt>
                <c:pt idx="172">
                  <c:v>104.3</c:v>
                </c:pt>
                <c:pt idx="173">
                  <c:v>101.8</c:v>
                </c:pt>
                <c:pt idx="174">
                  <c:v>95.4</c:v>
                </c:pt>
                <c:pt idx="175">
                  <c:v>99.9</c:v>
                </c:pt>
                <c:pt idx="176">
                  <c:v>94.2</c:v>
                </c:pt>
                <c:pt idx="177">
                  <c:v>98.5</c:v>
                </c:pt>
                <c:pt idx="178">
                  <c:v>91.4</c:v>
                </c:pt>
                <c:pt idx="179">
                  <c:v>91.3</c:v>
                </c:pt>
                <c:pt idx="180">
                  <c:v>90.8</c:v>
                </c:pt>
                <c:pt idx="181">
                  <c:v>86.4</c:v>
                </c:pt>
                <c:pt idx="182">
                  <c:v>104</c:v>
                </c:pt>
                <c:pt idx="183">
                  <c:v>100.6</c:v>
                </c:pt>
                <c:pt idx="184">
                  <c:v>104.5</c:v>
                </c:pt>
                <c:pt idx="185">
                  <c:v>105.6</c:v>
                </c:pt>
                <c:pt idx="186">
                  <c:v>102.5</c:v>
                </c:pt>
                <c:pt idx="187">
                  <c:v>104.5</c:v>
                </c:pt>
                <c:pt idx="188">
                  <c:v>103.5</c:v>
                </c:pt>
                <c:pt idx="189">
                  <c:v>105.3</c:v>
                </c:pt>
                <c:pt idx="190">
                  <c:v>105.6</c:v>
                </c:pt>
                <c:pt idx="191">
                  <c:v>104.3</c:v>
                </c:pt>
                <c:pt idx="192">
                  <c:v>103.2</c:v>
                </c:pt>
                <c:pt idx="193">
                  <c:v>102</c:v>
                </c:pt>
                <c:pt idx="194">
                  <c:v>97.3</c:v>
                </c:pt>
                <c:pt idx="195">
                  <c:v>101.7</c:v>
                </c:pt>
                <c:pt idx="196">
                  <c:v>91.8</c:v>
                </c:pt>
                <c:pt idx="197">
                  <c:v>98.9</c:v>
                </c:pt>
                <c:pt idx="198">
                  <c:v>95.8</c:v>
                </c:pt>
                <c:pt idx="199">
                  <c:v>97.3</c:v>
                </c:pt>
                <c:pt idx="200">
                  <c:v>87.5</c:v>
                </c:pt>
                <c:pt idx="201">
                  <c:v>96.1</c:v>
                </c:pt>
                <c:pt idx="202">
                  <c:v>99</c:v>
                </c:pt>
                <c:pt idx="203">
                  <c:v>104.2</c:v>
                </c:pt>
                <c:pt idx="204">
                  <c:v>105.7</c:v>
                </c:pt>
                <c:pt idx="205">
                  <c:v>104.5</c:v>
                </c:pt>
                <c:pt idx="206">
                  <c:v>102.9</c:v>
                </c:pt>
                <c:pt idx="207">
                  <c:v>102</c:v>
                </c:pt>
                <c:pt idx="208">
                  <c:v>102.3</c:v>
                </c:pt>
                <c:pt idx="209">
                  <c:v>105.8</c:v>
                </c:pt>
                <c:pt idx="210">
                  <c:v>106.1</c:v>
                </c:pt>
                <c:pt idx="211">
                  <c:v>104.6</c:v>
                </c:pt>
                <c:pt idx="212">
                  <c:v>105.7</c:v>
                </c:pt>
                <c:pt idx="213">
                  <c:v>105.7</c:v>
                </c:pt>
                <c:pt idx="214">
                  <c:v>103.3</c:v>
                </c:pt>
                <c:pt idx="215">
                  <c:v>102.9</c:v>
                </c:pt>
                <c:pt idx="216">
                  <c:v>104.6</c:v>
                </c:pt>
                <c:pt idx="217">
                  <c:v>105.4</c:v>
                </c:pt>
                <c:pt idx="218">
                  <c:v>106.1</c:v>
                </c:pt>
                <c:pt idx="219">
                  <c:v>106.4</c:v>
                </c:pt>
                <c:pt idx="220">
                  <c:v>106.3</c:v>
                </c:pt>
                <c:pt idx="221">
                  <c:v>105.4</c:v>
                </c:pt>
                <c:pt idx="222">
                  <c:v>106.1</c:v>
                </c:pt>
                <c:pt idx="223">
                  <c:v>106.3</c:v>
                </c:pt>
                <c:pt idx="224">
                  <c:v>106.1</c:v>
                </c:pt>
                <c:pt idx="225">
                  <c:v>102.5</c:v>
                </c:pt>
                <c:pt idx="226">
                  <c:v>105.3</c:v>
                </c:pt>
                <c:pt idx="227">
                  <c:v>106</c:v>
                </c:pt>
                <c:pt idx="228">
                  <c:v>106.1</c:v>
                </c:pt>
                <c:pt idx="229">
                  <c:v>105.9</c:v>
                </c:pt>
                <c:pt idx="230">
                  <c:v>102.7</c:v>
                </c:pt>
                <c:pt idx="231">
                  <c:v>105.3</c:v>
                </c:pt>
                <c:pt idx="232">
                  <c:v>98</c:v>
                </c:pt>
                <c:pt idx="233">
                  <c:v>99.7</c:v>
                </c:pt>
                <c:pt idx="234">
                  <c:v>98.8</c:v>
                </c:pt>
                <c:pt idx="235">
                  <c:v>101.9</c:v>
                </c:pt>
                <c:pt idx="236">
                  <c:v>103.8</c:v>
                </c:pt>
                <c:pt idx="237">
                  <c:v>100.3</c:v>
                </c:pt>
                <c:pt idx="238">
                  <c:v>104.7</c:v>
                </c:pt>
                <c:pt idx="239">
                  <c:v>105.2</c:v>
                </c:pt>
                <c:pt idx="240">
                  <c:v>106.5</c:v>
                </c:pt>
                <c:pt idx="241">
                  <c:v>106.3</c:v>
                </c:pt>
                <c:pt idx="242">
                  <c:v>105.8</c:v>
                </c:pt>
                <c:pt idx="243">
                  <c:v>103.4</c:v>
                </c:pt>
                <c:pt idx="244">
                  <c:v>101.5</c:v>
                </c:pt>
                <c:pt idx="245">
                  <c:v>98</c:v>
                </c:pt>
                <c:pt idx="246">
                  <c:v>90.7</c:v>
                </c:pt>
                <c:pt idx="247">
                  <c:v>105.8</c:v>
                </c:pt>
                <c:pt idx="248">
                  <c:v>106.1</c:v>
                </c:pt>
                <c:pt idx="249">
                  <c:v>105.2</c:v>
                </c:pt>
                <c:pt idx="250">
                  <c:v>104.1</c:v>
                </c:pt>
                <c:pt idx="251">
                  <c:v>104.6</c:v>
                </c:pt>
                <c:pt idx="252">
                  <c:v>104.2</c:v>
                </c:pt>
                <c:pt idx="253">
                  <c:v>103.1</c:v>
                </c:pt>
                <c:pt idx="254">
                  <c:v>100.8</c:v>
                </c:pt>
                <c:pt idx="255">
                  <c:v>102.7</c:v>
                </c:pt>
                <c:pt idx="256">
                  <c:v>101.8</c:v>
                </c:pt>
                <c:pt idx="257">
                  <c:v>95.6</c:v>
                </c:pt>
                <c:pt idx="258">
                  <c:v>102.4</c:v>
                </c:pt>
                <c:pt idx="259">
                  <c:v>103.9</c:v>
                </c:pt>
                <c:pt idx="260">
                  <c:v>101</c:v>
                </c:pt>
                <c:pt idx="261">
                  <c:v>102.9</c:v>
                </c:pt>
                <c:pt idx="262">
                  <c:v>102.6</c:v>
                </c:pt>
                <c:pt idx="263">
                  <c:v>93.7</c:v>
                </c:pt>
                <c:pt idx="264">
                  <c:v>97.4</c:v>
                </c:pt>
                <c:pt idx="265">
                  <c:v>99.8</c:v>
                </c:pt>
                <c:pt idx="266">
                  <c:v>99.8</c:v>
                </c:pt>
                <c:pt idx="267">
                  <c:v>98.3</c:v>
                </c:pt>
                <c:pt idx="268">
                  <c:v>97.8</c:v>
                </c:pt>
                <c:pt idx="269">
                  <c:v>101.9</c:v>
                </c:pt>
                <c:pt idx="270">
                  <c:v>105.7</c:v>
                </c:pt>
                <c:pt idx="271">
                  <c:v>106.4</c:v>
                </c:pt>
                <c:pt idx="272">
                  <c:v>106.9</c:v>
                </c:pt>
                <c:pt idx="273">
                  <c:v>107.1</c:v>
                </c:pt>
                <c:pt idx="274">
                  <c:v>106.1</c:v>
                </c:pt>
                <c:pt idx="275">
                  <c:v>106.7</c:v>
                </c:pt>
                <c:pt idx="276">
                  <c:v>106.1</c:v>
                </c:pt>
                <c:pt idx="277">
                  <c:v>104.1</c:v>
                </c:pt>
                <c:pt idx="278">
                  <c:v>105.8</c:v>
                </c:pt>
                <c:pt idx="279">
                  <c:v>106.5</c:v>
                </c:pt>
                <c:pt idx="280">
                  <c:v>105.9</c:v>
                </c:pt>
                <c:pt idx="281">
                  <c:v>104.3</c:v>
                </c:pt>
                <c:pt idx="282">
                  <c:v>94.3</c:v>
                </c:pt>
                <c:pt idx="283">
                  <c:v>106.2</c:v>
                </c:pt>
                <c:pt idx="284">
                  <c:v>106.5</c:v>
                </c:pt>
                <c:pt idx="285">
                  <c:v>106.6</c:v>
                </c:pt>
                <c:pt idx="286">
                  <c:v>106.8</c:v>
                </c:pt>
                <c:pt idx="287">
                  <c:v>106.7</c:v>
                </c:pt>
                <c:pt idx="288">
                  <c:v>106.6</c:v>
                </c:pt>
                <c:pt idx="289">
                  <c:v>105.5</c:v>
                </c:pt>
                <c:pt idx="290">
                  <c:v>106.6</c:v>
                </c:pt>
                <c:pt idx="291">
                  <c:v>104.7</c:v>
                </c:pt>
                <c:pt idx="292">
                  <c:v>103</c:v>
                </c:pt>
                <c:pt idx="293">
                  <c:v>105.2</c:v>
                </c:pt>
                <c:pt idx="294">
                  <c:v>106.3</c:v>
                </c:pt>
                <c:pt idx="295">
                  <c:v>103.1</c:v>
                </c:pt>
                <c:pt idx="296">
                  <c:v>103.3</c:v>
                </c:pt>
                <c:pt idx="297">
                  <c:v>105.5</c:v>
                </c:pt>
                <c:pt idx="298">
                  <c:v>103.5</c:v>
                </c:pt>
                <c:pt idx="299">
                  <c:v>103.8</c:v>
                </c:pt>
                <c:pt idx="300">
                  <c:v>102.3</c:v>
                </c:pt>
                <c:pt idx="301">
                  <c:v>99.2</c:v>
                </c:pt>
                <c:pt idx="302">
                  <c:v>104.7</c:v>
                </c:pt>
                <c:pt idx="303">
                  <c:v>102</c:v>
                </c:pt>
                <c:pt idx="304">
                  <c:v>96.5</c:v>
                </c:pt>
                <c:pt idx="305">
                  <c:v>96.5</c:v>
                </c:pt>
                <c:pt idx="306">
                  <c:v>99.7</c:v>
                </c:pt>
                <c:pt idx="307">
                  <c:v>102.3</c:v>
                </c:pt>
                <c:pt idx="308">
                  <c:v>102.2</c:v>
                </c:pt>
                <c:pt idx="309">
                  <c:v>104.1</c:v>
                </c:pt>
                <c:pt idx="310">
                  <c:v>103.5</c:v>
                </c:pt>
                <c:pt idx="311">
                  <c:v>106.6</c:v>
                </c:pt>
                <c:pt idx="312">
                  <c:v>103.6</c:v>
                </c:pt>
                <c:pt idx="313">
                  <c:v>100.6</c:v>
                </c:pt>
                <c:pt idx="314">
                  <c:v>105.7</c:v>
                </c:pt>
                <c:pt idx="315">
                  <c:v>104.6</c:v>
                </c:pt>
                <c:pt idx="316">
                  <c:v>106.6</c:v>
                </c:pt>
                <c:pt idx="317">
                  <c:v>106.7</c:v>
                </c:pt>
                <c:pt idx="318">
                  <c:v>107</c:v>
                </c:pt>
                <c:pt idx="319">
                  <c:v>106.7</c:v>
                </c:pt>
                <c:pt idx="320">
                  <c:v>105.6</c:v>
                </c:pt>
                <c:pt idx="321">
                  <c:v>102.7</c:v>
                </c:pt>
                <c:pt idx="322">
                  <c:v>103.5</c:v>
                </c:pt>
                <c:pt idx="323">
                  <c:v>101.7</c:v>
                </c:pt>
                <c:pt idx="324">
                  <c:v>104.2</c:v>
                </c:pt>
                <c:pt idx="325">
                  <c:v>106.8</c:v>
                </c:pt>
                <c:pt idx="326">
                  <c:v>106.8</c:v>
                </c:pt>
                <c:pt idx="327">
                  <c:v>101.8</c:v>
                </c:pt>
                <c:pt idx="328">
                  <c:v>103.4</c:v>
                </c:pt>
                <c:pt idx="329">
                  <c:v>106.4</c:v>
                </c:pt>
                <c:pt idx="330">
                  <c:v>105.1</c:v>
                </c:pt>
                <c:pt idx="331">
                  <c:v>106.4</c:v>
                </c:pt>
                <c:pt idx="332">
                  <c:v>98.5</c:v>
                </c:pt>
                <c:pt idx="333">
                  <c:v>82.6</c:v>
                </c:pt>
                <c:pt idx="334">
                  <c:v>101.1</c:v>
                </c:pt>
                <c:pt idx="335">
                  <c:v>101.8</c:v>
                </c:pt>
                <c:pt idx="336">
                  <c:v>100</c:v>
                </c:pt>
                <c:pt idx="337">
                  <c:v>102.6</c:v>
                </c:pt>
                <c:pt idx="338">
                  <c:v>95.7</c:v>
                </c:pt>
                <c:pt idx="339">
                  <c:v>96.9</c:v>
                </c:pt>
                <c:pt idx="340">
                  <c:v>99.1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Data!$AH$7:$AH$371</c:f>
              <c:numCache>
                <c:formatCode>General</c:formatCode>
                <c:ptCount val="365"/>
                <c:pt idx="0">
                  <c:v>79.2</c:v>
                </c:pt>
                <c:pt idx="1">
                  <c:v>76.3</c:v>
                </c:pt>
                <c:pt idx="2">
                  <c:v>75.7</c:v>
                </c:pt>
                <c:pt idx="3">
                  <c:v>74.599999999999994</c:v>
                </c:pt>
                <c:pt idx="4">
                  <c:v>60.85</c:v>
                </c:pt>
                <c:pt idx="5">
                  <c:v>63.05</c:v>
                </c:pt>
                <c:pt idx="6">
                  <c:v>67.36</c:v>
                </c:pt>
                <c:pt idx="7">
                  <c:v>81.3</c:v>
                </c:pt>
                <c:pt idx="8">
                  <c:v>81</c:v>
                </c:pt>
                <c:pt idx="9">
                  <c:v>84.1</c:v>
                </c:pt>
                <c:pt idx="10">
                  <c:v>98.5</c:v>
                </c:pt>
                <c:pt idx="11">
                  <c:v>74.5</c:v>
                </c:pt>
                <c:pt idx="12">
                  <c:v>79.099999999999994</c:v>
                </c:pt>
                <c:pt idx="13">
                  <c:v>84.8</c:v>
                </c:pt>
                <c:pt idx="14">
                  <c:v>80.400000000000006</c:v>
                </c:pt>
                <c:pt idx="15">
                  <c:v>98.9</c:v>
                </c:pt>
                <c:pt idx="16">
                  <c:v>84.7</c:v>
                </c:pt>
                <c:pt idx="17">
                  <c:v>85.8</c:v>
                </c:pt>
                <c:pt idx="18">
                  <c:v>54.53</c:v>
                </c:pt>
                <c:pt idx="19">
                  <c:v>41.85</c:v>
                </c:pt>
                <c:pt idx="20">
                  <c:v>66.239999999999995</c:v>
                </c:pt>
                <c:pt idx="21">
                  <c:v>59.86</c:v>
                </c:pt>
                <c:pt idx="22">
                  <c:v>50.16</c:v>
                </c:pt>
                <c:pt idx="23">
                  <c:v>27.55</c:v>
                </c:pt>
                <c:pt idx="24">
                  <c:v>64.77</c:v>
                </c:pt>
                <c:pt idx="25">
                  <c:v>87</c:v>
                </c:pt>
                <c:pt idx="26">
                  <c:v>65.98</c:v>
                </c:pt>
                <c:pt idx="27">
                  <c:v>61.8</c:v>
                </c:pt>
                <c:pt idx="28">
                  <c:v>79.8</c:v>
                </c:pt>
                <c:pt idx="29">
                  <c:v>73.8</c:v>
                </c:pt>
                <c:pt idx="30">
                  <c:v>80.900000000000006</c:v>
                </c:pt>
                <c:pt idx="31">
                  <c:v>66.209999999999994</c:v>
                </c:pt>
                <c:pt idx="32">
                  <c:v>58.85</c:v>
                </c:pt>
                <c:pt idx="33">
                  <c:v>51.59</c:v>
                </c:pt>
                <c:pt idx="34">
                  <c:v>58.4</c:v>
                </c:pt>
                <c:pt idx="35">
                  <c:v>36.75</c:v>
                </c:pt>
                <c:pt idx="36">
                  <c:v>95.2</c:v>
                </c:pt>
                <c:pt idx="37">
                  <c:v>64.38</c:v>
                </c:pt>
                <c:pt idx="38">
                  <c:v>90.6</c:v>
                </c:pt>
                <c:pt idx="39">
                  <c:v>68.959999999999994</c:v>
                </c:pt>
                <c:pt idx="40">
                  <c:v>71.8</c:v>
                </c:pt>
                <c:pt idx="41">
                  <c:v>39.83</c:v>
                </c:pt>
                <c:pt idx="42">
                  <c:v>32.119999999999997</c:v>
                </c:pt>
                <c:pt idx="43">
                  <c:v>27.51</c:v>
                </c:pt>
                <c:pt idx="44">
                  <c:v>47.03</c:v>
                </c:pt>
                <c:pt idx="45">
                  <c:v>79.900000000000006</c:v>
                </c:pt>
                <c:pt idx="46">
                  <c:v>88.4</c:v>
                </c:pt>
                <c:pt idx="47">
                  <c:v>82.2</c:v>
                </c:pt>
                <c:pt idx="48">
                  <c:v>70.900000000000006</c:v>
                </c:pt>
                <c:pt idx="49">
                  <c:v>63.37</c:v>
                </c:pt>
                <c:pt idx="50">
                  <c:v>55.91</c:v>
                </c:pt>
                <c:pt idx="51">
                  <c:v>44.68</c:v>
                </c:pt>
                <c:pt idx="52">
                  <c:v>45.78</c:v>
                </c:pt>
                <c:pt idx="53">
                  <c:v>49.84</c:v>
                </c:pt>
                <c:pt idx="54">
                  <c:v>65.69</c:v>
                </c:pt>
                <c:pt idx="55">
                  <c:v>42.78</c:v>
                </c:pt>
                <c:pt idx="56">
                  <c:v>39.9</c:v>
                </c:pt>
                <c:pt idx="57">
                  <c:v>36.39</c:v>
                </c:pt>
                <c:pt idx="58">
                  <c:v>21.45</c:v>
                </c:pt>
                <c:pt idx="59">
                  <c:v>16.98</c:v>
                </c:pt>
                <c:pt idx="60">
                  <c:v>31.22</c:v>
                </c:pt>
                <c:pt idx="61">
                  <c:v>15.81</c:v>
                </c:pt>
                <c:pt idx="62">
                  <c:v>66.83</c:v>
                </c:pt>
                <c:pt idx="63">
                  <c:v>66.599999999999994</c:v>
                </c:pt>
                <c:pt idx="64">
                  <c:v>55.81</c:v>
                </c:pt>
                <c:pt idx="65">
                  <c:v>49.79</c:v>
                </c:pt>
                <c:pt idx="66">
                  <c:v>72.2</c:v>
                </c:pt>
                <c:pt idx="67">
                  <c:v>75.2</c:v>
                </c:pt>
                <c:pt idx="68">
                  <c:v>68.72</c:v>
                </c:pt>
                <c:pt idx="69">
                  <c:v>61.2</c:v>
                </c:pt>
                <c:pt idx="70">
                  <c:v>55.98</c:v>
                </c:pt>
                <c:pt idx="71">
                  <c:v>68.790000000000006</c:v>
                </c:pt>
                <c:pt idx="72">
                  <c:v>67.430000000000007</c:v>
                </c:pt>
                <c:pt idx="73">
                  <c:v>63.89</c:v>
                </c:pt>
                <c:pt idx="74">
                  <c:v>41.27</c:v>
                </c:pt>
                <c:pt idx="75">
                  <c:v>45.27</c:v>
                </c:pt>
                <c:pt idx="76">
                  <c:v>63.53</c:v>
                </c:pt>
                <c:pt idx="77">
                  <c:v>53.68</c:v>
                </c:pt>
                <c:pt idx="78">
                  <c:v>68.61</c:v>
                </c:pt>
                <c:pt idx="79">
                  <c:v>63.18</c:v>
                </c:pt>
                <c:pt idx="80">
                  <c:v>46.03</c:v>
                </c:pt>
                <c:pt idx="81">
                  <c:v>75</c:v>
                </c:pt>
                <c:pt idx="82">
                  <c:v>63.51</c:v>
                </c:pt>
                <c:pt idx="83">
                  <c:v>44.33</c:v>
                </c:pt>
                <c:pt idx="84">
                  <c:v>40.07</c:v>
                </c:pt>
                <c:pt idx="85">
                  <c:v>33.22</c:v>
                </c:pt>
                <c:pt idx="86">
                  <c:v>30.57</c:v>
                </c:pt>
                <c:pt idx="87">
                  <c:v>25.48</c:v>
                </c:pt>
                <c:pt idx="88">
                  <c:v>25.21</c:v>
                </c:pt>
                <c:pt idx="89">
                  <c:v>26.91</c:v>
                </c:pt>
                <c:pt idx="90">
                  <c:v>64.72</c:v>
                </c:pt>
                <c:pt idx="91">
                  <c:v>85.6</c:v>
                </c:pt>
                <c:pt idx="92">
                  <c:v>57.88</c:v>
                </c:pt>
                <c:pt idx="93">
                  <c:v>58.89</c:v>
                </c:pt>
                <c:pt idx="94">
                  <c:v>35.590000000000003</c:v>
                </c:pt>
                <c:pt idx="95">
                  <c:v>37.33</c:v>
                </c:pt>
                <c:pt idx="96">
                  <c:v>54.91</c:v>
                </c:pt>
                <c:pt idx="97">
                  <c:v>94.7</c:v>
                </c:pt>
                <c:pt idx="98">
                  <c:v>60.18</c:v>
                </c:pt>
                <c:pt idx="99">
                  <c:v>46.7</c:v>
                </c:pt>
                <c:pt idx="100">
                  <c:v>37.950000000000003</c:v>
                </c:pt>
                <c:pt idx="101">
                  <c:v>24.89</c:v>
                </c:pt>
                <c:pt idx="102">
                  <c:v>63.72</c:v>
                </c:pt>
                <c:pt idx="103">
                  <c:v>71</c:v>
                </c:pt>
                <c:pt idx="104">
                  <c:v>51.12</c:v>
                </c:pt>
                <c:pt idx="105">
                  <c:v>27.59</c:v>
                </c:pt>
                <c:pt idx="106">
                  <c:v>43.8</c:v>
                </c:pt>
                <c:pt idx="107">
                  <c:v>64.88</c:v>
                </c:pt>
                <c:pt idx="108">
                  <c:v>97.2</c:v>
                </c:pt>
                <c:pt idx="109">
                  <c:v>44.13</c:v>
                </c:pt>
                <c:pt idx="110">
                  <c:v>39.049999999999997</c:v>
                </c:pt>
                <c:pt idx="111">
                  <c:v>31.72</c:v>
                </c:pt>
                <c:pt idx="112">
                  <c:v>25.82</c:v>
                </c:pt>
                <c:pt idx="113">
                  <c:v>49.27</c:v>
                </c:pt>
                <c:pt idx="114">
                  <c:v>21.42</c:v>
                </c:pt>
                <c:pt idx="115">
                  <c:v>46.98</c:v>
                </c:pt>
                <c:pt idx="116">
                  <c:v>31.28</c:v>
                </c:pt>
                <c:pt idx="117">
                  <c:v>30.68</c:v>
                </c:pt>
                <c:pt idx="118">
                  <c:v>36.090000000000003</c:v>
                </c:pt>
                <c:pt idx="119">
                  <c:v>42.58</c:v>
                </c:pt>
                <c:pt idx="120">
                  <c:v>35</c:v>
                </c:pt>
                <c:pt idx="121">
                  <c:v>51.02</c:v>
                </c:pt>
                <c:pt idx="122">
                  <c:v>70.8</c:v>
                </c:pt>
                <c:pt idx="123">
                  <c:v>51.67</c:v>
                </c:pt>
                <c:pt idx="124">
                  <c:v>50.41</c:v>
                </c:pt>
                <c:pt idx="125">
                  <c:v>50.91</c:v>
                </c:pt>
                <c:pt idx="126">
                  <c:v>43.87</c:v>
                </c:pt>
                <c:pt idx="127">
                  <c:v>36.270000000000003</c:v>
                </c:pt>
                <c:pt idx="128">
                  <c:v>36.67</c:v>
                </c:pt>
                <c:pt idx="129">
                  <c:v>65.06</c:v>
                </c:pt>
                <c:pt idx="130">
                  <c:v>96.6</c:v>
                </c:pt>
                <c:pt idx="131">
                  <c:v>87.6</c:v>
                </c:pt>
                <c:pt idx="132">
                  <c:v>29.57</c:v>
                </c:pt>
                <c:pt idx="133">
                  <c:v>38.15</c:v>
                </c:pt>
                <c:pt idx="134">
                  <c:v>39.770000000000003</c:v>
                </c:pt>
                <c:pt idx="135">
                  <c:v>38.4</c:v>
                </c:pt>
                <c:pt idx="136">
                  <c:v>57.26</c:v>
                </c:pt>
                <c:pt idx="137">
                  <c:v>34.049999999999997</c:v>
                </c:pt>
                <c:pt idx="138">
                  <c:v>18.2</c:v>
                </c:pt>
                <c:pt idx="139">
                  <c:v>44.96</c:v>
                </c:pt>
                <c:pt idx="140">
                  <c:v>24.69</c:v>
                </c:pt>
                <c:pt idx="141">
                  <c:v>22.18</c:v>
                </c:pt>
                <c:pt idx="142">
                  <c:v>20.21</c:v>
                </c:pt>
                <c:pt idx="143">
                  <c:v>24.39</c:v>
                </c:pt>
                <c:pt idx="144">
                  <c:v>23.19</c:v>
                </c:pt>
                <c:pt idx="145">
                  <c:v>21.97</c:v>
                </c:pt>
                <c:pt idx="146">
                  <c:v>16.079999999999998</c:v>
                </c:pt>
                <c:pt idx="147">
                  <c:v>19.309999999999999</c:v>
                </c:pt>
                <c:pt idx="148">
                  <c:v>22.62</c:v>
                </c:pt>
                <c:pt idx="149">
                  <c:v>22.7</c:v>
                </c:pt>
                <c:pt idx="150">
                  <c:v>36.299999999999997</c:v>
                </c:pt>
                <c:pt idx="151">
                  <c:v>27.9</c:v>
                </c:pt>
                <c:pt idx="152">
                  <c:v>39.74</c:v>
                </c:pt>
                <c:pt idx="153">
                  <c:v>30.46</c:v>
                </c:pt>
                <c:pt idx="154">
                  <c:v>34.19</c:v>
                </c:pt>
                <c:pt idx="155">
                  <c:v>103.7</c:v>
                </c:pt>
                <c:pt idx="156">
                  <c:v>104.9</c:v>
                </c:pt>
                <c:pt idx="157">
                  <c:v>27.44</c:v>
                </c:pt>
                <c:pt idx="158">
                  <c:v>17.16</c:v>
                </c:pt>
                <c:pt idx="159">
                  <c:v>18.510000000000002</c:v>
                </c:pt>
                <c:pt idx="160">
                  <c:v>33.93</c:v>
                </c:pt>
                <c:pt idx="161">
                  <c:v>62.95</c:v>
                </c:pt>
                <c:pt idx="162">
                  <c:v>36.46</c:v>
                </c:pt>
                <c:pt idx="163">
                  <c:v>54.05</c:v>
                </c:pt>
                <c:pt idx="164">
                  <c:v>64.95</c:v>
                </c:pt>
                <c:pt idx="165">
                  <c:v>63.98</c:v>
                </c:pt>
                <c:pt idx="166">
                  <c:v>58.97</c:v>
                </c:pt>
                <c:pt idx="167">
                  <c:v>62.19</c:v>
                </c:pt>
                <c:pt idx="168">
                  <c:v>55.87</c:v>
                </c:pt>
                <c:pt idx="169">
                  <c:v>74.7</c:v>
                </c:pt>
                <c:pt idx="170">
                  <c:v>104</c:v>
                </c:pt>
                <c:pt idx="171">
                  <c:v>56.79</c:v>
                </c:pt>
                <c:pt idx="172">
                  <c:v>42.98</c:v>
                </c:pt>
                <c:pt idx="173">
                  <c:v>30.74</c:v>
                </c:pt>
                <c:pt idx="174">
                  <c:v>42.01</c:v>
                </c:pt>
                <c:pt idx="175">
                  <c:v>33.58</c:v>
                </c:pt>
                <c:pt idx="176">
                  <c:v>29.81</c:v>
                </c:pt>
                <c:pt idx="177">
                  <c:v>27.5</c:v>
                </c:pt>
                <c:pt idx="178">
                  <c:v>23.23</c:v>
                </c:pt>
                <c:pt idx="179">
                  <c:v>20.93</c:v>
                </c:pt>
                <c:pt idx="180">
                  <c:v>22.88</c:v>
                </c:pt>
                <c:pt idx="181">
                  <c:v>24.06</c:v>
                </c:pt>
                <c:pt idx="182">
                  <c:v>43</c:v>
                </c:pt>
                <c:pt idx="183">
                  <c:v>53.34</c:v>
                </c:pt>
                <c:pt idx="184">
                  <c:v>64.12</c:v>
                </c:pt>
                <c:pt idx="185">
                  <c:v>41.83</c:v>
                </c:pt>
                <c:pt idx="186">
                  <c:v>44.29</c:v>
                </c:pt>
                <c:pt idx="187">
                  <c:v>66.64</c:v>
                </c:pt>
                <c:pt idx="188">
                  <c:v>51.28</c:v>
                </c:pt>
                <c:pt idx="189">
                  <c:v>45.95</c:v>
                </c:pt>
                <c:pt idx="190">
                  <c:v>55.45</c:v>
                </c:pt>
                <c:pt idx="191">
                  <c:v>38.130000000000003</c:v>
                </c:pt>
                <c:pt idx="192">
                  <c:v>32.03</c:v>
                </c:pt>
                <c:pt idx="193">
                  <c:v>37.700000000000003</c:v>
                </c:pt>
                <c:pt idx="194">
                  <c:v>37.5</c:v>
                </c:pt>
                <c:pt idx="195">
                  <c:v>31</c:v>
                </c:pt>
                <c:pt idx="196">
                  <c:v>35.79</c:v>
                </c:pt>
                <c:pt idx="197">
                  <c:v>35.65</c:v>
                </c:pt>
                <c:pt idx="198">
                  <c:v>30.05</c:v>
                </c:pt>
                <c:pt idx="199">
                  <c:v>18.03</c:v>
                </c:pt>
                <c:pt idx="200">
                  <c:v>38.58</c:v>
                </c:pt>
                <c:pt idx="201">
                  <c:v>36.200000000000003</c:v>
                </c:pt>
                <c:pt idx="202">
                  <c:v>37.35</c:v>
                </c:pt>
                <c:pt idx="203">
                  <c:v>55.77</c:v>
                </c:pt>
                <c:pt idx="204">
                  <c:v>65.099999999999994</c:v>
                </c:pt>
                <c:pt idx="205">
                  <c:v>82.2</c:v>
                </c:pt>
                <c:pt idx="206">
                  <c:v>65.010000000000005</c:v>
                </c:pt>
                <c:pt idx="207">
                  <c:v>44.21</c:v>
                </c:pt>
                <c:pt idx="208">
                  <c:v>41.27</c:v>
                </c:pt>
                <c:pt idx="209">
                  <c:v>64.319999999999993</c:v>
                </c:pt>
                <c:pt idx="210">
                  <c:v>43.46</c:v>
                </c:pt>
                <c:pt idx="211">
                  <c:v>50.15</c:v>
                </c:pt>
                <c:pt idx="212">
                  <c:v>61.88</c:v>
                </c:pt>
                <c:pt idx="213">
                  <c:v>45.71</c:v>
                </c:pt>
                <c:pt idx="214">
                  <c:v>44.04</c:v>
                </c:pt>
                <c:pt idx="215">
                  <c:v>28.7</c:v>
                </c:pt>
                <c:pt idx="216">
                  <c:v>62.27</c:v>
                </c:pt>
                <c:pt idx="217">
                  <c:v>78.2</c:v>
                </c:pt>
                <c:pt idx="218">
                  <c:v>77.599999999999994</c:v>
                </c:pt>
                <c:pt idx="219">
                  <c:v>95.2</c:v>
                </c:pt>
                <c:pt idx="220">
                  <c:v>54.88</c:v>
                </c:pt>
                <c:pt idx="221">
                  <c:v>41.91</c:v>
                </c:pt>
                <c:pt idx="222">
                  <c:v>69.87</c:v>
                </c:pt>
                <c:pt idx="223">
                  <c:v>91.7</c:v>
                </c:pt>
                <c:pt idx="224">
                  <c:v>55.04</c:v>
                </c:pt>
                <c:pt idx="225">
                  <c:v>60.25</c:v>
                </c:pt>
                <c:pt idx="226">
                  <c:v>78.400000000000006</c:v>
                </c:pt>
                <c:pt idx="227">
                  <c:v>55.6</c:v>
                </c:pt>
                <c:pt idx="228">
                  <c:v>86.6</c:v>
                </c:pt>
                <c:pt idx="229">
                  <c:v>67.47</c:v>
                </c:pt>
                <c:pt idx="230">
                  <c:v>55.38</c:v>
                </c:pt>
                <c:pt idx="231">
                  <c:v>41.97</c:v>
                </c:pt>
                <c:pt idx="232">
                  <c:v>27.03</c:v>
                </c:pt>
                <c:pt idx="233">
                  <c:v>24.12</c:v>
                </c:pt>
                <c:pt idx="234">
                  <c:v>29.47</c:v>
                </c:pt>
                <c:pt idx="235">
                  <c:v>44.42</c:v>
                </c:pt>
                <c:pt idx="236">
                  <c:v>35.68</c:v>
                </c:pt>
                <c:pt idx="237">
                  <c:v>45.7</c:v>
                </c:pt>
                <c:pt idx="238">
                  <c:v>43.61</c:v>
                </c:pt>
                <c:pt idx="239">
                  <c:v>37.57</c:v>
                </c:pt>
                <c:pt idx="240">
                  <c:v>81.099999999999994</c:v>
                </c:pt>
                <c:pt idx="241">
                  <c:v>52.59</c:v>
                </c:pt>
                <c:pt idx="242">
                  <c:v>34.340000000000003</c:v>
                </c:pt>
                <c:pt idx="243">
                  <c:v>16.21</c:v>
                </c:pt>
                <c:pt idx="244">
                  <c:v>15.26</c:v>
                </c:pt>
                <c:pt idx="245">
                  <c:v>12.69</c:v>
                </c:pt>
                <c:pt idx="246">
                  <c:v>17.82</c:v>
                </c:pt>
                <c:pt idx="247">
                  <c:v>68.709999999999994</c:v>
                </c:pt>
                <c:pt idx="248">
                  <c:v>53.34</c:v>
                </c:pt>
                <c:pt idx="249">
                  <c:v>41.13</c:v>
                </c:pt>
                <c:pt idx="250">
                  <c:v>46.34</c:v>
                </c:pt>
                <c:pt idx="251">
                  <c:v>34.24</c:v>
                </c:pt>
                <c:pt idx="252">
                  <c:v>37.200000000000003</c:v>
                </c:pt>
                <c:pt idx="253">
                  <c:v>33.31</c:v>
                </c:pt>
                <c:pt idx="254">
                  <c:v>46.82</c:v>
                </c:pt>
                <c:pt idx="255">
                  <c:v>34.659999999999997</c:v>
                </c:pt>
                <c:pt idx="256">
                  <c:v>14.32</c:v>
                </c:pt>
                <c:pt idx="257">
                  <c:v>28.85</c:v>
                </c:pt>
                <c:pt idx="258">
                  <c:v>38.99</c:v>
                </c:pt>
                <c:pt idx="259">
                  <c:v>22.56</c:v>
                </c:pt>
                <c:pt idx="260">
                  <c:v>57.26</c:v>
                </c:pt>
                <c:pt idx="261">
                  <c:v>27.64</c:v>
                </c:pt>
                <c:pt idx="262">
                  <c:v>18.739999999999998</c:v>
                </c:pt>
                <c:pt idx="263">
                  <c:v>25.89</c:v>
                </c:pt>
                <c:pt idx="264">
                  <c:v>33.51</c:v>
                </c:pt>
                <c:pt idx="265">
                  <c:v>31.81</c:v>
                </c:pt>
                <c:pt idx="266">
                  <c:v>29.18</c:v>
                </c:pt>
                <c:pt idx="267">
                  <c:v>25.47</c:v>
                </c:pt>
                <c:pt idx="268">
                  <c:v>46.57</c:v>
                </c:pt>
                <c:pt idx="269">
                  <c:v>64.8</c:v>
                </c:pt>
                <c:pt idx="270">
                  <c:v>63.45</c:v>
                </c:pt>
                <c:pt idx="271">
                  <c:v>58.25</c:v>
                </c:pt>
                <c:pt idx="272">
                  <c:v>73.2</c:v>
                </c:pt>
                <c:pt idx="273">
                  <c:v>70.5</c:v>
                </c:pt>
                <c:pt idx="274">
                  <c:v>85.7</c:v>
                </c:pt>
                <c:pt idx="275">
                  <c:v>93.2</c:v>
                </c:pt>
                <c:pt idx="276">
                  <c:v>61.73</c:v>
                </c:pt>
                <c:pt idx="277">
                  <c:v>61.81</c:v>
                </c:pt>
                <c:pt idx="278">
                  <c:v>72.5</c:v>
                </c:pt>
                <c:pt idx="279">
                  <c:v>71.3</c:v>
                </c:pt>
                <c:pt idx="280">
                  <c:v>74.7</c:v>
                </c:pt>
                <c:pt idx="281">
                  <c:v>79.7</c:v>
                </c:pt>
                <c:pt idx="282">
                  <c:v>63.89</c:v>
                </c:pt>
                <c:pt idx="283">
                  <c:v>66.010000000000005</c:v>
                </c:pt>
                <c:pt idx="284">
                  <c:v>90.9</c:v>
                </c:pt>
                <c:pt idx="285">
                  <c:v>88.1</c:v>
                </c:pt>
                <c:pt idx="286">
                  <c:v>99</c:v>
                </c:pt>
                <c:pt idx="287">
                  <c:v>73.900000000000006</c:v>
                </c:pt>
                <c:pt idx="288">
                  <c:v>81.900000000000006</c:v>
                </c:pt>
                <c:pt idx="289">
                  <c:v>91.4</c:v>
                </c:pt>
                <c:pt idx="290">
                  <c:v>75.7</c:v>
                </c:pt>
                <c:pt idx="291">
                  <c:v>48.33</c:v>
                </c:pt>
                <c:pt idx="292">
                  <c:v>46.42</c:v>
                </c:pt>
                <c:pt idx="293">
                  <c:v>77.2</c:v>
                </c:pt>
                <c:pt idx="294">
                  <c:v>60.21</c:v>
                </c:pt>
                <c:pt idx="295">
                  <c:v>68.489999999999995</c:v>
                </c:pt>
                <c:pt idx="296">
                  <c:v>84.3</c:v>
                </c:pt>
                <c:pt idx="297">
                  <c:v>85.6</c:v>
                </c:pt>
                <c:pt idx="298">
                  <c:v>73.900000000000006</c:v>
                </c:pt>
                <c:pt idx="299">
                  <c:v>75.2</c:v>
                </c:pt>
                <c:pt idx="300">
                  <c:v>61.06</c:v>
                </c:pt>
                <c:pt idx="301">
                  <c:v>43.51</c:v>
                </c:pt>
                <c:pt idx="302">
                  <c:v>87.7</c:v>
                </c:pt>
                <c:pt idx="303">
                  <c:v>45.21</c:v>
                </c:pt>
                <c:pt idx="304">
                  <c:v>62.98</c:v>
                </c:pt>
                <c:pt idx="305">
                  <c:v>47.86</c:v>
                </c:pt>
                <c:pt idx="306">
                  <c:v>56.79</c:v>
                </c:pt>
                <c:pt idx="307">
                  <c:v>69.16</c:v>
                </c:pt>
                <c:pt idx="308">
                  <c:v>90.8</c:v>
                </c:pt>
                <c:pt idx="309">
                  <c:v>96.3</c:v>
                </c:pt>
                <c:pt idx="310">
                  <c:v>83.5</c:v>
                </c:pt>
                <c:pt idx="311">
                  <c:v>93.3</c:v>
                </c:pt>
                <c:pt idx="312">
                  <c:v>95.3</c:v>
                </c:pt>
                <c:pt idx="313">
                  <c:v>93.2</c:v>
                </c:pt>
                <c:pt idx="314">
                  <c:v>99</c:v>
                </c:pt>
                <c:pt idx="315">
                  <c:v>80.2</c:v>
                </c:pt>
                <c:pt idx="316">
                  <c:v>103.6</c:v>
                </c:pt>
                <c:pt idx="317">
                  <c:v>100.6</c:v>
                </c:pt>
                <c:pt idx="318">
                  <c:v>82.7</c:v>
                </c:pt>
                <c:pt idx="319">
                  <c:v>72.2</c:v>
                </c:pt>
                <c:pt idx="320">
                  <c:v>81.8</c:v>
                </c:pt>
                <c:pt idx="321">
                  <c:v>63.28</c:v>
                </c:pt>
                <c:pt idx="322">
                  <c:v>39.630000000000003</c:v>
                </c:pt>
                <c:pt idx="323">
                  <c:v>12.74</c:v>
                </c:pt>
                <c:pt idx="324">
                  <c:v>57.21</c:v>
                </c:pt>
                <c:pt idx="325">
                  <c:v>98.8</c:v>
                </c:pt>
                <c:pt idx="326">
                  <c:v>91.4</c:v>
                </c:pt>
                <c:pt idx="327">
                  <c:v>79.900000000000006</c:v>
                </c:pt>
                <c:pt idx="328">
                  <c:v>77.5</c:v>
                </c:pt>
                <c:pt idx="329">
                  <c:v>86.7</c:v>
                </c:pt>
                <c:pt idx="330">
                  <c:v>89.8</c:v>
                </c:pt>
                <c:pt idx="331">
                  <c:v>94.4</c:v>
                </c:pt>
                <c:pt idx="332">
                  <c:v>60.04</c:v>
                </c:pt>
                <c:pt idx="333">
                  <c:v>64.25</c:v>
                </c:pt>
                <c:pt idx="334">
                  <c:v>54.98</c:v>
                </c:pt>
                <c:pt idx="335">
                  <c:v>61.87</c:v>
                </c:pt>
                <c:pt idx="336">
                  <c:v>63.78</c:v>
                </c:pt>
                <c:pt idx="337">
                  <c:v>62.66</c:v>
                </c:pt>
                <c:pt idx="338">
                  <c:v>52.36</c:v>
                </c:pt>
                <c:pt idx="339">
                  <c:v>79.599999999999994</c:v>
                </c:pt>
                <c:pt idx="340">
                  <c:v>76.8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889792"/>
        <c:axId val="235891328"/>
      </c:lineChart>
      <c:catAx>
        <c:axId val="23588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5891328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5891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5889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Corrected Maximum and Minimum Relative Humidity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Data!$BM$7:$BM$371</c:f>
              <c:numCache>
                <c:formatCode>General</c:formatCode>
                <c:ptCount val="365"/>
                <c:pt idx="0">
                  <c:v>91.6</c:v>
                </c:pt>
                <c:pt idx="1">
                  <c:v>91.6</c:v>
                </c:pt>
                <c:pt idx="2">
                  <c:v>95</c:v>
                </c:pt>
                <c:pt idx="3">
                  <c:v>96</c:v>
                </c:pt>
                <c:pt idx="4">
                  <c:v>88.8</c:v>
                </c:pt>
                <c:pt idx="5">
                  <c:v>90.7</c:v>
                </c:pt>
                <c:pt idx="6">
                  <c:v>92.4</c:v>
                </c:pt>
                <c:pt idx="7">
                  <c:v>98.2</c:v>
                </c:pt>
                <c:pt idx="8">
                  <c:v>96.4</c:v>
                </c:pt>
                <c:pt idx="9">
                  <c:v>97.7</c:v>
                </c:pt>
                <c:pt idx="10">
                  <c:v>96.1</c:v>
                </c:pt>
                <c:pt idx="11">
                  <c:v>96.2</c:v>
                </c:pt>
                <c:pt idx="12">
                  <c:v>96.3</c:v>
                </c:pt>
                <c:pt idx="13">
                  <c:v>96.4</c:v>
                </c:pt>
                <c:pt idx="14">
                  <c:v>96.9</c:v>
                </c:pt>
                <c:pt idx="15">
                  <c:v>96.2</c:v>
                </c:pt>
                <c:pt idx="16">
                  <c:v>95.2</c:v>
                </c:pt>
                <c:pt idx="17">
                  <c:v>93.2</c:v>
                </c:pt>
                <c:pt idx="18">
                  <c:v>97</c:v>
                </c:pt>
                <c:pt idx="19">
                  <c:v>96</c:v>
                </c:pt>
                <c:pt idx="20">
                  <c:v>94.7</c:v>
                </c:pt>
                <c:pt idx="21">
                  <c:v>94.1</c:v>
                </c:pt>
                <c:pt idx="22">
                  <c:v>91.6</c:v>
                </c:pt>
                <c:pt idx="23">
                  <c:v>88</c:v>
                </c:pt>
                <c:pt idx="24">
                  <c:v>93.3</c:v>
                </c:pt>
                <c:pt idx="25">
                  <c:v>97</c:v>
                </c:pt>
                <c:pt idx="26">
                  <c:v>98.3</c:v>
                </c:pt>
                <c:pt idx="27">
                  <c:v>99.2</c:v>
                </c:pt>
                <c:pt idx="28">
                  <c:v>97.5</c:v>
                </c:pt>
                <c:pt idx="29">
                  <c:v>97.7</c:v>
                </c:pt>
                <c:pt idx="30">
                  <c:v>95.8</c:v>
                </c:pt>
                <c:pt idx="31">
                  <c:v>94.7</c:v>
                </c:pt>
                <c:pt idx="32">
                  <c:v>96.2</c:v>
                </c:pt>
                <c:pt idx="33">
                  <c:v>96</c:v>
                </c:pt>
                <c:pt idx="34">
                  <c:v>94.9</c:v>
                </c:pt>
                <c:pt idx="35">
                  <c:v>96.4</c:v>
                </c:pt>
                <c:pt idx="36">
                  <c:v>98.6</c:v>
                </c:pt>
                <c:pt idx="37">
                  <c:v>98.3</c:v>
                </c:pt>
                <c:pt idx="38">
                  <c:v>98</c:v>
                </c:pt>
                <c:pt idx="39">
                  <c:v>95.9</c:v>
                </c:pt>
                <c:pt idx="40">
                  <c:v>95.6</c:v>
                </c:pt>
                <c:pt idx="41">
                  <c:v>90.4</c:v>
                </c:pt>
                <c:pt idx="42">
                  <c:v>62.5</c:v>
                </c:pt>
                <c:pt idx="43">
                  <c:v>78.099999999999994</c:v>
                </c:pt>
                <c:pt idx="44">
                  <c:v>90.4</c:v>
                </c:pt>
                <c:pt idx="45">
                  <c:v>92.4</c:v>
                </c:pt>
                <c:pt idx="46">
                  <c:v>95.2</c:v>
                </c:pt>
                <c:pt idx="47">
                  <c:v>93.9</c:v>
                </c:pt>
                <c:pt idx="48">
                  <c:v>98</c:v>
                </c:pt>
                <c:pt idx="49">
                  <c:v>96.5</c:v>
                </c:pt>
                <c:pt idx="50">
                  <c:v>96.1</c:v>
                </c:pt>
                <c:pt idx="51">
                  <c:v>91.9</c:v>
                </c:pt>
                <c:pt idx="52">
                  <c:v>91.5</c:v>
                </c:pt>
                <c:pt idx="53">
                  <c:v>91.2</c:v>
                </c:pt>
                <c:pt idx="54">
                  <c:v>87.5</c:v>
                </c:pt>
                <c:pt idx="55">
                  <c:v>92.8</c:v>
                </c:pt>
                <c:pt idx="56">
                  <c:v>88.4</c:v>
                </c:pt>
                <c:pt idx="57">
                  <c:v>82.9</c:v>
                </c:pt>
                <c:pt idx="58">
                  <c:v>82.8</c:v>
                </c:pt>
                <c:pt idx="59">
                  <c:v>81.900000000000006</c:v>
                </c:pt>
                <c:pt idx="60">
                  <c:v>81.2</c:v>
                </c:pt>
                <c:pt idx="61">
                  <c:v>85.5</c:v>
                </c:pt>
                <c:pt idx="62">
                  <c:v>92</c:v>
                </c:pt>
                <c:pt idx="63">
                  <c:v>87.6</c:v>
                </c:pt>
                <c:pt idx="64">
                  <c:v>84.9</c:v>
                </c:pt>
                <c:pt idx="65">
                  <c:v>86.3</c:v>
                </c:pt>
                <c:pt idx="66">
                  <c:v>95.5</c:v>
                </c:pt>
                <c:pt idx="67">
                  <c:v>97.3</c:v>
                </c:pt>
                <c:pt idx="68">
                  <c:v>94</c:v>
                </c:pt>
                <c:pt idx="69">
                  <c:v>98.9</c:v>
                </c:pt>
                <c:pt idx="70">
                  <c:v>96.7</c:v>
                </c:pt>
                <c:pt idx="71">
                  <c:v>98</c:v>
                </c:pt>
                <c:pt idx="72">
                  <c:v>96.3</c:v>
                </c:pt>
                <c:pt idx="73">
                  <c:v>96.9</c:v>
                </c:pt>
                <c:pt idx="74">
                  <c:v>96.4</c:v>
                </c:pt>
                <c:pt idx="75">
                  <c:v>82.1</c:v>
                </c:pt>
                <c:pt idx="76">
                  <c:v>98.4</c:v>
                </c:pt>
                <c:pt idx="77">
                  <c:v>94.5</c:v>
                </c:pt>
                <c:pt idx="78">
                  <c:v>97.9</c:v>
                </c:pt>
                <c:pt idx="79">
                  <c:v>95.7</c:v>
                </c:pt>
                <c:pt idx="80">
                  <c:v>94.2</c:v>
                </c:pt>
                <c:pt idx="81">
                  <c:v>97.7</c:v>
                </c:pt>
                <c:pt idx="82">
                  <c:v>97.6</c:v>
                </c:pt>
                <c:pt idx="83">
                  <c:v>95</c:v>
                </c:pt>
                <c:pt idx="84">
                  <c:v>91.7</c:v>
                </c:pt>
                <c:pt idx="85">
                  <c:v>93.3</c:v>
                </c:pt>
                <c:pt idx="86">
                  <c:v>94.1</c:v>
                </c:pt>
                <c:pt idx="87">
                  <c:v>91.2</c:v>
                </c:pt>
                <c:pt idx="88">
                  <c:v>88.8</c:v>
                </c:pt>
                <c:pt idx="89">
                  <c:v>89.7</c:v>
                </c:pt>
                <c:pt idx="90">
                  <c:v>99</c:v>
                </c:pt>
                <c:pt idx="91">
                  <c:v>97.8</c:v>
                </c:pt>
                <c:pt idx="92">
                  <c:v>97.4</c:v>
                </c:pt>
                <c:pt idx="93">
                  <c:v>97.4</c:v>
                </c:pt>
                <c:pt idx="94">
                  <c:v>94</c:v>
                </c:pt>
                <c:pt idx="95">
                  <c:v>89.7</c:v>
                </c:pt>
                <c:pt idx="96">
                  <c:v>98.9</c:v>
                </c:pt>
                <c:pt idx="97">
                  <c:v>98.9</c:v>
                </c:pt>
                <c:pt idx="98">
                  <c:v>98.3</c:v>
                </c:pt>
                <c:pt idx="99">
                  <c:v>97.7</c:v>
                </c:pt>
                <c:pt idx="100">
                  <c:v>97.8</c:v>
                </c:pt>
                <c:pt idx="101">
                  <c:v>92.1</c:v>
                </c:pt>
                <c:pt idx="102">
                  <c:v>98.9</c:v>
                </c:pt>
                <c:pt idx="103">
                  <c:v>96.6</c:v>
                </c:pt>
                <c:pt idx="104">
                  <c:v>96.4</c:v>
                </c:pt>
                <c:pt idx="105">
                  <c:v>92.5</c:v>
                </c:pt>
                <c:pt idx="106">
                  <c:v>89.4</c:v>
                </c:pt>
                <c:pt idx="107">
                  <c:v>96</c:v>
                </c:pt>
                <c:pt idx="108">
                  <c:v>99.2</c:v>
                </c:pt>
                <c:pt idx="109">
                  <c:v>96.5</c:v>
                </c:pt>
                <c:pt idx="110">
                  <c:v>94.5</c:v>
                </c:pt>
                <c:pt idx="111">
                  <c:v>93</c:v>
                </c:pt>
                <c:pt idx="112">
                  <c:v>88.3</c:v>
                </c:pt>
                <c:pt idx="113">
                  <c:v>86.6</c:v>
                </c:pt>
                <c:pt idx="114">
                  <c:v>83.7</c:v>
                </c:pt>
                <c:pt idx="115">
                  <c:v>94.1</c:v>
                </c:pt>
                <c:pt idx="116">
                  <c:v>56.8</c:v>
                </c:pt>
                <c:pt idx="117">
                  <c:v>72.900000000000006</c:v>
                </c:pt>
                <c:pt idx="118">
                  <c:v>80.3</c:v>
                </c:pt>
                <c:pt idx="119">
                  <c:v>89.1</c:v>
                </c:pt>
                <c:pt idx="120">
                  <c:v>91.1</c:v>
                </c:pt>
                <c:pt idx="121">
                  <c:v>98.7</c:v>
                </c:pt>
                <c:pt idx="122">
                  <c:v>98.5</c:v>
                </c:pt>
                <c:pt idx="123">
                  <c:v>97.7</c:v>
                </c:pt>
                <c:pt idx="124">
                  <c:v>88.4</c:v>
                </c:pt>
                <c:pt idx="125">
                  <c:v>93.9</c:v>
                </c:pt>
                <c:pt idx="126">
                  <c:v>84.4</c:v>
                </c:pt>
                <c:pt idx="127">
                  <c:v>83.1</c:v>
                </c:pt>
                <c:pt idx="128">
                  <c:v>85.5</c:v>
                </c:pt>
                <c:pt idx="129">
                  <c:v>95.8</c:v>
                </c:pt>
                <c:pt idx="130">
                  <c:v>99.5</c:v>
                </c:pt>
                <c:pt idx="131">
                  <c:v>99.6</c:v>
                </c:pt>
                <c:pt idx="132">
                  <c:v>98.1</c:v>
                </c:pt>
                <c:pt idx="133">
                  <c:v>98.5</c:v>
                </c:pt>
                <c:pt idx="134">
                  <c:v>98.6</c:v>
                </c:pt>
                <c:pt idx="135">
                  <c:v>94.4</c:v>
                </c:pt>
                <c:pt idx="136">
                  <c:v>98.8</c:v>
                </c:pt>
                <c:pt idx="137">
                  <c:v>98.9</c:v>
                </c:pt>
                <c:pt idx="138">
                  <c:v>90.4</c:v>
                </c:pt>
                <c:pt idx="139">
                  <c:v>91</c:v>
                </c:pt>
                <c:pt idx="140">
                  <c:v>94.2</c:v>
                </c:pt>
                <c:pt idx="141">
                  <c:v>83</c:v>
                </c:pt>
                <c:pt idx="142">
                  <c:v>83.6</c:v>
                </c:pt>
                <c:pt idx="143">
                  <c:v>84.5</c:v>
                </c:pt>
                <c:pt idx="144">
                  <c:v>90.4</c:v>
                </c:pt>
                <c:pt idx="145">
                  <c:v>85.6</c:v>
                </c:pt>
                <c:pt idx="146">
                  <c:v>85.6</c:v>
                </c:pt>
                <c:pt idx="147">
                  <c:v>86</c:v>
                </c:pt>
                <c:pt idx="148">
                  <c:v>88</c:v>
                </c:pt>
                <c:pt idx="149">
                  <c:v>83.1</c:v>
                </c:pt>
                <c:pt idx="150">
                  <c:v>91.5</c:v>
                </c:pt>
                <c:pt idx="151">
                  <c:v>88.7</c:v>
                </c:pt>
                <c:pt idx="152">
                  <c:v>87.6</c:v>
                </c:pt>
                <c:pt idx="153">
                  <c:v>92.8</c:v>
                </c:pt>
                <c:pt idx="154">
                  <c:v>98</c:v>
                </c:pt>
                <c:pt idx="155">
                  <c:v>99.5</c:v>
                </c:pt>
                <c:pt idx="156">
                  <c:v>99.7</c:v>
                </c:pt>
                <c:pt idx="157">
                  <c:v>99.8</c:v>
                </c:pt>
                <c:pt idx="158">
                  <c:v>91.5</c:v>
                </c:pt>
                <c:pt idx="159">
                  <c:v>84.8</c:v>
                </c:pt>
                <c:pt idx="160">
                  <c:v>89.9</c:v>
                </c:pt>
                <c:pt idx="161">
                  <c:v>98.7</c:v>
                </c:pt>
                <c:pt idx="162">
                  <c:v>98.8</c:v>
                </c:pt>
                <c:pt idx="163">
                  <c:v>98.4</c:v>
                </c:pt>
                <c:pt idx="164">
                  <c:v>98</c:v>
                </c:pt>
                <c:pt idx="165">
                  <c:v>98.2</c:v>
                </c:pt>
                <c:pt idx="166">
                  <c:v>96</c:v>
                </c:pt>
                <c:pt idx="167">
                  <c:v>95.2</c:v>
                </c:pt>
                <c:pt idx="168">
                  <c:v>98.3</c:v>
                </c:pt>
                <c:pt idx="169">
                  <c:v>98.6</c:v>
                </c:pt>
                <c:pt idx="170">
                  <c:v>99.2</c:v>
                </c:pt>
                <c:pt idx="171">
                  <c:v>99.2</c:v>
                </c:pt>
                <c:pt idx="172">
                  <c:v>97.4</c:v>
                </c:pt>
                <c:pt idx="173">
                  <c:v>95.1</c:v>
                </c:pt>
                <c:pt idx="174">
                  <c:v>89.1</c:v>
                </c:pt>
                <c:pt idx="175">
                  <c:v>93.3</c:v>
                </c:pt>
                <c:pt idx="176">
                  <c:v>88</c:v>
                </c:pt>
                <c:pt idx="177">
                  <c:v>92</c:v>
                </c:pt>
                <c:pt idx="178">
                  <c:v>85.5</c:v>
                </c:pt>
                <c:pt idx="179">
                  <c:v>85.4</c:v>
                </c:pt>
                <c:pt idx="180">
                  <c:v>84.9</c:v>
                </c:pt>
                <c:pt idx="181">
                  <c:v>80.8</c:v>
                </c:pt>
                <c:pt idx="182">
                  <c:v>97.1</c:v>
                </c:pt>
                <c:pt idx="183">
                  <c:v>94</c:v>
                </c:pt>
                <c:pt idx="184">
                  <c:v>97.6</c:v>
                </c:pt>
                <c:pt idx="185">
                  <c:v>98.6</c:v>
                </c:pt>
                <c:pt idx="186">
                  <c:v>95.7</c:v>
                </c:pt>
                <c:pt idx="187">
                  <c:v>97.6</c:v>
                </c:pt>
                <c:pt idx="188">
                  <c:v>96.6</c:v>
                </c:pt>
                <c:pt idx="189">
                  <c:v>98.3</c:v>
                </c:pt>
                <c:pt idx="190">
                  <c:v>98.6</c:v>
                </c:pt>
                <c:pt idx="191">
                  <c:v>97.4</c:v>
                </c:pt>
                <c:pt idx="192">
                  <c:v>96.4</c:v>
                </c:pt>
                <c:pt idx="193">
                  <c:v>95.2</c:v>
                </c:pt>
                <c:pt idx="194">
                  <c:v>90.9</c:v>
                </c:pt>
                <c:pt idx="195">
                  <c:v>95</c:v>
                </c:pt>
                <c:pt idx="196">
                  <c:v>85.8</c:v>
                </c:pt>
                <c:pt idx="197">
                  <c:v>92.4</c:v>
                </c:pt>
                <c:pt idx="198">
                  <c:v>89.5</c:v>
                </c:pt>
                <c:pt idx="199">
                  <c:v>90.9</c:v>
                </c:pt>
                <c:pt idx="200">
                  <c:v>81.900000000000006</c:v>
                </c:pt>
                <c:pt idx="201">
                  <c:v>89.8</c:v>
                </c:pt>
                <c:pt idx="202">
                  <c:v>92.5</c:v>
                </c:pt>
                <c:pt idx="203">
                  <c:v>97.3</c:v>
                </c:pt>
                <c:pt idx="204">
                  <c:v>98.7</c:v>
                </c:pt>
                <c:pt idx="205">
                  <c:v>97.6</c:v>
                </c:pt>
                <c:pt idx="206">
                  <c:v>96.1</c:v>
                </c:pt>
                <c:pt idx="207">
                  <c:v>95.2</c:v>
                </c:pt>
                <c:pt idx="208">
                  <c:v>95.5</c:v>
                </c:pt>
                <c:pt idx="209">
                  <c:v>98.8</c:v>
                </c:pt>
                <c:pt idx="210">
                  <c:v>99</c:v>
                </c:pt>
                <c:pt idx="211">
                  <c:v>97.7</c:v>
                </c:pt>
                <c:pt idx="212">
                  <c:v>98.7</c:v>
                </c:pt>
                <c:pt idx="213">
                  <c:v>98.7</c:v>
                </c:pt>
                <c:pt idx="214">
                  <c:v>96.4</c:v>
                </c:pt>
                <c:pt idx="215">
                  <c:v>96.1</c:v>
                </c:pt>
                <c:pt idx="216">
                  <c:v>97.7</c:v>
                </c:pt>
                <c:pt idx="217">
                  <c:v>98.4</c:v>
                </c:pt>
                <c:pt idx="218">
                  <c:v>99</c:v>
                </c:pt>
                <c:pt idx="219">
                  <c:v>99.3</c:v>
                </c:pt>
                <c:pt idx="220">
                  <c:v>99.2</c:v>
                </c:pt>
                <c:pt idx="221">
                  <c:v>98.4</c:v>
                </c:pt>
                <c:pt idx="222">
                  <c:v>99</c:v>
                </c:pt>
                <c:pt idx="223">
                  <c:v>99.2</c:v>
                </c:pt>
                <c:pt idx="224">
                  <c:v>99</c:v>
                </c:pt>
                <c:pt idx="225">
                  <c:v>95.7</c:v>
                </c:pt>
                <c:pt idx="226">
                  <c:v>98.3</c:v>
                </c:pt>
                <c:pt idx="227">
                  <c:v>98.9</c:v>
                </c:pt>
                <c:pt idx="228">
                  <c:v>99</c:v>
                </c:pt>
                <c:pt idx="229">
                  <c:v>98.9</c:v>
                </c:pt>
                <c:pt idx="230">
                  <c:v>95.9</c:v>
                </c:pt>
                <c:pt idx="231">
                  <c:v>98.3</c:v>
                </c:pt>
                <c:pt idx="232">
                  <c:v>91.6</c:v>
                </c:pt>
                <c:pt idx="233">
                  <c:v>93.1</c:v>
                </c:pt>
                <c:pt idx="234">
                  <c:v>92.3</c:v>
                </c:pt>
                <c:pt idx="235">
                  <c:v>95.2</c:v>
                </c:pt>
                <c:pt idx="236">
                  <c:v>96.9</c:v>
                </c:pt>
                <c:pt idx="237">
                  <c:v>93.7</c:v>
                </c:pt>
                <c:pt idx="238">
                  <c:v>97.7</c:v>
                </c:pt>
                <c:pt idx="239">
                  <c:v>98.2</c:v>
                </c:pt>
                <c:pt idx="240">
                  <c:v>99.4</c:v>
                </c:pt>
                <c:pt idx="241">
                  <c:v>99.2</c:v>
                </c:pt>
                <c:pt idx="242">
                  <c:v>98.8</c:v>
                </c:pt>
                <c:pt idx="243">
                  <c:v>96.5</c:v>
                </c:pt>
                <c:pt idx="244">
                  <c:v>94.8</c:v>
                </c:pt>
                <c:pt idx="245">
                  <c:v>91.6</c:v>
                </c:pt>
                <c:pt idx="246">
                  <c:v>84.8</c:v>
                </c:pt>
                <c:pt idx="247">
                  <c:v>98.8</c:v>
                </c:pt>
                <c:pt idx="248">
                  <c:v>99</c:v>
                </c:pt>
                <c:pt idx="249">
                  <c:v>98.2</c:v>
                </c:pt>
                <c:pt idx="250">
                  <c:v>97.2</c:v>
                </c:pt>
                <c:pt idx="251">
                  <c:v>97.7</c:v>
                </c:pt>
                <c:pt idx="252">
                  <c:v>97.3</c:v>
                </c:pt>
                <c:pt idx="253">
                  <c:v>96.3</c:v>
                </c:pt>
                <c:pt idx="254">
                  <c:v>94.1</c:v>
                </c:pt>
                <c:pt idx="255">
                  <c:v>95.9</c:v>
                </c:pt>
                <c:pt idx="256">
                  <c:v>95.1</c:v>
                </c:pt>
                <c:pt idx="257">
                  <c:v>89.3</c:v>
                </c:pt>
                <c:pt idx="258">
                  <c:v>95.6</c:v>
                </c:pt>
                <c:pt idx="259">
                  <c:v>97</c:v>
                </c:pt>
                <c:pt idx="260">
                  <c:v>94.3</c:v>
                </c:pt>
                <c:pt idx="261">
                  <c:v>96.1</c:v>
                </c:pt>
                <c:pt idx="262">
                  <c:v>95.8</c:v>
                </c:pt>
                <c:pt idx="263">
                  <c:v>87.6</c:v>
                </c:pt>
                <c:pt idx="264">
                  <c:v>91</c:v>
                </c:pt>
                <c:pt idx="265">
                  <c:v>93.2</c:v>
                </c:pt>
                <c:pt idx="266">
                  <c:v>93.2</c:v>
                </c:pt>
                <c:pt idx="267">
                  <c:v>91.8</c:v>
                </c:pt>
                <c:pt idx="268">
                  <c:v>91.4</c:v>
                </c:pt>
                <c:pt idx="269">
                  <c:v>95.2</c:v>
                </c:pt>
                <c:pt idx="270">
                  <c:v>98.7</c:v>
                </c:pt>
                <c:pt idx="271">
                  <c:v>99.3</c:v>
                </c:pt>
                <c:pt idx="272">
                  <c:v>99.8</c:v>
                </c:pt>
                <c:pt idx="273">
                  <c:v>100</c:v>
                </c:pt>
                <c:pt idx="274">
                  <c:v>99</c:v>
                </c:pt>
                <c:pt idx="275">
                  <c:v>99.6</c:v>
                </c:pt>
                <c:pt idx="276">
                  <c:v>99</c:v>
                </c:pt>
                <c:pt idx="277">
                  <c:v>97.2</c:v>
                </c:pt>
                <c:pt idx="278">
                  <c:v>98.8</c:v>
                </c:pt>
                <c:pt idx="279">
                  <c:v>99.4</c:v>
                </c:pt>
                <c:pt idx="280">
                  <c:v>98.9</c:v>
                </c:pt>
                <c:pt idx="281">
                  <c:v>97.4</c:v>
                </c:pt>
                <c:pt idx="282">
                  <c:v>88.1</c:v>
                </c:pt>
                <c:pt idx="283">
                  <c:v>99.1</c:v>
                </c:pt>
                <c:pt idx="284">
                  <c:v>99.4</c:v>
                </c:pt>
                <c:pt idx="285">
                  <c:v>99.5</c:v>
                </c:pt>
                <c:pt idx="286">
                  <c:v>99.7</c:v>
                </c:pt>
                <c:pt idx="287">
                  <c:v>99.6</c:v>
                </c:pt>
                <c:pt idx="288">
                  <c:v>99.5</c:v>
                </c:pt>
                <c:pt idx="289">
                  <c:v>98.5</c:v>
                </c:pt>
                <c:pt idx="290">
                  <c:v>99.5</c:v>
                </c:pt>
                <c:pt idx="291">
                  <c:v>97.7</c:v>
                </c:pt>
                <c:pt idx="292">
                  <c:v>96.2</c:v>
                </c:pt>
                <c:pt idx="293">
                  <c:v>98.2</c:v>
                </c:pt>
                <c:pt idx="294">
                  <c:v>99.2</c:v>
                </c:pt>
                <c:pt idx="295">
                  <c:v>96.3</c:v>
                </c:pt>
                <c:pt idx="296">
                  <c:v>96.4</c:v>
                </c:pt>
                <c:pt idx="297">
                  <c:v>98.5</c:v>
                </c:pt>
                <c:pt idx="298">
                  <c:v>96.6</c:v>
                </c:pt>
                <c:pt idx="299">
                  <c:v>96.9</c:v>
                </c:pt>
                <c:pt idx="300">
                  <c:v>95.5</c:v>
                </c:pt>
                <c:pt idx="301">
                  <c:v>92.7</c:v>
                </c:pt>
                <c:pt idx="302">
                  <c:v>97.7</c:v>
                </c:pt>
                <c:pt idx="303">
                  <c:v>95.2</c:v>
                </c:pt>
                <c:pt idx="304">
                  <c:v>90.2</c:v>
                </c:pt>
                <c:pt idx="305">
                  <c:v>90.2</c:v>
                </c:pt>
                <c:pt idx="306">
                  <c:v>93.1</c:v>
                </c:pt>
                <c:pt idx="307">
                  <c:v>95.5</c:v>
                </c:pt>
                <c:pt idx="308">
                  <c:v>95.4</c:v>
                </c:pt>
                <c:pt idx="309">
                  <c:v>97.2</c:v>
                </c:pt>
                <c:pt idx="310">
                  <c:v>96.6</c:v>
                </c:pt>
                <c:pt idx="311">
                  <c:v>99.5</c:v>
                </c:pt>
                <c:pt idx="312">
                  <c:v>96.7</c:v>
                </c:pt>
                <c:pt idx="313">
                  <c:v>94</c:v>
                </c:pt>
                <c:pt idx="314">
                  <c:v>98.7</c:v>
                </c:pt>
                <c:pt idx="315">
                  <c:v>97.7</c:v>
                </c:pt>
                <c:pt idx="316">
                  <c:v>99.5</c:v>
                </c:pt>
                <c:pt idx="317">
                  <c:v>99.6</c:v>
                </c:pt>
                <c:pt idx="318">
                  <c:v>99.9</c:v>
                </c:pt>
                <c:pt idx="319">
                  <c:v>99.6</c:v>
                </c:pt>
                <c:pt idx="320">
                  <c:v>98.6</c:v>
                </c:pt>
                <c:pt idx="321">
                  <c:v>95.9</c:v>
                </c:pt>
                <c:pt idx="322">
                  <c:v>96.6</c:v>
                </c:pt>
                <c:pt idx="323">
                  <c:v>95</c:v>
                </c:pt>
                <c:pt idx="324">
                  <c:v>97.3</c:v>
                </c:pt>
                <c:pt idx="325">
                  <c:v>99.7</c:v>
                </c:pt>
                <c:pt idx="326">
                  <c:v>99.7</c:v>
                </c:pt>
                <c:pt idx="327">
                  <c:v>95.1</c:v>
                </c:pt>
                <c:pt idx="328">
                  <c:v>96.5</c:v>
                </c:pt>
                <c:pt idx="329">
                  <c:v>99.3</c:v>
                </c:pt>
                <c:pt idx="330">
                  <c:v>98.1</c:v>
                </c:pt>
                <c:pt idx="331">
                  <c:v>99.3</c:v>
                </c:pt>
                <c:pt idx="332">
                  <c:v>92</c:v>
                </c:pt>
                <c:pt idx="333">
                  <c:v>77.3</c:v>
                </c:pt>
                <c:pt idx="334">
                  <c:v>94.4</c:v>
                </c:pt>
                <c:pt idx="335">
                  <c:v>95.1</c:v>
                </c:pt>
                <c:pt idx="336">
                  <c:v>93.4</c:v>
                </c:pt>
                <c:pt idx="337">
                  <c:v>95.8</c:v>
                </c:pt>
                <c:pt idx="338">
                  <c:v>89.4</c:v>
                </c:pt>
                <c:pt idx="339">
                  <c:v>90.5</c:v>
                </c:pt>
                <c:pt idx="340">
                  <c:v>92.6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Data!$BO$7:$BO$371</c:f>
              <c:numCache>
                <c:formatCode>General</c:formatCode>
                <c:ptCount val="365"/>
                <c:pt idx="0">
                  <c:v>74.2</c:v>
                </c:pt>
                <c:pt idx="1">
                  <c:v>71.5</c:v>
                </c:pt>
                <c:pt idx="2">
                  <c:v>70.900000000000006</c:v>
                </c:pt>
                <c:pt idx="3">
                  <c:v>69.900000000000006</c:v>
                </c:pt>
                <c:pt idx="4">
                  <c:v>57.2</c:v>
                </c:pt>
                <c:pt idx="5">
                  <c:v>59.3</c:v>
                </c:pt>
                <c:pt idx="6">
                  <c:v>63.2</c:v>
                </c:pt>
                <c:pt idx="7">
                  <c:v>76.099999999999994</c:v>
                </c:pt>
                <c:pt idx="8">
                  <c:v>75.8</c:v>
                </c:pt>
                <c:pt idx="9">
                  <c:v>78.7</c:v>
                </c:pt>
                <c:pt idx="10">
                  <c:v>92</c:v>
                </c:pt>
                <c:pt idx="11">
                  <c:v>69.8</c:v>
                </c:pt>
                <c:pt idx="12">
                  <c:v>74.099999999999994</c:v>
                </c:pt>
                <c:pt idx="13">
                  <c:v>79.400000000000006</c:v>
                </c:pt>
                <c:pt idx="14">
                  <c:v>75.3</c:v>
                </c:pt>
                <c:pt idx="15">
                  <c:v>92.4</c:v>
                </c:pt>
                <c:pt idx="16">
                  <c:v>79.3</c:v>
                </c:pt>
                <c:pt idx="17">
                  <c:v>80.3</c:v>
                </c:pt>
                <c:pt idx="18">
                  <c:v>51.4</c:v>
                </c:pt>
                <c:pt idx="19">
                  <c:v>39.700000000000003</c:v>
                </c:pt>
                <c:pt idx="20">
                  <c:v>62.2</c:v>
                </c:pt>
                <c:pt idx="21">
                  <c:v>56.3</c:v>
                </c:pt>
                <c:pt idx="22">
                  <c:v>47.3</c:v>
                </c:pt>
                <c:pt idx="23">
                  <c:v>26.5</c:v>
                </c:pt>
                <c:pt idx="24">
                  <c:v>60.8</c:v>
                </c:pt>
                <c:pt idx="25">
                  <c:v>81.400000000000006</c:v>
                </c:pt>
                <c:pt idx="26">
                  <c:v>62</c:v>
                </c:pt>
                <c:pt idx="27">
                  <c:v>58.1</c:v>
                </c:pt>
                <c:pt idx="28">
                  <c:v>74.7</c:v>
                </c:pt>
                <c:pt idx="29">
                  <c:v>69.2</c:v>
                </c:pt>
                <c:pt idx="30">
                  <c:v>75.8</c:v>
                </c:pt>
                <c:pt idx="31">
                  <c:v>62.2</c:v>
                </c:pt>
                <c:pt idx="32">
                  <c:v>55.4</c:v>
                </c:pt>
                <c:pt idx="33">
                  <c:v>48.7</c:v>
                </c:pt>
                <c:pt idx="34">
                  <c:v>55</c:v>
                </c:pt>
                <c:pt idx="35">
                  <c:v>35</c:v>
                </c:pt>
                <c:pt idx="36">
                  <c:v>89</c:v>
                </c:pt>
                <c:pt idx="37">
                  <c:v>60.5</c:v>
                </c:pt>
                <c:pt idx="38">
                  <c:v>84.7</c:v>
                </c:pt>
                <c:pt idx="39">
                  <c:v>64.7</c:v>
                </c:pt>
                <c:pt idx="40">
                  <c:v>67.3</c:v>
                </c:pt>
                <c:pt idx="41">
                  <c:v>37.799999999999997</c:v>
                </c:pt>
                <c:pt idx="42">
                  <c:v>30.7</c:v>
                </c:pt>
                <c:pt idx="43">
                  <c:v>26.4</c:v>
                </c:pt>
                <c:pt idx="44">
                  <c:v>44.5</c:v>
                </c:pt>
                <c:pt idx="45">
                  <c:v>74.8</c:v>
                </c:pt>
                <c:pt idx="46">
                  <c:v>82.7</c:v>
                </c:pt>
                <c:pt idx="47">
                  <c:v>77</c:v>
                </c:pt>
                <c:pt idx="48">
                  <c:v>66.5</c:v>
                </c:pt>
                <c:pt idx="49">
                  <c:v>59.6</c:v>
                </c:pt>
                <c:pt idx="50">
                  <c:v>52.7</c:v>
                </c:pt>
                <c:pt idx="51">
                  <c:v>42.3</c:v>
                </c:pt>
                <c:pt idx="52">
                  <c:v>43.3</c:v>
                </c:pt>
                <c:pt idx="53">
                  <c:v>47.1</c:v>
                </c:pt>
                <c:pt idx="54">
                  <c:v>61.7</c:v>
                </c:pt>
                <c:pt idx="55">
                  <c:v>40.5</c:v>
                </c:pt>
                <c:pt idx="56">
                  <c:v>37.9</c:v>
                </c:pt>
                <c:pt idx="57">
                  <c:v>34.6</c:v>
                </c:pt>
                <c:pt idx="58">
                  <c:v>20.8</c:v>
                </c:pt>
                <c:pt idx="59">
                  <c:v>16.7</c:v>
                </c:pt>
                <c:pt idx="60">
                  <c:v>29.8</c:v>
                </c:pt>
                <c:pt idx="61">
                  <c:v>15.6</c:v>
                </c:pt>
                <c:pt idx="62">
                  <c:v>62.8</c:v>
                </c:pt>
                <c:pt idx="63">
                  <c:v>62.5</c:v>
                </c:pt>
                <c:pt idx="64">
                  <c:v>52.6</c:v>
                </c:pt>
                <c:pt idx="65">
                  <c:v>47</c:v>
                </c:pt>
                <c:pt idx="66">
                  <c:v>67.7</c:v>
                </c:pt>
                <c:pt idx="67">
                  <c:v>70.5</c:v>
                </c:pt>
                <c:pt idx="68">
                  <c:v>64.5</c:v>
                </c:pt>
                <c:pt idx="69">
                  <c:v>57.5</c:v>
                </c:pt>
                <c:pt idx="70">
                  <c:v>52.7</c:v>
                </c:pt>
                <c:pt idx="71">
                  <c:v>64.599999999999994</c:v>
                </c:pt>
                <c:pt idx="72">
                  <c:v>63.3</c:v>
                </c:pt>
                <c:pt idx="73">
                  <c:v>60</c:v>
                </c:pt>
                <c:pt idx="74">
                  <c:v>39.1</c:v>
                </c:pt>
                <c:pt idx="75">
                  <c:v>42.8</c:v>
                </c:pt>
                <c:pt idx="76">
                  <c:v>59.7</c:v>
                </c:pt>
                <c:pt idx="77">
                  <c:v>50.6</c:v>
                </c:pt>
                <c:pt idx="78">
                  <c:v>64.400000000000006</c:v>
                </c:pt>
                <c:pt idx="79">
                  <c:v>59.4</c:v>
                </c:pt>
                <c:pt idx="80">
                  <c:v>43.5</c:v>
                </c:pt>
                <c:pt idx="81">
                  <c:v>70.3</c:v>
                </c:pt>
                <c:pt idx="82">
                  <c:v>59.7</c:v>
                </c:pt>
                <c:pt idx="83">
                  <c:v>42</c:v>
                </c:pt>
                <c:pt idx="84">
                  <c:v>38</c:v>
                </c:pt>
                <c:pt idx="85">
                  <c:v>31.7</c:v>
                </c:pt>
                <c:pt idx="86">
                  <c:v>29.2</c:v>
                </c:pt>
                <c:pt idx="87">
                  <c:v>24.5</c:v>
                </c:pt>
                <c:pt idx="88">
                  <c:v>24.3</c:v>
                </c:pt>
                <c:pt idx="89">
                  <c:v>25.9</c:v>
                </c:pt>
                <c:pt idx="90">
                  <c:v>60.8</c:v>
                </c:pt>
                <c:pt idx="91">
                  <c:v>80.099999999999994</c:v>
                </c:pt>
                <c:pt idx="92">
                  <c:v>54.5</c:v>
                </c:pt>
                <c:pt idx="93">
                  <c:v>55.4</c:v>
                </c:pt>
                <c:pt idx="94">
                  <c:v>33.9</c:v>
                </c:pt>
                <c:pt idx="95">
                  <c:v>35.5</c:v>
                </c:pt>
                <c:pt idx="96">
                  <c:v>51.7</c:v>
                </c:pt>
                <c:pt idx="97">
                  <c:v>88.5</c:v>
                </c:pt>
                <c:pt idx="98">
                  <c:v>56.6</c:v>
                </c:pt>
                <c:pt idx="99">
                  <c:v>44.2</c:v>
                </c:pt>
                <c:pt idx="100">
                  <c:v>36.1</c:v>
                </c:pt>
                <c:pt idx="101">
                  <c:v>24</c:v>
                </c:pt>
                <c:pt idx="102">
                  <c:v>59.9</c:v>
                </c:pt>
                <c:pt idx="103">
                  <c:v>66.599999999999994</c:v>
                </c:pt>
                <c:pt idx="104">
                  <c:v>48.2</c:v>
                </c:pt>
                <c:pt idx="105">
                  <c:v>26.5</c:v>
                </c:pt>
                <c:pt idx="106">
                  <c:v>41.5</c:v>
                </c:pt>
                <c:pt idx="107">
                  <c:v>60.9</c:v>
                </c:pt>
                <c:pt idx="108">
                  <c:v>90.8</c:v>
                </c:pt>
                <c:pt idx="109">
                  <c:v>41.8</c:v>
                </c:pt>
                <c:pt idx="110">
                  <c:v>37.1</c:v>
                </c:pt>
                <c:pt idx="111">
                  <c:v>30.3</c:v>
                </c:pt>
                <c:pt idx="112">
                  <c:v>24.9</c:v>
                </c:pt>
                <c:pt idx="113">
                  <c:v>46.5</c:v>
                </c:pt>
                <c:pt idx="114">
                  <c:v>20.8</c:v>
                </c:pt>
                <c:pt idx="115">
                  <c:v>44.4</c:v>
                </c:pt>
                <c:pt idx="116">
                  <c:v>29.9</c:v>
                </c:pt>
                <c:pt idx="117">
                  <c:v>29.3</c:v>
                </c:pt>
                <c:pt idx="118">
                  <c:v>34.299999999999997</c:v>
                </c:pt>
                <c:pt idx="119">
                  <c:v>40.299999999999997</c:v>
                </c:pt>
                <c:pt idx="120">
                  <c:v>33.299999999999997</c:v>
                </c:pt>
                <c:pt idx="121">
                  <c:v>48.1</c:v>
                </c:pt>
                <c:pt idx="122">
                  <c:v>66.400000000000006</c:v>
                </c:pt>
                <c:pt idx="123">
                  <c:v>48.7</c:v>
                </c:pt>
                <c:pt idx="124">
                  <c:v>47.6</c:v>
                </c:pt>
                <c:pt idx="125">
                  <c:v>48</c:v>
                </c:pt>
                <c:pt idx="126">
                  <c:v>41.5</c:v>
                </c:pt>
                <c:pt idx="127">
                  <c:v>34.5</c:v>
                </c:pt>
                <c:pt idx="128">
                  <c:v>34.9</c:v>
                </c:pt>
                <c:pt idx="129">
                  <c:v>61.1</c:v>
                </c:pt>
                <c:pt idx="130">
                  <c:v>90.3</c:v>
                </c:pt>
                <c:pt idx="131">
                  <c:v>81.900000000000006</c:v>
                </c:pt>
                <c:pt idx="132">
                  <c:v>28.3</c:v>
                </c:pt>
                <c:pt idx="133">
                  <c:v>36.299999999999997</c:v>
                </c:pt>
                <c:pt idx="134">
                  <c:v>37.700000000000003</c:v>
                </c:pt>
                <c:pt idx="135">
                  <c:v>36.5</c:v>
                </c:pt>
                <c:pt idx="136">
                  <c:v>53.9</c:v>
                </c:pt>
                <c:pt idx="137">
                  <c:v>32.5</c:v>
                </c:pt>
                <c:pt idx="138">
                  <c:v>17.8</c:v>
                </c:pt>
                <c:pt idx="139">
                  <c:v>42.5</c:v>
                </c:pt>
                <c:pt idx="140">
                  <c:v>23.8</c:v>
                </c:pt>
                <c:pt idx="141">
                  <c:v>21.5</c:v>
                </c:pt>
                <c:pt idx="142">
                  <c:v>19.7</c:v>
                </c:pt>
                <c:pt idx="143">
                  <c:v>23.5</c:v>
                </c:pt>
                <c:pt idx="144">
                  <c:v>22.4</c:v>
                </c:pt>
                <c:pt idx="145">
                  <c:v>21.3</c:v>
                </c:pt>
                <c:pt idx="146">
                  <c:v>15.9</c:v>
                </c:pt>
                <c:pt idx="147">
                  <c:v>18.8</c:v>
                </c:pt>
                <c:pt idx="148">
                  <c:v>21.9</c:v>
                </c:pt>
                <c:pt idx="149">
                  <c:v>22</c:v>
                </c:pt>
                <c:pt idx="150">
                  <c:v>34.5</c:v>
                </c:pt>
                <c:pt idx="151">
                  <c:v>26.8</c:v>
                </c:pt>
                <c:pt idx="152">
                  <c:v>37.700000000000003</c:v>
                </c:pt>
                <c:pt idx="153">
                  <c:v>29.1</c:v>
                </c:pt>
                <c:pt idx="154">
                  <c:v>32.6</c:v>
                </c:pt>
                <c:pt idx="155">
                  <c:v>96.8</c:v>
                </c:pt>
                <c:pt idx="156">
                  <c:v>97.9</c:v>
                </c:pt>
                <c:pt idx="157">
                  <c:v>26.4</c:v>
                </c:pt>
                <c:pt idx="158">
                  <c:v>16.899999999999999</c:v>
                </c:pt>
                <c:pt idx="159">
                  <c:v>18.100000000000001</c:v>
                </c:pt>
                <c:pt idx="160">
                  <c:v>32.4</c:v>
                </c:pt>
                <c:pt idx="161">
                  <c:v>59.2</c:v>
                </c:pt>
                <c:pt idx="162">
                  <c:v>34.700000000000003</c:v>
                </c:pt>
                <c:pt idx="163">
                  <c:v>50.9</c:v>
                </c:pt>
                <c:pt idx="164">
                  <c:v>61</c:v>
                </c:pt>
                <c:pt idx="165">
                  <c:v>60.1</c:v>
                </c:pt>
                <c:pt idx="166">
                  <c:v>55.5</c:v>
                </c:pt>
                <c:pt idx="167">
                  <c:v>58.5</c:v>
                </c:pt>
                <c:pt idx="168">
                  <c:v>52.6</c:v>
                </c:pt>
                <c:pt idx="169">
                  <c:v>70</c:v>
                </c:pt>
                <c:pt idx="170">
                  <c:v>97.1</c:v>
                </c:pt>
                <c:pt idx="171">
                  <c:v>53.5</c:v>
                </c:pt>
                <c:pt idx="172">
                  <c:v>40.700000000000003</c:v>
                </c:pt>
                <c:pt idx="173">
                  <c:v>29.4</c:v>
                </c:pt>
                <c:pt idx="174">
                  <c:v>39.799999999999997</c:v>
                </c:pt>
                <c:pt idx="175">
                  <c:v>32</c:v>
                </c:pt>
                <c:pt idx="176">
                  <c:v>28.5</c:v>
                </c:pt>
                <c:pt idx="177">
                  <c:v>26.4</c:v>
                </c:pt>
                <c:pt idx="178">
                  <c:v>22.5</c:v>
                </c:pt>
                <c:pt idx="179">
                  <c:v>20.3</c:v>
                </c:pt>
                <c:pt idx="180">
                  <c:v>22.1</c:v>
                </c:pt>
                <c:pt idx="181">
                  <c:v>23.2</c:v>
                </c:pt>
                <c:pt idx="182">
                  <c:v>40.700000000000003</c:v>
                </c:pt>
                <c:pt idx="183">
                  <c:v>50.3</c:v>
                </c:pt>
                <c:pt idx="184">
                  <c:v>60.2</c:v>
                </c:pt>
                <c:pt idx="185">
                  <c:v>39.700000000000003</c:v>
                </c:pt>
                <c:pt idx="186">
                  <c:v>41.9</c:v>
                </c:pt>
                <c:pt idx="187">
                  <c:v>62.6</c:v>
                </c:pt>
                <c:pt idx="188">
                  <c:v>48.4</c:v>
                </c:pt>
                <c:pt idx="189">
                  <c:v>43.5</c:v>
                </c:pt>
                <c:pt idx="190">
                  <c:v>52.2</c:v>
                </c:pt>
                <c:pt idx="191">
                  <c:v>36.200000000000003</c:v>
                </c:pt>
                <c:pt idx="192">
                  <c:v>30.6</c:v>
                </c:pt>
                <c:pt idx="193">
                  <c:v>35.799999999999997</c:v>
                </c:pt>
                <c:pt idx="194">
                  <c:v>35.700000000000003</c:v>
                </c:pt>
                <c:pt idx="195">
                  <c:v>29.6</c:v>
                </c:pt>
                <c:pt idx="196">
                  <c:v>34.1</c:v>
                </c:pt>
                <c:pt idx="197">
                  <c:v>33.9</c:v>
                </c:pt>
                <c:pt idx="198">
                  <c:v>28.8</c:v>
                </c:pt>
                <c:pt idx="199">
                  <c:v>17.7</c:v>
                </c:pt>
                <c:pt idx="200">
                  <c:v>36.6</c:v>
                </c:pt>
                <c:pt idx="201">
                  <c:v>34.4</c:v>
                </c:pt>
                <c:pt idx="202">
                  <c:v>35.5</c:v>
                </c:pt>
                <c:pt idx="203">
                  <c:v>52.5</c:v>
                </c:pt>
                <c:pt idx="204">
                  <c:v>61.2</c:v>
                </c:pt>
                <c:pt idx="205">
                  <c:v>77</c:v>
                </c:pt>
                <c:pt idx="206">
                  <c:v>61.1</c:v>
                </c:pt>
                <c:pt idx="207">
                  <c:v>41.9</c:v>
                </c:pt>
                <c:pt idx="208">
                  <c:v>39.1</c:v>
                </c:pt>
                <c:pt idx="209">
                  <c:v>60.4</c:v>
                </c:pt>
                <c:pt idx="210">
                  <c:v>41.2</c:v>
                </c:pt>
                <c:pt idx="211">
                  <c:v>47.3</c:v>
                </c:pt>
                <c:pt idx="212">
                  <c:v>58.2</c:v>
                </c:pt>
                <c:pt idx="213">
                  <c:v>43.2</c:v>
                </c:pt>
                <c:pt idx="214">
                  <c:v>41.7</c:v>
                </c:pt>
                <c:pt idx="215">
                  <c:v>27.5</c:v>
                </c:pt>
                <c:pt idx="216">
                  <c:v>58.5</c:v>
                </c:pt>
                <c:pt idx="217">
                  <c:v>73.3</c:v>
                </c:pt>
                <c:pt idx="218">
                  <c:v>72.7</c:v>
                </c:pt>
                <c:pt idx="219">
                  <c:v>89</c:v>
                </c:pt>
                <c:pt idx="220">
                  <c:v>51.7</c:v>
                </c:pt>
                <c:pt idx="221">
                  <c:v>39.700000000000003</c:v>
                </c:pt>
                <c:pt idx="222">
                  <c:v>65.599999999999994</c:v>
                </c:pt>
                <c:pt idx="223">
                  <c:v>85.7</c:v>
                </c:pt>
                <c:pt idx="224">
                  <c:v>51.9</c:v>
                </c:pt>
                <c:pt idx="225">
                  <c:v>56.7</c:v>
                </c:pt>
                <c:pt idx="226">
                  <c:v>73.400000000000006</c:v>
                </c:pt>
                <c:pt idx="227">
                  <c:v>52.4</c:v>
                </c:pt>
                <c:pt idx="228">
                  <c:v>81</c:v>
                </c:pt>
                <c:pt idx="229">
                  <c:v>63.3</c:v>
                </c:pt>
                <c:pt idx="230">
                  <c:v>52.2</c:v>
                </c:pt>
                <c:pt idx="231">
                  <c:v>39.799999999999997</c:v>
                </c:pt>
                <c:pt idx="232">
                  <c:v>26</c:v>
                </c:pt>
                <c:pt idx="233">
                  <c:v>23.3</c:v>
                </c:pt>
                <c:pt idx="234">
                  <c:v>28.2</c:v>
                </c:pt>
                <c:pt idx="235">
                  <c:v>42</c:v>
                </c:pt>
                <c:pt idx="236">
                  <c:v>34</c:v>
                </c:pt>
                <c:pt idx="237">
                  <c:v>43.2</c:v>
                </c:pt>
                <c:pt idx="238">
                  <c:v>41.3</c:v>
                </c:pt>
                <c:pt idx="239">
                  <c:v>35.700000000000003</c:v>
                </c:pt>
                <c:pt idx="240">
                  <c:v>75.900000000000006</c:v>
                </c:pt>
                <c:pt idx="241">
                  <c:v>49.6</c:v>
                </c:pt>
                <c:pt idx="242">
                  <c:v>32.700000000000003</c:v>
                </c:pt>
                <c:pt idx="243">
                  <c:v>16</c:v>
                </c:pt>
                <c:pt idx="244">
                  <c:v>15.1</c:v>
                </c:pt>
                <c:pt idx="245">
                  <c:v>12.7</c:v>
                </c:pt>
                <c:pt idx="246">
                  <c:v>17.5</c:v>
                </c:pt>
                <c:pt idx="247">
                  <c:v>64.5</c:v>
                </c:pt>
                <c:pt idx="248">
                  <c:v>50.3</c:v>
                </c:pt>
                <c:pt idx="249">
                  <c:v>39</c:v>
                </c:pt>
                <c:pt idx="250">
                  <c:v>43.8</c:v>
                </c:pt>
                <c:pt idx="251">
                  <c:v>32.6</c:v>
                </c:pt>
                <c:pt idx="252">
                  <c:v>35.4</c:v>
                </c:pt>
                <c:pt idx="253">
                  <c:v>31.8</c:v>
                </c:pt>
                <c:pt idx="254">
                  <c:v>44.3</c:v>
                </c:pt>
                <c:pt idx="255">
                  <c:v>33</c:v>
                </c:pt>
                <c:pt idx="256">
                  <c:v>14.2</c:v>
                </c:pt>
                <c:pt idx="257">
                  <c:v>27.7</c:v>
                </c:pt>
                <c:pt idx="258">
                  <c:v>37</c:v>
                </c:pt>
                <c:pt idx="259">
                  <c:v>21.8</c:v>
                </c:pt>
                <c:pt idx="260">
                  <c:v>53.9</c:v>
                </c:pt>
                <c:pt idx="261">
                  <c:v>26.5</c:v>
                </c:pt>
                <c:pt idx="262">
                  <c:v>18.3</c:v>
                </c:pt>
                <c:pt idx="263">
                  <c:v>24.9</c:v>
                </c:pt>
                <c:pt idx="264">
                  <c:v>32</c:v>
                </c:pt>
                <c:pt idx="265">
                  <c:v>30.4</c:v>
                </c:pt>
                <c:pt idx="266">
                  <c:v>28</c:v>
                </c:pt>
                <c:pt idx="267">
                  <c:v>24.5</c:v>
                </c:pt>
                <c:pt idx="268">
                  <c:v>44</c:v>
                </c:pt>
                <c:pt idx="269">
                  <c:v>60.9</c:v>
                </c:pt>
                <c:pt idx="270">
                  <c:v>59.6</c:v>
                </c:pt>
                <c:pt idx="271">
                  <c:v>54.8</c:v>
                </c:pt>
                <c:pt idx="272">
                  <c:v>68.599999999999994</c:v>
                </c:pt>
                <c:pt idx="273">
                  <c:v>66.099999999999994</c:v>
                </c:pt>
                <c:pt idx="274">
                  <c:v>80.2</c:v>
                </c:pt>
                <c:pt idx="275">
                  <c:v>87.1</c:v>
                </c:pt>
                <c:pt idx="276">
                  <c:v>58</c:v>
                </c:pt>
                <c:pt idx="277">
                  <c:v>58.1</c:v>
                </c:pt>
                <c:pt idx="278">
                  <c:v>68</c:v>
                </c:pt>
                <c:pt idx="279">
                  <c:v>66.900000000000006</c:v>
                </c:pt>
                <c:pt idx="280">
                  <c:v>70</c:v>
                </c:pt>
                <c:pt idx="281">
                  <c:v>74.599999999999994</c:v>
                </c:pt>
                <c:pt idx="282">
                  <c:v>60</c:v>
                </c:pt>
                <c:pt idx="283">
                  <c:v>62</c:v>
                </c:pt>
                <c:pt idx="284">
                  <c:v>85</c:v>
                </c:pt>
                <c:pt idx="285">
                  <c:v>82.4</c:v>
                </c:pt>
                <c:pt idx="286">
                  <c:v>92.5</c:v>
                </c:pt>
                <c:pt idx="287">
                  <c:v>69.3</c:v>
                </c:pt>
                <c:pt idx="288">
                  <c:v>76.7</c:v>
                </c:pt>
                <c:pt idx="289">
                  <c:v>85.5</c:v>
                </c:pt>
                <c:pt idx="290">
                  <c:v>70.900000000000006</c:v>
                </c:pt>
                <c:pt idx="291">
                  <c:v>45.7</c:v>
                </c:pt>
                <c:pt idx="292">
                  <c:v>43.9</c:v>
                </c:pt>
                <c:pt idx="293">
                  <c:v>72.3</c:v>
                </c:pt>
                <c:pt idx="294">
                  <c:v>56.6</c:v>
                </c:pt>
                <c:pt idx="295">
                  <c:v>64.3</c:v>
                </c:pt>
                <c:pt idx="296">
                  <c:v>78.900000000000006</c:v>
                </c:pt>
                <c:pt idx="297">
                  <c:v>80.099999999999994</c:v>
                </c:pt>
                <c:pt idx="298">
                  <c:v>69.3</c:v>
                </c:pt>
                <c:pt idx="299">
                  <c:v>70.5</c:v>
                </c:pt>
                <c:pt idx="300">
                  <c:v>57.4</c:v>
                </c:pt>
                <c:pt idx="301">
                  <c:v>41.2</c:v>
                </c:pt>
                <c:pt idx="302">
                  <c:v>82</c:v>
                </c:pt>
                <c:pt idx="303">
                  <c:v>42.8</c:v>
                </c:pt>
                <c:pt idx="304">
                  <c:v>59.2</c:v>
                </c:pt>
                <c:pt idx="305">
                  <c:v>45.2</c:v>
                </c:pt>
                <c:pt idx="306">
                  <c:v>53.5</c:v>
                </c:pt>
                <c:pt idx="307">
                  <c:v>64.900000000000006</c:v>
                </c:pt>
                <c:pt idx="308">
                  <c:v>84.9</c:v>
                </c:pt>
                <c:pt idx="309">
                  <c:v>90</c:v>
                </c:pt>
                <c:pt idx="310">
                  <c:v>78.2</c:v>
                </c:pt>
                <c:pt idx="311">
                  <c:v>87.2</c:v>
                </c:pt>
                <c:pt idx="312">
                  <c:v>89.1</c:v>
                </c:pt>
                <c:pt idx="313">
                  <c:v>87.1</c:v>
                </c:pt>
                <c:pt idx="314">
                  <c:v>92.5</c:v>
                </c:pt>
                <c:pt idx="315">
                  <c:v>75.099999999999994</c:v>
                </c:pt>
                <c:pt idx="316">
                  <c:v>96.7</c:v>
                </c:pt>
                <c:pt idx="317">
                  <c:v>94</c:v>
                </c:pt>
                <c:pt idx="318">
                  <c:v>77.400000000000006</c:v>
                </c:pt>
                <c:pt idx="319">
                  <c:v>67.7</c:v>
                </c:pt>
                <c:pt idx="320">
                  <c:v>76.599999999999994</c:v>
                </c:pt>
                <c:pt idx="321">
                  <c:v>59.5</c:v>
                </c:pt>
                <c:pt idx="322">
                  <c:v>37.6</c:v>
                </c:pt>
                <c:pt idx="323">
                  <c:v>12.8</c:v>
                </c:pt>
                <c:pt idx="324">
                  <c:v>53.9</c:v>
                </c:pt>
                <c:pt idx="325">
                  <c:v>92.3</c:v>
                </c:pt>
                <c:pt idx="326">
                  <c:v>85.5</c:v>
                </c:pt>
                <c:pt idx="327">
                  <c:v>74.8</c:v>
                </c:pt>
                <c:pt idx="328">
                  <c:v>72.599999999999994</c:v>
                </c:pt>
                <c:pt idx="329">
                  <c:v>81.099999999999994</c:v>
                </c:pt>
                <c:pt idx="330">
                  <c:v>84</c:v>
                </c:pt>
                <c:pt idx="331">
                  <c:v>88.2</c:v>
                </c:pt>
                <c:pt idx="332">
                  <c:v>56.5</c:v>
                </c:pt>
                <c:pt idx="333">
                  <c:v>60.4</c:v>
                </c:pt>
                <c:pt idx="334">
                  <c:v>51.8</c:v>
                </c:pt>
                <c:pt idx="335">
                  <c:v>58.2</c:v>
                </c:pt>
                <c:pt idx="336">
                  <c:v>59.9</c:v>
                </c:pt>
                <c:pt idx="337">
                  <c:v>58.9</c:v>
                </c:pt>
                <c:pt idx="338">
                  <c:v>49.4</c:v>
                </c:pt>
                <c:pt idx="339">
                  <c:v>74.599999999999994</c:v>
                </c:pt>
                <c:pt idx="340">
                  <c:v>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323200"/>
        <c:axId val="236324736"/>
      </c:lineChart>
      <c:catAx>
        <c:axId val="23632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6324736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63247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Humidity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63232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Duff</a:t>
            </a:r>
          </a:p>
        </c:rich>
      </c:tx>
      <c:layout>
        <c:manualLayout>
          <c:xMode val="edge"/>
          <c:yMode val="edge"/>
          <c:x val="0.15812917594654788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5040783034257752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Data!$AA$7:$AA$371</c:f>
              <c:numCache>
                <c:formatCode>General</c:formatCode>
                <c:ptCount val="365"/>
                <c:pt idx="0">
                  <c:v>0.621</c:v>
                </c:pt>
                <c:pt idx="1">
                  <c:v>0.61499999999999999</c:v>
                </c:pt>
                <c:pt idx="2">
                  <c:v>0.58499999999999996</c:v>
                </c:pt>
                <c:pt idx="3">
                  <c:v>0.55100000000000005</c:v>
                </c:pt>
                <c:pt idx="4">
                  <c:v>0.499</c:v>
                </c:pt>
                <c:pt idx="5">
                  <c:v>0.45</c:v>
                </c:pt>
                <c:pt idx="6">
                  <c:v>0.36099999999999999</c:v>
                </c:pt>
                <c:pt idx="7">
                  <c:v>0.26800000000000002</c:v>
                </c:pt>
                <c:pt idx="8">
                  <c:v>0.20699999999999999</c:v>
                </c:pt>
                <c:pt idx="9">
                  <c:v>0.18</c:v>
                </c:pt>
                <c:pt idx="10">
                  <c:v>0.157</c:v>
                </c:pt>
                <c:pt idx="11">
                  <c:v>0.188</c:v>
                </c:pt>
                <c:pt idx="12">
                  <c:v>0.19800000000000001</c:v>
                </c:pt>
                <c:pt idx="13">
                  <c:v>0.215</c:v>
                </c:pt>
                <c:pt idx="14">
                  <c:v>0.249</c:v>
                </c:pt>
                <c:pt idx="15">
                  <c:v>0.26200000000000001</c:v>
                </c:pt>
                <c:pt idx="16">
                  <c:v>0.28299999999999997</c:v>
                </c:pt>
                <c:pt idx="17">
                  <c:v>0.317</c:v>
                </c:pt>
                <c:pt idx="18">
                  <c:v>0.34899999999999998</c:v>
                </c:pt>
                <c:pt idx="19">
                  <c:v>0.38</c:v>
                </c:pt>
                <c:pt idx="20">
                  <c:v>0.41199999999999998</c:v>
                </c:pt>
                <c:pt idx="21">
                  <c:v>0.45</c:v>
                </c:pt>
                <c:pt idx="22">
                  <c:v>0.46600000000000003</c:v>
                </c:pt>
                <c:pt idx="23">
                  <c:v>0.44800000000000001</c:v>
                </c:pt>
                <c:pt idx="24">
                  <c:v>0.38700000000000001</c:v>
                </c:pt>
                <c:pt idx="25">
                  <c:v>0.38700000000000001</c:v>
                </c:pt>
                <c:pt idx="26">
                  <c:v>0.40500000000000003</c:v>
                </c:pt>
                <c:pt idx="27">
                  <c:v>0.44</c:v>
                </c:pt>
                <c:pt idx="28">
                  <c:v>0.4</c:v>
                </c:pt>
                <c:pt idx="29">
                  <c:v>0.40400000000000003</c:v>
                </c:pt>
                <c:pt idx="30">
                  <c:v>0.40799999999999997</c:v>
                </c:pt>
                <c:pt idx="31">
                  <c:v>0.41499999999999998</c:v>
                </c:pt>
                <c:pt idx="32">
                  <c:v>0.42199999999999999</c:v>
                </c:pt>
                <c:pt idx="33">
                  <c:v>0.40899999999999997</c:v>
                </c:pt>
                <c:pt idx="34">
                  <c:v>0.38900000000000001</c:v>
                </c:pt>
                <c:pt idx="35">
                  <c:v>0.38800000000000001</c:v>
                </c:pt>
                <c:pt idx="36">
                  <c:v>0.40899999999999997</c:v>
                </c:pt>
                <c:pt idx="37">
                  <c:v>0.41799999999999998</c:v>
                </c:pt>
                <c:pt idx="38">
                  <c:v>0.40100000000000002</c:v>
                </c:pt>
                <c:pt idx="39">
                  <c:v>0.36699999999999999</c:v>
                </c:pt>
                <c:pt idx="40">
                  <c:v>0.34499999999999997</c:v>
                </c:pt>
                <c:pt idx="41">
                  <c:v>0.35599999999999998</c:v>
                </c:pt>
                <c:pt idx="42">
                  <c:v>0.38500000000000001</c:v>
                </c:pt>
                <c:pt idx="43">
                  <c:v>0.35199999999999998</c:v>
                </c:pt>
                <c:pt idx="44">
                  <c:v>0.31900000000000001</c:v>
                </c:pt>
                <c:pt idx="45">
                  <c:v>0.30199999999999999</c:v>
                </c:pt>
                <c:pt idx="46">
                  <c:v>0.247</c:v>
                </c:pt>
                <c:pt idx="47">
                  <c:v>0.17599999999999999</c:v>
                </c:pt>
                <c:pt idx="48">
                  <c:v>0.13600000000000001</c:v>
                </c:pt>
                <c:pt idx="49">
                  <c:v>0.14099999999999999</c:v>
                </c:pt>
                <c:pt idx="50">
                  <c:v>0.13700000000000001</c:v>
                </c:pt>
                <c:pt idx="51">
                  <c:v>0.13900000000000001</c:v>
                </c:pt>
                <c:pt idx="52">
                  <c:v>0.122</c:v>
                </c:pt>
                <c:pt idx="53">
                  <c:v>0.11899999999999999</c:v>
                </c:pt>
                <c:pt idx="54">
                  <c:v>0.152</c:v>
                </c:pt>
                <c:pt idx="55">
                  <c:v>0.159</c:v>
                </c:pt>
                <c:pt idx="56">
                  <c:v>0.182</c:v>
                </c:pt>
                <c:pt idx="57">
                  <c:v>0.185</c:v>
                </c:pt>
                <c:pt idx="58">
                  <c:v>0.17399999999999999</c:v>
                </c:pt>
                <c:pt idx="59">
                  <c:v>0.14199999999999999</c:v>
                </c:pt>
                <c:pt idx="60">
                  <c:v>0.105</c:v>
                </c:pt>
                <c:pt idx="61">
                  <c:v>6.7000000000000004E-2</c:v>
                </c:pt>
                <c:pt idx="62">
                  <c:v>4.4999999999999998E-2</c:v>
                </c:pt>
                <c:pt idx="63">
                  <c:v>4.2000000000000003E-2</c:v>
                </c:pt>
                <c:pt idx="64">
                  <c:v>-1.4999999999999999E-2</c:v>
                </c:pt>
                <c:pt idx="65">
                  <c:v>-8.2000000000000003E-2</c:v>
                </c:pt>
                <c:pt idx="66">
                  <c:v>-0.10299999999999999</c:v>
                </c:pt>
                <c:pt idx="67">
                  <c:v>-0.11899999999999999</c:v>
                </c:pt>
                <c:pt idx="68">
                  <c:v>-0.11799999999999999</c:v>
                </c:pt>
                <c:pt idx="69">
                  <c:v>-0.121</c:v>
                </c:pt>
                <c:pt idx="70">
                  <c:v>-8.7999999999999995E-2</c:v>
                </c:pt>
                <c:pt idx="71">
                  <c:v>-0.11700000000000001</c:v>
                </c:pt>
                <c:pt idx="72">
                  <c:v>-7.2999999999999995E-2</c:v>
                </c:pt>
                <c:pt idx="73">
                  <c:v>-0.06</c:v>
                </c:pt>
                <c:pt idx="74">
                  <c:v>-7.5999999999999998E-2</c:v>
                </c:pt>
                <c:pt idx="75">
                  <c:v>-4.8000000000000001E-2</c:v>
                </c:pt>
                <c:pt idx="76">
                  <c:v>-4.2999999999999997E-2</c:v>
                </c:pt>
                <c:pt idx="77">
                  <c:v>-2.7E-2</c:v>
                </c:pt>
                <c:pt idx="78">
                  <c:v>-1.0999999999999999E-2</c:v>
                </c:pt>
                <c:pt idx="79">
                  <c:v>-1.7000000000000001E-2</c:v>
                </c:pt>
                <c:pt idx="80">
                  <c:v>-1.7000000000000001E-2</c:v>
                </c:pt>
                <c:pt idx="81">
                  <c:v>-5.0000000000000001E-3</c:v>
                </c:pt>
                <c:pt idx="82">
                  <c:v>2.8000000000000001E-2</c:v>
                </c:pt>
                <c:pt idx="83">
                  <c:v>2.4E-2</c:v>
                </c:pt>
                <c:pt idx="84">
                  <c:v>2.7E-2</c:v>
                </c:pt>
                <c:pt idx="85">
                  <c:v>4.9000000000000002E-2</c:v>
                </c:pt>
                <c:pt idx="86">
                  <c:v>6.5000000000000002E-2</c:v>
                </c:pt>
                <c:pt idx="87">
                  <c:v>6.6000000000000003E-2</c:v>
                </c:pt>
                <c:pt idx="88">
                  <c:v>7.1999999999999995E-2</c:v>
                </c:pt>
                <c:pt idx="89">
                  <c:v>0.08</c:v>
                </c:pt>
                <c:pt idx="90">
                  <c:v>8.1000000000000003E-2</c:v>
                </c:pt>
                <c:pt idx="91">
                  <c:v>8.3000000000000004E-2</c:v>
                </c:pt>
                <c:pt idx="92">
                  <c:v>9.6000000000000002E-2</c:v>
                </c:pt>
                <c:pt idx="93">
                  <c:v>0.1</c:v>
                </c:pt>
                <c:pt idx="94">
                  <c:v>7.0999999999999994E-2</c:v>
                </c:pt>
                <c:pt idx="95">
                  <c:v>0.129</c:v>
                </c:pt>
                <c:pt idx="96">
                  <c:v>0.12</c:v>
                </c:pt>
                <c:pt idx="97">
                  <c:v>8.4000000000000005E-2</c:v>
                </c:pt>
                <c:pt idx="98">
                  <c:v>0.10299999999999999</c:v>
                </c:pt>
                <c:pt idx="99">
                  <c:v>9.4E-2</c:v>
                </c:pt>
                <c:pt idx="100">
                  <c:v>8.6999999999999994E-2</c:v>
                </c:pt>
                <c:pt idx="101">
                  <c:v>3.9E-2</c:v>
                </c:pt>
                <c:pt idx="102">
                  <c:v>7.0999999999999994E-2</c:v>
                </c:pt>
                <c:pt idx="103">
                  <c:v>5.8999999999999997E-2</c:v>
                </c:pt>
                <c:pt idx="104">
                  <c:v>6.6000000000000003E-2</c:v>
                </c:pt>
                <c:pt idx="105">
                  <c:v>4.5999999999999999E-2</c:v>
                </c:pt>
                <c:pt idx="106">
                  <c:v>7.6999999999999999E-2</c:v>
                </c:pt>
                <c:pt idx="107">
                  <c:v>7.0999999999999994E-2</c:v>
                </c:pt>
                <c:pt idx="108">
                  <c:v>8.3000000000000004E-2</c:v>
                </c:pt>
                <c:pt idx="109">
                  <c:v>7.5999999999999998E-2</c:v>
                </c:pt>
                <c:pt idx="110">
                  <c:v>8.8999999999999996E-2</c:v>
                </c:pt>
                <c:pt idx="111">
                  <c:v>9.5000000000000001E-2</c:v>
                </c:pt>
                <c:pt idx="112">
                  <c:v>0.09</c:v>
                </c:pt>
                <c:pt idx="113">
                  <c:v>8.8999999999999996E-2</c:v>
                </c:pt>
                <c:pt idx="114">
                  <c:v>0.106</c:v>
                </c:pt>
                <c:pt idx="115">
                  <c:v>9.5000000000000001E-2</c:v>
                </c:pt>
                <c:pt idx="116">
                  <c:v>0.26600000000000001</c:v>
                </c:pt>
                <c:pt idx="117">
                  <c:v>0.22800000000000001</c:v>
                </c:pt>
                <c:pt idx="118">
                  <c:v>0.251</c:v>
                </c:pt>
                <c:pt idx="119">
                  <c:v>0.185</c:v>
                </c:pt>
                <c:pt idx="120">
                  <c:v>0.251</c:v>
                </c:pt>
                <c:pt idx="121">
                  <c:v>0.23200000000000001</c:v>
                </c:pt>
                <c:pt idx="122">
                  <c:v>0.155</c:v>
                </c:pt>
                <c:pt idx="123">
                  <c:v>0.253</c:v>
                </c:pt>
                <c:pt idx="124">
                  <c:v>0.19900000000000001</c:v>
                </c:pt>
                <c:pt idx="125">
                  <c:v>0.28999999999999998</c:v>
                </c:pt>
                <c:pt idx="126">
                  <c:v>0.307</c:v>
                </c:pt>
                <c:pt idx="127">
                  <c:v>0.32</c:v>
                </c:pt>
                <c:pt idx="128">
                  <c:v>0.33500000000000002</c:v>
                </c:pt>
                <c:pt idx="129">
                  <c:v>0.30399999999999999</c:v>
                </c:pt>
                <c:pt idx="130">
                  <c:v>0.12</c:v>
                </c:pt>
                <c:pt idx="131">
                  <c:v>0.2</c:v>
                </c:pt>
                <c:pt idx="132">
                  <c:v>0.36299999999999999</c:v>
                </c:pt>
                <c:pt idx="133">
                  <c:v>0.3</c:v>
                </c:pt>
                <c:pt idx="134">
                  <c:v>0.33400000000000002</c:v>
                </c:pt>
                <c:pt idx="135">
                  <c:v>0.3</c:v>
                </c:pt>
                <c:pt idx="136">
                  <c:v>0.24</c:v>
                </c:pt>
                <c:pt idx="137">
                  <c:v>0.255</c:v>
                </c:pt>
                <c:pt idx="138">
                  <c:v>0.37</c:v>
                </c:pt>
                <c:pt idx="139">
                  <c:v>0.47399999999999998</c:v>
                </c:pt>
                <c:pt idx="140">
                  <c:v>2.73</c:v>
                </c:pt>
                <c:pt idx="141">
                  <c:v>11.15</c:v>
                </c:pt>
                <c:pt idx="142">
                  <c:v>12.89</c:v>
                </c:pt>
                <c:pt idx="143">
                  <c:v>13.75</c:v>
                </c:pt>
                <c:pt idx="144">
                  <c:v>13.29</c:v>
                </c:pt>
                <c:pt idx="145">
                  <c:v>13.59</c:v>
                </c:pt>
                <c:pt idx="146">
                  <c:v>14.75</c:v>
                </c:pt>
                <c:pt idx="147">
                  <c:v>15.61</c:v>
                </c:pt>
                <c:pt idx="148">
                  <c:v>16.04</c:v>
                </c:pt>
                <c:pt idx="149">
                  <c:v>15.16</c:v>
                </c:pt>
                <c:pt idx="150">
                  <c:v>15.55</c:v>
                </c:pt>
                <c:pt idx="151">
                  <c:v>16.38</c:v>
                </c:pt>
                <c:pt idx="152">
                  <c:v>13.26</c:v>
                </c:pt>
                <c:pt idx="153">
                  <c:v>16.75</c:v>
                </c:pt>
                <c:pt idx="154">
                  <c:v>13.6</c:v>
                </c:pt>
                <c:pt idx="155">
                  <c:v>9.98</c:v>
                </c:pt>
                <c:pt idx="156">
                  <c:v>8.27</c:v>
                </c:pt>
                <c:pt idx="157">
                  <c:v>15.18</c:v>
                </c:pt>
                <c:pt idx="158">
                  <c:v>16.239999999999998</c:v>
                </c:pt>
                <c:pt idx="159">
                  <c:v>15.8</c:v>
                </c:pt>
                <c:pt idx="160">
                  <c:v>15.42</c:v>
                </c:pt>
                <c:pt idx="161">
                  <c:v>12.07</c:v>
                </c:pt>
                <c:pt idx="162">
                  <c:v>12.7</c:v>
                </c:pt>
                <c:pt idx="163">
                  <c:v>12.71</c:v>
                </c:pt>
                <c:pt idx="164">
                  <c:v>11.12</c:v>
                </c:pt>
                <c:pt idx="165">
                  <c:v>14.47</c:v>
                </c:pt>
                <c:pt idx="166">
                  <c:v>12.62</c:v>
                </c:pt>
                <c:pt idx="167">
                  <c:v>12.07</c:v>
                </c:pt>
                <c:pt idx="168">
                  <c:v>13.29</c:v>
                </c:pt>
                <c:pt idx="169">
                  <c:v>11.63</c:v>
                </c:pt>
                <c:pt idx="170">
                  <c:v>10.14</c:v>
                </c:pt>
                <c:pt idx="171">
                  <c:v>14.17</c:v>
                </c:pt>
                <c:pt idx="172">
                  <c:v>15.73</c:v>
                </c:pt>
                <c:pt idx="173">
                  <c:v>17.3</c:v>
                </c:pt>
                <c:pt idx="174">
                  <c:v>17.09</c:v>
                </c:pt>
                <c:pt idx="175">
                  <c:v>16.8</c:v>
                </c:pt>
                <c:pt idx="176">
                  <c:v>15.16</c:v>
                </c:pt>
                <c:pt idx="177">
                  <c:v>15.38</c:v>
                </c:pt>
                <c:pt idx="178">
                  <c:v>16.52</c:v>
                </c:pt>
                <c:pt idx="179">
                  <c:v>16.600000000000001</c:v>
                </c:pt>
                <c:pt idx="180">
                  <c:v>16.98</c:v>
                </c:pt>
                <c:pt idx="181">
                  <c:v>16.010000000000002</c:v>
                </c:pt>
                <c:pt idx="182">
                  <c:v>13.59</c:v>
                </c:pt>
                <c:pt idx="183">
                  <c:v>14.31</c:v>
                </c:pt>
                <c:pt idx="184">
                  <c:v>13.45</c:v>
                </c:pt>
                <c:pt idx="185">
                  <c:v>14.97</c:v>
                </c:pt>
                <c:pt idx="186">
                  <c:v>13.49</c:v>
                </c:pt>
                <c:pt idx="187">
                  <c:v>13.99</c:v>
                </c:pt>
                <c:pt idx="188">
                  <c:v>14.48</c:v>
                </c:pt>
                <c:pt idx="189">
                  <c:v>14.66</c:v>
                </c:pt>
                <c:pt idx="190">
                  <c:v>13.38</c:v>
                </c:pt>
                <c:pt idx="191">
                  <c:v>14.01</c:v>
                </c:pt>
                <c:pt idx="192">
                  <c:v>14.56</c:v>
                </c:pt>
                <c:pt idx="193">
                  <c:v>13.79</c:v>
                </c:pt>
                <c:pt idx="194">
                  <c:v>15</c:v>
                </c:pt>
                <c:pt idx="195">
                  <c:v>15.16</c:v>
                </c:pt>
                <c:pt idx="196">
                  <c:v>15.53</c:v>
                </c:pt>
                <c:pt idx="197">
                  <c:v>15.92</c:v>
                </c:pt>
                <c:pt idx="198">
                  <c:v>15.75</c:v>
                </c:pt>
                <c:pt idx="199">
                  <c:v>15.78</c:v>
                </c:pt>
                <c:pt idx="200">
                  <c:v>13.78</c:v>
                </c:pt>
                <c:pt idx="201">
                  <c:v>14.76</c:v>
                </c:pt>
                <c:pt idx="202">
                  <c:v>14.79</c:v>
                </c:pt>
                <c:pt idx="203">
                  <c:v>13.13</c:v>
                </c:pt>
                <c:pt idx="204">
                  <c:v>13.32</c:v>
                </c:pt>
                <c:pt idx="205">
                  <c:v>12.56</c:v>
                </c:pt>
                <c:pt idx="206">
                  <c:v>12.74</c:v>
                </c:pt>
                <c:pt idx="207">
                  <c:v>13.39</c:v>
                </c:pt>
                <c:pt idx="208">
                  <c:v>12.75</c:v>
                </c:pt>
                <c:pt idx="209">
                  <c:v>10.5</c:v>
                </c:pt>
                <c:pt idx="210">
                  <c:v>12.85</c:v>
                </c:pt>
                <c:pt idx="211">
                  <c:v>12.65</c:v>
                </c:pt>
                <c:pt idx="212">
                  <c:v>12.24</c:v>
                </c:pt>
                <c:pt idx="213">
                  <c:v>12.33</c:v>
                </c:pt>
                <c:pt idx="214">
                  <c:v>14.9</c:v>
                </c:pt>
                <c:pt idx="215">
                  <c:v>15.73</c:v>
                </c:pt>
                <c:pt idx="216">
                  <c:v>12.67</c:v>
                </c:pt>
                <c:pt idx="217">
                  <c:v>10.16</c:v>
                </c:pt>
                <c:pt idx="218">
                  <c:v>10.38</c:v>
                </c:pt>
                <c:pt idx="219">
                  <c:v>8.2200000000000006</c:v>
                </c:pt>
                <c:pt idx="220">
                  <c:v>11.59</c:v>
                </c:pt>
                <c:pt idx="221">
                  <c:v>11.01</c:v>
                </c:pt>
                <c:pt idx="222">
                  <c:v>10.220000000000001</c:v>
                </c:pt>
                <c:pt idx="223">
                  <c:v>8.7799999999999994</c:v>
                </c:pt>
                <c:pt idx="224">
                  <c:v>11.44</c:v>
                </c:pt>
                <c:pt idx="225">
                  <c:v>9.26</c:v>
                </c:pt>
                <c:pt idx="226">
                  <c:v>9.6199999999999992</c:v>
                </c:pt>
                <c:pt idx="227">
                  <c:v>10.36</c:v>
                </c:pt>
                <c:pt idx="228">
                  <c:v>7.78</c:v>
                </c:pt>
                <c:pt idx="229">
                  <c:v>9.1</c:v>
                </c:pt>
                <c:pt idx="230">
                  <c:v>11.13</c:v>
                </c:pt>
                <c:pt idx="231">
                  <c:v>12.36</c:v>
                </c:pt>
                <c:pt idx="232">
                  <c:v>12.9</c:v>
                </c:pt>
                <c:pt idx="233">
                  <c:v>12.87</c:v>
                </c:pt>
                <c:pt idx="234">
                  <c:v>12.93</c:v>
                </c:pt>
                <c:pt idx="235">
                  <c:v>11.56</c:v>
                </c:pt>
                <c:pt idx="236">
                  <c:v>11.73</c:v>
                </c:pt>
                <c:pt idx="237">
                  <c:v>11.19</c:v>
                </c:pt>
                <c:pt idx="238">
                  <c:v>11.31</c:v>
                </c:pt>
                <c:pt idx="239">
                  <c:v>12.45</c:v>
                </c:pt>
                <c:pt idx="240">
                  <c:v>9.98</c:v>
                </c:pt>
                <c:pt idx="241">
                  <c:v>12.31</c:v>
                </c:pt>
                <c:pt idx="242">
                  <c:v>12.23</c:v>
                </c:pt>
                <c:pt idx="243">
                  <c:v>12.5</c:v>
                </c:pt>
                <c:pt idx="244">
                  <c:v>12.78</c:v>
                </c:pt>
                <c:pt idx="245">
                  <c:v>12.93</c:v>
                </c:pt>
                <c:pt idx="246">
                  <c:v>14.29</c:v>
                </c:pt>
                <c:pt idx="247">
                  <c:v>11.03</c:v>
                </c:pt>
                <c:pt idx="248">
                  <c:v>12.28</c:v>
                </c:pt>
                <c:pt idx="249">
                  <c:v>12.91</c:v>
                </c:pt>
                <c:pt idx="250">
                  <c:v>13.1</c:v>
                </c:pt>
                <c:pt idx="251">
                  <c:v>13.23</c:v>
                </c:pt>
                <c:pt idx="252">
                  <c:v>13.25</c:v>
                </c:pt>
                <c:pt idx="253">
                  <c:v>12.54</c:v>
                </c:pt>
                <c:pt idx="254">
                  <c:v>12.57</c:v>
                </c:pt>
                <c:pt idx="255">
                  <c:v>12.73</c:v>
                </c:pt>
                <c:pt idx="256">
                  <c:v>12.2</c:v>
                </c:pt>
                <c:pt idx="257">
                  <c:v>12.16</c:v>
                </c:pt>
                <c:pt idx="258">
                  <c:v>11.77</c:v>
                </c:pt>
                <c:pt idx="259">
                  <c:v>11.21</c:v>
                </c:pt>
                <c:pt idx="260">
                  <c:v>10.130000000000001</c:v>
                </c:pt>
                <c:pt idx="261">
                  <c:v>10.42</c:v>
                </c:pt>
                <c:pt idx="262">
                  <c:v>9.44</c:v>
                </c:pt>
                <c:pt idx="263">
                  <c:v>9.27</c:v>
                </c:pt>
                <c:pt idx="264">
                  <c:v>9.41</c:v>
                </c:pt>
                <c:pt idx="265">
                  <c:v>10.46</c:v>
                </c:pt>
                <c:pt idx="266">
                  <c:v>10.64</c:v>
                </c:pt>
                <c:pt idx="267">
                  <c:v>9.75</c:v>
                </c:pt>
                <c:pt idx="268">
                  <c:v>8.26</c:v>
                </c:pt>
                <c:pt idx="269">
                  <c:v>8.6199999999999992</c:v>
                </c:pt>
                <c:pt idx="270">
                  <c:v>9.42</c:v>
                </c:pt>
                <c:pt idx="271">
                  <c:v>9.5399999999999991</c:v>
                </c:pt>
                <c:pt idx="272">
                  <c:v>7.59</c:v>
                </c:pt>
                <c:pt idx="273">
                  <c:v>5.61</c:v>
                </c:pt>
                <c:pt idx="274">
                  <c:v>5.5960000000000001</c:v>
                </c:pt>
                <c:pt idx="275">
                  <c:v>5.0709999999999997</c:v>
                </c:pt>
                <c:pt idx="276">
                  <c:v>5.48</c:v>
                </c:pt>
                <c:pt idx="277">
                  <c:v>4.8680000000000003</c:v>
                </c:pt>
                <c:pt idx="278">
                  <c:v>5.3719999999999999</c:v>
                </c:pt>
                <c:pt idx="279">
                  <c:v>5.8079999999999998</c:v>
                </c:pt>
                <c:pt idx="280">
                  <c:v>5.3940000000000001</c:v>
                </c:pt>
                <c:pt idx="281">
                  <c:v>4.16</c:v>
                </c:pt>
                <c:pt idx="282">
                  <c:v>5.7770000000000001</c:v>
                </c:pt>
                <c:pt idx="283">
                  <c:v>3.7570000000000001</c:v>
                </c:pt>
                <c:pt idx="284">
                  <c:v>3.08</c:v>
                </c:pt>
                <c:pt idx="285">
                  <c:v>2.7170000000000001</c:v>
                </c:pt>
                <c:pt idx="286">
                  <c:v>2.6219999999999999</c:v>
                </c:pt>
                <c:pt idx="287">
                  <c:v>2.6040000000000001</c:v>
                </c:pt>
                <c:pt idx="288">
                  <c:v>3.4540000000000002</c:v>
                </c:pt>
                <c:pt idx="289">
                  <c:v>2.5299999999999998</c:v>
                </c:pt>
                <c:pt idx="290">
                  <c:v>2.2749999999999999</c:v>
                </c:pt>
                <c:pt idx="291">
                  <c:v>1.78</c:v>
                </c:pt>
                <c:pt idx="292">
                  <c:v>2.39</c:v>
                </c:pt>
                <c:pt idx="293">
                  <c:v>1.8480000000000001</c:v>
                </c:pt>
                <c:pt idx="294">
                  <c:v>3.09</c:v>
                </c:pt>
                <c:pt idx="295">
                  <c:v>1.488</c:v>
                </c:pt>
                <c:pt idx="296">
                  <c:v>1.869</c:v>
                </c:pt>
                <c:pt idx="297">
                  <c:v>1.4470000000000001</c:v>
                </c:pt>
                <c:pt idx="298">
                  <c:v>1.5429999999999999</c:v>
                </c:pt>
                <c:pt idx="299">
                  <c:v>1.3859999999999999</c:v>
                </c:pt>
                <c:pt idx="300">
                  <c:v>1.111</c:v>
                </c:pt>
                <c:pt idx="301">
                  <c:v>0.72199999999999998</c:v>
                </c:pt>
                <c:pt idx="302">
                  <c:v>0.31</c:v>
                </c:pt>
                <c:pt idx="303">
                  <c:v>-8.7999999999999995E-2</c:v>
                </c:pt>
                <c:pt idx="304">
                  <c:v>-0.27500000000000002</c:v>
                </c:pt>
                <c:pt idx="305">
                  <c:v>-0.36899999999999999</c:v>
                </c:pt>
                <c:pt idx="306">
                  <c:v>-0.39600000000000002</c:v>
                </c:pt>
                <c:pt idx="307">
                  <c:v>-0.48799999999999999</c:v>
                </c:pt>
                <c:pt idx="308">
                  <c:v>-0.41799999999999998</c:v>
                </c:pt>
                <c:pt idx="309">
                  <c:v>-0.48799999999999999</c:v>
                </c:pt>
                <c:pt idx="310">
                  <c:v>-0.48</c:v>
                </c:pt>
                <c:pt idx="311">
                  <c:v>-0.22900000000000001</c:v>
                </c:pt>
                <c:pt idx="312">
                  <c:v>-0.23</c:v>
                </c:pt>
                <c:pt idx="313">
                  <c:v>-0.24399999999999999</c:v>
                </c:pt>
                <c:pt idx="314">
                  <c:v>-0.23899999999999999</c:v>
                </c:pt>
                <c:pt idx="315">
                  <c:v>-0.19800000000000001</c:v>
                </c:pt>
                <c:pt idx="316">
                  <c:v>-0.23899999999999999</c:v>
                </c:pt>
                <c:pt idx="317">
                  <c:v>-0.219</c:v>
                </c:pt>
                <c:pt idx="318">
                  <c:v>-0.13500000000000001</c:v>
                </c:pt>
                <c:pt idx="319">
                  <c:v>-0.11899999999999999</c:v>
                </c:pt>
                <c:pt idx="320">
                  <c:v>-9.7000000000000003E-2</c:v>
                </c:pt>
                <c:pt idx="321">
                  <c:v>-9.2999999999999999E-2</c:v>
                </c:pt>
                <c:pt idx="322">
                  <c:v>-6.3E-2</c:v>
                </c:pt>
                <c:pt idx="323">
                  <c:v>2.8000000000000001E-2</c:v>
                </c:pt>
                <c:pt idx="324">
                  <c:v>-0.104</c:v>
                </c:pt>
                <c:pt idx="325">
                  <c:v>-0.13300000000000001</c:v>
                </c:pt>
                <c:pt idx="326">
                  <c:v>-0.111</c:v>
                </c:pt>
                <c:pt idx="327">
                  <c:v>-4.2000000000000003E-2</c:v>
                </c:pt>
                <c:pt idx="328">
                  <c:v>-0.124</c:v>
                </c:pt>
                <c:pt idx="329">
                  <c:v>-0.14599999999999999</c:v>
                </c:pt>
                <c:pt idx="330">
                  <c:v>-0.16300000000000001</c:v>
                </c:pt>
                <c:pt idx="331">
                  <c:v>-5.1999999999999998E-2</c:v>
                </c:pt>
                <c:pt idx="332">
                  <c:v>2.7E-2</c:v>
                </c:pt>
                <c:pt idx="333">
                  <c:v>-3.3000000000000002E-2</c:v>
                </c:pt>
                <c:pt idx="334">
                  <c:v>-6.8000000000000005E-2</c:v>
                </c:pt>
                <c:pt idx="335">
                  <c:v>-3.5999999999999997E-2</c:v>
                </c:pt>
                <c:pt idx="336">
                  <c:v>-6.4000000000000001E-2</c:v>
                </c:pt>
                <c:pt idx="337">
                  <c:v>-2.1000000000000001E-2</c:v>
                </c:pt>
                <c:pt idx="338">
                  <c:v>-1.0999999999999999E-2</c:v>
                </c:pt>
                <c:pt idx="339">
                  <c:v>-8.7999999999999995E-2</c:v>
                </c:pt>
                <c:pt idx="340">
                  <c:v>-9.5000000000000001E-2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Data!$AO$7:$AO$371</c:f>
              <c:numCache>
                <c:formatCode>General</c:formatCode>
                <c:ptCount val="365"/>
                <c:pt idx="0">
                  <c:v>0.45700000000000002</c:v>
                </c:pt>
                <c:pt idx="1">
                  <c:v>0.42099999999999999</c:v>
                </c:pt>
                <c:pt idx="2">
                  <c:v>0.35499999999999998</c:v>
                </c:pt>
                <c:pt idx="3">
                  <c:v>0.38100000000000001</c:v>
                </c:pt>
                <c:pt idx="4">
                  <c:v>0.251</c:v>
                </c:pt>
                <c:pt idx="5">
                  <c:v>0.24199999999999999</c:v>
                </c:pt>
                <c:pt idx="6">
                  <c:v>5.7000000000000002E-2</c:v>
                </c:pt>
                <c:pt idx="7">
                  <c:v>0.154</c:v>
                </c:pt>
                <c:pt idx="8">
                  <c:v>0.13100000000000001</c:v>
                </c:pt>
                <c:pt idx="9">
                  <c:v>0.11899999999999999</c:v>
                </c:pt>
                <c:pt idx="10">
                  <c:v>0.106</c:v>
                </c:pt>
                <c:pt idx="11">
                  <c:v>0.111</c:v>
                </c:pt>
                <c:pt idx="12">
                  <c:v>0.14000000000000001</c:v>
                </c:pt>
                <c:pt idx="13">
                  <c:v>0.16200000000000001</c:v>
                </c:pt>
                <c:pt idx="14">
                  <c:v>0.193</c:v>
                </c:pt>
                <c:pt idx="15">
                  <c:v>0.21199999999999999</c:v>
                </c:pt>
                <c:pt idx="16">
                  <c:v>0.23</c:v>
                </c:pt>
                <c:pt idx="17">
                  <c:v>0.25800000000000001</c:v>
                </c:pt>
                <c:pt idx="18">
                  <c:v>0.28299999999999997</c:v>
                </c:pt>
                <c:pt idx="19">
                  <c:v>0.30499999999999999</c:v>
                </c:pt>
                <c:pt idx="20">
                  <c:v>0.33100000000000002</c:v>
                </c:pt>
                <c:pt idx="21">
                  <c:v>0.34499999999999997</c:v>
                </c:pt>
                <c:pt idx="22">
                  <c:v>0.36099999999999999</c:v>
                </c:pt>
                <c:pt idx="23">
                  <c:v>0.33500000000000002</c:v>
                </c:pt>
                <c:pt idx="24">
                  <c:v>0.31</c:v>
                </c:pt>
                <c:pt idx="25">
                  <c:v>0.32600000000000001</c:v>
                </c:pt>
                <c:pt idx="26">
                  <c:v>0.312</c:v>
                </c:pt>
                <c:pt idx="27">
                  <c:v>0.307</c:v>
                </c:pt>
                <c:pt idx="28">
                  <c:v>0.32700000000000001</c:v>
                </c:pt>
                <c:pt idx="29">
                  <c:v>0.32700000000000001</c:v>
                </c:pt>
                <c:pt idx="30">
                  <c:v>0.36899999999999999</c:v>
                </c:pt>
                <c:pt idx="31">
                  <c:v>0.374</c:v>
                </c:pt>
                <c:pt idx="32">
                  <c:v>0.35799999999999998</c:v>
                </c:pt>
                <c:pt idx="33">
                  <c:v>0.35799999999999998</c:v>
                </c:pt>
                <c:pt idx="34">
                  <c:v>0.32900000000000001</c:v>
                </c:pt>
                <c:pt idx="35">
                  <c:v>0.32300000000000001</c:v>
                </c:pt>
                <c:pt idx="36">
                  <c:v>0.36199999999999999</c:v>
                </c:pt>
                <c:pt idx="37">
                  <c:v>0.36899999999999999</c:v>
                </c:pt>
                <c:pt idx="38">
                  <c:v>0.33400000000000002</c:v>
                </c:pt>
                <c:pt idx="39">
                  <c:v>0.3</c:v>
                </c:pt>
                <c:pt idx="40">
                  <c:v>0.29499999999999998</c:v>
                </c:pt>
                <c:pt idx="41">
                  <c:v>0.30199999999999999</c:v>
                </c:pt>
                <c:pt idx="42">
                  <c:v>0.314</c:v>
                </c:pt>
                <c:pt idx="43">
                  <c:v>0.159</c:v>
                </c:pt>
                <c:pt idx="44">
                  <c:v>0.11899999999999999</c:v>
                </c:pt>
                <c:pt idx="45">
                  <c:v>0.21199999999999999</c:v>
                </c:pt>
                <c:pt idx="46">
                  <c:v>0.155</c:v>
                </c:pt>
                <c:pt idx="47">
                  <c:v>0.104</c:v>
                </c:pt>
                <c:pt idx="48">
                  <c:v>7.3999999999999996E-2</c:v>
                </c:pt>
                <c:pt idx="49">
                  <c:v>6.0999999999999999E-2</c:v>
                </c:pt>
                <c:pt idx="50">
                  <c:v>9.4E-2</c:v>
                </c:pt>
                <c:pt idx="51">
                  <c:v>8.1000000000000003E-2</c:v>
                </c:pt>
                <c:pt idx="52">
                  <c:v>3.2000000000000001E-2</c:v>
                </c:pt>
                <c:pt idx="53">
                  <c:v>4.8000000000000001E-2</c:v>
                </c:pt>
                <c:pt idx="54">
                  <c:v>6.4000000000000001E-2</c:v>
                </c:pt>
                <c:pt idx="55">
                  <c:v>8.5000000000000006E-2</c:v>
                </c:pt>
                <c:pt idx="56">
                  <c:v>7.0999999999999994E-2</c:v>
                </c:pt>
                <c:pt idx="57">
                  <c:v>-0.11</c:v>
                </c:pt>
                <c:pt idx="58">
                  <c:v>-0.17499999999999999</c:v>
                </c:pt>
                <c:pt idx="59">
                  <c:v>-0.21</c:v>
                </c:pt>
                <c:pt idx="60">
                  <c:v>-0.13500000000000001</c:v>
                </c:pt>
                <c:pt idx="61">
                  <c:v>-5.0999999999999997E-2</c:v>
                </c:pt>
                <c:pt idx="62">
                  <c:v>-7.2999999999999995E-2</c:v>
                </c:pt>
                <c:pt idx="63">
                  <c:v>-7.6999999999999999E-2</c:v>
                </c:pt>
                <c:pt idx="64">
                  <c:v>-0.34100000000000003</c:v>
                </c:pt>
                <c:pt idx="65">
                  <c:v>-0.191</c:v>
                </c:pt>
                <c:pt idx="66">
                  <c:v>-0.191</c:v>
                </c:pt>
                <c:pt idx="67">
                  <c:v>-0.223</c:v>
                </c:pt>
                <c:pt idx="68">
                  <c:v>-0.16400000000000001</c:v>
                </c:pt>
                <c:pt idx="69">
                  <c:v>-0.16400000000000001</c:v>
                </c:pt>
                <c:pt idx="70">
                  <c:v>-0.158</c:v>
                </c:pt>
                <c:pt idx="71">
                  <c:v>-0.20599999999999999</c:v>
                </c:pt>
                <c:pt idx="72">
                  <c:v>-0.17299999999999999</c:v>
                </c:pt>
                <c:pt idx="73">
                  <c:v>-0.182</c:v>
                </c:pt>
                <c:pt idx="74">
                  <c:v>-0.21099999999999999</c:v>
                </c:pt>
                <c:pt idx="75">
                  <c:v>-0.18099999999999999</c:v>
                </c:pt>
                <c:pt idx="76">
                  <c:v>-0.13300000000000001</c:v>
                </c:pt>
                <c:pt idx="77">
                  <c:v>-0.112</c:v>
                </c:pt>
                <c:pt idx="78">
                  <c:v>-0.104</c:v>
                </c:pt>
                <c:pt idx="79">
                  <c:v>-7.4999999999999997E-2</c:v>
                </c:pt>
                <c:pt idx="80">
                  <c:v>-8.3000000000000004E-2</c:v>
                </c:pt>
                <c:pt idx="81">
                  <c:v>-0.06</c:v>
                </c:pt>
                <c:pt idx="82">
                  <c:v>-3.5999999999999997E-2</c:v>
                </c:pt>
                <c:pt idx="83">
                  <c:v>-2.5999999999999999E-2</c:v>
                </c:pt>
                <c:pt idx="84">
                  <c:v>-4.1000000000000002E-2</c:v>
                </c:pt>
                <c:pt idx="85">
                  <c:v>-3.3000000000000002E-2</c:v>
                </c:pt>
                <c:pt idx="86">
                  <c:v>-3.5999999999999997E-2</c:v>
                </c:pt>
                <c:pt idx="87">
                  <c:v>-3.3000000000000002E-2</c:v>
                </c:pt>
                <c:pt idx="88">
                  <c:v>-2.1000000000000001E-2</c:v>
                </c:pt>
                <c:pt idx="89">
                  <c:v>-3.5999999999999997E-2</c:v>
                </c:pt>
                <c:pt idx="90">
                  <c:v>4.7E-2</c:v>
                </c:pt>
                <c:pt idx="91">
                  <c:v>1.9E-2</c:v>
                </c:pt>
                <c:pt idx="92">
                  <c:v>4.2000000000000003E-2</c:v>
                </c:pt>
                <c:pt idx="93">
                  <c:v>0.02</c:v>
                </c:pt>
                <c:pt idx="94">
                  <c:v>-0.02</c:v>
                </c:pt>
                <c:pt idx="95">
                  <c:v>-2.1000000000000001E-2</c:v>
                </c:pt>
                <c:pt idx="96">
                  <c:v>-6.0000000000000001E-3</c:v>
                </c:pt>
                <c:pt idx="97">
                  <c:v>5.0999999999999997E-2</c:v>
                </c:pt>
                <c:pt idx="98">
                  <c:v>5.7000000000000002E-2</c:v>
                </c:pt>
                <c:pt idx="99">
                  <c:v>2.5000000000000001E-2</c:v>
                </c:pt>
                <c:pt idx="100">
                  <c:v>1.4999999999999999E-2</c:v>
                </c:pt>
                <c:pt idx="101">
                  <c:v>-2.3E-2</c:v>
                </c:pt>
                <c:pt idx="102">
                  <c:v>4.0000000000000001E-3</c:v>
                </c:pt>
                <c:pt idx="103">
                  <c:v>8.9999999999999993E-3</c:v>
                </c:pt>
                <c:pt idx="104">
                  <c:v>1.2999999999999999E-2</c:v>
                </c:pt>
                <c:pt idx="105">
                  <c:v>-0.02</c:v>
                </c:pt>
                <c:pt idx="106">
                  <c:v>-8.9999999999999993E-3</c:v>
                </c:pt>
                <c:pt idx="107">
                  <c:v>0.01</c:v>
                </c:pt>
                <c:pt idx="108">
                  <c:v>3.1E-2</c:v>
                </c:pt>
                <c:pt idx="109">
                  <c:v>1.9E-2</c:v>
                </c:pt>
                <c:pt idx="110">
                  <c:v>5.0000000000000001E-3</c:v>
                </c:pt>
                <c:pt idx="111">
                  <c:v>2.5000000000000001E-2</c:v>
                </c:pt>
                <c:pt idx="112">
                  <c:v>-3.0000000000000001E-3</c:v>
                </c:pt>
                <c:pt idx="113">
                  <c:v>0.02</c:v>
                </c:pt>
                <c:pt idx="114">
                  <c:v>-4.2000000000000003E-2</c:v>
                </c:pt>
                <c:pt idx="115">
                  <c:v>-2.8000000000000001E-2</c:v>
                </c:pt>
                <c:pt idx="116">
                  <c:v>1.0999999999999999E-2</c:v>
                </c:pt>
                <c:pt idx="117">
                  <c:v>-5.8000000000000003E-2</c:v>
                </c:pt>
                <c:pt idx="118">
                  <c:v>-2.8000000000000001E-2</c:v>
                </c:pt>
                <c:pt idx="119">
                  <c:v>-4.8000000000000001E-2</c:v>
                </c:pt>
                <c:pt idx="120">
                  <c:v>-7.0000000000000007E-2</c:v>
                </c:pt>
                <c:pt idx="121">
                  <c:v>-3.5000000000000003E-2</c:v>
                </c:pt>
                <c:pt idx="122">
                  <c:v>-0.03</c:v>
                </c:pt>
                <c:pt idx="123">
                  <c:v>-0.115</c:v>
                </c:pt>
                <c:pt idx="124">
                  <c:v>-9.5000000000000001E-2</c:v>
                </c:pt>
                <c:pt idx="125">
                  <c:v>-8.5000000000000006E-2</c:v>
                </c:pt>
                <c:pt idx="126">
                  <c:v>-4.1000000000000002E-2</c:v>
                </c:pt>
                <c:pt idx="127">
                  <c:v>-7.3999999999999996E-2</c:v>
                </c:pt>
                <c:pt idx="128">
                  <c:v>-7.8E-2</c:v>
                </c:pt>
                <c:pt idx="129">
                  <c:v>-0.06</c:v>
                </c:pt>
                <c:pt idx="130">
                  <c:v>-1.9E-2</c:v>
                </c:pt>
                <c:pt idx="131">
                  <c:v>-5.5E-2</c:v>
                </c:pt>
                <c:pt idx="132">
                  <c:v>-0.121</c:v>
                </c:pt>
                <c:pt idx="133">
                  <c:v>-0.112</c:v>
                </c:pt>
                <c:pt idx="134">
                  <c:v>-8.5999999999999993E-2</c:v>
                </c:pt>
                <c:pt idx="135">
                  <c:v>-0.12</c:v>
                </c:pt>
                <c:pt idx="136">
                  <c:v>-3.7999999999999999E-2</c:v>
                </c:pt>
                <c:pt idx="137">
                  <c:v>-0.11600000000000001</c:v>
                </c:pt>
                <c:pt idx="138">
                  <c:v>-0.16500000000000001</c:v>
                </c:pt>
                <c:pt idx="139">
                  <c:v>-8.5000000000000006E-2</c:v>
                </c:pt>
                <c:pt idx="140">
                  <c:v>-2.8000000000000001E-2</c:v>
                </c:pt>
                <c:pt idx="141">
                  <c:v>0.23499999999999999</c:v>
                </c:pt>
                <c:pt idx="142">
                  <c:v>1.24</c:v>
                </c:pt>
                <c:pt idx="143">
                  <c:v>2.2730000000000001</c:v>
                </c:pt>
                <c:pt idx="144">
                  <c:v>3.2759999999999998</c:v>
                </c:pt>
                <c:pt idx="145">
                  <c:v>2.6339999999999999</c:v>
                </c:pt>
                <c:pt idx="146">
                  <c:v>3.27</c:v>
                </c:pt>
                <c:pt idx="147">
                  <c:v>4.5979999999999999</c:v>
                </c:pt>
                <c:pt idx="148">
                  <c:v>5.8869999999999996</c:v>
                </c:pt>
                <c:pt idx="149">
                  <c:v>6.8289999999999997</c:v>
                </c:pt>
                <c:pt idx="150">
                  <c:v>6.181</c:v>
                </c:pt>
                <c:pt idx="151">
                  <c:v>7.35</c:v>
                </c:pt>
                <c:pt idx="152">
                  <c:v>8.1199999999999992</c:v>
                </c:pt>
                <c:pt idx="153">
                  <c:v>7.42</c:v>
                </c:pt>
                <c:pt idx="154">
                  <c:v>8.57</c:v>
                </c:pt>
                <c:pt idx="155">
                  <c:v>6.9829999999999997</c:v>
                </c:pt>
                <c:pt idx="156">
                  <c:v>5.1689999999999996</c:v>
                </c:pt>
                <c:pt idx="157">
                  <c:v>4.4630000000000001</c:v>
                </c:pt>
                <c:pt idx="158">
                  <c:v>5.8040000000000003</c:v>
                </c:pt>
                <c:pt idx="159">
                  <c:v>6.234</c:v>
                </c:pt>
                <c:pt idx="160">
                  <c:v>6.7610000000000001</c:v>
                </c:pt>
                <c:pt idx="161">
                  <c:v>8.7200000000000006</c:v>
                </c:pt>
                <c:pt idx="162">
                  <c:v>6.8449999999999998</c:v>
                </c:pt>
                <c:pt idx="163">
                  <c:v>7.15</c:v>
                </c:pt>
                <c:pt idx="164">
                  <c:v>7.61</c:v>
                </c:pt>
                <c:pt idx="165">
                  <c:v>7.88</c:v>
                </c:pt>
                <c:pt idx="166">
                  <c:v>7.57</c:v>
                </c:pt>
                <c:pt idx="167">
                  <c:v>8.56</c:v>
                </c:pt>
                <c:pt idx="168">
                  <c:v>7.75</c:v>
                </c:pt>
                <c:pt idx="169">
                  <c:v>7.56</c:v>
                </c:pt>
                <c:pt idx="170">
                  <c:v>8.4</c:v>
                </c:pt>
                <c:pt idx="171">
                  <c:v>8.74</c:v>
                </c:pt>
                <c:pt idx="172">
                  <c:v>8.26</c:v>
                </c:pt>
                <c:pt idx="173">
                  <c:v>9.07</c:v>
                </c:pt>
                <c:pt idx="174">
                  <c:v>10.41</c:v>
                </c:pt>
                <c:pt idx="175">
                  <c:v>8.94</c:v>
                </c:pt>
                <c:pt idx="176">
                  <c:v>9.0399999999999991</c:v>
                </c:pt>
                <c:pt idx="177">
                  <c:v>7.16</c:v>
                </c:pt>
                <c:pt idx="178">
                  <c:v>7.92</c:v>
                </c:pt>
                <c:pt idx="179">
                  <c:v>8.85</c:v>
                </c:pt>
                <c:pt idx="180">
                  <c:v>9.3000000000000007</c:v>
                </c:pt>
                <c:pt idx="181">
                  <c:v>10.41</c:v>
                </c:pt>
                <c:pt idx="182">
                  <c:v>11.29</c:v>
                </c:pt>
                <c:pt idx="183">
                  <c:v>10.06</c:v>
                </c:pt>
                <c:pt idx="184">
                  <c:v>9.7799999999999994</c:v>
                </c:pt>
                <c:pt idx="185">
                  <c:v>9.73</c:v>
                </c:pt>
                <c:pt idx="186">
                  <c:v>8.4600000000000009</c:v>
                </c:pt>
                <c:pt idx="187">
                  <c:v>10.039999999999999</c:v>
                </c:pt>
                <c:pt idx="188">
                  <c:v>9.76</c:v>
                </c:pt>
                <c:pt idx="189">
                  <c:v>10.220000000000001</c:v>
                </c:pt>
                <c:pt idx="190">
                  <c:v>10.57</c:v>
                </c:pt>
                <c:pt idx="191">
                  <c:v>8.9499999999999993</c:v>
                </c:pt>
                <c:pt idx="192">
                  <c:v>7.61</c:v>
                </c:pt>
                <c:pt idx="193">
                  <c:v>8.06</c:v>
                </c:pt>
                <c:pt idx="194">
                  <c:v>9.17</c:v>
                </c:pt>
                <c:pt idx="195">
                  <c:v>8.49</c:v>
                </c:pt>
                <c:pt idx="196">
                  <c:v>9.36</c:v>
                </c:pt>
                <c:pt idx="197">
                  <c:v>9.0299999999999994</c:v>
                </c:pt>
                <c:pt idx="198">
                  <c:v>9.7200000000000006</c:v>
                </c:pt>
                <c:pt idx="199">
                  <c:v>9.23</c:v>
                </c:pt>
                <c:pt idx="200">
                  <c:v>10.34</c:v>
                </c:pt>
                <c:pt idx="201">
                  <c:v>10.26</c:v>
                </c:pt>
                <c:pt idx="202">
                  <c:v>9.4700000000000006</c:v>
                </c:pt>
                <c:pt idx="203">
                  <c:v>10.79</c:v>
                </c:pt>
                <c:pt idx="204">
                  <c:v>10.58</c:v>
                </c:pt>
                <c:pt idx="205">
                  <c:v>10.75</c:v>
                </c:pt>
                <c:pt idx="206">
                  <c:v>10.48</c:v>
                </c:pt>
                <c:pt idx="207">
                  <c:v>9.26</c:v>
                </c:pt>
                <c:pt idx="208">
                  <c:v>7.7</c:v>
                </c:pt>
                <c:pt idx="209">
                  <c:v>8.2200000000000006</c:v>
                </c:pt>
                <c:pt idx="210">
                  <c:v>8.0500000000000007</c:v>
                </c:pt>
                <c:pt idx="211">
                  <c:v>9.18</c:v>
                </c:pt>
                <c:pt idx="212">
                  <c:v>9.15</c:v>
                </c:pt>
                <c:pt idx="213">
                  <c:v>9.08</c:v>
                </c:pt>
                <c:pt idx="214">
                  <c:v>8.67</c:v>
                </c:pt>
                <c:pt idx="215">
                  <c:v>9.32</c:v>
                </c:pt>
                <c:pt idx="216">
                  <c:v>10.16</c:v>
                </c:pt>
                <c:pt idx="217">
                  <c:v>8.85</c:v>
                </c:pt>
                <c:pt idx="218">
                  <c:v>6.085</c:v>
                </c:pt>
                <c:pt idx="219">
                  <c:v>5.9169999999999998</c:v>
                </c:pt>
                <c:pt idx="220">
                  <c:v>7.25</c:v>
                </c:pt>
                <c:pt idx="221">
                  <c:v>6.9130000000000003</c:v>
                </c:pt>
                <c:pt idx="222">
                  <c:v>8.77</c:v>
                </c:pt>
                <c:pt idx="223">
                  <c:v>7.65</c:v>
                </c:pt>
                <c:pt idx="224">
                  <c:v>7.5</c:v>
                </c:pt>
                <c:pt idx="225">
                  <c:v>8.18</c:v>
                </c:pt>
                <c:pt idx="226">
                  <c:v>7.25</c:v>
                </c:pt>
                <c:pt idx="227">
                  <c:v>7.1</c:v>
                </c:pt>
                <c:pt idx="228">
                  <c:v>6.7489999999999997</c:v>
                </c:pt>
                <c:pt idx="229">
                  <c:v>6.7110000000000003</c:v>
                </c:pt>
                <c:pt idx="230">
                  <c:v>7.19</c:v>
                </c:pt>
                <c:pt idx="231">
                  <c:v>6.4139999999999997</c:v>
                </c:pt>
                <c:pt idx="232">
                  <c:v>8.1300000000000008</c:v>
                </c:pt>
                <c:pt idx="233">
                  <c:v>7.59</c:v>
                </c:pt>
                <c:pt idx="234">
                  <c:v>6.9050000000000002</c:v>
                </c:pt>
                <c:pt idx="235">
                  <c:v>7.39</c:v>
                </c:pt>
                <c:pt idx="236">
                  <c:v>5.5609999999999999</c:v>
                </c:pt>
                <c:pt idx="237">
                  <c:v>7.01</c:v>
                </c:pt>
                <c:pt idx="238">
                  <c:v>5.7809999999999997</c:v>
                </c:pt>
                <c:pt idx="239">
                  <c:v>6.7960000000000003</c:v>
                </c:pt>
                <c:pt idx="240">
                  <c:v>7.54</c:v>
                </c:pt>
                <c:pt idx="241">
                  <c:v>6.7720000000000002</c:v>
                </c:pt>
                <c:pt idx="242">
                  <c:v>5.9039999999999999</c:v>
                </c:pt>
                <c:pt idx="243">
                  <c:v>6.2519999999999998</c:v>
                </c:pt>
                <c:pt idx="244">
                  <c:v>6.68</c:v>
                </c:pt>
                <c:pt idx="245">
                  <c:v>6.4790000000000001</c:v>
                </c:pt>
                <c:pt idx="246">
                  <c:v>7.16</c:v>
                </c:pt>
                <c:pt idx="247">
                  <c:v>9.01</c:v>
                </c:pt>
                <c:pt idx="248">
                  <c:v>8.2200000000000006</c:v>
                </c:pt>
                <c:pt idx="249">
                  <c:v>7.16</c:v>
                </c:pt>
                <c:pt idx="250">
                  <c:v>7.2</c:v>
                </c:pt>
                <c:pt idx="251">
                  <c:v>7.39</c:v>
                </c:pt>
                <c:pt idx="252">
                  <c:v>7.3</c:v>
                </c:pt>
                <c:pt idx="253">
                  <c:v>7.39</c:v>
                </c:pt>
                <c:pt idx="254">
                  <c:v>6.8209999999999997</c:v>
                </c:pt>
                <c:pt idx="255">
                  <c:v>7.35</c:v>
                </c:pt>
                <c:pt idx="256">
                  <c:v>6.5970000000000004</c:v>
                </c:pt>
                <c:pt idx="257">
                  <c:v>7.44</c:v>
                </c:pt>
                <c:pt idx="258">
                  <c:v>5.9470000000000001</c:v>
                </c:pt>
                <c:pt idx="259">
                  <c:v>5.6840000000000002</c:v>
                </c:pt>
                <c:pt idx="260">
                  <c:v>6.1310000000000002</c:v>
                </c:pt>
                <c:pt idx="261">
                  <c:v>5.7569999999999997</c:v>
                </c:pt>
                <c:pt idx="262">
                  <c:v>4.0780000000000003</c:v>
                </c:pt>
                <c:pt idx="263">
                  <c:v>3.3290000000000002</c:v>
                </c:pt>
                <c:pt idx="264">
                  <c:v>3.484</c:v>
                </c:pt>
                <c:pt idx="265">
                  <c:v>4.2249999999999996</c:v>
                </c:pt>
                <c:pt idx="266">
                  <c:v>4.75</c:v>
                </c:pt>
                <c:pt idx="267">
                  <c:v>4.3949999999999996</c:v>
                </c:pt>
                <c:pt idx="268">
                  <c:v>4.5810000000000004</c:v>
                </c:pt>
                <c:pt idx="269">
                  <c:v>6.1210000000000004</c:v>
                </c:pt>
                <c:pt idx="270">
                  <c:v>6.7679999999999998</c:v>
                </c:pt>
                <c:pt idx="271">
                  <c:v>6.3010000000000002</c:v>
                </c:pt>
                <c:pt idx="272">
                  <c:v>4.5369999999999999</c:v>
                </c:pt>
                <c:pt idx="273">
                  <c:v>3.49</c:v>
                </c:pt>
                <c:pt idx="274">
                  <c:v>3.698</c:v>
                </c:pt>
                <c:pt idx="275">
                  <c:v>3.5</c:v>
                </c:pt>
                <c:pt idx="276">
                  <c:v>2.681</c:v>
                </c:pt>
                <c:pt idx="277">
                  <c:v>2.3940000000000001</c:v>
                </c:pt>
                <c:pt idx="278">
                  <c:v>3.43</c:v>
                </c:pt>
                <c:pt idx="279">
                  <c:v>3.7970000000000002</c:v>
                </c:pt>
                <c:pt idx="280">
                  <c:v>3.68</c:v>
                </c:pt>
                <c:pt idx="281">
                  <c:v>3.137</c:v>
                </c:pt>
                <c:pt idx="282">
                  <c:v>3.7250000000000001</c:v>
                </c:pt>
                <c:pt idx="283">
                  <c:v>3.0680000000000001</c:v>
                </c:pt>
                <c:pt idx="284">
                  <c:v>2.698</c:v>
                </c:pt>
                <c:pt idx="285">
                  <c:v>2.5819999999999999</c:v>
                </c:pt>
                <c:pt idx="286">
                  <c:v>2.3340000000000001</c:v>
                </c:pt>
                <c:pt idx="287">
                  <c:v>2.323</c:v>
                </c:pt>
                <c:pt idx="288">
                  <c:v>2.508</c:v>
                </c:pt>
                <c:pt idx="289">
                  <c:v>2.1930000000000001</c:v>
                </c:pt>
                <c:pt idx="290">
                  <c:v>1.712</c:v>
                </c:pt>
                <c:pt idx="291">
                  <c:v>0.89700000000000002</c:v>
                </c:pt>
                <c:pt idx="292">
                  <c:v>1.4450000000000001</c:v>
                </c:pt>
                <c:pt idx="293">
                  <c:v>1.0549999999999999</c:v>
                </c:pt>
                <c:pt idx="294">
                  <c:v>0.97499999999999998</c:v>
                </c:pt>
                <c:pt idx="295">
                  <c:v>1.0269999999999999</c:v>
                </c:pt>
                <c:pt idx="296">
                  <c:v>1.2030000000000001</c:v>
                </c:pt>
                <c:pt idx="297">
                  <c:v>1.228</c:v>
                </c:pt>
                <c:pt idx="298">
                  <c:v>1.288</c:v>
                </c:pt>
                <c:pt idx="299">
                  <c:v>1.095</c:v>
                </c:pt>
                <c:pt idx="300">
                  <c:v>0.68700000000000006</c:v>
                </c:pt>
                <c:pt idx="301">
                  <c:v>0.154</c:v>
                </c:pt>
                <c:pt idx="302">
                  <c:v>-0.11</c:v>
                </c:pt>
                <c:pt idx="303">
                  <c:v>-0.42199999999999999</c:v>
                </c:pt>
                <c:pt idx="304">
                  <c:v>-0.76200000000000001</c:v>
                </c:pt>
                <c:pt idx="305">
                  <c:v>-1.0189999999999999</c:v>
                </c:pt>
                <c:pt idx="306">
                  <c:v>-1.006</c:v>
                </c:pt>
                <c:pt idx="307">
                  <c:v>-0.79500000000000004</c:v>
                </c:pt>
                <c:pt idx="308">
                  <c:v>-0.58499999999999996</c:v>
                </c:pt>
                <c:pt idx="309">
                  <c:v>-0.70799999999999996</c:v>
                </c:pt>
                <c:pt idx="310">
                  <c:v>-0.8</c:v>
                </c:pt>
                <c:pt idx="311">
                  <c:v>-0.503</c:v>
                </c:pt>
                <c:pt idx="312">
                  <c:v>-0.35399999999999998</c:v>
                </c:pt>
                <c:pt idx="313">
                  <c:v>-0.36599999999999999</c:v>
                </c:pt>
                <c:pt idx="314">
                  <c:v>-0.379</c:v>
                </c:pt>
                <c:pt idx="315">
                  <c:v>-0.40200000000000002</c:v>
                </c:pt>
                <c:pt idx="316">
                  <c:v>-0.32200000000000001</c:v>
                </c:pt>
                <c:pt idx="317">
                  <c:v>-0.27100000000000002</c:v>
                </c:pt>
                <c:pt idx="318">
                  <c:v>-0.28499999999999998</c:v>
                </c:pt>
                <c:pt idx="319">
                  <c:v>-0.27300000000000002</c:v>
                </c:pt>
                <c:pt idx="320">
                  <c:v>-0.23899999999999999</c:v>
                </c:pt>
                <c:pt idx="321">
                  <c:v>-0.30499999999999999</c:v>
                </c:pt>
                <c:pt idx="322">
                  <c:v>-0.40400000000000003</c:v>
                </c:pt>
                <c:pt idx="323">
                  <c:v>-0.47499999999999998</c:v>
                </c:pt>
                <c:pt idx="324">
                  <c:v>-0.29099999999999998</c:v>
                </c:pt>
                <c:pt idx="325">
                  <c:v>-0.21099999999999999</c:v>
                </c:pt>
                <c:pt idx="326">
                  <c:v>-0.23100000000000001</c:v>
                </c:pt>
                <c:pt idx="327">
                  <c:v>-0.23300000000000001</c:v>
                </c:pt>
                <c:pt idx="328">
                  <c:v>-0.247</c:v>
                </c:pt>
                <c:pt idx="329">
                  <c:v>-0.23</c:v>
                </c:pt>
                <c:pt idx="330">
                  <c:v>-0.22</c:v>
                </c:pt>
                <c:pt idx="331">
                  <c:v>-0.19600000000000001</c:v>
                </c:pt>
                <c:pt idx="332">
                  <c:v>-9.2999999999999999E-2</c:v>
                </c:pt>
                <c:pt idx="333">
                  <c:v>-0.14299999999999999</c:v>
                </c:pt>
                <c:pt idx="334">
                  <c:v>-0.14899999999999999</c:v>
                </c:pt>
                <c:pt idx="335">
                  <c:v>-0.13700000000000001</c:v>
                </c:pt>
                <c:pt idx="336">
                  <c:v>-0.129</c:v>
                </c:pt>
                <c:pt idx="337">
                  <c:v>-0.159</c:v>
                </c:pt>
                <c:pt idx="338">
                  <c:v>-0.54900000000000004</c:v>
                </c:pt>
                <c:pt idx="339">
                  <c:v>-0.47899999999999998</c:v>
                </c:pt>
                <c:pt idx="340">
                  <c:v>-0.58699999999999997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384256"/>
        <c:axId val="236386176"/>
      </c:lineChart>
      <c:catAx>
        <c:axId val="236384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386176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36386176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5562805872756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38425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- 15cm</a:t>
            </a:r>
          </a:p>
        </c:rich>
      </c:tx>
      <c:layout>
        <c:manualLayout>
          <c:xMode val="edge"/>
          <c:yMode val="edge"/>
          <c:x val="0.1514476614699331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Data!$AB$7:$AB$371</c:f>
              <c:numCache>
                <c:formatCode>General</c:formatCode>
                <c:ptCount val="365"/>
                <c:pt idx="0">
                  <c:v>1.3819999999999999</c:v>
                </c:pt>
                <c:pt idx="1">
                  <c:v>1.381</c:v>
                </c:pt>
                <c:pt idx="2">
                  <c:v>1.3520000000000001</c:v>
                </c:pt>
                <c:pt idx="3">
                  <c:v>1.3340000000000001</c:v>
                </c:pt>
                <c:pt idx="4">
                  <c:v>1.306</c:v>
                </c:pt>
                <c:pt idx="5">
                  <c:v>1.2649999999999999</c:v>
                </c:pt>
                <c:pt idx="6">
                  <c:v>1.214</c:v>
                </c:pt>
                <c:pt idx="7">
                  <c:v>1.1399999999999999</c:v>
                </c:pt>
                <c:pt idx="8">
                  <c:v>1.105</c:v>
                </c:pt>
                <c:pt idx="9">
                  <c:v>1.087</c:v>
                </c:pt>
                <c:pt idx="10">
                  <c:v>1.044</c:v>
                </c:pt>
                <c:pt idx="11">
                  <c:v>1.04</c:v>
                </c:pt>
                <c:pt idx="12">
                  <c:v>1.016</c:v>
                </c:pt>
                <c:pt idx="13">
                  <c:v>1.0229999999999999</c:v>
                </c:pt>
                <c:pt idx="14">
                  <c:v>1.036</c:v>
                </c:pt>
                <c:pt idx="15">
                  <c:v>1.0289999999999999</c:v>
                </c:pt>
                <c:pt idx="16">
                  <c:v>1.0429999999999999</c:v>
                </c:pt>
                <c:pt idx="17">
                  <c:v>1.05</c:v>
                </c:pt>
                <c:pt idx="18">
                  <c:v>1.0860000000000001</c:v>
                </c:pt>
                <c:pt idx="19">
                  <c:v>1.1060000000000001</c:v>
                </c:pt>
                <c:pt idx="20">
                  <c:v>1.1359999999999999</c:v>
                </c:pt>
                <c:pt idx="21">
                  <c:v>1.1539999999999999</c:v>
                </c:pt>
                <c:pt idx="22">
                  <c:v>1.161</c:v>
                </c:pt>
                <c:pt idx="23">
                  <c:v>1.1439999999999999</c:v>
                </c:pt>
                <c:pt idx="24">
                  <c:v>1.0820000000000001</c:v>
                </c:pt>
                <c:pt idx="25">
                  <c:v>1.0860000000000001</c:v>
                </c:pt>
                <c:pt idx="26">
                  <c:v>1.095</c:v>
                </c:pt>
                <c:pt idx="27">
                  <c:v>1.125</c:v>
                </c:pt>
                <c:pt idx="28">
                  <c:v>1.0680000000000001</c:v>
                </c:pt>
                <c:pt idx="29">
                  <c:v>1.075</c:v>
                </c:pt>
                <c:pt idx="30">
                  <c:v>1.0780000000000001</c:v>
                </c:pt>
                <c:pt idx="31">
                  <c:v>1.0820000000000001</c:v>
                </c:pt>
                <c:pt idx="32">
                  <c:v>1.0840000000000001</c:v>
                </c:pt>
                <c:pt idx="33">
                  <c:v>1.0649999999999999</c:v>
                </c:pt>
                <c:pt idx="34">
                  <c:v>1.0449999999999999</c:v>
                </c:pt>
                <c:pt idx="35">
                  <c:v>1.042</c:v>
                </c:pt>
                <c:pt idx="36">
                  <c:v>1.06</c:v>
                </c:pt>
                <c:pt idx="37">
                  <c:v>1.054</c:v>
                </c:pt>
                <c:pt idx="38">
                  <c:v>1.0509999999999999</c:v>
                </c:pt>
                <c:pt idx="39">
                  <c:v>0.99199999999999999</c:v>
                </c:pt>
                <c:pt idx="40">
                  <c:v>0.95499999999999996</c:v>
                </c:pt>
                <c:pt idx="41">
                  <c:v>0.94599999999999995</c:v>
                </c:pt>
                <c:pt idx="42">
                  <c:v>0.97299999999999998</c:v>
                </c:pt>
                <c:pt idx="43">
                  <c:v>0.92400000000000004</c:v>
                </c:pt>
                <c:pt idx="44">
                  <c:v>0.89500000000000002</c:v>
                </c:pt>
                <c:pt idx="45">
                  <c:v>0.89100000000000001</c:v>
                </c:pt>
                <c:pt idx="46">
                  <c:v>0.83399999999999996</c:v>
                </c:pt>
                <c:pt idx="47">
                  <c:v>0.77300000000000002</c:v>
                </c:pt>
                <c:pt idx="48">
                  <c:v>0.73699999999999999</c:v>
                </c:pt>
                <c:pt idx="49">
                  <c:v>0.749</c:v>
                </c:pt>
                <c:pt idx="50">
                  <c:v>0.74399999999999999</c:v>
                </c:pt>
                <c:pt idx="51">
                  <c:v>0.73099999999999998</c:v>
                </c:pt>
                <c:pt idx="52">
                  <c:v>0.68500000000000005</c:v>
                </c:pt>
                <c:pt idx="53">
                  <c:v>0.67900000000000005</c:v>
                </c:pt>
                <c:pt idx="54">
                  <c:v>0.67600000000000005</c:v>
                </c:pt>
                <c:pt idx="55">
                  <c:v>0.67200000000000004</c:v>
                </c:pt>
                <c:pt idx="56">
                  <c:v>0.68100000000000005</c:v>
                </c:pt>
                <c:pt idx="57">
                  <c:v>0.68</c:v>
                </c:pt>
                <c:pt idx="58">
                  <c:v>0.69399999999999995</c:v>
                </c:pt>
                <c:pt idx="59">
                  <c:v>0.69299999999999995</c:v>
                </c:pt>
                <c:pt idx="60">
                  <c:v>0.66600000000000004</c:v>
                </c:pt>
                <c:pt idx="61">
                  <c:v>0.63900000000000001</c:v>
                </c:pt>
                <c:pt idx="62">
                  <c:v>0.60499999999999998</c:v>
                </c:pt>
                <c:pt idx="63">
                  <c:v>0.60299999999999998</c:v>
                </c:pt>
                <c:pt idx="64">
                  <c:v>0.55800000000000005</c:v>
                </c:pt>
                <c:pt idx="65">
                  <c:v>0.51800000000000002</c:v>
                </c:pt>
                <c:pt idx="66">
                  <c:v>0.50800000000000001</c:v>
                </c:pt>
                <c:pt idx="67">
                  <c:v>0.495</c:v>
                </c:pt>
                <c:pt idx="68">
                  <c:v>0.504</c:v>
                </c:pt>
                <c:pt idx="69">
                  <c:v>0.48899999999999999</c:v>
                </c:pt>
                <c:pt idx="70">
                  <c:v>0.46200000000000002</c:v>
                </c:pt>
                <c:pt idx="71">
                  <c:v>0.41399999999999998</c:v>
                </c:pt>
                <c:pt idx="72">
                  <c:v>0.42699999999999999</c:v>
                </c:pt>
                <c:pt idx="73">
                  <c:v>0.42399999999999999</c:v>
                </c:pt>
                <c:pt idx="74">
                  <c:v>0.40100000000000002</c:v>
                </c:pt>
                <c:pt idx="75">
                  <c:v>0.41899999999999998</c:v>
                </c:pt>
                <c:pt idx="76">
                  <c:v>0.42899999999999999</c:v>
                </c:pt>
                <c:pt idx="77">
                  <c:v>0.44400000000000001</c:v>
                </c:pt>
                <c:pt idx="78">
                  <c:v>0.46</c:v>
                </c:pt>
                <c:pt idx="79">
                  <c:v>0.44400000000000001</c:v>
                </c:pt>
                <c:pt idx="80">
                  <c:v>0.443</c:v>
                </c:pt>
                <c:pt idx="81">
                  <c:v>0.45500000000000002</c:v>
                </c:pt>
                <c:pt idx="82">
                  <c:v>0.48799999999999999</c:v>
                </c:pt>
                <c:pt idx="83">
                  <c:v>0.48199999999999998</c:v>
                </c:pt>
                <c:pt idx="84">
                  <c:v>0.48499999999999999</c:v>
                </c:pt>
                <c:pt idx="85">
                  <c:v>0.50600000000000001</c:v>
                </c:pt>
                <c:pt idx="86">
                  <c:v>0.50600000000000001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0.53800000000000003</c:v>
                </c:pt>
                <c:pt idx="90">
                  <c:v>0.52400000000000002</c:v>
                </c:pt>
                <c:pt idx="91">
                  <c:v>0.52200000000000002</c:v>
                </c:pt>
                <c:pt idx="92">
                  <c:v>0.51800000000000002</c:v>
                </c:pt>
                <c:pt idx="93">
                  <c:v>0.52200000000000002</c:v>
                </c:pt>
                <c:pt idx="94">
                  <c:v>0.48</c:v>
                </c:pt>
                <c:pt idx="95">
                  <c:v>0.53</c:v>
                </c:pt>
                <c:pt idx="96">
                  <c:v>0.51100000000000001</c:v>
                </c:pt>
                <c:pt idx="97">
                  <c:v>0.47199999999999998</c:v>
                </c:pt>
                <c:pt idx="98">
                  <c:v>0.48299999999999998</c:v>
                </c:pt>
                <c:pt idx="99">
                  <c:v>0.46200000000000002</c:v>
                </c:pt>
                <c:pt idx="100">
                  <c:v>0.45</c:v>
                </c:pt>
                <c:pt idx="101">
                  <c:v>0.40799999999999997</c:v>
                </c:pt>
                <c:pt idx="102">
                  <c:v>0.439</c:v>
                </c:pt>
                <c:pt idx="103">
                  <c:v>0.42899999999999999</c:v>
                </c:pt>
                <c:pt idx="104">
                  <c:v>0.434</c:v>
                </c:pt>
                <c:pt idx="105">
                  <c:v>0.42</c:v>
                </c:pt>
                <c:pt idx="106">
                  <c:v>0.45700000000000002</c:v>
                </c:pt>
                <c:pt idx="107">
                  <c:v>0.45500000000000002</c:v>
                </c:pt>
                <c:pt idx="108">
                  <c:v>0.47299999999999998</c:v>
                </c:pt>
                <c:pt idx="109">
                  <c:v>0.46600000000000003</c:v>
                </c:pt>
                <c:pt idx="110">
                  <c:v>0.47399999999999998</c:v>
                </c:pt>
                <c:pt idx="111">
                  <c:v>0.48199999999999998</c:v>
                </c:pt>
                <c:pt idx="112">
                  <c:v>0.49</c:v>
                </c:pt>
                <c:pt idx="113">
                  <c:v>0.46400000000000002</c:v>
                </c:pt>
                <c:pt idx="114">
                  <c:v>0.46400000000000002</c:v>
                </c:pt>
                <c:pt idx="115">
                  <c:v>0.45</c:v>
                </c:pt>
                <c:pt idx="116">
                  <c:v>0.61299999999999999</c:v>
                </c:pt>
                <c:pt idx="117">
                  <c:v>0.55700000000000005</c:v>
                </c:pt>
                <c:pt idx="118">
                  <c:v>0.60699999999999998</c:v>
                </c:pt>
                <c:pt idx="119">
                  <c:v>0.50700000000000001</c:v>
                </c:pt>
                <c:pt idx="120">
                  <c:v>0.59299999999999997</c:v>
                </c:pt>
                <c:pt idx="121">
                  <c:v>0.53400000000000003</c:v>
                </c:pt>
                <c:pt idx="122">
                  <c:v>0.48899999999999999</c:v>
                </c:pt>
                <c:pt idx="123">
                  <c:v>0.61</c:v>
                </c:pt>
                <c:pt idx="124">
                  <c:v>0.51400000000000001</c:v>
                </c:pt>
                <c:pt idx="125">
                  <c:v>0.623</c:v>
                </c:pt>
                <c:pt idx="126">
                  <c:v>0.61599999999999999</c:v>
                </c:pt>
                <c:pt idx="127">
                  <c:v>0.63</c:v>
                </c:pt>
                <c:pt idx="128">
                  <c:v>0.64100000000000001</c:v>
                </c:pt>
                <c:pt idx="129">
                  <c:v>0.59299999999999997</c:v>
                </c:pt>
                <c:pt idx="130">
                  <c:v>0.40500000000000003</c:v>
                </c:pt>
                <c:pt idx="131">
                  <c:v>0.46200000000000002</c:v>
                </c:pt>
                <c:pt idx="132">
                  <c:v>0.623</c:v>
                </c:pt>
                <c:pt idx="133">
                  <c:v>0.55900000000000005</c:v>
                </c:pt>
                <c:pt idx="134">
                  <c:v>0.60099999999999998</c:v>
                </c:pt>
                <c:pt idx="135">
                  <c:v>0.56000000000000005</c:v>
                </c:pt>
                <c:pt idx="136">
                  <c:v>0.48399999999999999</c:v>
                </c:pt>
                <c:pt idx="137">
                  <c:v>0.497</c:v>
                </c:pt>
                <c:pt idx="138">
                  <c:v>0.59799999999999998</c:v>
                </c:pt>
                <c:pt idx="139">
                  <c:v>0.60099999999999998</c:v>
                </c:pt>
                <c:pt idx="140">
                  <c:v>1.343</c:v>
                </c:pt>
                <c:pt idx="141">
                  <c:v>2.734</c:v>
                </c:pt>
                <c:pt idx="142">
                  <c:v>3.9039999999999999</c:v>
                </c:pt>
                <c:pt idx="143">
                  <c:v>4.7960000000000003</c:v>
                </c:pt>
                <c:pt idx="144">
                  <c:v>5.3129999999999997</c:v>
                </c:pt>
                <c:pt idx="145">
                  <c:v>5.617</c:v>
                </c:pt>
                <c:pt idx="146">
                  <c:v>6.41</c:v>
                </c:pt>
                <c:pt idx="147">
                  <c:v>7.45</c:v>
                </c:pt>
                <c:pt idx="148">
                  <c:v>8.42</c:v>
                </c:pt>
                <c:pt idx="149">
                  <c:v>9.01</c:v>
                </c:pt>
                <c:pt idx="150">
                  <c:v>9.31</c:v>
                </c:pt>
                <c:pt idx="151">
                  <c:v>9.84</c:v>
                </c:pt>
                <c:pt idx="152">
                  <c:v>9.82</c:v>
                </c:pt>
                <c:pt idx="153">
                  <c:v>10.24</c:v>
                </c:pt>
                <c:pt idx="154">
                  <c:v>10.210000000000001</c:v>
                </c:pt>
                <c:pt idx="155">
                  <c:v>9.9600000000000009</c:v>
                </c:pt>
                <c:pt idx="156">
                  <c:v>7.82</c:v>
                </c:pt>
                <c:pt idx="157">
                  <c:v>8.39</c:v>
                </c:pt>
                <c:pt idx="158">
                  <c:v>9.07</c:v>
                </c:pt>
                <c:pt idx="159">
                  <c:v>9.3000000000000007</c:v>
                </c:pt>
                <c:pt idx="160">
                  <c:v>9.26</c:v>
                </c:pt>
                <c:pt idx="161">
                  <c:v>9.19</c:v>
                </c:pt>
                <c:pt idx="162">
                  <c:v>8.91</c:v>
                </c:pt>
                <c:pt idx="163">
                  <c:v>8.86</c:v>
                </c:pt>
                <c:pt idx="164">
                  <c:v>8.7899999999999991</c:v>
                </c:pt>
                <c:pt idx="165">
                  <c:v>9.2799999999999994</c:v>
                </c:pt>
                <c:pt idx="166">
                  <c:v>9.34</c:v>
                </c:pt>
                <c:pt idx="167">
                  <c:v>9.33</c:v>
                </c:pt>
                <c:pt idx="168">
                  <c:v>9.35</c:v>
                </c:pt>
                <c:pt idx="169">
                  <c:v>9.25</c:v>
                </c:pt>
                <c:pt idx="170">
                  <c:v>9.1300000000000008</c:v>
                </c:pt>
                <c:pt idx="171">
                  <c:v>9.51</c:v>
                </c:pt>
                <c:pt idx="172">
                  <c:v>10.130000000000001</c:v>
                </c:pt>
                <c:pt idx="173">
                  <c:v>10.84</c:v>
                </c:pt>
                <c:pt idx="174">
                  <c:v>11.22</c:v>
                </c:pt>
                <c:pt idx="175">
                  <c:v>11.19</c:v>
                </c:pt>
                <c:pt idx="176">
                  <c:v>11.04</c:v>
                </c:pt>
                <c:pt idx="177">
                  <c:v>10.54</c:v>
                </c:pt>
                <c:pt idx="178">
                  <c:v>10.77</c:v>
                </c:pt>
                <c:pt idx="179">
                  <c:v>11.01</c:v>
                </c:pt>
                <c:pt idx="180">
                  <c:v>11.3</c:v>
                </c:pt>
                <c:pt idx="181">
                  <c:v>11.33</c:v>
                </c:pt>
                <c:pt idx="182">
                  <c:v>11.31</c:v>
                </c:pt>
                <c:pt idx="183">
                  <c:v>10.88</c:v>
                </c:pt>
                <c:pt idx="184">
                  <c:v>10.67</c:v>
                </c:pt>
                <c:pt idx="185">
                  <c:v>10.57</c:v>
                </c:pt>
                <c:pt idx="186">
                  <c:v>10.51</c:v>
                </c:pt>
                <c:pt idx="187">
                  <c:v>10.5</c:v>
                </c:pt>
                <c:pt idx="188">
                  <c:v>10.63</c:v>
                </c:pt>
                <c:pt idx="189">
                  <c:v>10.97</c:v>
                </c:pt>
                <c:pt idx="190">
                  <c:v>10.96</c:v>
                </c:pt>
                <c:pt idx="191">
                  <c:v>10.61</c:v>
                </c:pt>
                <c:pt idx="192">
                  <c:v>10.48</c:v>
                </c:pt>
                <c:pt idx="193">
                  <c:v>10.54</c:v>
                </c:pt>
                <c:pt idx="194">
                  <c:v>10.81</c:v>
                </c:pt>
                <c:pt idx="195">
                  <c:v>10.87</c:v>
                </c:pt>
                <c:pt idx="196">
                  <c:v>11.11</c:v>
                </c:pt>
                <c:pt idx="197">
                  <c:v>11.26</c:v>
                </c:pt>
                <c:pt idx="198">
                  <c:v>11.4</c:v>
                </c:pt>
                <c:pt idx="199">
                  <c:v>11.42</c:v>
                </c:pt>
                <c:pt idx="200">
                  <c:v>11.31</c:v>
                </c:pt>
                <c:pt idx="201">
                  <c:v>11.3</c:v>
                </c:pt>
                <c:pt idx="202">
                  <c:v>11.36</c:v>
                </c:pt>
                <c:pt idx="203">
                  <c:v>11.34</c:v>
                </c:pt>
                <c:pt idx="204">
                  <c:v>11.11</c:v>
                </c:pt>
                <c:pt idx="205">
                  <c:v>11.09</c:v>
                </c:pt>
                <c:pt idx="206">
                  <c:v>10.91</c:v>
                </c:pt>
                <c:pt idx="207">
                  <c:v>10.77</c:v>
                </c:pt>
                <c:pt idx="208">
                  <c:v>10.41</c:v>
                </c:pt>
                <c:pt idx="209">
                  <c:v>10.35</c:v>
                </c:pt>
                <c:pt idx="210">
                  <c:v>9.86</c:v>
                </c:pt>
                <c:pt idx="211">
                  <c:v>10.17</c:v>
                </c:pt>
                <c:pt idx="212">
                  <c:v>10.130000000000001</c:v>
                </c:pt>
                <c:pt idx="213">
                  <c:v>10.26</c:v>
                </c:pt>
                <c:pt idx="214">
                  <c:v>10.65</c:v>
                </c:pt>
                <c:pt idx="215">
                  <c:v>11.24</c:v>
                </c:pt>
                <c:pt idx="216">
                  <c:v>11.26</c:v>
                </c:pt>
                <c:pt idx="217">
                  <c:v>10.8</c:v>
                </c:pt>
                <c:pt idx="218">
                  <c:v>9.82</c:v>
                </c:pt>
                <c:pt idx="219">
                  <c:v>9.0399999999999991</c:v>
                </c:pt>
                <c:pt idx="220">
                  <c:v>8.77</c:v>
                </c:pt>
                <c:pt idx="221">
                  <c:v>9.1300000000000008</c:v>
                </c:pt>
                <c:pt idx="222">
                  <c:v>9.27</c:v>
                </c:pt>
                <c:pt idx="223">
                  <c:v>9.15</c:v>
                </c:pt>
                <c:pt idx="224">
                  <c:v>8.9700000000000006</c:v>
                </c:pt>
                <c:pt idx="225">
                  <c:v>8.98</c:v>
                </c:pt>
                <c:pt idx="226">
                  <c:v>8.8000000000000007</c:v>
                </c:pt>
                <c:pt idx="227">
                  <c:v>8.73</c:v>
                </c:pt>
                <c:pt idx="228">
                  <c:v>8.61</c:v>
                </c:pt>
                <c:pt idx="229">
                  <c:v>8.1300000000000008</c:v>
                </c:pt>
                <c:pt idx="230">
                  <c:v>8.52</c:v>
                </c:pt>
                <c:pt idx="231">
                  <c:v>9.0500000000000007</c:v>
                </c:pt>
                <c:pt idx="232">
                  <c:v>9.5399999999999991</c:v>
                </c:pt>
                <c:pt idx="233">
                  <c:v>9.67</c:v>
                </c:pt>
                <c:pt idx="234">
                  <c:v>9.67</c:v>
                </c:pt>
                <c:pt idx="235">
                  <c:v>9.66</c:v>
                </c:pt>
                <c:pt idx="236">
                  <c:v>9.1999999999999993</c:v>
                </c:pt>
                <c:pt idx="237">
                  <c:v>9.14</c:v>
                </c:pt>
                <c:pt idx="238">
                  <c:v>9.02</c:v>
                </c:pt>
                <c:pt idx="239">
                  <c:v>9.36</c:v>
                </c:pt>
                <c:pt idx="240">
                  <c:v>9.35</c:v>
                </c:pt>
                <c:pt idx="241">
                  <c:v>8.99</c:v>
                </c:pt>
                <c:pt idx="242">
                  <c:v>9.0399999999999991</c:v>
                </c:pt>
                <c:pt idx="243">
                  <c:v>9.2200000000000006</c:v>
                </c:pt>
                <c:pt idx="244">
                  <c:v>9.3800000000000008</c:v>
                </c:pt>
                <c:pt idx="245">
                  <c:v>9.4499999999999993</c:v>
                </c:pt>
                <c:pt idx="246">
                  <c:v>9.8699999999999992</c:v>
                </c:pt>
                <c:pt idx="247">
                  <c:v>9.86</c:v>
                </c:pt>
                <c:pt idx="248">
                  <c:v>9.61</c:v>
                </c:pt>
                <c:pt idx="249">
                  <c:v>9.64</c:v>
                </c:pt>
                <c:pt idx="250">
                  <c:v>9.7100000000000009</c:v>
                </c:pt>
                <c:pt idx="251">
                  <c:v>9.82</c:v>
                </c:pt>
                <c:pt idx="252">
                  <c:v>9.8699999999999992</c:v>
                </c:pt>
                <c:pt idx="253">
                  <c:v>9.7799999999999994</c:v>
                </c:pt>
                <c:pt idx="254">
                  <c:v>9.61</c:v>
                </c:pt>
                <c:pt idx="255">
                  <c:v>9.67</c:v>
                </c:pt>
                <c:pt idx="256">
                  <c:v>9.4700000000000006</c:v>
                </c:pt>
                <c:pt idx="257">
                  <c:v>9.42</c:v>
                </c:pt>
                <c:pt idx="258">
                  <c:v>9.1999999999999993</c:v>
                </c:pt>
                <c:pt idx="259">
                  <c:v>8.92</c:v>
                </c:pt>
                <c:pt idx="260">
                  <c:v>8.67</c:v>
                </c:pt>
                <c:pt idx="261">
                  <c:v>8.4499999999999993</c:v>
                </c:pt>
                <c:pt idx="262">
                  <c:v>8.19</c:v>
                </c:pt>
                <c:pt idx="263">
                  <c:v>7.64</c:v>
                </c:pt>
                <c:pt idx="264">
                  <c:v>7.25</c:v>
                </c:pt>
                <c:pt idx="265">
                  <c:v>7.49</c:v>
                </c:pt>
                <c:pt idx="266">
                  <c:v>7.68</c:v>
                </c:pt>
                <c:pt idx="267">
                  <c:v>7.58</c:v>
                </c:pt>
                <c:pt idx="268">
                  <c:v>7.43</c:v>
                </c:pt>
                <c:pt idx="269">
                  <c:v>7.39</c:v>
                </c:pt>
                <c:pt idx="270">
                  <c:v>7.57</c:v>
                </c:pt>
                <c:pt idx="271">
                  <c:v>7.63</c:v>
                </c:pt>
                <c:pt idx="272">
                  <c:v>7.55</c:v>
                </c:pt>
                <c:pt idx="273">
                  <c:v>6.8209999999999997</c:v>
                </c:pt>
                <c:pt idx="274">
                  <c:v>5.944</c:v>
                </c:pt>
                <c:pt idx="275">
                  <c:v>5.9089999999999998</c:v>
                </c:pt>
                <c:pt idx="276">
                  <c:v>5.2930000000000001</c:v>
                </c:pt>
                <c:pt idx="277">
                  <c:v>5.0119999999999996</c:v>
                </c:pt>
                <c:pt idx="278">
                  <c:v>5</c:v>
                </c:pt>
                <c:pt idx="279">
                  <c:v>5.1479999999999997</c:v>
                </c:pt>
                <c:pt idx="280">
                  <c:v>5.1420000000000003</c:v>
                </c:pt>
                <c:pt idx="281">
                  <c:v>4.8630000000000004</c:v>
                </c:pt>
                <c:pt idx="282">
                  <c:v>4.87</c:v>
                </c:pt>
                <c:pt idx="283">
                  <c:v>4.8499999999999996</c:v>
                </c:pt>
                <c:pt idx="284">
                  <c:v>4.444</c:v>
                </c:pt>
                <c:pt idx="285">
                  <c:v>4.0430000000000001</c:v>
                </c:pt>
                <c:pt idx="286">
                  <c:v>3.8420000000000001</c:v>
                </c:pt>
                <c:pt idx="287">
                  <c:v>3.5830000000000002</c:v>
                </c:pt>
                <c:pt idx="288">
                  <c:v>3.4830000000000001</c:v>
                </c:pt>
                <c:pt idx="289">
                  <c:v>3.4830000000000001</c:v>
                </c:pt>
                <c:pt idx="290">
                  <c:v>3.274</c:v>
                </c:pt>
                <c:pt idx="291">
                  <c:v>3.06</c:v>
                </c:pt>
                <c:pt idx="292">
                  <c:v>2.8069999999999999</c:v>
                </c:pt>
                <c:pt idx="293">
                  <c:v>2.738</c:v>
                </c:pt>
                <c:pt idx="294">
                  <c:v>2.7149999999999999</c:v>
                </c:pt>
                <c:pt idx="295">
                  <c:v>2.64</c:v>
                </c:pt>
                <c:pt idx="296">
                  <c:v>2.3809999999999998</c:v>
                </c:pt>
                <c:pt idx="297">
                  <c:v>2.379</c:v>
                </c:pt>
                <c:pt idx="298">
                  <c:v>2.3809999999999998</c:v>
                </c:pt>
                <c:pt idx="299">
                  <c:v>2.2349999999999999</c:v>
                </c:pt>
                <c:pt idx="300">
                  <c:v>2.1549999999999998</c:v>
                </c:pt>
                <c:pt idx="301">
                  <c:v>1.9710000000000001</c:v>
                </c:pt>
                <c:pt idx="302">
                  <c:v>1.673</c:v>
                </c:pt>
                <c:pt idx="303">
                  <c:v>1.4770000000000001</c:v>
                </c:pt>
                <c:pt idx="304">
                  <c:v>1.2689999999999999</c:v>
                </c:pt>
                <c:pt idx="305">
                  <c:v>1.157</c:v>
                </c:pt>
                <c:pt idx="306">
                  <c:v>0.996</c:v>
                </c:pt>
                <c:pt idx="307">
                  <c:v>0.84</c:v>
                </c:pt>
                <c:pt idx="308">
                  <c:v>0.752</c:v>
                </c:pt>
                <c:pt idx="309">
                  <c:v>0.75900000000000001</c:v>
                </c:pt>
                <c:pt idx="310">
                  <c:v>0.72699999999999998</c:v>
                </c:pt>
                <c:pt idx="311">
                  <c:v>0.76600000000000001</c:v>
                </c:pt>
                <c:pt idx="312">
                  <c:v>0.628</c:v>
                </c:pt>
                <c:pt idx="313">
                  <c:v>0.57899999999999996</c:v>
                </c:pt>
                <c:pt idx="314">
                  <c:v>0.56599999999999995</c:v>
                </c:pt>
                <c:pt idx="315">
                  <c:v>0.54500000000000004</c:v>
                </c:pt>
                <c:pt idx="316">
                  <c:v>0.42899999999999999</c:v>
                </c:pt>
                <c:pt idx="317">
                  <c:v>0.437</c:v>
                </c:pt>
                <c:pt idx="318">
                  <c:v>0.47499999999999998</c:v>
                </c:pt>
                <c:pt idx="319">
                  <c:v>0.46</c:v>
                </c:pt>
                <c:pt idx="320">
                  <c:v>0.441</c:v>
                </c:pt>
                <c:pt idx="321">
                  <c:v>0.44500000000000001</c:v>
                </c:pt>
                <c:pt idx="322">
                  <c:v>0.44800000000000001</c:v>
                </c:pt>
                <c:pt idx="323">
                  <c:v>0.52600000000000002</c:v>
                </c:pt>
                <c:pt idx="324">
                  <c:v>0.36</c:v>
                </c:pt>
                <c:pt idx="325">
                  <c:v>0.35</c:v>
                </c:pt>
                <c:pt idx="326">
                  <c:v>0.376</c:v>
                </c:pt>
                <c:pt idx="327">
                  <c:v>0.44500000000000001</c:v>
                </c:pt>
                <c:pt idx="328">
                  <c:v>0.35699999999999998</c:v>
                </c:pt>
                <c:pt idx="329">
                  <c:v>0.32900000000000001</c:v>
                </c:pt>
                <c:pt idx="330">
                  <c:v>0.32100000000000001</c:v>
                </c:pt>
                <c:pt idx="331">
                  <c:v>0.43099999999999999</c:v>
                </c:pt>
                <c:pt idx="332">
                  <c:v>0.54500000000000004</c:v>
                </c:pt>
                <c:pt idx="333">
                  <c:v>0.40699999999999997</c:v>
                </c:pt>
                <c:pt idx="334">
                  <c:v>0.36799999999999999</c:v>
                </c:pt>
                <c:pt idx="335">
                  <c:v>0.39900000000000002</c:v>
                </c:pt>
                <c:pt idx="336">
                  <c:v>0.36299999999999999</c:v>
                </c:pt>
                <c:pt idx="337">
                  <c:v>0.42699999999999999</c:v>
                </c:pt>
                <c:pt idx="338">
                  <c:v>0.47299999999999998</c:v>
                </c:pt>
                <c:pt idx="339">
                  <c:v>0.36199999999999999</c:v>
                </c:pt>
                <c:pt idx="340">
                  <c:v>0.36599999999999999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Data!$AP$7:$AP$371</c:f>
              <c:numCache>
                <c:formatCode>General</c:formatCode>
                <c:ptCount val="365"/>
                <c:pt idx="0">
                  <c:v>1.2110000000000001</c:v>
                </c:pt>
                <c:pt idx="1">
                  <c:v>1.171</c:v>
                </c:pt>
                <c:pt idx="2">
                  <c:v>1.1060000000000001</c:v>
                </c:pt>
                <c:pt idx="3">
                  <c:v>1.1539999999999999</c:v>
                </c:pt>
                <c:pt idx="4">
                  <c:v>1.0369999999999999</c:v>
                </c:pt>
                <c:pt idx="5">
                  <c:v>1.0449999999999999</c:v>
                </c:pt>
                <c:pt idx="6">
                  <c:v>0.89400000000000002</c:v>
                </c:pt>
                <c:pt idx="7">
                  <c:v>1.006</c:v>
                </c:pt>
                <c:pt idx="8">
                  <c:v>1.02</c:v>
                </c:pt>
                <c:pt idx="9">
                  <c:v>1.012</c:v>
                </c:pt>
                <c:pt idx="10">
                  <c:v>0.98099999999999998</c:v>
                </c:pt>
                <c:pt idx="11">
                  <c:v>0.96399999999999997</c:v>
                </c:pt>
                <c:pt idx="12">
                  <c:v>0.97299999999999998</c:v>
                </c:pt>
                <c:pt idx="13">
                  <c:v>0.97899999999999998</c:v>
                </c:pt>
                <c:pt idx="14">
                  <c:v>0.98799999999999999</c:v>
                </c:pt>
                <c:pt idx="15">
                  <c:v>0.99099999999999999</c:v>
                </c:pt>
                <c:pt idx="16">
                  <c:v>0.99099999999999999</c:v>
                </c:pt>
                <c:pt idx="17">
                  <c:v>0.997</c:v>
                </c:pt>
                <c:pt idx="18">
                  <c:v>1.0109999999999999</c:v>
                </c:pt>
                <c:pt idx="19">
                  <c:v>1.022</c:v>
                </c:pt>
                <c:pt idx="20">
                  <c:v>1.036</c:v>
                </c:pt>
                <c:pt idx="21">
                  <c:v>1.046</c:v>
                </c:pt>
                <c:pt idx="22">
                  <c:v>1.05</c:v>
                </c:pt>
                <c:pt idx="23">
                  <c:v>1.0249999999999999</c:v>
                </c:pt>
                <c:pt idx="24">
                  <c:v>0.99</c:v>
                </c:pt>
                <c:pt idx="25">
                  <c:v>1.0129999999999999</c:v>
                </c:pt>
                <c:pt idx="26">
                  <c:v>0.99199999999999999</c:v>
                </c:pt>
                <c:pt idx="27">
                  <c:v>0.97899999999999998</c:v>
                </c:pt>
                <c:pt idx="28">
                  <c:v>1.006</c:v>
                </c:pt>
                <c:pt idx="29">
                  <c:v>0.98699999999999999</c:v>
                </c:pt>
                <c:pt idx="30">
                  <c:v>1.036</c:v>
                </c:pt>
                <c:pt idx="31">
                  <c:v>1.038</c:v>
                </c:pt>
                <c:pt idx="32">
                  <c:v>1.022</c:v>
                </c:pt>
                <c:pt idx="33">
                  <c:v>1.016</c:v>
                </c:pt>
                <c:pt idx="34">
                  <c:v>0.98599999999999999</c:v>
                </c:pt>
                <c:pt idx="35">
                  <c:v>0.98099999999999998</c:v>
                </c:pt>
                <c:pt idx="36">
                  <c:v>1.016</c:v>
                </c:pt>
                <c:pt idx="37">
                  <c:v>1.01</c:v>
                </c:pt>
                <c:pt idx="38">
                  <c:v>0.96399999999999997</c:v>
                </c:pt>
                <c:pt idx="39">
                  <c:v>0.92200000000000004</c:v>
                </c:pt>
                <c:pt idx="40">
                  <c:v>0.90200000000000002</c:v>
                </c:pt>
                <c:pt idx="41">
                  <c:v>0.89600000000000002</c:v>
                </c:pt>
                <c:pt idx="42">
                  <c:v>0.89300000000000002</c:v>
                </c:pt>
                <c:pt idx="43">
                  <c:v>0.74099999999999999</c:v>
                </c:pt>
                <c:pt idx="44">
                  <c:v>0.68799999999999994</c:v>
                </c:pt>
                <c:pt idx="45">
                  <c:v>0.8</c:v>
                </c:pt>
                <c:pt idx="46">
                  <c:v>0.754</c:v>
                </c:pt>
                <c:pt idx="47">
                  <c:v>0.71099999999999997</c:v>
                </c:pt>
                <c:pt idx="48">
                  <c:v>0.68500000000000005</c:v>
                </c:pt>
                <c:pt idx="49">
                  <c:v>0.68</c:v>
                </c:pt>
                <c:pt idx="50">
                  <c:v>0.70299999999999996</c:v>
                </c:pt>
                <c:pt idx="51">
                  <c:v>0.65400000000000003</c:v>
                </c:pt>
                <c:pt idx="52">
                  <c:v>0.58799999999999997</c:v>
                </c:pt>
                <c:pt idx="53">
                  <c:v>0.59399999999999997</c:v>
                </c:pt>
                <c:pt idx="54">
                  <c:v>0.59299999999999997</c:v>
                </c:pt>
                <c:pt idx="55">
                  <c:v>0.60899999999999999</c:v>
                </c:pt>
                <c:pt idx="56">
                  <c:v>0.58599999999999997</c:v>
                </c:pt>
                <c:pt idx="57">
                  <c:v>0.39800000000000002</c:v>
                </c:pt>
                <c:pt idx="58">
                  <c:v>0.33500000000000002</c:v>
                </c:pt>
                <c:pt idx="59">
                  <c:v>0.314</c:v>
                </c:pt>
                <c:pt idx="60">
                  <c:v>0.41299999999999998</c:v>
                </c:pt>
                <c:pt idx="61">
                  <c:v>0.49199999999999999</c:v>
                </c:pt>
                <c:pt idx="62">
                  <c:v>0.504</c:v>
                </c:pt>
                <c:pt idx="63">
                  <c:v>0.47099999999999997</c:v>
                </c:pt>
                <c:pt idx="64">
                  <c:v>0.23100000000000001</c:v>
                </c:pt>
                <c:pt idx="65">
                  <c:v>0.40100000000000002</c:v>
                </c:pt>
                <c:pt idx="66">
                  <c:v>0.42899999999999999</c:v>
                </c:pt>
                <c:pt idx="67">
                  <c:v>0.41</c:v>
                </c:pt>
                <c:pt idx="68">
                  <c:v>0.45500000000000002</c:v>
                </c:pt>
                <c:pt idx="69">
                  <c:v>0.437</c:v>
                </c:pt>
                <c:pt idx="70">
                  <c:v>0.376</c:v>
                </c:pt>
                <c:pt idx="71">
                  <c:v>0.33600000000000002</c:v>
                </c:pt>
                <c:pt idx="72">
                  <c:v>0.34300000000000003</c:v>
                </c:pt>
                <c:pt idx="73">
                  <c:v>0.314</c:v>
                </c:pt>
                <c:pt idx="74">
                  <c:v>0.25</c:v>
                </c:pt>
                <c:pt idx="75">
                  <c:v>0.28000000000000003</c:v>
                </c:pt>
                <c:pt idx="76">
                  <c:v>0.34</c:v>
                </c:pt>
                <c:pt idx="77">
                  <c:v>0.35299999999999998</c:v>
                </c:pt>
                <c:pt idx="78">
                  <c:v>0.36399999999999999</c:v>
                </c:pt>
                <c:pt idx="79">
                  <c:v>0.38600000000000001</c:v>
                </c:pt>
                <c:pt idx="80">
                  <c:v>0.378</c:v>
                </c:pt>
                <c:pt idx="81">
                  <c:v>0.40100000000000002</c:v>
                </c:pt>
                <c:pt idx="82">
                  <c:v>0.42199999999999999</c:v>
                </c:pt>
                <c:pt idx="83">
                  <c:v>0.435</c:v>
                </c:pt>
                <c:pt idx="84">
                  <c:v>0.42</c:v>
                </c:pt>
                <c:pt idx="85">
                  <c:v>0.42199999999999999</c:v>
                </c:pt>
                <c:pt idx="86">
                  <c:v>0.41699999999999998</c:v>
                </c:pt>
                <c:pt idx="87">
                  <c:v>0.41599999999999998</c:v>
                </c:pt>
                <c:pt idx="88">
                  <c:v>0.42099999999999999</c:v>
                </c:pt>
                <c:pt idx="89">
                  <c:v>0.40200000000000002</c:v>
                </c:pt>
                <c:pt idx="90">
                  <c:v>0.48899999999999999</c:v>
                </c:pt>
                <c:pt idx="91">
                  <c:v>0.45500000000000002</c:v>
                </c:pt>
                <c:pt idx="92">
                  <c:v>0.46899999999999997</c:v>
                </c:pt>
                <c:pt idx="93">
                  <c:v>0.44800000000000001</c:v>
                </c:pt>
                <c:pt idx="94">
                  <c:v>0.372</c:v>
                </c:pt>
                <c:pt idx="95">
                  <c:v>0.36399999999999999</c:v>
                </c:pt>
                <c:pt idx="96">
                  <c:v>0.374</c:v>
                </c:pt>
                <c:pt idx="97">
                  <c:v>0.42799999999999999</c:v>
                </c:pt>
                <c:pt idx="98">
                  <c:v>0.436</c:v>
                </c:pt>
                <c:pt idx="99">
                  <c:v>0.39300000000000002</c:v>
                </c:pt>
                <c:pt idx="100">
                  <c:v>0.36699999999999999</c:v>
                </c:pt>
                <c:pt idx="101">
                  <c:v>0.34</c:v>
                </c:pt>
                <c:pt idx="102">
                  <c:v>0.377</c:v>
                </c:pt>
                <c:pt idx="103">
                  <c:v>0.38</c:v>
                </c:pt>
                <c:pt idx="104">
                  <c:v>0.376</c:v>
                </c:pt>
                <c:pt idx="105">
                  <c:v>0.34599999999999997</c:v>
                </c:pt>
                <c:pt idx="106">
                  <c:v>0.36499999999999999</c:v>
                </c:pt>
                <c:pt idx="107">
                  <c:v>0.38900000000000001</c:v>
                </c:pt>
                <c:pt idx="108">
                  <c:v>0.41299999999999998</c:v>
                </c:pt>
                <c:pt idx="109">
                  <c:v>0.40300000000000002</c:v>
                </c:pt>
                <c:pt idx="110">
                  <c:v>0.39100000000000001</c:v>
                </c:pt>
                <c:pt idx="111">
                  <c:v>0.41199999999999998</c:v>
                </c:pt>
                <c:pt idx="112">
                  <c:v>0.38400000000000001</c:v>
                </c:pt>
                <c:pt idx="113">
                  <c:v>0.377</c:v>
                </c:pt>
                <c:pt idx="114">
                  <c:v>0.32400000000000001</c:v>
                </c:pt>
                <c:pt idx="115">
                  <c:v>0.32100000000000001</c:v>
                </c:pt>
                <c:pt idx="116">
                  <c:v>0.36599999999999999</c:v>
                </c:pt>
                <c:pt idx="117">
                  <c:v>0.219</c:v>
                </c:pt>
                <c:pt idx="118">
                  <c:v>0.29699999999999999</c:v>
                </c:pt>
                <c:pt idx="119">
                  <c:v>0.27500000000000002</c:v>
                </c:pt>
                <c:pt idx="120">
                  <c:v>0.216</c:v>
                </c:pt>
                <c:pt idx="121">
                  <c:v>0.27200000000000002</c:v>
                </c:pt>
                <c:pt idx="122">
                  <c:v>0.29299999999999998</c:v>
                </c:pt>
                <c:pt idx="123">
                  <c:v>0.16700000000000001</c:v>
                </c:pt>
                <c:pt idx="124">
                  <c:v>0.20899999999999999</c:v>
                </c:pt>
                <c:pt idx="125">
                  <c:v>0.20399999999999999</c:v>
                </c:pt>
                <c:pt idx="126">
                  <c:v>0.28100000000000003</c:v>
                </c:pt>
                <c:pt idx="127">
                  <c:v>0.2</c:v>
                </c:pt>
                <c:pt idx="128">
                  <c:v>0.16500000000000001</c:v>
                </c:pt>
                <c:pt idx="129">
                  <c:v>0.19900000000000001</c:v>
                </c:pt>
                <c:pt idx="130">
                  <c:v>0.253</c:v>
                </c:pt>
                <c:pt idx="131">
                  <c:v>0.22700000000000001</c:v>
                </c:pt>
                <c:pt idx="132">
                  <c:v>7.0999999999999994E-2</c:v>
                </c:pt>
                <c:pt idx="133">
                  <c:v>7.5999999999999998E-2</c:v>
                </c:pt>
                <c:pt idx="134">
                  <c:v>0.16300000000000001</c:v>
                </c:pt>
                <c:pt idx="135">
                  <c:v>9.9000000000000005E-2</c:v>
                </c:pt>
                <c:pt idx="136">
                  <c:v>0.193</c:v>
                </c:pt>
                <c:pt idx="137">
                  <c:v>0.08</c:v>
                </c:pt>
                <c:pt idx="138">
                  <c:v>5.0000000000000001E-3</c:v>
                </c:pt>
                <c:pt idx="139">
                  <c:v>0.114</c:v>
                </c:pt>
                <c:pt idx="140">
                  <c:v>0.22600000000000001</c:v>
                </c:pt>
                <c:pt idx="141">
                  <c:v>1.0740000000000001</c:v>
                </c:pt>
                <c:pt idx="142">
                  <c:v>2.2810000000000001</c:v>
                </c:pt>
                <c:pt idx="143">
                  <c:v>3.3559999999999999</c:v>
                </c:pt>
                <c:pt idx="144">
                  <c:v>4.2240000000000002</c:v>
                </c:pt>
                <c:pt idx="145">
                  <c:v>4.4429999999999996</c:v>
                </c:pt>
                <c:pt idx="146">
                  <c:v>4.9320000000000004</c:v>
                </c:pt>
                <c:pt idx="147">
                  <c:v>5.8159999999999998</c:v>
                </c:pt>
                <c:pt idx="148">
                  <c:v>6.843</c:v>
                </c:pt>
                <c:pt idx="149">
                  <c:v>7.84</c:v>
                </c:pt>
                <c:pt idx="150">
                  <c:v>8.1300000000000008</c:v>
                </c:pt>
                <c:pt idx="151">
                  <c:v>8.58</c:v>
                </c:pt>
                <c:pt idx="152">
                  <c:v>9.18</c:v>
                </c:pt>
                <c:pt idx="153">
                  <c:v>9</c:v>
                </c:pt>
                <c:pt idx="154">
                  <c:v>9.5500000000000007</c:v>
                </c:pt>
                <c:pt idx="155">
                  <c:v>8.7200000000000006</c:v>
                </c:pt>
                <c:pt idx="156">
                  <c:v>7.3</c:v>
                </c:pt>
                <c:pt idx="157">
                  <c:v>6.9089999999999998</c:v>
                </c:pt>
                <c:pt idx="158">
                  <c:v>7.81</c:v>
                </c:pt>
                <c:pt idx="159">
                  <c:v>8.15</c:v>
                </c:pt>
                <c:pt idx="160">
                  <c:v>8.3800000000000008</c:v>
                </c:pt>
                <c:pt idx="161">
                  <c:v>8.65</c:v>
                </c:pt>
                <c:pt idx="162">
                  <c:v>8.3800000000000008</c:v>
                </c:pt>
                <c:pt idx="163">
                  <c:v>8.31</c:v>
                </c:pt>
                <c:pt idx="164">
                  <c:v>8.4499999999999993</c:v>
                </c:pt>
                <c:pt idx="165">
                  <c:v>8.3699999999999992</c:v>
                </c:pt>
                <c:pt idx="166">
                  <c:v>8.8000000000000007</c:v>
                </c:pt>
                <c:pt idx="167">
                  <c:v>8.91</c:v>
                </c:pt>
                <c:pt idx="168">
                  <c:v>8.77</c:v>
                </c:pt>
                <c:pt idx="169">
                  <c:v>8.7899999999999991</c:v>
                </c:pt>
                <c:pt idx="170">
                  <c:v>8.76</c:v>
                </c:pt>
                <c:pt idx="171">
                  <c:v>8.67</c:v>
                </c:pt>
                <c:pt idx="172">
                  <c:v>9.1</c:v>
                </c:pt>
                <c:pt idx="173">
                  <c:v>9.57</c:v>
                </c:pt>
                <c:pt idx="174">
                  <c:v>10.25</c:v>
                </c:pt>
                <c:pt idx="175">
                  <c:v>10.26</c:v>
                </c:pt>
                <c:pt idx="176">
                  <c:v>10.32</c:v>
                </c:pt>
                <c:pt idx="177">
                  <c:v>9.67</c:v>
                </c:pt>
                <c:pt idx="178">
                  <c:v>9.67</c:v>
                </c:pt>
                <c:pt idx="179">
                  <c:v>10</c:v>
                </c:pt>
                <c:pt idx="180">
                  <c:v>10.199999999999999</c:v>
                </c:pt>
                <c:pt idx="181">
                  <c:v>10.57</c:v>
                </c:pt>
                <c:pt idx="182">
                  <c:v>10.78</c:v>
                </c:pt>
                <c:pt idx="183">
                  <c:v>10.36</c:v>
                </c:pt>
                <c:pt idx="184">
                  <c:v>10.18</c:v>
                </c:pt>
                <c:pt idx="185">
                  <c:v>10.029999999999999</c:v>
                </c:pt>
                <c:pt idx="186">
                  <c:v>9.89</c:v>
                </c:pt>
                <c:pt idx="187">
                  <c:v>9.9700000000000006</c:v>
                </c:pt>
                <c:pt idx="188">
                  <c:v>10.039999999999999</c:v>
                </c:pt>
                <c:pt idx="189">
                  <c:v>10.17</c:v>
                </c:pt>
                <c:pt idx="190">
                  <c:v>10.5</c:v>
                </c:pt>
                <c:pt idx="191">
                  <c:v>10.11</c:v>
                </c:pt>
                <c:pt idx="192">
                  <c:v>9.77</c:v>
                </c:pt>
                <c:pt idx="193">
                  <c:v>9.82</c:v>
                </c:pt>
                <c:pt idx="194">
                  <c:v>10.06</c:v>
                </c:pt>
                <c:pt idx="195">
                  <c:v>10.09</c:v>
                </c:pt>
                <c:pt idx="196">
                  <c:v>10.23</c:v>
                </c:pt>
                <c:pt idx="197">
                  <c:v>10.35</c:v>
                </c:pt>
                <c:pt idx="198">
                  <c:v>10.56</c:v>
                </c:pt>
                <c:pt idx="199">
                  <c:v>10.57</c:v>
                </c:pt>
                <c:pt idx="200">
                  <c:v>10.78</c:v>
                </c:pt>
                <c:pt idx="201">
                  <c:v>10.72</c:v>
                </c:pt>
                <c:pt idx="202">
                  <c:v>10.57</c:v>
                </c:pt>
                <c:pt idx="203">
                  <c:v>10.93</c:v>
                </c:pt>
                <c:pt idx="204">
                  <c:v>10.73</c:v>
                </c:pt>
                <c:pt idx="205">
                  <c:v>10.75</c:v>
                </c:pt>
                <c:pt idx="206">
                  <c:v>10.55</c:v>
                </c:pt>
                <c:pt idx="207">
                  <c:v>10.220000000000001</c:v>
                </c:pt>
                <c:pt idx="208">
                  <c:v>9.85</c:v>
                </c:pt>
                <c:pt idx="209">
                  <c:v>9.41</c:v>
                </c:pt>
                <c:pt idx="210">
                  <c:v>9.19</c:v>
                </c:pt>
                <c:pt idx="211">
                  <c:v>9.6300000000000008</c:v>
                </c:pt>
                <c:pt idx="212">
                  <c:v>9.8000000000000007</c:v>
                </c:pt>
                <c:pt idx="213">
                  <c:v>9.86</c:v>
                </c:pt>
                <c:pt idx="214">
                  <c:v>9.74</c:v>
                </c:pt>
                <c:pt idx="215">
                  <c:v>10.17</c:v>
                </c:pt>
                <c:pt idx="216">
                  <c:v>10.78</c:v>
                </c:pt>
                <c:pt idx="217">
                  <c:v>9.7899999999999991</c:v>
                </c:pt>
                <c:pt idx="218">
                  <c:v>9.0399999999999991</c:v>
                </c:pt>
                <c:pt idx="219">
                  <c:v>8.07</c:v>
                </c:pt>
                <c:pt idx="220">
                  <c:v>8.07</c:v>
                </c:pt>
                <c:pt idx="221">
                  <c:v>8.52</c:v>
                </c:pt>
                <c:pt idx="222">
                  <c:v>9.06</c:v>
                </c:pt>
                <c:pt idx="223">
                  <c:v>8.56</c:v>
                </c:pt>
                <c:pt idx="224">
                  <c:v>8.42</c:v>
                </c:pt>
                <c:pt idx="225">
                  <c:v>8.74</c:v>
                </c:pt>
                <c:pt idx="226">
                  <c:v>8.5299999999999994</c:v>
                </c:pt>
                <c:pt idx="227">
                  <c:v>8.41</c:v>
                </c:pt>
                <c:pt idx="228">
                  <c:v>8.02</c:v>
                </c:pt>
                <c:pt idx="229">
                  <c:v>7.81</c:v>
                </c:pt>
                <c:pt idx="230">
                  <c:v>7.99</c:v>
                </c:pt>
                <c:pt idx="231">
                  <c:v>8.18</c:v>
                </c:pt>
                <c:pt idx="232">
                  <c:v>8.82</c:v>
                </c:pt>
                <c:pt idx="233">
                  <c:v>9.0299999999999994</c:v>
                </c:pt>
                <c:pt idx="234">
                  <c:v>9.06</c:v>
                </c:pt>
                <c:pt idx="235">
                  <c:v>9.1999999999999993</c:v>
                </c:pt>
                <c:pt idx="236">
                  <c:v>8.57</c:v>
                </c:pt>
                <c:pt idx="237">
                  <c:v>8.73</c:v>
                </c:pt>
                <c:pt idx="238">
                  <c:v>8.44</c:v>
                </c:pt>
                <c:pt idx="239">
                  <c:v>8.6199999999999992</c:v>
                </c:pt>
                <c:pt idx="240">
                  <c:v>8.7799999999999994</c:v>
                </c:pt>
                <c:pt idx="241">
                  <c:v>8.4499999999999993</c:v>
                </c:pt>
                <c:pt idx="242">
                  <c:v>8.41</c:v>
                </c:pt>
                <c:pt idx="243">
                  <c:v>8.52</c:v>
                </c:pt>
                <c:pt idx="244">
                  <c:v>8.68</c:v>
                </c:pt>
                <c:pt idx="245">
                  <c:v>8.6999999999999993</c:v>
                </c:pt>
                <c:pt idx="246">
                  <c:v>8.7799999999999994</c:v>
                </c:pt>
                <c:pt idx="247">
                  <c:v>9.5</c:v>
                </c:pt>
                <c:pt idx="248">
                  <c:v>9.17</c:v>
                </c:pt>
                <c:pt idx="249">
                  <c:v>9.02</c:v>
                </c:pt>
                <c:pt idx="250">
                  <c:v>9.1</c:v>
                </c:pt>
                <c:pt idx="251">
                  <c:v>9.11</c:v>
                </c:pt>
                <c:pt idx="252">
                  <c:v>9.17</c:v>
                </c:pt>
                <c:pt idx="253">
                  <c:v>9.24</c:v>
                </c:pt>
                <c:pt idx="254">
                  <c:v>9.0500000000000007</c:v>
                </c:pt>
                <c:pt idx="255">
                  <c:v>9.09</c:v>
                </c:pt>
                <c:pt idx="256">
                  <c:v>8.91</c:v>
                </c:pt>
                <c:pt idx="257">
                  <c:v>8.9</c:v>
                </c:pt>
                <c:pt idx="258">
                  <c:v>8.6</c:v>
                </c:pt>
                <c:pt idx="259">
                  <c:v>8.3699999999999992</c:v>
                </c:pt>
                <c:pt idx="260">
                  <c:v>8.26</c:v>
                </c:pt>
                <c:pt idx="261">
                  <c:v>8.0299999999999994</c:v>
                </c:pt>
                <c:pt idx="262">
                  <c:v>7.51</c:v>
                </c:pt>
                <c:pt idx="263">
                  <c:v>6.98</c:v>
                </c:pt>
                <c:pt idx="264">
                  <c:v>6.6890000000000001</c:v>
                </c:pt>
                <c:pt idx="265">
                  <c:v>6.75</c:v>
                </c:pt>
                <c:pt idx="266">
                  <c:v>7.04</c:v>
                </c:pt>
                <c:pt idx="267">
                  <c:v>6.9989999999999997</c:v>
                </c:pt>
                <c:pt idx="268">
                  <c:v>6.9859999999999998</c:v>
                </c:pt>
                <c:pt idx="269">
                  <c:v>7.09</c:v>
                </c:pt>
                <c:pt idx="270">
                  <c:v>7.27</c:v>
                </c:pt>
                <c:pt idx="271">
                  <c:v>7.28</c:v>
                </c:pt>
                <c:pt idx="272">
                  <c:v>6.7990000000000004</c:v>
                </c:pt>
                <c:pt idx="273">
                  <c:v>5.9240000000000004</c:v>
                </c:pt>
                <c:pt idx="274">
                  <c:v>5.7370000000000001</c:v>
                </c:pt>
                <c:pt idx="275">
                  <c:v>5.2759999999999998</c:v>
                </c:pt>
                <c:pt idx="276">
                  <c:v>4.9539999999999997</c:v>
                </c:pt>
                <c:pt idx="277">
                  <c:v>4.7279999999999998</c:v>
                </c:pt>
                <c:pt idx="278">
                  <c:v>4.774</c:v>
                </c:pt>
                <c:pt idx="279">
                  <c:v>4.8620000000000001</c:v>
                </c:pt>
                <c:pt idx="280">
                  <c:v>4.8310000000000004</c:v>
                </c:pt>
                <c:pt idx="281">
                  <c:v>4.5979999999999999</c:v>
                </c:pt>
                <c:pt idx="282">
                  <c:v>4.6230000000000002</c:v>
                </c:pt>
                <c:pt idx="283">
                  <c:v>4.42</c:v>
                </c:pt>
                <c:pt idx="284">
                  <c:v>4.0190000000000001</c:v>
                </c:pt>
                <c:pt idx="285">
                  <c:v>3.8239999999999998</c:v>
                </c:pt>
                <c:pt idx="286">
                  <c:v>3.5419999999999998</c:v>
                </c:pt>
                <c:pt idx="287">
                  <c:v>3.4209999999999998</c:v>
                </c:pt>
                <c:pt idx="288">
                  <c:v>3.254</c:v>
                </c:pt>
                <c:pt idx="289">
                  <c:v>3.2639999999999998</c:v>
                </c:pt>
                <c:pt idx="290">
                  <c:v>2.976</c:v>
                </c:pt>
                <c:pt idx="291">
                  <c:v>2.6709999999999998</c:v>
                </c:pt>
                <c:pt idx="292">
                  <c:v>2.6429999999999998</c:v>
                </c:pt>
                <c:pt idx="293">
                  <c:v>2.5680000000000001</c:v>
                </c:pt>
                <c:pt idx="294">
                  <c:v>2.4609999999999999</c:v>
                </c:pt>
                <c:pt idx="295">
                  <c:v>2.3570000000000002</c:v>
                </c:pt>
                <c:pt idx="296">
                  <c:v>2.2789999999999999</c:v>
                </c:pt>
                <c:pt idx="297">
                  <c:v>2.2410000000000001</c:v>
                </c:pt>
                <c:pt idx="298">
                  <c:v>2.1869999999999998</c:v>
                </c:pt>
                <c:pt idx="299">
                  <c:v>2.0920000000000001</c:v>
                </c:pt>
                <c:pt idx="300">
                  <c:v>1.9019999999999999</c:v>
                </c:pt>
                <c:pt idx="301">
                  <c:v>1.6559999999999999</c:v>
                </c:pt>
                <c:pt idx="302">
                  <c:v>1.367</c:v>
                </c:pt>
                <c:pt idx="303">
                  <c:v>1.1559999999999999</c:v>
                </c:pt>
                <c:pt idx="304">
                  <c:v>0.98199999999999998</c:v>
                </c:pt>
                <c:pt idx="305">
                  <c:v>0.84299999999999997</c:v>
                </c:pt>
                <c:pt idx="306">
                  <c:v>0.73099999999999998</c:v>
                </c:pt>
                <c:pt idx="307">
                  <c:v>0.71099999999999997</c:v>
                </c:pt>
                <c:pt idx="308">
                  <c:v>0.68600000000000005</c:v>
                </c:pt>
                <c:pt idx="309">
                  <c:v>0.627</c:v>
                </c:pt>
                <c:pt idx="310">
                  <c:v>0.60199999999999998</c:v>
                </c:pt>
                <c:pt idx="311">
                  <c:v>0.58699999999999997</c:v>
                </c:pt>
                <c:pt idx="312">
                  <c:v>0.53</c:v>
                </c:pt>
                <c:pt idx="313">
                  <c:v>0.45300000000000001</c:v>
                </c:pt>
                <c:pt idx="314">
                  <c:v>0.38300000000000001</c:v>
                </c:pt>
                <c:pt idx="315">
                  <c:v>0.38300000000000001</c:v>
                </c:pt>
                <c:pt idx="316">
                  <c:v>0.36199999999999999</c:v>
                </c:pt>
                <c:pt idx="317">
                  <c:v>0.36199999999999999</c:v>
                </c:pt>
                <c:pt idx="318">
                  <c:v>0.316</c:v>
                </c:pt>
                <c:pt idx="319">
                  <c:v>0.29799999999999999</c:v>
                </c:pt>
                <c:pt idx="320">
                  <c:v>0.313</c:v>
                </c:pt>
                <c:pt idx="321">
                  <c:v>0.222</c:v>
                </c:pt>
                <c:pt idx="322">
                  <c:v>0.111</c:v>
                </c:pt>
                <c:pt idx="323">
                  <c:v>0.03</c:v>
                </c:pt>
                <c:pt idx="324">
                  <c:v>0.17199999999999999</c:v>
                </c:pt>
                <c:pt idx="325">
                  <c:v>0.27100000000000002</c:v>
                </c:pt>
                <c:pt idx="326">
                  <c:v>0.25800000000000001</c:v>
                </c:pt>
                <c:pt idx="327">
                  <c:v>0.245</c:v>
                </c:pt>
                <c:pt idx="328">
                  <c:v>0.22700000000000001</c:v>
                </c:pt>
                <c:pt idx="329">
                  <c:v>0.247</c:v>
                </c:pt>
                <c:pt idx="330">
                  <c:v>0.255</c:v>
                </c:pt>
                <c:pt idx="331">
                  <c:v>0.27800000000000002</c:v>
                </c:pt>
                <c:pt idx="332">
                  <c:v>0.36799999999999999</c:v>
                </c:pt>
                <c:pt idx="333">
                  <c:v>0.314</c:v>
                </c:pt>
                <c:pt idx="334">
                  <c:v>0.26700000000000002</c:v>
                </c:pt>
                <c:pt idx="335">
                  <c:v>0.28999999999999998</c:v>
                </c:pt>
                <c:pt idx="336">
                  <c:v>0.29699999999999999</c:v>
                </c:pt>
                <c:pt idx="337">
                  <c:v>0.28100000000000003</c:v>
                </c:pt>
                <c:pt idx="338">
                  <c:v>-5.7000000000000002E-2</c:v>
                </c:pt>
                <c:pt idx="339">
                  <c:v>-4.2000000000000003E-2</c:v>
                </c:pt>
                <c:pt idx="340">
                  <c:v>-0.113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416000"/>
        <c:axId val="236418176"/>
      </c:lineChart>
      <c:catAx>
        <c:axId val="23641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418176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3641817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41600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Minimum Soil Temperature - 50cm</a:t>
            </a:r>
          </a:p>
        </c:rich>
      </c:tx>
      <c:layout>
        <c:manualLayout>
          <c:xMode val="edge"/>
          <c:yMode val="edge"/>
          <c:x val="0.15144766146993319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27616926503336E-2"/>
          <c:y val="0.15334420880913541"/>
          <c:w val="0.89643652561247211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Data!$AC$7:$AC$371</c:f>
              <c:numCache>
                <c:formatCode>General</c:formatCode>
                <c:ptCount val="365"/>
                <c:pt idx="0">
                  <c:v>2.0569999999999999</c:v>
                </c:pt>
                <c:pt idx="1">
                  <c:v>2.0550000000000002</c:v>
                </c:pt>
                <c:pt idx="2">
                  <c:v>2.0369999999999999</c:v>
                </c:pt>
                <c:pt idx="3">
                  <c:v>2.0249999999999999</c:v>
                </c:pt>
                <c:pt idx="4">
                  <c:v>2.0009999999999999</c:v>
                </c:pt>
                <c:pt idx="5">
                  <c:v>1.99</c:v>
                </c:pt>
                <c:pt idx="6">
                  <c:v>1.954</c:v>
                </c:pt>
                <c:pt idx="7">
                  <c:v>1.909</c:v>
                </c:pt>
                <c:pt idx="8">
                  <c:v>1.8759999999999999</c:v>
                </c:pt>
                <c:pt idx="9">
                  <c:v>1.871</c:v>
                </c:pt>
                <c:pt idx="10">
                  <c:v>1.8440000000000001</c:v>
                </c:pt>
                <c:pt idx="11">
                  <c:v>1.8220000000000001</c:v>
                </c:pt>
                <c:pt idx="12">
                  <c:v>1.792</c:v>
                </c:pt>
                <c:pt idx="13">
                  <c:v>1.7889999999999999</c:v>
                </c:pt>
                <c:pt idx="14">
                  <c:v>1.7809999999999999</c:v>
                </c:pt>
                <c:pt idx="15">
                  <c:v>1.7669999999999999</c:v>
                </c:pt>
                <c:pt idx="16">
                  <c:v>1.768</c:v>
                </c:pt>
                <c:pt idx="17">
                  <c:v>1.7509999999999999</c:v>
                </c:pt>
                <c:pt idx="18">
                  <c:v>1.7809999999999999</c:v>
                </c:pt>
                <c:pt idx="19">
                  <c:v>1.7909999999999999</c:v>
                </c:pt>
                <c:pt idx="20">
                  <c:v>1.8149999999999999</c:v>
                </c:pt>
                <c:pt idx="21">
                  <c:v>1.833</c:v>
                </c:pt>
                <c:pt idx="22">
                  <c:v>1.8260000000000001</c:v>
                </c:pt>
                <c:pt idx="23">
                  <c:v>1.8049999999999999</c:v>
                </c:pt>
                <c:pt idx="24">
                  <c:v>1.752</c:v>
                </c:pt>
                <c:pt idx="25">
                  <c:v>1.7629999999999999</c:v>
                </c:pt>
                <c:pt idx="26">
                  <c:v>1.772</c:v>
                </c:pt>
                <c:pt idx="27">
                  <c:v>1.792</c:v>
                </c:pt>
                <c:pt idx="28">
                  <c:v>1.7370000000000001</c:v>
                </c:pt>
                <c:pt idx="29">
                  <c:v>1.742</c:v>
                </c:pt>
                <c:pt idx="30">
                  <c:v>1.7370000000000001</c:v>
                </c:pt>
                <c:pt idx="31">
                  <c:v>1.7310000000000001</c:v>
                </c:pt>
                <c:pt idx="32">
                  <c:v>1.74</c:v>
                </c:pt>
                <c:pt idx="33">
                  <c:v>1.712</c:v>
                </c:pt>
                <c:pt idx="34">
                  <c:v>1.69</c:v>
                </c:pt>
                <c:pt idx="35">
                  <c:v>1.6839999999999999</c:v>
                </c:pt>
                <c:pt idx="36">
                  <c:v>1.7030000000000001</c:v>
                </c:pt>
                <c:pt idx="37">
                  <c:v>1.6950000000000001</c:v>
                </c:pt>
                <c:pt idx="38">
                  <c:v>1.663</c:v>
                </c:pt>
                <c:pt idx="39">
                  <c:v>1.599</c:v>
                </c:pt>
                <c:pt idx="40">
                  <c:v>1.53</c:v>
                </c:pt>
                <c:pt idx="41">
                  <c:v>1.4790000000000001</c:v>
                </c:pt>
                <c:pt idx="42">
                  <c:v>1.4790000000000001</c:v>
                </c:pt>
                <c:pt idx="43">
                  <c:v>1.42</c:v>
                </c:pt>
                <c:pt idx="44">
                  <c:v>1.38</c:v>
                </c:pt>
                <c:pt idx="45">
                  <c:v>1.375</c:v>
                </c:pt>
                <c:pt idx="46">
                  <c:v>1.341</c:v>
                </c:pt>
                <c:pt idx="47">
                  <c:v>1.3009999999999999</c:v>
                </c:pt>
                <c:pt idx="48">
                  <c:v>1.288</c:v>
                </c:pt>
                <c:pt idx="49">
                  <c:v>1.327</c:v>
                </c:pt>
                <c:pt idx="50">
                  <c:v>1.323</c:v>
                </c:pt>
                <c:pt idx="51">
                  <c:v>1.3280000000000001</c:v>
                </c:pt>
                <c:pt idx="52">
                  <c:v>1.2629999999999999</c:v>
                </c:pt>
                <c:pt idx="53">
                  <c:v>1.2549999999999999</c:v>
                </c:pt>
                <c:pt idx="54">
                  <c:v>1.1930000000000001</c:v>
                </c:pt>
                <c:pt idx="55">
                  <c:v>1.1819999999999999</c:v>
                </c:pt>
                <c:pt idx="56">
                  <c:v>1.157</c:v>
                </c:pt>
                <c:pt idx="57">
                  <c:v>1.1419999999999999</c:v>
                </c:pt>
                <c:pt idx="58">
                  <c:v>1.1439999999999999</c:v>
                </c:pt>
                <c:pt idx="59">
                  <c:v>1.151</c:v>
                </c:pt>
                <c:pt idx="60">
                  <c:v>1.1379999999999999</c:v>
                </c:pt>
                <c:pt idx="61">
                  <c:v>1.1399999999999999</c:v>
                </c:pt>
                <c:pt idx="62">
                  <c:v>1.127</c:v>
                </c:pt>
                <c:pt idx="63">
                  <c:v>1.137</c:v>
                </c:pt>
                <c:pt idx="64">
                  <c:v>1.1240000000000001</c:v>
                </c:pt>
                <c:pt idx="65">
                  <c:v>1.105</c:v>
                </c:pt>
                <c:pt idx="66">
                  <c:v>1.093</c:v>
                </c:pt>
                <c:pt idx="67">
                  <c:v>1.117</c:v>
                </c:pt>
                <c:pt idx="68">
                  <c:v>1.125</c:v>
                </c:pt>
                <c:pt idx="69">
                  <c:v>1.1100000000000001</c:v>
                </c:pt>
                <c:pt idx="70">
                  <c:v>1.075</c:v>
                </c:pt>
                <c:pt idx="71">
                  <c:v>0.999</c:v>
                </c:pt>
                <c:pt idx="72">
                  <c:v>0.98</c:v>
                </c:pt>
                <c:pt idx="73">
                  <c:v>0.94399999999999995</c:v>
                </c:pt>
                <c:pt idx="74">
                  <c:v>0.89500000000000002</c:v>
                </c:pt>
                <c:pt idx="75">
                  <c:v>0.88100000000000001</c:v>
                </c:pt>
                <c:pt idx="76">
                  <c:v>0.873</c:v>
                </c:pt>
                <c:pt idx="77">
                  <c:v>0.874</c:v>
                </c:pt>
                <c:pt idx="78">
                  <c:v>0.874</c:v>
                </c:pt>
                <c:pt idx="79">
                  <c:v>0.86</c:v>
                </c:pt>
                <c:pt idx="80">
                  <c:v>0.85199999999999998</c:v>
                </c:pt>
                <c:pt idx="81">
                  <c:v>0.85699999999999998</c:v>
                </c:pt>
                <c:pt idx="82">
                  <c:v>0.879</c:v>
                </c:pt>
                <c:pt idx="83">
                  <c:v>0.873</c:v>
                </c:pt>
                <c:pt idx="84">
                  <c:v>0.872</c:v>
                </c:pt>
                <c:pt idx="85">
                  <c:v>0.88900000000000001</c:v>
                </c:pt>
                <c:pt idx="86">
                  <c:v>0.89400000000000002</c:v>
                </c:pt>
                <c:pt idx="87">
                  <c:v>0.90200000000000002</c:v>
                </c:pt>
                <c:pt idx="88">
                  <c:v>0.91300000000000003</c:v>
                </c:pt>
                <c:pt idx="89">
                  <c:v>0.91300000000000003</c:v>
                </c:pt>
                <c:pt idx="90">
                  <c:v>0.90700000000000003</c:v>
                </c:pt>
                <c:pt idx="91">
                  <c:v>0.89400000000000002</c:v>
                </c:pt>
                <c:pt idx="92">
                  <c:v>0.88</c:v>
                </c:pt>
                <c:pt idx="93">
                  <c:v>0.89</c:v>
                </c:pt>
                <c:pt idx="94">
                  <c:v>0.84099999999999997</c:v>
                </c:pt>
                <c:pt idx="95">
                  <c:v>0.89800000000000002</c:v>
                </c:pt>
                <c:pt idx="96">
                  <c:v>0.88</c:v>
                </c:pt>
                <c:pt idx="97">
                  <c:v>0.82099999999999995</c:v>
                </c:pt>
                <c:pt idx="98">
                  <c:v>0.82899999999999996</c:v>
                </c:pt>
                <c:pt idx="99">
                  <c:v>0.83</c:v>
                </c:pt>
                <c:pt idx="100">
                  <c:v>0.80700000000000005</c:v>
                </c:pt>
                <c:pt idx="101">
                  <c:v>0.748</c:v>
                </c:pt>
                <c:pt idx="102">
                  <c:v>0.78</c:v>
                </c:pt>
                <c:pt idx="103">
                  <c:v>0.76300000000000001</c:v>
                </c:pt>
                <c:pt idx="104">
                  <c:v>0.76300000000000001</c:v>
                </c:pt>
                <c:pt idx="105">
                  <c:v>0.75</c:v>
                </c:pt>
                <c:pt idx="106">
                  <c:v>0.78</c:v>
                </c:pt>
                <c:pt idx="107">
                  <c:v>0.78500000000000003</c:v>
                </c:pt>
                <c:pt idx="108">
                  <c:v>0.79800000000000004</c:v>
                </c:pt>
                <c:pt idx="109">
                  <c:v>0.79700000000000004</c:v>
                </c:pt>
                <c:pt idx="110">
                  <c:v>0.80400000000000005</c:v>
                </c:pt>
                <c:pt idx="111">
                  <c:v>0.81399999999999995</c:v>
                </c:pt>
                <c:pt idx="112">
                  <c:v>0.81299999999999994</c:v>
                </c:pt>
                <c:pt idx="113">
                  <c:v>0.80400000000000005</c:v>
                </c:pt>
                <c:pt idx="114">
                  <c:v>0.80600000000000005</c:v>
                </c:pt>
                <c:pt idx="115">
                  <c:v>0.80200000000000005</c:v>
                </c:pt>
                <c:pt idx="116">
                  <c:v>0.98</c:v>
                </c:pt>
                <c:pt idx="117">
                  <c:v>0.90200000000000002</c:v>
                </c:pt>
                <c:pt idx="118">
                  <c:v>0.92900000000000005</c:v>
                </c:pt>
                <c:pt idx="119">
                  <c:v>0.84099999999999997</c:v>
                </c:pt>
                <c:pt idx="120">
                  <c:v>0.91500000000000004</c:v>
                </c:pt>
                <c:pt idx="121">
                  <c:v>0.88400000000000001</c:v>
                </c:pt>
                <c:pt idx="122">
                  <c:v>0.81</c:v>
                </c:pt>
                <c:pt idx="123">
                  <c:v>0.93200000000000005</c:v>
                </c:pt>
                <c:pt idx="124">
                  <c:v>0.84</c:v>
                </c:pt>
                <c:pt idx="125">
                  <c:v>0.95599999999999996</c:v>
                </c:pt>
                <c:pt idx="126">
                  <c:v>0.92800000000000005</c:v>
                </c:pt>
                <c:pt idx="127">
                  <c:v>0.96399999999999997</c:v>
                </c:pt>
                <c:pt idx="128">
                  <c:v>1.014</c:v>
                </c:pt>
                <c:pt idx="129">
                  <c:v>0.96699999999999997</c:v>
                </c:pt>
                <c:pt idx="130">
                  <c:v>0.76100000000000001</c:v>
                </c:pt>
                <c:pt idx="131">
                  <c:v>0.83</c:v>
                </c:pt>
                <c:pt idx="132">
                  <c:v>1.0029999999999999</c:v>
                </c:pt>
                <c:pt idx="133">
                  <c:v>0.92700000000000005</c:v>
                </c:pt>
                <c:pt idx="134">
                  <c:v>0.99399999999999999</c:v>
                </c:pt>
                <c:pt idx="135">
                  <c:v>0.96799999999999997</c:v>
                </c:pt>
                <c:pt idx="136">
                  <c:v>0.86</c:v>
                </c:pt>
                <c:pt idx="137">
                  <c:v>0.86399999999999999</c:v>
                </c:pt>
                <c:pt idx="138">
                  <c:v>0.92</c:v>
                </c:pt>
                <c:pt idx="139">
                  <c:v>0.85699999999999998</c:v>
                </c:pt>
                <c:pt idx="140">
                  <c:v>0.997</c:v>
                </c:pt>
                <c:pt idx="141">
                  <c:v>1.0840000000000001</c:v>
                </c:pt>
                <c:pt idx="142">
                  <c:v>1.2470000000000001</c:v>
                </c:pt>
                <c:pt idx="143">
                  <c:v>1.591</c:v>
                </c:pt>
                <c:pt idx="144">
                  <c:v>2.161</c:v>
                </c:pt>
                <c:pt idx="145">
                  <c:v>2.8580000000000001</c:v>
                </c:pt>
                <c:pt idx="146">
                  <c:v>3.4830000000000001</c:v>
                </c:pt>
                <c:pt idx="147">
                  <c:v>4.1710000000000003</c:v>
                </c:pt>
                <c:pt idx="148">
                  <c:v>4.99</c:v>
                </c:pt>
                <c:pt idx="149">
                  <c:v>5.8810000000000002</c:v>
                </c:pt>
                <c:pt idx="150">
                  <c:v>6.6459999999999999</c:v>
                </c:pt>
                <c:pt idx="151">
                  <c:v>7.21</c:v>
                </c:pt>
                <c:pt idx="152">
                  <c:v>7.66</c:v>
                </c:pt>
                <c:pt idx="153">
                  <c:v>8.08</c:v>
                </c:pt>
                <c:pt idx="154">
                  <c:v>8.2799999999999994</c:v>
                </c:pt>
                <c:pt idx="155">
                  <c:v>8.34</c:v>
                </c:pt>
                <c:pt idx="156">
                  <c:v>8.34</c:v>
                </c:pt>
                <c:pt idx="157">
                  <c:v>7.95</c:v>
                </c:pt>
                <c:pt idx="158">
                  <c:v>7.6</c:v>
                </c:pt>
                <c:pt idx="159">
                  <c:v>7.53</c:v>
                </c:pt>
                <c:pt idx="160">
                  <c:v>7.49</c:v>
                </c:pt>
                <c:pt idx="161">
                  <c:v>7.6</c:v>
                </c:pt>
                <c:pt idx="162">
                  <c:v>7.81</c:v>
                </c:pt>
                <c:pt idx="163">
                  <c:v>7.98</c:v>
                </c:pt>
                <c:pt idx="164">
                  <c:v>7.94</c:v>
                </c:pt>
                <c:pt idx="165">
                  <c:v>8.0500000000000007</c:v>
                </c:pt>
                <c:pt idx="166">
                  <c:v>8.09</c:v>
                </c:pt>
                <c:pt idx="167">
                  <c:v>8.17</c:v>
                </c:pt>
                <c:pt idx="168">
                  <c:v>8.26</c:v>
                </c:pt>
                <c:pt idx="169">
                  <c:v>8.33</c:v>
                </c:pt>
                <c:pt idx="170">
                  <c:v>8.34</c:v>
                </c:pt>
                <c:pt idx="171">
                  <c:v>8.42</c:v>
                </c:pt>
                <c:pt idx="172">
                  <c:v>8.4</c:v>
                </c:pt>
                <c:pt idx="173">
                  <c:v>8.5</c:v>
                </c:pt>
                <c:pt idx="174">
                  <c:v>8.69</c:v>
                </c:pt>
                <c:pt idx="175">
                  <c:v>8.94</c:v>
                </c:pt>
                <c:pt idx="176">
                  <c:v>9.1</c:v>
                </c:pt>
                <c:pt idx="177">
                  <c:v>9.2200000000000006</c:v>
                </c:pt>
                <c:pt idx="178">
                  <c:v>9.1999999999999993</c:v>
                </c:pt>
                <c:pt idx="179">
                  <c:v>9.16</c:v>
                </c:pt>
                <c:pt idx="180">
                  <c:v>9.15</c:v>
                </c:pt>
                <c:pt idx="181">
                  <c:v>9.1300000000000008</c:v>
                </c:pt>
                <c:pt idx="182">
                  <c:v>9.19</c:v>
                </c:pt>
                <c:pt idx="183">
                  <c:v>9.2799999999999994</c:v>
                </c:pt>
                <c:pt idx="184">
                  <c:v>9.23</c:v>
                </c:pt>
                <c:pt idx="185">
                  <c:v>9.25</c:v>
                </c:pt>
                <c:pt idx="186">
                  <c:v>9.16</c:v>
                </c:pt>
                <c:pt idx="187">
                  <c:v>9.09</c:v>
                </c:pt>
                <c:pt idx="188">
                  <c:v>9.09</c:v>
                </c:pt>
                <c:pt idx="189">
                  <c:v>9.17</c:v>
                </c:pt>
                <c:pt idx="190">
                  <c:v>9.25</c:v>
                </c:pt>
                <c:pt idx="191">
                  <c:v>9.4700000000000006</c:v>
                </c:pt>
                <c:pt idx="192">
                  <c:v>9.56</c:v>
                </c:pt>
                <c:pt idx="193">
                  <c:v>9.51</c:v>
                </c:pt>
                <c:pt idx="194">
                  <c:v>9.51</c:v>
                </c:pt>
                <c:pt idx="195">
                  <c:v>9.56</c:v>
                </c:pt>
                <c:pt idx="196">
                  <c:v>9.5299999999999994</c:v>
                </c:pt>
                <c:pt idx="197">
                  <c:v>9.5500000000000007</c:v>
                </c:pt>
                <c:pt idx="198">
                  <c:v>9.57</c:v>
                </c:pt>
                <c:pt idx="199">
                  <c:v>9.6300000000000008</c:v>
                </c:pt>
                <c:pt idx="200">
                  <c:v>9.59</c:v>
                </c:pt>
                <c:pt idx="201">
                  <c:v>9.66</c:v>
                </c:pt>
                <c:pt idx="202">
                  <c:v>9.64</c:v>
                </c:pt>
                <c:pt idx="203">
                  <c:v>9.66</c:v>
                </c:pt>
                <c:pt idx="204">
                  <c:v>9.6999999999999993</c:v>
                </c:pt>
                <c:pt idx="205">
                  <c:v>9.6999999999999993</c:v>
                </c:pt>
                <c:pt idx="206">
                  <c:v>9.77</c:v>
                </c:pt>
                <c:pt idx="207">
                  <c:v>9.76</c:v>
                </c:pt>
                <c:pt idx="208">
                  <c:v>9.66</c:v>
                </c:pt>
                <c:pt idx="209">
                  <c:v>9.51</c:v>
                </c:pt>
                <c:pt idx="210">
                  <c:v>9.4700000000000006</c:v>
                </c:pt>
                <c:pt idx="211">
                  <c:v>9.33</c:v>
                </c:pt>
                <c:pt idx="212">
                  <c:v>9.32</c:v>
                </c:pt>
                <c:pt idx="213">
                  <c:v>9.31</c:v>
                </c:pt>
                <c:pt idx="214">
                  <c:v>9.39</c:v>
                </c:pt>
                <c:pt idx="215">
                  <c:v>9.3800000000000008</c:v>
                </c:pt>
                <c:pt idx="216">
                  <c:v>9.43</c:v>
                </c:pt>
                <c:pt idx="217">
                  <c:v>9.4700000000000006</c:v>
                </c:pt>
                <c:pt idx="218">
                  <c:v>9.51</c:v>
                </c:pt>
                <c:pt idx="219">
                  <c:v>9.2799999999999994</c:v>
                </c:pt>
                <c:pt idx="220">
                  <c:v>9.01</c:v>
                </c:pt>
                <c:pt idx="221">
                  <c:v>8.9</c:v>
                </c:pt>
                <c:pt idx="222">
                  <c:v>9.1</c:v>
                </c:pt>
                <c:pt idx="223">
                  <c:v>9.0500000000000007</c:v>
                </c:pt>
                <c:pt idx="224">
                  <c:v>9.15</c:v>
                </c:pt>
                <c:pt idx="225">
                  <c:v>9.06</c:v>
                </c:pt>
                <c:pt idx="226">
                  <c:v>9.14</c:v>
                </c:pt>
                <c:pt idx="227">
                  <c:v>9.09</c:v>
                </c:pt>
                <c:pt idx="228">
                  <c:v>8.86</c:v>
                </c:pt>
                <c:pt idx="229">
                  <c:v>8.84</c:v>
                </c:pt>
                <c:pt idx="230">
                  <c:v>8.77</c:v>
                </c:pt>
                <c:pt idx="231">
                  <c:v>8.73</c:v>
                </c:pt>
                <c:pt idx="232">
                  <c:v>8.84</c:v>
                </c:pt>
                <c:pt idx="233">
                  <c:v>9.01</c:v>
                </c:pt>
                <c:pt idx="234">
                  <c:v>9.09</c:v>
                </c:pt>
                <c:pt idx="235">
                  <c:v>9.19</c:v>
                </c:pt>
                <c:pt idx="236">
                  <c:v>9.2200000000000006</c:v>
                </c:pt>
                <c:pt idx="237">
                  <c:v>9.14</c:v>
                </c:pt>
                <c:pt idx="238">
                  <c:v>9.02</c:v>
                </c:pt>
                <c:pt idx="239">
                  <c:v>8.99</c:v>
                </c:pt>
                <c:pt idx="240">
                  <c:v>8.89</c:v>
                </c:pt>
                <c:pt idx="241">
                  <c:v>8.9499999999999993</c:v>
                </c:pt>
                <c:pt idx="242">
                  <c:v>8.9600000000000009</c:v>
                </c:pt>
                <c:pt idx="243">
                  <c:v>8.9700000000000006</c:v>
                </c:pt>
                <c:pt idx="244">
                  <c:v>8.9700000000000006</c:v>
                </c:pt>
                <c:pt idx="245">
                  <c:v>9</c:v>
                </c:pt>
                <c:pt idx="246">
                  <c:v>8.9499999999999993</c:v>
                </c:pt>
                <c:pt idx="247">
                  <c:v>8.93</c:v>
                </c:pt>
                <c:pt idx="248">
                  <c:v>9.1</c:v>
                </c:pt>
                <c:pt idx="249">
                  <c:v>9.23</c:v>
                </c:pt>
                <c:pt idx="250">
                  <c:v>9.2200000000000006</c:v>
                </c:pt>
                <c:pt idx="251">
                  <c:v>9.25</c:v>
                </c:pt>
                <c:pt idx="252">
                  <c:v>9.26</c:v>
                </c:pt>
                <c:pt idx="253">
                  <c:v>9.26</c:v>
                </c:pt>
                <c:pt idx="254">
                  <c:v>9.24</c:v>
                </c:pt>
                <c:pt idx="255">
                  <c:v>9.2100000000000009</c:v>
                </c:pt>
                <c:pt idx="256">
                  <c:v>9.15</c:v>
                </c:pt>
                <c:pt idx="257">
                  <c:v>9.09</c:v>
                </c:pt>
                <c:pt idx="258">
                  <c:v>9.0399999999999991</c:v>
                </c:pt>
                <c:pt idx="259">
                  <c:v>8.9499999999999993</c:v>
                </c:pt>
                <c:pt idx="260">
                  <c:v>8.7899999999999991</c:v>
                </c:pt>
                <c:pt idx="261">
                  <c:v>8.7100000000000009</c:v>
                </c:pt>
                <c:pt idx="262">
                  <c:v>8.61</c:v>
                </c:pt>
                <c:pt idx="263">
                  <c:v>8.44</c:v>
                </c:pt>
                <c:pt idx="264">
                  <c:v>8.24</c:v>
                </c:pt>
                <c:pt idx="265">
                  <c:v>8.08</c:v>
                </c:pt>
                <c:pt idx="266">
                  <c:v>7.97</c:v>
                </c:pt>
                <c:pt idx="267">
                  <c:v>7.87</c:v>
                </c:pt>
                <c:pt idx="268">
                  <c:v>7.8</c:v>
                </c:pt>
                <c:pt idx="269">
                  <c:v>7.74</c:v>
                </c:pt>
                <c:pt idx="270">
                  <c:v>7.69</c:v>
                </c:pt>
                <c:pt idx="271">
                  <c:v>7.68</c:v>
                </c:pt>
                <c:pt idx="272">
                  <c:v>7.61</c:v>
                </c:pt>
                <c:pt idx="273">
                  <c:v>7.54</c:v>
                </c:pt>
                <c:pt idx="274">
                  <c:v>7.23</c:v>
                </c:pt>
                <c:pt idx="275">
                  <c:v>7.02</c:v>
                </c:pt>
                <c:pt idx="276">
                  <c:v>6.7590000000000003</c:v>
                </c:pt>
                <c:pt idx="277">
                  <c:v>6.3730000000000002</c:v>
                </c:pt>
                <c:pt idx="278">
                  <c:v>6.0949999999999998</c:v>
                </c:pt>
                <c:pt idx="279">
                  <c:v>5.8689999999999998</c:v>
                </c:pt>
                <c:pt idx="280">
                  <c:v>5.78</c:v>
                </c:pt>
                <c:pt idx="281">
                  <c:v>5.6260000000000003</c:v>
                </c:pt>
                <c:pt idx="282">
                  <c:v>5.6580000000000004</c:v>
                </c:pt>
                <c:pt idx="283">
                  <c:v>5.41</c:v>
                </c:pt>
                <c:pt idx="284">
                  <c:v>5.3250000000000002</c:v>
                </c:pt>
                <c:pt idx="285">
                  <c:v>5.1559999999999997</c:v>
                </c:pt>
                <c:pt idx="286">
                  <c:v>5.0309999999999997</c:v>
                </c:pt>
                <c:pt idx="287">
                  <c:v>4.8419999999999996</c:v>
                </c:pt>
                <c:pt idx="288">
                  <c:v>4.6980000000000004</c:v>
                </c:pt>
                <c:pt idx="289">
                  <c:v>4.4249999999999998</c:v>
                </c:pt>
                <c:pt idx="290">
                  <c:v>4.359</c:v>
                </c:pt>
                <c:pt idx="291">
                  <c:v>4.3920000000000003</c:v>
                </c:pt>
                <c:pt idx="292">
                  <c:v>4.1349999999999998</c:v>
                </c:pt>
                <c:pt idx="293">
                  <c:v>3.8860000000000001</c:v>
                </c:pt>
                <c:pt idx="294">
                  <c:v>3.8330000000000002</c:v>
                </c:pt>
                <c:pt idx="295">
                  <c:v>3.536</c:v>
                </c:pt>
                <c:pt idx="296">
                  <c:v>3.4350000000000001</c:v>
                </c:pt>
                <c:pt idx="297">
                  <c:v>3.3</c:v>
                </c:pt>
                <c:pt idx="298">
                  <c:v>3.2730000000000001</c:v>
                </c:pt>
                <c:pt idx="299">
                  <c:v>3.1070000000000002</c:v>
                </c:pt>
                <c:pt idx="300">
                  <c:v>3.073</c:v>
                </c:pt>
                <c:pt idx="301">
                  <c:v>3.036</c:v>
                </c:pt>
                <c:pt idx="302">
                  <c:v>2.879</c:v>
                </c:pt>
                <c:pt idx="303">
                  <c:v>2.7810000000000001</c:v>
                </c:pt>
                <c:pt idx="304">
                  <c:v>2.6080000000000001</c:v>
                </c:pt>
                <c:pt idx="305">
                  <c:v>2.524</c:v>
                </c:pt>
                <c:pt idx="306">
                  <c:v>2.4329999999999998</c:v>
                </c:pt>
                <c:pt idx="307">
                  <c:v>2.34</c:v>
                </c:pt>
                <c:pt idx="308">
                  <c:v>2.2789999999999999</c:v>
                </c:pt>
                <c:pt idx="309">
                  <c:v>2.278</c:v>
                </c:pt>
                <c:pt idx="310">
                  <c:v>2.2410000000000001</c:v>
                </c:pt>
                <c:pt idx="311">
                  <c:v>2.2759999999999998</c:v>
                </c:pt>
                <c:pt idx="312">
                  <c:v>2.1280000000000001</c:v>
                </c:pt>
                <c:pt idx="313">
                  <c:v>2.0019999999999998</c:v>
                </c:pt>
                <c:pt idx="314">
                  <c:v>1.8120000000000001</c:v>
                </c:pt>
                <c:pt idx="315">
                  <c:v>1.7050000000000001</c:v>
                </c:pt>
                <c:pt idx="316">
                  <c:v>1.5509999999999999</c:v>
                </c:pt>
                <c:pt idx="317">
                  <c:v>1.5069999999999999</c:v>
                </c:pt>
                <c:pt idx="318">
                  <c:v>1.4770000000000001</c:v>
                </c:pt>
                <c:pt idx="319">
                  <c:v>1.4419999999999999</c:v>
                </c:pt>
                <c:pt idx="320">
                  <c:v>1.399</c:v>
                </c:pt>
                <c:pt idx="321">
                  <c:v>1.405</c:v>
                </c:pt>
                <c:pt idx="322">
                  <c:v>1.34</c:v>
                </c:pt>
                <c:pt idx="323">
                  <c:v>1.3939999999999999</c:v>
                </c:pt>
                <c:pt idx="324">
                  <c:v>1.2669999999999999</c:v>
                </c:pt>
                <c:pt idx="325">
                  <c:v>1.222</c:v>
                </c:pt>
                <c:pt idx="326">
                  <c:v>1.2230000000000001</c:v>
                </c:pt>
                <c:pt idx="327">
                  <c:v>1.2949999999999999</c:v>
                </c:pt>
                <c:pt idx="328">
                  <c:v>1.2</c:v>
                </c:pt>
                <c:pt idx="329">
                  <c:v>1.1559999999999999</c:v>
                </c:pt>
                <c:pt idx="330">
                  <c:v>1.1299999999999999</c:v>
                </c:pt>
                <c:pt idx="331">
                  <c:v>1.1910000000000001</c:v>
                </c:pt>
                <c:pt idx="332">
                  <c:v>1.268</c:v>
                </c:pt>
                <c:pt idx="333">
                  <c:v>1.177</c:v>
                </c:pt>
                <c:pt idx="334">
                  <c:v>1.127</c:v>
                </c:pt>
                <c:pt idx="335">
                  <c:v>1.1319999999999999</c:v>
                </c:pt>
                <c:pt idx="336">
                  <c:v>1.083</c:v>
                </c:pt>
                <c:pt idx="337">
                  <c:v>1.109</c:v>
                </c:pt>
                <c:pt idx="338">
                  <c:v>1.1339999999999999</c:v>
                </c:pt>
                <c:pt idx="339">
                  <c:v>1.0249999999999999</c:v>
                </c:pt>
                <c:pt idx="340">
                  <c:v>1.0389999999999999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Data!$AQ$7:$AQ$371</c:f>
              <c:numCache>
                <c:formatCode>General</c:formatCode>
                <c:ptCount val="365"/>
                <c:pt idx="0">
                  <c:v>1.8680000000000001</c:v>
                </c:pt>
                <c:pt idx="1">
                  <c:v>1.84</c:v>
                </c:pt>
                <c:pt idx="2">
                  <c:v>1.7749999999999999</c:v>
                </c:pt>
                <c:pt idx="3">
                  <c:v>1.8220000000000001</c:v>
                </c:pt>
                <c:pt idx="4">
                  <c:v>1.7170000000000001</c:v>
                </c:pt>
                <c:pt idx="5">
                  <c:v>1.742</c:v>
                </c:pt>
                <c:pt idx="6">
                  <c:v>1.6120000000000001</c:v>
                </c:pt>
                <c:pt idx="7">
                  <c:v>1.754</c:v>
                </c:pt>
                <c:pt idx="8">
                  <c:v>1.7909999999999999</c:v>
                </c:pt>
                <c:pt idx="9">
                  <c:v>1.8080000000000001</c:v>
                </c:pt>
                <c:pt idx="10">
                  <c:v>1.7749999999999999</c:v>
                </c:pt>
                <c:pt idx="11">
                  <c:v>1.7430000000000001</c:v>
                </c:pt>
                <c:pt idx="12">
                  <c:v>1.752</c:v>
                </c:pt>
                <c:pt idx="13">
                  <c:v>1.7370000000000001</c:v>
                </c:pt>
                <c:pt idx="14">
                  <c:v>1.738</c:v>
                </c:pt>
                <c:pt idx="15">
                  <c:v>1.72</c:v>
                </c:pt>
                <c:pt idx="16">
                  <c:v>1.7150000000000001</c:v>
                </c:pt>
                <c:pt idx="17">
                  <c:v>1.706</c:v>
                </c:pt>
                <c:pt idx="18">
                  <c:v>1.704</c:v>
                </c:pt>
                <c:pt idx="19">
                  <c:v>1.708</c:v>
                </c:pt>
                <c:pt idx="20">
                  <c:v>1.7050000000000001</c:v>
                </c:pt>
                <c:pt idx="21">
                  <c:v>1.712</c:v>
                </c:pt>
                <c:pt idx="22">
                  <c:v>1.712</c:v>
                </c:pt>
                <c:pt idx="23">
                  <c:v>1.6859999999999999</c:v>
                </c:pt>
                <c:pt idx="24">
                  <c:v>1.6459999999999999</c:v>
                </c:pt>
                <c:pt idx="25">
                  <c:v>1.6819999999999999</c:v>
                </c:pt>
                <c:pt idx="26">
                  <c:v>1.6659999999999999</c:v>
                </c:pt>
                <c:pt idx="27">
                  <c:v>1.6359999999999999</c:v>
                </c:pt>
                <c:pt idx="28">
                  <c:v>1.6739999999999999</c:v>
                </c:pt>
                <c:pt idx="29">
                  <c:v>1.653</c:v>
                </c:pt>
                <c:pt idx="30">
                  <c:v>1.698</c:v>
                </c:pt>
                <c:pt idx="31">
                  <c:v>1.6930000000000001</c:v>
                </c:pt>
                <c:pt idx="32">
                  <c:v>1.67</c:v>
                </c:pt>
                <c:pt idx="33">
                  <c:v>1.6619999999999999</c:v>
                </c:pt>
                <c:pt idx="34">
                  <c:v>1.63</c:v>
                </c:pt>
                <c:pt idx="35">
                  <c:v>1.6240000000000001</c:v>
                </c:pt>
                <c:pt idx="36">
                  <c:v>1.659</c:v>
                </c:pt>
                <c:pt idx="37">
                  <c:v>1.64</c:v>
                </c:pt>
                <c:pt idx="38">
                  <c:v>1.569</c:v>
                </c:pt>
                <c:pt idx="39">
                  <c:v>1.5089999999999999</c:v>
                </c:pt>
                <c:pt idx="40">
                  <c:v>1.444</c:v>
                </c:pt>
                <c:pt idx="41">
                  <c:v>1.4139999999999999</c:v>
                </c:pt>
                <c:pt idx="42">
                  <c:v>1.389</c:v>
                </c:pt>
                <c:pt idx="43">
                  <c:v>1.226</c:v>
                </c:pt>
                <c:pt idx="44">
                  <c:v>1.173</c:v>
                </c:pt>
                <c:pt idx="45">
                  <c:v>1.3049999999999999</c:v>
                </c:pt>
                <c:pt idx="46">
                  <c:v>1.272</c:v>
                </c:pt>
                <c:pt idx="47">
                  <c:v>1.256</c:v>
                </c:pt>
                <c:pt idx="48">
                  <c:v>1.2490000000000001</c:v>
                </c:pt>
                <c:pt idx="49">
                  <c:v>1.2450000000000001</c:v>
                </c:pt>
                <c:pt idx="50">
                  <c:v>1.2869999999999999</c:v>
                </c:pt>
                <c:pt idx="51">
                  <c:v>1.2430000000000001</c:v>
                </c:pt>
                <c:pt idx="52">
                  <c:v>1.165</c:v>
                </c:pt>
                <c:pt idx="53">
                  <c:v>1.1419999999999999</c:v>
                </c:pt>
                <c:pt idx="54">
                  <c:v>1.123</c:v>
                </c:pt>
                <c:pt idx="55">
                  <c:v>1.103</c:v>
                </c:pt>
                <c:pt idx="56">
                  <c:v>1.054</c:v>
                </c:pt>
                <c:pt idx="57">
                  <c:v>0.85199999999999998</c:v>
                </c:pt>
                <c:pt idx="58">
                  <c:v>0.79</c:v>
                </c:pt>
                <c:pt idx="59">
                  <c:v>0.76100000000000001</c:v>
                </c:pt>
                <c:pt idx="60">
                  <c:v>0.872</c:v>
                </c:pt>
                <c:pt idx="61">
                  <c:v>0.97299999999999998</c:v>
                </c:pt>
                <c:pt idx="62">
                  <c:v>1.0249999999999999</c:v>
                </c:pt>
                <c:pt idx="63">
                  <c:v>1.0309999999999999</c:v>
                </c:pt>
                <c:pt idx="64">
                  <c:v>0.79100000000000004</c:v>
                </c:pt>
                <c:pt idx="65">
                  <c:v>0.97199999999999998</c:v>
                </c:pt>
                <c:pt idx="66">
                  <c:v>1.026</c:v>
                </c:pt>
                <c:pt idx="67">
                  <c:v>1.0209999999999999</c:v>
                </c:pt>
                <c:pt idx="68">
                  <c:v>1.0840000000000001</c:v>
                </c:pt>
                <c:pt idx="69">
                  <c:v>1.06</c:v>
                </c:pt>
                <c:pt idx="70">
                  <c:v>0.97499999999999998</c:v>
                </c:pt>
                <c:pt idx="71">
                  <c:v>0.90200000000000002</c:v>
                </c:pt>
                <c:pt idx="72">
                  <c:v>0.89100000000000001</c:v>
                </c:pt>
                <c:pt idx="73">
                  <c:v>0.83399999999999996</c:v>
                </c:pt>
                <c:pt idx="74">
                  <c:v>0.73399999999999999</c:v>
                </c:pt>
                <c:pt idx="75">
                  <c:v>0.752</c:v>
                </c:pt>
                <c:pt idx="76">
                  <c:v>0.79700000000000004</c:v>
                </c:pt>
                <c:pt idx="77">
                  <c:v>0.79300000000000004</c:v>
                </c:pt>
                <c:pt idx="78">
                  <c:v>0.78500000000000003</c:v>
                </c:pt>
                <c:pt idx="79">
                  <c:v>0.80600000000000005</c:v>
                </c:pt>
                <c:pt idx="80">
                  <c:v>0.78600000000000003</c:v>
                </c:pt>
                <c:pt idx="81">
                  <c:v>0.80400000000000005</c:v>
                </c:pt>
                <c:pt idx="82">
                  <c:v>0.81799999999999995</c:v>
                </c:pt>
                <c:pt idx="83">
                  <c:v>0.82399999999999995</c:v>
                </c:pt>
                <c:pt idx="84">
                  <c:v>0.81200000000000006</c:v>
                </c:pt>
                <c:pt idx="85">
                  <c:v>0.8</c:v>
                </c:pt>
                <c:pt idx="86">
                  <c:v>0.79700000000000004</c:v>
                </c:pt>
                <c:pt idx="87">
                  <c:v>0.79600000000000004</c:v>
                </c:pt>
                <c:pt idx="88">
                  <c:v>0.80100000000000005</c:v>
                </c:pt>
                <c:pt idx="89">
                  <c:v>0.77400000000000002</c:v>
                </c:pt>
                <c:pt idx="90">
                  <c:v>0.86499999999999999</c:v>
                </c:pt>
                <c:pt idx="91">
                  <c:v>0.82899999999999996</c:v>
                </c:pt>
                <c:pt idx="92">
                  <c:v>0.83499999999999996</c:v>
                </c:pt>
                <c:pt idx="93">
                  <c:v>0.81100000000000005</c:v>
                </c:pt>
                <c:pt idx="94">
                  <c:v>0.72899999999999998</c:v>
                </c:pt>
                <c:pt idx="95">
                  <c:v>0.71799999999999997</c:v>
                </c:pt>
                <c:pt idx="96">
                  <c:v>0.72099999999999997</c:v>
                </c:pt>
                <c:pt idx="97">
                  <c:v>0.78500000000000003</c:v>
                </c:pt>
                <c:pt idx="98">
                  <c:v>0.78300000000000003</c:v>
                </c:pt>
                <c:pt idx="99">
                  <c:v>0.76200000000000001</c:v>
                </c:pt>
                <c:pt idx="100">
                  <c:v>0.71799999999999997</c:v>
                </c:pt>
                <c:pt idx="101">
                  <c:v>0.68899999999999995</c:v>
                </c:pt>
                <c:pt idx="102">
                  <c:v>0.71799999999999997</c:v>
                </c:pt>
                <c:pt idx="103">
                  <c:v>0.71699999999999997</c:v>
                </c:pt>
                <c:pt idx="104">
                  <c:v>0.71299999999999997</c:v>
                </c:pt>
                <c:pt idx="105">
                  <c:v>0.68300000000000005</c:v>
                </c:pt>
                <c:pt idx="106">
                  <c:v>0.69399999999999995</c:v>
                </c:pt>
                <c:pt idx="107">
                  <c:v>0.71299999999999997</c:v>
                </c:pt>
                <c:pt idx="108">
                  <c:v>0.74299999999999999</c:v>
                </c:pt>
                <c:pt idx="109">
                  <c:v>0.73399999999999999</c:v>
                </c:pt>
                <c:pt idx="110">
                  <c:v>0.72</c:v>
                </c:pt>
                <c:pt idx="111">
                  <c:v>0.745</c:v>
                </c:pt>
                <c:pt idx="112">
                  <c:v>0.71099999999999997</c:v>
                </c:pt>
                <c:pt idx="113">
                  <c:v>0.72299999999999998</c:v>
                </c:pt>
                <c:pt idx="114">
                  <c:v>0.65400000000000003</c:v>
                </c:pt>
                <c:pt idx="115">
                  <c:v>0.66300000000000003</c:v>
                </c:pt>
                <c:pt idx="116">
                  <c:v>0.70299999999999996</c:v>
                </c:pt>
                <c:pt idx="117">
                  <c:v>0.55300000000000005</c:v>
                </c:pt>
                <c:pt idx="118">
                  <c:v>0.61499999999999999</c:v>
                </c:pt>
                <c:pt idx="119">
                  <c:v>0.59699999999999998</c:v>
                </c:pt>
                <c:pt idx="120">
                  <c:v>0.53</c:v>
                </c:pt>
                <c:pt idx="121">
                  <c:v>0.58299999999999996</c:v>
                </c:pt>
                <c:pt idx="122">
                  <c:v>0.60399999999999998</c:v>
                </c:pt>
                <c:pt idx="123">
                  <c:v>0.48199999999999998</c:v>
                </c:pt>
                <c:pt idx="124">
                  <c:v>0.51</c:v>
                </c:pt>
                <c:pt idx="125">
                  <c:v>0.496</c:v>
                </c:pt>
                <c:pt idx="126">
                  <c:v>0.60499999999999998</c:v>
                </c:pt>
                <c:pt idx="127">
                  <c:v>0.48899999999999999</c:v>
                </c:pt>
                <c:pt idx="128">
                  <c:v>0.497</c:v>
                </c:pt>
                <c:pt idx="129">
                  <c:v>0.54500000000000004</c:v>
                </c:pt>
                <c:pt idx="130">
                  <c:v>0.60799999999999998</c:v>
                </c:pt>
                <c:pt idx="131">
                  <c:v>0.58599999999999997</c:v>
                </c:pt>
                <c:pt idx="132">
                  <c:v>0.436</c:v>
                </c:pt>
                <c:pt idx="133">
                  <c:v>0.437</c:v>
                </c:pt>
                <c:pt idx="134">
                  <c:v>0.54900000000000004</c:v>
                </c:pt>
                <c:pt idx="135">
                  <c:v>0.46</c:v>
                </c:pt>
                <c:pt idx="136">
                  <c:v>0.56999999999999995</c:v>
                </c:pt>
                <c:pt idx="137">
                  <c:v>0.43099999999999999</c:v>
                </c:pt>
                <c:pt idx="138">
                  <c:v>0.31900000000000001</c:v>
                </c:pt>
                <c:pt idx="139">
                  <c:v>0.36499999999999999</c:v>
                </c:pt>
                <c:pt idx="140">
                  <c:v>0.36299999999999999</c:v>
                </c:pt>
                <c:pt idx="141">
                  <c:v>0.40699999999999997</c:v>
                </c:pt>
                <c:pt idx="142">
                  <c:v>0.52500000000000002</c:v>
                </c:pt>
                <c:pt idx="143">
                  <c:v>0.82</c:v>
                </c:pt>
                <c:pt idx="144">
                  <c:v>1.2769999999999999</c:v>
                </c:pt>
                <c:pt idx="145">
                  <c:v>1.8580000000000001</c:v>
                </c:pt>
                <c:pt idx="146">
                  <c:v>2.4910000000000001</c:v>
                </c:pt>
                <c:pt idx="147">
                  <c:v>3.157</c:v>
                </c:pt>
                <c:pt idx="148">
                  <c:v>3.9169999999999998</c:v>
                </c:pt>
                <c:pt idx="149">
                  <c:v>4.7949999999999999</c:v>
                </c:pt>
                <c:pt idx="150">
                  <c:v>5.6189999999999998</c:v>
                </c:pt>
                <c:pt idx="151">
                  <c:v>6.3810000000000002</c:v>
                </c:pt>
                <c:pt idx="152">
                  <c:v>6.9539999999999997</c:v>
                </c:pt>
                <c:pt idx="153">
                  <c:v>7.4</c:v>
                </c:pt>
                <c:pt idx="154">
                  <c:v>7.77</c:v>
                </c:pt>
                <c:pt idx="155">
                  <c:v>8.1199999999999992</c:v>
                </c:pt>
                <c:pt idx="156">
                  <c:v>7.94</c:v>
                </c:pt>
                <c:pt idx="157">
                  <c:v>7.42</c:v>
                </c:pt>
                <c:pt idx="158">
                  <c:v>7.14</c:v>
                </c:pt>
                <c:pt idx="159">
                  <c:v>6.9640000000000004</c:v>
                </c:pt>
                <c:pt idx="160">
                  <c:v>6.9989999999999997</c:v>
                </c:pt>
                <c:pt idx="161">
                  <c:v>7.33</c:v>
                </c:pt>
                <c:pt idx="162">
                  <c:v>7.28</c:v>
                </c:pt>
                <c:pt idx="163">
                  <c:v>7.5</c:v>
                </c:pt>
                <c:pt idx="164">
                  <c:v>7.62</c:v>
                </c:pt>
                <c:pt idx="165">
                  <c:v>7.75</c:v>
                </c:pt>
                <c:pt idx="166">
                  <c:v>7.65</c:v>
                </c:pt>
                <c:pt idx="167">
                  <c:v>7.86</c:v>
                </c:pt>
                <c:pt idx="168">
                  <c:v>7.88</c:v>
                </c:pt>
                <c:pt idx="169">
                  <c:v>7.95</c:v>
                </c:pt>
                <c:pt idx="170">
                  <c:v>8.18</c:v>
                </c:pt>
                <c:pt idx="171">
                  <c:v>8.1999999999999993</c:v>
                </c:pt>
                <c:pt idx="172">
                  <c:v>8</c:v>
                </c:pt>
                <c:pt idx="173">
                  <c:v>8.09</c:v>
                </c:pt>
                <c:pt idx="174">
                  <c:v>8.2799999999999994</c:v>
                </c:pt>
                <c:pt idx="175">
                  <c:v>8.33</c:v>
                </c:pt>
                <c:pt idx="176">
                  <c:v>8.58</c:v>
                </c:pt>
                <c:pt idx="177">
                  <c:v>8.6199999999999992</c:v>
                </c:pt>
                <c:pt idx="178">
                  <c:v>8.6999999999999993</c:v>
                </c:pt>
                <c:pt idx="179">
                  <c:v>8.73</c:v>
                </c:pt>
                <c:pt idx="180">
                  <c:v>8.75</c:v>
                </c:pt>
                <c:pt idx="181">
                  <c:v>8.8699999999999992</c:v>
                </c:pt>
                <c:pt idx="182">
                  <c:v>9.01</c:v>
                </c:pt>
                <c:pt idx="183">
                  <c:v>9.0299999999999994</c:v>
                </c:pt>
                <c:pt idx="184">
                  <c:v>8.94</c:v>
                </c:pt>
                <c:pt idx="185">
                  <c:v>8.92</c:v>
                </c:pt>
                <c:pt idx="186">
                  <c:v>8.74</c:v>
                </c:pt>
                <c:pt idx="187">
                  <c:v>8.92</c:v>
                </c:pt>
                <c:pt idx="188">
                  <c:v>8.84</c:v>
                </c:pt>
                <c:pt idx="189">
                  <c:v>8.85</c:v>
                </c:pt>
                <c:pt idx="190">
                  <c:v>8.9499999999999993</c:v>
                </c:pt>
                <c:pt idx="191">
                  <c:v>8.9499999999999993</c:v>
                </c:pt>
                <c:pt idx="192">
                  <c:v>8.9700000000000006</c:v>
                </c:pt>
                <c:pt idx="193">
                  <c:v>9.09</c:v>
                </c:pt>
                <c:pt idx="194">
                  <c:v>9.17</c:v>
                </c:pt>
                <c:pt idx="195">
                  <c:v>9.09</c:v>
                </c:pt>
                <c:pt idx="196">
                  <c:v>9.19</c:v>
                </c:pt>
                <c:pt idx="197">
                  <c:v>9.11</c:v>
                </c:pt>
                <c:pt idx="198">
                  <c:v>9.18</c:v>
                </c:pt>
                <c:pt idx="199">
                  <c:v>9.15</c:v>
                </c:pt>
                <c:pt idx="200">
                  <c:v>9.34</c:v>
                </c:pt>
                <c:pt idx="201">
                  <c:v>9.39</c:v>
                </c:pt>
                <c:pt idx="202">
                  <c:v>9.32</c:v>
                </c:pt>
                <c:pt idx="203">
                  <c:v>9.4600000000000009</c:v>
                </c:pt>
                <c:pt idx="204">
                  <c:v>9.5399999999999991</c:v>
                </c:pt>
                <c:pt idx="205">
                  <c:v>9.56</c:v>
                </c:pt>
                <c:pt idx="206">
                  <c:v>9.6199999999999992</c:v>
                </c:pt>
                <c:pt idx="207">
                  <c:v>9.39</c:v>
                </c:pt>
                <c:pt idx="208">
                  <c:v>9.3000000000000007</c:v>
                </c:pt>
                <c:pt idx="209">
                  <c:v>9.34</c:v>
                </c:pt>
                <c:pt idx="210">
                  <c:v>9.1999999999999993</c:v>
                </c:pt>
                <c:pt idx="211">
                  <c:v>9.1199999999999992</c:v>
                </c:pt>
                <c:pt idx="212">
                  <c:v>9.07</c:v>
                </c:pt>
                <c:pt idx="213">
                  <c:v>9.02</c:v>
                </c:pt>
                <c:pt idx="214">
                  <c:v>9.0299999999999994</c:v>
                </c:pt>
                <c:pt idx="215">
                  <c:v>9.02</c:v>
                </c:pt>
                <c:pt idx="216">
                  <c:v>9.27</c:v>
                </c:pt>
                <c:pt idx="217">
                  <c:v>9.2799999999999994</c:v>
                </c:pt>
                <c:pt idx="218">
                  <c:v>9.23</c:v>
                </c:pt>
                <c:pt idx="219">
                  <c:v>8.99</c:v>
                </c:pt>
                <c:pt idx="220">
                  <c:v>8.6300000000000008</c:v>
                </c:pt>
                <c:pt idx="221">
                  <c:v>8.52</c:v>
                </c:pt>
                <c:pt idx="222">
                  <c:v>8.7899999999999991</c:v>
                </c:pt>
                <c:pt idx="223">
                  <c:v>8.8699999999999992</c:v>
                </c:pt>
                <c:pt idx="224">
                  <c:v>8.7899999999999991</c:v>
                </c:pt>
                <c:pt idx="225">
                  <c:v>8.7799999999999994</c:v>
                </c:pt>
                <c:pt idx="226">
                  <c:v>8.7799999999999994</c:v>
                </c:pt>
                <c:pt idx="227">
                  <c:v>8.7200000000000006</c:v>
                </c:pt>
                <c:pt idx="228">
                  <c:v>8.68</c:v>
                </c:pt>
                <c:pt idx="229">
                  <c:v>8.59</c:v>
                </c:pt>
                <c:pt idx="230">
                  <c:v>8.44</c:v>
                </c:pt>
                <c:pt idx="231">
                  <c:v>8.27</c:v>
                </c:pt>
                <c:pt idx="232">
                  <c:v>8.42</c:v>
                </c:pt>
                <c:pt idx="233">
                  <c:v>8.49</c:v>
                </c:pt>
                <c:pt idx="234">
                  <c:v>8.56</c:v>
                </c:pt>
                <c:pt idx="235">
                  <c:v>8.7899999999999991</c:v>
                </c:pt>
                <c:pt idx="236">
                  <c:v>8.68</c:v>
                </c:pt>
                <c:pt idx="237">
                  <c:v>8.7200000000000006</c:v>
                </c:pt>
                <c:pt idx="238">
                  <c:v>8.58</c:v>
                </c:pt>
                <c:pt idx="239">
                  <c:v>8.52</c:v>
                </c:pt>
                <c:pt idx="240">
                  <c:v>8.5399999999999991</c:v>
                </c:pt>
                <c:pt idx="241">
                  <c:v>8.5299999999999994</c:v>
                </c:pt>
                <c:pt idx="242">
                  <c:v>8.41</c:v>
                </c:pt>
                <c:pt idx="243">
                  <c:v>8.43</c:v>
                </c:pt>
                <c:pt idx="244">
                  <c:v>8.4600000000000009</c:v>
                </c:pt>
                <c:pt idx="245">
                  <c:v>8.43</c:v>
                </c:pt>
                <c:pt idx="246">
                  <c:v>8.52</c:v>
                </c:pt>
                <c:pt idx="247">
                  <c:v>8.7100000000000009</c:v>
                </c:pt>
                <c:pt idx="248">
                  <c:v>8.7100000000000009</c:v>
                </c:pt>
                <c:pt idx="249">
                  <c:v>8.6999999999999993</c:v>
                </c:pt>
                <c:pt idx="250">
                  <c:v>8.74</c:v>
                </c:pt>
                <c:pt idx="251">
                  <c:v>8.7799999999999994</c:v>
                </c:pt>
                <c:pt idx="252">
                  <c:v>8.8000000000000007</c:v>
                </c:pt>
                <c:pt idx="253">
                  <c:v>8.7899999999999991</c:v>
                </c:pt>
                <c:pt idx="254">
                  <c:v>8.77</c:v>
                </c:pt>
                <c:pt idx="255">
                  <c:v>8.7899999999999991</c:v>
                </c:pt>
                <c:pt idx="256">
                  <c:v>8.67</c:v>
                </c:pt>
                <c:pt idx="257">
                  <c:v>8.66</c:v>
                </c:pt>
                <c:pt idx="258">
                  <c:v>8.5399999999999991</c:v>
                </c:pt>
                <c:pt idx="259">
                  <c:v>8.4700000000000006</c:v>
                </c:pt>
                <c:pt idx="260">
                  <c:v>8.4</c:v>
                </c:pt>
                <c:pt idx="261">
                  <c:v>8.25</c:v>
                </c:pt>
                <c:pt idx="262">
                  <c:v>8.1</c:v>
                </c:pt>
                <c:pt idx="263">
                  <c:v>7.93</c:v>
                </c:pt>
                <c:pt idx="264">
                  <c:v>7.76</c:v>
                </c:pt>
                <c:pt idx="265">
                  <c:v>7.62</c:v>
                </c:pt>
                <c:pt idx="266">
                  <c:v>7.48</c:v>
                </c:pt>
                <c:pt idx="267">
                  <c:v>7.36</c:v>
                </c:pt>
                <c:pt idx="268">
                  <c:v>7.37</c:v>
                </c:pt>
                <c:pt idx="269">
                  <c:v>7.45</c:v>
                </c:pt>
                <c:pt idx="270">
                  <c:v>7.38</c:v>
                </c:pt>
                <c:pt idx="271">
                  <c:v>7.38</c:v>
                </c:pt>
                <c:pt idx="272">
                  <c:v>7.32</c:v>
                </c:pt>
                <c:pt idx="273">
                  <c:v>7.17</c:v>
                </c:pt>
                <c:pt idx="274">
                  <c:v>7.01</c:v>
                </c:pt>
                <c:pt idx="275">
                  <c:v>6.6449999999999996</c:v>
                </c:pt>
                <c:pt idx="276">
                  <c:v>6.3109999999999999</c:v>
                </c:pt>
                <c:pt idx="277">
                  <c:v>6.0650000000000004</c:v>
                </c:pt>
                <c:pt idx="278">
                  <c:v>5.7450000000000001</c:v>
                </c:pt>
                <c:pt idx="279">
                  <c:v>5.649</c:v>
                </c:pt>
                <c:pt idx="280">
                  <c:v>5.5279999999999996</c:v>
                </c:pt>
                <c:pt idx="281">
                  <c:v>5.4909999999999997</c:v>
                </c:pt>
                <c:pt idx="282">
                  <c:v>5.3689999999999998</c:v>
                </c:pt>
                <c:pt idx="283">
                  <c:v>5.2880000000000003</c:v>
                </c:pt>
                <c:pt idx="284">
                  <c:v>5.1379999999999999</c:v>
                </c:pt>
                <c:pt idx="285">
                  <c:v>4.9960000000000004</c:v>
                </c:pt>
                <c:pt idx="286">
                  <c:v>4.8239999999999998</c:v>
                </c:pt>
                <c:pt idx="287">
                  <c:v>4.641</c:v>
                </c:pt>
                <c:pt idx="288">
                  <c:v>4.3710000000000004</c:v>
                </c:pt>
                <c:pt idx="289">
                  <c:v>4.343</c:v>
                </c:pt>
                <c:pt idx="290">
                  <c:v>4.165</c:v>
                </c:pt>
                <c:pt idx="291">
                  <c:v>3.9950000000000001</c:v>
                </c:pt>
                <c:pt idx="292">
                  <c:v>3.7839999999999998</c:v>
                </c:pt>
                <c:pt idx="293">
                  <c:v>3.6579999999999999</c:v>
                </c:pt>
                <c:pt idx="294">
                  <c:v>3.448</c:v>
                </c:pt>
                <c:pt idx="295">
                  <c:v>3.4049999999999998</c:v>
                </c:pt>
                <c:pt idx="296">
                  <c:v>3.242</c:v>
                </c:pt>
                <c:pt idx="297">
                  <c:v>3.17</c:v>
                </c:pt>
                <c:pt idx="298">
                  <c:v>3.0649999999999999</c:v>
                </c:pt>
                <c:pt idx="299">
                  <c:v>2.9649999999999999</c:v>
                </c:pt>
                <c:pt idx="300">
                  <c:v>2.859</c:v>
                </c:pt>
                <c:pt idx="301">
                  <c:v>2.7189999999999999</c:v>
                </c:pt>
                <c:pt idx="302">
                  <c:v>2.6549999999999998</c:v>
                </c:pt>
                <c:pt idx="303">
                  <c:v>2.5139999999999998</c:v>
                </c:pt>
                <c:pt idx="304">
                  <c:v>2.37</c:v>
                </c:pt>
                <c:pt idx="305">
                  <c:v>2.2559999999999998</c:v>
                </c:pt>
                <c:pt idx="306">
                  <c:v>2.1880000000000002</c:v>
                </c:pt>
                <c:pt idx="307">
                  <c:v>2.2250000000000001</c:v>
                </c:pt>
                <c:pt idx="308">
                  <c:v>2.2000000000000002</c:v>
                </c:pt>
                <c:pt idx="309">
                  <c:v>2.133</c:v>
                </c:pt>
                <c:pt idx="310">
                  <c:v>2.1059999999999999</c:v>
                </c:pt>
                <c:pt idx="311">
                  <c:v>2.0939999999999999</c:v>
                </c:pt>
                <c:pt idx="312">
                  <c:v>1.9810000000000001</c:v>
                </c:pt>
                <c:pt idx="313">
                  <c:v>1.78</c:v>
                </c:pt>
                <c:pt idx="314">
                  <c:v>1.637</c:v>
                </c:pt>
                <c:pt idx="315">
                  <c:v>1.5229999999999999</c:v>
                </c:pt>
                <c:pt idx="316">
                  <c:v>1.4610000000000001</c:v>
                </c:pt>
                <c:pt idx="317">
                  <c:v>1.3979999999999999</c:v>
                </c:pt>
                <c:pt idx="318">
                  <c:v>1.321</c:v>
                </c:pt>
                <c:pt idx="319">
                  <c:v>1.2849999999999999</c:v>
                </c:pt>
                <c:pt idx="320">
                  <c:v>1.2729999999999999</c:v>
                </c:pt>
                <c:pt idx="321">
                  <c:v>1.1919999999999999</c:v>
                </c:pt>
                <c:pt idx="322">
                  <c:v>1.0349999999999999</c:v>
                </c:pt>
                <c:pt idx="323">
                  <c:v>0.94499999999999995</c:v>
                </c:pt>
                <c:pt idx="324">
                  <c:v>1.069</c:v>
                </c:pt>
                <c:pt idx="325">
                  <c:v>1.1279999999999999</c:v>
                </c:pt>
                <c:pt idx="326">
                  <c:v>1.1000000000000001</c:v>
                </c:pt>
                <c:pt idx="327">
                  <c:v>1.07</c:v>
                </c:pt>
                <c:pt idx="328">
                  <c:v>1.0509999999999999</c:v>
                </c:pt>
                <c:pt idx="329">
                  <c:v>1.0760000000000001</c:v>
                </c:pt>
                <c:pt idx="330">
                  <c:v>1.0609999999999999</c:v>
                </c:pt>
                <c:pt idx="331">
                  <c:v>1.05</c:v>
                </c:pt>
                <c:pt idx="332">
                  <c:v>1.133</c:v>
                </c:pt>
                <c:pt idx="333">
                  <c:v>1.054</c:v>
                </c:pt>
                <c:pt idx="334">
                  <c:v>1.028</c:v>
                </c:pt>
                <c:pt idx="335">
                  <c:v>1.0249999999999999</c:v>
                </c:pt>
                <c:pt idx="336">
                  <c:v>1</c:v>
                </c:pt>
                <c:pt idx="337">
                  <c:v>0.96099999999999997</c:v>
                </c:pt>
                <c:pt idx="338">
                  <c:v>0.58199999999999996</c:v>
                </c:pt>
                <c:pt idx="339">
                  <c:v>0.61499999999999999</c:v>
                </c:pt>
                <c:pt idx="340">
                  <c:v>0.56000000000000005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681472"/>
        <c:axId val="236687744"/>
      </c:lineChart>
      <c:catAx>
        <c:axId val="23668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72828507795101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687744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36687744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Temperature (Celsius)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32789559543230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68147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Maximum and Mean Wind Speed</a:t>
            </a:r>
          </a:p>
        </c:rich>
      </c:tx>
      <c:layout>
        <c:manualLayout>
          <c:xMode val="edge"/>
          <c:yMode val="edge"/>
          <c:x val="0.25389755011135856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518930957683743E-2"/>
          <c:y val="0.15334420880913541"/>
          <c:w val="0.90645879732739421"/>
          <c:h val="0.71778140293637849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Data!$P$7:$P$371</c:f>
              <c:numCache>
                <c:formatCode>0.00</c:formatCode>
                <c:ptCount val="365"/>
                <c:pt idx="0">
                  <c:v>1.4760000000000002</c:v>
                </c:pt>
                <c:pt idx="1">
                  <c:v>1.6274999999999999</c:v>
                </c:pt>
                <c:pt idx="2">
                  <c:v>1.7758333333333334</c:v>
                </c:pt>
                <c:pt idx="3">
                  <c:v>1.7925</c:v>
                </c:pt>
                <c:pt idx="4">
                  <c:v>1.6541666666666668</c:v>
                </c:pt>
                <c:pt idx="5">
                  <c:v>1.4668333333333334</c:v>
                </c:pt>
                <c:pt idx="6">
                  <c:v>1.8091666666666668</c:v>
                </c:pt>
                <c:pt idx="7">
                  <c:v>1.3216666666666668</c:v>
                </c:pt>
                <c:pt idx="8">
                  <c:v>1.6575</c:v>
                </c:pt>
                <c:pt idx="9">
                  <c:v>0.87916666666666665</c:v>
                </c:pt>
                <c:pt idx="10">
                  <c:v>0.80366666666666675</c:v>
                </c:pt>
                <c:pt idx="11">
                  <c:v>0.72283333333333333</c:v>
                </c:pt>
                <c:pt idx="12">
                  <c:v>1.3923333333333332</c:v>
                </c:pt>
                <c:pt idx="13">
                  <c:v>1.1083333333333334</c:v>
                </c:pt>
                <c:pt idx="14">
                  <c:v>0.60750000000000004</c:v>
                </c:pt>
                <c:pt idx="15">
                  <c:v>0.98616666666666664</c:v>
                </c:pt>
                <c:pt idx="16">
                  <c:v>1.0371666666666666</c:v>
                </c:pt>
                <c:pt idx="17">
                  <c:v>1.349</c:v>
                </c:pt>
                <c:pt idx="18">
                  <c:v>1.3986666666666667</c:v>
                </c:pt>
                <c:pt idx="19">
                  <c:v>1.8474999999999999</c:v>
                </c:pt>
                <c:pt idx="20">
                  <c:v>1.3213333333333332</c:v>
                </c:pt>
                <c:pt idx="21">
                  <c:v>1.5408333333333333</c:v>
                </c:pt>
                <c:pt idx="22">
                  <c:v>1.884166666666667</c:v>
                </c:pt>
                <c:pt idx="23">
                  <c:v>2.0008333333333335</c:v>
                </c:pt>
                <c:pt idx="24">
                  <c:v>1.5691666666666666</c:v>
                </c:pt>
                <c:pt idx="25">
                  <c:v>0.94633333333333336</c:v>
                </c:pt>
                <c:pt idx="26">
                  <c:v>1.2311666666666667</c:v>
                </c:pt>
                <c:pt idx="27">
                  <c:v>1.7558333333333336</c:v>
                </c:pt>
                <c:pt idx="28">
                  <c:v>1.9041666666666668</c:v>
                </c:pt>
                <c:pt idx="29">
                  <c:v>1.7058333333333333</c:v>
                </c:pt>
                <c:pt idx="30">
                  <c:v>2.1641666666666666</c:v>
                </c:pt>
                <c:pt idx="31">
                  <c:v>3.1391666666666671</c:v>
                </c:pt>
                <c:pt idx="32">
                  <c:v>1.4391666666666667</c:v>
                </c:pt>
                <c:pt idx="33">
                  <c:v>1.1759999999999999</c:v>
                </c:pt>
                <c:pt idx="34">
                  <c:v>1.5575000000000001</c:v>
                </c:pt>
                <c:pt idx="35">
                  <c:v>1.3076666666666665</c:v>
                </c:pt>
                <c:pt idx="36">
                  <c:v>0.96300000000000008</c:v>
                </c:pt>
                <c:pt idx="37">
                  <c:v>1.1016666666666666</c:v>
                </c:pt>
                <c:pt idx="38">
                  <c:v>0.88683333333333336</c:v>
                </c:pt>
                <c:pt idx="39">
                  <c:v>1.1456666666666666</c:v>
                </c:pt>
                <c:pt idx="40">
                  <c:v>1.1933333333333334</c:v>
                </c:pt>
                <c:pt idx="41">
                  <c:v>1.5691666666666666</c:v>
                </c:pt>
                <c:pt idx="42">
                  <c:v>3.3758333333333335</c:v>
                </c:pt>
                <c:pt idx="43">
                  <c:v>1.5608333333333333</c:v>
                </c:pt>
                <c:pt idx="44">
                  <c:v>1.3080000000000001</c:v>
                </c:pt>
                <c:pt idx="45">
                  <c:v>1.4793333333333334</c:v>
                </c:pt>
                <c:pt idx="46">
                  <c:v>1.969166666666667</c:v>
                </c:pt>
                <c:pt idx="47">
                  <c:v>3.1225000000000001</c:v>
                </c:pt>
                <c:pt idx="48">
                  <c:v>2.1858333333333335</c:v>
                </c:pt>
                <c:pt idx="49">
                  <c:v>2.7708333333333335</c:v>
                </c:pt>
                <c:pt idx="50">
                  <c:v>2.2774999999999999</c:v>
                </c:pt>
                <c:pt idx="51">
                  <c:v>2.5091666666666668</c:v>
                </c:pt>
                <c:pt idx="52">
                  <c:v>1.6441666666666668</c:v>
                </c:pt>
                <c:pt idx="53">
                  <c:v>1.3403333333333334</c:v>
                </c:pt>
                <c:pt idx="54">
                  <c:v>2.6958333333333333</c:v>
                </c:pt>
                <c:pt idx="55">
                  <c:v>1.9558333333333335</c:v>
                </c:pt>
                <c:pt idx="56">
                  <c:v>1.7891666666666668</c:v>
                </c:pt>
                <c:pt idx="57">
                  <c:v>1.5441666666666667</c:v>
                </c:pt>
                <c:pt idx="58">
                  <c:v>1.8058333333333334</c:v>
                </c:pt>
                <c:pt idx="59">
                  <c:v>1.7424999999999999</c:v>
                </c:pt>
                <c:pt idx="60">
                  <c:v>1.9775</c:v>
                </c:pt>
                <c:pt idx="61">
                  <c:v>1.7524999999999999</c:v>
                </c:pt>
                <c:pt idx="62">
                  <c:v>1.5121666666666667</c:v>
                </c:pt>
                <c:pt idx="63">
                  <c:v>1.4218333333333333</c:v>
                </c:pt>
                <c:pt idx="64">
                  <c:v>1.6091666666666666</c:v>
                </c:pt>
                <c:pt idx="65">
                  <c:v>1.4458333333333333</c:v>
                </c:pt>
                <c:pt idx="66">
                  <c:v>1.4141666666666666</c:v>
                </c:pt>
                <c:pt idx="67">
                  <c:v>2.0425</c:v>
                </c:pt>
                <c:pt idx="68">
                  <c:v>2.3075000000000001</c:v>
                </c:pt>
                <c:pt idx="69">
                  <c:v>1.8591666666666669</c:v>
                </c:pt>
                <c:pt idx="70">
                  <c:v>1.7491666666666668</c:v>
                </c:pt>
                <c:pt idx="71">
                  <c:v>1.6791666666666667</c:v>
                </c:pt>
                <c:pt idx="72">
                  <c:v>1.7791666666666666</c:v>
                </c:pt>
                <c:pt idx="73">
                  <c:v>1.2998333333333334</c:v>
                </c:pt>
                <c:pt idx="74">
                  <c:v>1.32</c:v>
                </c:pt>
                <c:pt idx="75">
                  <c:v>1.6641666666666668</c:v>
                </c:pt>
                <c:pt idx="76">
                  <c:v>1.2293333333333334</c:v>
                </c:pt>
                <c:pt idx="77">
                  <c:v>1.6408333333333334</c:v>
                </c:pt>
                <c:pt idx="78">
                  <c:v>2.2741666666666669</c:v>
                </c:pt>
                <c:pt idx="79">
                  <c:v>1.6908333333333334</c:v>
                </c:pt>
                <c:pt idx="80">
                  <c:v>1.6591666666666667</c:v>
                </c:pt>
                <c:pt idx="81">
                  <c:v>1.4716666666666667</c:v>
                </c:pt>
                <c:pt idx="82">
                  <c:v>1.6725000000000001</c:v>
                </c:pt>
                <c:pt idx="83">
                  <c:v>1.3665</c:v>
                </c:pt>
                <c:pt idx="84">
                  <c:v>1.7575000000000001</c:v>
                </c:pt>
                <c:pt idx="85">
                  <c:v>1.7658333333333334</c:v>
                </c:pt>
                <c:pt idx="86">
                  <c:v>1.8391666666666671</c:v>
                </c:pt>
                <c:pt idx="87">
                  <c:v>1.9291666666666669</c:v>
                </c:pt>
                <c:pt idx="88">
                  <c:v>1.6808333333333334</c:v>
                </c:pt>
                <c:pt idx="89">
                  <c:v>2.0158333333333331</c:v>
                </c:pt>
                <c:pt idx="90">
                  <c:v>1.8091666666666668</c:v>
                </c:pt>
                <c:pt idx="91">
                  <c:v>1.6341666666666668</c:v>
                </c:pt>
                <c:pt idx="92">
                  <c:v>1.0345</c:v>
                </c:pt>
                <c:pt idx="93">
                  <c:v>2.5541666666666667</c:v>
                </c:pt>
                <c:pt idx="94">
                  <c:v>1.202</c:v>
                </c:pt>
                <c:pt idx="95">
                  <c:v>1.5575000000000001</c:v>
                </c:pt>
                <c:pt idx="96">
                  <c:v>1.7641666666666667</c:v>
                </c:pt>
                <c:pt idx="97">
                  <c:v>1.4663333333333333</c:v>
                </c:pt>
                <c:pt idx="98">
                  <c:v>1.8308333333333335</c:v>
                </c:pt>
                <c:pt idx="99">
                  <c:v>1.6408333333333334</c:v>
                </c:pt>
                <c:pt idx="100">
                  <c:v>2.3424999999999998</c:v>
                </c:pt>
                <c:pt idx="101">
                  <c:v>2.2524999999999999</c:v>
                </c:pt>
                <c:pt idx="102">
                  <c:v>2.2574999999999998</c:v>
                </c:pt>
                <c:pt idx="103">
                  <c:v>2.1625000000000001</c:v>
                </c:pt>
                <c:pt idx="104">
                  <c:v>1.2603333333333333</c:v>
                </c:pt>
                <c:pt idx="105">
                  <c:v>1.4398333333333333</c:v>
                </c:pt>
                <c:pt idx="106">
                  <c:v>1.5441666666666667</c:v>
                </c:pt>
                <c:pt idx="107">
                  <c:v>1.2086666666666668</c:v>
                </c:pt>
                <c:pt idx="108">
                  <c:v>1.3343333333333334</c:v>
                </c:pt>
                <c:pt idx="109">
                  <c:v>1.3193333333333332</c:v>
                </c:pt>
                <c:pt idx="110">
                  <c:v>1.7758333333333334</c:v>
                </c:pt>
                <c:pt idx="111">
                  <c:v>1.8025</c:v>
                </c:pt>
                <c:pt idx="112">
                  <c:v>1.7891666666666668</c:v>
                </c:pt>
                <c:pt idx="113">
                  <c:v>2.0575000000000001</c:v>
                </c:pt>
                <c:pt idx="114">
                  <c:v>1.9291666666666669</c:v>
                </c:pt>
                <c:pt idx="115">
                  <c:v>1.8025</c:v>
                </c:pt>
                <c:pt idx="116">
                  <c:v>3.3858333333333333</c:v>
                </c:pt>
                <c:pt idx="117">
                  <c:v>2.2108333333333334</c:v>
                </c:pt>
                <c:pt idx="118">
                  <c:v>2.1991666666666667</c:v>
                </c:pt>
                <c:pt idx="119">
                  <c:v>1.3966666666666665</c:v>
                </c:pt>
                <c:pt idx="120">
                  <c:v>2.0941666666666667</c:v>
                </c:pt>
                <c:pt idx="121">
                  <c:v>1.4608333333333334</c:v>
                </c:pt>
                <c:pt idx="122">
                  <c:v>0.91133333333333333</c:v>
                </c:pt>
                <c:pt idx="123">
                  <c:v>1.3203333333333334</c:v>
                </c:pt>
                <c:pt idx="124">
                  <c:v>1.6125</c:v>
                </c:pt>
                <c:pt idx="125">
                  <c:v>1.7375</c:v>
                </c:pt>
                <c:pt idx="126">
                  <c:v>2.1524999999999999</c:v>
                </c:pt>
                <c:pt idx="127">
                  <c:v>2.1608333333333336</c:v>
                </c:pt>
                <c:pt idx="128">
                  <c:v>1.6258333333333332</c:v>
                </c:pt>
                <c:pt idx="129">
                  <c:v>1.3465</c:v>
                </c:pt>
                <c:pt idx="130">
                  <c:v>1.2406666666666666</c:v>
                </c:pt>
                <c:pt idx="131">
                  <c:v>1.2055</c:v>
                </c:pt>
                <c:pt idx="132">
                  <c:v>1.7041666666666668</c:v>
                </c:pt>
                <c:pt idx="133">
                  <c:v>1.6775</c:v>
                </c:pt>
                <c:pt idx="134">
                  <c:v>1.7641666666666667</c:v>
                </c:pt>
                <c:pt idx="135">
                  <c:v>1.7858333333333336</c:v>
                </c:pt>
                <c:pt idx="136">
                  <c:v>1.4733333333333334</c:v>
                </c:pt>
                <c:pt idx="137">
                  <c:v>1.8491666666666668</c:v>
                </c:pt>
                <c:pt idx="138">
                  <c:v>1.7275</c:v>
                </c:pt>
                <c:pt idx="139">
                  <c:v>2.2441666666666666</c:v>
                </c:pt>
                <c:pt idx="140">
                  <c:v>1.7858333333333336</c:v>
                </c:pt>
                <c:pt idx="141">
                  <c:v>1.9391666666666669</c:v>
                </c:pt>
                <c:pt idx="142">
                  <c:v>1.9041666666666668</c:v>
                </c:pt>
                <c:pt idx="143">
                  <c:v>1.8041666666666669</c:v>
                </c:pt>
                <c:pt idx="144">
                  <c:v>2.4208333333333334</c:v>
                </c:pt>
                <c:pt idx="145">
                  <c:v>1.8491666666666668</c:v>
                </c:pt>
                <c:pt idx="146">
                  <c:v>1.9624999999999999</c:v>
                </c:pt>
                <c:pt idx="147">
                  <c:v>1.9841666666666669</c:v>
                </c:pt>
                <c:pt idx="148">
                  <c:v>2.1208333333333336</c:v>
                </c:pt>
                <c:pt idx="149">
                  <c:v>2.5308333333333333</c:v>
                </c:pt>
                <c:pt idx="150">
                  <c:v>1.9225000000000001</c:v>
                </c:pt>
                <c:pt idx="151">
                  <c:v>1.8591666666666669</c:v>
                </c:pt>
                <c:pt idx="152">
                  <c:v>1.7358333333333333</c:v>
                </c:pt>
                <c:pt idx="153">
                  <c:v>1.7591666666666668</c:v>
                </c:pt>
                <c:pt idx="154">
                  <c:v>1.7791666666666666</c:v>
                </c:pt>
                <c:pt idx="155">
                  <c:v>1.8774999999999999</c:v>
                </c:pt>
                <c:pt idx="156">
                  <c:v>1.8808333333333336</c:v>
                </c:pt>
                <c:pt idx="157">
                  <c:v>2.0541666666666667</c:v>
                </c:pt>
                <c:pt idx="158">
                  <c:v>2.4241666666666668</c:v>
                </c:pt>
                <c:pt idx="159">
                  <c:v>1.8108333333333337</c:v>
                </c:pt>
                <c:pt idx="160">
                  <c:v>1.8858333333333335</c:v>
                </c:pt>
                <c:pt idx="161">
                  <c:v>1.4743333333333333</c:v>
                </c:pt>
                <c:pt idx="162">
                  <c:v>1.6625000000000001</c:v>
                </c:pt>
                <c:pt idx="163">
                  <c:v>1.5708333333333335</c:v>
                </c:pt>
                <c:pt idx="164">
                  <c:v>0.96233333333333326</c:v>
                </c:pt>
                <c:pt idx="165">
                  <c:v>1.3143333333333334</c:v>
                </c:pt>
                <c:pt idx="166">
                  <c:v>1.4616666666666667</c:v>
                </c:pt>
                <c:pt idx="167">
                  <c:v>1.3598333333333334</c:v>
                </c:pt>
                <c:pt idx="168">
                  <c:v>1.1964999999999999</c:v>
                </c:pt>
                <c:pt idx="169">
                  <c:v>1.8474999999999999</c:v>
                </c:pt>
                <c:pt idx="170">
                  <c:v>2.1708333333333334</c:v>
                </c:pt>
                <c:pt idx="171">
                  <c:v>1.7358333333333333</c:v>
                </c:pt>
                <c:pt idx="172">
                  <c:v>1.844166666666667</c:v>
                </c:pt>
                <c:pt idx="173">
                  <c:v>2.0358333333333336</c:v>
                </c:pt>
                <c:pt idx="174">
                  <c:v>2.2875000000000001</c:v>
                </c:pt>
                <c:pt idx="175">
                  <c:v>2.2258333333333331</c:v>
                </c:pt>
                <c:pt idx="176">
                  <c:v>1.9091666666666669</c:v>
                </c:pt>
                <c:pt idx="177">
                  <c:v>2.0358333333333336</c:v>
                </c:pt>
                <c:pt idx="178">
                  <c:v>1.924166666666667</c:v>
                </c:pt>
                <c:pt idx="179">
                  <c:v>1.9491666666666669</c:v>
                </c:pt>
                <c:pt idx="180">
                  <c:v>1.9424999999999999</c:v>
                </c:pt>
                <c:pt idx="181">
                  <c:v>2.3191666666666668</c:v>
                </c:pt>
                <c:pt idx="182">
                  <c:v>1.9424999999999999</c:v>
                </c:pt>
                <c:pt idx="183">
                  <c:v>1.9208333333333334</c:v>
                </c:pt>
                <c:pt idx="184">
                  <c:v>1.4563333333333335</c:v>
                </c:pt>
                <c:pt idx="185">
                  <c:v>1.3365</c:v>
                </c:pt>
                <c:pt idx="186">
                  <c:v>1.4268333333333332</c:v>
                </c:pt>
                <c:pt idx="187">
                  <c:v>1.26</c:v>
                </c:pt>
                <c:pt idx="188">
                  <c:v>1.4735</c:v>
                </c:pt>
                <c:pt idx="189">
                  <c:v>1.4775</c:v>
                </c:pt>
                <c:pt idx="190">
                  <c:v>1.5625</c:v>
                </c:pt>
                <c:pt idx="191">
                  <c:v>1.9741666666666668</c:v>
                </c:pt>
                <c:pt idx="192">
                  <c:v>1.9258333333333335</c:v>
                </c:pt>
                <c:pt idx="193">
                  <c:v>2.0758333333333336</c:v>
                </c:pt>
                <c:pt idx="194">
                  <c:v>1.9058333333333335</c:v>
                </c:pt>
                <c:pt idx="195">
                  <c:v>2.0591666666666666</c:v>
                </c:pt>
                <c:pt idx="196">
                  <c:v>1.9958333333333336</c:v>
                </c:pt>
                <c:pt idx="197">
                  <c:v>2.0958333333333332</c:v>
                </c:pt>
                <c:pt idx="198">
                  <c:v>2.0775000000000001</c:v>
                </c:pt>
                <c:pt idx="199">
                  <c:v>2.1225000000000001</c:v>
                </c:pt>
                <c:pt idx="200">
                  <c:v>2.2574999999999998</c:v>
                </c:pt>
                <c:pt idx="201">
                  <c:v>1.924166666666667</c:v>
                </c:pt>
                <c:pt idx="202">
                  <c:v>2.2258333333333331</c:v>
                </c:pt>
                <c:pt idx="203">
                  <c:v>1.2931666666666666</c:v>
                </c:pt>
                <c:pt idx="204">
                  <c:v>1.3679999999999999</c:v>
                </c:pt>
                <c:pt idx="205">
                  <c:v>1.8458333333333334</c:v>
                </c:pt>
                <c:pt idx="206">
                  <c:v>3.5208333333333335</c:v>
                </c:pt>
                <c:pt idx="207">
                  <c:v>2.4541666666666671</c:v>
                </c:pt>
                <c:pt idx="208">
                  <c:v>2.1508333333333334</c:v>
                </c:pt>
                <c:pt idx="209">
                  <c:v>2.2991666666666668</c:v>
                </c:pt>
                <c:pt idx="210">
                  <c:v>1.6541666666666668</c:v>
                </c:pt>
                <c:pt idx="211">
                  <c:v>1.3688333333333333</c:v>
                </c:pt>
                <c:pt idx="212">
                  <c:v>1.4478333333333333</c:v>
                </c:pt>
                <c:pt idx="213">
                  <c:v>1.337</c:v>
                </c:pt>
                <c:pt idx="214">
                  <c:v>1.9441666666666668</c:v>
                </c:pt>
                <c:pt idx="215">
                  <c:v>2.3041666666666667</c:v>
                </c:pt>
                <c:pt idx="216">
                  <c:v>2.4224999999999999</c:v>
                </c:pt>
                <c:pt idx="217">
                  <c:v>1.6308333333333334</c:v>
                </c:pt>
                <c:pt idx="218">
                  <c:v>1.6541666666666668</c:v>
                </c:pt>
                <c:pt idx="219">
                  <c:v>1.8991666666666669</c:v>
                </c:pt>
                <c:pt idx="220">
                  <c:v>1.3438333333333334</c:v>
                </c:pt>
                <c:pt idx="221">
                  <c:v>1.844166666666667</c:v>
                </c:pt>
                <c:pt idx="222">
                  <c:v>1.8891666666666669</c:v>
                </c:pt>
                <c:pt idx="223">
                  <c:v>2.0208333333333335</c:v>
                </c:pt>
                <c:pt idx="224">
                  <c:v>1.8758333333333335</c:v>
                </c:pt>
                <c:pt idx="225">
                  <c:v>2.2258333333333331</c:v>
                </c:pt>
                <c:pt idx="226">
                  <c:v>1.5198333333333334</c:v>
                </c:pt>
                <c:pt idx="227">
                  <c:v>1.6074999999999999</c:v>
                </c:pt>
                <c:pt idx="228">
                  <c:v>1.4906666666666666</c:v>
                </c:pt>
                <c:pt idx="229">
                  <c:v>1.6658333333333333</c:v>
                </c:pt>
                <c:pt idx="230">
                  <c:v>2.1541666666666668</c:v>
                </c:pt>
                <c:pt idx="231">
                  <c:v>1.7124999999999999</c:v>
                </c:pt>
                <c:pt idx="232">
                  <c:v>2.0691666666666668</c:v>
                </c:pt>
                <c:pt idx="233">
                  <c:v>2.0274999999999999</c:v>
                </c:pt>
                <c:pt idx="234">
                  <c:v>2.5625</c:v>
                </c:pt>
                <c:pt idx="235">
                  <c:v>1.9808333333333337</c:v>
                </c:pt>
                <c:pt idx="236">
                  <c:v>1.9291666666666669</c:v>
                </c:pt>
                <c:pt idx="237">
                  <c:v>2.0408333333333335</c:v>
                </c:pt>
                <c:pt idx="238">
                  <c:v>1.7741666666666667</c:v>
                </c:pt>
                <c:pt idx="239">
                  <c:v>2.0158333333333331</c:v>
                </c:pt>
                <c:pt idx="240">
                  <c:v>1.5774999999999999</c:v>
                </c:pt>
                <c:pt idx="241">
                  <c:v>1.6158333333333335</c:v>
                </c:pt>
                <c:pt idx="242">
                  <c:v>1.9941666666666669</c:v>
                </c:pt>
                <c:pt idx="243">
                  <c:v>2.1458333333333335</c:v>
                </c:pt>
                <c:pt idx="244">
                  <c:v>2.2391666666666667</c:v>
                </c:pt>
                <c:pt idx="245">
                  <c:v>2.019166666666667</c:v>
                </c:pt>
                <c:pt idx="246">
                  <c:v>2.0708333333333333</c:v>
                </c:pt>
                <c:pt idx="247">
                  <c:v>1.7608333333333335</c:v>
                </c:pt>
                <c:pt idx="248">
                  <c:v>1.7641666666666667</c:v>
                </c:pt>
                <c:pt idx="249">
                  <c:v>2.1425000000000001</c:v>
                </c:pt>
                <c:pt idx="250">
                  <c:v>2.1158333333333337</c:v>
                </c:pt>
                <c:pt idx="251">
                  <c:v>1.9975000000000001</c:v>
                </c:pt>
                <c:pt idx="252">
                  <c:v>2.1308333333333334</c:v>
                </c:pt>
                <c:pt idx="253">
                  <c:v>2.0691666666666668</c:v>
                </c:pt>
                <c:pt idx="254">
                  <c:v>2.0225</c:v>
                </c:pt>
                <c:pt idx="255">
                  <c:v>1.9758333333333333</c:v>
                </c:pt>
                <c:pt idx="256">
                  <c:v>2.1425000000000001</c:v>
                </c:pt>
                <c:pt idx="257">
                  <c:v>2.1341666666666668</c:v>
                </c:pt>
                <c:pt idx="258">
                  <c:v>2.1274999999999999</c:v>
                </c:pt>
                <c:pt idx="259">
                  <c:v>2.0491666666666668</c:v>
                </c:pt>
                <c:pt idx="260">
                  <c:v>1.4983333333333333</c:v>
                </c:pt>
                <c:pt idx="261">
                  <c:v>1.8374999999999999</c:v>
                </c:pt>
                <c:pt idx="262">
                  <c:v>2.1208333333333336</c:v>
                </c:pt>
                <c:pt idx="263">
                  <c:v>2.1675</c:v>
                </c:pt>
                <c:pt idx="264">
                  <c:v>2.1141666666666667</c:v>
                </c:pt>
                <c:pt idx="265">
                  <c:v>2.2875000000000001</c:v>
                </c:pt>
                <c:pt idx="266">
                  <c:v>2.0924999999999998</c:v>
                </c:pt>
                <c:pt idx="267">
                  <c:v>2.1008333333333331</c:v>
                </c:pt>
                <c:pt idx="268">
                  <c:v>2.0991666666666666</c:v>
                </c:pt>
                <c:pt idx="269">
                  <c:v>1.3923333333333332</c:v>
                </c:pt>
                <c:pt idx="270">
                  <c:v>1.6058333333333334</c:v>
                </c:pt>
                <c:pt idx="271">
                  <c:v>1.2796666666666665</c:v>
                </c:pt>
                <c:pt idx="272">
                  <c:v>2.2091666666666665</c:v>
                </c:pt>
                <c:pt idx="273">
                  <c:v>1.341</c:v>
                </c:pt>
                <c:pt idx="274">
                  <c:v>1.3723333333333332</c:v>
                </c:pt>
                <c:pt idx="275">
                  <c:v>1.7424999999999999</c:v>
                </c:pt>
                <c:pt idx="276">
                  <c:v>1.4005000000000001</c:v>
                </c:pt>
                <c:pt idx="277">
                  <c:v>1.5858333333333334</c:v>
                </c:pt>
                <c:pt idx="278">
                  <c:v>1.1376666666666666</c:v>
                </c:pt>
                <c:pt idx="279">
                  <c:v>1.19</c:v>
                </c:pt>
                <c:pt idx="280">
                  <c:v>1.8558333333333337</c:v>
                </c:pt>
                <c:pt idx="281">
                  <c:v>2.1141666666666667</c:v>
                </c:pt>
                <c:pt idx="282">
                  <c:v>3.6625000000000001</c:v>
                </c:pt>
                <c:pt idx="283">
                  <c:v>1.3526666666666667</c:v>
                </c:pt>
                <c:pt idx="284">
                  <c:v>1.4898333333333333</c:v>
                </c:pt>
                <c:pt idx="285">
                  <c:v>1.0756666666666668</c:v>
                </c:pt>
                <c:pt idx="286">
                  <c:v>1.1619999999999999</c:v>
                </c:pt>
                <c:pt idx="287">
                  <c:v>1.323</c:v>
                </c:pt>
                <c:pt idx="288">
                  <c:v>2.5508333333333337</c:v>
                </c:pt>
                <c:pt idx="289">
                  <c:v>1.5958333333333334</c:v>
                </c:pt>
                <c:pt idx="290" formatCode="General">
                  <c:v>2.0825</c:v>
                </c:pt>
                <c:pt idx="291" formatCode="General">
                  <c:v>1.7641666666666667</c:v>
                </c:pt>
                <c:pt idx="292" formatCode="General">
                  <c:v>2.1724999999999999</c:v>
                </c:pt>
                <c:pt idx="293" formatCode="General">
                  <c:v>1.3213333333333332</c:v>
                </c:pt>
                <c:pt idx="294" formatCode="General">
                  <c:v>1.3621666666666665</c:v>
                </c:pt>
                <c:pt idx="295" formatCode="General">
                  <c:v>1.5958333333333334</c:v>
                </c:pt>
                <c:pt idx="296" formatCode="General">
                  <c:v>1.5508333333333335</c:v>
                </c:pt>
                <c:pt idx="297" formatCode="General">
                  <c:v>1.8225</c:v>
                </c:pt>
                <c:pt idx="298" formatCode="General">
                  <c:v>2.5891666666666668</c:v>
                </c:pt>
                <c:pt idx="299" formatCode="General">
                  <c:v>1.4451666666666667</c:v>
                </c:pt>
                <c:pt idx="300" formatCode="General">
                  <c:v>1.4411666666666667</c:v>
                </c:pt>
                <c:pt idx="301" formatCode="General">
                  <c:v>1.9541666666666668</c:v>
                </c:pt>
                <c:pt idx="302" formatCode="General">
                  <c:v>1.5376666666666667</c:v>
                </c:pt>
                <c:pt idx="303" formatCode="General">
                  <c:v>1.4398333333333333</c:v>
                </c:pt>
                <c:pt idx="304" formatCode="General">
                  <c:v>1.9325000000000001</c:v>
                </c:pt>
                <c:pt idx="305" formatCode="General">
                  <c:v>1.9275</c:v>
                </c:pt>
                <c:pt idx="306" formatCode="General">
                  <c:v>1.8075000000000001</c:v>
                </c:pt>
                <c:pt idx="307" formatCode="General">
                  <c:v>1.7191666666666667</c:v>
                </c:pt>
                <c:pt idx="308" formatCode="General">
                  <c:v>2.0775000000000001</c:v>
                </c:pt>
                <c:pt idx="309" formatCode="General">
                  <c:v>1.2716666666666665</c:v>
                </c:pt>
                <c:pt idx="310" formatCode="General">
                  <c:v>1.4953333333333334</c:v>
                </c:pt>
                <c:pt idx="311" formatCode="General">
                  <c:v>3.2941666666666669</c:v>
                </c:pt>
                <c:pt idx="312" formatCode="General">
                  <c:v>2.4241666666666668</c:v>
                </c:pt>
                <c:pt idx="313" formatCode="General">
                  <c:v>1.3941666666666666</c:v>
                </c:pt>
                <c:pt idx="314" formatCode="General">
                  <c:v>2.5225</c:v>
                </c:pt>
                <c:pt idx="315" formatCode="General">
                  <c:v>1.7775000000000001</c:v>
                </c:pt>
                <c:pt idx="316" formatCode="General">
                  <c:v>0.66316666666666668</c:v>
                </c:pt>
                <c:pt idx="317" formatCode="General">
                  <c:v>0.64300000000000002</c:v>
                </c:pt>
                <c:pt idx="318" formatCode="General">
                  <c:v>1.518</c:v>
                </c:pt>
                <c:pt idx="319" formatCode="General">
                  <c:v>1.3123333333333334</c:v>
                </c:pt>
                <c:pt idx="320" formatCode="General">
                  <c:v>2.0341666666666667</c:v>
                </c:pt>
                <c:pt idx="321" formatCode="General">
                  <c:v>3.9358333333333335</c:v>
                </c:pt>
                <c:pt idx="322" formatCode="General">
                  <c:v>1.4836666666666667</c:v>
                </c:pt>
                <c:pt idx="323" formatCode="General">
                  <c:v>1.8991666666666669</c:v>
                </c:pt>
                <c:pt idx="324" formatCode="General">
                  <c:v>1.3496666666666668</c:v>
                </c:pt>
                <c:pt idx="325" formatCode="General">
                  <c:v>0.99016666666666664</c:v>
                </c:pt>
                <c:pt idx="326" formatCode="General">
                  <c:v>2.0175000000000001</c:v>
                </c:pt>
                <c:pt idx="327" formatCode="General">
                  <c:v>1.7958333333333334</c:v>
                </c:pt>
                <c:pt idx="328" formatCode="General">
                  <c:v>2.1908333333333334</c:v>
                </c:pt>
                <c:pt idx="329" formatCode="General">
                  <c:v>1.7691666666666668</c:v>
                </c:pt>
                <c:pt idx="330" formatCode="General">
                  <c:v>1.0008333333333332</c:v>
                </c:pt>
                <c:pt idx="331" formatCode="General">
                  <c:v>2.0908333333333333</c:v>
                </c:pt>
                <c:pt idx="332" formatCode="General">
                  <c:v>4.9158333333333335</c:v>
                </c:pt>
                <c:pt idx="333" formatCode="General">
                  <c:v>4.0674999999999999</c:v>
                </c:pt>
                <c:pt idx="334" formatCode="General">
                  <c:v>3.2358333333333333</c:v>
                </c:pt>
                <c:pt idx="335" formatCode="General">
                  <c:v>3.6391666666666671</c:v>
                </c:pt>
                <c:pt idx="336" formatCode="General">
                  <c:v>2.9091666666666671</c:v>
                </c:pt>
                <c:pt idx="337" formatCode="General">
                  <c:v>3.2058333333333335</c:v>
                </c:pt>
                <c:pt idx="338" formatCode="General">
                  <c:v>1.4348333333333332</c:v>
                </c:pt>
                <c:pt idx="339" formatCode="General">
                  <c:v>1.7675000000000001</c:v>
                </c:pt>
                <c:pt idx="340" formatCode="General">
                  <c:v>2.3174999999999999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Data!$AD$7:$AD$371</c:f>
              <c:numCache>
                <c:formatCode>0.00</c:formatCode>
                <c:ptCount val="365"/>
                <c:pt idx="0">
                  <c:v>2.9941666666666671</c:v>
                </c:pt>
                <c:pt idx="1">
                  <c:v>2.9674999999999998</c:v>
                </c:pt>
                <c:pt idx="2">
                  <c:v>3.1141666666666667</c:v>
                </c:pt>
                <c:pt idx="3">
                  <c:v>2.7408333333333337</c:v>
                </c:pt>
                <c:pt idx="4">
                  <c:v>2.6875</c:v>
                </c:pt>
                <c:pt idx="5">
                  <c:v>2.6475</c:v>
                </c:pt>
                <c:pt idx="6">
                  <c:v>4.020833333333333</c:v>
                </c:pt>
                <c:pt idx="7">
                  <c:v>4.1008333333333331</c:v>
                </c:pt>
                <c:pt idx="8">
                  <c:v>4.3008333333333333</c:v>
                </c:pt>
                <c:pt idx="9">
                  <c:v>3.9674999999999998</c:v>
                </c:pt>
                <c:pt idx="10">
                  <c:v>4.1408333333333331</c:v>
                </c:pt>
                <c:pt idx="11">
                  <c:v>3.3275000000000001</c:v>
                </c:pt>
                <c:pt idx="12">
                  <c:v>5.354166666666667</c:v>
                </c:pt>
                <c:pt idx="13">
                  <c:v>3.5941666666666667</c:v>
                </c:pt>
                <c:pt idx="14">
                  <c:v>2.3008333333333333</c:v>
                </c:pt>
                <c:pt idx="15">
                  <c:v>3.1408333333333336</c:v>
                </c:pt>
                <c:pt idx="16">
                  <c:v>3.8341666666666669</c:v>
                </c:pt>
                <c:pt idx="17">
                  <c:v>5.5674999999999999</c:v>
                </c:pt>
                <c:pt idx="18">
                  <c:v>3.6341666666666668</c:v>
                </c:pt>
                <c:pt idx="19">
                  <c:v>3.9674999999999998</c:v>
                </c:pt>
                <c:pt idx="20">
                  <c:v>3.2341666666666673</c:v>
                </c:pt>
                <c:pt idx="21">
                  <c:v>2.6875</c:v>
                </c:pt>
                <c:pt idx="22">
                  <c:v>3.3941666666666666</c:v>
                </c:pt>
                <c:pt idx="23">
                  <c:v>3.8208333333333337</c:v>
                </c:pt>
                <c:pt idx="24">
                  <c:v>4.5274999999999999</c:v>
                </c:pt>
                <c:pt idx="25">
                  <c:v>3.9674999999999998</c:v>
                </c:pt>
                <c:pt idx="26">
                  <c:v>3.9408333333333334</c:v>
                </c:pt>
                <c:pt idx="27">
                  <c:v>6.0341666666666658</c:v>
                </c:pt>
                <c:pt idx="28">
                  <c:v>6.1808333333333332</c:v>
                </c:pt>
                <c:pt idx="29">
                  <c:v>7.9008333333333329</c:v>
                </c:pt>
                <c:pt idx="30">
                  <c:v>6.9275000000000002</c:v>
                </c:pt>
                <c:pt idx="31">
                  <c:v>6.9675000000000002</c:v>
                </c:pt>
                <c:pt idx="32">
                  <c:v>5.1275000000000004</c:v>
                </c:pt>
                <c:pt idx="33">
                  <c:v>4.6608333333333336</c:v>
                </c:pt>
                <c:pt idx="34">
                  <c:v>2.9275000000000002</c:v>
                </c:pt>
                <c:pt idx="35">
                  <c:v>2.9941666666666671</c:v>
                </c:pt>
                <c:pt idx="36">
                  <c:v>2.6208333333333336</c:v>
                </c:pt>
                <c:pt idx="37">
                  <c:v>2.9541666666666671</c:v>
                </c:pt>
                <c:pt idx="38">
                  <c:v>4.2074999999999996</c:v>
                </c:pt>
                <c:pt idx="39">
                  <c:v>3.5808333333333335</c:v>
                </c:pt>
                <c:pt idx="40">
                  <c:v>4.5274999999999999</c:v>
                </c:pt>
                <c:pt idx="41">
                  <c:v>3.5941666666666667</c:v>
                </c:pt>
                <c:pt idx="42">
                  <c:v>6.6208333333333336</c:v>
                </c:pt>
                <c:pt idx="43">
                  <c:v>4.4208333333333334</c:v>
                </c:pt>
                <c:pt idx="44">
                  <c:v>3.9541666666666666</c:v>
                </c:pt>
                <c:pt idx="45">
                  <c:v>6.7541666666666664</c:v>
                </c:pt>
                <c:pt idx="46">
                  <c:v>5.1275000000000004</c:v>
                </c:pt>
                <c:pt idx="47">
                  <c:v>7.9275000000000002</c:v>
                </c:pt>
                <c:pt idx="48">
                  <c:v>6.1541666666666659</c:v>
                </c:pt>
                <c:pt idx="49">
                  <c:v>8.3541666666666661</c:v>
                </c:pt>
                <c:pt idx="50">
                  <c:v>6.8608333333333329</c:v>
                </c:pt>
                <c:pt idx="51">
                  <c:v>6.9008333333333329</c:v>
                </c:pt>
                <c:pt idx="52">
                  <c:v>3.6875</c:v>
                </c:pt>
                <c:pt idx="53">
                  <c:v>5.0741666666666667</c:v>
                </c:pt>
                <c:pt idx="54">
                  <c:v>7.0075000000000003</c:v>
                </c:pt>
                <c:pt idx="55">
                  <c:v>5.0208333333333339</c:v>
                </c:pt>
                <c:pt idx="56">
                  <c:v>5.5541666666666671</c:v>
                </c:pt>
                <c:pt idx="57">
                  <c:v>4.020833333333333</c:v>
                </c:pt>
                <c:pt idx="58">
                  <c:v>3.7008333333333332</c:v>
                </c:pt>
                <c:pt idx="59">
                  <c:v>3.2875000000000001</c:v>
                </c:pt>
                <c:pt idx="60">
                  <c:v>3.8208333333333337</c:v>
                </c:pt>
                <c:pt idx="61">
                  <c:v>4.9275000000000002</c:v>
                </c:pt>
                <c:pt idx="62">
                  <c:v>3.5408333333333339</c:v>
                </c:pt>
                <c:pt idx="63">
                  <c:v>3.5008333333333335</c:v>
                </c:pt>
                <c:pt idx="64">
                  <c:v>3.8475000000000001</c:v>
                </c:pt>
                <c:pt idx="65">
                  <c:v>3.6475</c:v>
                </c:pt>
                <c:pt idx="66">
                  <c:v>4.0475000000000003</c:v>
                </c:pt>
                <c:pt idx="67">
                  <c:v>8.6074999999999999</c:v>
                </c:pt>
                <c:pt idx="68">
                  <c:v>7.9275000000000002</c:v>
                </c:pt>
                <c:pt idx="69">
                  <c:v>6.4474999999999998</c:v>
                </c:pt>
                <c:pt idx="70">
                  <c:v>4.980833333333333</c:v>
                </c:pt>
                <c:pt idx="71">
                  <c:v>4.9941666666666666</c:v>
                </c:pt>
                <c:pt idx="72">
                  <c:v>5.0608333333333331</c:v>
                </c:pt>
                <c:pt idx="73">
                  <c:v>4.4208333333333334</c:v>
                </c:pt>
                <c:pt idx="74">
                  <c:v>4.8208333333333337</c:v>
                </c:pt>
                <c:pt idx="75">
                  <c:v>4.5541666666666671</c:v>
                </c:pt>
                <c:pt idx="76">
                  <c:v>3.8341666666666669</c:v>
                </c:pt>
                <c:pt idx="77">
                  <c:v>4.4874999999999998</c:v>
                </c:pt>
                <c:pt idx="78">
                  <c:v>7.1808333333333332</c:v>
                </c:pt>
                <c:pt idx="79">
                  <c:v>5.9008333333333329</c:v>
                </c:pt>
                <c:pt idx="80">
                  <c:v>4.9408333333333339</c:v>
                </c:pt>
                <c:pt idx="81">
                  <c:v>4.0341666666666667</c:v>
                </c:pt>
                <c:pt idx="82">
                  <c:v>4.5408333333333335</c:v>
                </c:pt>
                <c:pt idx="83">
                  <c:v>3.4208333333333334</c:v>
                </c:pt>
                <c:pt idx="84">
                  <c:v>4.0741666666666667</c:v>
                </c:pt>
                <c:pt idx="85">
                  <c:v>3.8875000000000002</c:v>
                </c:pt>
                <c:pt idx="86">
                  <c:v>3.6341666666666668</c:v>
                </c:pt>
                <c:pt idx="87">
                  <c:v>4.2341666666666669</c:v>
                </c:pt>
                <c:pt idx="88">
                  <c:v>3.8341666666666669</c:v>
                </c:pt>
                <c:pt idx="89">
                  <c:v>5.5274999999999999</c:v>
                </c:pt>
                <c:pt idx="90">
                  <c:v>5.2874999999999996</c:v>
                </c:pt>
                <c:pt idx="91">
                  <c:v>5.3808333333333334</c:v>
                </c:pt>
                <c:pt idx="92">
                  <c:v>3.3008333333333337</c:v>
                </c:pt>
                <c:pt idx="93">
                  <c:v>9.1408333333333314</c:v>
                </c:pt>
                <c:pt idx="94">
                  <c:v>4.7808333333333337</c:v>
                </c:pt>
                <c:pt idx="95">
                  <c:v>5.7008333333333336</c:v>
                </c:pt>
                <c:pt idx="96">
                  <c:v>5.8608333333333329</c:v>
                </c:pt>
                <c:pt idx="97">
                  <c:v>5.4208333333333334</c:v>
                </c:pt>
                <c:pt idx="98">
                  <c:v>4.020833333333333</c:v>
                </c:pt>
                <c:pt idx="99">
                  <c:v>4.7808333333333337</c:v>
                </c:pt>
                <c:pt idx="100">
                  <c:v>7.0341666666666658</c:v>
                </c:pt>
                <c:pt idx="101">
                  <c:v>5.0341666666666667</c:v>
                </c:pt>
                <c:pt idx="102">
                  <c:v>6.1141666666666667</c:v>
                </c:pt>
                <c:pt idx="103">
                  <c:v>4.434166666666667</c:v>
                </c:pt>
                <c:pt idx="104">
                  <c:v>3.3141666666666665</c:v>
                </c:pt>
                <c:pt idx="105">
                  <c:v>5.0875000000000004</c:v>
                </c:pt>
                <c:pt idx="106">
                  <c:v>4.1141666666666667</c:v>
                </c:pt>
                <c:pt idx="107">
                  <c:v>2.8341666666666669</c:v>
                </c:pt>
                <c:pt idx="108">
                  <c:v>4.3008333333333333</c:v>
                </c:pt>
                <c:pt idx="109">
                  <c:v>3.7275</c:v>
                </c:pt>
                <c:pt idx="110">
                  <c:v>4.5541666666666671</c:v>
                </c:pt>
                <c:pt idx="111">
                  <c:v>4.6875</c:v>
                </c:pt>
                <c:pt idx="112">
                  <c:v>4.5408333333333335</c:v>
                </c:pt>
                <c:pt idx="113">
                  <c:v>6.8208333333333329</c:v>
                </c:pt>
                <c:pt idx="114">
                  <c:v>4.2074999999999996</c:v>
                </c:pt>
                <c:pt idx="115">
                  <c:v>3.8875000000000002</c:v>
                </c:pt>
                <c:pt idx="116">
                  <c:v>6.2341666666666669</c:v>
                </c:pt>
                <c:pt idx="117">
                  <c:v>5.3808333333333334</c:v>
                </c:pt>
                <c:pt idx="118">
                  <c:v>5.4741666666666671</c:v>
                </c:pt>
                <c:pt idx="119">
                  <c:v>5.5008333333333335</c:v>
                </c:pt>
                <c:pt idx="120">
                  <c:v>5.1141666666666667</c:v>
                </c:pt>
                <c:pt idx="121">
                  <c:v>3.7541666666666669</c:v>
                </c:pt>
                <c:pt idx="122">
                  <c:v>3.0874999999999999</c:v>
                </c:pt>
                <c:pt idx="123">
                  <c:v>4.1941666666666668</c:v>
                </c:pt>
                <c:pt idx="124">
                  <c:v>3.7941666666666669</c:v>
                </c:pt>
                <c:pt idx="125">
                  <c:v>4.4608333333333334</c:v>
                </c:pt>
                <c:pt idx="126">
                  <c:v>4.7541666666666664</c:v>
                </c:pt>
                <c:pt idx="127">
                  <c:v>5.0875000000000004</c:v>
                </c:pt>
                <c:pt idx="128">
                  <c:v>4.980833333333333</c:v>
                </c:pt>
                <c:pt idx="129">
                  <c:v>3.2341666666666673</c:v>
                </c:pt>
                <c:pt idx="130">
                  <c:v>4.1008333333333331</c:v>
                </c:pt>
                <c:pt idx="131">
                  <c:v>3.0608333333333335</c:v>
                </c:pt>
                <c:pt idx="132">
                  <c:v>4.0875000000000004</c:v>
                </c:pt>
                <c:pt idx="133">
                  <c:v>4.9941666666666666</c:v>
                </c:pt>
                <c:pt idx="134">
                  <c:v>4.980833333333333</c:v>
                </c:pt>
                <c:pt idx="135">
                  <c:v>4.7541666666666664</c:v>
                </c:pt>
                <c:pt idx="136">
                  <c:v>5.1541666666666668</c:v>
                </c:pt>
                <c:pt idx="137">
                  <c:v>6.0608333333333331</c:v>
                </c:pt>
                <c:pt idx="138">
                  <c:v>4.8875000000000002</c:v>
                </c:pt>
                <c:pt idx="139">
                  <c:v>5.9941666666666658</c:v>
                </c:pt>
                <c:pt idx="140">
                  <c:v>5.5674999999999999</c:v>
                </c:pt>
                <c:pt idx="141">
                  <c:v>4.5941666666666663</c:v>
                </c:pt>
                <c:pt idx="142">
                  <c:v>4.9541666666666666</c:v>
                </c:pt>
                <c:pt idx="143">
                  <c:v>8.5941666666666645</c:v>
                </c:pt>
                <c:pt idx="144">
                  <c:v>5.8475000000000001</c:v>
                </c:pt>
                <c:pt idx="145">
                  <c:v>4.7675000000000001</c:v>
                </c:pt>
                <c:pt idx="146">
                  <c:v>4.7275</c:v>
                </c:pt>
                <c:pt idx="147">
                  <c:v>4.7141666666666673</c:v>
                </c:pt>
                <c:pt idx="148">
                  <c:v>5.2341666666666669</c:v>
                </c:pt>
                <c:pt idx="149">
                  <c:v>7.3808333333333325</c:v>
                </c:pt>
                <c:pt idx="150">
                  <c:v>4.9675000000000002</c:v>
                </c:pt>
                <c:pt idx="151">
                  <c:v>4.7541666666666664</c:v>
                </c:pt>
                <c:pt idx="152">
                  <c:v>4.2341666666666669</c:v>
                </c:pt>
                <c:pt idx="153">
                  <c:v>4.2608333333333333</c:v>
                </c:pt>
                <c:pt idx="154">
                  <c:v>5.7408333333333337</c:v>
                </c:pt>
                <c:pt idx="155">
                  <c:v>4.4474999999999998</c:v>
                </c:pt>
                <c:pt idx="156">
                  <c:v>4.9408333333333339</c:v>
                </c:pt>
                <c:pt idx="157">
                  <c:v>4.9675000000000002</c:v>
                </c:pt>
                <c:pt idx="158">
                  <c:v>5.7541666666666664</c:v>
                </c:pt>
                <c:pt idx="159">
                  <c:v>4.4741666666666671</c:v>
                </c:pt>
                <c:pt idx="160">
                  <c:v>5.4474999999999998</c:v>
                </c:pt>
                <c:pt idx="161">
                  <c:v>4.354166666666667</c:v>
                </c:pt>
                <c:pt idx="162">
                  <c:v>6.6208333333333336</c:v>
                </c:pt>
                <c:pt idx="163">
                  <c:v>5.394166666666667</c:v>
                </c:pt>
                <c:pt idx="164">
                  <c:v>3.3008333333333337</c:v>
                </c:pt>
                <c:pt idx="165">
                  <c:v>4.3408333333333333</c:v>
                </c:pt>
                <c:pt idx="166">
                  <c:v>5.2608333333333333</c:v>
                </c:pt>
                <c:pt idx="167">
                  <c:v>4.8341666666666665</c:v>
                </c:pt>
                <c:pt idx="168">
                  <c:v>3.6074999999999999</c:v>
                </c:pt>
                <c:pt idx="169">
                  <c:v>4.0608333333333331</c:v>
                </c:pt>
                <c:pt idx="170">
                  <c:v>4.6608333333333336</c:v>
                </c:pt>
                <c:pt idx="171">
                  <c:v>3.6741666666666668</c:v>
                </c:pt>
                <c:pt idx="172">
                  <c:v>4.1541666666666668</c:v>
                </c:pt>
                <c:pt idx="173">
                  <c:v>5.1808333333333341</c:v>
                </c:pt>
                <c:pt idx="174">
                  <c:v>5.9141666666666666</c:v>
                </c:pt>
                <c:pt idx="175">
                  <c:v>6.1141666666666667</c:v>
                </c:pt>
                <c:pt idx="176">
                  <c:v>5.8608333333333329</c:v>
                </c:pt>
                <c:pt idx="177">
                  <c:v>5.7408333333333337</c:v>
                </c:pt>
                <c:pt idx="178">
                  <c:v>4.6341666666666672</c:v>
                </c:pt>
                <c:pt idx="179">
                  <c:v>4.7408333333333337</c:v>
                </c:pt>
                <c:pt idx="180">
                  <c:v>4.7141666666666673</c:v>
                </c:pt>
                <c:pt idx="181">
                  <c:v>5.3141666666666669</c:v>
                </c:pt>
                <c:pt idx="182">
                  <c:v>5.5541666666666671</c:v>
                </c:pt>
                <c:pt idx="183">
                  <c:v>4.9941666666666666</c:v>
                </c:pt>
                <c:pt idx="184">
                  <c:v>5.0608333333333331</c:v>
                </c:pt>
                <c:pt idx="185">
                  <c:v>4.4608333333333334</c:v>
                </c:pt>
                <c:pt idx="186">
                  <c:v>4.6741666666666664</c:v>
                </c:pt>
                <c:pt idx="187">
                  <c:v>3.6475</c:v>
                </c:pt>
                <c:pt idx="188">
                  <c:v>3.874166666666667</c:v>
                </c:pt>
                <c:pt idx="189">
                  <c:v>4.8075000000000001</c:v>
                </c:pt>
                <c:pt idx="190">
                  <c:v>4.0741666666666667</c:v>
                </c:pt>
                <c:pt idx="191">
                  <c:v>5.9541666666666666</c:v>
                </c:pt>
                <c:pt idx="192">
                  <c:v>4.980833333333333</c:v>
                </c:pt>
                <c:pt idx="193">
                  <c:v>5.9941666666666658</c:v>
                </c:pt>
                <c:pt idx="194">
                  <c:v>5.3008333333333333</c:v>
                </c:pt>
                <c:pt idx="195">
                  <c:v>5.7408333333333337</c:v>
                </c:pt>
                <c:pt idx="196">
                  <c:v>5.2208333333333332</c:v>
                </c:pt>
                <c:pt idx="197">
                  <c:v>4.9675000000000002</c:v>
                </c:pt>
                <c:pt idx="198">
                  <c:v>5.2608333333333333</c:v>
                </c:pt>
                <c:pt idx="199">
                  <c:v>4.9675000000000002</c:v>
                </c:pt>
                <c:pt idx="200">
                  <c:v>5.5274999999999999</c:v>
                </c:pt>
                <c:pt idx="201">
                  <c:v>5.9541666666666666</c:v>
                </c:pt>
                <c:pt idx="202">
                  <c:v>5.8608333333333329</c:v>
                </c:pt>
                <c:pt idx="203">
                  <c:v>4.4208333333333334</c:v>
                </c:pt>
                <c:pt idx="204">
                  <c:v>4.8608333333333338</c:v>
                </c:pt>
                <c:pt idx="205">
                  <c:v>6.1675000000000004</c:v>
                </c:pt>
                <c:pt idx="206">
                  <c:v>8.0608333333333331</c:v>
                </c:pt>
                <c:pt idx="207">
                  <c:v>6.1541666666666659</c:v>
                </c:pt>
                <c:pt idx="208">
                  <c:v>6.3408333333333333</c:v>
                </c:pt>
                <c:pt idx="209">
                  <c:v>5.3008333333333333</c:v>
                </c:pt>
                <c:pt idx="210">
                  <c:v>4.9941666666666666</c:v>
                </c:pt>
                <c:pt idx="211">
                  <c:v>4.0341666666666667</c:v>
                </c:pt>
                <c:pt idx="212">
                  <c:v>4.2341666666666669</c:v>
                </c:pt>
                <c:pt idx="213">
                  <c:v>3.9408333333333334</c:v>
                </c:pt>
                <c:pt idx="214">
                  <c:v>4.9275000000000002</c:v>
                </c:pt>
                <c:pt idx="215">
                  <c:v>6.7541666666666664</c:v>
                </c:pt>
                <c:pt idx="216">
                  <c:v>6.2874999999999996</c:v>
                </c:pt>
                <c:pt idx="217">
                  <c:v>4.5674999999999999</c:v>
                </c:pt>
                <c:pt idx="218">
                  <c:v>5.4741666666666671</c:v>
                </c:pt>
                <c:pt idx="219">
                  <c:v>4.8208333333333337</c:v>
                </c:pt>
                <c:pt idx="220">
                  <c:v>3.7141666666666668</c:v>
                </c:pt>
                <c:pt idx="221">
                  <c:v>4.5408333333333335</c:v>
                </c:pt>
                <c:pt idx="222">
                  <c:v>4.0608333333333331</c:v>
                </c:pt>
                <c:pt idx="223">
                  <c:v>5.3141666666666669</c:v>
                </c:pt>
                <c:pt idx="224">
                  <c:v>4.4474999999999998</c:v>
                </c:pt>
                <c:pt idx="225">
                  <c:v>5.2874999999999996</c:v>
                </c:pt>
                <c:pt idx="226">
                  <c:v>5.6608333333333336</c:v>
                </c:pt>
                <c:pt idx="227">
                  <c:v>4.6341666666666672</c:v>
                </c:pt>
                <c:pt idx="228">
                  <c:v>4.1008333333333331</c:v>
                </c:pt>
                <c:pt idx="229">
                  <c:v>4.7808333333333337</c:v>
                </c:pt>
                <c:pt idx="230">
                  <c:v>6.0875000000000004</c:v>
                </c:pt>
                <c:pt idx="231">
                  <c:v>5.5808333333333335</c:v>
                </c:pt>
                <c:pt idx="232">
                  <c:v>5.9141666666666666</c:v>
                </c:pt>
                <c:pt idx="233">
                  <c:v>5.0075000000000003</c:v>
                </c:pt>
                <c:pt idx="234">
                  <c:v>6.3674999999999997</c:v>
                </c:pt>
                <c:pt idx="235">
                  <c:v>4.2341666666666669</c:v>
                </c:pt>
                <c:pt idx="236">
                  <c:v>4.2474999999999996</c:v>
                </c:pt>
                <c:pt idx="237">
                  <c:v>5.0608333333333331</c:v>
                </c:pt>
                <c:pt idx="238">
                  <c:v>4.6608333333333336</c:v>
                </c:pt>
                <c:pt idx="239">
                  <c:v>4.4741666666666671</c:v>
                </c:pt>
                <c:pt idx="240">
                  <c:v>4.9541666666666666</c:v>
                </c:pt>
                <c:pt idx="241">
                  <c:v>4.1941666666666668</c:v>
                </c:pt>
                <c:pt idx="242">
                  <c:v>4.8608333333333338</c:v>
                </c:pt>
                <c:pt idx="243">
                  <c:v>4.9408333333333339</c:v>
                </c:pt>
                <c:pt idx="244">
                  <c:v>5.0875000000000004</c:v>
                </c:pt>
                <c:pt idx="245">
                  <c:v>4.2474999999999996</c:v>
                </c:pt>
                <c:pt idx="246">
                  <c:v>5.4208333333333334</c:v>
                </c:pt>
                <c:pt idx="247">
                  <c:v>4.4741666666666671</c:v>
                </c:pt>
                <c:pt idx="248">
                  <c:v>3.7008333333333332</c:v>
                </c:pt>
                <c:pt idx="249">
                  <c:v>4.4874999999999998</c:v>
                </c:pt>
                <c:pt idx="250">
                  <c:v>4.6475</c:v>
                </c:pt>
                <c:pt idx="251">
                  <c:v>4.1541666666666668</c:v>
                </c:pt>
                <c:pt idx="252">
                  <c:v>4.4208333333333334</c:v>
                </c:pt>
                <c:pt idx="253">
                  <c:v>4.6608333333333336</c:v>
                </c:pt>
                <c:pt idx="254">
                  <c:v>4.314166666666666</c:v>
                </c:pt>
                <c:pt idx="255">
                  <c:v>4.6074999999999999</c:v>
                </c:pt>
                <c:pt idx="256">
                  <c:v>4.1275000000000004</c:v>
                </c:pt>
                <c:pt idx="257">
                  <c:v>4.7941666666666674</c:v>
                </c:pt>
                <c:pt idx="258">
                  <c:v>4.2208333333333332</c:v>
                </c:pt>
                <c:pt idx="259">
                  <c:v>4.0475000000000003</c:v>
                </c:pt>
                <c:pt idx="260">
                  <c:v>4.4608333333333334</c:v>
                </c:pt>
                <c:pt idx="261">
                  <c:v>4.6741666666666664</c:v>
                </c:pt>
                <c:pt idx="262">
                  <c:v>4.5941666666666663</c:v>
                </c:pt>
                <c:pt idx="263">
                  <c:v>4.2208333333333332</c:v>
                </c:pt>
                <c:pt idx="264">
                  <c:v>3.8208333333333337</c:v>
                </c:pt>
                <c:pt idx="265">
                  <c:v>4.7808333333333337</c:v>
                </c:pt>
                <c:pt idx="266">
                  <c:v>3.9408333333333334</c:v>
                </c:pt>
                <c:pt idx="267">
                  <c:v>3.874166666666667</c:v>
                </c:pt>
                <c:pt idx="268">
                  <c:v>5.980833333333333</c:v>
                </c:pt>
                <c:pt idx="269">
                  <c:v>4.2874999999999996</c:v>
                </c:pt>
                <c:pt idx="270">
                  <c:v>4.4608333333333334</c:v>
                </c:pt>
                <c:pt idx="271">
                  <c:v>3.6208333333333331</c:v>
                </c:pt>
                <c:pt idx="272">
                  <c:v>5.9941666666666658</c:v>
                </c:pt>
                <c:pt idx="273">
                  <c:v>3.6608333333333336</c:v>
                </c:pt>
                <c:pt idx="274">
                  <c:v>4.1408333333333331</c:v>
                </c:pt>
                <c:pt idx="275">
                  <c:v>5.5008333333333335</c:v>
                </c:pt>
                <c:pt idx="276">
                  <c:v>3.4874999999999998</c:v>
                </c:pt>
                <c:pt idx="277">
                  <c:v>4.2341666666666669</c:v>
                </c:pt>
                <c:pt idx="278">
                  <c:v>3.9541666666666666</c:v>
                </c:pt>
                <c:pt idx="279">
                  <c:v>4.2741666666666669</c:v>
                </c:pt>
                <c:pt idx="280">
                  <c:v>6.5141666666666662</c:v>
                </c:pt>
                <c:pt idx="281">
                  <c:v>5.8875000000000002</c:v>
                </c:pt>
                <c:pt idx="282">
                  <c:v>7.7675000000000001</c:v>
                </c:pt>
                <c:pt idx="283">
                  <c:v>4.8475000000000001</c:v>
                </c:pt>
                <c:pt idx="284">
                  <c:v>3.8608333333333333</c:v>
                </c:pt>
                <c:pt idx="285">
                  <c:v>3.1408333333333336</c:v>
                </c:pt>
                <c:pt idx="286">
                  <c:v>3.9674999999999998</c:v>
                </c:pt>
                <c:pt idx="287">
                  <c:v>5.8608333333333329</c:v>
                </c:pt>
                <c:pt idx="288">
                  <c:v>7.7275</c:v>
                </c:pt>
                <c:pt idx="289">
                  <c:v>5.7408333333333337</c:v>
                </c:pt>
                <c:pt idx="290" formatCode="General">
                  <c:v>5.6341666666666672</c:v>
                </c:pt>
                <c:pt idx="291" formatCode="General">
                  <c:v>4.9008333333333338</c:v>
                </c:pt>
                <c:pt idx="292" formatCode="General">
                  <c:v>5.8608333333333329</c:v>
                </c:pt>
                <c:pt idx="293" formatCode="General">
                  <c:v>3.7141666666666668</c:v>
                </c:pt>
                <c:pt idx="294" formatCode="General">
                  <c:v>4.0075000000000003</c:v>
                </c:pt>
                <c:pt idx="295" formatCode="General">
                  <c:v>5.4074999999999998</c:v>
                </c:pt>
                <c:pt idx="296" formatCode="General">
                  <c:v>4.6475</c:v>
                </c:pt>
                <c:pt idx="297" formatCode="General">
                  <c:v>6.2074999999999996</c:v>
                </c:pt>
                <c:pt idx="298" formatCode="General">
                  <c:v>6.7675000000000001</c:v>
                </c:pt>
                <c:pt idx="299" formatCode="General">
                  <c:v>4.3008333333333333</c:v>
                </c:pt>
                <c:pt idx="300" formatCode="General">
                  <c:v>3.434166666666667</c:v>
                </c:pt>
                <c:pt idx="301" formatCode="General">
                  <c:v>3.8875000000000002</c:v>
                </c:pt>
                <c:pt idx="302" formatCode="General">
                  <c:v>2.9541666666666671</c:v>
                </c:pt>
                <c:pt idx="303" formatCode="General">
                  <c:v>4.0608333333333331</c:v>
                </c:pt>
                <c:pt idx="304" formatCode="General">
                  <c:v>3.5008333333333335</c:v>
                </c:pt>
                <c:pt idx="305" formatCode="General">
                  <c:v>3.5941666666666667</c:v>
                </c:pt>
                <c:pt idx="306" formatCode="General">
                  <c:v>3.354166666666667</c:v>
                </c:pt>
                <c:pt idx="307" formatCode="General">
                  <c:v>4.434166666666667</c:v>
                </c:pt>
                <c:pt idx="308" formatCode="General">
                  <c:v>4.7675000000000001</c:v>
                </c:pt>
                <c:pt idx="309" formatCode="General">
                  <c:v>2.8608333333333333</c:v>
                </c:pt>
                <c:pt idx="310" formatCode="General">
                  <c:v>3.4608333333333339</c:v>
                </c:pt>
                <c:pt idx="311" formatCode="General">
                  <c:v>8.8208333333333311</c:v>
                </c:pt>
                <c:pt idx="312" formatCode="General">
                  <c:v>7.1941666666666659</c:v>
                </c:pt>
                <c:pt idx="313" formatCode="General">
                  <c:v>5.1141666666666667</c:v>
                </c:pt>
                <c:pt idx="314" formatCode="General">
                  <c:v>8.274166666666666</c:v>
                </c:pt>
                <c:pt idx="315" formatCode="General">
                  <c:v>4.4474999999999998</c:v>
                </c:pt>
                <c:pt idx="316" formatCode="General">
                  <c:v>2.7675000000000001</c:v>
                </c:pt>
                <c:pt idx="317" formatCode="General">
                  <c:v>2.4341666666666666</c:v>
                </c:pt>
                <c:pt idx="318" formatCode="General">
                  <c:v>4.6608333333333336</c:v>
                </c:pt>
                <c:pt idx="319" formatCode="General">
                  <c:v>4.5274999999999999</c:v>
                </c:pt>
                <c:pt idx="320" formatCode="General">
                  <c:v>7.3408333333333333</c:v>
                </c:pt>
                <c:pt idx="321" formatCode="General">
                  <c:v>11.180833333333331</c:v>
                </c:pt>
                <c:pt idx="322" formatCode="General">
                  <c:v>2.9008333333333334</c:v>
                </c:pt>
                <c:pt idx="323" formatCode="General">
                  <c:v>3.7141666666666668</c:v>
                </c:pt>
                <c:pt idx="324" formatCode="General">
                  <c:v>4.4474999999999998</c:v>
                </c:pt>
                <c:pt idx="325" formatCode="General">
                  <c:v>4.434166666666667</c:v>
                </c:pt>
                <c:pt idx="326" formatCode="General">
                  <c:v>6.0741666666666667</c:v>
                </c:pt>
                <c:pt idx="327" formatCode="General">
                  <c:v>5.2208333333333332</c:v>
                </c:pt>
                <c:pt idx="328" formatCode="General">
                  <c:v>6.1275000000000004</c:v>
                </c:pt>
                <c:pt idx="329" formatCode="General">
                  <c:v>3.7275</c:v>
                </c:pt>
                <c:pt idx="330" formatCode="General">
                  <c:v>3.874166666666667</c:v>
                </c:pt>
                <c:pt idx="331" formatCode="General">
                  <c:v>8.4474999999999998</c:v>
                </c:pt>
                <c:pt idx="332" formatCode="General">
                  <c:v>11.647500000000001</c:v>
                </c:pt>
                <c:pt idx="333" formatCode="General">
                  <c:v>9.8074999999999992</c:v>
                </c:pt>
                <c:pt idx="334" formatCode="General">
                  <c:v>7.9541666666666666</c:v>
                </c:pt>
                <c:pt idx="335" formatCode="General">
                  <c:v>8.7274999999999991</c:v>
                </c:pt>
                <c:pt idx="336" formatCode="General">
                  <c:v>8.0341666666666658</c:v>
                </c:pt>
                <c:pt idx="337" formatCode="General">
                  <c:v>9.2475000000000005</c:v>
                </c:pt>
                <c:pt idx="338" formatCode="General">
                  <c:v>3.354166666666667</c:v>
                </c:pt>
                <c:pt idx="339" formatCode="General">
                  <c:v>5.0208333333333339</c:v>
                </c:pt>
                <c:pt idx="340" formatCode="General">
                  <c:v>5.100833333333334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725760"/>
        <c:axId val="236727680"/>
      </c:lineChart>
      <c:catAx>
        <c:axId val="236725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7438752783964366"/>
              <c:y val="0.942903752039151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27680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36727680"/>
        <c:scaling>
          <c:orientation val="minMax"/>
          <c:max val="1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Wind speed (m/s)</a:t>
                </a:r>
              </a:p>
            </c:rich>
          </c:tx>
          <c:layout>
            <c:manualLayout>
              <c:xMode val="edge"/>
              <c:yMode val="edge"/>
              <c:x val="1.1135857461024498E-3"/>
              <c:y val="0.363784665579119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72576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Precipitation (mm)
June - October</a:t>
            </a:r>
          </a:p>
        </c:rich>
      </c:tx>
      <c:layout>
        <c:manualLayout>
          <c:xMode val="edge"/>
          <c:yMode val="edge"/>
          <c:x val="0.34521158129175944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95545657015584E-2"/>
          <c:y val="0.2039151712887439"/>
          <c:w val="0.89086859688195996"/>
          <c:h val="0.65415986949429039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Data!$B$158:$B$310</c:f>
              <c:numCache>
                <c:formatCode>General</c:formatCode>
                <c:ptCount val="153"/>
                <c:pt idx="0">
                  <c:v>152</c:v>
                </c:pt>
                <c:pt idx="1">
                  <c:v>153</c:v>
                </c:pt>
                <c:pt idx="2">
                  <c:v>154</c:v>
                </c:pt>
                <c:pt idx="3">
                  <c:v>155</c:v>
                </c:pt>
                <c:pt idx="4">
                  <c:v>156</c:v>
                </c:pt>
                <c:pt idx="5">
                  <c:v>157</c:v>
                </c:pt>
                <c:pt idx="6">
                  <c:v>158</c:v>
                </c:pt>
                <c:pt idx="7">
                  <c:v>159</c:v>
                </c:pt>
                <c:pt idx="8">
                  <c:v>160</c:v>
                </c:pt>
                <c:pt idx="9">
                  <c:v>161</c:v>
                </c:pt>
                <c:pt idx="10">
                  <c:v>162</c:v>
                </c:pt>
                <c:pt idx="11">
                  <c:v>163</c:v>
                </c:pt>
                <c:pt idx="12">
                  <c:v>164</c:v>
                </c:pt>
                <c:pt idx="13">
                  <c:v>165</c:v>
                </c:pt>
                <c:pt idx="14">
                  <c:v>166</c:v>
                </c:pt>
                <c:pt idx="15">
                  <c:v>167</c:v>
                </c:pt>
                <c:pt idx="16">
                  <c:v>168</c:v>
                </c:pt>
                <c:pt idx="17">
                  <c:v>169</c:v>
                </c:pt>
                <c:pt idx="18">
                  <c:v>170</c:v>
                </c:pt>
                <c:pt idx="19">
                  <c:v>171</c:v>
                </c:pt>
                <c:pt idx="20">
                  <c:v>172</c:v>
                </c:pt>
                <c:pt idx="21">
                  <c:v>173</c:v>
                </c:pt>
                <c:pt idx="22">
                  <c:v>174</c:v>
                </c:pt>
                <c:pt idx="23">
                  <c:v>175</c:v>
                </c:pt>
                <c:pt idx="24">
                  <c:v>176</c:v>
                </c:pt>
                <c:pt idx="25">
                  <c:v>177</c:v>
                </c:pt>
                <c:pt idx="26">
                  <c:v>178</c:v>
                </c:pt>
                <c:pt idx="27">
                  <c:v>179</c:v>
                </c:pt>
                <c:pt idx="28">
                  <c:v>180</c:v>
                </c:pt>
                <c:pt idx="29">
                  <c:v>181</c:v>
                </c:pt>
                <c:pt idx="30">
                  <c:v>182</c:v>
                </c:pt>
                <c:pt idx="31">
                  <c:v>183</c:v>
                </c:pt>
                <c:pt idx="32">
                  <c:v>184</c:v>
                </c:pt>
                <c:pt idx="33">
                  <c:v>185</c:v>
                </c:pt>
                <c:pt idx="34">
                  <c:v>186</c:v>
                </c:pt>
                <c:pt idx="35">
                  <c:v>187</c:v>
                </c:pt>
                <c:pt idx="36">
                  <c:v>188</c:v>
                </c:pt>
                <c:pt idx="37">
                  <c:v>189</c:v>
                </c:pt>
                <c:pt idx="38">
                  <c:v>190</c:v>
                </c:pt>
                <c:pt idx="39">
                  <c:v>191</c:v>
                </c:pt>
                <c:pt idx="40">
                  <c:v>192</c:v>
                </c:pt>
                <c:pt idx="41">
                  <c:v>193</c:v>
                </c:pt>
                <c:pt idx="42">
                  <c:v>194</c:v>
                </c:pt>
                <c:pt idx="43">
                  <c:v>195</c:v>
                </c:pt>
                <c:pt idx="44">
                  <c:v>196</c:v>
                </c:pt>
                <c:pt idx="45">
                  <c:v>197</c:v>
                </c:pt>
                <c:pt idx="46">
                  <c:v>198</c:v>
                </c:pt>
                <c:pt idx="47">
                  <c:v>199</c:v>
                </c:pt>
                <c:pt idx="48">
                  <c:v>200</c:v>
                </c:pt>
                <c:pt idx="49">
                  <c:v>201</c:v>
                </c:pt>
                <c:pt idx="50">
                  <c:v>202</c:v>
                </c:pt>
                <c:pt idx="51">
                  <c:v>203</c:v>
                </c:pt>
                <c:pt idx="52">
                  <c:v>204</c:v>
                </c:pt>
                <c:pt idx="53">
                  <c:v>205</c:v>
                </c:pt>
                <c:pt idx="54">
                  <c:v>206</c:v>
                </c:pt>
                <c:pt idx="55">
                  <c:v>207</c:v>
                </c:pt>
                <c:pt idx="56">
                  <c:v>208</c:v>
                </c:pt>
                <c:pt idx="57">
                  <c:v>209</c:v>
                </c:pt>
                <c:pt idx="58">
                  <c:v>210</c:v>
                </c:pt>
                <c:pt idx="59">
                  <c:v>211</c:v>
                </c:pt>
                <c:pt idx="60">
                  <c:v>212</c:v>
                </c:pt>
                <c:pt idx="61">
                  <c:v>213</c:v>
                </c:pt>
                <c:pt idx="62">
                  <c:v>214</c:v>
                </c:pt>
                <c:pt idx="63">
                  <c:v>215</c:v>
                </c:pt>
                <c:pt idx="64">
                  <c:v>216</c:v>
                </c:pt>
                <c:pt idx="65">
                  <c:v>217</c:v>
                </c:pt>
                <c:pt idx="66">
                  <c:v>218</c:v>
                </c:pt>
                <c:pt idx="67">
                  <c:v>219</c:v>
                </c:pt>
                <c:pt idx="68">
                  <c:v>220</c:v>
                </c:pt>
                <c:pt idx="69">
                  <c:v>221</c:v>
                </c:pt>
                <c:pt idx="70">
                  <c:v>222</c:v>
                </c:pt>
                <c:pt idx="71">
                  <c:v>223</c:v>
                </c:pt>
                <c:pt idx="72">
                  <c:v>224</c:v>
                </c:pt>
                <c:pt idx="73">
                  <c:v>225</c:v>
                </c:pt>
                <c:pt idx="74">
                  <c:v>226</c:v>
                </c:pt>
                <c:pt idx="75">
                  <c:v>227</c:v>
                </c:pt>
                <c:pt idx="76">
                  <c:v>228</c:v>
                </c:pt>
                <c:pt idx="77">
                  <c:v>229</c:v>
                </c:pt>
                <c:pt idx="78">
                  <c:v>230</c:v>
                </c:pt>
                <c:pt idx="79">
                  <c:v>231</c:v>
                </c:pt>
                <c:pt idx="80">
                  <c:v>232</c:v>
                </c:pt>
                <c:pt idx="81">
                  <c:v>233</c:v>
                </c:pt>
                <c:pt idx="82">
                  <c:v>234</c:v>
                </c:pt>
                <c:pt idx="83">
                  <c:v>235</c:v>
                </c:pt>
                <c:pt idx="84">
                  <c:v>236</c:v>
                </c:pt>
                <c:pt idx="85">
                  <c:v>237</c:v>
                </c:pt>
                <c:pt idx="86">
                  <c:v>238</c:v>
                </c:pt>
                <c:pt idx="87">
                  <c:v>239</c:v>
                </c:pt>
                <c:pt idx="88">
                  <c:v>240</c:v>
                </c:pt>
                <c:pt idx="89">
                  <c:v>241</c:v>
                </c:pt>
                <c:pt idx="90">
                  <c:v>242</c:v>
                </c:pt>
                <c:pt idx="91">
                  <c:v>243</c:v>
                </c:pt>
                <c:pt idx="92">
                  <c:v>244</c:v>
                </c:pt>
                <c:pt idx="93">
                  <c:v>245</c:v>
                </c:pt>
                <c:pt idx="94">
                  <c:v>246</c:v>
                </c:pt>
                <c:pt idx="95">
                  <c:v>247</c:v>
                </c:pt>
                <c:pt idx="96">
                  <c:v>248</c:v>
                </c:pt>
                <c:pt idx="97">
                  <c:v>249</c:v>
                </c:pt>
                <c:pt idx="98">
                  <c:v>250</c:v>
                </c:pt>
                <c:pt idx="99">
                  <c:v>251</c:v>
                </c:pt>
                <c:pt idx="100">
                  <c:v>252</c:v>
                </c:pt>
                <c:pt idx="101">
                  <c:v>253</c:v>
                </c:pt>
                <c:pt idx="102">
                  <c:v>254</c:v>
                </c:pt>
                <c:pt idx="103">
                  <c:v>255</c:v>
                </c:pt>
                <c:pt idx="104">
                  <c:v>256</c:v>
                </c:pt>
                <c:pt idx="105">
                  <c:v>257</c:v>
                </c:pt>
                <c:pt idx="106">
                  <c:v>258</c:v>
                </c:pt>
                <c:pt idx="107">
                  <c:v>259</c:v>
                </c:pt>
                <c:pt idx="108">
                  <c:v>260</c:v>
                </c:pt>
                <c:pt idx="109">
                  <c:v>261</c:v>
                </c:pt>
                <c:pt idx="110">
                  <c:v>262</c:v>
                </c:pt>
                <c:pt idx="111">
                  <c:v>263</c:v>
                </c:pt>
                <c:pt idx="112">
                  <c:v>264</c:v>
                </c:pt>
                <c:pt idx="113">
                  <c:v>265</c:v>
                </c:pt>
                <c:pt idx="114">
                  <c:v>266</c:v>
                </c:pt>
                <c:pt idx="115">
                  <c:v>267</c:v>
                </c:pt>
                <c:pt idx="116">
                  <c:v>268</c:v>
                </c:pt>
                <c:pt idx="117">
                  <c:v>269</c:v>
                </c:pt>
                <c:pt idx="118">
                  <c:v>270</c:v>
                </c:pt>
                <c:pt idx="119">
                  <c:v>271</c:v>
                </c:pt>
                <c:pt idx="120">
                  <c:v>272</c:v>
                </c:pt>
                <c:pt idx="121">
                  <c:v>273</c:v>
                </c:pt>
                <c:pt idx="122">
                  <c:v>274</c:v>
                </c:pt>
                <c:pt idx="123">
                  <c:v>275</c:v>
                </c:pt>
                <c:pt idx="124">
                  <c:v>276</c:v>
                </c:pt>
                <c:pt idx="125">
                  <c:v>277</c:v>
                </c:pt>
                <c:pt idx="126">
                  <c:v>278</c:v>
                </c:pt>
                <c:pt idx="127">
                  <c:v>279</c:v>
                </c:pt>
                <c:pt idx="128">
                  <c:v>280</c:v>
                </c:pt>
                <c:pt idx="129">
                  <c:v>281</c:v>
                </c:pt>
                <c:pt idx="130">
                  <c:v>282</c:v>
                </c:pt>
                <c:pt idx="131">
                  <c:v>283</c:v>
                </c:pt>
                <c:pt idx="132">
                  <c:v>284</c:v>
                </c:pt>
                <c:pt idx="133">
                  <c:v>285</c:v>
                </c:pt>
                <c:pt idx="134">
                  <c:v>286</c:v>
                </c:pt>
                <c:pt idx="135">
                  <c:v>287</c:v>
                </c:pt>
                <c:pt idx="136">
                  <c:v>288</c:v>
                </c:pt>
                <c:pt idx="137">
                  <c:v>289</c:v>
                </c:pt>
                <c:pt idx="138">
                  <c:v>290</c:v>
                </c:pt>
                <c:pt idx="139">
                  <c:v>291</c:v>
                </c:pt>
                <c:pt idx="140">
                  <c:v>292</c:v>
                </c:pt>
                <c:pt idx="141">
                  <c:v>293</c:v>
                </c:pt>
                <c:pt idx="142">
                  <c:v>294</c:v>
                </c:pt>
                <c:pt idx="143">
                  <c:v>295</c:v>
                </c:pt>
                <c:pt idx="144">
                  <c:v>296</c:v>
                </c:pt>
                <c:pt idx="145">
                  <c:v>297</c:v>
                </c:pt>
                <c:pt idx="146">
                  <c:v>298</c:v>
                </c:pt>
                <c:pt idx="147">
                  <c:v>299</c:v>
                </c:pt>
                <c:pt idx="148">
                  <c:v>300</c:v>
                </c:pt>
                <c:pt idx="149">
                  <c:v>301</c:v>
                </c:pt>
                <c:pt idx="150">
                  <c:v>302</c:v>
                </c:pt>
                <c:pt idx="151">
                  <c:v>303</c:v>
                </c:pt>
                <c:pt idx="152">
                  <c:v>304</c:v>
                </c:pt>
              </c:numCache>
            </c:numRef>
          </c:cat>
          <c:val>
            <c:numRef>
              <c:f>Data!$Q$158:$Q$310</c:f>
              <c:numCache>
                <c:formatCode>General</c:formatCode>
                <c:ptCount val="1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</c:v>
                </c:pt>
                <c:pt idx="11">
                  <c:v>7</c:v>
                </c:pt>
                <c:pt idx="12">
                  <c:v>3</c:v>
                </c:pt>
                <c:pt idx="13">
                  <c:v>6</c:v>
                </c:pt>
                <c:pt idx="14">
                  <c:v>2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</c:v>
                </c:pt>
                <c:pt idx="32">
                  <c:v>0</c:v>
                </c:pt>
                <c:pt idx="33">
                  <c:v>5</c:v>
                </c:pt>
                <c:pt idx="34">
                  <c:v>2</c:v>
                </c:pt>
                <c:pt idx="35">
                  <c:v>3</c:v>
                </c:pt>
                <c:pt idx="36">
                  <c:v>0</c:v>
                </c:pt>
                <c:pt idx="37">
                  <c:v>0</c:v>
                </c:pt>
                <c:pt idx="38">
                  <c:v>11</c:v>
                </c:pt>
                <c:pt idx="39">
                  <c:v>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4</c:v>
                </c:pt>
                <c:pt idx="53">
                  <c:v>1</c:v>
                </c:pt>
                <c:pt idx="54">
                  <c:v>8</c:v>
                </c:pt>
                <c:pt idx="55">
                  <c:v>10</c:v>
                </c:pt>
                <c:pt idx="56">
                  <c:v>3</c:v>
                </c:pt>
                <c:pt idx="57">
                  <c:v>2</c:v>
                </c:pt>
                <c:pt idx="58">
                  <c:v>3</c:v>
                </c:pt>
                <c:pt idx="59">
                  <c:v>0</c:v>
                </c:pt>
                <c:pt idx="60">
                  <c:v>2</c:v>
                </c:pt>
                <c:pt idx="61">
                  <c:v>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</c:v>
                </c:pt>
                <c:pt idx="66">
                  <c:v>5</c:v>
                </c:pt>
                <c:pt idx="67">
                  <c:v>3</c:v>
                </c:pt>
                <c:pt idx="68">
                  <c:v>2</c:v>
                </c:pt>
                <c:pt idx="69">
                  <c:v>4</c:v>
                </c:pt>
                <c:pt idx="70">
                  <c:v>3</c:v>
                </c:pt>
                <c:pt idx="71">
                  <c:v>1</c:v>
                </c:pt>
                <c:pt idx="72">
                  <c:v>1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14</c:v>
                </c:pt>
                <c:pt idx="81">
                  <c:v>29</c:v>
                </c:pt>
                <c:pt idx="82">
                  <c:v>12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7</c:v>
                </c:pt>
                <c:pt idx="89">
                  <c:v>12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20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7</c:v>
                </c:pt>
                <c:pt idx="120">
                  <c:v>2</c:v>
                </c:pt>
                <c:pt idx="121">
                  <c:v>3</c:v>
                </c:pt>
                <c:pt idx="122">
                  <c:v>14</c:v>
                </c:pt>
                <c:pt idx="123">
                  <c:v>1</c:v>
                </c:pt>
                <c:pt idx="124">
                  <c:v>3</c:v>
                </c:pt>
                <c:pt idx="125">
                  <c:v>11</c:v>
                </c:pt>
                <c:pt idx="126">
                  <c:v>1</c:v>
                </c:pt>
                <c:pt idx="127">
                  <c:v>5</c:v>
                </c:pt>
                <c:pt idx="128">
                  <c:v>0</c:v>
                </c:pt>
                <c:pt idx="129">
                  <c:v>9</c:v>
                </c:pt>
                <c:pt idx="130">
                  <c:v>1</c:v>
                </c:pt>
                <c:pt idx="131">
                  <c:v>1</c:v>
                </c:pt>
                <c:pt idx="132">
                  <c:v>7</c:v>
                </c:pt>
                <c:pt idx="133">
                  <c:v>3</c:v>
                </c:pt>
                <c:pt idx="134">
                  <c:v>1</c:v>
                </c:pt>
                <c:pt idx="135">
                  <c:v>26</c:v>
                </c:pt>
                <c:pt idx="136">
                  <c:v>3</c:v>
                </c:pt>
                <c:pt idx="137">
                  <c:v>9</c:v>
                </c:pt>
                <c:pt idx="138">
                  <c:v>15</c:v>
                </c:pt>
                <c:pt idx="139">
                  <c:v>1</c:v>
                </c:pt>
                <c:pt idx="140">
                  <c:v>5</c:v>
                </c:pt>
                <c:pt idx="141">
                  <c:v>2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2</c:v>
                </c:pt>
                <c:pt idx="146">
                  <c:v>0</c:v>
                </c:pt>
                <c:pt idx="147">
                  <c:v>2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916096"/>
        <c:axId val="236938752"/>
      </c:barChart>
      <c:catAx>
        <c:axId val="236916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106904231625836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93875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6938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388254486133768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9160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Vapour Pressure Deficit (kPa)</a:t>
            </a:r>
          </a:p>
        </c:rich>
      </c:tx>
      <c:layout>
        <c:manualLayout>
          <c:xMode val="edge"/>
          <c:yMode val="edge"/>
          <c:x val="0.2761692650334075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67706013363029"/>
          <c:y val="0.15334420880913541"/>
          <c:w val="0.88418708240534516"/>
          <c:h val="0.70473083197389885"/>
        </c:manualLayout>
      </c:layout>
      <c:lineChart>
        <c:grouping val="standard"/>
        <c:varyColors val="0"/>
        <c:ser>
          <c:idx val="0"/>
          <c:order val="0"/>
          <c:tx>
            <c:v>VPD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Data!$BQ$7:$BQ$371</c:f>
              <c:numCache>
                <c:formatCode>0.000</c:formatCode>
                <c:ptCount val="365"/>
                <c:pt idx="0">
                  <c:v>0.113</c:v>
                </c:pt>
                <c:pt idx="1">
                  <c:v>0.114</c:v>
                </c:pt>
                <c:pt idx="2">
                  <c:v>0.11600000000000001</c:v>
                </c:pt>
                <c:pt idx="3">
                  <c:v>0.128</c:v>
                </c:pt>
                <c:pt idx="4">
                  <c:v>0.17100000000000001</c:v>
                </c:pt>
                <c:pt idx="5">
                  <c:v>0.161</c:v>
                </c:pt>
                <c:pt idx="6">
                  <c:v>0.152</c:v>
                </c:pt>
                <c:pt idx="7">
                  <c:v>0.14599999999999999</c:v>
                </c:pt>
                <c:pt idx="8">
                  <c:v>0.161</c:v>
                </c:pt>
                <c:pt idx="9">
                  <c:v>0.152</c:v>
                </c:pt>
                <c:pt idx="10">
                  <c:v>4.7E-2</c:v>
                </c:pt>
                <c:pt idx="11">
                  <c:v>0.19900000000000001</c:v>
                </c:pt>
                <c:pt idx="12">
                  <c:v>0.155</c:v>
                </c:pt>
                <c:pt idx="13">
                  <c:v>0.123</c:v>
                </c:pt>
                <c:pt idx="14">
                  <c:v>0.156</c:v>
                </c:pt>
                <c:pt idx="15">
                  <c:v>3.5999999999999997E-2</c:v>
                </c:pt>
                <c:pt idx="16">
                  <c:v>8.6999999999999994E-2</c:v>
                </c:pt>
                <c:pt idx="17">
                  <c:v>0.108</c:v>
                </c:pt>
                <c:pt idx="18">
                  <c:v>0.37</c:v>
                </c:pt>
                <c:pt idx="19">
                  <c:v>0.47199999999999998</c:v>
                </c:pt>
                <c:pt idx="20">
                  <c:v>0.251</c:v>
                </c:pt>
                <c:pt idx="21">
                  <c:v>0.31</c:v>
                </c:pt>
                <c:pt idx="22">
                  <c:v>0.34699999999999998</c:v>
                </c:pt>
                <c:pt idx="23">
                  <c:v>0.66300000000000003</c:v>
                </c:pt>
                <c:pt idx="24">
                  <c:v>0.30599999999999999</c:v>
                </c:pt>
                <c:pt idx="25">
                  <c:v>0.121</c:v>
                </c:pt>
                <c:pt idx="26">
                  <c:v>0.27600000000000002</c:v>
                </c:pt>
                <c:pt idx="27">
                  <c:v>0.26500000000000001</c:v>
                </c:pt>
                <c:pt idx="28">
                  <c:v>0.17399999999999999</c:v>
                </c:pt>
                <c:pt idx="29">
                  <c:v>0.218</c:v>
                </c:pt>
                <c:pt idx="30">
                  <c:v>0.187</c:v>
                </c:pt>
                <c:pt idx="31">
                  <c:v>0.28899999999999998</c:v>
                </c:pt>
                <c:pt idx="32">
                  <c:v>0.33200000000000002</c:v>
                </c:pt>
                <c:pt idx="33">
                  <c:v>0.33900000000000002</c:v>
                </c:pt>
                <c:pt idx="34">
                  <c:v>0.42099999999999999</c:v>
                </c:pt>
                <c:pt idx="35">
                  <c:v>0.94299999999999995</c:v>
                </c:pt>
                <c:pt idx="36">
                  <c:v>8.8999999999999996E-2</c:v>
                </c:pt>
                <c:pt idx="37">
                  <c:v>0.38800000000000001</c:v>
                </c:pt>
                <c:pt idx="38">
                  <c:v>8.7999999999999995E-2</c:v>
                </c:pt>
                <c:pt idx="39">
                  <c:v>0.22</c:v>
                </c:pt>
                <c:pt idx="40">
                  <c:v>0.154</c:v>
                </c:pt>
                <c:pt idx="41">
                  <c:v>0.23499999999999999</c:v>
                </c:pt>
                <c:pt idx="42">
                  <c:v>0.158</c:v>
                </c:pt>
                <c:pt idx="43">
                  <c:v>0.19800000000000001</c:v>
                </c:pt>
                <c:pt idx="44">
                  <c:v>0.13600000000000001</c:v>
                </c:pt>
                <c:pt idx="45">
                  <c:v>9.7000000000000003E-2</c:v>
                </c:pt>
                <c:pt idx="46">
                  <c:v>8.5000000000000006E-2</c:v>
                </c:pt>
                <c:pt idx="47">
                  <c:v>0.14499999999999999</c:v>
                </c:pt>
                <c:pt idx="48">
                  <c:v>0.24199999999999999</c:v>
                </c:pt>
                <c:pt idx="49">
                  <c:v>0.32500000000000001</c:v>
                </c:pt>
                <c:pt idx="50">
                  <c:v>0.501</c:v>
                </c:pt>
                <c:pt idx="51">
                  <c:v>0.42799999999999999</c:v>
                </c:pt>
                <c:pt idx="52">
                  <c:v>0.40100000000000002</c:v>
                </c:pt>
                <c:pt idx="53">
                  <c:v>0.44600000000000001</c:v>
                </c:pt>
                <c:pt idx="54">
                  <c:v>0.33</c:v>
                </c:pt>
                <c:pt idx="55">
                  <c:v>0.378</c:v>
                </c:pt>
                <c:pt idx="56">
                  <c:v>0.221</c:v>
                </c:pt>
                <c:pt idx="57">
                  <c:v>0.23200000000000001</c:v>
                </c:pt>
                <c:pt idx="58">
                  <c:v>0.32700000000000001</c:v>
                </c:pt>
                <c:pt idx="59">
                  <c:v>0.39400000000000002</c:v>
                </c:pt>
                <c:pt idx="60">
                  <c:v>0.36299999999999999</c:v>
                </c:pt>
                <c:pt idx="61">
                  <c:v>0.57899999999999996</c:v>
                </c:pt>
                <c:pt idx="62">
                  <c:v>0.14599999999999999</c:v>
                </c:pt>
                <c:pt idx="63">
                  <c:v>0.1</c:v>
                </c:pt>
                <c:pt idx="64">
                  <c:v>0.14099999999999999</c:v>
                </c:pt>
                <c:pt idx="65">
                  <c:v>0.23200000000000001</c:v>
                </c:pt>
                <c:pt idx="66">
                  <c:v>0.17</c:v>
                </c:pt>
                <c:pt idx="67">
                  <c:v>0.24099999999999999</c:v>
                </c:pt>
                <c:pt idx="68">
                  <c:v>0.30599999999999999</c:v>
                </c:pt>
                <c:pt idx="69">
                  <c:v>0.38200000000000001</c:v>
                </c:pt>
                <c:pt idx="70">
                  <c:v>0.33200000000000002</c:v>
                </c:pt>
                <c:pt idx="71">
                  <c:v>0.24299999999999999</c:v>
                </c:pt>
                <c:pt idx="72">
                  <c:v>0.34899999999999998</c:v>
                </c:pt>
                <c:pt idx="73">
                  <c:v>0.29799999999999999</c:v>
                </c:pt>
                <c:pt idx="74">
                  <c:v>0.54700000000000004</c:v>
                </c:pt>
                <c:pt idx="75">
                  <c:v>0.50700000000000001</c:v>
                </c:pt>
                <c:pt idx="76">
                  <c:v>0.30499999999999999</c:v>
                </c:pt>
                <c:pt idx="77">
                  <c:v>0.41199999999999998</c:v>
                </c:pt>
                <c:pt idx="78">
                  <c:v>0.26800000000000002</c:v>
                </c:pt>
                <c:pt idx="79">
                  <c:v>0.26500000000000001</c:v>
                </c:pt>
                <c:pt idx="80">
                  <c:v>0.41199999999999998</c:v>
                </c:pt>
                <c:pt idx="81">
                  <c:v>0.2</c:v>
                </c:pt>
                <c:pt idx="82">
                  <c:v>0.245</c:v>
                </c:pt>
                <c:pt idx="83">
                  <c:v>0.38500000000000001</c:v>
                </c:pt>
                <c:pt idx="84">
                  <c:v>0.47</c:v>
                </c:pt>
                <c:pt idx="85">
                  <c:v>0.73</c:v>
                </c:pt>
                <c:pt idx="86">
                  <c:v>0.81</c:v>
                </c:pt>
                <c:pt idx="87">
                  <c:v>0.89700000000000002</c:v>
                </c:pt>
                <c:pt idx="88">
                  <c:v>1.016</c:v>
                </c:pt>
                <c:pt idx="89">
                  <c:v>0.99299999999999999</c:v>
                </c:pt>
                <c:pt idx="90">
                  <c:v>0.32700000000000001</c:v>
                </c:pt>
                <c:pt idx="91">
                  <c:v>0.127</c:v>
                </c:pt>
                <c:pt idx="92">
                  <c:v>0.53</c:v>
                </c:pt>
                <c:pt idx="93">
                  <c:v>0.39900000000000002</c:v>
                </c:pt>
                <c:pt idx="94">
                  <c:v>0.50900000000000001</c:v>
                </c:pt>
                <c:pt idx="95">
                  <c:v>0.621</c:v>
                </c:pt>
                <c:pt idx="96">
                  <c:v>0.42899999999999999</c:v>
                </c:pt>
                <c:pt idx="97">
                  <c:v>7.5999999999999998E-2</c:v>
                </c:pt>
                <c:pt idx="98">
                  <c:v>0.35399999999999998</c:v>
                </c:pt>
                <c:pt idx="99">
                  <c:v>0.43</c:v>
                </c:pt>
                <c:pt idx="100">
                  <c:v>0.48099999999999998</c:v>
                </c:pt>
                <c:pt idx="101">
                  <c:v>0.59899999999999998</c:v>
                </c:pt>
                <c:pt idx="102">
                  <c:v>0.28399999999999997</c:v>
                </c:pt>
                <c:pt idx="103">
                  <c:v>0.2</c:v>
                </c:pt>
                <c:pt idx="104">
                  <c:v>0.376</c:v>
                </c:pt>
                <c:pt idx="105">
                  <c:v>0.66300000000000003</c:v>
                </c:pt>
                <c:pt idx="106">
                  <c:v>0.44700000000000001</c:v>
                </c:pt>
                <c:pt idx="107">
                  <c:v>0.34100000000000003</c:v>
                </c:pt>
                <c:pt idx="108">
                  <c:v>5.8000000000000003E-2</c:v>
                </c:pt>
                <c:pt idx="109">
                  <c:v>0.52900000000000003</c:v>
                </c:pt>
                <c:pt idx="110">
                  <c:v>0.63200000000000001</c:v>
                </c:pt>
                <c:pt idx="111">
                  <c:v>0.84199999999999997</c:v>
                </c:pt>
                <c:pt idx="112">
                  <c:v>1.022</c:v>
                </c:pt>
                <c:pt idx="113">
                  <c:v>0.53400000000000003</c:v>
                </c:pt>
                <c:pt idx="114">
                  <c:v>1.0089999999999999</c:v>
                </c:pt>
                <c:pt idx="115">
                  <c:v>0.55000000000000004</c:v>
                </c:pt>
                <c:pt idx="116">
                  <c:v>0.83199999999999996</c:v>
                </c:pt>
                <c:pt idx="117">
                  <c:v>0.82299999999999995</c:v>
                </c:pt>
                <c:pt idx="118">
                  <c:v>0.63200000000000001</c:v>
                </c:pt>
                <c:pt idx="119">
                  <c:v>0.52100000000000002</c:v>
                </c:pt>
                <c:pt idx="120">
                  <c:v>0.76700000000000002</c:v>
                </c:pt>
                <c:pt idx="121">
                  <c:v>0.58699999999999997</c:v>
                </c:pt>
                <c:pt idx="122">
                  <c:v>0.29599999999999999</c:v>
                </c:pt>
                <c:pt idx="123">
                  <c:v>0.55800000000000005</c:v>
                </c:pt>
                <c:pt idx="124">
                  <c:v>0.51</c:v>
                </c:pt>
                <c:pt idx="125">
                  <c:v>0.64100000000000001</c:v>
                </c:pt>
                <c:pt idx="126">
                  <c:v>0.78400000000000003</c:v>
                </c:pt>
                <c:pt idx="127">
                  <c:v>0.96599999999999997</c:v>
                </c:pt>
                <c:pt idx="128">
                  <c:v>1.03</c:v>
                </c:pt>
                <c:pt idx="129">
                  <c:v>0.48399999999999999</c:v>
                </c:pt>
                <c:pt idx="130">
                  <c:v>0.08</c:v>
                </c:pt>
                <c:pt idx="131">
                  <c:v>0.16300000000000001</c:v>
                </c:pt>
                <c:pt idx="132">
                  <c:v>1.181</c:v>
                </c:pt>
                <c:pt idx="133">
                  <c:v>0.99099999999999999</c:v>
                </c:pt>
                <c:pt idx="134">
                  <c:v>1.044</c:v>
                </c:pt>
                <c:pt idx="135">
                  <c:v>1.1990000000000001</c:v>
                </c:pt>
                <c:pt idx="136">
                  <c:v>0.58499999999999996</c:v>
                </c:pt>
                <c:pt idx="137">
                  <c:v>0.69</c:v>
                </c:pt>
                <c:pt idx="138">
                  <c:v>1.002</c:v>
                </c:pt>
                <c:pt idx="139">
                  <c:v>0.57599999999999996</c:v>
                </c:pt>
                <c:pt idx="140">
                  <c:v>1.012</c:v>
                </c:pt>
                <c:pt idx="141">
                  <c:v>1.2629999999999999</c:v>
                </c:pt>
                <c:pt idx="142">
                  <c:v>1.4590000000000001</c:v>
                </c:pt>
                <c:pt idx="143">
                  <c:v>1.3640000000000001</c:v>
                </c:pt>
                <c:pt idx="144">
                  <c:v>1.1539999999999999</c:v>
                </c:pt>
                <c:pt idx="145">
                  <c:v>1.345</c:v>
                </c:pt>
                <c:pt idx="146">
                  <c:v>1.8720000000000001</c:v>
                </c:pt>
                <c:pt idx="147">
                  <c:v>2.1549999999999998</c:v>
                </c:pt>
                <c:pt idx="148">
                  <c:v>2.125</c:v>
                </c:pt>
                <c:pt idx="149">
                  <c:v>1.7509999999999999</c:v>
                </c:pt>
                <c:pt idx="150">
                  <c:v>1.2969999999999999</c:v>
                </c:pt>
                <c:pt idx="151">
                  <c:v>1.655</c:v>
                </c:pt>
                <c:pt idx="152">
                  <c:v>1.2310000000000001</c:v>
                </c:pt>
                <c:pt idx="153">
                  <c:v>1.649</c:v>
                </c:pt>
                <c:pt idx="154">
                  <c:v>1.294</c:v>
                </c:pt>
                <c:pt idx="155">
                  <c:v>0.03</c:v>
                </c:pt>
                <c:pt idx="156">
                  <c:v>2.1999999999999999E-2</c:v>
                </c:pt>
                <c:pt idx="157">
                  <c:v>1.369</c:v>
                </c:pt>
                <c:pt idx="158">
                  <c:v>1.696</c:v>
                </c:pt>
                <c:pt idx="159">
                  <c:v>1.6879999999999999</c:v>
                </c:pt>
                <c:pt idx="160">
                  <c:v>1.337</c:v>
                </c:pt>
                <c:pt idx="161">
                  <c:v>0.51800000000000002</c:v>
                </c:pt>
                <c:pt idx="162">
                  <c:v>0.99399999999999999</c:v>
                </c:pt>
                <c:pt idx="163">
                  <c:v>0.627</c:v>
                </c:pt>
                <c:pt idx="164">
                  <c:v>0.47199999999999998</c:v>
                </c:pt>
                <c:pt idx="165">
                  <c:v>0.626</c:v>
                </c:pt>
                <c:pt idx="166">
                  <c:v>0.73</c:v>
                </c:pt>
                <c:pt idx="167">
                  <c:v>0.56499999999999995</c:v>
                </c:pt>
                <c:pt idx="168">
                  <c:v>0.69499999999999995</c:v>
                </c:pt>
                <c:pt idx="169">
                  <c:v>0.38200000000000001</c:v>
                </c:pt>
                <c:pt idx="170">
                  <c:v>3.4000000000000002E-2</c:v>
                </c:pt>
                <c:pt idx="171">
                  <c:v>0.83799999999999997</c:v>
                </c:pt>
                <c:pt idx="172">
                  <c:v>1.2030000000000001</c:v>
                </c:pt>
                <c:pt idx="173">
                  <c:v>1.623</c:v>
                </c:pt>
                <c:pt idx="174">
                  <c:v>1.3140000000000001</c:v>
                </c:pt>
                <c:pt idx="175">
                  <c:v>1.415</c:v>
                </c:pt>
                <c:pt idx="176">
                  <c:v>1.1060000000000001</c:v>
                </c:pt>
                <c:pt idx="177">
                  <c:v>1.4359999999999999</c:v>
                </c:pt>
                <c:pt idx="178">
                  <c:v>1.9430000000000001</c:v>
                </c:pt>
                <c:pt idx="179">
                  <c:v>2.12</c:v>
                </c:pt>
                <c:pt idx="180">
                  <c:v>2.238</c:v>
                </c:pt>
                <c:pt idx="181">
                  <c:v>2.1909999999999998</c:v>
                </c:pt>
                <c:pt idx="182">
                  <c:v>1.087</c:v>
                </c:pt>
                <c:pt idx="183">
                  <c:v>0.86399999999999999</c:v>
                </c:pt>
                <c:pt idx="184">
                  <c:v>0.55900000000000005</c:v>
                </c:pt>
                <c:pt idx="185">
                  <c:v>1.109</c:v>
                </c:pt>
                <c:pt idx="186">
                  <c:v>1.0069999999999999</c:v>
                </c:pt>
                <c:pt idx="187">
                  <c:v>0.69</c:v>
                </c:pt>
                <c:pt idx="188">
                  <c:v>1.0760000000000001</c:v>
                </c:pt>
                <c:pt idx="189">
                  <c:v>1.333</c:v>
                </c:pt>
                <c:pt idx="190">
                  <c:v>0.752</c:v>
                </c:pt>
                <c:pt idx="191">
                  <c:v>1.0609999999999999</c:v>
                </c:pt>
                <c:pt idx="192">
                  <c:v>1.2969999999999999</c:v>
                </c:pt>
                <c:pt idx="193">
                  <c:v>1.3129999999999999</c:v>
                </c:pt>
                <c:pt idx="194">
                  <c:v>1.218</c:v>
                </c:pt>
                <c:pt idx="195">
                  <c:v>1.5009999999999999</c:v>
                </c:pt>
                <c:pt idx="196">
                  <c:v>1.5629999999999999</c:v>
                </c:pt>
                <c:pt idx="197">
                  <c:v>1.653</c:v>
                </c:pt>
                <c:pt idx="198">
                  <c:v>1.7629999999999999</c:v>
                </c:pt>
                <c:pt idx="199">
                  <c:v>2.2970000000000002</c:v>
                </c:pt>
                <c:pt idx="200">
                  <c:v>1.5820000000000001</c:v>
                </c:pt>
                <c:pt idx="201">
                  <c:v>1.4450000000000001</c:v>
                </c:pt>
                <c:pt idx="202">
                  <c:v>1.65</c:v>
                </c:pt>
                <c:pt idx="203">
                  <c:v>0.79300000000000004</c:v>
                </c:pt>
                <c:pt idx="204">
                  <c:v>0.68799999999999994</c:v>
                </c:pt>
                <c:pt idx="205">
                  <c:v>0.36899999999999999</c:v>
                </c:pt>
                <c:pt idx="206">
                  <c:v>0.64</c:v>
                </c:pt>
                <c:pt idx="207">
                  <c:v>0.85699999999999998</c:v>
                </c:pt>
                <c:pt idx="208">
                  <c:v>1.121</c:v>
                </c:pt>
                <c:pt idx="209">
                  <c:v>0.44900000000000001</c:v>
                </c:pt>
                <c:pt idx="210">
                  <c:v>0.96899999999999997</c:v>
                </c:pt>
                <c:pt idx="211">
                  <c:v>0.94299999999999995</c:v>
                </c:pt>
                <c:pt idx="212">
                  <c:v>0.67900000000000005</c:v>
                </c:pt>
                <c:pt idx="213">
                  <c:v>0.91200000000000003</c:v>
                </c:pt>
                <c:pt idx="214">
                  <c:v>1.296</c:v>
                </c:pt>
                <c:pt idx="215">
                  <c:v>2.141</c:v>
                </c:pt>
                <c:pt idx="216">
                  <c:v>0.73499999999999999</c:v>
                </c:pt>
                <c:pt idx="217">
                  <c:v>0.27800000000000002</c:v>
                </c:pt>
                <c:pt idx="218">
                  <c:v>0.32400000000000001</c:v>
                </c:pt>
                <c:pt idx="219">
                  <c:v>0.126</c:v>
                </c:pt>
                <c:pt idx="220">
                  <c:v>0.82899999999999996</c:v>
                </c:pt>
                <c:pt idx="221">
                  <c:v>1.115</c:v>
                </c:pt>
                <c:pt idx="222">
                  <c:v>0.48699999999999999</c:v>
                </c:pt>
                <c:pt idx="223">
                  <c:v>0.13100000000000001</c:v>
                </c:pt>
                <c:pt idx="224">
                  <c:v>0.76500000000000001</c:v>
                </c:pt>
                <c:pt idx="225">
                  <c:v>0.53200000000000003</c:v>
                </c:pt>
                <c:pt idx="226">
                  <c:v>0.32500000000000001</c:v>
                </c:pt>
                <c:pt idx="227">
                  <c:v>0.58499999999999996</c:v>
                </c:pt>
                <c:pt idx="228">
                  <c:v>0.189</c:v>
                </c:pt>
                <c:pt idx="229">
                  <c:v>0.434</c:v>
                </c:pt>
                <c:pt idx="230">
                  <c:v>0.74</c:v>
                </c:pt>
                <c:pt idx="231">
                  <c:v>1.1930000000000001</c:v>
                </c:pt>
                <c:pt idx="232">
                  <c:v>1.6140000000000001</c:v>
                </c:pt>
                <c:pt idx="233">
                  <c:v>1.587</c:v>
                </c:pt>
                <c:pt idx="234">
                  <c:v>1.4490000000000001</c:v>
                </c:pt>
                <c:pt idx="235">
                  <c:v>0.79</c:v>
                </c:pt>
                <c:pt idx="236">
                  <c:v>1.139</c:v>
                </c:pt>
                <c:pt idx="237">
                  <c:v>0.86099999999999999</c:v>
                </c:pt>
                <c:pt idx="238">
                  <c:v>1.016</c:v>
                </c:pt>
                <c:pt idx="239">
                  <c:v>1.29</c:v>
                </c:pt>
                <c:pt idx="240">
                  <c:v>0.29199999999999998</c:v>
                </c:pt>
                <c:pt idx="241">
                  <c:v>0.79200000000000004</c:v>
                </c:pt>
                <c:pt idx="242">
                  <c:v>1.321</c:v>
                </c:pt>
                <c:pt idx="243">
                  <c:v>1.901</c:v>
                </c:pt>
                <c:pt idx="244">
                  <c:v>2.17</c:v>
                </c:pt>
                <c:pt idx="245">
                  <c:v>2.42</c:v>
                </c:pt>
                <c:pt idx="246">
                  <c:v>2.9420000000000002</c:v>
                </c:pt>
                <c:pt idx="247">
                  <c:v>0.55000000000000004</c:v>
                </c:pt>
                <c:pt idx="248">
                  <c:v>0.9</c:v>
                </c:pt>
                <c:pt idx="249">
                  <c:v>1.3220000000000001</c:v>
                </c:pt>
                <c:pt idx="250">
                  <c:v>1.242</c:v>
                </c:pt>
                <c:pt idx="251">
                  <c:v>1.54</c:v>
                </c:pt>
                <c:pt idx="252">
                  <c:v>1.5309999999999999</c:v>
                </c:pt>
                <c:pt idx="253">
                  <c:v>1.508</c:v>
                </c:pt>
                <c:pt idx="254">
                  <c:v>1.127</c:v>
                </c:pt>
                <c:pt idx="255">
                  <c:v>1.48</c:v>
                </c:pt>
                <c:pt idx="256">
                  <c:v>1.861</c:v>
                </c:pt>
                <c:pt idx="257">
                  <c:v>1.409</c:v>
                </c:pt>
                <c:pt idx="258">
                  <c:v>1.1830000000000001</c:v>
                </c:pt>
                <c:pt idx="259">
                  <c:v>1.56</c:v>
                </c:pt>
                <c:pt idx="260">
                  <c:v>0.70099999999999996</c:v>
                </c:pt>
                <c:pt idx="261">
                  <c:v>1.048</c:v>
                </c:pt>
                <c:pt idx="262">
                  <c:v>1.2549999999999999</c:v>
                </c:pt>
                <c:pt idx="263">
                  <c:v>1.173</c:v>
                </c:pt>
                <c:pt idx="264">
                  <c:v>1.2010000000000001</c:v>
                </c:pt>
                <c:pt idx="265">
                  <c:v>1.506</c:v>
                </c:pt>
                <c:pt idx="266">
                  <c:v>1.617</c:v>
                </c:pt>
                <c:pt idx="267">
                  <c:v>1.488</c:v>
                </c:pt>
                <c:pt idx="268">
                  <c:v>0.79300000000000004</c:v>
                </c:pt>
                <c:pt idx="269">
                  <c:v>0.49199999999999999</c:v>
                </c:pt>
                <c:pt idx="270">
                  <c:v>0.51</c:v>
                </c:pt>
                <c:pt idx="271">
                  <c:v>0.58599999999999997</c:v>
                </c:pt>
                <c:pt idx="272">
                  <c:v>0.32700000000000001</c:v>
                </c:pt>
                <c:pt idx="273">
                  <c:v>0.27</c:v>
                </c:pt>
                <c:pt idx="274">
                  <c:v>0.16400000000000001</c:v>
                </c:pt>
                <c:pt idx="275">
                  <c:v>0.104</c:v>
                </c:pt>
                <c:pt idx="276">
                  <c:v>0.377</c:v>
                </c:pt>
                <c:pt idx="277">
                  <c:v>0.38</c:v>
                </c:pt>
                <c:pt idx="278">
                  <c:v>0.28899999999999998</c:v>
                </c:pt>
                <c:pt idx="279">
                  <c:v>0.30299999999999999</c:v>
                </c:pt>
                <c:pt idx="280">
                  <c:v>0.26600000000000001</c:v>
                </c:pt>
                <c:pt idx="281">
                  <c:v>0.20399999999999999</c:v>
                </c:pt>
                <c:pt idx="282">
                  <c:v>0.43</c:v>
                </c:pt>
                <c:pt idx="283">
                  <c:v>0.28000000000000003</c:v>
                </c:pt>
                <c:pt idx="284">
                  <c:v>0.107</c:v>
                </c:pt>
                <c:pt idx="285">
                  <c:v>0.111</c:v>
                </c:pt>
                <c:pt idx="286">
                  <c:v>7.2999999999999995E-2</c:v>
                </c:pt>
                <c:pt idx="287">
                  <c:v>0.36299999999999999</c:v>
                </c:pt>
                <c:pt idx="288">
                  <c:v>0.21</c:v>
                </c:pt>
                <c:pt idx="289">
                  <c:v>0.113</c:v>
                </c:pt>
                <c:pt idx="290">
                  <c:v>0.20899999999999999</c:v>
                </c:pt>
                <c:pt idx="291">
                  <c:v>0.51800000000000002</c:v>
                </c:pt>
                <c:pt idx="292">
                  <c:v>0.45400000000000001</c:v>
                </c:pt>
                <c:pt idx="293">
                  <c:v>0.19400000000000001</c:v>
                </c:pt>
                <c:pt idx="294">
                  <c:v>0.32700000000000001</c:v>
                </c:pt>
                <c:pt idx="295">
                  <c:v>0.23599999999999999</c:v>
                </c:pt>
                <c:pt idx="296">
                  <c:v>0.14199999999999999</c:v>
                </c:pt>
                <c:pt idx="297">
                  <c:v>0.13100000000000001</c:v>
                </c:pt>
                <c:pt idx="298">
                  <c:v>0.23599999999999999</c:v>
                </c:pt>
                <c:pt idx="299">
                  <c:v>0.18</c:v>
                </c:pt>
                <c:pt idx="300">
                  <c:v>0.26400000000000001</c:v>
                </c:pt>
                <c:pt idx="301">
                  <c:v>0.35099999999999998</c:v>
                </c:pt>
                <c:pt idx="302">
                  <c:v>7.4999999999999997E-2</c:v>
                </c:pt>
                <c:pt idx="303">
                  <c:v>0.28199999999999997</c:v>
                </c:pt>
                <c:pt idx="304">
                  <c:v>0.184</c:v>
                </c:pt>
                <c:pt idx="305">
                  <c:v>0.28000000000000003</c:v>
                </c:pt>
                <c:pt idx="306">
                  <c:v>0.25600000000000001</c:v>
                </c:pt>
                <c:pt idx="307">
                  <c:v>0.18</c:v>
                </c:pt>
                <c:pt idx="308">
                  <c:v>7.0000000000000007E-2</c:v>
                </c:pt>
                <c:pt idx="309">
                  <c:v>4.2000000000000003E-2</c:v>
                </c:pt>
                <c:pt idx="310">
                  <c:v>9.8000000000000004E-2</c:v>
                </c:pt>
                <c:pt idx="311">
                  <c:v>0.11</c:v>
                </c:pt>
                <c:pt idx="312">
                  <c:v>4.7E-2</c:v>
                </c:pt>
                <c:pt idx="313">
                  <c:v>4.3999999999999997E-2</c:v>
                </c:pt>
                <c:pt idx="314">
                  <c:v>4.5999999999999999E-2</c:v>
                </c:pt>
                <c:pt idx="315">
                  <c:v>0.155</c:v>
                </c:pt>
                <c:pt idx="316">
                  <c:v>2.1000000000000001E-2</c:v>
                </c:pt>
                <c:pt idx="317">
                  <c:v>4.7E-2</c:v>
                </c:pt>
                <c:pt idx="318">
                  <c:v>0.219</c:v>
                </c:pt>
                <c:pt idx="319">
                  <c:v>0.27800000000000002</c:v>
                </c:pt>
                <c:pt idx="320">
                  <c:v>0.224</c:v>
                </c:pt>
                <c:pt idx="321">
                  <c:v>0.38200000000000001</c:v>
                </c:pt>
                <c:pt idx="322">
                  <c:v>0.48499999999999999</c:v>
                </c:pt>
                <c:pt idx="323">
                  <c:v>1.008</c:v>
                </c:pt>
                <c:pt idx="324">
                  <c:v>0.40699999999999997</c:v>
                </c:pt>
                <c:pt idx="325">
                  <c:v>5.7000000000000002E-2</c:v>
                </c:pt>
                <c:pt idx="326">
                  <c:v>0.11600000000000001</c:v>
                </c:pt>
                <c:pt idx="327">
                  <c:v>0.221</c:v>
                </c:pt>
                <c:pt idx="328">
                  <c:v>0.20899999999999999</c:v>
                </c:pt>
                <c:pt idx="329">
                  <c:v>0.108</c:v>
                </c:pt>
                <c:pt idx="330">
                  <c:v>8.2000000000000003E-2</c:v>
                </c:pt>
                <c:pt idx="331">
                  <c:v>0.1</c:v>
                </c:pt>
                <c:pt idx="332">
                  <c:v>0.41</c:v>
                </c:pt>
                <c:pt idx="333">
                  <c:v>0.27700000000000002</c:v>
                </c:pt>
                <c:pt idx="334">
                  <c:v>0.29699999999999999</c:v>
                </c:pt>
                <c:pt idx="335">
                  <c:v>0.193</c:v>
                </c:pt>
                <c:pt idx="336">
                  <c:v>0.186</c:v>
                </c:pt>
                <c:pt idx="337">
                  <c:v>0.191</c:v>
                </c:pt>
                <c:pt idx="338">
                  <c:v>0.16900000000000001</c:v>
                </c:pt>
                <c:pt idx="339">
                  <c:v>8.5000000000000006E-2</c:v>
                </c:pt>
                <c:pt idx="340">
                  <c:v>8.5999999999999993E-2</c:v>
                </c:pt>
                <c:pt idx="341">
                  <c:v>0.224</c:v>
                </c:pt>
                <c:pt idx="342">
                  <c:v>0.23899999999999999</c:v>
                </c:pt>
                <c:pt idx="343">
                  <c:v>0.27600000000000002</c:v>
                </c:pt>
                <c:pt idx="344">
                  <c:v>0.35599999999999998</c:v>
                </c:pt>
                <c:pt idx="345">
                  <c:v>0.36</c:v>
                </c:pt>
                <c:pt idx="346">
                  <c:v>0.34799999999999998</c:v>
                </c:pt>
                <c:pt idx="347">
                  <c:v>0.30599999999999999</c:v>
                </c:pt>
                <c:pt idx="348">
                  <c:v>0.26100000000000001</c:v>
                </c:pt>
                <c:pt idx="349">
                  <c:v>0.47299999999999998</c:v>
                </c:pt>
                <c:pt idx="350">
                  <c:v>0.16300000000000001</c:v>
                </c:pt>
                <c:pt idx="351">
                  <c:v>0.14000000000000001</c:v>
                </c:pt>
                <c:pt idx="352">
                  <c:v>0.20499999999999999</c:v>
                </c:pt>
                <c:pt idx="353">
                  <c:v>0.24299999999999999</c:v>
                </c:pt>
                <c:pt idx="354">
                  <c:v>0.113</c:v>
                </c:pt>
                <c:pt idx="355">
                  <c:v>0.14599999999999999</c:v>
                </c:pt>
                <c:pt idx="356">
                  <c:v>0.442</c:v>
                </c:pt>
                <c:pt idx="357">
                  <c:v>0.497</c:v>
                </c:pt>
                <c:pt idx="358">
                  <c:v>0.38400000000000001</c:v>
                </c:pt>
                <c:pt idx="359">
                  <c:v>0.43099999999999999</c:v>
                </c:pt>
                <c:pt idx="360">
                  <c:v>0.317</c:v>
                </c:pt>
                <c:pt idx="361">
                  <c:v>0.124</c:v>
                </c:pt>
                <c:pt idx="362">
                  <c:v>0.224</c:v>
                </c:pt>
                <c:pt idx="363">
                  <c:v>0.224</c:v>
                </c:pt>
                <c:pt idx="364">
                  <c:v>0.215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971904"/>
        <c:axId val="237121536"/>
      </c:lineChart>
      <c:catAx>
        <c:axId val="236971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844097995545657"/>
              <c:y val="0.929853181076672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121536"/>
        <c:crossesAt val="-1"/>
        <c:auto val="1"/>
        <c:lblAlgn val="ctr"/>
        <c:lblOffset val="100"/>
        <c:tickLblSkip val="20"/>
        <c:tickMarkSkip val="5"/>
        <c:noMultiLvlLbl val="0"/>
      </c:catAx>
      <c:valAx>
        <c:axId val="237121536"/>
        <c:scaling>
          <c:orientation val="minMax"/>
          <c:max val="6"/>
          <c:min val="-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Vapour Pressure Deficit (kPa)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2789559543230016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6971904"/>
        <c:crosses val="autoZero"/>
        <c:crossBetween val="between"/>
        <c:majorUnit val="0.5"/>
        <c:min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 Snow Depth</a:t>
            </a:r>
          </a:p>
        </c:rich>
      </c:tx>
      <c:layout>
        <c:manualLayout>
          <c:xMode val="edge"/>
          <c:yMode val="edge"/>
          <c:x val="0.4220489977728285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05345211581285E-2"/>
          <c:y val="0.12234910277324633"/>
          <c:w val="0.90645879732739421"/>
          <c:h val="0.77161500815660689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Data!$B$7:$B$371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Data!$BF$7:$BF$371</c:f>
              <c:numCache>
                <c:formatCode>General</c:formatCode>
                <c:ptCount val="365"/>
                <c:pt idx="0">
                  <c:v>842</c:v>
                </c:pt>
                <c:pt idx="1">
                  <c:v>841</c:v>
                </c:pt>
                <c:pt idx="2">
                  <c:v>832</c:v>
                </c:pt>
                <c:pt idx="3">
                  <c:v>823</c:v>
                </c:pt>
                <c:pt idx="4">
                  <c:v>819</c:v>
                </c:pt>
                <c:pt idx="5">
                  <c:v>806</c:v>
                </c:pt>
                <c:pt idx="6">
                  <c:v>809</c:v>
                </c:pt>
                <c:pt idx="7">
                  <c:v>859</c:v>
                </c:pt>
                <c:pt idx="8">
                  <c:v>900</c:v>
                </c:pt>
                <c:pt idx="9">
                  <c:v>968</c:v>
                </c:pt>
                <c:pt idx="10">
                  <c:v>1007</c:v>
                </c:pt>
                <c:pt idx="11">
                  <c:v>997</c:v>
                </c:pt>
                <c:pt idx="12">
                  <c:v>1019</c:v>
                </c:pt>
                <c:pt idx="13">
                  <c:v>1044</c:v>
                </c:pt>
                <c:pt idx="14">
                  <c:v>1051</c:v>
                </c:pt>
                <c:pt idx="15">
                  <c:v>1053</c:v>
                </c:pt>
                <c:pt idx="16">
                  <c:v>1042</c:v>
                </c:pt>
                <c:pt idx="17">
                  <c:v>1093</c:v>
                </c:pt>
                <c:pt idx="18">
                  <c:v>1063</c:v>
                </c:pt>
                <c:pt idx="19">
                  <c:v>1041</c:v>
                </c:pt>
                <c:pt idx="20">
                  <c:v>1022</c:v>
                </c:pt>
                <c:pt idx="21">
                  <c:v>999</c:v>
                </c:pt>
                <c:pt idx="22">
                  <c:v>997</c:v>
                </c:pt>
                <c:pt idx="23">
                  <c:v>989</c:v>
                </c:pt>
                <c:pt idx="24">
                  <c:v>977</c:v>
                </c:pt>
                <c:pt idx="25">
                  <c:v>1016</c:v>
                </c:pt>
                <c:pt idx="26">
                  <c:v>986</c:v>
                </c:pt>
                <c:pt idx="27">
                  <c:v>985</c:v>
                </c:pt>
                <c:pt idx="28">
                  <c:v>1058</c:v>
                </c:pt>
                <c:pt idx="29">
                  <c:v>1070</c:v>
                </c:pt>
                <c:pt idx="30">
                  <c:v>1088</c:v>
                </c:pt>
                <c:pt idx="31">
                  <c:v>1056</c:v>
                </c:pt>
                <c:pt idx="32">
                  <c:v>1072</c:v>
                </c:pt>
                <c:pt idx="33">
                  <c:v>1055</c:v>
                </c:pt>
                <c:pt idx="34">
                  <c:v>1049</c:v>
                </c:pt>
                <c:pt idx="35">
                  <c:v>1042</c:v>
                </c:pt>
                <c:pt idx="36">
                  <c:v>1087</c:v>
                </c:pt>
                <c:pt idx="37">
                  <c:v>1085</c:v>
                </c:pt>
                <c:pt idx="38">
                  <c:v>1072</c:v>
                </c:pt>
                <c:pt idx="39">
                  <c:v>1057</c:v>
                </c:pt>
                <c:pt idx="40">
                  <c:v>1051</c:v>
                </c:pt>
                <c:pt idx="41">
                  <c:v>1037</c:v>
                </c:pt>
                <c:pt idx="42">
                  <c:v>1023</c:v>
                </c:pt>
                <c:pt idx="43">
                  <c:v>1037</c:v>
                </c:pt>
                <c:pt idx="44">
                  <c:v>1043</c:v>
                </c:pt>
                <c:pt idx="45">
                  <c:v>1110</c:v>
                </c:pt>
                <c:pt idx="46">
                  <c:v>1161</c:v>
                </c:pt>
                <c:pt idx="47">
                  <c:v>1130</c:v>
                </c:pt>
                <c:pt idx="48">
                  <c:v>1204</c:v>
                </c:pt>
                <c:pt idx="49">
                  <c:v>1157</c:v>
                </c:pt>
                <c:pt idx="50">
                  <c:v>1103</c:v>
                </c:pt>
                <c:pt idx="51">
                  <c:v>1086</c:v>
                </c:pt>
                <c:pt idx="52">
                  <c:v>1087</c:v>
                </c:pt>
                <c:pt idx="53">
                  <c:v>1087</c:v>
                </c:pt>
                <c:pt idx="54">
                  <c:v>1086</c:v>
                </c:pt>
                <c:pt idx="55">
                  <c:v>1073</c:v>
                </c:pt>
                <c:pt idx="56">
                  <c:v>1068</c:v>
                </c:pt>
                <c:pt idx="57">
                  <c:v>1073</c:v>
                </c:pt>
                <c:pt idx="58">
                  <c:v>1070</c:v>
                </c:pt>
                <c:pt idx="59">
                  <c:v>1067</c:v>
                </c:pt>
                <c:pt idx="60">
                  <c:v>1063</c:v>
                </c:pt>
                <c:pt idx="61">
                  <c:v>1061</c:v>
                </c:pt>
                <c:pt idx="62">
                  <c:v>1075</c:v>
                </c:pt>
                <c:pt idx="63">
                  <c:v>1079</c:v>
                </c:pt>
                <c:pt idx="64">
                  <c:v>1078</c:v>
                </c:pt>
                <c:pt idx="65">
                  <c:v>1078</c:v>
                </c:pt>
                <c:pt idx="66">
                  <c:v>1156</c:v>
                </c:pt>
                <c:pt idx="67">
                  <c:v>1146</c:v>
                </c:pt>
                <c:pt idx="68">
                  <c:v>1120</c:v>
                </c:pt>
                <c:pt idx="69">
                  <c:v>1132</c:v>
                </c:pt>
                <c:pt idx="70">
                  <c:v>1134</c:v>
                </c:pt>
                <c:pt idx="71">
                  <c:v>1132</c:v>
                </c:pt>
                <c:pt idx="72">
                  <c:v>1116</c:v>
                </c:pt>
                <c:pt idx="73">
                  <c:v>1115</c:v>
                </c:pt>
                <c:pt idx="74">
                  <c:v>1104</c:v>
                </c:pt>
                <c:pt idx="75">
                  <c:v>1107</c:v>
                </c:pt>
                <c:pt idx="76">
                  <c:v>1108</c:v>
                </c:pt>
                <c:pt idx="77">
                  <c:v>1109</c:v>
                </c:pt>
                <c:pt idx="78">
                  <c:v>1174</c:v>
                </c:pt>
                <c:pt idx="79">
                  <c:v>1161</c:v>
                </c:pt>
                <c:pt idx="80">
                  <c:v>1156</c:v>
                </c:pt>
                <c:pt idx="81">
                  <c:v>1270</c:v>
                </c:pt>
                <c:pt idx="82">
                  <c:v>1272</c:v>
                </c:pt>
                <c:pt idx="83">
                  <c:v>1239</c:v>
                </c:pt>
                <c:pt idx="84">
                  <c:v>1221</c:v>
                </c:pt>
                <c:pt idx="85">
                  <c:v>1194</c:v>
                </c:pt>
                <c:pt idx="86">
                  <c:v>1172</c:v>
                </c:pt>
                <c:pt idx="87">
                  <c:v>1143</c:v>
                </c:pt>
                <c:pt idx="88">
                  <c:v>1112</c:v>
                </c:pt>
                <c:pt idx="89">
                  <c:v>1086</c:v>
                </c:pt>
                <c:pt idx="90">
                  <c:v>1104</c:v>
                </c:pt>
                <c:pt idx="91">
                  <c:v>1111</c:v>
                </c:pt>
                <c:pt idx="92">
                  <c:v>1083</c:v>
                </c:pt>
                <c:pt idx="93">
                  <c:v>1054</c:v>
                </c:pt>
                <c:pt idx="94">
                  <c:v>1057</c:v>
                </c:pt>
                <c:pt idx="95">
                  <c:v>1035</c:v>
                </c:pt>
                <c:pt idx="96">
                  <c:v>1254</c:v>
                </c:pt>
                <c:pt idx="97">
                  <c:v>1255</c:v>
                </c:pt>
                <c:pt idx="98">
                  <c:v>1264</c:v>
                </c:pt>
                <c:pt idx="99">
                  <c:v>1225</c:v>
                </c:pt>
                <c:pt idx="100">
                  <c:v>1218</c:v>
                </c:pt>
                <c:pt idx="101">
                  <c:v>1201</c:v>
                </c:pt>
                <c:pt idx="102">
                  <c:v>1241</c:v>
                </c:pt>
                <c:pt idx="103">
                  <c:v>1247</c:v>
                </c:pt>
                <c:pt idx="104">
                  <c:v>1226</c:v>
                </c:pt>
                <c:pt idx="105">
                  <c:v>1180</c:v>
                </c:pt>
                <c:pt idx="106">
                  <c:v>1170</c:v>
                </c:pt>
                <c:pt idx="107">
                  <c:v>1150</c:v>
                </c:pt>
                <c:pt idx="108">
                  <c:v>1215</c:v>
                </c:pt>
                <c:pt idx="109">
                  <c:v>1172</c:v>
                </c:pt>
                <c:pt idx="110">
                  <c:v>1144</c:v>
                </c:pt>
                <c:pt idx="111">
                  <c:v>1103</c:v>
                </c:pt>
                <c:pt idx="112">
                  <c:v>1047</c:v>
                </c:pt>
                <c:pt idx="113">
                  <c:v>1029</c:v>
                </c:pt>
                <c:pt idx="114">
                  <c:v>999</c:v>
                </c:pt>
                <c:pt idx="115">
                  <c:v>987</c:v>
                </c:pt>
                <c:pt idx="116">
                  <c:v>966</c:v>
                </c:pt>
                <c:pt idx="117">
                  <c:v>943</c:v>
                </c:pt>
                <c:pt idx="118">
                  <c:v>919</c:v>
                </c:pt>
                <c:pt idx="119">
                  <c:v>911</c:v>
                </c:pt>
                <c:pt idx="120">
                  <c:v>871</c:v>
                </c:pt>
                <c:pt idx="121">
                  <c:v>846</c:v>
                </c:pt>
                <c:pt idx="122">
                  <c:v>855</c:v>
                </c:pt>
                <c:pt idx="123">
                  <c:v>836</c:v>
                </c:pt>
                <c:pt idx="124">
                  <c:v>819</c:v>
                </c:pt>
                <c:pt idx="125">
                  <c:v>765</c:v>
                </c:pt>
                <c:pt idx="126">
                  <c:v>718</c:v>
                </c:pt>
                <c:pt idx="127">
                  <c:v>668</c:v>
                </c:pt>
                <c:pt idx="128">
                  <c:v>630</c:v>
                </c:pt>
                <c:pt idx="129">
                  <c:v>593</c:v>
                </c:pt>
                <c:pt idx="130">
                  <c:v>550</c:v>
                </c:pt>
                <c:pt idx="131">
                  <c:v>500</c:v>
                </c:pt>
                <c:pt idx="132">
                  <c:v>450</c:v>
                </c:pt>
                <c:pt idx="133">
                  <c:v>400</c:v>
                </c:pt>
                <c:pt idx="134">
                  <c:v>350</c:v>
                </c:pt>
                <c:pt idx="135">
                  <c:v>300</c:v>
                </c:pt>
                <c:pt idx="136">
                  <c:v>250</c:v>
                </c:pt>
                <c:pt idx="137">
                  <c:v>200</c:v>
                </c:pt>
                <c:pt idx="138">
                  <c:v>130</c:v>
                </c:pt>
                <c:pt idx="139">
                  <c:v>70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 formatCode="0">
                  <c:v>10</c:v>
                </c:pt>
                <c:pt idx="302" formatCode="0">
                  <c:v>10</c:v>
                </c:pt>
                <c:pt idx="303" formatCode="0">
                  <c:v>10</c:v>
                </c:pt>
                <c:pt idx="304" formatCode="0">
                  <c:v>10</c:v>
                </c:pt>
                <c:pt idx="305" formatCode="0">
                  <c:v>10</c:v>
                </c:pt>
                <c:pt idx="306" formatCode="0">
                  <c:v>10</c:v>
                </c:pt>
                <c:pt idx="307" formatCode="0">
                  <c:v>10</c:v>
                </c:pt>
                <c:pt idx="308" formatCode="0">
                  <c:v>15</c:v>
                </c:pt>
                <c:pt idx="309" formatCode="0">
                  <c:v>20</c:v>
                </c:pt>
                <c:pt idx="310" formatCode="0">
                  <c:v>20</c:v>
                </c:pt>
                <c:pt idx="311" formatCode="0">
                  <c:v>50</c:v>
                </c:pt>
                <c:pt idx="312" formatCode="0">
                  <c:v>50</c:v>
                </c:pt>
                <c:pt idx="313">
                  <c:v>50</c:v>
                </c:pt>
                <c:pt idx="314" formatCode="0">
                  <c:v>220</c:v>
                </c:pt>
                <c:pt idx="315" formatCode="0">
                  <c:v>200</c:v>
                </c:pt>
                <c:pt idx="316" formatCode="0">
                  <c:v>271</c:v>
                </c:pt>
                <c:pt idx="317" formatCode="0">
                  <c:v>296</c:v>
                </c:pt>
                <c:pt idx="318" formatCode="0">
                  <c:v>313</c:v>
                </c:pt>
                <c:pt idx="319" formatCode="0">
                  <c:v>319</c:v>
                </c:pt>
                <c:pt idx="320" formatCode="0">
                  <c:v>352</c:v>
                </c:pt>
                <c:pt idx="321" formatCode="0">
                  <c:v>363</c:v>
                </c:pt>
                <c:pt idx="322" formatCode="0">
                  <c:v>371</c:v>
                </c:pt>
                <c:pt idx="323" formatCode="0">
                  <c:v>351</c:v>
                </c:pt>
                <c:pt idx="324" formatCode="0">
                  <c:v>331</c:v>
                </c:pt>
                <c:pt idx="325" formatCode="0">
                  <c:v>311</c:v>
                </c:pt>
                <c:pt idx="326" formatCode="0">
                  <c:v>316</c:v>
                </c:pt>
                <c:pt idx="327" formatCode="0">
                  <c:v>411</c:v>
                </c:pt>
                <c:pt idx="328" formatCode="0">
                  <c:v>420</c:v>
                </c:pt>
                <c:pt idx="329" formatCode="0">
                  <c:v>436</c:v>
                </c:pt>
                <c:pt idx="330" formatCode="0">
                  <c:v>642</c:v>
                </c:pt>
                <c:pt idx="331" formatCode="0">
                  <c:v>696</c:v>
                </c:pt>
                <c:pt idx="332" formatCode="0">
                  <c:v>725</c:v>
                </c:pt>
                <c:pt idx="333" formatCode="0">
                  <c:v>705</c:v>
                </c:pt>
                <c:pt idx="334" formatCode="0">
                  <c:v>685</c:v>
                </c:pt>
                <c:pt idx="335" formatCode="0">
                  <c:v>665</c:v>
                </c:pt>
                <c:pt idx="336" formatCode="0">
                  <c:v>645</c:v>
                </c:pt>
                <c:pt idx="337" formatCode="0">
                  <c:v>669</c:v>
                </c:pt>
                <c:pt idx="338" formatCode="0">
                  <c:v>649</c:v>
                </c:pt>
                <c:pt idx="339" formatCode="0">
                  <c:v>629</c:v>
                </c:pt>
                <c:pt idx="340" formatCode="0">
                  <c:v>641</c:v>
                </c:pt>
                <c:pt idx="341" formatCode="0">
                  <c:v>621</c:v>
                </c:pt>
                <c:pt idx="342" formatCode="0">
                  <c:v>601</c:v>
                </c:pt>
                <c:pt idx="343" formatCode="0">
                  <c:v>819</c:v>
                </c:pt>
                <c:pt idx="344" formatCode="0">
                  <c:v>977</c:v>
                </c:pt>
                <c:pt idx="345" formatCode="0">
                  <c:v>957</c:v>
                </c:pt>
                <c:pt idx="346" formatCode="0">
                  <c:v>1005</c:v>
                </c:pt>
                <c:pt idx="347" formatCode="0">
                  <c:v>985</c:v>
                </c:pt>
                <c:pt idx="348" formatCode="0">
                  <c:v>965</c:v>
                </c:pt>
                <c:pt idx="349" formatCode="0">
                  <c:v>945</c:v>
                </c:pt>
                <c:pt idx="350" formatCode="0">
                  <c:v>925</c:v>
                </c:pt>
                <c:pt idx="351" formatCode="0">
                  <c:v>937</c:v>
                </c:pt>
                <c:pt idx="352" formatCode="0">
                  <c:v>917</c:v>
                </c:pt>
                <c:pt idx="353" formatCode="0">
                  <c:v>897</c:v>
                </c:pt>
                <c:pt idx="354" formatCode="0">
                  <c:v>877</c:v>
                </c:pt>
                <c:pt idx="355" formatCode="0">
                  <c:v>857</c:v>
                </c:pt>
                <c:pt idx="356" formatCode="0">
                  <c:v>837</c:v>
                </c:pt>
                <c:pt idx="357" formatCode="0">
                  <c:v>817</c:v>
                </c:pt>
                <c:pt idx="358" formatCode="0">
                  <c:v>797</c:v>
                </c:pt>
                <c:pt idx="359" formatCode="0">
                  <c:v>777</c:v>
                </c:pt>
                <c:pt idx="360" formatCode="0">
                  <c:v>757</c:v>
                </c:pt>
                <c:pt idx="361" formatCode="0">
                  <c:v>737</c:v>
                </c:pt>
                <c:pt idx="362" formatCode="0">
                  <c:v>798</c:v>
                </c:pt>
                <c:pt idx="363" formatCode="0">
                  <c:v>822</c:v>
                </c:pt>
                <c:pt idx="364" formatCode="0">
                  <c:v>858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244800"/>
        <c:axId val="237246720"/>
      </c:lineChart>
      <c:catAx>
        <c:axId val="237244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 of Year</a:t>
                </a:r>
              </a:p>
            </c:rich>
          </c:tx>
          <c:layout>
            <c:manualLayout>
              <c:xMode val="edge"/>
              <c:yMode val="edge"/>
              <c:x val="0.49331848552338531"/>
              <c:y val="0.944535073409461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24672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372467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49443207126948E-2"/>
              <c:y val="0.41272430668841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24480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8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9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72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18" Type="http://schemas.openxmlformats.org/officeDocument/2006/relationships/chart" Target="../charts/chart22.xml"/><Relationship Id="rId26" Type="http://schemas.openxmlformats.org/officeDocument/2006/relationships/chart" Target="../charts/chart30.xml"/><Relationship Id="rId3" Type="http://schemas.openxmlformats.org/officeDocument/2006/relationships/chart" Target="../charts/chart7.xml"/><Relationship Id="rId21" Type="http://schemas.openxmlformats.org/officeDocument/2006/relationships/chart" Target="../charts/chart25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17" Type="http://schemas.openxmlformats.org/officeDocument/2006/relationships/chart" Target="../charts/chart21.xml"/><Relationship Id="rId25" Type="http://schemas.openxmlformats.org/officeDocument/2006/relationships/chart" Target="../charts/chart29.xml"/><Relationship Id="rId2" Type="http://schemas.openxmlformats.org/officeDocument/2006/relationships/chart" Target="../charts/chart6.xml"/><Relationship Id="rId16" Type="http://schemas.openxmlformats.org/officeDocument/2006/relationships/chart" Target="../charts/chart20.xml"/><Relationship Id="rId20" Type="http://schemas.openxmlformats.org/officeDocument/2006/relationships/chart" Target="../charts/chart24.xml"/><Relationship Id="rId29" Type="http://schemas.openxmlformats.org/officeDocument/2006/relationships/chart" Target="../charts/chart33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24" Type="http://schemas.openxmlformats.org/officeDocument/2006/relationships/chart" Target="../charts/chart28.xml"/><Relationship Id="rId5" Type="http://schemas.openxmlformats.org/officeDocument/2006/relationships/chart" Target="../charts/chart9.xml"/><Relationship Id="rId15" Type="http://schemas.openxmlformats.org/officeDocument/2006/relationships/chart" Target="../charts/chart19.xml"/><Relationship Id="rId23" Type="http://schemas.openxmlformats.org/officeDocument/2006/relationships/chart" Target="../charts/chart27.xml"/><Relationship Id="rId28" Type="http://schemas.openxmlformats.org/officeDocument/2006/relationships/chart" Target="../charts/chart32.xml"/><Relationship Id="rId10" Type="http://schemas.openxmlformats.org/officeDocument/2006/relationships/chart" Target="../charts/chart14.xml"/><Relationship Id="rId19" Type="http://schemas.openxmlformats.org/officeDocument/2006/relationships/chart" Target="../charts/chart23.xml"/><Relationship Id="rId31" Type="http://schemas.openxmlformats.org/officeDocument/2006/relationships/chart" Target="../charts/chart35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Relationship Id="rId22" Type="http://schemas.openxmlformats.org/officeDocument/2006/relationships/chart" Target="../charts/chart26.xml"/><Relationship Id="rId27" Type="http://schemas.openxmlformats.org/officeDocument/2006/relationships/chart" Target="../charts/chart31.xml"/><Relationship Id="rId30" Type="http://schemas.openxmlformats.org/officeDocument/2006/relationships/chart" Target="../charts/chart3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373</xdr:row>
      <xdr:rowOff>0</xdr:rowOff>
    </xdr:from>
    <xdr:to>
      <xdr:col>22</xdr:col>
      <xdr:colOff>219075</xdr:colOff>
      <xdr:row>393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6</xdr:row>
      <xdr:rowOff>0</xdr:rowOff>
    </xdr:from>
    <xdr:to>
      <xdr:col>29</xdr:col>
      <xdr:colOff>200025</xdr:colOff>
      <xdr:row>25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26</xdr:row>
      <xdr:rowOff>0</xdr:rowOff>
    </xdr:from>
    <xdr:to>
      <xdr:col>29</xdr:col>
      <xdr:colOff>200025</xdr:colOff>
      <xdr:row>45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46</xdr:row>
      <xdr:rowOff>0</xdr:rowOff>
    </xdr:from>
    <xdr:to>
      <xdr:col>29</xdr:col>
      <xdr:colOff>200025</xdr:colOff>
      <xdr:row>65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129</xdr:col>
      <xdr:colOff>419100</xdr:colOff>
      <xdr:row>116</xdr:row>
      <xdr:rowOff>61912</xdr:rowOff>
    </xdr:from>
    <xdr:to>
      <xdr:col>140</xdr:col>
      <xdr:colOff>66675</xdr:colOff>
      <xdr:row>133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129</xdr:col>
      <xdr:colOff>390525</xdr:colOff>
      <xdr:row>134</xdr:row>
      <xdr:rowOff>38100</xdr:rowOff>
    </xdr:from>
    <xdr:to>
      <xdr:col>140</xdr:col>
      <xdr:colOff>38100</xdr:colOff>
      <xdr:row>151</xdr:row>
      <xdr:rowOff>28575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129</xdr:col>
      <xdr:colOff>409575</xdr:colOff>
      <xdr:row>99</xdr:row>
      <xdr:rowOff>0</xdr:rowOff>
    </xdr:from>
    <xdr:to>
      <xdr:col>140</xdr:col>
      <xdr:colOff>57150</xdr:colOff>
      <xdr:row>115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129</xdr:col>
      <xdr:colOff>438150</xdr:colOff>
      <xdr:row>23</xdr:row>
      <xdr:rowOff>28575</xdr:rowOff>
    </xdr:from>
    <xdr:to>
      <xdr:col>140</xdr:col>
      <xdr:colOff>85725</xdr:colOff>
      <xdr:row>40</xdr:row>
      <xdr:rowOff>19050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129</xdr:col>
      <xdr:colOff>409575</xdr:colOff>
      <xdr:row>6</xdr:row>
      <xdr:rowOff>0</xdr:rowOff>
    </xdr:from>
    <xdr:to>
      <xdr:col>140</xdr:col>
      <xdr:colOff>57150</xdr:colOff>
      <xdr:row>22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129</xdr:col>
      <xdr:colOff>409575</xdr:colOff>
      <xdr:row>41</xdr:row>
      <xdr:rowOff>0</xdr:rowOff>
    </xdr:from>
    <xdr:to>
      <xdr:col>140</xdr:col>
      <xdr:colOff>57150</xdr:colOff>
      <xdr:row>57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143</xdr:col>
      <xdr:colOff>0</xdr:colOff>
      <xdr:row>6</xdr:row>
      <xdr:rowOff>0</xdr:rowOff>
    </xdr:from>
    <xdr:to>
      <xdr:col>154</xdr:col>
      <xdr:colOff>285750</xdr:colOff>
      <xdr:row>31</xdr:row>
      <xdr:rowOff>28575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143</xdr:col>
      <xdr:colOff>1</xdr:colOff>
      <xdr:row>32</xdr:row>
      <xdr:rowOff>0</xdr:rowOff>
    </xdr:from>
    <xdr:to>
      <xdr:col>154</xdr:col>
      <xdr:colOff>285751</xdr:colOff>
      <xdr:row>57</xdr:row>
      <xdr:rowOff>28575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143</xdr:col>
      <xdr:colOff>1</xdr:colOff>
      <xdr:row>58</xdr:row>
      <xdr:rowOff>0</xdr:rowOff>
    </xdr:from>
    <xdr:to>
      <xdr:col>154</xdr:col>
      <xdr:colOff>285751</xdr:colOff>
      <xdr:row>83</xdr:row>
      <xdr:rowOff>28575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129</xdr:col>
      <xdr:colOff>438150</xdr:colOff>
      <xdr:row>171</xdr:row>
      <xdr:rowOff>61912</xdr:rowOff>
    </xdr:from>
    <xdr:to>
      <xdr:col>140</xdr:col>
      <xdr:colOff>85725</xdr:colOff>
      <xdr:row>188</xdr:row>
      <xdr:rowOff>52387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129</xdr:col>
      <xdr:colOff>409575</xdr:colOff>
      <xdr:row>189</xdr:row>
      <xdr:rowOff>38100</xdr:rowOff>
    </xdr:from>
    <xdr:to>
      <xdr:col>140</xdr:col>
      <xdr:colOff>57150</xdr:colOff>
      <xdr:row>206</xdr:row>
      <xdr:rowOff>28575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129</xdr:col>
      <xdr:colOff>428625</xdr:colOff>
      <xdr:row>154</xdr:row>
      <xdr:rowOff>0</xdr:rowOff>
    </xdr:from>
    <xdr:to>
      <xdr:col>140</xdr:col>
      <xdr:colOff>76200</xdr:colOff>
      <xdr:row>170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114</xdr:col>
      <xdr:colOff>409575</xdr:colOff>
      <xdr:row>116</xdr:row>
      <xdr:rowOff>61912</xdr:rowOff>
    </xdr:from>
    <xdr:to>
      <xdr:col>125</xdr:col>
      <xdr:colOff>57150</xdr:colOff>
      <xdr:row>133</xdr:row>
      <xdr:rowOff>52387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114</xdr:col>
      <xdr:colOff>381000</xdr:colOff>
      <xdr:row>134</xdr:row>
      <xdr:rowOff>38100</xdr:rowOff>
    </xdr:from>
    <xdr:to>
      <xdr:col>125</xdr:col>
      <xdr:colOff>28575</xdr:colOff>
      <xdr:row>151</xdr:row>
      <xdr:rowOff>28575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114</xdr:col>
      <xdr:colOff>400050</xdr:colOff>
      <xdr:row>99</xdr:row>
      <xdr:rowOff>0</xdr:rowOff>
    </xdr:from>
    <xdr:to>
      <xdr:col>125</xdr:col>
      <xdr:colOff>47625</xdr:colOff>
      <xdr:row>115</xdr:row>
      <xdr:rowOff>152400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114</xdr:col>
      <xdr:colOff>428625</xdr:colOff>
      <xdr:row>23</xdr:row>
      <xdr:rowOff>28575</xdr:rowOff>
    </xdr:from>
    <xdr:to>
      <xdr:col>125</xdr:col>
      <xdr:colOff>76200</xdr:colOff>
      <xdr:row>40</xdr:row>
      <xdr:rowOff>19050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114</xdr:col>
      <xdr:colOff>400050</xdr:colOff>
      <xdr:row>6</xdr:row>
      <xdr:rowOff>0</xdr:rowOff>
    </xdr:from>
    <xdr:to>
      <xdr:col>125</xdr:col>
      <xdr:colOff>47625</xdr:colOff>
      <xdr:row>22</xdr:row>
      <xdr:rowOff>152400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114</xdr:col>
      <xdr:colOff>400050</xdr:colOff>
      <xdr:row>41</xdr:row>
      <xdr:rowOff>0</xdr:rowOff>
    </xdr:from>
    <xdr:to>
      <xdr:col>125</xdr:col>
      <xdr:colOff>47625</xdr:colOff>
      <xdr:row>57</xdr:row>
      <xdr:rowOff>152400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114</xdr:col>
      <xdr:colOff>428625</xdr:colOff>
      <xdr:row>171</xdr:row>
      <xdr:rowOff>61912</xdr:rowOff>
    </xdr:from>
    <xdr:to>
      <xdr:col>125</xdr:col>
      <xdr:colOff>76200</xdr:colOff>
      <xdr:row>188</xdr:row>
      <xdr:rowOff>52387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114</xdr:col>
      <xdr:colOff>400050</xdr:colOff>
      <xdr:row>189</xdr:row>
      <xdr:rowOff>38100</xdr:rowOff>
    </xdr:from>
    <xdr:to>
      <xdr:col>125</xdr:col>
      <xdr:colOff>47625</xdr:colOff>
      <xdr:row>206</xdr:row>
      <xdr:rowOff>28575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114</xdr:col>
      <xdr:colOff>419100</xdr:colOff>
      <xdr:row>154</xdr:row>
      <xdr:rowOff>0</xdr:rowOff>
    </xdr:from>
    <xdr:to>
      <xdr:col>125</xdr:col>
      <xdr:colOff>66675</xdr:colOff>
      <xdr:row>170</xdr:row>
      <xdr:rowOff>152400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142</xdr:col>
      <xdr:colOff>0</xdr:colOff>
      <xdr:row>99</xdr:row>
      <xdr:rowOff>0</xdr:rowOff>
    </xdr:from>
    <xdr:to>
      <xdr:col>150</xdr:col>
      <xdr:colOff>342900</xdr:colOff>
      <xdr:row>115</xdr:row>
      <xdr:rowOff>152400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142</xdr:col>
      <xdr:colOff>0</xdr:colOff>
      <xdr:row>117</xdr:row>
      <xdr:rowOff>0</xdr:rowOff>
    </xdr:from>
    <xdr:to>
      <xdr:col>150</xdr:col>
      <xdr:colOff>342900</xdr:colOff>
      <xdr:row>133</xdr:row>
      <xdr:rowOff>152400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142</xdr:col>
      <xdr:colOff>66675</xdr:colOff>
      <xdr:row>134</xdr:row>
      <xdr:rowOff>152400</xdr:rowOff>
    </xdr:from>
    <xdr:to>
      <xdr:col>150</xdr:col>
      <xdr:colOff>409575</xdr:colOff>
      <xdr:row>151</xdr:row>
      <xdr:rowOff>142875</xdr:rowOff>
    </xdr:to>
    <xdr:graphicFrame macro="">
      <xdr:nvGraphicFramePr>
        <xdr:cNvPr id="27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142</xdr:col>
      <xdr:colOff>0</xdr:colOff>
      <xdr:row>154</xdr:row>
      <xdr:rowOff>0</xdr:rowOff>
    </xdr:from>
    <xdr:to>
      <xdr:col>150</xdr:col>
      <xdr:colOff>342900</xdr:colOff>
      <xdr:row>170</xdr:row>
      <xdr:rowOff>152400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142</xdr:col>
      <xdr:colOff>0</xdr:colOff>
      <xdr:row>172</xdr:row>
      <xdr:rowOff>0</xdr:rowOff>
    </xdr:from>
    <xdr:to>
      <xdr:col>150</xdr:col>
      <xdr:colOff>342900</xdr:colOff>
      <xdr:row>188</xdr:row>
      <xdr:rowOff>152400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142</xdr:col>
      <xdr:colOff>66675</xdr:colOff>
      <xdr:row>189</xdr:row>
      <xdr:rowOff>152400</xdr:rowOff>
    </xdr:from>
    <xdr:to>
      <xdr:col>150</xdr:col>
      <xdr:colOff>409575</xdr:colOff>
      <xdr:row>206</xdr:row>
      <xdr:rowOff>142875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151</xdr:col>
      <xdr:colOff>0</xdr:colOff>
      <xdr:row>99</xdr:row>
      <xdr:rowOff>0</xdr:rowOff>
    </xdr:from>
    <xdr:to>
      <xdr:col>158</xdr:col>
      <xdr:colOff>304800</xdr:colOff>
      <xdr:row>115</xdr:row>
      <xdr:rowOff>152400</xdr:rowOff>
    </xdr:to>
    <xdr:graphicFrame macro="">
      <xdr:nvGraphicFramePr>
        <xdr:cNvPr id="31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151</xdr:col>
      <xdr:colOff>0</xdr:colOff>
      <xdr:row>117</xdr:row>
      <xdr:rowOff>0</xdr:rowOff>
    </xdr:from>
    <xdr:to>
      <xdr:col>158</xdr:col>
      <xdr:colOff>304800</xdr:colOff>
      <xdr:row>133</xdr:row>
      <xdr:rowOff>152400</xdr:rowOff>
    </xdr:to>
    <xdr:graphicFrame macro="">
      <xdr:nvGraphicFramePr>
        <xdr:cNvPr id="32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151</xdr:col>
      <xdr:colOff>0</xdr:colOff>
      <xdr:row>135</xdr:row>
      <xdr:rowOff>0</xdr:rowOff>
    </xdr:from>
    <xdr:to>
      <xdr:col>158</xdr:col>
      <xdr:colOff>304800</xdr:colOff>
      <xdr:row>151</xdr:row>
      <xdr:rowOff>152400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115</xdr:col>
      <xdr:colOff>0</xdr:colOff>
      <xdr:row>207</xdr:row>
      <xdr:rowOff>0</xdr:rowOff>
    </xdr:from>
    <xdr:to>
      <xdr:col>125</xdr:col>
      <xdr:colOff>95250</xdr:colOff>
      <xdr:row>223</xdr:row>
      <xdr:rowOff>152400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87383" cy="58415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550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0.50475</cdr:x>
      <cdr:y>0.50075</cdr:y>
    </cdr:from>
    <cdr:to>
      <cdr:x>0.51725</cdr:x>
      <cdr:y>0.5295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17354" y="2923792"/>
          <a:ext cx="106918" cy="1678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1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8550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8550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25417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8385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72065625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199501" maxValue="199512" count="12">
        <n v="199501"/>
        <n v="199502"/>
        <n v="199503"/>
        <n v="199504"/>
        <n v="199505"/>
        <n v="199506"/>
        <n v="199507"/>
        <n v="199508"/>
        <n v="199509"/>
        <n v="199510"/>
        <n v="199511"/>
        <n v="199512"/>
      </sharedItems>
    </cacheField>
    <cacheField name="DD&lt;0" numFmtId="0">
      <sharedItems containsSemiMixedTypes="0" containsString="0" containsNumber="1" minValue="0" maxValue="28.6"/>
    </cacheField>
    <cacheField name="DD&gt;5" numFmtId="0">
      <sharedItems containsSemiMixedTypes="0" containsString="0" containsNumber="1" minValue="0" maxValue="11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15.6"/>
    <n v="0"/>
  </r>
  <r>
    <x v="0"/>
    <n v="16.399999999999999"/>
    <n v="0"/>
  </r>
  <r>
    <x v="0"/>
    <n v="16.100000000000001"/>
    <n v="0"/>
  </r>
  <r>
    <x v="0"/>
    <n v="15.3"/>
    <n v="0"/>
  </r>
  <r>
    <x v="0"/>
    <n v="17.100000000000001"/>
    <n v="0"/>
  </r>
  <r>
    <x v="0"/>
    <n v="16.7"/>
    <n v="0"/>
  </r>
  <r>
    <x v="0"/>
    <n v="15.8"/>
    <n v="0"/>
  </r>
  <r>
    <x v="0"/>
    <n v="3.9"/>
    <n v="0"/>
  </r>
  <r>
    <x v="0"/>
    <n v="1.2"/>
    <n v="0"/>
  </r>
  <r>
    <x v="0"/>
    <n v="0.4"/>
    <n v="0"/>
  </r>
  <r>
    <x v="0"/>
    <n v="3.7"/>
    <n v="0"/>
  </r>
  <r>
    <x v="0"/>
    <n v="3.8"/>
    <n v="0"/>
  </r>
  <r>
    <x v="0"/>
    <n v="1.7"/>
    <n v="0"/>
  </r>
  <r>
    <x v="0"/>
    <n v="2.7"/>
    <n v="0"/>
  </r>
  <r>
    <x v="0"/>
    <n v="2.8"/>
    <n v="0"/>
  </r>
  <r>
    <x v="0"/>
    <n v="4.2"/>
    <n v="0"/>
  </r>
  <r>
    <x v="0"/>
    <n v="5.8"/>
    <n v="0"/>
  </r>
  <r>
    <x v="0"/>
    <n v="3.6"/>
    <n v="0"/>
  </r>
  <r>
    <x v="0"/>
    <n v="6.3"/>
    <n v="0"/>
  </r>
  <r>
    <x v="0"/>
    <n v="8.5"/>
    <n v="0"/>
  </r>
  <r>
    <x v="0"/>
    <n v="10.1"/>
    <n v="0"/>
  </r>
  <r>
    <x v="0"/>
    <n v="11.6"/>
    <n v="0"/>
  </r>
  <r>
    <x v="0"/>
    <n v="12"/>
    <n v="0"/>
  </r>
  <r>
    <x v="0"/>
    <n v="7.4"/>
    <n v="0"/>
  </r>
  <r>
    <x v="0"/>
    <n v="1.4"/>
    <n v="0"/>
  </r>
  <r>
    <x v="0"/>
    <n v="1.9"/>
    <n v="0"/>
  </r>
  <r>
    <x v="0"/>
    <n v="7"/>
    <n v="0"/>
  </r>
  <r>
    <x v="0"/>
    <n v="5.9"/>
    <n v="0"/>
  </r>
  <r>
    <x v="0"/>
    <n v="0"/>
    <n v="0"/>
  </r>
  <r>
    <x v="0"/>
    <n v="0.3"/>
    <n v="0"/>
  </r>
  <r>
    <x v="0"/>
    <n v="0"/>
    <n v="0"/>
  </r>
  <r>
    <x v="1"/>
    <n v="0"/>
    <n v="0"/>
  </r>
  <r>
    <x v="1"/>
    <n v="1"/>
    <n v="0"/>
  </r>
  <r>
    <x v="1"/>
    <n v="0.9"/>
    <n v="0"/>
  </r>
  <r>
    <x v="1"/>
    <n v="4.5"/>
    <n v="0"/>
  </r>
  <r>
    <x v="1"/>
    <n v="0.5"/>
    <n v="0"/>
  </r>
  <r>
    <x v="1"/>
    <n v="0"/>
    <n v="0"/>
  </r>
  <r>
    <x v="1"/>
    <n v="1.9"/>
    <n v="0"/>
  </r>
  <r>
    <x v="1"/>
    <n v="6.7"/>
    <n v="0"/>
  </r>
  <r>
    <x v="1"/>
    <n v="6.3"/>
    <n v="0"/>
  </r>
  <r>
    <x v="1"/>
    <n v="6.8"/>
    <n v="0"/>
  </r>
  <r>
    <x v="1"/>
    <n v="12.2"/>
    <n v="0"/>
  </r>
  <r>
    <x v="1"/>
    <n v="16"/>
    <n v="0"/>
  </r>
  <r>
    <x v="1"/>
    <n v="20.6"/>
    <n v="0"/>
  </r>
  <r>
    <x v="1"/>
    <n v="19.5"/>
    <n v="0"/>
  </r>
  <r>
    <x v="1"/>
    <n v="11.3"/>
    <n v="0"/>
  </r>
  <r>
    <x v="1"/>
    <n v="5.7"/>
    <n v="0"/>
  </r>
  <r>
    <x v="1"/>
    <n v="1"/>
    <n v="0"/>
  </r>
  <r>
    <x v="1"/>
    <n v="0.9"/>
    <n v="0"/>
  </r>
  <r>
    <x v="1"/>
    <n v="0"/>
    <n v="0"/>
  </r>
  <r>
    <x v="1"/>
    <n v="0"/>
    <n v="0"/>
  </r>
  <r>
    <x v="1"/>
    <n v="0.2"/>
    <n v="0"/>
  </r>
  <r>
    <x v="1"/>
    <n v="5"/>
    <n v="0"/>
  </r>
  <r>
    <x v="1"/>
    <n v="2.2999999999999998"/>
    <n v="0"/>
  </r>
  <r>
    <x v="1"/>
    <n v="0"/>
    <n v="0"/>
  </r>
  <r>
    <x v="1"/>
    <n v="3"/>
    <n v="0"/>
  </r>
  <r>
    <x v="1"/>
    <n v="11.9"/>
    <n v="0"/>
  </r>
  <r>
    <x v="1"/>
    <n v="16.3"/>
    <n v="0"/>
  </r>
  <r>
    <x v="1"/>
    <n v="16.899999999999999"/>
    <n v="0"/>
  </r>
  <r>
    <x v="2"/>
    <n v="16.100000000000001"/>
    <n v="0"/>
  </r>
  <r>
    <x v="2"/>
    <n v="13.1"/>
    <n v="0"/>
  </r>
  <r>
    <x v="2"/>
    <n v="9.5"/>
    <n v="0"/>
  </r>
  <r>
    <x v="2"/>
    <n v="10.8"/>
    <n v="0"/>
  </r>
  <r>
    <x v="2"/>
    <n v="16.899999999999999"/>
    <n v="0"/>
  </r>
  <r>
    <x v="2"/>
    <n v="18.899999999999999"/>
    <n v="0"/>
  </r>
  <r>
    <x v="2"/>
    <n v="11"/>
    <n v="0"/>
  </r>
  <r>
    <x v="2"/>
    <n v="4.7"/>
    <n v="0"/>
  </r>
  <r>
    <x v="2"/>
    <n v="0"/>
    <n v="0"/>
  </r>
  <r>
    <x v="2"/>
    <n v="0"/>
    <n v="0"/>
  </r>
  <r>
    <x v="2"/>
    <n v="0"/>
    <n v="0"/>
  </r>
  <r>
    <x v="2"/>
    <n v="1"/>
    <n v="0"/>
  </r>
  <r>
    <x v="2"/>
    <n v="2.4"/>
    <n v="0"/>
  </r>
  <r>
    <x v="2"/>
    <n v="0"/>
    <n v="0"/>
  </r>
  <r>
    <x v="2"/>
    <n v="1"/>
    <n v="0"/>
  </r>
  <r>
    <x v="2"/>
    <n v="1.6"/>
    <n v="0"/>
  </r>
  <r>
    <x v="2"/>
    <n v="0"/>
    <n v="0"/>
  </r>
  <r>
    <x v="2"/>
    <n v="0"/>
    <n v="0"/>
  </r>
  <r>
    <x v="2"/>
    <n v="0"/>
    <n v="0"/>
  </r>
  <r>
    <x v="2"/>
    <n v="0.9"/>
    <n v="0"/>
  </r>
  <r>
    <x v="2"/>
    <n v="2.8"/>
    <n v="0"/>
  </r>
  <r>
    <x v="2"/>
    <n v="3"/>
    <n v="0"/>
  </r>
  <r>
    <x v="2"/>
    <n v="2.2000000000000002"/>
    <n v="0"/>
  </r>
  <r>
    <x v="2"/>
    <n v="4"/>
    <n v="0"/>
  </r>
  <r>
    <x v="2"/>
    <n v="7.9"/>
    <n v="0"/>
  </r>
  <r>
    <x v="2"/>
    <n v="6.7"/>
    <n v="0"/>
  </r>
  <r>
    <x v="2"/>
    <n v="3.4"/>
    <n v="0"/>
  </r>
  <r>
    <x v="2"/>
    <n v="1.5"/>
    <n v="0"/>
  </r>
  <r>
    <x v="2"/>
    <n v="0"/>
    <n v="0"/>
  </r>
  <r>
    <x v="2"/>
    <n v="0"/>
    <n v="0"/>
  </r>
  <r>
    <x v="2"/>
    <n v="0"/>
    <n v="0"/>
  </r>
  <r>
    <x v="3"/>
    <n v="0"/>
    <n v="0"/>
  </r>
  <r>
    <x v="3"/>
    <n v="1.3"/>
    <n v="0"/>
  </r>
  <r>
    <x v="3"/>
    <n v="0"/>
    <n v="0"/>
  </r>
  <r>
    <x v="3"/>
    <n v="0"/>
    <n v="0"/>
  </r>
  <r>
    <x v="3"/>
    <n v="2"/>
    <n v="0"/>
  </r>
  <r>
    <x v="3"/>
    <n v="0"/>
    <n v="0"/>
  </r>
  <r>
    <x v="3"/>
    <n v="0"/>
    <n v="0"/>
  </r>
  <r>
    <x v="3"/>
    <n v="1"/>
    <n v="0"/>
  </r>
  <r>
    <x v="3"/>
    <n v="0.9"/>
    <n v="0"/>
  </r>
  <r>
    <x v="3"/>
    <n v="1.9"/>
    <n v="0"/>
  </r>
  <r>
    <x v="3"/>
    <n v="3.2"/>
    <n v="0"/>
  </r>
  <r>
    <x v="3"/>
    <n v="2.8"/>
    <n v="0"/>
  </r>
  <r>
    <x v="3"/>
    <n v="0.6"/>
    <n v="0"/>
  </r>
  <r>
    <x v="3"/>
    <n v="3.1"/>
    <n v="0"/>
  </r>
  <r>
    <x v="3"/>
    <n v="3.4"/>
    <n v="0"/>
  </r>
  <r>
    <x v="3"/>
    <n v="3.6"/>
    <n v="0"/>
  </r>
  <r>
    <x v="3"/>
    <n v="0.5"/>
    <n v="0"/>
  </r>
  <r>
    <x v="3"/>
    <n v="0.6"/>
    <n v="0"/>
  </r>
  <r>
    <x v="3"/>
    <n v="1.8"/>
    <n v="0"/>
  </r>
  <r>
    <x v="3"/>
    <n v="1.8"/>
    <n v="0"/>
  </r>
  <r>
    <x v="3"/>
    <n v="0.5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1.2"/>
  </r>
  <r>
    <x v="3"/>
    <n v="0"/>
    <n v="0"/>
  </r>
  <r>
    <x v="3"/>
    <n v="0"/>
    <n v="0"/>
  </r>
  <r>
    <x v="3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7"/>
  </r>
  <r>
    <x v="4"/>
    <n v="0"/>
    <n v="1.4"/>
  </r>
  <r>
    <x v="4"/>
    <n v="0"/>
    <n v="2.1"/>
  </r>
  <r>
    <x v="4"/>
    <n v="0"/>
    <n v="0"/>
  </r>
  <r>
    <x v="4"/>
    <n v="0"/>
    <n v="0"/>
  </r>
  <r>
    <x v="4"/>
    <n v="0"/>
    <n v="0"/>
  </r>
  <r>
    <x v="4"/>
    <n v="0"/>
    <n v="0.4"/>
  </r>
  <r>
    <x v="4"/>
    <n v="0"/>
    <n v="1.5"/>
  </r>
  <r>
    <x v="4"/>
    <n v="0"/>
    <n v="2"/>
  </r>
  <r>
    <x v="4"/>
    <n v="0"/>
    <n v="2.8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6"/>
  </r>
  <r>
    <x v="4"/>
    <n v="0"/>
    <n v="2.4"/>
  </r>
  <r>
    <x v="4"/>
    <n v="0"/>
    <n v="2.5"/>
  </r>
  <r>
    <x v="4"/>
    <n v="0"/>
    <n v="1.5"/>
  </r>
  <r>
    <x v="4"/>
    <n v="0"/>
    <n v="1.3"/>
  </r>
  <r>
    <x v="4"/>
    <n v="0"/>
    <n v="4.0999999999999996"/>
  </r>
  <r>
    <x v="4"/>
    <n v="0"/>
    <n v="6.4"/>
  </r>
  <r>
    <x v="4"/>
    <n v="0"/>
    <n v="7.6"/>
  </r>
  <r>
    <x v="4"/>
    <n v="0"/>
    <n v="6.2"/>
  </r>
  <r>
    <x v="4"/>
    <n v="0"/>
    <n v="4.5"/>
  </r>
  <r>
    <x v="5"/>
    <n v="0"/>
    <n v="6.1"/>
  </r>
  <r>
    <x v="5"/>
    <n v="0"/>
    <n v="6.2"/>
  </r>
  <r>
    <x v="5"/>
    <n v="0"/>
    <n v="6.3"/>
  </r>
  <r>
    <x v="5"/>
    <n v="0"/>
    <n v="5.2"/>
  </r>
  <r>
    <x v="5"/>
    <n v="0"/>
    <n v="0"/>
  </r>
  <r>
    <x v="5"/>
    <n v="0"/>
    <n v="0"/>
  </r>
  <r>
    <x v="5"/>
    <n v="0"/>
    <n v="3.7"/>
  </r>
  <r>
    <x v="5"/>
    <n v="0"/>
    <n v="4.7"/>
  </r>
  <r>
    <x v="5"/>
    <n v="0"/>
    <n v="4.9000000000000004"/>
  </r>
  <r>
    <x v="5"/>
    <n v="0"/>
    <n v="5.0999999999999996"/>
  </r>
  <r>
    <x v="5"/>
    <n v="0"/>
    <n v="2.6"/>
  </r>
  <r>
    <x v="5"/>
    <n v="0"/>
    <n v="3.3"/>
  </r>
  <r>
    <x v="5"/>
    <n v="0"/>
    <n v="0.8"/>
  </r>
  <r>
    <x v="5"/>
    <n v="0"/>
    <n v="1.4"/>
  </r>
  <r>
    <x v="5"/>
    <n v="0"/>
    <n v="3.3"/>
  </r>
  <r>
    <x v="5"/>
    <n v="0"/>
    <n v="4.5"/>
  </r>
  <r>
    <x v="5"/>
    <n v="0"/>
    <n v="2.9"/>
  </r>
  <r>
    <x v="5"/>
    <n v="0"/>
    <n v="2.4"/>
  </r>
  <r>
    <x v="5"/>
    <n v="0"/>
    <n v="2"/>
  </r>
  <r>
    <x v="5"/>
    <n v="0"/>
    <n v="2.8"/>
  </r>
  <r>
    <x v="5"/>
    <n v="0"/>
    <n v="4.7"/>
  </r>
  <r>
    <x v="5"/>
    <n v="0"/>
    <n v="5.6"/>
  </r>
  <r>
    <x v="5"/>
    <n v="0"/>
    <n v="7.7"/>
  </r>
  <r>
    <x v="5"/>
    <n v="0"/>
    <n v="8.1"/>
  </r>
  <r>
    <x v="5"/>
    <n v="0"/>
    <n v="6"/>
  </r>
  <r>
    <x v="5"/>
    <n v="0"/>
    <n v="3.5"/>
  </r>
  <r>
    <x v="5"/>
    <n v="0"/>
    <n v="4.2"/>
  </r>
  <r>
    <x v="5"/>
    <n v="0"/>
    <n v="7.5"/>
  </r>
  <r>
    <x v="5"/>
    <n v="0"/>
    <n v="8.8000000000000007"/>
  </r>
  <r>
    <x v="5"/>
    <n v="0"/>
    <n v="10.5"/>
  </r>
  <r>
    <x v="6"/>
    <n v="0"/>
    <n v="11.6"/>
  </r>
  <r>
    <x v="6"/>
    <n v="0"/>
    <n v="6.6"/>
  </r>
  <r>
    <x v="6"/>
    <n v="0"/>
    <n v="5.0999999999999996"/>
  </r>
  <r>
    <x v="6"/>
    <n v="0"/>
    <n v="3.5"/>
  </r>
  <r>
    <x v="6"/>
    <n v="0"/>
    <n v="4.7"/>
  </r>
  <r>
    <x v="6"/>
    <n v="0"/>
    <n v="5.2"/>
  </r>
  <r>
    <x v="6"/>
    <n v="0"/>
    <n v="6.3"/>
  </r>
  <r>
    <x v="6"/>
    <n v="0"/>
    <n v="6.9"/>
  </r>
  <r>
    <x v="6"/>
    <n v="0"/>
    <n v="8.8000000000000007"/>
  </r>
  <r>
    <x v="6"/>
    <n v="0"/>
    <n v="4.3"/>
  </r>
  <r>
    <x v="6"/>
    <n v="0"/>
    <n v="3.9"/>
  </r>
  <r>
    <x v="6"/>
    <n v="0"/>
    <n v="4"/>
  </r>
  <r>
    <x v="6"/>
    <n v="0"/>
    <n v="6.3"/>
  </r>
  <r>
    <x v="6"/>
    <n v="0"/>
    <n v="6.2"/>
  </r>
  <r>
    <x v="6"/>
    <n v="0"/>
    <n v="6.2"/>
  </r>
  <r>
    <x v="6"/>
    <n v="0"/>
    <n v="8.1"/>
  </r>
  <r>
    <x v="6"/>
    <n v="0"/>
    <n v="8.6"/>
  </r>
  <r>
    <x v="6"/>
    <n v="0"/>
    <n v="8.6999999999999993"/>
  </r>
  <r>
    <x v="6"/>
    <n v="0"/>
    <n v="9.4"/>
  </r>
  <r>
    <x v="6"/>
    <n v="0"/>
    <n v="10.6"/>
  </r>
  <r>
    <x v="6"/>
    <n v="0"/>
    <n v="8"/>
  </r>
  <r>
    <x v="6"/>
    <n v="0"/>
    <n v="9.3000000000000007"/>
  </r>
  <r>
    <x v="6"/>
    <n v="0"/>
    <n v="6.5"/>
  </r>
  <r>
    <x v="6"/>
    <n v="0"/>
    <n v="6.6"/>
  </r>
  <r>
    <x v="6"/>
    <n v="0"/>
    <n v="5.7"/>
  </r>
  <r>
    <x v="6"/>
    <n v="0"/>
    <n v="5.9"/>
  </r>
  <r>
    <x v="6"/>
    <n v="0"/>
    <n v="2.7"/>
  </r>
  <r>
    <x v="6"/>
    <n v="0"/>
    <n v="4.8"/>
  </r>
  <r>
    <x v="6"/>
    <n v="0"/>
    <n v="0.2"/>
  </r>
  <r>
    <x v="6"/>
    <n v="0"/>
    <n v="3.6"/>
  </r>
  <r>
    <x v="6"/>
    <n v="0"/>
    <n v="5.7"/>
  </r>
  <r>
    <x v="7"/>
    <n v="0"/>
    <n v="4.9000000000000004"/>
  </r>
  <r>
    <x v="7"/>
    <n v="0"/>
    <n v="5.0999999999999996"/>
  </r>
  <r>
    <x v="7"/>
    <n v="0"/>
    <n v="6.9"/>
  </r>
  <r>
    <x v="7"/>
    <n v="0"/>
    <n v="11.1"/>
  </r>
  <r>
    <x v="7"/>
    <n v="0"/>
    <n v="7.3"/>
  </r>
  <r>
    <x v="7"/>
    <n v="0"/>
    <n v="0.4"/>
  </r>
  <r>
    <x v="7"/>
    <n v="0"/>
    <n v="1.7"/>
  </r>
  <r>
    <x v="7"/>
    <n v="0"/>
    <n v="0.8"/>
  </r>
  <r>
    <x v="7"/>
    <n v="0"/>
    <n v="3.4"/>
  </r>
  <r>
    <x v="7"/>
    <n v="0"/>
    <n v="5.0999999999999996"/>
  </r>
  <r>
    <x v="7"/>
    <n v="0"/>
    <n v="3.3"/>
  </r>
  <r>
    <x v="7"/>
    <n v="0"/>
    <n v="0"/>
  </r>
  <r>
    <x v="7"/>
    <n v="0"/>
    <n v="2.6"/>
  </r>
  <r>
    <x v="7"/>
    <n v="0"/>
    <n v="3.4"/>
  </r>
  <r>
    <x v="7"/>
    <n v="0"/>
    <n v="1.3"/>
  </r>
  <r>
    <x v="7"/>
    <n v="0"/>
    <n v="0.5"/>
  </r>
  <r>
    <x v="7"/>
    <n v="0"/>
    <n v="0"/>
  </r>
  <r>
    <x v="7"/>
    <n v="0"/>
    <n v="0.8"/>
  </r>
  <r>
    <x v="7"/>
    <n v="0"/>
    <n v="3"/>
  </r>
  <r>
    <x v="7"/>
    <n v="0"/>
    <n v="4.9000000000000004"/>
  </r>
  <r>
    <x v="7"/>
    <n v="0"/>
    <n v="7.3"/>
  </r>
  <r>
    <x v="7"/>
    <n v="0"/>
    <n v="4.5"/>
  </r>
  <r>
    <x v="7"/>
    <n v="0"/>
    <n v="4.8"/>
  </r>
  <r>
    <x v="7"/>
    <n v="0"/>
    <n v="1.1000000000000001"/>
  </r>
  <r>
    <x v="7"/>
    <n v="0"/>
    <n v="1.8"/>
  </r>
  <r>
    <x v="7"/>
    <n v="0"/>
    <n v="2.5"/>
  </r>
  <r>
    <x v="7"/>
    <n v="0"/>
    <n v="3.2"/>
  </r>
  <r>
    <x v="7"/>
    <n v="0"/>
    <n v="4.8"/>
  </r>
  <r>
    <x v="7"/>
    <n v="0"/>
    <n v="0.7"/>
  </r>
  <r>
    <x v="7"/>
    <n v="0"/>
    <n v="1.7"/>
  </r>
  <r>
    <x v="7"/>
    <n v="0"/>
    <n v="3"/>
  </r>
  <r>
    <x v="8"/>
    <n v="0"/>
    <n v="4.9000000000000004"/>
  </r>
  <r>
    <x v="8"/>
    <n v="0"/>
    <n v="5.9"/>
  </r>
  <r>
    <x v="8"/>
    <n v="0"/>
    <n v="6.3"/>
  </r>
  <r>
    <x v="8"/>
    <n v="0"/>
    <n v="10"/>
  </r>
  <r>
    <x v="8"/>
    <n v="0"/>
    <n v="4.4000000000000004"/>
  </r>
  <r>
    <x v="8"/>
    <n v="0"/>
    <n v="4.0999999999999996"/>
  </r>
  <r>
    <x v="8"/>
    <n v="0"/>
    <n v="5"/>
  </r>
  <r>
    <x v="8"/>
    <n v="0"/>
    <n v="5"/>
  </r>
  <r>
    <x v="8"/>
    <n v="0"/>
    <n v="5.4"/>
  </r>
  <r>
    <x v="8"/>
    <n v="0"/>
    <n v="5.9"/>
  </r>
  <r>
    <x v="8"/>
    <n v="0"/>
    <n v="4.7"/>
  </r>
  <r>
    <x v="8"/>
    <n v="0"/>
    <n v="4.2"/>
  </r>
  <r>
    <x v="8"/>
    <n v="0"/>
    <n v="4.4000000000000004"/>
  </r>
  <r>
    <x v="8"/>
    <n v="0"/>
    <n v="3.9"/>
  </r>
  <r>
    <x v="8"/>
    <n v="0"/>
    <n v="4.0999999999999996"/>
  </r>
  <r>
    <x v="8"/>
    <n v="0"/>
    <n v="2.2000000000000002"/>
  </r>
  <r>
    <x v="8"/>
    <n v="0"/>
    <n v="2.2000000000000002"/>
  </r>
  <r>
    <x v="8"/>
    <n v="0"/>
    <n v="1.7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2.9"/>
  </r>
  <r>
    <x v="8"/>
    <n v="0"/>
    <n v="3.1"/>
  </r>
  <r>
    <x v="8"/>
    <n v="0"/>
    <n v="2.1"/>
  </r>
  <r>
    <x v="8"/>
    <n v="0"/>
    <n v="0.5"/>
  </r>
  <r>
    <x v="8"/>
    <n v="0"/>
    <n v="1.3"/>
  </r>
  <r>
    <x v="8"/>
    <n v="0"/>
    <n v="1.2"/>
  </r>
  <r>
    <x v="8"/>
    <n v="0"/>
    <n v="0.7"/>
  </r>
  <r>
    <x v="8"/>
    <n v="0"/>
    <n v="0"/>
  </r>
  <r>
    <x v="9"/>
    <n v="0.2"/>
    <n v="0"/>
  </r>
  <r>
    <x v="9"/>
    <n v="0"/>
    <n v="0"/>
  </r>
  <r>
    <x v="9"/>
    <n v="0"/>
    <n v="0"/>
  </r>
  <r>
    <x v="9"/>
    <n v="0.7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.4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1.2"/>
    <n v="0"/>
  </r>
  <r>
    <x v="9"/>
    <n v="0"/>
    <n v="0"/>
  </r>
  <r>
    <x v="9"/>
    <n v="0"/>
    <n v="0"/>
  </r>
  <r>
    <x v="9"/>
    <n v="0.8"/>
    <n v="0"/>
  </r>
  <r>
    <x v="9"/>
    <n v="1"/>
    <n v="0"/>
  </r>
  <r>
    <x v="9"/>
    <n v="0.5"/>
    <n v="0"/>
  </r>
  <r>
    <x v="9"/>
    <n v="0.4"/>
    <n v="0"/>
  </r>
  <r>
    <x v="9"/>
    <n v="0.3"/>
    <n v="0"/>
  </r>
  <r>
    <x v="9"/>
    <n v="0"/>
    <n v="0"/>
  </r>
  <r>
    <x v="9"/>
    <n v="3.3"/>
    <n v="0"/>
  </r>
  <r>
    <x v="9"/>
    <n v="5.8"/>
    <n v="0"/>
  </r>
  <r>
    <x v="9"/>
    <n v="8.9"/>
    <n v="0"/>
  </r>
  <r>
    <x v="9"/>
    <n v="11.6"/>
    <n v="0"/>
  </r>
  <r>
    <x v="9"/>
    <n v="9.3000000000000007"/>
    <n v="0"/>
  </r>
  <r>
    <x v="10"/>
    <n v="13.2"/>
    <n v="0"/>
  </r>
  <r>
    <x v="10"/>
    <n v="10.7"/>
    <n v="0"/>
  </r>
  <r>
    <x v="10"/>
    <n v="9.1"/>
    <n v="0"/>
  </r>
  <r>
    <x v="10"/>
    <n v="4.8"/>
    <n v="0"/>
  </r>
  <r>
    <x v="10"/>
    <n v="5.6"/>
    <n v="0"/>
  </r>
  <r>
    <x v="10"/>
    <n v="7.7"/>
    <n v="0"/>
  </r>
  <r>
    <x v="10"/>
    <n v="6.7"/>
    <n v="0"/>
  </r>
  <r>
    <x v="10"/>
    <n v="0"/>
    <n v="0"/>
  </r>
  <r>
    <x v="10"/>
    <n v="7.7"/>
    <n v="0"/>
  </r>
  <r>
    <x v="10"/>
    <n v="13.1"/>
    <n v="0"/>
  </r>
  <r>
    <x v="10"/>
    <n v="3.5"/>
    <n v="0"/>
  </r>
  <r>
    <x v="10"/>
    <n v="1.8"/>
    <n v="0"/>
  </r>
  <r>
    <x v="10"/>
    <n v="1.3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0"/>
    <n v="0"/>
  </r>
  <r>
    <x v="10"/>
    <n v="4.5"/>
    <n v="0"/>
  </r>
  <r>
    <x v="10"/>
    <n v="4.0999999999999996"/>
    <n v="0"/>
  </r>
  <r>
    <x v="10"/>
    <n v="0.7"/>
    <n v="0"/>
  </r>
  <r>
    <x v="10"/>
    <n v="0"/>
    <n v="0"/>
  </r>
  <r>
    <x v="10"/>
    <n v="0"/>
    <n v="0"/>
  </r>
  <r>
    <x v="10"/>
    <n v="0"/>
    <n v="0"/>
  </r>
  <r>
    <x v="10"/>
    <n v="0.2"/>
    <n v="0"/>
  </r>
  <r>
    <x v="10"/>
    <n v="1.8"/>
    <n v="0"/>
  </r>
  <r>
    <x v="10"/>
    <n v="3.3"/>
    <n v="0"/>
  </r>
  <r>
    <x v="10"/>
    <n v="1.1000000000000001"/>
    <n v="0"/>
  </r>
  <r>
    <x v="10"/>
    <n v="0"/>
    <n v="0"/>
  </r>
  <r>
    <x v="10"/>
    <n v="0"/>
    <n v="0"/>
  </r>
  <r>
    <x v="11"/>
    <n v="1.9"/>
    <n v="0"/>
  </r>
  <r>
    <x v="11"/>
    <n v="5.6"/>
    <n v="0"/>
  </r>
  <r>
    <x v="11"/>
    <n v="5"/>
    <n v="0"/>
  </r>
  <r>
    <x v="11"/>
    <n v="11"/>
    <n v="0"/>
  </r>
  <r>
    <x v="11"/>
    <n v="20.3"/>
    <n v="0"/>
  </r>
  <r>
    <x v="11"/>
    <n v="15"/>
    <n v="0"/>
  </r>
  <r>
    <x v="11"/>
    <n v="19.8"/>
    <n v="0"/>
  </r>
  <r>
    <x v="11"/>
    <n v="28.6"/>
    <n v="0"/>
  </r>
  <r>
    <x v="11"/>
    <n v="18.5"/>
    <n v="0"/>
  </r>
  <r>
    <x v="11"/>
    <n v="9.1999999999999993"/>
    <n v="0"/>
  </r>
  <r>
    <x v="11"/>
    <n v="3.1"/>
    <n v="0"/>
  </r>
  <r>
    <x v="11"/>
    <n v="0"/>
    <n v="0"/>
  </r>
  <r>
    <x v="11"/>
    <n v="1.7"/>
    <n v="0"/>
  </r>
  <r>
    <x v="11"/>
    <n v="5"/>
    <n v="0"/>
  </r>
  <r>
    <x v="11"/>
    <n v="7.6"/>
    <n v="0"/>
  </r>
  <r>
    <x v="11"/>
    <n v="8.3000000000000007"/>
    <n v="0"/>
  </r>
  <r>
    <x v="11"/>
    <n v="7.9"/>
    <n v="0"/>
  </r>
  <r>
    <x v="11"/>
    <n v="6.6"/>
    <n v="0"/>
  </r>
  <r>
    <x v="11"/>
    <n v="5.9"/>
    <n v="0"/>
  </r>
  <r>
    <x v="11"/>
    <n v="5.3"/>
    <n v="0"/>
  </r>
  <r>
    <x v="11"/>
    <n v="7.5"/>
    <n v="0"/>
  </r>
  <r>
    <x v="11"/>
    <n v="10.3"/>
    <n v="0"/>
  </r>
  <r>
    <x v="11"/>
    <n v="12.9"/>
    <n v="0"/>
  </r>
  <r>
    <x v="11"/>
    <n v="11.1"/>
    <n v="0"/>
  </r>
  <r>
    <x v="11"/>
    <n v="12.6"/>
    <n v="0"/>
  </r>
  <r>
    <x v="11"/>
    <n v="11.9"/>
    <n v="0"/>
  </r>
  <r>
    <x v="11"/>
    <n v="10.1"/>
    <n v="0"/>
  </r>
  <r>
    <x v="11"/>
    <n v="8.8000000000000007"/>
    <n v="0"/>
  </r>
  <r>
    <x v="11"/>
    <n v="7.2"/>
    <n v="0"/>
  </r>
  <r>
    <x v="11"/>
    <n v="5.6"/>
    <n v="0"/>
  </r>
  <r>
    <x v="11"/>
    <n v="3.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selection activeCell="A2" sqref="A2"/>
    </sheetView>
  </sheetViews>
  <sheetFormatPr defaultRowHeight="12.75" x14ac:dyDescent="0.2"/>
  <sheetData>
    <row r="1" spans="1:14" x14ac:dyDescent="0.2">
      <c r="A1" s="3" t="s">
        <v>137</v>
      </c>
      <c r="B1" s="3"/>
      <c r="C1" s="3"/>
      <c r="D1" s="3"/>
      <c r="E1" s="3"/>
    </row>
    <row r="2" spans="1:14" x14ac:dyDescent="0.2">
      <c r="A2" s="3" t="s">
        <v>232</v>
      </c>
      <c r="B2" s="3"/>
      <c r="C2" s="3"/>
      <c r="D2" s="3"/>
      <c r="E2" s="3"/>
    </row>
    <row r="3" spans="1:14" x14ac:dyDescent="0.2">
      <c r="A3" s="3"/>
      <c r="B3" s="3" t="s">
        <v>159</v>
      </c>
      <c r="C3" s="3"/>
      <c r="D3" s="3"/>
      <c r="E3" s="3"/>
    </row>
    <row r="4" spans="1:14" x14ac:dyDescent="0.2">
      <c r="A4" s="3"/>
      <c r="B4" s="3" t="s">
        <v>160</v>
      </c>
      <c r="C4" s="3"/>
      <c r="D4" s="3"/>
      <c r="E4" s="3"/>
    </row>
    <row r="5" spans="1:14" x14ac:dyDescent="0.2">
      <c r="A5" s="3" t="s">
        <v>138</v>
      </c>
      <c r="B5" s="3"/>
      <c r="C5" s="3"/>
      <c r="D5" s="3"/>
      <c r="E5" s="3"/>
      <c r="F5" s="3" t="s">
        <v>139</v>
      </c>
    </row>
    <row r="6" spans="1:14" x14ac:dyDescent="0.2">
      <c r="A6" s="3"/>
      <c r="B6" s="3" t="s">
        <v>161</v>
      </c>
      <c r="C6" s="3"/>
      <c r="D6" s="3"/>
      <c r="E6" s="3"/>
    </row>
    <row r="7" spans="1:14" x14ac:dyDescent="0.2">
      <c r="A7" s="3"/>
      <c r="B7" s="3" t="s">
        <v>140</v>
      </c>
      <c r="C7" s="3"/>
      <c r="D7" s="3"/>
      <c r="E7" s="3"/>
    </row>
    <row r="8" spans="1:14" x14ac:dyDescent="0.2">
      <c r="A8" s="3" t="s">
        <v>141</v>
      </c>
      <c r="B8" s="3"/>
      <c r="C8" s="3"/>
      <c r="D8" s="3"/>
      <c r="E8" s="3"/>
    </row>
    <row r="9" spans="1:14" x14ac:dyDescent="0.2">
      <c r="A9" s="3"/>
      <c r="B9" s="3" t="s">
        <v>142</v>
      </c>
      <c r="C9" s="3"/>
      <c r="D9" s="3"/>
      <c r="E9" s="3"/>
    </row>
    <row r="10" spans="1:14" x14ac:dyDescent="0.2">
      <c r="A10" s="3" t="s">
        <v>143</v>
      </c>
      <c r="B10" s="3"/>
      <c r="C10" s="3"/>
      <c r="D10" s="3"/>
      <c r="E10" s="3"/>
      <c r="J10" s="3" t="s">
        <v>158</v>
      </c>
      <c r="K10" s="3"/>
      <c r="L10" s="3" t="s">
        <v>175</v>
      </c>
      <c r="M10" s="3"/>
      <c r="N10" s="3"/>
    </row>
    <row r="11" spans="1:14" x14ac:dyDescent="0.2">
      <c r="A11" s="3"/>
      <c r="B11" s="3" t="s">
        <v>144</v>
      </c>
      <c r="C11" s="3"/>
      <c r="D11" s="3"/>
      <c r="E11" s="3"/>
      <c r="K11" s="3" t="s">
        <v>179</v>
      </c>
      <c r="L11" s="3"/>
      <c r="M11" s="3"/>
      <c r="N11" s="3" t="s">
        <v>157</v>
      </c>
    </row>
    <row r="12" spans="1:14" x14ac:dyDescent="0.2">
      <c r="A12" s="3"/>
      <c r="B12" s="3" t="s">
        <v>145</v>
      </c>
      <c r="C12" s="3"/>
      <c r="D12" s="3"/>
      <c r="E12" s="3"/>
      <c r="K12" s="3"/>
      <c r="L12" s="3" t="s">
        <v>176</v>
      </c>
    </row>
    <row r="13" spans="1:14" x14ac:dyDescent="0.2">
      <c r="A13" s="3" t="s">
        <v>146</v>
      </c>
      <c r="B13" s="3"/>
      <c r="C13" s="3"/>
      <c r="D13" s="3"/>
      <c r="E13" s="3"/>
      <c r="K13" s="3"/>
      <c r="L13" s="3" t="s">
        <v>177</v>
      </c>
    </row>
    <row r="14" spans="1:14" x14ac:dyDescent="0.2">
      <c r="A14" s="3"/>
      <c r="B14" s="3" t="s">
        <v>144</v>
      </c>
      <c r="C14" s="3"/>
      <c r="D14" s="3"/>
      <c r="E14" s="3"/>
      <c r="J14" s="3"/>
      <c r="K14" s="3"/>
      <c r="L14" s="3" t="s">
        <v>178</v>
      </c>
    </row>
    <row r="15" spans="1:14" x14ac:dyDescent="0.2">
      <c r="A15" s="3"/>
      <c r="B15" s="3" t="s">
        <v>147</v>
      </c>
      <c r="C15" s="3"/>
      <c r="D15" s="3"/>
      <c r="E15" s="3"/>
    </row>
    <row r="16" spans="1:14" x14ac:dyDescent="0.2">
      <c r="A16" s="3" t="s">
        <v>148</v>
      </c>
      <c r="B16" s="3"/>
      <c r="C16" s="3"/>
      <c r="D16" s="3"/>
      <c r="E16" s="3"/>
    </row>
    <row r="17" spans="1:5" x14ac:dyDescent="0.2">
      <c r="A17" s="3"/>
      <c r="B17" s="3" t="s">
        <v>149</v>
      </c>
      <c r="C17" s="3"/>
      <c r="D17" s="3"/>
      <c r="E17" s="3"/>
    </row>
    <row r="18" spans="1:5" x14ac:dyDescent="0.2">
      <c r="A18" s="3" t="s">
        <v>150</v>
      </c>
      <c r="B18" s="3"/>
      <c r="C18" s="3"/>
      <c r="D18" s="3"/>
      <c r="E18" s="3"/>
    </row>
    <row r="19" spans="1:5" x14ac:dyDescent="0.2">
      <c r="A19" s="3"/>
      <c r="B19" s="3" t="s">
        <v>151</v>
      </c>
      <c r="C19" s="3"/>
      <c r="D19" s="3"/>
      <c r="E19" s="3"/>
    </row>
    <row r="20" spans="1:5" x14ac:dyDescent="0.2">
      <c r="A20" s="3" t="s">
        <v>152</v>
      </c>
      <c r="B20" s="3"/>
      <c r="C20" s="3"/>
      <c r="D20" s="3"/>
      <c r="E20" s="3"/>
    </row>
    <row r="21" spans="1:5" x14ac:dyDescent="0.2">
      <c r="A21" s="3"/>
      <c r="B21" s="3" t="s">
        <v>153</v>
      </c>
      <c r="C21" s="3"/>
      <c r="E21" s="3"/>
    </row>
    <row r="22" spans="1:5" x14ac:dyDescent="0.2">
      <c r="C22" s="3" t="s">
        <v>231</v>
      </c>
    </row>
    <row r="23" spans="1:5" x14ac:dyDescent="0.2">
      <c r="A23" s="3" t="s">
        <v>154</v>
      </c>
      <c r="B23" s="3"/>
      <c r="C23" s="3"/>
      <c r="D23" s="3"/>
      <c r="E23" s="3" t="s">
        <v>234</v>
      </c>
    </row>
    <row r="24" spans="1:5" x14ac:dyDescent="0.2">
      <c r="A24" s="3"/>
      <c r="B24" s="3" t="s">
        <v>155</v>
      </c>
      <c r="C24" s="3"/>
      <c r="D24" s="3"/>
      <c r="E24" s="3"/>
    </row>
    <row r="25" spans="1:5" x14ac:dyDescent="0.2">
      <c r="A25" s="3" t="s">
        <v>216</v>
      </c>
      <c r="B25" s="3"/>
      <c r="C25" s="3"/>
      <c r="D25" s="3"/>
      <c r="E25" s="3"/>
    </row>
    <row r="26" spans="1:5" x14ac:dyDescent="0.2">
      <c r="A26" s="3"/>
      <c r="B26" s="3" t="s">
        <v>156</v>
      </c>
      <c r="C26" s="3"/>
      <c r="D26" s="3"/>
      <c r="E26" s="3"/>
    </row>
    <row r="27" spans="1:5" x14ac:dyDescent="0.2">
      <c r="A27" s="3"/>
      <c r="B27" s="3"/>
      <c r="C27" s="3"/>
      <c r="D27" s="3"/>
      <c r="E27" s="3"/>
    </row>
    <row r="28" spans="1:5" x14ac:dyDescent="0.2">
      <c r="A28" s="3" t="s">
        <v>217</v>
      </c>
      <c r="B28" s="3"/>
      <c r="C28" s="3"/>
      <c r="D28" s="3"/>
      <c r="E28" s="3"/>
    </row>
    <row r="29" spans="1:5" x14ac:dyDescent="0.2">
      <c r="A29" s="3"/>
      <c r="B29" s="3" t="s">
        <v>218</v>
      </c>
      <c r="C29" s="3"/>
      <c r="D29" s="3"/>
      <c r="E29" s="3"/>
    </row>
    <row r="30" spans="1:5" x14ac:dyDescent="0.2">
      <c r="A30" s="3"/>
      <c r="B30" s="3" t="s">
        <v>219</v>
      </c>
      <c r="C30" s="3"/>
      <c r="D30" s="3"/>
      <c r="E30" s="3"/>
    </row>
    <row r="31" spans="1:5" x14ac:dyDescent="0.2">
      <c r="A31" s="3"/>
      <c r="B31" s="3"/>
      <c r="C31" s="3" t="s">
        <v>220</v>
      </c>
      <c r="D31" s="3"/>
      <c r="E31" s="3"/>
    </row>
    <row r="32" spans="1:5" x14ac:dyDescent="0.2">
      <c r="C32" s="3" t="s">
        <v>221</v>
      </c>
      <c r="D32" s="3"/>
      <c r="E32" s="3"/>
    </row>
    <row r="33" spans="1:5" x14ac:dyDescent="0.2">
      <c r="C33" s="3" t="s">
        <v>233</v>
      </c>
      <c r="D33" s="3"/>
      <c r="E33" s="3"/>
    </row>
    <row r="34" spans="1:5" x14ac:dyDescent="0.2">
      <c r="A34" s="3" t="s">
        <v>222</v>
      </c>
      <c r="B34" s="3"/>
      <c r="C34" s="3"/>
      <c r="D34" s="3"/>
      <c r="E34" s="3"/>
    </row>
    <row r="35" spans="1:5" x14ac:dyDescent="0.2">
      <c r="A35" s="3"/>
      <c r="B35" s="3" t="s">
        <v>223</v>
      </c>
      <c r="C35" s="3"/>
      <c r="D35" s="3"/>
      <c r="E35" s="3"/>
    </row>
    <row r="36" spans="1:5" x14ac:dyDescent="0.2">
      <c r="A36" s="3"/>
      <c r="B36" s="3" t="s">
        <v>224</v>
      </c>
      <c r="D36" s="3"/>
      <c r="E36" s="3"/>
    </row>
    <row r="37" spans="1:5" x14ac:dyDescent="0.2">
      <c r="A37" s="3" t="s">
        <v>225</v>
      </c>
      <c r="B37" s="3"/>
      <c r="D37" s="3"/>
      <c r="E37" s="3"/>
    </row>
    <row r="38" spans="1:5" x14ac:dyDescent="0.2">
      <c r="A38" s="3"/>
      <c r="B38" s="3" t="s">
        <v>226</v>
      </c>
      <c r="C38" s="3"/>
      <c r="D38" s="3"/>
      <c r="E38" s="3"/>
    </row>
    <row r="39" spans="1:5" x14ac:dyDescent="0.2">
      <c r="B39" s="3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7"/>
  <sheetViews>
    <sheetView workbookViewId="0">
      <pane xSplit="2" ySplit="5" topLeftCell="D334" activePane="bottomRight" state="frozen"/>
      <selection pane="topRight" activeCell="C1" sqref="C1"/>
      <selection pane="bottomLeft" activeCell="A6" sqref="A6"/>
      <selection pane="bottomRight" activeCell="J371" sqref="J371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3" width="6.7109375" style="3" customWidth="1"/>
    <col min="24" max="30" width="9.140625" style="3"/>
    <col min="31" max="31" width="10.140625" style="3" bestFit="1" customWidth="1"/>
    <col min="32" max="16384" width="9.140625" style="3"/>
  </cols>
  <sheetData>
    <row r="1" spans="1:34" x14ac:dyDescent="0.2">
      <c r="A1" s="3" t="s">
        <v>105</v>
      </c>
      <c r="I1" s="3">
        <v>0.13</v>
      </c>
      <c r="K1" s="26" t="s">
        <v>73</v>
      </c>
      <c r="L1" s="50" t="s">
        <v>127</v>
      </c>
      <c r="P1" s="3" t="s">
        <v>106</v>
      </c>
      <c r="Q1" s="3">
        <v>0.4</v>
      </c>
    </row>
    <row r="2" spans="1:34" x14ac:dyDescent="0.2">
      <c r="A2" s="3" t="s">
        <v>228</v>
      </c>
      <c r="K2" s="27" t="s">
        <v>107</v>
      </c>
      <c r="M2" s="55" t="s">
        <v>129</v>
      </c>
      <c r="P2" s="3" t="s">
        <v>108</v>
      </c>
      <c r="Q2" s="3">
        <v>0.24099999999999999</v>
      </c>
    </row>
    <row r="3" spans="1:34" x14ac:dyDescent="0.2">
      <c r="A3" s="1"/>
      <c r="B3" s="1"/>
      <c r="C3" s="6" t="s">
        <v>109</v>
      </c>
      <c r="K3" s="28" t="s">
        <v>110</v>
      </c>
      <c r="L3" s="38">
        <v>1.05</v>
      </c>
    </row>
    <row r="4" spans="1:34" x14ac:dyDescent="0.2">
      <c r="A4" s="1"/>
      <c r="B4" s="1"/>
      <c r="C4" s="6" t="s">
        <v>59</v>
      </c>
      <c r="D4" s="3" t="s">
        <v>111</v>
      </c>
      <c r="E4" s="3" t="s">
        <v>112</v>
      </c>
      <c r="F4" s="3" t="s">
        <v>113</v>
      </c>
      <c r="G4" s="3" t="s">
        <v>73</v>
      </c>
      <c r="H4" s="3" t="s">
        <v>114</v>
      </c>
      <c r="I4" s="3" t="s">
        <v>65</v>
      </c>
      <c r="J4" s="3" t="s">
        <v>104</v>
      </c>
      <c r="M4" s="3" t="s">
        <v>104</v>
      </c>
      <c r="N4" s="3" t="s">
        <v>115</v>
      </c>
      <c r="P4" s="3" t="s">
        <v>116</v>
      </c>
      <c r="R4" s="3" t="s">
        <v>117</v>
      </c>
      <c r="S4" s="3" t="s">
        <v>118</v>
      </c>
      <c r="T4" s="3" t="s">
        <v>119</v>
      </c>
      <c r="AE4" s="3" t="s">
        <v>131</v>
      </c>
    </row>
    <row r="5" spans="1:34" x14ac:dyDescent="0.2">
      <c r="A5" s="9" t="s">
        <v>42</v>
      </c>
      <c r="B5" s="6" t="s">
        <v>120</v>
      </c>
      <c r="C5" s="10" t="s">
        <v>52</v>
      </c>
      <c r="I5" s="3" t="s">
        <v>66</v>
      </c>
      <c r="K5" s="1" t="s">
        <v>105</v>
      </c>
      <c r="P5" s="3" t="s">
        <v>121</v>
      </c>
      <c r="R5" s="3" t="s">
        <v>46</v>
      </c>
      <c r="S5" s="3" t="s">
        <v>46</v>
      </c>
      <c r="T5" s="3" t="s">
        <v>46</v>
      </c>
      <c r="AE5" s="3" t="s">
        <v>42</v>
      </c>
      <c r="AF5" s="3" t="s">
        <v>132</v>
      </c>
      <c r="AG5" s="3" t="s">
        <v>133</v>
      </c>
      <c r="AH5" s="3" t="s">
        <v>130</v>
      </c>
    </row>
    <row r="6" spans="1:34" x14ac:dyDescent="0.2">
      <c r="A6" s="1"/>
      <c r="B6" s="1"/>
      <c r="C6" s="1"/>
      <c r="H6" s="19">
        <f>Data!BF6</f>
        <v>842</v>
      </c>
      <c r="K6" s="1"/>
      <c r="Q6" s="29">
        <f>Q2</f>
        <v>0.24099999999999999</v>
      </c>
      <c r="R6" s="30">
        <f>H6*Q$2</f>
        <v>202.922</v>
      </c>
      <c r="S6" s="23">
        <v>0</v>
      </c>
      <c r="T6" s="23">
        <v>0</v>
      </c>
    </row>
    <row r="7" spans="1:34" x14ac:dyDescent="0.2">
      <c r="A7" s="40">
        <v>34700</v>
      </c>
      <c r="B7" s="3">
        <v>1</v>
      </c>
      <c r="C7" s="16">
        <f>ROUND(Data!BJ7,2)</f>
        <v>4.29</v>
      </c>
      <c r="D7" s="3">
        <f>ROUND(Data!R7,1)</f>
        <v>-4.5</v>
      </c>
      <c r="E7" s="3">
        <f>ROUND(Data!AF7,1)</f>
        <v>-20.399999999999999</v>
      </c>
      <c r="F7" s="23">
        <f>Data!BO7</f>
        <v>74.2</v>
      </c>
      <c r="G7" s="3">
        <f>Data!Q7</f>
        <v>0</v>
      </c>
      <c r="H7" s="19">
        <f>Data!BF7</f>
        <v>842</v>
      </c>
      <c r="I7" s="14">
        <f t="shared" ref="I7" si="0">IF(H7&gt;H6,ROUND((H7-H6)*I$1,1),0)</f>
        <v>0</v>
      </c>
      <c r="J7" s="16">
        <f>Data!BS7</f>
        <v>0</v>
      </c>
      <c r="K7" s="31">
        <f t="shared" ref="K7:K66" si="1">I7</f>
        <v>0</v>
      </c>
      <c r="M7" s="3">
        <f>J7</f>
        <v>0</v>
      </c>
      <c r="N7" s="14">
        <f>K7</f>
        <v>0</v>
      </c>
      <c r="P7" s="20">
        <f t="shared" ref="P7:P35" si="2">(R6+K7)/H7</f>
        <v>0.24099999999999999</v>
      </c>
      <c r="Q7" s="20">
        <f t="shared" ref="Q7:Q36" si="3">IF(P7&gt;Q$1,Q$1,P7)</f>
        <v>0.24099999999999999</v>
      </c>
      <c r="R7" s="19">
        <f t="shared" ref="R7:R35" si="4">Q7*H7</f>
        <v>202.922</v>
      </c>
      <c r="S7" s="23">
        <f t="shared" ref="S7:S36" si="5">R7-R6</f>
        <v>0</v>
      </c>
      <c r="T7" s="23">
        <f t="shared" ref="T7:T36" si="6">K7-S7</f>
        <v>0</v>
      </c>
      <c r="AE7" s="56">
        <v>34730</v>
      </c>
      <c r="AF7">
        <v>212</v>
      </c>
      <c r="AG7">
        <v>704</v>
      </c>
      <c r="AH7">
        <v>102</v>
      </c>
    </row>
    <row r="8" spans="1:34" x14ac:dyDescent="0.2">
      <c r="A8" s="40">
        <v>34701</v>
      </c>
      <c r="B8" s="3">
        <v>2</v>
      </c>
      <c r="C8" s="16">
        <f>ROUND(Data!BJ8,2)</f>
        <v>4.37</v>
      </c>
      <c r="D8" s="3">
        <f>ROUND(Data!R8,1)</f>
        <v>-5.7</v>
      </c>
      <c r="E8" s="3">
        <f>ROUND(Data!AF8,1)</f>
        <v>-21.3</v>
      </c>
      <c r="F8" s="23">
        <f>Data!BO8</f>
        <v>71.5</v>
      </c>
      <c r="G8" s="3">
        <f>Data!Q8</f>
        <v>0</v>
      </c>
      <c r="H8" s="19">
        <f>Data!BF8</f>
        <v>841</v>
      </c>
      <c r="I8" s="14">
        <f t="shared" ref="I8:I70" si="7">IF(H8&gt;H7,ROUND((H8-H7)*I$1,1),0)</f>
        <v>0</v>
      </c>
      <c r="J8" s="16">
        <f>Data!BS8</f>
        <v>0</v>
      </c>
      <c r="K8" s="31">
        <f t="shared" si="1"/>
        <v>0</v>
      </c>
      <c r="M8" s="23">
        <f>J8+M7</f>
        <v>0</v>
      </c>
      <c r="N8" s="23">
        <f>K8+N7</f>
        <v>0</v>
      </c>
      <c r="P8" s="20">
        <f t="shared" si="2"/>
        <v>0.24128656361474435</v>
      </c>
      <c r="Q8" s="20">
        <f t="shared" si="3"/>
        <v>0.24128656361474435</v>
      </c>
      <c r="R8" s="19">
        <f t="shared" si="4"/>
        <v>202.922</v>
      </c>
      <c r="S8" s="23">
        <f t="shared" si="5"/>
        <v>0</v>
      </c>
      <c r="T8" s="23">
        <f t="shared" si="6"/>
        <v>0</v>
      </c>
      <c r="AE8" s="56">
        <v>34758</v>
      </c>
      <c r="AF8">
        <v>215</v>
      </c>
      <c r="AG8">
        <v>775</v>
      </c>
      <c r="AH8">
        <v>92</v>
      </c>
    </row>
    <row r="9" spans="1:34" x14ac:dyDescent="0.2">
      <c r="A9" s="40">
        <v>34702</v>
      </c>
      <c r="B9" s="3">
        <v>3</v>
      </c>
      <c r="C9" s="16">
        <f>ROUND(Data!BJ9,2)</f>
        <v>4.5599999999999996</v>
      </c>
      <c r="D9" s="3">
        <f>ROUND(Data!R9,1)</f>
        <v>-5.7</v>
      </c>
      <c r="E9" s="3">
        <f>ROUND(Data!AF9,1)</f>
        <v>-21.8</v>
      </c>
      <c r="F9" s="23">
        <f>Data!BO9</f>
        <v>70.900000000000006</v>
      </c>
      <c r="G9" s="3">
        <f>Data!Q9</f>
        <v>0</v>
      </c>
      <c r="H9" s="19">
        <f>Data!BF9</f>
        <v>832</v>
      </c>
      <c r="I9" s="14">
        <f t="shared" si="7"/>
        <v>0</v>
      </c>
      <c r="J9" s="16">
        <f>Data!BS9</f>
        <v>0</v>
      </c>
      <c r="K9" s="31">
        <f t="shared" si="1"/>
        <v>0</v>
      </c>
      <c r="M9" s="23">
        <f t="shared" ref="M9:N24" si="8">J9+M8</f>
        <v>0</v>
      </c>
      <c r="N9" s="23">
        <f t="shared" si="8"/>
        <v>0</v>
      </c>
      <c r="P9" s="20">
        <f t="shared" si="2"/>
        <v>0.24389663461538461</v>
      </c>
      <c r="Q9" s="20">
        <f t="shared" si="3"/>
        <v>0.24389663461538461</v>
      </c>
      <c r="R9" s="19">
        <f t="shared" si="4"/>
        <v>202.922</v>
      </c>
      <c r="S9" s="23">
        <f t="shared" si="5"/>
        <v>0</v>
      </c>
      <c r="T9" s="23">
        <f t="shared" si="6"/>
        <v>0</v>
      </c>
      <c r="AE9" s="56">
        <v>34789</v>
      </c>
      <c r="AF9">
        <v>242</v>
      </c>
      <c r="AG9">
        <v>906</v>
      </c>
      <c r="AH9">
        <v>90</v>
      </c>
    </row>
    <row r="10" spans="1:34" x14ac:dyDescent="0.2">
      <c r="A10" s="40">
        <v>34703</v>
      </c>
      <c r="B10" s="3">
        <v>4</v>
      </c>
      <c r="C10" s="16">
        <f>ROUND(Data!BJ10,2)</f>
        <v>4.8899999999999997</v>
      </c>
      <c r="D10" s="3">
        <f>ROUND(Data!R10,1)</f>
        <v>-4.9000000000000004</v>
      </c>
      <c r="E10" s="3">
        <f>ROUND(Data!AF10,1)</f>
        <v>-20.2</v>
      </c>
      <c r="F10" s="23">
        <f>Data!BO10</f>
        <v>69.900000000000006</v>
      </c>
      <c r="G10" s="3">
        <f>Data!Q10</f>
        <v>0</v>
      </c>
      <c r="H10" s="19">
        <f>Data!BF10</f>
        <v>823</v>
      </c>
      <c r="I10" s="14">
        <f t="shared" si="7"/>
        <v>0</v>
      </c>
      <c r="J10" s="16">
        <f>Data!BS10</f>
        <v>0</v>
      </c>
      <c r="K10" s="31">
        <f t="shared" si="1"/>
        <v>0</v>
      </c>
      <c r="M10" s="23">
        <f t="shared" si="8"/>
        <v>0</v>
      </c>
      <c r="N10" s="23">
        <f t="shared" si="8"/>
        <v>0</v>
      </c>
      <c r="P10" s="20">
        <f t="shared" si="2"/>
        <v>0.24656379100850545</v>
      </c>
      <c r="Q10" s="20">
        <f t="shared" si="3"/>
        <v>0.24656379100850545</v>
      </c>
      <c r="R10" s="19">
        <f t="shared" si="4"/>
        <v>202.922</v>
      </c>
      <c r="S10" s="23">
        <f t="shared" si="5"/>
        <v>0</v>
      </c>
      <c r="T10" s="23">
        <f t="shared" si="6"/>
        <v>0</v>
      </c>
      <c r="AE10" s="56">
        <v>34818</v>
      </c>
      <c r="AF10">
        <v>231</v>
      </c>
      <c r="AG10">
        <v>918</v>
      </c>
      <c r="AH10">
        <v>85</v>
      </c>
    </row>
    <row r="11" spans="1:34" x14ac:dyDescent="0.2">
      <c r="A11" s="40">
        <v>34704</v>
      </c>
      <c r="B11" s="3">
        <v>5</v>
      </c>
      <c r="C11" s="16">
        <f>ROUND(Data!BJ11,2)</f>
        <v>5.37</v>
      </c>
      <c r="D11" s="3">
        <f>ROUND(Data!R11,1)</f>
        <v>-5.7</v>
      </c>
      <c r="E11" s="3">
        <f>ROUND(Data!AF11,1)</f>
        <v>-22</v>
      </c>
      <c r="F11" s="23">
        <f>Data!BO11</f>
        <v>57.2</v>
      </c>
      <c r="G11" s="3">
        <f>Data!Q11</f>
        <v>0</v>
      </c>
      <c r="H11" s="19">
        <f>Data!BF11</f>
        <v>819</v>
      </c>
      <c r="I11" s="14">
        <f t="shared" si="7"/>
        <v>0</v>
      </c>
      <c r="J11" s="16">
        <f>Data!BS11</f>
        <v>0</v>
      </c>
      <c r="K11" s="31">
        <f t="shared" si="1"/>
        <v>0</v>
      </c>
      <c r="M11" s="23">
        <f t="shared" si="8"/>
        <v>0</v>
      </c>
      <c r="N11" s="23">
        <f t="shared" si="8"/>
        <v>0</v>
      </c>
      <c r="P11" s="20">
        <f t="shared" si="2"/>
        <v>0.24776800976800978</v>
      </c>
      <c r="Q11" s="20">
        <f t="shared" si="3"/>
        <v>0.24776800976800978</v>
      </c>
      <c r="R11" s="19">
        <f t="shared" si="4"/>
        <v>202.922</v>
      </c>
      <c r="S11" s="23">
        <f t="shared" si="5"/>
        <v>0</v>
      </c>
      <c r="T11" s="23">
        <f t="shared" si="6"/>
        <v>0</v>
      </c>
      <c r="AE11" s="56">
        <v>34834</v>
      </c>
      <c r="AF11">
        <v>213</v>
      </c>
      <c r="AG11">
        <v>960</v>
      </c>
      <c r="AH11">
        <v>90</v>
      </c>
    </row>
    <row r="12" spans="1:34" x14ac:dyDescent="0.2">
      <c r="A12" s="40">
        <v>34705</v>
      </c>
      <c r="B12" s="3">
        <v>6</v>
      </c>
      <c r="C12" s="16">
        <f>ROUND(Data!BJ12,2)</f>
        <v>3.73</v>
      </c>
      <c r="D12" s="3">
        <f>ROUND(Data!R12,1)</f>
        <v>-5.8</v>
      </c>
      <c r="E12" s="3">
        <f>ROUND(Data!AF12,1)</f>
        <v>-21.4</v>
      </c>
      <c r="F12" s="23">
        <f>Data!BO12</f>
        <v>59.3</v>
      </c>
      <c r="G12" s="3">
        <f>Data!Q12</f>
        <v>0</v>
      </c>
      <c r="H12" s="19">
        <f>Data!BF12</f>
        <v>806</v>
      </c>
      <c r="I12" s="14">
        <f t="shared" si="7"/>
        <v>0</v>
      </c>
      <c r="J12" s="16">
        <f>Data!BS12</f>
        <v>0</v>
      </c>
      <c r="K12" s="31">
        <f t="shared" si="1"/>
        <v>0</v>
      </c>
      <c r="M12" s="23">
        <f t="shared" si="8"/>
        <v>0</v>
      </c>
      <c r="N12" s="23">
        <f t="shared" si="8"/>
        <v>0</v>
      </c>
      <c r="P12" s="20">
        <f t="shared" si="2"/>
        <v>0.25176426799007445</v>
      </c>
      <c r="Q12" s="20">
        <f t="shared" si="3"/>
        <v>0.25176426799007445</v>
      </c>
      <c r="R12" s="19">
        <f t="shared" si="4"/>
        <v>202.922</v>
      </c>
      <c r="S12" s="23">
        <f t="shared" si="5"/>
        <v>0</v>
      </c>
      <c r="T12" s="23">
        <f t="shared" si="6"/>
        <v>0</v>
      </c>
      <c r="AE12" s="56">
        <v>34850</v>
      </c>
      <c r="AF12">
        <v>138</v>
      </c>
      <c r="AG12">
        <v>681</v>
      </c>
      <c r="AH12">
        <v>74</v>
      </c>
    </row>
    <row r="13" spans="1:34" x14ac:dyDescent="0.2">
      <c r="A13" s="40">
        <v>34706</v>
      </c>
      <c r="B13" s="3">
        <v>7</v>
      </c>
      <c r="C13" s="16">
        <f>ROUND(Data!BJ13,2)</f>
        <v>6.05</v>
      </c>
      <c r="D13" s="3">
        <f>ROUND(Data!R13,1)</f>
        <v>-5.3</v>
      </c>
      <c r="E13" s="3">
        <f>ROUND(Data!AF13,1)</f>
        <v>-24.2</v>
      </c>
      <c r="F13" s="23">
        <f>Data!BO13</f>
        <v>63.2</v>
      </c>
      <c r="G13" s="3">
        <f>Data!Q13</f>
        <v>0</v>
      </c>
      <c r="H13" s="19">
        <f>Data!BF13</f>
        <v>809</v>
      </c>
      <c r="I13" s="14">
        <f t="shared" si="7"/>
        <v>0.4</v>
      </c>
      <c r="J13" s="16">
        <f>Data!BS13</f>
        <v>0</v>
      </c>
      <c r="K13" s="31">
        <f t="shared" si="1"/>
        <v>0.4</v>
      </c>
      <c r="M13" s="23">
        <f t="shared" si="8"/>
        <v>0</v>
      </c>
      <c r="N13" s="23">
        <f t="shared" si="8"/>
        <v>0.4</v>
      </c>
      <c r="P13" s="20">
        <f t="shared" si="2"/>
        <v>0.25132509270704573</v>
      </c>
      <c r="Q13" s="20">
        <f t="shared" si="3"/>
        <v>0.25132509270704573</v>
      </c>
      <c r="R13" s="19">
        <f t="shared" si="4"/>
        <v>203.322</v>
      </c>
      <c r="S13" s="23">
        <f t="shared" si="5"/>
        <v>0.40000000000000568</v>
      </c>
      <c r="T13" s="23">
        <f t="shared" si="6"/>
        <v>-5.6621374255882984E-15</v>
      </c>
      <c r="AE13" s="56">
        <v>34865</v>
      </c>
      <c r="AF13">
        <v>74</v>
      </c>
      <c r="AG13">
        <v>411</v>
      </c>
      <c r="AH13">
        <v>60</v>
      </c>
    </row>
    <row r="14" spans="1:34" x14ac:dyDescent="0.2">
      <c r="A14" s="40">
        <v>34707</v>
      </c>
      <c r="B14" s="3">
        <v>8</v>
      </c>
      <c r="C14" s="16">
        <f>ROUND(Data!BJ14,2)</f>
        <v>0.63</v>
      </c>
      <c r="D14" s="3">
        <f>ROUND(Data!R14,1)</f>
        <v>0</v>
      </c>
      <c r="E14" s="3">
        <f>ROUND(Data!AF14,1)</f>
        <v>-7.7</v>
      </c>
      <c r="F14" s="23">
        <f>Data!BO14</f>
        <v>76.099999999999994</v>
      </c>
      <c r="G14" s="3">
        <f>Data!Q14</f>
        <v>0</v>
      </c>
      <c r="H14" s="19">
        <f>Data!BF14</f>
        <v>859</v>
      </c>
      <c r="I14" s="14">
        <f t="shared" si="7"/>
        <v>6.5</v>
      </c>
      <c r="J14" s="16">
        <f>Data!BS14</f>
        <v>0</v>
      </c>
      <c r="K14" s="31">
        <f t="shared" si="1"/>
        <v>6.5</v>
      </c>
      <c r="M14" s="23">
        <f t="shared" si="8"/>
        <v>0</v>
      </c>
      <c r="N14" s="23">
        <f t="shared" si="8"/>
        <v>6.9</v>
      </c>
      <c r="P14" s="20">
        <f t="shared" si="2"/>
        <v>0.24426309662398138</v>
      </c>
      <c r="Q14" s="20">
        <f t="shared" si="3"/>
        <v>0.24426309662398138</v>
      </c>
      <c r="R14" s="19">
        <f t="shared" si="4"/>
        <v>209.822</v>
      </c>
      <c r="S14" s="23">
        <f t="shared" si="5"/>
        <v>6.5</v>
      </c>
      <c r="T14" s="23">
        <f t="shared" si="6"/>
        <v>0</v>
      </c>
    </row>
    <row r="15" spans="1:34" x14ac:dyDescent="0.2">
      <c r="A15" s="40">
        <v>34708</v>
      </c>
      <c r="B15" s="3">
        <v>9</v>
      </c>
      <c r="C15" s="16">
        <f>ROUND(Data!BJ15,2)</f>
        <v>0.54</v>
      </c>
      <c r="D15" s="3">
        <f>ROUND(Data!R15,1)</f>
        <v>1.2</v>
      </c>
      <c r="E15" s="3">
        <f>ROUND(Data!AF15,1)</f>
        <v>-5.8</v>
      </c>
      <c r="F15" s="23">
        <f>Data!BO15</f>
        <v>75.8</v>
      </c>
      <c r="G15" s="3">
        <f>Data!Q15</f>
        <v>0</v>
      </c>
      <c r="H15" s="19">
        <f>Data!BF15</f>
        <v>900</v>
      </c>
      <c r="I15" s="14">
        <f t="shared" si="7"/>
        <v>5.3</v>
      </c>
      <c r="J15" s="16">
        <f>Data!BS15</f>
        <v>0</v>
      </c>
      <c r="K15" s="31">
        <f t="shared" si="1"/>
        <v>5.3</v>
      </c>
      <c r="M15" s="23">
        <f t="shared" si="8"/>
        <v>0</v>
      </c>
      <c r="N15" s="23">
        <f t="shared" si="8"/>
        <v>12.2</v>
      </c>
      <c r="P15" s="20">
        <f t="shared" si="2"/>
        <v>0.23902444444444446</v>
      </c>
      <c r="Q15" s="20">
        <f t="shared" si="3"/>
        <v>0.23902444444444446</v>
      </c>
      <c r="R15" s="19">
        <f t="shared" si="4"/>
        <v>215.12200000000001</v>
      </c>
      <c r="S15" s="23">
        <f t="shared" si="5"/>
        <v>5.3000000000000114</v>
      </c>
      <c r="T15" s="23">
        <f t="shared" si="6"/>
        <v>-1.1546319456101628E-14</v>
      </c>
      <c r="AE15" s="56">
        <v>35064</v>
      </c>
      <c r="AF15">
        <v>223</v>
      </c>
      <c r="AG15">
        <v>684</v>
      </c>
      <c r="AH15">
        <v>140</v>
      </c>
    </row>
    <row r="16" spans="1:34" x14ac:dyDescent="0.2">
      <c r="A16" s="40">
        <v>34709</v>
      </c>
      <c r="B16" s="3">
        <v>10</v>
      </c>
      <c r="C16" s="16">
        <f>ROUND(Data!BJ16,2)</f>
        <v>0.56999999999999995</v>
      </c>
      <c r="D16" s="3">
        <f>ROUND(Data!R16,1)</f>
        <v>2.2000000000000002</v>
      </c>
      <c r="E16" s="3">
        <f>ROUND(Data!AF16,1)</f>
        <v>-3.8</v>
      </c>
      <c r="F16" s="23">
        <f>Data!BO16</f>
        <v>78.7</v>
      </c>
      <c r="G16" s="3">
        <f>Data!Q16</f>
        <v>0</v>
      </c>
      <c r="H16" s="19">
        <f>Data!BF16</f>
        <v>968</v>
      </c>
      <c r="I16" s="14">
        <f t="shared" si="7"/>
        <v>8.8000000000000007</v>
      </c>
      <c r="J16" s="16">
        <f>Data!BS16</f>
        <v>0</v>
      </c>
      <c r="K16" s="31">
        <f t="shared" si="1"/>
        <v>8.8000000000000007</v>
      </c>
      <c r="M16" s="23">
        <f t="shared" si="8"/>
        <v>0</v>
      </c>
      <c r="N16" s="23">
        <f t="shared" si="8"/>
        <v>21</v>
      </c>
      <c r="P16" s="20">
        <f t="shared" si="2"/>
        <v>0.23132438016528928</v>
      </c>
      <c r="Q16" s="20">
        <f t="shared" si="3"/>
        <v>0.23132438016528928</v>
      </c>
      <c r="R16" s="19">
        <f t="shared" si="4"/>
        <v>223.92200000000003</v>
      </c>
      <c r="S16" s="23">
        <f t="shared" si="5"/>
        <v>8.8000000000000114</v>
      </c>
      <c r="T16" s="23">
        <f t="shared" si="6"/>
        <v>0</v>
      </c>
    </row>
    <row r="17" spans="1:20" x14ac:dyDescent="0.2">
      <c r="A17" s="40">
        <v>34710</v>
      </c>
      <c r="B17" s="3">
        <v>11</v>
      </c>
      <c r="C17" s="16">
        <f>ROUND(Data!BJ17,2)</f>
        <v>0.25</v>
      </c>
      <c r="D17" s="3">
        <f>ROUND(Data!R17,1)</f>
        <v>-0.4</v>
      </c>
      <c r="E17" s="3">
        <f>ROUND(Data!AF17,1)</f>
        <v>-6.8</v>
      </c>
      <c r="F17" s="23">
        <f>Data!BO17</f>
        <v>92</v>
      </c>
      <c r="G17" s="3">
        <f>Data!Q17</f>
        <v>0</v>
      </c>
      <c r="H17" s="19">
        <f>Data!BF17</f>
        <v>1007</v>
      </c>
      <c r="I17" s="14">
        <f t="shared" si="7"/>
        <v>5.0999999999999996</v>
      </c>
      <c r="J17" s="16">
        <f>Data!BS17</f>
        <v>0</v>
      </c>
      <c r="K17" s="31">
        <f t="shared" si="1"/>
        <v>5.0999999999999996</v>
      </c>
      <c r="M17" s="23">
        <f t="shared" si="8"/>
        <v>0</v>
      </c>
      <c r="N17" s="23">
        <f t="shared" si="8"/>
        <v>26.1</v>
      </c>
      <c r="P17" s="20">
        <f t="shared" si="2"/>
        <v>0.22742999006951342</v>
      </c>
      <c r="Q17" s="20">
        <f t="shared" si="3"/>
        <v>0.22742999006951342</v>
      </c>
      <c r="R17" s="19">
        <f t="shared" si="4"/>
        <v>229.02200000000002</v>
      </c>
      <c r="S17" s="23">
        <f t="shared" si="5"/>
        <v>5.0999999999999943</v>
      </c>
      <c r="T17" s="23">
        <f t="shared" si="6"/>
        <v>0</v>
      </c>
    </row>
    <row r="18" spans="1:20" x14ac:dyDescent="0.2">
      <c r="A18" s="40">
        <v>34711</v>
      </c>
      <c r="B18" s="3">
        <v>12</v>
      </c>
      <c r="C18" s="16">
        <f>ROUND(Data!BJ18,2)</f>
        <v>0.74</v>
      </c>
      <c r="D18" s="3">
        <f>ROUND(Data!R18,1)</f>
        <v>1.1000000000000001</v>
      </c>
      <c r="E18" s="3">
        <f>ROUND(Data!AF18,1)</f>
        <v>-7.8</v>
      </c>
      <c r="F18" s="23">
        <f>Data!BO18</f>
        <v>69.8</v>
      </c>
      <c r="G18" s="3">
        <f>Data!Q18</f>
        <v>0</v>
      </c>
      <c r="H18" s="19">
        <f>Data!BF18</f>
        <v>997</v>
      </c>
      <c r="I18" s="14">
        <f t="shared" si="7"/>
        <v>0</v>
      </c>
      <c r="J18" s="16">
        <f>Data!BS18</f>
        <v>0</v>
      </c>
      <c r="K18" s="31">
        <f t="shared" si="1"/>
        <v>0</v>
      </c>
      <c r="M18" s="23">
        <f t="shared" si="8"/>
        <v>0</v>
      </c>
      <c r="N18" s="23">
        <f t="shared" si="8"/>
        <v>26.1</v>
      </c>
      <c r="P18" s="20">
        <f t="shared" si="2"/>
        <v>0.22971113340020063</v>
      </c>
      <c r="Q18" s="20">
        <f t="shared" si="3"/>
        <v>0.22971113340020063</v>
      </c>
      <c r="R18" s="19">
        <f t="shared" si="4"/>
        <v>229.02200000000002</v>
      </c>
      <c r="S18" s="23">
        <f t="shared" si="5"/>
        <v>0</v>
      </c>
      <c r="T18" s="23">
        <f t="shared" si="6"/>
        <v>0</v>
      </c>
    </row>
    <row r="19" spans="1:20" x14ac:dyDescent="0.2">
      <c r="A19" s="40">
        <v>34712</v>
      </c>
      <c r="B19" s="3">
        <v>13</v>
      </c>
      <c r="C19" s="16">
        <f>ROUND(Data!BJ19,2)</f>
        <v>0.4</v>
      </c>
      <c r="D19" s="3">
        <f>ROUND(Data!R19,1)</f>
        <v>-0.3</v>
      </c>
      <c r="E19" s="3">
        <f>ROUND(Data!AF19,1)</f>
        <v>-2.9</v>
      </c>
      <c r="F19" s="23">
        <f>Data!BO19</f>
        <v>74.099999999999994</v>
      </c>
      <c r="G19" s="3">
        <f>Data!Q19</f>
        <v>0</v>
      </c>
      <c r="H19" s="19">
        <f>Data!BF19</f>
        <v>1019</v>
      </c>
      <c r="I19" s="14">
        <f t="shared" si="7"/>
        <v>2.9</v>
      </c>
      <c r="J19" s="16">
        <f>Data!BS19</f>
        <v>0</v>
      </c>
      <c r="K19" s="31">
        <f t="shared" si="1"/>
        <v>2.9</v>
      </c>
      <c r="M19" s="23">
        <f t="shared" si="8"/>
        <v>0</v>
      </c>
      <c r="N19" s="23">
        <f t="shared" si="8"/>
        <v>29</v>
      </c>
      <c r="P19" s="20">
        <f t="shared" si="2"/>
        <v>0.22759764474975469</v>
      </c>
      <c r="Q19" s="20">
        <f t="shared" si="3"/>
        <v>0.22759764474975469</v>
      </c>
      <c r="R19" s="19">
        <f t="shared" si="4"/>
        <v>231.92200000000003</v>
      </c>
      <c r="S19" s="23">
        <f t="shared" si="5"/>
        <v>2.9000000000000057</v>
      </c>
      <c r="T19" s="23">
        <f t="shared" si="6"/>
        <v>-5.773159728050814E-15</v>
      </c>
    </row>
    <row r="20" spans="1:20" x14ac:dyDescent="0.2">
      <c r="A20" s="40">
        <v>34713</v>
      </c>
      <c r="B20" s="3">
        <v>14</v>
      </c>
      <c r="C20" s="16">
        <f>ROUND(Data!BJ20,2)</f>
        <v>0.38</v>
      </c>
      <c r="D20" s="3">
        <f>ROUND(Data!R20,1)</f>
        <v>-0.3</v>
      </c>
      <c r="E20" s="3">
        <f>ROUND(Data!AF20,1)</f>
        <v>-6.6</v>
      </c>
      <c r="F20" s="23">
        <f>Data!BO20</f>
        <v>79.400000000000006</v>
      </c>
      <c r="G20" s="3">
        <f>Data!Q20</f>
        <v>0</v>
      </c>
      <c r="H20" s="19">
        <f>Data!BF20</f>
        <v>1044</v>
      </c>
      <c r="I20" s="14">
        <f t="shared" si="7"/>
        <v>3.3</v>
      </c>
      <c r="J20" s="16">
        <f>Data!BS20</f>
        <v>0</v>
      </c>
      <c r="K20" s="31">
        <f t="shared" si="1"/>
        <v>3.3</v>
      </c>
      <c r="M20" s="23">
        <f t="shared" si="8"/>
        <v>0</v>
      </c>
      <c r="N20" s="23">
        <f t="shared" si="8"/>
        <v>32.299999999999997</v>
      </c>
      <c r="P20" s="20">
        <f t="shared" si="2"/>
        <v>0.225308429118774</v>
      </c>
      <c r="Q20" s="20">
        <f t="shared" si="3"/>
        <v>0.225308429118774</v>
      </c>
      <c r="R20" s="19">
        <f t="shared" si="4"/>
        <v>235.22200000000004</v>
      </c>
      <c r="S20" s="23">
        <f t="shared" si="5"/>
        <v>3.3000000000000114</v>
      </c>
      <c r="T20" s="23">
        <f t="shared" si="6"/>
        <v>-1.1546319456101628E-14</v>
      </c>
    </row>
    <row r="21" spans="1:20" x14ac:dyDescent="0.2">
      <c r="A21" s="40">
        <v>34714</v>
      </c>
      <c r="B21" s="3">
        <v>15</v>
      </c>
      <c r="C21" s="16">
        <f>ROUND(Data!BJ21,2)</f>
        <v>0.45</v>
      </c>
      <c r="D21" s="3">
        <f>ROUND(Data!R21,1)</f>
        <v>0.5</v>
      </c>
      <c r="E21" s="3">
        <f>ROUND(Data!AF21,1)</f>
        <v>-5.9</v>
      </c>
      <c r="F21" s="23">
        <f>Data!BO21</f>
        <v>75.3</v>
      </c>
      <c r="G21" s="3">
        <f>Data!Q21</f>
        <v>0</v>
      </c>
      <c r="H21" s="19">
        <f>Data!BF21</f>
        <v>1051</v>
      </c>
      <c r="I21" s="14">
        <f t="shared" si="7"/>
        <v>0.9</v>
      </c>
      <c r="J21" s="16">
        <f>Data!BS21</f>
        <v>0</v>
      </c>
      <c r="K21" s="31">
        <f t="shared" si="1"/>
        <v>0.9</v>
      </c>
      <c r="M21" s="23">
        <f t="shared" si="8"/>
        <v>0</v>
      </c>
      <c r="N21" s="23">
        <f t="shared" si="8"/>
        <v>33.199999999999996</v>
      </c>
      <c r="P21" s="20">
        <f t="shared" si="2"/>
        <v>0.22466412940057093</v>
      </c>
      <c r="Q21" s="20">
        <f t="shared" si="3"/>
        <v>0.22466412940057093</v>
      </c>
      <c r="R21" s="19">
        <f t="shared" si="4"/>
        <v>236.12200000000004</v>
      </c>
      <c r="S21" s="23">
        <f t="shared" si="5"/>
        <v>0.90000000000000568</v>
      </c>
      <c r="T21" s="23">
        <f t="shared" si="6"/>
        <v>-5.6621374255882984E-15</v>
      </c>
    </row>
    <row r="22" spans="1:20" x14ac:dyDescent="0.2">
      <c r="A22" s="40">
        <v>34715</v>
      </c>
      <c r="B22" s="3">
        <v>16</v>
      </c>
      <c r="C22" s="16">
        <f>ROUND(Data!BJ22,2)</f>
        <v>0.35</v>
      </c>
      <c r="D22" s="3">
        <f>ROUND(Data!R22,1)</f>
        <v>-3.3</v>
      </c>
      <c r="E22" s="3">
        <f>ROUND(Data!AF22,1)</f>
        <v>-6</v>
      </c>
      <c r="F22" s="23">
        <f>Data!BO22</f>
        <v>92.4</v>
      </c>
      <c r="G22" s="3">
        <f>Data!Q22</f>
        <v>0</v>
      </c>
      <c r="H22" s="19">
        <f>Data!BF22</f>
        <v>1053</v>
      </c>
      <c r="I22" s="14">
        <f t="shared" si="7"/>
        <v>0.3</v>
      </c>
      <c r="J22" s="16">
        <f>Data!BS22</f>
        <v>0</v>
      </c>
      <c r="K22" s="31">
        <f t="shared" si="1"/>
        <v>0.3</v>
      </c>
      <c r="M22" s="23">
        <f t="shared" si="8"/>
        <v>0</v>
      </c>
      <c r="N22" s="23">
        <f t="shared" si="8"/>
        <v>33.499999999999993</v>
      </c>
      <c r="P22" s="20">
        <f t="shared" si="2"/>
        <v>0.22452231718898391</v>
      </c>
      <c r="Q22" s="20">
        <f t="shared" si="3"/>
        <v>0.22452231718898391</v>
      </c>
      <c r="R22" s="19">
        <f t="shared" si="4"/>
        <v>236.42200000000005</v>
      </c>
      <c r="S22" s="23">
        <f t="shared" si="5"/>
        <v>0.30000000000001137</v>
      </c>
      <c r="T22" s="23">
        <f t="shared" si="6"/>
        <v>-1.1379786002407855E-14</v>
      </c>
    </row>
    <row r="23" spans="1:20" x14ac:dyDescent="0.2">
      <c r="A23" s="40">
        <v>34716</v>
      </c>
      <c r="B23" s="3">
        <v>17</v>
      </c>
      <c r="C23" s="16">
        <f>ROUND(Data!BJ23,2)</f>
        <v>0.34</v>
      </c>
      <c r="D23" s="3">
        <f>ROUND(Data!R23,1)</f>
        <v>-5</v>
      </c>
      <c r="E23" s="3">
        <f>ROUND(Data!AF23,1)</f>
        <v>-7.3</v>
      </c>
      <c r="F23" s="23">
        <f>Data!BO23</f>
        <v>79.3</v>
      </c>
      <c r="G23" s="3">
        <f>Data!Q23</f>
        <v>0</v>
      </c>
      <c r="H23" s="19">
        <f>Data!BF23</f>
        <v>1042</v>
      </c>
      <c r="I23" s="14">
        <f t="shared" si="7"/>
        <v>0</v>
      </c>
      <c r="J23" s="16">
        <f>Data!BS23</f>
        <v>0</v>
      </c>
      <c r="K23" s="31">
        <f t="shared" si="1"/>
        <v>0</v>
      </c>
      <c r="M23" s="23">
        <f t="shared" si="8"/>
        <v>0</v>
      </c>
      <c r="N23" s="23">
        <f t="shared" si="8"/>
        <v>33.499999999999993</v>
      </c>
      <c r="P23" s="20">
        <f t="shared" si="2"/>
        <v>0.22689251439539351</v>
      </c>
      <c r="Q23" s="20">
        <f t="shared" si="3"/>
        <v>0.22689251439539351</v>
      </c>
      <c r="R23" s="19">
        <f t="shared" si="4"/>
        <v>236.42200000000005</v>
      </c>
      <c r="S23" s="23">
        <f t="shared" si="5"/>
        <v>0</v>
      </c>
      <c r="T23" s="23">
        <f t="shared" si="6"/>
        <v>0</v>
      </c>
    </row>
    <row r="24" spans="1:20" x14ac:dyDescent="0.2">
      <c r="A24" s="40">
        <v>34717</v>
      </c>
      <c r="B24" s="3">
        <v>18</v>
      </c>
      <c r="C24" s="16">
        <f>ROUND(Data!BJ24,2)</f>
        <v>0.27</v>
      </c>
      <c r="D24" s="3">
        <f>ROUND(Data!R24,1)</f>
        <v>-1.4</v>
      </c>
      <c r="E24" s="3">
        <f>ROUND(Data!AF24,1)</f>
        <v>-6.2</v>
      </c>
      <c r="F24" s="23">
        <f>Data!BO24</f>
        <v>80.3</v>
      </c>
      <c r="G24" s="3">
        <f>Data!Q24</f>
        <v>0</v>
      </c>
      <c r="H24" s="19">
        <f>Data!BF24</f>
        <v>1093</v>
      </c>
      <c r="I24" s="14">
        <f t="shared" si="7"/>
        <v>6.6</v>
      </c>
      <c r="J24" s="16">
        <f>Data!BS24</f>
        <v>0</v>
      </c>
      <c r="K24" s="31">
        <f t="shared" si="1"/>
        <v>6.6</v>
      </c>
      <c r="M24" s="23">
        <f t="shared" si="8"/>
        <v>0</v>
      </c>
      <c r="N24" s="23">
        <f t="shared" si="8"/>
        <v>40.099999999999994</v>
      </c>
      <c r="P24" s="20">
        <f t="shared" si="2"/>
        <v>0.2223440073193047</v>
      </c>
      <c r="Q24" s="20">
        <f t="shared" si="3"/>
        <v>0.2223440073193047</v>
      </c>
      <c r="R24" s="19">
        <f t="shared" si="4"/>
        <v>243.02200000000005</v>
      </c>
      <c r="S24" s="23">
        <f t="shared" si="5"/>
        <v>6.5999999999999943</v>
      </c>
      <c r="T24" s="23">
        <f t="shared" si="6"/>
        <v>0</v>
      </c>
    </row>
    <row r="25" spans="1:20" x14ac:dyDescent="0.2">
      <c r="A25" s="40">
        <v>34718</v>
      </c>
      <c r="B25" s="3">
        <v>19</v>
      </c>
      <c r="C25" s="16">
        <f>ROUND(Data!BJ25,2)</f>
        <v>1.65</v>
      </c>
      <c r="D25" s="3">
        <f>ROUND(Data!R25,1)</f>
        <v>3.1</v>
      </c>
      <c r="E25" s="3">
        <f>ROUND(Data!AF25,1)</f>
        <v>-12.8</v>
      </c>
      <c r="F25" s="23">
        <f>Data!BO25</f>
        <v>51.4</v>
      </c>
      <c r="G25" s="3">
        <f>Data!Q25</f>
        <v>0</v>
      </c>
      <c r="H25" s="19">
        <f>Data!BF25</f>
        <v>1063</v>
      </c>
      <c r="I25" s="14">
        <f t="shared" si="7"/>
        <v>0</v>
      </c>
      <c r="J25" s="16">
        <f>Data!BS25</f>
        <v>0</v>
      </c>
      <c r="K25" s="31">
        <f t="shared" si="1"/>
        <v>0</v>
      </c>
      <c r="M25" s="23">
        <f t="shared" ref="M25:N40" si="9">J25+M24</f>
        <v>0</v>
      </c>
      <c r="N25" s="23">
        <f t="shared" si="9"/>
        <v>40.099999999999994</v>
      </c>
      <c r="P25" s="20">
        <f t="shared" si="2"/>
        <v>0.22861900282220135</v>
      </c>
      <c r="Q25" s="20">
        <f t="shared" si="3"/>
        <v>0.22861900282220135</v>
      </c>
      <c r="R25" s="19">
        <f t="shared" si="4"/>
        <v>243.02200000000005</v>
      </c>
      <c r="S25" s="23">
        <f t="shared" si="5"/>
        <v>0</v>
      </c>
      <c r="T25" s="23">
        <f t="shared" si="6"/>
        <v>0</v>
      </c>
    </row>
    <row r="26" spans="1:20" x14ac:dyDescent="0.2">
      <c r="A26" s="40">
        <v>34719</v>
      </c>
      <c r="B26" s="3">
        <v>20</v>
      </c>
      <c r="C26" s="16">
        <f>ROUND(Data!BJ26,2)</f>
        <v>0.85</v>
      </c>
      <c r="D26" s="3">
        <f>ROUND(Data!R26,1)</f>
        <v>3.5</v>
      </c>
      <c r="E26" s="3">
        <f>ROUND(Data!AF26,1)</f>
        <v>-13.7</v>
      </c>
      <c r="F26" s="23">
        <f>Data!BO26</f>
        <v>39.700000000000003</v>
      </c>
      <c r="G26" s="3">
        <f>Data!Q26</f>
        <v>0</v>
      </c>
      <c r="H26" s="19">
        <f>Data!BF26</f>
        <v>1041</v>
      </c>
      <c r="I26" s="14">
        <f t="shared" si="7"/>
        <v>0</v>
      </c>
      <c r="J26" s="16">
        <f>Data!BS26</f>
        <v>0</v>
      </c>
      <c r="K26" s="31">
        <f t="shared" si="1"/>
        <v>0</v>
      </c>
      <c r="M26" s="23">
        <f t="shared" si="9"/>
        <v>0</v>
      </c>
      <c r="N26" s="23">
        <f t="shared" si="9"/>
        <v>40.099999999999994</v>
      </c>
      <c r="P26" s="20">
        <f t="shared" si="2"/>
        <v>0.23345052833813645</v>
      </c>
      <c r="Q26" s="20">
        <f t="shared" si="3"/>
        <v>0.23345052833813645</v>
      </c>
      <c r="R26" s="19">
        <f t="shared" si="4"/>
        <v>243.02200000000005</v>
      </c>
      <c r="S26" s="23">
        <f t="shared" si="5"/>
        <v>0</v>
      </c>
      <c r="T26" s="23">
        <f t="shared" si="6"/>
        <v>0</v>
      </c>
    </row>
    <row r="27" spans="1:20" x14ac:dyDescent="0.2">
      <c r="A27" s="40">
        <v>34720</v>
      </c>
      <c r="B27" s="3">
        <v>21</v>
      </c>
      <c r="C27" s="16">
        <f>ROUND(Data!BJ27,2)</f>
        <v>1.51</v>
      </c>
      <c r="D27" s="3">
        <f>ROUND(Data!R27,1)</f>
        <v>1.2</v>
      </c>
      <c r="E27" s="3">
        <f>ROUND(Data!AF27,1)</f>
        <v>-16</v>
      </c>
      <c r="F27" s="23">
        <f>Data!BO27</f>
        <v>62.2</v>
      </c>
      <c r="G27" s="3">
        <f>Data!Q27</f>
        <v>0</v>
      </c>
      <c r="H27" s="19">
        <f>Data!BF27</f>
        <v>1022</v>
      </c>
      <c r="I27" s="14">
        <f t="shared" si="7"/>
        <v>0</v>
      </c>
      <c r="J27" s="16">
        <f>Data!BS27</f>
        <v>0</v>
      </c>
      <c r="K27" s="31">
        <f t="shared" si="1"/>
        <v>0</v>
      </c>
      <c r="M27" s="23">
        <f t="shared" si="9"/>
        <v>0</v>
      </c>
      <c r="N27" s="23">
        <f t="shared" si="9"/>
        <v>40.099999999999994</v>
      </c>
      <c r="P27" s="20">
        <f t="shared" si="2"/>
        <v>0.2377906066536204</v>
      </c>
      <c r="Q27" s="20">
        <f t="shared" si="3"/>
        <v>0.2377906066536204</v>
      </c>
      <c r="R27" s="19">
        <f t="shared" si="4"/>
        <v>243.02200000000005</v>
      </c>
      <c r="S27" s="23">
        <f t="shared" si="5"/>
        <v>0</v>
      </c>
      <c r="T27" s="23">
        <f t="shared" si="6"/>
        <v>0</v>
      </c>
    </row>
    <row r="28" spans="1:20" x14ac:dyDescent="0.2">
      <c r="A28" s="40">
        <v>34721</v>
      </c>
      <c r="B28" s="3">
        <v>22</v>
      </c>
      <c r="C28" s="16">
        <f>ROUND(Data!BJ28,2)</f>
        <v>2.0499999999999998</v>
      </c>
      <c r="D28" s="3">
        <f>ROUND(Data!R28,1)</f>
        <v>2.1</v>
      </c>
      <c r="E28" s="3">
        <f>ROUND(Data!AF28,1)</f>
        <v>-17.5</v>
      </c>
      <c r="F28" s="23">
        <f>Data!BO28</f>
        <v>56.3</v>
      </c>
      <c r="G28" s="3">
        <f>Data!Q28</f>
        <v>0</v>
      </c>
      <c r="H28" s="19">
        <f>Data!BF28</f>
        <v>999</v>
      </c>
      <c r="I28" s="14">
        <f t="shared" si="7"/>
        <v>0</v>
      </c>
      <c r="J28" s="16">
        <f>Data!BS28</f>
        <v>0</v>
      </c>
      <c r="K28" s="31">
        <f t="shared" si="1"/>
        <v>0</v>
      </c>
      <c r="M28" s="23">
        <f t="shared" si="9"/>
        <v>0</v>
      </c>
      <c r="N28" s="23">
        <f t="shared" si="9"/>
        <v>40.099999999999994</v>
      </c>
      <c r="P28" s="20">
        <f t="shared" si="2"/>
        <v>0.24326526526526532</v>
      </c>
      <c r="Q28" s="20">
        <f t="shared" si="3"/>
        <v>0.24326526526526532</v>
      </c>
      <c r="R28" s="19">
        <f t="shared" si="4"/>
        <v>243.02200000000005</v>
      </c>
      <c r="S28" s="23">
        <f t="shared" si="5"/>
        <v>0</v>
      </c>
      <c r="T28" s="23">
        <f t="shared" si="6"/>
        <v>0</v>
      </c>
    </row>
    <row r="29" spans="1:20" x14ac:dyDescent="0.2">
      <c r="A29" s="40">
        <v>34722</v>
      </c>
      <c r="B29" s="3">
        <v>23</v>
      </c>
      <c r="C29" s="16">
        <f>ROUND(Data!BJ29,2)</f>
        <v>3.46</v>
      </c>
      <c r="D29" s="3">
        <f>ROUND(Data!R29,1)</f>
        <v>1</v>
      </c>
      <c r="E29" s="3">
        <f>ROUND(Data!AF29,1)</f>
        <v>-18.7</v>
      </c>
      <c r="F29" s="23">
        <f>Data!BO29</f>
        <v>47.3</v>
      </c>
      <c r="G29" s="3">
        <f>Data!Q29</f>
        <v>0</v>
      </c>
      <c r="H29" s="19">
        <f>Data!BF29</f>
        <v>997</v>
      </c>
      <c r="I29" s="14">
        <f t="shared" si="7"/>
        <v>0</v>
      </c>
      <c r="J29" s="16">
        <f>Data!BS29</f>
        <v>0</v>
      </c>
      <c r="K29" s="31">
        <f t="shared" si="1"/>
        <v>0</v>
      </c>
      <c r="M29" s="23">
        <f t="shared" si="9"/>
        <v>0</v>
      </c>
      <c r="N29" s="23">
        <f t="shared" si="9"/>
        <v>40.099999999999994</v>
      </c>
      <c r="P29" s="20">
        <f t="shared" si="2"/>
        <v>0.24375325977933807</v>
      </c>
      <c r="Q29" s="20">
        <f t="shared" si="3"/>
        <v>0.24375325977933807</v>
      </c>
      <c r="R29" s="19">
        <f t="shared" si="4"/>
        <v>243.02200000000005</v>
      </c>
      <c r="S29" s="23">
        <f t="shared" si="5"/>
        <v>0</v>
      </c>
      <c r="T29" s="23">
        <f t="shared" si="6"/>
        <v>0</v>
      </c>
    </row>
    <row r="30" spans="1:20" x14ac:dyDescent="0.2">
      <c r="A30" s="40">
        <v>34723</v>
      </c>
      <c r="B30" s="3">
        <v>24</v>
      </c>
      <c r="C30" s="16">
        <f>ROUND(Data!BJ30,2)</f>
        <v>6.27</v>
      </c>
      <c r="D30" s="3">
        <f>ROUND(Data!R30,1)</f>
        <v>5.5</v>
      </c>
      <c r="E30" s="3">
        <f>ROUND(Data!AF30,1)</f>
        <v>-14.8</v>
      </c>
      <c r="F30" s="23">
        <f>Data!BO30</f>
        <v>26.5</v>
      </c>
      <c r="G30" s="3">
        <f>Data!Q30</f>
        <v>0</v>
      </c>
      <c r="H30" s="19">
        <f>Data!BF30</f>
        <v>989</v>
      </c>
      <c r="I30" s="14">
        <f t="shared" si="7"/>
        <v>0</v>
      </c>
      <c r="J30" s="16">
        <f>Data!BS30</f>
        <v>0</v>
      </c>
      <c r="K30" s="31">
        <f t="shared" si="1"/>
        <v>0</v>
      </c>
      <c r="M30" s="23">
        <f t="shared" si="9"/>
        <v>0</v>
      </c>
      <c r="N30" s="23">
        <f t="shared" si="9"/>
        <v>40.099999999999994</v>
      </c>
      <c r="P30" s="20">
        <f t="shared" si="2"/>
        <v>0.24572497472194141</v>
      </c>
      <c r="Q30" s="20">
        <f t="shared" si="3"/>
        <v>0.24572497472194141</v>
      </c>
      <c r="R30" s="19">
        <f t="shared" si="4"/>
        <v>243.02200000000005</v>
      </c>
      <c r="S30" s="23">
        <f t="shared" si="5"/>
        <v>0</v>
      </c>
      <c r="T30" s="23">
        <f t="shared" si="6"/>
        <v>0</v>
      </c>
    </row>
    <row r="31" spans="1:20" x14ac:dyDescent="0.2">
      <c r="A31" s="40">
        <v>34724</v>
      </c>
      <c r="B31" s="3">
        <v>25</v>
      </c>
      <c r="C31" s="16">
        <f>ROUND(Data!BJ31,2)</f>
        <v>3.33</v>
      </c>
      <c r="D31" s="3">
        <f>ROUND(Data!R31,1)</f>
        <v>3.4</v>
      </c>
      <c r="E31" s="3">
        <f>ROUND(Data!AF31,1)</f>
        <v>-8.1</v>
      </c>
      <c r="F31" s="23">
        <f>Data!BO31</f>
        <v>60.8</v>
      </c>
      <c r="G31" s="3">
        <f>Data!Q31</f>
        <v>0</v>
      </c>
      <c r="H31" s="19">
        <f>Data!BF31</f>
        <v>977</v>
      </c>
      <c r="I31" s="14">
        <f t="shared" si="7"/>
        <v>0</v>
      </c>
      <c r="J31" s="16">
        <f>Data!BS31</f>
        <v>0</v>
      </c>
      <c r="K31" s="31">
        <f t="shared" si="1"/>
        <v>0</v>
      </c>
      <c r="M31" s="23">
        <f t="shared" si="9"/>
        <v>0</v>
      </c>
      <c r="N31" s="23">
        <f t="shared" si="9"/>
        <v>40.099999999999994</v>
      </c>
      <c r="P31" s="20">
        <f t="shared" si="2"/>
        <v>0.24874309109518941</v>
      </c>
      <c r="Q31" s="20">
        <f t="shared" si="3"/>
        <v>0.24874309109518941</v>
      </c>
      <c r="R31" s="19">
        <f t="shared" si="4"/>
        <v>243.02200000000005</v>
      </c>
      <c r="S31" s="23">
        <f t="shared" si="5"/>
        <v>0</v>
      </c>
      <c r="T31" s="23">
        <f t="shared" si="6"/>
        <v>0</v>
      </c>
    </row>
    <row r="32" spans="1:20" x14ac:dyDescent="0.2">
      <c r="A32" s="40">
        <v>34725</v>
      </c>
      <c r="B32" s="3">
        <v>26</v>
      </c>
      <c r="C32" s="16">
        <f>ROUND(Data!BJ32,2)</f>
        <v>1.53</v>
      </c>
      <c r="D32" s="3">
        <f>ROUND(Data!R32,1)</f>
        <v>0.9</v>
      </c>
      <c r="E32" s="3">
        <f>ROUND(Data!AF32,1)</f>
        <v>-5.9</v>
      </c>
      <c r="F32" s="23">
        <f>Data!BO32</f>
        <v>81.400000000000006</v>
      </c>
      <c r="G32" s="3">
        <f>Data!Q32</f>
        <v>0</v>
      </c>
      <c r="H32" s="19">
        <f>Data!BF32</f>
        <v>1016</v>
      </c>
      <c r="I32" s="14">
        <f t="shared" si="7"/>
        <v>5.0999999999999996</v>
      </c>
      <c r="J32" s="16">
        <f>Data!BS32</f>
        <v>0</v>
      </c>
      <c r="K32" s="31">
        <f t="shared" si="1"/>
        <v>5.0999999999999996</v>
      </c>
      <c r="M32" s="23">
        <f t="shared" si="9"/>
        <v>0</v>
      </c>
      <c r="N32" s="23">
        <f t="shared" si="9"/>
        <v>45.199999999999996</v>
      </c>
      <c r="P32" s="20">
        <f t="shared" si="2"/>
        <v>0.2442145669291339</v>
      </c>
      <c r="Q32" s="20">
        <f t="shared" si="3"/>
        <v>0.2442145669291339</v>
      </c>
      <c r="R32" s="19">
        <f t="shared" si="4"/>
        <v>248.12200000000004</v>
      </c>
      <c r="S32" s="23">
        <f t="shared" si="5"/>
        <v>5.0999999999999943</v>
      </c>
      <c r="T32" s="23">
        <f t="shared" si="6"/>
        <v>0</v>
      </c>
    </row>
    <row r="33" spans="1:20" x14ac:dyDescent="0.2">
      <c r="A33" s="40">
        <v>34726</v>
      </c>
      <c r="B33" s="3">
        <v>27</v>
      </c>
      <c r="C33" s="16">
        <f>ROUND(Data!BJ33,2)</f>
        <v>6.87</v>
      </c>
      <c r="D33" s="3">
        <f>ROUND(Data!R33,1)</f>
        <v>2.4</v>
      </c>
      <c r="E33" s="3">
        <f>ROUND(Data!AF33,1)</f>
        <v>-12.4</v>
      </c>
      <c r="F33" s="23">
        <f>Data!BO33</f>
        <v>62</v>
      </c>
      <c r="G33" s="3">
        <f>Data!Q33</f>
        <v>0</v>
      </c>
      <c r="H33" s="19">
        <f>Data!BF33</f>
        <v>986</v>
      </c>
      <c r="I33" s="14">
        <f t="shared" si="7"/>
        <v>0</v>
      </c>
      <c r="J33" s="16">
        <f>Data!BS33</f>
        <v>0</v>
      </c>
      <c r="K33" s="31">
        <f t="shared" si="1"/>
        <v>0</v>
      </c>
      <c r="M33" s="23">
        <f t="shared" si="9"/>
        <v>0</v>
      </c>
      <c r="N33" s="23">
        <f t="shared" si="9"/>
        <v>45.199999999999996</v>
      </c>
      <c r="P33" s="20">
        <f t="shared" si="2"/>
        <v>0.25164503042596353</v>
      </c>
      <c r="Q33" s="20">
        <f t="shared" si="3"/>
        <v>0.25164503042596353</v>
      </c>
      <c r="R33" s="19">
        <f t="shared" si="4"/>
        <v>248.12200000000004</v>
      </c>
      <c r="S33" s="23">
        <f t="shared" si="5"/>
        <v>0</v>
      </c>
      <c r="T33" s="23">
        <f t="shared" si="6"/>
        <v>0</v>
      </c>
    </row>
    <row r="34" spans="1:20" x14ac:dyDescent="0.2">
      <c r="A34" s="40">
        <v>34727</v>
      </c>
      <c r="B34" s="3">
        <v>28</v>
      </c>
      <c r="C34" s="16">
        <f>ROUND(Data!BJ34,2)</f>
        <v>5.0199999999999996</v>
      </c>
      <c r="D34" s="3">
        <f>ROUND(Data!R34,1)</f>
        <v>0.5</v>
      </c>
      <c r="E34" s="3">
        <f>ROUND(Data!AF34,1)</f>
        <v>-15</v>
      </c>
      <c r="F34" s="23">
        <f>Data!BO34</f>
        <v>58.1</v>
      </c>
      <c r="G34" s="3">
        <f>Data!Q34</f>
        <v>0</v>
      </c>
      <c r="H34" s="19">
        <f>Data!BF34</f>
        <v>985</v>
      </c>
      <c r="I34" s="14">
        <f t="shared" si="7"/>
        <v>0</v>
      </c>
      <c r="J34" s="16">
        <f>Data!BS34</f>
        <v>0</v>
      </c>
      <c r="K34" s="31">
        <f t="shared" si="1"/>
        <v>0</v>
      </c>
      <c r="M34" s="23">
        <f t="shared" si="9"/>
        <v>0</v>
      </c>
      <c r="N34" s="23">
        <f t="shared" si="9"/>
        <v>45.199999999999996</v>
      </c>
      <c r="P34" s="20">
        <f t="shared" si="2"/>
        <v>0.25190050761421323</v>
      </c>
      <c r="Q34" s="20">
        <f t="shared" si="3"/>
        <v>0.25190050761421323</v>
      </c>
      <c r="R34" s="19">
        <f t="shared" si="4"/>
        <v>248.12200000000004</v>
      </c>
      <c r="S34" s="23">
        <f t="shared" si="5"/>
        <v>0</v>
      </c>
      <c r="T34" s="23">
        <f t="shared" si="6"/>
        <v>0</v>
      </c>
    </row>
    <row r="35" spans="1:20" x14ac:dyDescent="0.2">
      <c r="A35" s="40">
        <v>34728</v>
      </c>
      <c r="B35" s="3">
        <v>29</v>
      </c>
      <c r="C35" s="16">
        <f>ROUND(Data!BJ35,2)</f>
        <v>1.88</v>
      </c>
      <c r="D35" s="3">
        <f>ROUND(Data!R35,1)</f>
        <v>1.7</v>
      </c>
      <c r="E35" s="3">
        <f>ROUND(Data!AF35,1)</f>
        <v>-1.1000000000000001</v>
      </c>
      <c r="F35" s="23">
        <f>Data!BO35</f>
        <v>74.7</v>
      </c>
      <c r="G35" s="3">
        <f>Data!Q35</f>
        <v>0</v>
      </c>
      <c r="H35" s="19">
        <f>Data!BF35</f>
        <v>1058</v>
      </c>
      <c r="I35" s="14">
        <f t="shared" si="7"/>
        <v>9.5</v>
      </c>
      <c r="J35" s="16">
        <f>Data!BS35</f>
        <v>0.3</v>
      </c>
      <c r="K35" s="31">
        <f t="shared" si="1"/>
        <v>9.5</v>
      </c>
      <c r="M35" s="23">
        <f t="shared" si="9"/>
        <v>0.3</v>
      </c>
      <c r="N35" s="23">
        <f t="shared" si="9"/>
        <v>54.699999999999996</v>
      </c>
      <c r="P35" s="20">
        <f t="shared" si="2"/>
        <v>0.24349905482041595</v>
      </c>
      <c r="Q35" s="20">
        <f t="shared" si="3"/>
        <v>0.24349905482041595</v>
      </c>
      <c r="R35" s="19">
        <f t="shared" si="4"/>
        <v>257.62200000000007</v>
      </c>
      <c r="S35" s="23">
        <f t="shared" si="5"/>
        <v>9.5000000000000284</v>
      </c>
      <c r="T35" s="23">
        <f t="shared" si="6"/>
        <v>-2.8421709430404007E-14</v>
      </c>
    </row>
    <row r="36" spans="1:20" x14ac:dyDescent="0.2">
      <c r="A36" s="40">
        <v>34729</v>
      </c>
      <c r="B36" s="3">
        <v>30</v>
      </c>
      <c r="C36" s="16">
        <f>ROUND(Data!BJ36,2)</f>
        <v>0.67</v>
      </c>
      <c r="D36" s="3">
        <f>ROUND(Data!R36,1)</f>
        <v>2</v>
      </c>
      <c r="E36" s="3">
        <f>ROUND(Data!AF36,1)</f>
        <v>-4.4000000000000004</v>
      </c>
      <c r="F36" s="23">
        <f>Data!BO36</f>
        <v>69.2</v>
      </c>
      <c r="G36" s="3">
        <f>Data!Q36</f>
        <v>0</v>
      </c>
      <c r="H36" s="19">
        <f>Data!BF36</f>
        <v>1070</v>
      </c>
      <c r="I36" s="14">
        <f t="shared" si="7"/>
        <v>1.6</v>
      </c>
      <c r="J36" s="16">
        <f>Data!BS36</f>
        <v>0</v>
      </c>
      <c r="K36" s="31">
        <f t="shared" si="1"/>
        <v>1.6</v>
      </c>
      <c r="M36" s="23">
        <f t="shared" si="9"/>
        <v>0.3</v>
      </c>
      <c r="N36" s="23">
        <f t="shared" si="9"/>
        <v>56.3</v>
      </c>
      <c r="P36" s="20">
        <f t="shared" ref="P36:P67" si="10">(R35+K36)/H36</f>
        <v>0.24226355140186925</v>
      </c>
      <c r="Q36" s="20">
        <f t="shared" si="3"/>
        <v>0.24226355140186925</v>
      </c>
      <c r="R36" s="19">
        <f t="shared" ref="R36:R67" si="11">Q36*H36</f>
        <v>259.22200000000009</v>
      </c>
      <c r="S36" s="23">
        <f t="shared" si="5"/>
        <v>1.6000000000000227</v>
      </c>
      <c r="T36" s="23">
        <f t="shared" si="6"/>
        <v>-2.2648549702353193E-14</v>
      </c>
    </row>
    <row r="37" spans="1:20" x14ac:dyDescent="0.2">
      <c r="A37" s="40">
        <v>34730</v>
      </c>
      <c r="B37" s="3">
        <v>31</v>
      </c>
      <c r="C37" s="16">
        <f>ROUND(Data!BJ37,2)</f>
        <v>0.96</v>
      </c>
      <c r="D37" s="3">
        <f>ROUND(Data!R37,1)</f>
        <v>3.3</v>
      </c>
      <c r="E37" s="3">
        <f>ROUND(Data!AF37,1)</f>
        <v>0</v>
      </c>
      <c r="F37" s="23">
        <f>Data!BO37</f>
        <v>75.8</v>
      </c>
      <c r="G37" s="3">
        <f>Data!Q37</f>
        <v>0</v>
      </c>
      <c r="H37" s="19">
        <f>Data!BF37</f>
        <v>1088</v>
      </c>
      <c r="I37" s="14">
        <f t="shared" si="7"/>
        <v>2.2999999999999998</v>
      </c>
      <c r="J37" s="16">
        <f>Data!BS37</f>
        <v>15.5</v>
      </c>
      <c r="K37" s="31">
        <f t="shared" si="1"/>
        <v>2.2999999999999998</v>
      </c>
      <c r="M37" s="23">
        <f t="shared" si="9"/>
        <v>15.8</v>
      </c>
      <c r="N37" s="23">
        <f t="shared" si="9"/>
        <v>58.599999999999994</v>
      </c>
      <c r="P37" s="20">
        <f t="shared" si="10"/>
        <v>0.24036948529411775</v>
      </c>
      <c r="Q37" s="20">
        <f t="shared" ref="Q37:Q67" si="12">IF(P37&gt;Q$1,Q$1,P37)</f>
        <v>0.24036948529411775</v>
      </c>
      <c r="R37" s="19">
        <f t="shared" si="11"/>
        <v>261.52200000000011</v>
      </c>
      <c r="S37" s="23">
        <f t="shared" ref="S37:S67" si="13">R37-R36</f>
        <v>2.3000000000000114</v>
      </c>
      <c r="T37" s="23">
        <f t="shared" ref="T37:T67" si="14">K37-S37</f>
        <v>-1.1546319456101628E-14</v>
      </c>
    </row>
    <row r="38" spans="1:20" x14ac:dyDescent="0.2">
      <c r="A38" s="40">
        <v>34731</v>
      </c>
      <c r="B38" s="3">
        <v>32</v>
      </c>
      <c r="C38" s="16">
        <f>ROUND(Data!BJ38,2)</f>
        <v>4.22</v>
      </c>
      <c r="D38" s="3">
        <f>ROUND(Data!R38,1)</f>
        <v>3.1</v>
      </c>
      <c r="E38" s="3">
        <f>ROUND(Data!AF38,1)</f>
        <v>-1</v>
      </c>
      <c r="F38" s="23">
        <f>Data!BO38</f>
        <v>62.2</v>
      </c>
      <c r="G38" s="3">
        <f>Data!Q38</f>
        <v>0</v>
      </c>
      <c r="H38" s="19">
        <f>Data!BF38</f>
        <v>1056</v>
      </c>
      <c r="I38" s="14">
        <f t="shared" si="7"/>
        <v>0</v>
      </c>
      <c r="J38" s="16">
        <f>Data!BS38</f>
        <v>19.899999999999999</v>
      </c>
      <c r="K38" s="31">
        <f t="shared" si="1"/>
        <v>0</v>
      </c>
      <c r="M38" s="23">
        <f t="shared" si="9"/>
        <v>35.700000000000003</v>
      </c>
      <c r="N38" s="23">
        <f t="shared" si="9"/>
        <v>58.599999999999994</v>
      </c>
      <c r="P38" s="20">
        <f t="shared" si="10"/>
        <v>0.24765340909090919</v>
      </c>
      <c r="Q38" s="20">
        <f t="shared" si="12"/>
        <v>0.24765340909090919</v>
      </c>
      <c r="R38" s="19">
        <f t="shared" si="11"/>
        <v>261.52200000000011</v>
      </c>
      <c r="S38" s="23">
        <f t="shared" si="13"/>
        <v>0</v>
      </c>
      <c r="T38" s="23">
        <f t="shared" si="14"/>
        <v>0</v>
      </c>
    </row>
    <row r="39" spans="1:20" x14ac:dyDescent="0.2">
      <c r="A39" s="40">
        <v>34732</v>
      </c>
      <c r="B39" s="3">
        <v>33</v>
      </c>
      <c r="C39" s="16">
        <f>ROUND(Data!BJ39,2)</f>
        <v>6.75</v>
      </c>
      <c r="D39" s="3">
        <f>ROUND(Data!R39,1)</f>
        <v>2.7</v>
      </c>
      <c r="E39" s="3">
        <f>ROUND(Data!AF39,1)</f>
        <v>-5.0999999999999996</v>
      </c>
      <c r="F39" s="23">
        <f>Data!BO39</f>
        <v>55.4</v>
      </c>
      <c r="G39" s="3">
        <f>Data!Q39</f>
        <v>0</v>
      </c>
      <c r="H39" s="19">
        <f>Data!BF39</f>
        <v>1072</v>
      </c>
      <c r="I39" s="14">
        <f t="shared" si="7"/>
        <v>2.1</v>
      </c>
      <c r="J39" s="16">
        <f>Data!BS39</f>
        <v>1.4</v>
      </c>
      <c r="K39" s="31">
        <f t="shared" si="1"/>
        <v>2.1</v>
      </c>
      <c r="M39" s="23">
        <f t="shared" si="9"/>
        <v>37.1</v>
      </c>
      <c r="N39" s="23">
        <f t="shared" si="9"/>
        <v>60.699999999999996</v>
      </c>
      <c r="P39" s="20">
        <f t="shared" si="10"/>
        <v>0.24591604477611953</v>
      </c>
      <c r="Q39" s="20">
        <f t="shared" si="12"/>
        <v>0.24591604477611953</v>
      </c>
      <c r="R39" s="19">
        <f t="shared" si="11"/>
        <v>263.62200000000013</v>
      </c>
      <c r="S39" s="23">
        <f t="shared" si="13"/>
        <v>2.1000000000000227</v>
      </c>
      <c r="T39" s="23">
        <f t="shared" si="14"/>
        <v>-2.2648549702353193E-14</v>
      </c>
    </row>
    <row r="40" spans="1:20" x14ac:dyDescent="0.2">
      <c r="A40" s="40">
        <v>34733</v>
      </c>
      <c r="B40" s="3">
        <v>34</v>
      </c>
      <c r="C40" s="16">
        <f>ROUND(Data!BJ40,2)</f>
        <v>1.7</v>
      </c>
      <c r="D40" s="3">
        <f>ROUND(Data!R40,1)</f>
        <v>1.1000000000000001</v>
      </c>
      <c r="E40" s="3">
        <f>ROUND(Data!AF40,1)</f>
        <v>-7.5</v>
      </c>
      <c r="F40" s="23">
        <f>Data!BO40</f>
        <v>48.7</v>
      </c>
      <c r="G40" s="3">
        <f>Data!Q40</f>
        <v>0</v>
      </c>
      <c r="H40" s="19">
        <f>Data!BF40</f>
        <v>1055</v>
      </c>
      <c r="I40" s="14">
        <f t="shared" si="7"/>
        <v>0</v>
      </c>
      <c r="J40" s="16">
        <f>Data!BS40</f>
        <v>0.5</v>
      </c>
      <c r="K40" s="31">
        <f t="shared" si="1"/>
        <v>0</v>
      </c>
      <c r="M40" s="23">
        <f t="shared" si="9"/>
        <v>37.6</v>
      </c>
      <c r="N40" s="23">
        <f t="shared" si="9"/>
        <v>60.699999999999996</v>
      </c>
      <c r="P40" s="20">
        <f t="shared" si="10"/>
        <v>0.24987867298578212</v>
      </c>
      <c r="Q40" s="20">
        <f t="shared" si="12"/>
        <v>0.24987867298578212</v>
      </c>
      <c r="R40" s="19">
        <f t="shared" si="11"/>
        <v>263.62200000000013</v>
      </c>
      <c r="S40" s="23">
        <f t="shared" si="13"/>
        <v>0</v>
      </c>
      <c r="T40" s="23">
        <f t="shared" si="14"/>
        <v>0</v>
      </c>
    </row>
    <row r="41" spans="1:20" x14ac:dyDescent="0.2">
      <c r="A41" s="40">
        <v>34734</v>
      </c>
      <c r="B41" s="3">
        <v>35</v>
      </c>
      <c r="C41" s="16">
        <f>ROUND(Data!BJ41,2)</f>
        <v>7.32</v>
      </c>
      <c r="D41" s="3">
        <f>ROUND(Data!R41,1)</f>
        <v>6</v>
      </c>
      <c r="E41" s="3">
        <f>ROUND(Data!AF41,1)</f>
        <v>-11.2</v>
      </c>
      <c r="F41" s="23">
        <f>Data!BO41</f>
        <v>55</v>
      </c>
      <c r="G41" s="3">
        <f>Data!Q41</f>
        <v>0</v>
      </c>
      <c r="H41" s="19">
        <f>Data!BF41</f>
        <v>1049</v>
      </c>
      <c r="I41" s="14">
        <f t="shared" si="7"/>
        <v>0</v>
      </c>
      <c r="J41" s="16">
        <f>Data!BS41</f>
        <v>0</v>
      </c>
      <c r="K41" s="31">
        <f t="shared" si="1"/>
        <v>0</v>
      </c>
      <c r="M41" s="23">
        <f t="shared" ref="M41:N56" si="15">J41+M40</f>
        <v>37.6</v>
      </c>
      <c r="N41" s="23">
        <f t="shared" si="15"/>
        <v>60.699999999999996</v>
      </c>
      <c r="P41" s="20">
        <f t="shared" si="10"/>
        <v>0.25130791229742622</v>
      </c>
      <c r="Q41" s="20">
        <f t="shared" si="12"/>
        <v>0.25130791229742622</v>
      </c>
      <c r="R41" s="19">
        <f t="shared" si="11"/>
        <v>263.62200000000013</v>
      </c>
      <c r="S41" s="23">
        <f t="shared" si="13"/>
        <v>0</v>
      </c>
      <c r="T41" s="23">
        <f t="shared" si="14"/>
        <v>0</v>
      </c>
    </row>
    <row r="42" spans="1:20" x14ac:dyDescent="0.2">
      <c r="A42" s="40">
        <v>34735</v>
      </c>
      <c r="B42" s="3">
        <v>36</v>
      </c>
      <c r="C42" s="16">
        <f>ROUND(Data!BJ42,2)</f>
        <v>6.57</v>
      </c>
      <c r="D42" s="3">
        <f>ROUND(Data!R42,1)</f>
        <v>12.5</v>
      </c>
      <c r="E42" s="3">
        <f>ROUND(Data!AF42,1)</f>
        <v>-6.6</v>
      </c>
      <c r="F42" s="23">
        <f>Data!BO42</f>
        <v>35</v>
      </c>
      <c r="G42" s="3">
        <f>Data!Q42</f>
        <v>0</v>
      </c>
      <c r="H42" s="19">
        <f>Data!BF42</f>
        <v>1042</v>
      </c>
      <c r="I42" s="14">
        <f t="shared" si="7"/>
        <v>0</v>
      </c>
      <c r="J42" s="16">
        <f>Data!BS42</f>
        <v>1.1000000000000001</v>
      </c>
      <c r="K42" s="31">
        <f t="shared" si="1"/>
        <v>0</v>
      </c>
      <c r="M42" s="23">
        <f t="shared" si="15"/>
        <v>38.700000000000003</v>
      </c>
      <c r="N42" s="23">
        <f t="shared" si="15"/>
        <v>60.699999999999996</v>
      </c>
      <c r="P42" s="20">
        <f t="shared" si="10"/>
        <v>0.25299616122840701</v>
      </c>
      <c r="Q42" s="20">
        <f t="shared" si="12"/>
        <v>0.25299616122840701</v>
      </c>
      <c r="R42" s="19">
        <f t="shared" si="11"/>
        <v>263.62200000000013</v>
      </c>
      <c r="S42" s="23">
        <f t="shared" si="13"/>
        <v>0</v>
      </c>
      <c r="T42" s="23">
        <f t="shared" si="14"/>
        <v>0</v>
      </c>
    </row>
    <row r="43" spans="1:20" x14ac:dyDescent="0.2">
      <c r="A43" s="40">
        <v>34736</v>
      </c>
      <c r="B43" s="3">
        <v>37</v>
      </c>
      <c r="C43" s="16">
        <f>ROUND(Data!BJ43,2)</f>
        <v>2.33</v>
      </c>
      <c r="D43" s="3">
        <f>ROUND(Data!R43,1)</f>
        <v>3.9</v>
      </c>
      <c r="E43" s="3">
        <f>ROUND(Data!AF43,1)</f>
        <v>-1.3</v>
      </c>
      <c r="F43" s="23">
        <f>Data!BO43</f>
        <v>89</v>
      </c>
      <c r="G43" s="3">
        <f>Data!Q43</f>
        <v>0</v>
      </c>
      <c r="H43" s="19">
        <f>Data!BF43</f>
        <v>1087</v>
      </c>
      <c r="I43" s="14">
        <f t="shared" si="7"/>
        <v>5.9</v>
      </c>
      <c r="J43" s="16">
        <f>Data!BS43</f>
        <v>6.9</v>
      </c>
      <c r="K43" s="31">
        <f t="shared" si="1"/>
        <v>5.9</v>
      </c>
      <c r="M43" s="23">
        <f t="shared" si="15"/>
        <v>45.6</v>
      </c>
      <c r="N43" s="23">
        <f t="shared" si="15"/>
        <v>66.599999999999994</v>
      </c>
      <c r="P43" s="20">
        <f t="shared" si="10"/>
        <v>0.24795032198712061</v>
      </c>
      <c r="Q43" s="20">
        <f t="shared" si="12"/>
        <v>0.24795032198712061</v>
      </c>
      <c r="R43" s="19">
        <f t="shared" si="11"/>
        <v>269.52200000000011</v>
      </c>
      <c r="S43" s="23">
        <f t="shared" si="13"/>
        <v>5.8999999999999773</v>
      </c>
      <c r="T43" s="23">
        <f t="shared" si="14"/>
        <v>2.3092638912203256E-14</v>
      </c>
    </row>
    <row r="44" spans="1:20" x14ac:dyDescent="0.2">
      <c r="A44" s="40">
        <v>34737</v>
      </c>
      <c r="B44" s="3">
        <v>38</v>
      </c>
      <c r="C44" s="16">
        <f>ROUND(Data!BJ44,2)</f>
        <v>4.8099999999999996</v>
      </c>
      <c r="D44" s="3">
        <f>ROUND(Data!R44,1)</f>
        <v>6.7</v>
      </c>
      <c r="E44" s="3">
        <f>ROUND(Data!AF44,1)</f>
        <v>-9.6999999999999993</v>
      </c>
      <c r="F44" s="23">
        <f>Data!BO44</f>
        <v>60.5</v>
      </c>
      <c r="G44" s="3">
        <f>Data!Q44</f>
        <v>0</v>
      </c>
      <c r="H44" s="19">
        <f>Data!BF44</f>
        <v>1085</v>
      </c>
      <c r="I44" s="14">
        <f t="shared" si="7"/>
        <v>0</v>
      </c>
      <c r="J44" s="16">
        <f>Data!BS44</f>
        <v>3.4</v>
      </c>
      <c r="K44" s="31">
        <f t="shared" si="1"/>
        <v>0</v>
      </c>
      <c r="M44" s="23">
        <f t="shared" si="15"/>
        <v>49</v>
      </c>
      <c r="N44" s="23">
        <f t="shared" si="15"/>
        <v>66.599999999999994</v>
      </c>
      <c r="P44" s="20">
        <f t="shared" si="10"/>
        <v>0.2484073732718895</v>
      </c>
      <c r="Q44" s="20">
        <f t="shared" si="12"/>
        <v>0.2484073732718895</v>
      </c>
      <c r="R44" s="19">
        <f t="shared" si="11"/>
        <v>269.52200000000011</v>
      </c>
      <c r="S44" s="23">
        <f t="shared" si="13"/>
        <v>0</v>
      </c>
      <c r="T44" s="23">
        <f t="shared" si="14"/>
        <v>0</v>
      </c>
    </row>
    <row r="45" spans="1:20" x14ac:dyDescent="0.2">
      <c r="A45" s="40">
        <v>34738</v>
      </c>
      <c r="B45" s="3">
        <v>39</v>
      </c>
      <c r="C45" s="16">
        <f>ROUND(Data!BJ45,2)</f>
        <v>3.95</v>
      </c>
      <c r="D45" s="3">
        <f>ROUND(Data!R45,1)</f>
        <v>-0.8</v>
      </c>
      <c r="E45" s="3">
        <f>ROUND(Data!AF45,1)</f>
        <v>-11.2</v>
      </c>
      <c r="F45" s="23">
        <f>Data!BO45</f>
        <v>84.7</v>
      </c>
      <c r="G45" s="3">
        <f>Data!Q45</f>
        <v>0</v>
      </c>
      <c r="H45" s="19">
        <f>Data!BF45</f>
        <v>1072</v>
      </c>
      <c r="I45" s="14">
        <f t="shared" si="7"/>
        <v>0</v>
      </c>
      <c r="J45" s="16">
        <f>Data!BS45</f>
        <v>0.3</v>
      </c>
      <c r="K45" s="31">
        <f t="shared" si="1"/>
        <v>0</v>
      </c>
      <c r="M45" s="23">
        <f t="shared" si="15"/>
        <v>49.3</v>
      </c>
      <c r="N45" s="23">
        <f t="shared" si="15"/>
        <v>66.599999999999994</v>
      </c>
      <c r="P45" s="20">
        <f t="shared" si="10"/>
        <v>0.25141977611940308</v>
      </c>
      <c r="Q45" s="20">
        <f t="shared" si="12"/>
        <v>0.25141977611940308</v>
      </c>
      <c r="R45" s="19">
        <f t="shared" si="11"/>
        <v>269.52200000000011</v>
      </c>
      <c r="S45" s="23">
        <f t="shared" si="13"/>
        <v>0</v>
      </c>
      <c r="T45" s="23">
        <f t="shared" si="14"/>
        <v>0</v>
      </c>
    </row>
    <row r="46" spans="1:20" x14ac:dyDescent="0.2">
      <c r="A46" s="40">
        <v>34739</v>
      </c>
      <c r="B46" s="3">
        <v>40</v>
      </c>
      <c r="C46" s="16">
        <f>ROUND(Data!BJ46,2)</f>
        <v>8.85</v>
      </c>
      <c r="D46" s="3">
        <f>ROUND(Data!R46,1)</f>
        <v>0.3</v>
      </c>
      <c r="E46" s="3">
        <f>ROUND(Data!AF46,1)</f>
        <v>-12.9</v>
      </c>
      <c r="F46" s="23">
        <f>Data!BO46</f>
        <v>64.7</v>
      </c>
      <c r="G46" s="3">
        <f>Data!Q46</f>
        <v>0</v>
      </c>
      <c r="H46" s="19">
        <f>Data!BF46</f>
        <v>1057</v>
      </c>
      <c r="I46" s="14">
        <f t="shared" si="7"/>
        <v>0</v>
      </c>
      <c r="J46" s="16">
        <f>Data!BS46</f>
        <v>1.1000000000000001</v>
      </c>
      <c r="K46" s="31">
        <f t="shared" si="1"/>
        <v>0</v>
      </c>
      <c r="M46" s="23">
        <f t="shared" si="15"/>
        <v>50.4</v>
      </c>
      <c r="N46" s="23">
        <f t="shared" si="15"/>
        <v>66.599999999999994</v>
      </c>
      <c r="P46" s="20">
        <f t="shared" si="10"/>
        <v>0.25498770104068125</v>
      </c>
      <c r="Q46" s="20">
        <f t="shared" si="12"/>
        <v>0.25498770104068125</v>
      </c>
      <c r="R46" s="19">
        <f t="shared" si="11"/>
        <v>269.52200000000011</v>
      </c>
      <c r="S46" s="23">
        <f t="shared" si="13"/>
        <v>0</v>
      </c>
      <c r="T46" s="23">
        <f t="shared" si="14"/>
        <v>0</v>
      </c>
    </row>
    <row r="47" spans="1:20" x14ac:dyDescent="0.2">
      <c r="A47" s="40">
        <v>34740</v>
      </c>
      <c r="B47" s="3">
        <v>41</v>
      </c>
      <c r="C47" s="16">
        <f>ROUND(Data!BJ47,2)</f>
        <v>6.17</v>
      </c>
      <c r="D47" s="3">
        <f>ROUND(Data!R47,1)</f>
        <v>-3.5</v>
      </c>
      <c r="E47" s="3">
        <f>ROUND(Data!AF47,1)</f>
        <v>-14.4</v>
      </c>
      <c r="F47" s="23">
        <f>Data!BO47</f>
        <v>67.3</v>
      </c>
      <c r="G47" s="3">
        <f>Data!Q47</f>
        <v>0</v>
      </c>
      <c r="H47" s="19">
        <f>Data!BF47</f>
        <v>1051</v>
      </c>
      <c r="I47" s="14">
        <f t="shared" si="7"/>
        <v>0</v>
      </c>
      <c r="J47" s="16">
        <f>Data!BS47</f>
        <v>0</v>
      </c>
      <c r="K47" s="31">
        <f t="shared" si="1"/>
        <v>0</v>
      </c>
      <c r="M47" s="23">
        <f t="shared" si="15"/>
        <v>50.4</v>
      </c>
      <c r="N47" s="23">
        <f t="shared" si="15"/>
        <v>66.599999999999994</v>
      </c>
      <c r="P47" s="20">
        <f t="shared" si="10"/>
        <v>0.25644338725023796</v>
      </c>
      <c r="Q47" s="20">
        <f t="shared" si="12"/>
        <v>0.25644338725023796</v>
      </c>
      <c r="R47" s="19">
        <f t="shared" si="11"/>
        <v>269.52200000000011</v>
      </c>
      <c r="S47" s="23">
        <f t="shared" si="13"/>
        <v>0</v>
      </c>
      <c r="T47" s="23">
        <f t="shared" si="14"/>
        <v>0</v>
      </c>
    </row>
    <row r="48" spans="1:20" x14ac:dyDescent="0.2">
      <c r="A48" s="40">
        <v>34741</v>
      </c>
      <c r="B48" s="3">
        <v>42</v>
      </c>
      <c r="C48" s="16">
        <f>ROUND(Data!BJ48,2)</f>
        <v>6.44</v>
      </c>
      <c r="D48" s="3">
        <f>ROUND(Data!R48,1)</f>
        <v>-6.4</v>
      </c>
      <c r="E48" s="3">
        <f>ROUND(Data!AF48,1)</f>
        <v>-18.7</v>
      </c>
      <c r="F48" s="23">
        <f>Data!BO48</f>
        <v>37.799999999999997</v>
      </c>
      <c r="G48" s="3">
        <f>Data!Q48</f>
        <v>0</v>
      </c>
      <c r="H48" s="19">
        <f>Data!BF48</f>
        <v>1037</v>
      </c>
      <c r="I48" s="14">
        <f t="shared" si="7"/>
        <v>0</v>
      </c>
      <c r="J48" s="16">
        <f>Data!BS48</f>
        <v>0</v>
      </c>
      <c r="K48" s="31">
        <f t="shared" si="1"/>
        <v>0</v>
      </c>
      <c r="M48" s="23">
        <f t="shared" si="15"/>
        <v>50.4</v>
      </c>
      <c r="N48" s="23">
        <f t="shared" si="15"/>
        <v>66.599999999999994</v>
      </c>
      <c r="P48" s="20">
        <f t="shared" si="10"/>
        <v>0.25990549662487955</v>
      </c>
      <c r="Q48" s="20">
        <f t="shared" si="12"/>
        <v>0.25990549662487955</v>
      </c>
      <c r="R48" s="19">
        <f t="shared" si="11"/>
        <v>269.52200000000011</v>
      </c>
      <c r="S48" s="23">
        <f t="shared" si="13"/>
        <v>0</v>
      </c>
      <c r="T48" s="23">
        <f t="shared" si="14"/>
        <v>0</v>
      </c>
    </row>
    <row r="49" spans="1:20" x14ac:dyDescent="0.2">
      <c r="A49" s="40">
        <v>34742</v>
      </c>
      <c r="B49" s="3">
        <v>43</v>
      </c>
      <c r="C49" s="16">
        <f>ROUND(Data!BJ49,2)</f>
        <v>9.7100000000000009</v>
      </c>
      <c r="D49" s="3">
        <f>ROUND(Data!R49,1)</f>
        <v>-12.8</v>
      </c>
      <c r="E49" s="3">
        <f>ROUND(Data!AF49,1)</f>
        <v>-19.600000000000001</v>
      </c>
      <c r="F49" s="23">
        <f>Data!BO49</f>
        <v>30.7</v>
      </c>
      <c r="G49" s="3">
        <f>Data!Q49</f>
        <v>0</v>
      </c>
      <c r="H49" s="19">
        <f>Data!BF49</f>
        <v>1023</v>
      </c>
      <c r="I49" s="14">
        <f t="shared" si="7"/>
        <v>0</v>
      </c>
      <c r="J49" s="16">
        <f>Data!BS49</f>
        <v>0</v>
      </c>
      <c r="K49" s="31">
        <f t="shared" si="1"/>
        <v>0</v>
      </c>
      <c r="M49" s="23">
        <f t="shared" si="15"/>
        <v>50.4</v>
      </c>
      <c r="N49" s="23">
        <f t="shared" si="15"/>
        <v>66.599999999999994</v>
      </c>
      <c r="P49" s="20">
        <f t="shared" si="10"/>
        <v>0.26346236559139796</v>
      </c>
      <c r="Q49" s="20">
        <f t="shared" si="12"/>
        <v>0.26346236559139796</v>
      </c>
      <c r="R49" s="19">
        <f t="shared" si="11"/>
        <v>269.52200000000011</v>
      </c>
      <c r="S49" s="23">
        <f t="shared" si="13"/>
        <v>0</v>
      </c>
      <c r="T49" s="23">
        <f t="shared" si="14"/>
        <v>0</v>
      </c>
    </row>
    <row r="50" spans="1:20" x14ac:dyDescent="0.2">
      <c r="A50" s="40">
        <v>34743</v>
      </c>
      <c r="B50" s="3">
        <v>44</v>
      </c>
      <c r="C50" s="16">
        <f>ROUND(Data!BJ50,2)</f>
        <v>10.039999999999999</v>
      </c>
      <c r="D50" s="3">
        <f>ROUND(Data!R50,1)</f>
        <v>-10.7</v>
      </c>
      <c r="E50" s="3">
        <f>ROUND(Data!AF50,1)</f>
        <v>-28.3</v>
      </c>
      <c r="F50" s="23">
        <f>Data!BO50</f>
        <v>26.4</v>
      </c>
      <c r="G50" s="3">
        <f>Data!Q50</f>
        <v>0</v>
      </c>
      <c r="H50" s="19">
        <f>Data!BF50</f>
        <v>1037</v>
      </c>
      <c r="I50" s="14">
        <f t="shared" si="7"/>
        <v>1.8</v>
      </c>
      <c r="J50" s="16">
        <f>Data!BS50</f>
        <v>0</v>
      </c>
      <c r="K50" s="31">
        <f t="shared" si="1"/>
        <v>1.8</v>
      </c>
      <c r="M50" s="23">
        <f t="shared" si="15"/>
        <v>50.4</v>
      </c>
      <c r="N50" s="23">
        <f t="shared" si="15"/>
        <v>68.399999999999991</v>
      </c>
      <c r="P50" s="20">
        <f t="shared" si="10"/>
        <v>0.26164127290260375</v>
      </c>
      <c r="Q50" s="20">
        <f t="shared" si="12"/>
        <v>0.26164127290260375</v>
      </c>
      <c r="R50" s="19">
        <f t="shared" si="11"/>
        <v>271.32200000000012</v>
      </c>
      <c r="S50" s="23">
        <f t="shared" si="13"/>
        <v>1.8000000000000114</v>
      </c>
      <c r="T50" s="23">
        <f t="shared" si="14"/>
        <v>-1.1324274851176597E-14</v>
      </c>
    </row>
    <row r="51" spans="1:20" x14ac:dyDescent="0.2">
      <c r="A51" s="40">
        <v>34744</v>
      </c>
      <c r="B51" s="3">
        <v>45</v>
      </c>
      <c r="C51" s="16">
        <f>ROUND(Data!BJ51,2)</f>
        <v>7.49</v>
      </c>
      <c r="D51" s="3">
        <f>ROUND(Data!R51,1)</f>
        <v>-12</v>
      </c>
      <c r="E51" s="3">
        <f>ROUND(Data!AF51,1)</f>
        <v>-28.6</v>
      </c>
      <c r="F51" s="23">
        <f>Data!BO51</f>
        <v>44.5</v>
      </c>
      <c r="G51" s="3">
        <f>Data!Q51</f>
        <v>0</v>
      </c>
      <c r="H51" s="19">
        <f>Data!BF51</f>
        <v>1043</v>
      </c>
      <c r="I51" s="14">
        <f t="shared" si="7"/>
        <v>0.8</v>
      </c>
      <c r="J51" s="16">
        <f>Data!BS51</f>
        <v>0</v>
      </c>
      <c r="K51" s="31">
        <f t="shared" si="1"/>
        <v>0.8</v>
      </c>
      <c r="M51" s="23">
        <f t="shared" si="15"/>
        <v>50.4</v>
      </c>
      <c r="N51" s="23">
        <f t="shared" si="15"/>
        <v>69.199999999999989</v>
      </c>
      <c r="P51" s="20">
        <f t="shared" si="10"/>
        <v>0.26090316395014396</v>
      </c>
      <c r="Q51" s="20">
        <f t="shared" si="12"/>
        <v>0.26090316395014396</v>
      </c>
      <c r="R51" s="19">
        <f t="shared" si="11"/>
        <v>272.12200000000013</v>
      </c>
      <c r="S51" s="23">
        <f t="shared" si="13"/>
        <v>0.80000000000001137</v>
      </c>
      <c r="T51" s="23">
        <f t="shared" si="14"/>
        <v>-1.1324274851176597E-14</v>
      </c>
    </row>
    <row r="52" spans="1:20" x14ac:dyDescent="0.2">
      <c r="A52" s="40">
        <v>34745</v>
      </c>
      <c r="B52" s="3">
        <v>46</v>
      </c>
      <c r="C52" s="16">
        <f>ROUND(Data!BJ52,2)</f>
        <v>2.4700000000000002</v>
      </c>
      <c r="D52" s="3">
        <f>ROUND(Data!R52,1)</f>
        <v>-6.2</v>
      </c>
      <c r="E52" s="3">
        <f>ROUND(Data!AF52,1)</f>
        <v>-14</v>
      </c>
      <c r="F52" s="23">
        <f>Data!BO52</f>
        <v>74.8</v>
      </c>
      <c r="G52" s="3">
        <f>Data!Q52</f>
        <v>0</v>
      </c>
      <c r="H52" s="19">
        <f>Data!BF52</f>
        <v>1110</v>
      </c>
      <c r="I52" s="14">
        <f t="shared" si="7"/>
        <v>8.6999999999999993</v>
      </c>
      <c r="J52" s="16">
        <f>Data!BS52</f>
        <v>0</v>
      </c>
      <c r="K52" s="31">
        <f t="shared" si="1"/>
        <v>8.6999999999999993</v>
      </c>
      <c r="M52" s="23">
        <f t="shared" si="15"/>
        <v>50.4</v>
      </c>
      <c r="N52" s="23">
        <f t="shared" si="15"/>
        <v>77.899999999999991</v>
      </c>
      <c r="P52" s="20">
        <f t="shared" si="10"/>
        <v>0.25299279279279291</v>
      </c>
      <c r="Q52" s="20">
        <f t="shared" si="12"/>
        <v>0.25299279279279291</v>
      </c>
      <c r="R52" s="19">
        <f t="shared" si="11"/>
        <v>280.82200000000012</v>
      </c>
      <c r="S52" s="23">
        <f t="shared" si="13"/>
        <v>8.6999999999999886</v>
      </c>
      <c r="T52" s="23">
        <f t="shared" si="14"/>
        <v>0</v>
      </c>
    </row>
    <row r="53" spans="1:20" x14ac:dyDescent="0.2">
      <c r="A53" s="40">
        <v>34746</v>
      </c>
      <c r="B53" s="3">
        <v>47</v>
      </c>
      <c r="C53" s="16">
        <f>ROUND(Data!BJ53,2)</f>
        <v>2.25</v>
      </c>
      <c r="D53" s="3">
        <f>ROUND(Data!R53,1)</f>
        <v>-2.9</v>
      </c>
      <c r="E53" s="3">
        <f>ROUND(Data!AF53,1)</f>
        <v>-7.4</v>
      </c>
      <c r="F53" s="23">
        <f>Data!BO53</f>
        <v>82.7</v>
      </c>
      <c r="G53" s="3">
        <f>Data!Q53</f>
        <v>0</v>
      </c>
      <c r="H53" s="19">
        <f>Data!BF53</f>
        <v>1161</v>
      </c>
      <c r="I53" s="14">
        <f t="shared" si="7"/>
        <v>6.6</v>
      </c>
      <c r="J53" s="16">
        <f>Data!BS53</f>
        <v>2.2000000000000002</v>
      </c>
      <c r="K53" s="31">
        <f t="shared" si="1"/>
        <v>6.6</v>
      </c>
      <c r="M53" s="23">
        <f t="shared" si="15"/>
        <v>52.6</v>
      </c>
      <c r="N53" s="23">
        <f t="shared" si="15"/>
        <v>84.499999999999986</v>
      </c>
      <c r="P53" s="20">
        <f t="shared" si="10"/>
        <v>0.24756416881998289</v>
      </c>
      <c r="Q53" s="20">
        <f t="shared" si="12"/>
        <v>0.24756416881998289</v>
      </c>
      <c r="R53" s="19">
        <f t="shared" si="11"/>
        <v>287.42200000000014</v>
      </c>
      <c r="S53" s="23">
        <f t="shared" si="13"/>
        <v>6.6000000000000227</v>
      </c>
      <c r="T53" s="23">
        <f t="shared" si="14"/>
        <v>-2.3092638912203256E-14</v>
      </c>
    </row>
    <row r="54" spans="1:20" x14ac:dyDescent="0.2">
      <c r="A54" s="40">
        <v>34747</v>
      </c>
      <c r="B54" s="3">
        <v>48</v>
      </c>
      <c r="C54" s="16">
        <f>ROUND(Data!BJ54,2)</f>
        <v>2.25</v>
      </c>
      <c r="D54" s="3">
        <f>ROUND(Data!R54,1)</f>
        <v>0.5</v>
      </c>
      <c r="E54" s="3">
        <f>ROUND(Data!AF54,1)</f>
        <v>-3.4</v>
      </c>
      <c r="F54" s="23">
        <f>Data!BO54</f>
        <v>77</v>
      </c>
      <c r="G54" s="3">
        <f>Data!Q54</f>
        <v>0</v>
      </c>
      <c r="H54" s="19">
        <f>Data!BF54</f>
        <v>1130</v>
      </c>
      <c r="I54" s="14">
        <f t="shared" si="7"/>
        <v>0</v>
      </c>
      <c r="J54" s="16">
        <f>Data!BS54</f>
        <v>0</v>
      </c>
      <c r="K54" s="31">
        <f t="shared" si="1"/>
        <v>0</v>
      </c>
      <c r="M54" s="23">
        <f t="shared" si="15"/>
        <v>52.6</v>
      </c>
      <c r="N54" s="23">
        <f t="shared" si="15"/>
        <v>84.499999999999986</v>
      </c>
      <c r="P54" s="20">
        <f t="shared" si="10"/>
        <v>0.25435575221238949</v>
      </c>
      <c r="Q54" s="20">
        <f t="shared" si="12"/>
        <v>0.25435575221238949</v>
      </c>
      <c r="R54" s="19">
        <f t="shared" si="11"/>
        <v>287.42200000000014</v>
      </c>
      <c r="S54" s="23">
        <f t="shared" si="13"/>
        <v>0</v>
      </c>
      <c r="T54" s="23">
        <f t="shared" si="14"/>
        <v>0</v>
      </c>
    </row>
    <row r="55" spans="1:20" x14ac:dyDescent="0.2">
      <c r="A55" s="40">
        <v>34748</v>
      </c>
      <c r="B55" s="3">
        <v>49</v>
      </c>
      <c r="C55" s="16">
        <f>ROUND(Data!BJ55,2)</f>
        <v>1.39</v>
      </c>
      <c r="D55" s="3">
        <f>ROUND(Data!R55,1)</f>
        <v>2.2999999999999998</v>
      </c>
      <c r="E55" s="3">
        <f>ROUND(Data!AF55,1)</f>
        <v>-2.8</v>
      </c>
      <c r="F55" s="23">
        <f>Data!BO55</f>
        <v>66.5</v>
      </c>
      <c r="G55" s="3">
        <f>Data!Q55</f>
        <v>0</v>
      </c>
      <c r="H55" s="19">
        <f>Data!BF55</f>
        <v>1204</v>
      </c>
      <c r="I55" s="14">
        <f t="shared" si="7"/>
        <v>9.6</v>
      </c>
      <c r="J55" s="16">
        <f>Data!BS55</f>
        <v>13.1</v>
      </c>
      <c r="K55" s="31">
        <f t="shared" si="1"/>
        <v>9.6</v>
      </c>
      <c r="M55" s="23">
        <f t="shared" si="15"/>
        <v>65.7</v>
      </c>
      <c r="N55" s="23">
        <f t="shared" si="15"/>
        <v>94.09999999999998</v>
      </c>
      <c r="P55" s="20">
        <f t="shared" si="10"/>
        <v>0.24669601328903668</v>
      </c>
      <c r="Q55" s="20">
        <f t="shared" si="12"/>
        <v>0.24669601328903668</v>
      </c>
      <c r="R55" s="19">
        <f t="shared" si="11"/>
        <v>297.02200000000016</v>
      </c>
      <c r="S55" s="23">
        <f t="shared" si="13"/>
        <v>9.6000000000000227</v>
      </c>
      <c r="T55" s="23">
        <f t="shared" si="14"/>
        <v>-2.3092638912203256E-14</v>
      </c>
    </row>
    <row r="56" spans="1:20" x14ac:dyDescent="0.2">
      <c r="A56" s="40">
        <v>34749</v>
      </c>
      <c r="B56" s="3">
        <v>50</v>
      </c>
      <c r="C56" s="16">
        <f>ROUND(Data!BJ56,2)</f>
        <v>5.47</v>
      </c>
      <c r="D56" s="3">
        <f>ROUND(Data!R56,1)</f>
        <v>3.9</v>
      </c>
      <c r="E56" s="3">
        <f>ROUND(Data!AF56,1)</f>
        <v>-0.2</v>
      </c>
      <c r="F56" s="23">
        <f>Data!BO56</f>
        <v>59.6</v>
      </c>
      <c r="G56" s="3">
        <f>Data!Q56</f>
        <v>0</v>
      </c>
      <c r="H56" s="19">
        <f>Data!BF56</f>
        <v>1157</v>
      </c>
      <c r="I56" s="14">
        <f t="shared" si="7"/>
        <v>0</v>
      </c>
      <c r="J56" s="16">
        <f>Data!BS56</f>
        <v>10.199999999999999</v>
      </c>
      <c r="K56" s="31">
        <f t="shared" si="1"/>
        <v>0</v>
      </c>
      <c r="M56" s="23">
        <f t="shared" si="15"/>
        <v>75.900000000000006</v>
      </c>
      <c r="N56" s="23">
        <f t="shared" si="15"/>
        <v>94.09999999999998</v>
      </c>
      <c r="P56" s="20">
        <f t="shared" si="10"/>
        <v>0.25671737251512544</v>
      </c>
      <c r="Q56" s="20">
        <f t="shared" si="12"/>
        <v>0.25671737251512544</v>
      </c>
      <c r="R56" s="19">
        <f t="shared" si="11"/>
        <v>297.02200000000016</v>
      </c>
      <c r="S56" s="23">
        <f t="shared" si="13"/>
        <v>0</v>
      </c>
      <c r="T56" s="23">
        <f t="shared" si="14"/>
        <v>0</v>
      </c>
    </row>
    <row r="57" spans="1:20" x14ac:dyDescent="0.2">
      <c r="A57" s="40">
        <v>34750</v>
      </c>
      <c r="B57" s="3">
        <v>51</v>
      </c>
      <c r="C57" s="16">
        <f>ROUND(Data!BJ57,2)</f>
        <v>2.42</v>
      </c>
      <c r="D57" s="3">
        <f>ROUND(Data!R57,1)</f>
        <v>7.8</v>
      </c>
      <c r="E57" s="3">
        <f>ROUND(Data!AF57,1)</f>
        <v>0.5</v>
      </c>
      <c r="F57" s="23">
        <f>Data!BO57</f>
        <v>52.7</v>
      </c>
      <c r="G57" s="3">
        <f>Data!Q57</f>
        <v>0</v>
      </c>
      <c r="H57" s="19">
        <f>Data!BF57</f>
        <v>1103</v>
      </c>
      <c r="I57" s="14">
        <f t="shared" si="7"/>
        <v>0</v>
      </c>
      <c r="J57" s="16">
        <f>Data!BS57</f>
        <v>0</v>
      </c>
      <c r="K57" s="31">
        <f t="shared" si="1"/>
        <v>0</v>
      </c>
      <c r="M57" s="23">
        <f t="shared" ref="M57:N65" si="16">J57+M56</f>
        <v>75.900000000000006</v>
      </c>
      <c r="N57" s="23">
        <f t="shared" si="16"/>
        <v>94.09999999999998</v>
      </c>
      <c r="P57" s="20">
        <f t="shared" si="10"/>
        <v>0.26928558476881248</v>
      </c>
      <c r="Q57" s="20">
        <f t="shared" si="12"/>
        <v>0.26928558476881248</v>
      </c>
      <c r="R57" s="19">
        <f t="shared" si="11"/>
        <v>297.02200000000016</v>
      </c>
      <c r="S57" s="23">
        <f t="shared" si="13"/>
        <v>0</v>
      </c>
      <c r="T57" s="23">
        <f t="shared" si="14"/>
        <v>0</v>
      </c>
    </row>
    <row r="58" spans="1:20" x14ac:dyDescent="0.2">
      <c r="A58" s="40">
        <v>34751</v>
      </c>
      <c r="B58" s="3">
        <v>52</v>
      </c>
      <c r="C58" s="16">
        <f>ROUND(Data!BJ58,2)</f>
        <v>5.3</v>
      </c>
      <c r="D58" s="3">
        <f>ROUND(Data!R58,1)</f>
        <v>2.7</v>
      </c>
      <c r="E58" s="3">
        <f>ROUND(Data!AF58,1)</f>
        <v>-5.8</v>
      </c>
      <c r="F58" s="23">
        <f>Data!BO58</f>
        <v>42.3</v>
      </c>
      <c r="G58" s="3">
        <f>Data!Q58</f>
        <v>0</v>
      </c>
      <c r="H58" s="19">
        <f>Data!BF58</f>
        <v>1086</v>
      </c>
      <c r="I58" s="14">
        <f t="shared" si="7"/>
        <v>0</v>
      </c>
      <c r="J58" s="16">
        <f>Data!BS58</f>
        <v>0</v>
      </c>
      <c r="K58" s="31">
        <f t="shared" si="1"/>
        <v>0</v>
      </c>
      <c r="M58" s="23">
        <f t="shared" si="16"/>
        <v>75.900000000000006</v>
      </c>
      <c r="N58" s="23">
        <f t="shared" si="16"/>
        <v>94.09999999999998</v>
      </c>
      <c r="P58" s="20">
        <f t="shared" si="10"/>
        <v>0.27350092081031324</v>
      </c>
      <c r="Q58" s="20">
        <f t="shared" si="12"/>
        <v>0.27350092081031324</v>
      </c>
      <c r="R58" s="19">
        <f t="shared" si="11"/>
        <v>297.02200000000016</v>
      </c>
      <c r="S58" s="23">
        <f t="shared" si="13"/>
        <v>0</v>
      </c>
      <c r="T58" s="23">
        <f t="shared" si="14"/>
        <v>0</v>
      </c>
    </row>
    <row r="59" spans="1:20" x14ac:dyDescent="0.2">
      <c r="A59" s="40">
        <v>34752</v>
      </c>
      <c r="B59" s="3">
        <v>53</v>
      </c>
      <c r="C59" s="16">
        <f>ROUND(Data!BJ59,2)</f>
        <v>11.21</v>
      </c>
      <c r="D59" s="3">
        <f>ROUND(Data!R59,1)</f>
        <v>2</v>
      </c>
      <c r="E59" s="3">
        <f>ROUND(Data!AF59,1)</f>
        <v>-10.8</v>
      </c>
      <c r="F59" s="23">
        <f>Data!BO59</f>
        <v>43.3</v>
      </c>
      <c r="G59" s="3">
        <f>Data!Q59</f>
        <v>0</v>
      </c>
      <c r="H59" s="19">
        <f>Data!BF59</f>
        <v>1087</v>
      </c>
      <c r="I59" s="14">
        <f t="shared" si="7"/>
        <v>0.1</v>
      </c>
      <c r="J59" s="16">
        <f>Data!BS59</f>
        <v>0</v>
      </c>
      <c r="K59" s="31">
        <f t="shared" si="1"/>
        <v>0.1</v>
      </c>
      <c r="M59" s="23">
        <f t="shared" si="16"/>
        <v>75.900000000000006</v>
      </c>
      <c r="N59" s="23">
        <f t="shared" si="16"/>
        <v>94.199999999999974</v>
      </c>
      <c r="P59" s="20">
        <f t="shared" si="10"/>
        <v>0.27334130634774628</v>
      </c>
      <c r="Q59" s="20">
        <f t="shared" si="12"/>
        <v>0.27334130634774628</v>
      </c>
      <c r="R59" s="19">
        <f t="shared" si="11"/>
        <v>297.12200000000018</v>
      </c>
      <c r="S59" s="23">
        <f t="shared" si="13"/>
        <v>0.10000000000002274</v>
      </c>
      <c r="T59" s="23">
        <f t="shared" si="14"/>
        <v>-2.273181642920008E-14</v>
      </c>
    </row>
    <row r="60" spans="1:20" x14ac:dyDescent="0.2">
      <c r="A60" s="40">
        <v>34753</v>
      </c>
      <c r="B60" s="3">
        <v>54</v>
      </c>
      <c r="C60" s="16">
        <f>ROUND(Data!BJ60,2)</f>
        <v>3.21</v>
      </c>
      <c r="D60" s="3">
        <f>ROUND(Data!R60,1)</f>
        <v>4.5</v>
      </c>
      <c r="E60" s="3">
        <f>ROUND(Data!AF60,1)</f>
        <v>-11.1</v>
      </c>
      <c r="F60" s="23">
        <f>Data!BO60</f>
        <v>47.1</v>
      </c>
      <c r="G60" s="3">
        <f>Data!Q60</f>
        <v>0</v>
      </c>
      <c r="H60" s="19">
        <f>Data!BF60</f>
        <v>1087</v>
      </c>
      <c r="I60" s="14">
        <f t="shared" si="7"/>
        <v>0</v>
      </c>
      <c r="J60" s="16">
        <f>Data!BS60</f>
        <v>0.3</v>
      </c>
      <c r="K60" s="31">
        <f t="shared" si="1"/>
        <v>0</v>
      </c>
      <c r="M60" s="23">
        <f t="shared" si="16"/>
        <v>76.2</v>
      </c>
      <c r="N60" s="23">
        <f t="shared" si="16"/>
        <v>94.199999999999974</v>
      </c>
      <c r="P60" s="20">
        <f t="shared" si="10"/>
        <v>0.27334130634774628</v>
      </c>
      <c r="Q60" s="20">
        <f t="shared" si="12"/>
        <v>0.27334130634774628</v>
      </c>
      <c r="R60" s="19">
        <f t="shared" si="11"/>
        <v>297.12200000000018</v>
      </c>
      <c r="S60" s="23">
        <f t="shared" si="13"/>
        <v>0</v>
      </c>
      <c r="T60" s="23">
        <f t="shared" si="14"/>
        <v>0</v>
      </c>
    </row>
    <row r="61" spans="1:20" x14ac:dyDescent="0.2">
      <c r="A61" s="40">
        <v>34754</v>
      </c>
      <c r="B61" s="3">
        <v>55</v>
      </c>
      <c r="C61" s="16">
        <f>ROUND(Data!BJ61,2)</f>
        <v>1.92</v>
      </c>
      <c r="D61" s="3">
        <f>ROUND(Data!R61,1)</f>
        <v>4.8</v>
      </c>
      <c r="E61" s="3">
        <f>ROUND(Data!AF61,1)</f>
        <v>-1.1000000000000001</v>
      </c>
      <c r="F61" s="23">
        <f>Data!BO61</f>
        <v>61.7</v>
      </c>
      <c r="G61" s="3">
        <f>Data!Q61</f>
        <v>0</v>
      </c>
      <c r="H61" s="19">
        <f>Data!BF61</f>
        <v>1086</v>
      </c>
      <c r="I61" s="14">
        <f t="shared" si="7"/>
        <v>0</v>
      </c>
      <c r="J61" s="16">
        <f>Data!BS61</f>
        <v>0</v>
      </c>
      <c r="K61" s="31">
        <f t="shared" si="1"/>
        <v>0</v>
      </c>
      <c r="M61" s="23">
        <f t="shared" si="16"/>
        <v>76.2</v>
      </c>
      <c r="N61" s="23">
        <f t="shared" si="16"/>
        <v>94.199999999999974</v>
      </c>
      <c r="P61" s="20">
        <f t="shared" si="10"/>
        <v>0.27359300184162078</v>
      </c>
      <c r="Q61" s="20">
        <f t="shared" si="12"/>
        <v>0.27359300184162078</v>
      </c>
      <c r="R61" s="19">
        <f t="shared" si="11"/>
        <v>297.12200000000018</v>
      </c>
      <c r="S61" s="23">
        <f t="shared" si="13"/>
        <v>0</v>
      </c>
      <c r="T61" s="23">
        <f t="shared" si="14"/>
        <v>0</v>
      </c>
    </row>
    <row r="62" spans="1:20" x14ac:dyDescent="0.2">
      <c r="A62" s="40">
        <v>34755</v>
      </c>
      <c r="B62" s="3">
        <v>56</v>
      </c>
      <c r="C62" s="16">
        <f>ROUND(Data!BJ62,2)</f>
        <v>7.56</v>
      </c>
      <c r="D62" s="3">
        <f>ROUND(Data!R62,1)</f>
        <v>0.5</v>
      </c>
      <c r="E62" s="3">
        <f>ROUND(Data!AF62,1)</f>
        <v>-10.4</v>
      </c>
      <c r="F62" s="23">
        <f>Data!BO62</f>
        <v>40.5</v>
      </c>
      <c r="G62" s="3">
        <f>Data!Q62</f>
        <v>0</v>
      </c>
      <c r="H62" s="19">
        <f>Data!BF62</f>
        <v>1073</v>
      </c>
      <c r="I62" s="14">
        <f t="shared" si="7"/>
        <v>0</v>
      </c>
      <c r="J62" s="16">
        <f>Data!BS62</f>
        <v>0</v>
      </c>
      <c r="K62" s="31">
        <f t="shared" si="1"/>
        <v>0</v>
      </c>
      <c r="M62" s="23">
        <f t="shared" si="16"/>
        <v>76.2</v>
      </c>
      <c r="N62" s="23">
        <f t="shared" si="16"/>
        <v>94.199999999999974</v>
      </c>
      <c r="P62" s="20">
        <f t="shared" si="10"/>
        <v>0.27690773532152857</v>
      </c>
      <c r="Q62" s="20">
        <f t="shared" si="12"/>
        <v>0.27690773532152857</v>
      </c>
      <c r="R62" s="19">
        <f t="shared" si="11"/>
        <v>297.12200000000013</v>
      </c>
      <c r="S62" s="23">
        <f t="shared" si="13"/>
        <v>0</v>
      </c>
      <c r="T62" s="23">
        <f t="shared" si="14"/>
        <v>0</v>
      </c>
    </row>
    <row r="63" spans="1:20" x14ac:dyDescent="0.2">
      <c r="A63" s="40">
        <v>34756</v>
      </c>
      <c r="B63" s="3">
        <v>57</v>
      </c>
      <c r="C63" s="16">
        <f>ROUND(Data!BJ63,2)</f>
        <v>10.67</v>
      </c>
      <c r="D63" s="3">
        <f>ROUND(Data!R63,1)</f>
        <v>-7.2</v>
      </c>
      <c r="E63" s="3">
        <f>ROUND(Data!AF63,1)</f>
        <v>-19.3</v>
      </c>
      <c r="F63" s="23">
        <f>Data!BO63</f>
        <v>37.9</v>
      </c>
      <c r="G63" s="3">
        <f>Data!Q63</f>
        <v>0</v>
      </c>
      <c r="H63" s="19">
        <f>Data!BF63</f>
        <v>1068</v>
      </c>
      <c r="I63" s="14">
        <f t="shared" si="7"/>
        <v>0</v>
      </c>
      <c r="J63" s="16">
        <f>Data!BS63</f>
        <v>0</v>
      </c>
      <c r="K63" s="31">
        <f t="shared" si="1"/>
        <v>0</v>
      </c>
      <c r="M63" s="23">
        <f t="shared" si="16"/>
        <v>76.2</v>
      </c>
      <c r="N63" s="23">
        <f t="shared" si="16"/>
        <v>94.199999999999974</v>
      </c>
      <c r="P63" s="20">
        <f t="shared" si="10"/>
        <v>0.27820411985018739</v>
      </c>
      <c r="Q63" s="20">
        <f t="shared" si="12"/>
        <v>0.27820411985018739</v>
      </c>
      <c r="R63" s="19">
        <f t="shared" si="11"/>
        <v>297.12200000000013</v>
      </c>
      <c r="S63" s="23">
        <f t="shared" si="13"/>
        <v>0</v>
      </c>
      <c r="T63" s="23">
        <f t="shared" si="14"/>
        <v>0</v>
      </c>
    </row>
    <row r="64" spans="1:20" x14ac:dyDescent="0.2">
      <c r="A64" s="40">
        <v>34757</v>
      </c>
      <c r="B64" s="3">
        <v>58</v>
      </c>
      <c r="C64" s="16">
        <f>ROUND(Data!BJ64,2)</f>
        <v>13.12</v>
      </c>
      <c r="D64" s="3">
        <f>ROUND(Data!R64,1)</f>
        <v>-7.2</v>
      </c>
      <c r="E64" s="3">
        <f>ROUND(Data!AF64,1)</f>
        <v>-25</v>
      </c>
      <c r="F64" s="23">
        <f>Data!BO64</f>
        <v>34.6</v>
      </c>
      <c r="G64" s="3">
        <f>Data!Q64</f>
        <v>0</v>
      </c>
      <c r="H64" s="19">
        <f>Data!BF64</f>
        <v>1073</v>
      </c>
      <c r="I64" s="14">
        <f t="shared" si="7"/>
        <v>0.7</v>
      </c>
      <c r="J64" s="16">
        <f>Data!BS64</f>
        <v>0</v>
      </c>
      <c r="K64" s="31">
        <f t="shared" si="1"/>
        <v>0.7</v>
      </c>
      <c r="M64" s="23">
        <f t="shared" si="16"/>
        <v>76.2</v>
      </c>
      <c r="N64" s="23">
        <f t="shared" si="16"/>
        <v>94.899999999999977</v>
      </c>
      <c r="P64" s="20">
        <f t="shared" si="10"/>
        <v>0.27756011183597401</v>
      </c>
      <c r="Q64" s="20">
        <f t="shared" si="12"/>
        <v>0.27756011183597401</v>
      </c>
      <c r="R64" s="19">
        <f t="shared" si="11"/>
        <v>297.82200000000012</v>
      </c>
      <c r="S64" s="23">
        <f t="shared" si="13"/>
        <v>0.69999999999998863</v>
      </c>
      <c r="T64" s="23">
        <f t="shared" si="14"/>
        <v>1.1324274851176597E-14</v>
      </c>
    </row>
    <row r="65" spans="1:20" x14ac:dyDescent="0.2">
      <c r="A65" s="40">
        <v>34758</v>
      </c>
      <c r="B65" s="3">
        <v>59</v>
      </c>
      <c r="C65" s="16">
        <f>ROUND(Data!BJ65,2)</f>
        <v>12.47</v>
      </c>
      <c r="D65" s="3">
        <f>ROUND(Data!R65,1)</f>
        <v>-5.2</v>
      </c>
      <c r="E65" s="3">
        <f>ROUND(Data!AF65,1)</f>
        <v>-25.4</v>
      </c>
      <c r="F65" s="23">
        <f>Data!BO65</f>
        <v>20.8</v>
      </c>
      <c r="G65" s="3">
        <f>Data!Q65</f>
        <v>0</v>
      </c>
      <c r="H65" s="19">
        <f>Data!BF65</f>
        <v>1070</v>
      </c>
      <c r="I65" s="14">
        <f t="shared" si="7"/>
        <v>0</v>
      </c>
      <c r="J65" s="16">
        <f>Data!BS65</f>
        <v>0</v>
      </c>
      <c r="K65" s="31">
        <f t="shared" si="1"/>
        <v>0</v>
      </c>
      <c r="M65" s="23">
        <f t="shared" si="16"/>
        <v>76.2</v>
      </c>
      <c r="N65" s="23">
        <f t="shared" si="16"/>
        <v>94.899999999999977</v>
      </c>
      <c r="P65" s="20">
        <f t="shared" si="10"/>
        <v>0.27833831775700946</v>
      </c>
      <c r="Q65" s="20">
        <f t="shared" si="12"/>
        <v>0.27833831775700946</v>
      </c>
      <c r="R65" s="19">
        <f t="shared" si="11"/>
        <v>297.82200000000012</v>
      </c>
      <c r="S65" s="23">
        <f t="shared" si="13"/>
        <v>0</v>
      </c>
      <c r="T65" s="23">
        <f t="shared" si="14"/>
        <v>0</v>
      </c>
    </row>
    <row r="66" spans="1:20" x14ac:dyDescent="0.2">
      <c r="A66" s="40">
        <v>34759</v>
      </c>
      <c r="B66" s="3">
        <v>60</v>
      </c>
      <c r="C66" s="16">
        <f>ROUND(Data!BJ66,2)</f>
        <v>13.79</v>
      </c>
      <c r="D66" s="3">
        <f>ROUND(Data!R66,1)</f>
        <v>-3.5</v>
      </c>
      <c r="E66" s="3">
        <f>ROUND(Data!AF66,1)</f>
        <v>-26.2</v>
      </c>
      <c r="F66" s="23">
        <f>Data!BO66</f>
        <v>16.7</v>
      </c>
      <c r="G66" s="3">
        <f>Data!Q66</f>
        <v>0</v>
      </c>
      <c r="H66" s="19">
        <f>Data!BF66</f>
        <v>1067</v>
      </c>
      <c r="I66" s="14">
        <f t="shared" si="7"/>
        <v>0</v>
      </c>
      <c r="J66" s="16">
        <f>Data!BS66</f>
        <v>0</v>
      </c>
      <c r="K66" s="31">
        <f t="shared" si="1"/>
        <v>0</v>
      </c>
      <c r="M66" s="23">
        <f t="shared" ref="M66:M129" si="17">J66+M65</f>
        <v>76.2</v>
      </c>
      <c r="N66" s="23">
        <f t="shared" ref="N66:N129" si="18">K66+N65</f>
        <v>94.899999999999977</v>
      </c>
      <c r="P66" s="20">
        <f t="shared" si="10"/>
        <v>0.27912089971883797</v>
      </c>
      <c r="Q66" s="20">
        <f t="shared" si="12"/>
        <v>0.27912089971883797</v>
      </c>
      <c r="R66" s="19">
        <f t="shared" si="11"/>
        <v>297.82200000000012</v>
      </c>
      <c r="S66" s="23">
        <f t="shared" si="13"/>
        <v>0</v>
      </c>
      <c r="T66" s="23">
        <f t="shared" si="14"/>
        <v>0</v>
      </c>
    </row>
    <row r="67" spans="1:20" x14ac:dyDescent="0.2">
      <c r="A67" s="40">
        <v>34760</v>
      </c>
      <c r="B67" s="3">
        <v>61</v>
      </c>
      <c r="C67" s="16">
        <f>ROUND(Data!BJ67,2)</f>
        <v>13.8</v>
      </c>
      <c r="D67" s="3">
        <f>ROUND(Data!R67,1)</f>
        <v>-2.2999999999999998</v>
      </c>
      <c r="E67" s="3">
        <f>ROUND(Data!AF67,1)</f>
        <v>-23.3</v>
      </c>
      <c r="F67" s="23">
        <f>Data!BO67</f>
        <v>29.8</v>
      </c>
      <c r="G67" s="3">
        <f>Data!Q67</f>
        <v>0</v>
      </c>
      <c r="H67" s="19">
        <f>Data!BF67</f>
        <v>1063</v>
      </c>
      <c r="I67" s="14">
        <f t="shared" si="7"/>
        <v>0</v>
      </c>
      <c r="J67" s="16">
        <f>Data!BS67</f>
        <v>0</v>
      </c>
      <c r="K67" s="31">
        <f t="shared" ref="K67:K71" si="19">I67</f>
        <v>0</v>
      </c>
      <c r="M67" s="23">
        <f t="shared" si="17"/>
        <v>76.2</v>
      </c>
      <c r="N67" s="23">
        <f t="shared" si="18"/>
        <v>94.899999999999977</v>
      </c>
      <c r="P67" s="20">
        <f t="shared" si="10"/>
        <v>0.28017121354656643</v>
      </c>
      <c r="Q67" s="20">
        <f t="shared" si="12"/>
        <v>0.28017121354656643</v>
      </c>
      <c r="R67" s="19">
        <f t="shared" si="11"/>
        <v>297.82200000000012</v>
      </c>
      <c r="S67" s="23">
        <f t="shared" si="13"/>
        <v>0</v>
      </c>
      <c r="T67" s="23">
        <f t="shared" si="14"/>
        <v>0</v>
      </c>
    </row>
    <row r="68" spans="1:20" x14ac:dyDescent="0.2">
      <c r="A68" s="40">
        <v>34761</v>
      </c>
      <c r="B68" s="3">
        <v>62</v>
      </c>
      <c r="C68" s="16">
        <f>ROUND(Data!BJ68,2)</f>
        <v>12.55</v>
      </c>
      <c r="D68" s="3">
        <f>ROUND(Data!R68,1)</f>
        <v>1.6</v>
      </c>
      <c r="E68" s="3">
        <f>ROUND(Data!AF68,1)</f>
        <v>-18.899999999999999</v>
      </c>
      <c r="F68" s="23">
        <f>Data!BO68</f>
        <v>15.6</v>
      </c>
      <c r="G68" s="3">
        <f>Data!Q68</f>
        <v>0</v>
      </c>
      <c r="H68" s="19">
        <f>Data!BF68</f>
        <v>1061</v>
      </c>
      <c r="I68" s="14">
        <f t="shared" si="7"/>
        <v>0</v>
      </c>
      <c r="J68" s="16">
        <f>Data!BS68</f>
        <v>0</v>
      </c>
      <c r="K68" s="31">
        <f t="shared" si="19"/>
        <v>0</v>
      </c>
      <c r="M68" s="23">
        <f t="shared" si="17"/>
        <v>76.2</v>
      </c>
      <c r="N68" s="23">
        <f t="shared" si="18"/>
        <v>94.899999999999977</v>
      </c>
      <c r="P68" s="20">
        <f t="shared" ref="P68:P70" si="20">(R67+K68)/H68</f>
        <v>0.28069934024505194</v>
      </c>
      <c r="Q68" s="20">
        <f t="shared" ref="Q68:Q69" si="21">IF(P68&gt;Q$1,Q$1,P68)</f>
        <v>0.28069934024505194</v>
      </c>
      <c r="R68" s="19">
        <f t="shared" ref="R68:R70" si="22">Q68*H68</f>
        <v>297.82200000000012</v>
      </c>
      <c r="S68" s="23">
        <f t="shared" ref="S68:S69" si="23">R68-R67</f>
        <v>0</v>
      </c>
      <c r="T68" s="23">
        <f t="shared" ref="T68:T70" si="24">K68-S68</f>
        <v>0</v>
      </c>
    </row>
    <row r="69" spans="1:20" x14ac:dyDescent="0.2">
      <c r="A69" s="40">
        <v>34762</v>
      </c>
      <c r="B69" s="3">
        <v>63</v>
      </c>
      <c r="C69" s="16">
        <f>ROUND(Data!BJ69,2)</f>
        <v>8.01</v>
      </c>
      <c r="D69" s="3">
        <f>ROUND(Data!R69,1)</f>
        <v>-5.9</v>
      </c>
      <c r="E69" s="3">
        <f>ROUND(Data!AF69,1)</f>
        <v>-14.7</v>
      </c>
      <c r="F69" s="23">
        <f>Data!BO69</f>
        <v>62.8</v>
      </c>
      <c r="G69" s="3">
        <f>Data!Q69</f>
        <v>0</v>
      </c>
      <c r="H69" s="19">
        <f>Data!BF69</f>
        <v>1075</v>
      </c>
      <c r="I69" s="14">
        <f t="shared" si="7"/>
        <v>1.8</v>
      </c>
      <c r="J69" s="16">
        <f>Data!BS69</f>
        <v>0</v>
      </c>
      <c r="K69" s="31">
        <f t="shared" si="19"/>
        <v>1.8</v>
      </c>
      <c r="M69" s="23">
        <f t="shared" si="17"/>
        <v>76.2</v>
      </c>
      <c r="N69" s="23">
        <f t="shared" si="18"/>
        <v>96.699999999999974</v>
      </c>
      <c r="P69" s="20">
        <f t="shared" si="20"/>
        <v>0.27871813953488384</v>
      </c>
      <c r="Q69" s="20">
        <f t="shared" si="21"/>
        <v>0.27871813953488384</v>
      </c>
      <c r="R69" s="19">
        <f t="shared" si="22"/>
        <v>299.62200000000013</v>
      </c>
      <c r="S69" s="23">
        <f t="shared" si="23"/>
        <v>1.8000000000000114</v>
      </c>
      <c r="T69" s="23">
        <f t="shared" si="24"/>
        <v>-1.1324274851176597E-14</v>
      </c>
    </row>
    <row r="70" spans="1:20" x14ac:dyDescent="0.2">
      <c r="A70" s="40">
        <v>34763</v>
      </c>
      <c r="B70" s="3">
        <v>64</v>
      </c>
      <c r="C70" s="16">
        <f>ROUND(Data!BJ70,2)</f>
        <v>10.7</v>
      </c>
      <c r="D70" s="3">
        <f>ROUND(Data!R70,1)</f>
        <v>-10.9</v>
      </c>
      <c r="E70" s="3">
        <f>ROUND(Data!AF70,1)</f>
        <v>-24.6</v>
      </c>
      <c r="F70" s="23">
        <f>Data!BO70</f>
        <v>62.5</v>
      </c>
      <c r="G70" s="3">
        <f>Data!Q70</f>
        <v>0</v>
      </c>
      <c r="H70" s="19">
        <f>Data!BF70</f>
        <v>1079</v>
      </c>
      <c r="I70" s="14">
        <f t="shared" si="7"/>
        <v>0.5</v>
      </c>
      <c r="J70" s="16">
        <f>Data!BS70</f>
        <v>0</v>
      </c>
      <c r="K70" s="31">
        <f t="shared" si="19"/>
        <v>0.5</v>
      </c>
      <c r="M70" s="23">
        <f t="shared" si="17"/>
        <v>76.2</v>
      </c>
      <c r="N70" s="23">
        <f t="shared" si="18"/>
        <v>97.199999999999974</v>
      </c>
      <c r="P70" s="20">
        <f t="shared" si="20"/>
        <v>0.27814828544949038</v>
      </c>
      <c r="Q70" s="20">
        <f t="shared" ref="Q70:Q133" si="25">IF(P70&gt;Q$1,Q$1,P70)</f>
        <v>0.27814828544949038</v>
      </c>
      <c r="R70" s="19">
        <f t="shared" si="22"/>
        <v>300.12200000000013</v>
      </c>
      <c r="S70" s="23">
        <f t="shared" ref="S70:S133" si="26">R70-R69</f>
        <v>0.5</v>
      </c>
      <c r="T70" s="23">
        <f t="shared" si="24"/>
        <v>0</v>
      </c>
    </row>
    <row r="71" spans="1:20" x14ac:dyDescent="0.2">
      <c r="A71" s="40">
        <v>34764</v>
      </c>
      <c r="B71" s="3">
        <v>65</v>
      </c>
      <c r="C71" s="16">
        <f>ROUND(Data!BJ71,2)</f>
        <v>14.6</v>
      </c>
      <c r="D71" s="3">
        <f>ROUND(Data!R71,1)</f>
        <v>-9.5</v>
      </c>
      <c r="E71" s="3">
        <f>ROUND(Data!AF71,1)</f>
        <v>-27.6</v>
      </c>
      <c r="F71" s="23">
        <f>Data!BO71</f>
        <v>52.6</v>
      </c>
      <c r="G71" s="3">
        <f>Data!Q71</f>
        <v>0</v>
      </c>
      <c r="H71" s="19">
        <f>Data!BF71</f>
        <v>1078</v>
      </c>
      <c r="I71" s="14">
        <f t="shared" ref="I71:I134" si="27">IF(H71&gt;H70,ROUND((H71-H70)*I$1,1),0)</f>
        <v>0</v>
      </c>
      <c r="J71" s="16">
        <f>Data!BS71</f>
        <v>0</v>
      </c>
      <c r="K71" s="31">
        <f t="shared" si="19"/>
        <v>0</v>
      </c>
      <c r="M71" s="23">
        <f t="shared" si="17"/>
        <v>76.2</v>
      </c>
      <c r="N71" s="23">
        <f t="shared" si="18"/>
        <v>97.199999999999974</v>
      </c>
      <c r="P71" s="20">
        <f t="shared" ref="P71:P134" si="28">(R70+K71)/H71</f>
        <v>0.27840630797773669</v>
      </c>
      <c r="Q71" s="20">
        <f t="shared" si="25"/>
        <v>0.27840630797773669</v>
      </c>
      <c r="R71" s="19">
        <f t="shared" ref="R71:R134" si="29">Q71*H71</f>
        <v>300.12200000000013</v>
      </c>
      <c r="S71" s="23">
        <f t="shared" si="26"/>
        <v>0</v>
      </c>
      <c r="T71" s="23">
        <f t="shared" ref="T71:T134" si="30">K71-S71</f>
        <v>0</v>
      </c>
    </row>
    <row r="72" spans="1:20" x14ac:dyDescent="0.2">
      <c r="A72" s="40">
        <v>34765</v>
      </c>
      <c r="B72" s="3">
        <v>66</v>
      </c>
      <c r="C72" s="16">
        <f>ROUND(Data!BJ72,2)</f>
        <v>8.41</v>
      </c>
      <c r="D72" s="3">
        <f>ROUND(Data!R72,1)</f>
        <v>-4.5</v>
      </c>
      <c r="E72" s="3">
        <f>ROUND(Data!AF72,1)</f>
        <v>-22.5</v>
      </c>
      <c r="F72" s="23">
        <f>Data!BO72</f>
        <v>47</v>
      </c>
      <c r="G72" s="3">
        <f>Data!Q72</f>
        <v>0</v>
      </c>
      <c r="H72" s="19">
        <f>Data!BF72</f>
        <v>1078</v>
      </c>
      <c r="I72" s="14">
        <f t="shared" si="27"/>
        <v>0</v>
      </c>
      <c r="J72" s="16">
        <f>Data!BS72</f>
        <v>0</v>
      </c>
      <c r="K72" s="31">
        <f t="shared" ref="K72:K135" si="31">I72</f>
        <v>0</v>
      </c>
      <c r="M72" s="23">
        <f t="shared" si="17"/>
        <v>76.2</v>
      </c>
      <c r="N72" s="23">
        <f t="shared" si="18"/>
        <v>97.199999999999974</v>
      </c>
      <c r="P72" s="20">
        <f t="shared" si="28"/>
        <v>0.27840630797773669</v>
      </c>
      <c r="Q72" s="20">
        <f t="shared" si="25"/>
        <v>0.27840630797773669</v>
      </c>
      <c r="R72" s="19">
        <f t="shared" si="29"/>
        <v>300.12200000000013</v>
      </c>
      <c r="S72" s="23">
        <f t="shared" si="26"/>
        <v>0</v>
      </c>
      <c r="T72" s="23">
        <f t="shared" si="30"/>
        <v>0</v>
      </c>
    </row>
    <row r="73" spans="1:20" x14ac:dyDescent="0.2">
      <c r="A73" s="40">
        <v>34766</v>
      </c>
      <c r="B73" s="3">
        <v>67</v>
      </c>
      <c r="C73" s="16">
        <f>ROUND(Data!BJ73,2)</f>
        <v>3.04</v>
      </c>
      <c r="D73" s="3">
        <f>ROUND(Data!R73,1)</f>
        <v>-2</v>
      </c>
      <c r="E73" s="3">
        <f>ROUND(Data!AF73,1)</f>
        <v>-8.6999999999999993</v>
      </c>
      <c r="F73" s="23">
        <f>Data!BO73</f>
        <v>67.7</v>
      </c>
      <c r="G73" s="3">
        <f>Data!Q73</f>
        <v>0</v>
      </c>
      <c r="H73" s="19">
        <f>Data!BF73</f>
        <v>1156</v>
      </c>
      <c r="I73" s="14">
        <f t="shared" si="27"/>
        <v>10.1</v>
      </c>
      <c r="J73" s="16">
        <f>Data!BS73</f>
        <v>0</v>
      </c>
      <c r="K73" s="31">
        <f t="shared" si="31"/>
        <v>10.1</v>
      </c>
      <c r="M73" s="23">
        <f t="shared" si="17"/>
        <v>76.2</v>
      </c>
      <c r="N73" s="23">
        <f t="shared" si="18"/>
        <v>107.29999999999997</v>
      </c>
      <c r="P73" s="20">
        <f t="shared" si="28"/>
        <v>0.2683581314878894</v>
      </c>
      <c r="Q73" s="20">
        <f t="shared" si="25"/>
        <v>0.2683581314878894</v>
      </c>
      <c r="R73" s="19">
        <f t="shared" si="29"/>
        <v>310.22200000000015</v>
      </c>
      <c r="S73" s="23">
        <f t="shared" si="26"/>
        <v>10.100000000000023</v>
      </c>
      <c r="T73" s="23">
        <f t="shared" si="30"/>
        <v>-2.3092638912203256E-14</v>
      </c>
    </row>
    <row r="74" spans="1:20" x14ac:dyDescent="0.2">
      <c r="A74" s="40">
        <v>34767</v>
      </c>
      <c r="B74" s="3">
        <v>68</v>
      </c>
      <c r="C74" s="16">
        <f>ROUND(Data!BJ74,2)</f>
        <v>3.47</v>
      </c>
      <c r="D74" s="3">
        <f>ROUND(Data!R74,1)</f>
        <v>4.0999999999999996</v>
      </c>
      <c r="E74" s="3">
        <f>ROUND(Data!AF74,1)</f>
        <v>-2</v>
      </c>
      <c r="F74" s="23">
        <f>Data!BO74</f>
        <v>70.5</v>
      </c>
      <c r="G74" s="3">
        <f>Data!Q74</f>
        <v>0</v>
      </c>
      <c r="H74" s="19">
        <f>Data!BF74</f>
        <v>1146</v>
      </c>
      <c r="I74" s="14">
        <f t="shared" si="27"/>
        <v>0</v>
      </c>
      <c r="J74" s="16">
        <f>Data!BS74</f>
        <v>0</v>
      </c>
      <c r="K74" s="31">
        <f t="shared" si="31"/>
        <v>0</v>
      </c>
      <c r="M74" s="23">
        <f t="shared" si="17"/>
        <v>76.2</v>
      </c>
      <c r="N74" s="23">
        <f t="shared" si="18"/>
        <v>107.29999999999997</v>
      </c>
      <c r="P74" s="20">
        <f t="shared" si="28"/>
        <v>0.27069982547993032</v>
      </c>
      <c r="Q74" s="20">
        <f t="shared" si="25"/>
        <v>0.27069982547993032</v>
      </c>
      <c r="R74" s="19">
        <f t="shared" si="29"/>
        <v>310.22200000000015</v>
      </c>
      <c r="S74" s="23">
        <f t="shared" si="26"/>
        <v>0</v>
      </c>
      <c r="T74" s="23">
        <f t="shared" si="30"/>
        <v>0</v>
      </c>
    </row>
    <row r="75" spans="1:20" x14ac:dyDescent="0.2">
      <c r="A75" s="40">
        <v>34768</v>
      </c>
      <c r="B75" s="3">
        <v>69</v>
      </c>
      <c r="C75" s="16">
        <f>ROUND(Data!BJ75,2)</f>
        <v>7.57</v>
      </c>
      <c r="D75" s="3">
        <f>ROUND(Data!R75,1)</f>
        <v>4.8</v>
      </c>
      <c r="E75" s="3">
        <f>ROUND(Data!AF75,1)</f>
        <v>0.6</v>
      </c>
      <c r="F75" s="23">
        <f>Data!BO75</f>
        <v>64.5</v>
      </c>
      <c r="G75" s="3">
        <f>Data!Q75</f>
        <v>0</v>
      </c>
      <c r="H75" s="19">
        <f>Data!BF75</f>
        <v>1120</v>
      </c>
      <c r="I75" s="14">
        <f t="shared" si="27"/>
        <v>0</v>
      </c>
      <c r="J75" s="16">
        <f>Data!BS75</f>
        <v>2.1</v>
      </c>
      <c r="K75" s="31">
        <f t="shared" si="31"/>
        <v>0</v>
      </c>
      <c r="M75" s="23">
        <f t="shared" si="17"/>
        <v>78.3</v>
      </c>
      <c r="N75" s="23">
        <f t="shared" si="18"/>
        <v>107.29999999999997</v>
      </c>
      <c r="P75" s="20">
        <f t="shared" si="28"/>
        <v>0.27698392857142873</v>
      </c>
      <c r="Q75" s="20">
        <f t="shared" si="25"/>
        <v>0.27698392857142873</v>
      </c>
      <c r="R75" s="19">
        <f t="shared" si="29"/>
        <v>310.22200000000015</v>
      </c>
      <c r="S75" s="23">
        <f t="shared" si="26"/>
        <v>0</v>
      </c>
      <c r="T75" s="23">
        <f t="shared" si="30"/>
        <v>0</v>
      </c>
    </row>
    <row r="76" spans="1:20" x14ac:dyDescent="0.2">
      <c r="A76" s="40">
        <v>34769</v>
      </c>
      <c r="B76" s="3">
        <v>70</v>
      </c>
      <c r="C76" s="16">
        <f>ROUND(Data!BJ76,2)</f>
        <v>9</v>
      </c>
      <c r="D76" s="3">
        <f>ROUND(Data!R76,1)</f>
        <v>5.4</v>
      </c>
      <c r="E76" s="3">
        <f>ROUND(Data!AF76,1)</f>
        <v>0.1</v>
      </c>
      <c r="F76" s="23">
        <f>Data!BO76</f>
        <v>57.5</v>
      </c>
      <c r="G76" s="3">
        <f>Data!Q76</f>
        <v>0</v>
      </c>
      <c r="H76" s="19">
        <f>Data!BF76</f>
        <v>1132</v>
      </c>
      <c r="I76" s="14">
        <f t="shared" si="27"/>
        <v>1.6</v>
      </c>
      <c r="J76" s="16">
        <f>Data!BS76</f>
        <v>22.9</v>
      </c>
      <c r="K76" s="31">
        <f t="shared" si="31"/>
        <v>1.6</v>
      </c>
      <c r="M76" s="23">
        <f t="shared" si="17"/>
        <v>101.19999999999999</v>
      </c>
      <c r="N76" s="23">
        <f t="shared" si="18"/>
        <v>108.89999999999996</v>
      </c>
      <c r="P76" s="20">
        <f t="shared" si="28"/>
        <v>0.27546113074204964</v>
      </c>
      <c r="Q76" s="20">
        <f t="shared" si="25"/>
        <v>0.27546113074204964</v>
      </c>
      <c r="R76" s="19">
        <f t="shared" si="29"/>
        <v>311.82200000000017</v>
      </c>
      <c r="S76" s="23">
        <f t="shared" si="26"/>
        <v>1.6000000000000227</v>
      </c>
      <c r="T76" s="23">
        <f t="shared" si="30"/>
        <v>-2.2648549702353193E-14</v>
      </c>
    </row>
    <row r="77" spans="1:20" x14ac:dyDescent="0.2">
      <c r="A77" s="40">
        <v>34770</v>
      </c>
      <c r="B77" s="3">
        <v>71</v>
      </c>
      <c r="C77" s="16">
        <f>ROUND(Data!BJ77,2)</f>
        <v>6.87</v>
      </c>
      <c r="D77" s="3">
        <f>ROUND(Data!R77,1)</f>
        <v>1.9</v>
      </c>
      <c r="E77" s="3">
        <f>ROUND(Data!AF77,1)</f>
        <v>-9.1999999999999993</v>
      </c>
      <c r="F77" s="23">
        <f>Data!BO77</f>
        <v>52.7</v>
      </c>
      <c r="G77" s="3">
        <f>Data!Q77</f>
        <v>0</v>
      </c>
      <c r="H77" s="19">
        <f>Data!BF77</f>
        <v>1134</v>
      </c>
      <c r="I77" s="14">
        <f t="shared" si="27"/>
        <v>0.3</v>
      </c>
      <c r="J77" s="16">
        <f>Data!BS77</f>
        <v>1.1000000000000001</v>
      </c>
      <c r="K77" s="31">
        <f t="shared" si="31"/>
        <v>0.3</v>
      </c>
      <c r="M77" s="23">
        <f t="shared" si="17"/>
        <v>102.29999999999998</v>
      </c>
      <c r="N77" s="23">
        <f t="shared" si="18"/>
        <v>109.19999999999996</v>
      </c>
      <c r="P77" s="20">
        <f t="shared" si="28"/>
        <v>0.27523985890652575</v>
      </c>
      <c r="Q77" s="20">
        <f t="shared" si="25"/>
        <v>0.27523985890652575</v>
      </c>
      <c r="R77" s="19">
        <f t="shared" si="29"/>
        <v>312.12200000000018</v>
      </c>
      <c r="S77" s="23">
        <f t="shared" si="26"/>
        <v>0.30000000000001137</v>
      </c>
      <c r="T77" s="23">
        <f t="shared" si="30"/>
        <v>-1.1379786002407855E-14</v>
      </c>
    </row>
    <row r="78" spans="1:20" x14ac:dyDescent="0.2">
      <c r="A78" s="40">
        <v>34771</v>
      </c>
      <c r="B78" s="3">
        <v>72</v>
      </c>
      <c r="C78" s="16">
        <f>ROUND(Data!BJ78,2)</f>
        <v>7.15</v>
      </c>
      <c r="D78" s="3">
        <f>ROUND(Data!R78,1)</f>
        <v>1.6</v>
      </c>
      <c r="E78" s="3">
        <f>ROUND(Data!AF78,1)</f>
        <v>-9.8000000000000007</v>
      </c>
      <c r="F78" s="23">
        <f>Data!BO78</f>
        <v>64.599999999999994</v>
      </c>
      <c r="G78" s="3">
        <f>Data!Q78</f>
        <v>0</v>
      </c>
      <c r="H78" s="19">
        <f>Data!BF78</f>
        <v>1132</v>
      </c>
      <c r="I78" s="14">
        <f t="shared" si="27"/>
        <v>0</v>
      </c>
      <c r="J78" s="16">
        <f>Data!BS78</f>
        <v>0</v>
      </c>
      <c r="K78" s="31">
        <f t="shared" si="31"/>
        <v>0</v>
      </c>
      <c r="M78" s="23">
        <f t="shared" si="17"/>
        <v>102.29999999999998</v>
      </c>
      <c r="N78" s="23">
        <f t="shared" si="18"/>
        <v>109.19999999999996</v>
      </c>
      <c r="P78" s="20">
        <f t="shared" si="28"/>
        <v>0.27572614840989418</v>
      </c>
      <c r="Q78" s="20">
        <f t="shared" si="25"/>
        <v>0.27572614840989418</v>
      </c>
      <c r="R78" s="19">
        <f t="shared" si="29"/>
        <v>312.12200000000018</v>
      </c>
      <c r="S78" s="23">
        <f t="shared" si="26"/>
        <v>0</v>
      </c>
      <c r="T78" s="23">
        <f t="shared" si="30"/>
        <v>0</v>
      </c>
    </row>
    <row r="79" spans="1:20" x14ac:dyDescent="0.2">
      <c r="A79" s="40">
        <v>34772</v>
      </c>
      <c r="B79" s="3">
        <v>73</v>
      </c>
      <c r="C79" s="16">
        <f>ROUND(Data!BJ79,2)</f>
        <v>7.43</v>
      </c>
      <c r="D79" s="3">
        <f>ROUND(Data!R79,1)</f>
        <v>6.2</v>
      </c>
      <c r="E79" s="3">
        <f>ROUND(Data!AF79,1)</f>
        <v>-1.4</v>
      </c>
      <c r="F79" s="23">
        <f>Data!BO79</f>
        <v>63.3</v>
      </c>
      <c r="G79" s="3">
        <f>Data!Q79</f>
        <v>0</v>
      </c>
      <c r="H79" s="19">
        <f>Data!BF79</f>
        <v>1116</v>
      </c>
      <c r="I79" s="14">
        <f t="shared" si="27"/>
        <v>0</v>
      </c>
      <c r="J79" s="16">
        <f>Data!BS79</f>
        <v>1.6</v>
      </c>
      <c r="K79" s="31">
        <f t="shared" si="31"/>
        <v>0</v>
      </c>
      <c r="M79" s="23">
        <f t="shared" si="17"/>
        <v>103.89999999999998</v>
      </c>
      <c r="N79" s="23">
        <f t="shared" si="18"/>
        <v>109.19999999999996</v>
      </c>
      <c r="P79" s="20">
        <f t="shared" si="28"/>
        <v>0.27967921146953423</v>
      </c>
      <c r="Q79" s="20">
        <f t="shared" si="25"/>
        <v>0.27967921146953423</v>
      </c>
      <c r="R79" s="19">
        <f t="shared" si="29"/>
        <v>312.12200000000018</v>
      </c>
      <c r="S79" s="23">
        <f t="shared" si="26"/>
        <v>0</v>
      </c>
      <c r="T79" s="23">
        <f t="shared" si="30"/>
        <v>0</v>
      </c>
    </row>
    <row r="80" spans="1:20" x14ac:dyDescent="0.2">
      <c r="A80" s="40">
        <v>34773</v>
      </c>
      <c r="B80" s="3">
        <v>74</v>
      </c>
      <c r="C80" s="16">
        <f>ROUND(Data!BJ80,2)</f>
        <v>7.65</v>
      </c>
      <c r="D80" s="3">
        <f>ROUND(Data!R80,1)</f>
        <v>2.8</v>
      </c>
      <c r="E80" s="3">
        <f>ROUND(Data!AF80,1)</f>
        <v>-4.9000000000000004</v>
      </c>
      <c r="F80" s="23">
        <f>Data!BO80</f>
        <v>60</v>
      </c>
      <c r="G80" s="3">
        <f>Data!Q80</f>
        <v>0</v>
      </c>
      <c r="H80" s="19">
        <f>Data!BF80</f>
        <v>1115</v>
      </c>
      <c r="I80" s="14">
        <f t="shared" si="27"/>
        <v>0</v>
      </c>
      <c r="J80" s="16">
        <f>Data!BS80</f>
        <v>0</v>
      </c>
      <c r="K80" s="31">
        <f t="shared" si="31"/>
        <v>0</v>
      </c>
      <c r="M80" s="23">
        <f t="shared" si="17"/>
        <v>103.89999999999998</v>
      </c>
      <c r="N80" s="23">
        <f t="shared" si="18"/>
        <v>109.19999999999996</v>
      </c>
      <c r="P80" s="20">
        <f t="shared" si="28"/>
        <v>0.27993004484304951</v>
      </c>
      <c r="Q80" s="20">
        <f t="shared" si="25"/>
        <v>0.27993004484304951</v>
      </c>
      <c r="R80" s="19">
        <f t="shared" si="29"/>
        <v>312.12200000000018</v>
      </c>
      <c r="S80" s="23">
        <f t="shared" si="26"/>
        <v>0</v>
      </c>
      <c r="T80" s="23">
        <f t="shared" si="30"/>
        <v>0</v>
      </c>
    </row>
    <row r="81" spans="1:20" x14ac:dyDescent="0.2">
      <c r="A81" s="40">
        <v>34774</v>
      </c>
      <c r="B81" s="3">
        <v>75</v>
      </c>
      <c r="C81" s="16">
        <f>ROUND(Data!BJ81,2)</f>
        <v>13.67</v>
      </c>
      <c r="D81" s="3">
        <f>ROUND(Data!R81,1)</f>
        <v>5.4</v>
      </c>
      <c r="E81" s="3">
        <f>ROUND(Data!AF81,1)</f>
        <v>-9.1</v>
      </c>
      <c r="F81" s="23">
        <f>Data!BO81</f>
        <v>39.1</v>
      </c>
      <c r="G81" s="3">
        <f>Data!Q81</f>
        <v>0</v>
      </c>
      <c r="H81" s="19">
        <f>Data!BF81</f>
        <v>1104</v>
      </c>
      <c r="I81" s="14">
        <f t="shared" si="27"/>
        <v>0</v>
      </c>
      <c r="J81" s="16">
        <f>Data!BS81</f>
        <v>0</v>
      </c>
      <c r="K81" s="31">
        <f t="shared" si="31"/>
        <v>0</v>
      </c>
      <c r="M81" s="23">
        <f t="shared" si="17"/>
        <v>103.89999999999998</v>
      </c>
      <c r="N81" s="23">
        <f t="shared" si="18"/>
        <v>109.19999999999996</v>
      </c>
      <c r="P81" s="20">
        <f t="shared" si="28"/>
        <v>0.2827192028985509</v>
      </c>
      <c r="Q81" s="20">
        <f t="shared" si="25"/>
        <v>0.2827192028985509</v>
      </c>
      <c r="R81" s="19">
        <f t="shared" si="29"/>
        <v>312.12200000000018</v>
      </c>
      <c r="S81" s="23">
        <f t="shared" si="26"/>
        <v>0</v>
      </c>
      <c r="T81" s="23">
        <f t="shared" si="30"/>
        <v>0</v>
      </c>
    </row>
    <row r="82" spans="1:20" x14ac:dyDescent="0.2">
      <c r="A82" s="40">
        <v>34775</v>
      </c>
      <c r="B82" s="3">
        <v>76</v>
      </c>
      <c r="C82" s="16">
        <f>ROUND(Data!BJ82,2)</f>
        <v>12.01</v>
      </c>
      <c r="D82" s="3">
        <f>ROUND(Data!R82,1)</f>
        <v>5.2</v>
      </c>
      <c r="E82" s="3">
        <f>ROUND(Data!AF82,1)</f>
        <v>-5.0999999999999996</v>
      </c>
      <c r="F82" s="23">
        <f>Data!BO82</f>
        <v>42.8</v>
      </c>
      <c r="G82" s="3">
        <f>Data!Q82</f>
        <v>0</v>
      </c>
      <c r="H82" s="19">
        <f>Data!BF82</f>
        <v>1107</v>
      </c>
      <c r="I82" s="14">
        <f t="shared" si="27"/>
        <v>0.4</v>
      </c>
      <c r="J82" s="16">
        <f>Data!BS82</f>
        <v>0</v>
      </c>
      <c r="K82" s="31">
        <f t="shared" si="31"/>
        <v>0.4</v>
      </c>
      <c r="M82" s="23">
        <f t="shared" si="17"/>
        <v>103.89999999999998</v>
      </c>
      <c r="N82" s="23">
        <f t="shared" si="18"/>
        <v>109.59999999999997</v>
      </c>
      <c r="P82" s="20">
        <f t="shared" si="28"/>
        <v>0.28231436314363156</v>
      </c>
      <c r="Q82" s="20">
        <f t="shared" si="25"/>
        <v>0.28231436314363156</v>
      </c>
      <c r="R82" s="19">
        <f t="shared" si="29"/>
        <v>312.52200000000016</v>
      </c>
      <c r="S82" s="23">
        <f t="shared" si="26"/>
        <v>0.39999999999997726</v>
      </c>
      <c r="T82" s="23">
        <f t="shared" si="30"/>
        <v>2.2759572004815709E-14</v>
      </c>
    </row>
    <row r="83" spans="1:20" x14ac:dyDescent="0.2">
      <c r="A83" s="40">
        <v>34776</v>
      </c>
      <c r="B83" s="3">
        <v>77</v>
      </c>
      <c r="C83" s="16">
        <f>ROUND(Data!BJ83,2)</f>
        <v>4.68</v>
      </c>
      <c r="D83" s="3">
        <f>ROUND(Data!R83,1)</f>
        <v>3</v>
      </c>
      <c r="E83" s="3">
        <f>ROUND(Data!AF83,1)</f>
        <v>-0.8</v>
      </c>
      <c r="F83" s="23">
        <f>Data!BO83</f>
        <v>59.7</v>
      </c>
      <c r="G83" s="3">
        <f>Data!Q83</f>
        <v>0</v>
      </c>
      <c r="H83" s="19">
        <f>Data!BF83</f>
        <v>1108</v>
      </c>
      <c r="I83" s="14">
        <f t="shared" si="27"/>
        <v>0.1</v>
      </c>
      <c r="J83" s="16">
        <f>Data!BS83</f>
        <v>1.1000000000000001</v>
      </c>
      <c r="K83" s="31">
        <f t="shared" si="31"/>
        <v>0.1</v>
      </c>
      <c r="M83" s="23">
        <f t="shared" si="17"/>
        <v>104.99999999999997</v>
      </c>
      <c r="N83" s="23">
        <f t="shared" si="18"/>
        <v>109.69999999999996</v>
      </c>
      <c r="P83" s="20">
        <f t="shared" si="28"/>
        <v>0.28214981949458501</v>
      </c>
      <c r="Q83" s="20">
        <f t="shared" si="25"/>
        <v>0.28214981949458501</v>
      </c>
      <c r="R83" s="19">
        <f t="shared" si="29"/>
        <v>312.62200000000018</v>
      </c>
      <c r="S83" s="23">
        <f t="shared" si="26"/>
        <v>0.10000000000002274</v>
      </c>
      <c r="T83" s="23">
        <f t="shared" si="30"/>
        <v>-2.273181642920008E-14</v>
      </c>
    </row>
    <row r="84" spans="1:20" x14ac:dyDescent="0.2">
      <c r="A84" s="40">
        <v>34777</v>
      </c>
      <c r="B84" s="3">
        <v>78</v>
      </c>
      <c r="C84" s="16">
        <f>ROUND(Data!BJ84,2)</f>
        <v>5.62</v>
      </c>
      <c r="D84" s="3">
        <f>ROUND(Data!R84,1)</f>
        <v>4.4000000000000004</v>
      </c>
      <c r="E84" s="3">
        <f>ROUND(Data!AF84,1)</f>
        <v>-3</v>
      </c>
      <c r="F84" s="23">
        <f>Data!BO84</f>
        <v>50.6</v>
      </c>
      <c r="G84" s="3">
        <f>Data!Q84</f>
        <v>0</v>
      </c>
      <c r="H84" s="19">
        <f>Data!BF84</f>
        <v>1109</v>
      </c>
      <c r="I84" s="14">
        <f t="shared" si="27"/>
        <v>0.1</v>
      </c>
      <c r="J84" s="16">
        <f>Data!BS84</f>
        <v>0.6</v>
      </c>
      <c r="K84" s="31">
        <f t="shared" si="31"/>
        <v>0.1</v>
      </c>
      <c r="M84" s="23">
        <f t="shared" si="17"/>
        <v>105.59999999999997</v>
      </c>
      <c r="N84" s="23">
        <f t="shared" si="18"/>
        <v>109.79999999999995</v>
      </c>
      <c r="P84" s="20">
        <f t="shared" si="28"/>
        <v>0.28198557258791723</v>
      </c>
      <c r="Q84" s="20">
        <f t="shared" si="25"/>
        <v>0.28198557258791723</v>
      </c>
      <c r="R84" s="19">
        <f t="shared" si="29"/>
        <v>312.72200000000021</v>
      </c>
      <c r="S84" s="23">
        <f t="shared" si="26"/>
        <v>0.10000000000002274</v>
      </c>
      <c r="T84" s="23">
        <f t="shared" si="30"/>
        <v>-2.273181642920008E-14</v>
      </c>
    </row>
    <row r="85" spans="1:20" x14ac:dyDescent="0.2">
      <c r="A85" s="40">
        <v>34778</v>
      </c>
      <c r="B85" s="3">
        <v>79</v>
      </c>
      <c r="C85" s="16">
        <f>ROUND(Data!BJ85,2)</f>
        <v>8.34</v>
      </c>
      <c r="D85" s="3">
        <f>ROUND(Data!R85,1)</f>
        <v>2.9</v>
      </c>
      <c r="E85" s="3">
        <f>ROUND(Data!AF85,1)</f>
        <v>-3.4</v>
      </c>
      <c r="F85" s="23">
        <f>Data!BO85</f>
        <v>64.400000000000006</v>
      </c>
      <c r="G85" s="3">
        <f>Data!Q85</f>
        <v>0</v>
      </c>
      <c r="H85" s="19">
        <f>Data!BF85</f>
        <v>1174</v>
      </c>
      <c r="I85" s="14">
        <f t="shared" si="27"/>
        <v>8.5</v>
      </c>
      <c r="J85" s="16">
        <f>Data!BS85</f>
        <v>2</v>
      </c>
      <c r="K85" s="31">
        <f t="shared" si="31"/>
        <v>8.5</v>
      </c>
      <c r="M85" s="23">
        <f t="shared" si="17"/>
        <v>107.59999999999997</v>
      </c>
      <c r="N85" s="23">
        <f t="shared" si="18"/>
        <v>118.29999999999995</v>
      </c>
      <c r="P85" s="20">
        <f t="shared" si="28"/>
        <v>0.27361328790459982</v>
      </c>
      <c r="Q85" s="20">
        <f t="shared" si="25"/>
        <v>0.27361328790459982</v>
      </c>
      <c r="R85" s="19">
        <f t="shared" si="29"/>
        <v>321.22200000000021</v>
      </c>
      <c r="S85" s="23">
        <f t="shared" si="26"/>
        <v>8.5</v>
      </c>
      <c r="T85" s="23">
        <f t="shared" si="30"/>
        <v>0</v>
      </c>
    </row>
    <row r="86" spans="1:20" x14ac:dyDescent="0.2">
      <c r="A86" s="40">
        <v>34779</v>
      </c>
      <c r="B86" s="3">
        <v>80</v>
      </c>
      <c r="C86" s="16">
        <f>ROUND(Data!BJ86,2)</f>
        <v>10.75</v>
      </c>
      <c r="D86" s="3">
        <f>ROUND(Data!R86,1)</f>
        <v>0.9</v>
      </c>
      <c r="E86" s="3">
        <f>ROUND(Data!AF86,1)</f>
        <v>-6.3</v>
      </c>
      <c r="F86" s="23">
        <f>Data!BO86</f>
        <v>59.4</v>
      </c>
      <c r="G86" s="3">
        <f>Data!Q86</f>
        <v>0</v>
      </c>
      <c r="H86" s="19">
        <f>Data!BF86</f>
        <v>1161</v>
      </c>
      <c r="I86" s="14">
        <f t="shared" si="27"/>
        <v>0</v>
      </c>
      <c r="J86" s="16">
        <f>Data!BS86</f>
        <v>6.9</v>
      </c>
      <c r="K86" s="31">
        <f t="shared" si="31"/>
        <v>0</v>
      </c>
      <c r="M86" s="23">
        <f t="shared" si="17"/>
        <v>114.49999999999997</v>
      </c>
      <c r="N86" s="23">
        <f t="shared" si="18"/>
        <v>118.29999999999995</v>
      </c>
      <c r="P86" s="20">
        <f t="shared" si="28"/>
        <v>0.27667700258397948</v>
      </c>
      <c r="Q86" s="20">
        <f t="shared" si="25"/>
        <v>0.27667700258397948</v>
      </c>
      <c r="R86" s="19">
        <f t="shared" si="29"/>
        <v>321.22200000000015</v>
      </c>
      <c r="S86" s="23">
        <f t="shared" si="26"/>
        <v>0</v>
      </c>
      <c r="T86" s="23">
        <f t="shared" si="30"/>
        <v>0</v>
      </c>
    </row>
    <row r="87" spans="1:20" x14ac:dyDescent="0.2">
      <c r="A87" s="40">
        <v>34780</v>
      </c>
      <c r="B87" s="3">
        <v>81</v>
      </c>
      <c r="C87" s="16">
        <f>ROUND(Data!BJ87,2)</f>
        <v>16.29</v>
      </c>
      <c r="D87" s="3">
        <f>ROUND(Data!R87,1)</f>
        <v>2.5</v>
      </c>
      <c r="E87" s="3">
        <f>ROUND(Data!AF87,1)</f>
        <v>-8</v>
      </c>
      <c r="F87" s="23">
        <f>Data!BO87</f>
        <v>43.5</v>
      </c>
      <c r="G87" s="3">
        <f>Data!Q87</f>
        <v>0</v>
      </c>
      <c r="H87" s="19">
        <f>Data!BF87</f>
        <v>1156</v>
      </c>
      <c r="I87" s="14">
        <f t="shared" si="27"/>
        <v>0</v>
      </c>
      <c r="J87" s="16">
        <f>Data!BS87</f>
        <v>0.6</v>
      </c>
      <c r="K87" s="31">
        <f t="shared" si="31"/>
        <v>0</v>
      </c>
      <c r="M87" s="23">
        <f t="shared" si="17"/>
        <v>115.09999999999997</v>
      </c>
      <c r="N87" s="23">
        <f t="shared" si="18"/>
        <v>118.29999999999995</v>
      </c>
      <c r="P87" s="20">
        <f t="shared" si="28"/>
        <v>0.27787370242214549</v>
      </c>
      <c r="Q87" s="20">
        <f t="shared" si="25"/>
        <v>0.27787370242214549</v>
      </c>
      <c r="R87" s="19">
        <f t="shared" si="29"/>
        <v>321.22200000000021</v>
      </c>
      <c r="S87" s="23">
        <f t="shared" si="26"/>
        <v>0</v>
      </c>
      <c r="T87" s="23">
        <f t="shared" si="30"/>
        <v>0</v>
      </c>
    </row>
    <row r="88" spans="1:20" x14ac:dyDescent="0.2">
      <c r="A88" s="40">
        <v>34781</v>
      </c>
      <c r="B88" s="3">
        <v>82</v>
      </c>
      <c r="C88" s="16">
        <f>ROUND(Data!BJ88,2)</f>
        <v>4.67</v>
      </c>
      <c r="D88" s="3">
        <f>ROUND(Data!R88,1)</f>
        <v>1.4</v>
      </c>
      <c r="E88" s="3">
        <f>ROUND(Data!AF88,1)</f>
        <v>-5.3</v>
      </c>
      <c r="F88" s="23">
        <f>Data!BO88</f>
        <v>70.3</v>
      </c>
      <c r="G88" s="3">
        <f>Data!Q88</f>
        <v>0</v>
      </c>
      <c r="H88" s="19">
        <f>Data!BF88</f>
        <v>1270</v>
      </c>
      <c r="I88" s="14">
        <f t="shared" si="27"/>
        <v>14.8</v>
      </c>
      <c r="J88" s="16">
        <f>Data!BS88</f>
        <v>1.2</v>
      </c>
      <c r="K88" s="31">
        <f t="shared" si="31"/>
        <v>14.8</v>
      </c>
      <c r="M88" s="23">
        <f t="shared" si="17"/>
        <v>116.29999999999997</v>
      </c>
      <c r="N88" s="23">
        <f t="shared" si="18"/>
        <v>133.09999999999997</v>
      </c>
      <c r="P88" s="20">
        <f t="shared" si="28"/>
        <v>0.2645842519685041</v>
      </c>
      <c r="Q88" s="20">
        <f t="shared" si="25"/>
        <v>0.2645842519685041</v>
      </c>
      <c r="R88" s="19">
        <f t="shared" si="29"/>
        <v>336.02200000000022</v>
      </c>
      <c r="S88" s="23">
        <f t="shared" si="26"/>
        <v>14.800000000000011</v>
      </c>
      <c r="T88" s="23">
        <f t="shared" si="30"/>
        <v>0</v>
      </c>
    </row>
    <row r="89" spans="1:20" x14ac:dyDescent="0.2">
      <c r="A89" s="40">
        <v>34782</v>
      </c>
      <c r="B89" s="3">
        <v>83</v>
      </c>
      <c r="C89" s="16">
        <f>ROUND(Data!BJ89,2)</f>
        <v>9.06</v>
      </c>
      <c r="D89" s="3">
        <f>ROUND(Data!R89,1)</f>
        <v>0</v>
      </c>
      <c r="E89" s="3">
        <f>ROUND(Data!AF89,1)</f>
        <v>-7.1</v>
      </c>
      <c r="F89" s="23">
        <f>Data!BO89</f>
        <v>59.7</v>
      </c>
      <c r="G89" s="3">
        <f>Data!Q89</f>
        <v>0</v>
      </c>
      <c r="H89" s="19">
        <f>Data!BF89</f>
        <v>1272</v>
      </c>
      <c r="I89" s="14">
        <f t="shared" si="27"/>
        <v>0.3</v>
      </c>
      <c r="J89" s="16">
        <f>Data!BS89</f>
        <v>7.7</v>
      </c>
      <c r="K89" s="31">
        <f t="shared" si="31"/>
        <v>0.3</v>
      </c>
      <c r="M89" s="23">
        <f t="shared" si="17"/>
        <v>123.99999999999997</v>
      </c>
      <c r="N89" s="23">
        <f t="shared" si="18"/>
        <v>133.39999999999998</v>
      </c>
      <c r="P89" s="20">
        <f t="shared" si="28"/>
        <v>0.26440408805031462</v>
      </c>
      <c r="Q89" s="20">
        <f t="shared" si="25"/>
        <v>0.26440408805031462</v>
      </c>
      <c r="R89" s="19">
        <f t="shared" si="29"/>
        <v>336.32200000000017</v>
      </c>
      <c r="S89" s="23">
        <f t="shared" si="26"/>
        <v>0.29999999999995453</v>
      </c>
      <c r="T89" s="23">
        <f t="shared" si="30"/>
        <v>4.546363285840016E-14</v>
      </c>
    </row>
    <row r="90" spans="1:20" x14ac:dyDescent="0.2">
      <c r="A90" s="40">
        <v>34783</v>
      </c>
      <c r="B90" s="3">
        <v>84</v>
      </c>
      <c r="C90" s="16">
        <f>ROUND(Data!BJ90,2)</f>
        <v>19.600000000000001</v>
      </c>
      <c r="D90" s="3">
        <f>ROUND(Data!R90,1)</f>
        <v>1.1000000000000001</v>
      </c>
      <c r="E90" s="3">
        <f>ROUND(Data!AF90,1)</f>
        <v>-16.7</v>
      </c>
      <c r="F90" s="23">
        <f>Data!BO90</f>
        <v>42</v>
      </c>
      <c r="G90" s="3">
        <f>Data!Q90</f>
        <v>0</v>
      </c>
      <c r="H90" s="19">
        <f>Data!BF90</f>
        <v>1239</v>
      </c>
      <c r="I90" s="14">
        <f t="shared" si="27"/>
        <v>0</v>
      </c>
      <c r="J90" s="16">
        <f>Data!BS90</f>
        <v>0.6</v>
      </c>
      <c r="K90" s="31">
        <f t="shared" si="31"/>
        <v>0</v>
      </c>
      <c r="M90" s="23">
        <f t="shared" si="17"/>
        <v>124.59999999999997</v>
      </c>
      <c r="N90" s="23">
        <f t="shared" si="18"/>
        <v>133.39999999999998</v>
      </c>
      <c r="P90" s="20">
        <f t="shared" si="28"/>
        <v>0.27144632768361598</v>
      </c>
      <c r="Q90" s="20">
        <f t="shared" si="25"/>
        <v>0.27144632768361598</v>
      </c>
      <c r="R90" s="19">
        <f t="shared" si="29"/>
        <v>336.32200000000023</v>
      </c>
      <c r="S90" s="23">
        <f t="shared" si="26"/>
        <v>0</v>
      </c>
      <c r="T90" s="23">
        <f t="shared" si="30"/>
        <v>0</v>
      </c>
    </row>
    <row r="91" spans="1:20" x14ac:dyDescent="0.2">
      <c r="A91" s="40">
        <v>34784</v>
      </c>
      <c r="B91" s="3">
        <v>85</v>
      </c>
      <c r="C91" s="16">
        <f>ROUND(Data!BJ91,2)</f>
        <v>18.510000000000002</v>
      </c>
      <c r="D91" s="3">
        <f>ROUND(Data!R91,1)</f>
        <v>3</v>
      </c>
      <c r="E91" s="3">
        <f>ROUND(Data!AF91,1)</f>
        <v>-17.2</v>
      </c>
      <c r="F91" s="23">
        <f>Data!BO91</f>
        <v>38</v>
      </c>
      <c r="G91" s="3">
        <f>Data!Q91</f>
        <v>0</v>
      </c>
      <c r="H91" s="19">
        <f>Data!BF91</f>
        <v>1221</v>
      </c>
      <c r="I91" s="14">
        <f t="shared" si="27"/>
        <v>0</v>
      </c>
      <c r="J91" s="16">
        <f>Data!BS91</f>
        <v>0</v>
      </c>
      <c r="K91" s="31">
        <f t="shared" si="31"/>
        <v>0</v>
      </c>
      <c r="M91" s="23">
        <f t="shared" si="17"/>
        <v>124.59999999999997</v>
      </c>
      <c r="N91" s="23">
        <f t="shared" si="18"/>
        <v>133.39999999999998</v>
      </c>
      <c r="P91" s="20">
        <f t="shared" si="28"/>
        <v>0.27544799344799364</v>
      </c>
      <c r="Q91" s="20">
        <f t="shared" si="25"/>
        <v>0.27544799344799364</v>
      </c>
      <c r="R91" s="19">
        <f t="shared" si="29"/>
        <v>336.32200000000023</v>
      </c>
      <c r="S91" s="23">
        <f t="shared" si="26"/>
        <v>0</v>
      </c>
      <c r="T91" s="23">
        <f t="shared" si="30"/>
        <v>0</v>
      </c>
    </row>
    <row r="92" spans="1:20" x14ac:dyDescent="0.2">
      <c r="A92" s="40">
        <v>34785</v>
      </c>
      <c r="B92" s="3">
        <v>86</v>
      </c>
      <c r="C92" s="16">
        <f>ROUND(Data!BJ92,2)</f>
        <v>19.62</v>
      </c>
      <c r="D92" s="3">
        <f>ROUND(Data!R92,1)</f>
        <v>7.9</v>
      </c>
      <c r="E92" s="3">
        <f>ROUND(Data!AF92,1)</f>
        <v>-14</v>
      </c>
      <c r="F92" s="23">
        <f>Data!BO92</f>
        <v>31.7</v>
      </c>
      <c r="G92" s="3">
        <f>Data!Q92</f>
        <v>0</v>
      </c>
      <c r="H92" s="19">
        <f>Data!BF92</f>
        <v>1194</v>
      </c>
      <c r="I92" s="14">
        <f t="shared" si="27"/>
        <v>0</v>
      </c>
      <c r="J92" s="16">
        <f>Data!BS92</f>
        <v>0</v>
      </c>
      <c r="K92" s="31">
        <f t="shared" si="31"/>
        <v>0</v>
      </c>
      <c r="M92" s="23">
        <f t="shared" si="17"/>
        <v>124.59999999999997</v>
      </c>
      <c r="N92" s="23">
        <f t="shared" si="18"/>
        <v>133.39999999999998</v>
      </c>
      <c r="P92" s="20">
        <f t="shared" si="28"/>
        <v>0.28167671691792312</v>
      </c>
      <c r="Q92" s="20">
        <f t="shared" si="25"/>
        <v>0.28167671691792312</v>
      </c>
      <c r="R92" s="19">
        <f t="shared" si="29"/>
        <v>336.32200000000023</v>
      </c>
      <c r="S92" s="23">
        <f t="shared" si="26"/>
        <v>0</v>
      </c>
      <c r="T92" s="23">
        <f t="shared" si="30"/>
        <v>0</v>
      </c>
    </row>
    <row r="93" spans="1:20" x14ac:dyDescent="0.2">
      <c r="A93" s="40">
        <v>34786</v>
      </c>
      <c r="B93" s="3">
        <v>87</v>
      </c>
      <c r="C93" s="16">
        <f>ROUND(Data!BJ93,2)</f>
        <v>19.61</v>
      </c>
      <c r="D93" s="3">
        <f>ROUND(Data!R93,1)</f>
        <v>9</v>
      </c>
      <c r="E93" s="3">
        <f>ROUND(Data!AF93,1)</f>
        <v>-11.7</v>
      </c>
      <c r="F93" s="23">
        <f>Data!BO93</f>
        <v>29.2</v>
      </c>
      <c r="G93" s="3">
        <f>Data!Q93</f>
        <v>0</v>
      </c>
      <c r="H93" s="19">
        <f>Data!BF93</f>
        <v>1172</v>
      </c>
      <c r="I93" s="14">
        <f t="shared" si="27"/>
        <v>0</v>
      </c>
      <c r="J93" s="16">
        <f>Data!BS93</f>
        <v>0</v>
      </c>
      <c r="K93" s="31">
        <f t="shared" si="31"/>
        <v>0</v>
      </c>
      <c r="M93" s="23">
        <f t="shared" si="17"/>
        <v>124.59999999999997</v>
      </c>
      <c r="N93" s="23">
        <f t="shared" si="18"/>
        <v>133.39999999999998</v>
      </c>
      <c r="P93" s="20">
        <f t="shared" si="28"/>
        <v>0.28696416382252582</v>
      </c>
      <c r="Q93" s="20">
        <f t="shared" si="25"/>
        <v>0.28696416382252582</v>
      </c>
      <c r="R93" s="19">
        <f t="shared" si="29"/>
        <v>336.32200000000029</v>
      </c>
      <c r="S93" s="23">
        <f t="shared" si="26"/>
        <v>0</v>
      </c>
      <c r="T93" s="23">
        <f t="shared" si="30"/>
        <v>0</v>
      </c>
    </row>
    <row r="94" spans="1:20" x14ac:dyDescent="0.2">
      <c r="A94" s="40">
        <v>34787</v>
      </c>
      <c r="B94" s="3">
        <v>88</v>
      </c>
      <c r="C94" s="16">
        <f>ROUND(Data!BJ94,2)</f>
        <v>20.2</v>
      </c>
      <c r="D94" s="3">
        <f>ROUND(Data!R94,1)</f>
        <v>9.5</v>
      </c>
      <c r="E94" s="3">
        <f>ROUND(Data!AF94,1)</f>
        <v>-8.5</v>
      </c>
      <c r="F94" s="23">
        <f>Data!BO94</f>
        <v>24.5</v>
      </c>
      <c r="G94" s="3">
        <f>Data!Q94</f>
        <v>0</v>
      </c>
      <c r="H94" s="19">
        <f>Data!BF94</f>
        <v>1143</v>
      </c>
      <c r="I94" s="14">
        <f t="shared" si="27"/>
        <v>0</v>
      </c>
      <c r="J94" s="16">
        <f>Data!BS94</f>
        <v>0</v>
      </c>
      <c r="K94" s="31">
        <f t="shared" si="31"/>
        <v>0</v>
      </c>
      <c r="M94" s="23">
        <f t="shared" si="17"/>
        <v>124.59999999999997</v>
      </c>
      <c r="N94" s="23">
        <f t="shared" si="18"/>
        <v>133.39999999999998</v>
      </c>
      <c r="P94" s="20">
        <f t="shared" si="28"/>
        <v>0.29424496937882788</v>
      </c>
      <c r="Q94" s="20">
        <f t="shared" si="25"/>
        <v>0.29424496937882788</v>
      </c>
      <c r="R94" s="19">
        <f t="shared" si="29"/>
        <v>336.32200000000029</v>
      </c>
      <c r="S94" s="23">
        <f t="shared" si="26"/>
        <v>0</v>
      </c>
      <c r="T94" s="23">
        <f t="shared" si="30"/>
        <v>0</v>
      </c>
    </row>
    <row r="95" spans="1:20" x14ac:dyDescent="0.2">
      <c r="A95" s="40">
        <v>34788</v>
      </c>
      <c r="B95" s="3">
        <v>89</v>
      </c>
      <c r="C95" s="16">
        <f>ROUND(Data!BJ95,2)</f>
        <v>19.71</v>
      </c>
      <c r="D95" s="3">
        <f>ROUND(Data!R95,1)</f>
        <v>11.4</v>
      </c>
      <c r="E95" s="3">
        <f>ROUND(Data!AF95,1)</f>
        <v>-6.2</v>
      </c>
      <c r="F95" s="23">
        <f>Data!BO95</f>
        <v>24.3</v>
      </c>
      <c r="G95" s="3">
        <f>Data!Q95</f>
        <v>0</v>
      </c>
      <c r="H95" s="19">
        <f>Data!BF95</f>
        <v>1112</v>
      </c>
      <c r="I95" s="14">
        <f t="shared" si="27"/>
        <v>0</v>
      </c>
      <c r="J95" s="16">
        <f>Data!BS95</f>
        <v>0</v>
      </c>
      <c r="K95" s="31">
        <f t="shared" si="31"/>
        <v>0</v>
      </c>
      <c r="M95" s="23">
        <f t="shared" si="17"/>
        <v>124.59999999999997</v>
      </c>
      <c r="N95" s="23">
        <f t="shared" si="18"/>
        <v>133.39999999999998</v>
      </c>
      <c r="P95" s="20">
        <f t="shared" si="28"/>
        <v>0.30244784172661898</v>
      </c>
      <c r="Q95" s="20">
        <f t="shared" si="25"/>
        <v>0.30244784172661898</v>
      </c>
      <c r="R95" s="19">
        <f t="shared" si="29"/>
        <v>336.32200000000029</v>
      </c>
      <c r="S95" s="23">
        <f t="shared" si="26"/>
        <v>0</v>
      </c>
      <c r="T95" s="23">
        <f t="shared" si="30"/>
        <v>0</v>
      </c>
    </row>
    <row r="96" spans="1:20" x14ac:dyDescent="0.2">
      <c r="A96" s="40">
        <v>34789</v>
      </c>
      <c r="B96" s="3">
        <v>90</v>
      </c>
      <c r="C96" s="16">
        <f>ROUND(Data!BJ96,2)</f>
        <v>16.649999999999999</v>
      </c>
      <c r="D96" s="3">
        <f>ROUND(Data!R96,1)</f>
        <v>11.3</v>
      </c>
      <c r="E96" s="3">
        <f>ROUND(Data!AF96,1)</f>
        <v>-7.3</v>
      </c>
      <c r="F96" s="23">
        <f>Data!BO96</f>
        <v>25.9</v>
      </c>
      <c r="G96" s="3">
        <f>Data!Q96</f>
        <v>0</v>
      </c>
      <c r="H96" s="19">
        <f>Data!BF96</f>
        <v>1086</v>
      </c>
      <c r="I96" s="14">
        <f t="shared" si="27"/>
        <v>0</v>
      </c>
      <c r="J96" s="16">
        <f>Data!BS96</f>
        <v>0</v>
      </c>
      <c r="K96" s="31">
        <f t="shared" si="31"/>
        <v>0</v>
      </c>
      <c r="M96" s="23">
        <f t="shared" si="17"/>
        <v>124.59999999999997</v>
      </c>
      <c r="N96" s="23">
        <f t="shared" si="18"/>
        <v>133.39999999999998</v>
      </c>
      <c r="P96" s="20">
        <f t="shared" si="28"/>
        <v>0.30968876611418072</v>
      </c>
      <c r="Q96" s="20">
        <f t="shared" si="25"/>
        <v>0.30968876611418072</v>
      </c>
      <c r="R96" s="19">
        <f t="shared" si="29"/>
        <v>336.32200000000029</v>
      </c>
      <c r="S96" s="23">
        <f t="shared" si="26"/>
        <v>0</v>
      </c>
      <c r="T96" s="23">
        <f t="shared" si="30"/>
        <v>0</v>
      </c>
    </row>
    <row r="97" spans="1:20" x14ac:dyDescent="0.2">
      <c r="A97" s="40">
        <v>34790</v>
      </c>
      <c r="B97" s="3">
        <v>91</v>
      </c>
      <c r="C97" s="16">
        <f>ROUND(Data!BJ97,2)</f>
        <v>7.89</v>
      </c>
      <c r="D97" s="3">
        <f>ROUND(Data!R97,1)</f>
        <v>4.4000000000000004</v>
      </c>
      <c r="E97" s="3">
        <f>ROUND(Data!AF97,1)</f>
        <v>-2.4</v>
      </c>
      <c r="F97" s="23">
        <f>Data!BO97</f>
        <v>60.8</v>
      </c>
      <c r="G97" s="3">
        <f>Data!Q97</f>
        <v>0</v>
      </c>
      <c r="H97" s="19">
        <f>Data!BF97</f>
        <v>1104</v>
      </c>
      <c r="I97" s="14">
        <f t="shared" si="27"/>
        <v>2.2999999999999998</v>
      </c>
      <c r="J97" s="16">
        <f>Data!BS97</f>
        <v>4.3</v>
      </c>
      <c r="K97" s="31">
        <f t="shared" si="31"/>
        <v>2.2999999999999998</v>
      </c>
      <c r="M97" s="23">
        <f t="shared" si="17"/>
        <v>128.89999999999998</v>
      </c>
      <c r="N97" s="23">
        <f t="shared" si="18"/>
        <v>135.69999999999999</v>
      </c>
      <c r="P97" s="20">
        <f t="shared" si="28"/>
        <v>0.30672282608695678</v>
      </c>
      <c r="Q97" s="20">
        <f t="shared" si="25"/>
        <v>0.30672282608695678</v>
      </c>
      <c r="R97" s="19">
        <f t="shared" si="29"/>
        <v>338.6220000000003</v>
      </c>
      <c r="S97" s="23">
        <f t="shared" si="26"/>
        <v>2.3000000000000114</v>
      </c>
      <c r="T97" s="23">
        <f t="shared" si="30"/>
        <v>-1.1546319456101628E-14</v>
      </c>
    </row>
    <row r="98" spans="1:20" x14ac:dyDescent="0.2">
      <c r="A98" s="40">
        <v>34791</v>
      </c>
      <c r="B98" s="3">
        <v>92</v>
      </c>
      <c r="C98" s="16">
        <f>ROUND(Data!BJ98,2)</f>
        <v>6.82</v>
      </c>
      <c r="D98" s="3">
        <f>ROUND(Data!R98,1)</f>
        <v>0.6</v>
      </c>
      <c r="E98" s="3">
        <f>ROUND(Data!AF98,1)</f>
        <v>-4.3</v>
      </c>
      <c r="F98" s="23">
        <f>Data!BO98</f>
        <v>80.099999999999994</v>
      </c>
      <c r="G98" s="3">
        <f>Data!Q98</f>
        <v>0</v>
      </c>
      <c r="H98" s="19">
        <f>Data!BF98</f>
        <v>1111</v>
      </c>
      <c r="I98" s="14">
        <f t="shared" si="27"/>
        <v>0.9</v>
      </c>
      <c r="J98" s="16">
        <f>Data!BS98</f>
        <v>1.6</v>
      </c>
      <c r="K98" s="31">
        <f t="shared" si="31"/>
        <v>0.9</v>
      </c>
      <c r="M98" s="23">
        <f t="shared" si="17"/>
        <v>130.49999999999997</v>
      </c>
      <c r="N98" s="23">
        <f t="shared" si="18"/>
        <v>136.6</v>
      </c>
      <c r="P98" s="20">
        <f t="shared" si="28"/>
        <v>0.30560036003600383</v>
      </c>
      <c r="Q98" s="20">
        <f t="shared" si="25"/>
        <v>0.30560036003600383</v>
      </c>
      <c r="R98" s="19">
        <f t="shared" si="29"/>
        <v>339.52200000000028</v>
      </c>
      <c r="S98" s="23">
        <f t="shared" si="26"/>
        <v>0.89999999999997726</v>
      </c>
      <c r="T98" s="23">
        <f t="shared" si="30"/>
        <v>2.2759572004815709E-14</v>
      </c>
    </row>
    <row r="99" spans="1:20" x14ac:dyDescent="0.2">
      <c r="A99" s="40">
        <v>34792</v>
      </c>
      <c r="B99" s="3">
        <v>93</v>
      </c>
      <c r="C99" s="16">
        <f>ROUND(Data!BJ99,2)</f>
        <v>13.28</v>
      </c>
      <c r="D99" s="3">
        <f>ROUND(Data!R99,1)</f>
        <v>9.1999999999999993</v>
      </c>
      <c r="E99" s="3">
        <f>ROUND(Data!AF99,1)</f>
        <v>-1.5</v>
      </c>
      <c r="F99" s="23">
        <f>Data!BO99</f>
        <v>54.5</v>
      </c>
      <c r="G99" s="3">
        <f>Data!Q99</f>
        <v>0</v>
      </c>
      <c r="H99" s="19">
        <f>Data!BF99</f>
        <v>1083</v>
      </c>
      <c r="I99" s="14">
        <f t="shared" si="27"/>
        <v>0</v>
      </c>
      <c r="J99" s="16">
        <f>Data!BS99</f>
        <v>0</v>
      </c>
      <c r="K99" s="31">
        <f t="shared" si="31"/>
        <v>0</v>
      </c>
      <c r="M99" s="23">
        <f t="shared" si="17"/>
        <v>130.49999999999997</v>
      </c>
      <c r="N99" s="23">
        <f t="shared" si="18"/>
        <v>136.6</v>
      </c>
      <c r="P99" s="20">
        <f t="shared" si="28"/>
        <v>0.31350138504155151</v>
      </c>
      <c r="Q99" s="20">
        <f t="shared" si="25"/>
        <v>0.31350138504155151</v>
      </c>
      <c r="R99" s="19">
        <f t="shared" si="29"/>
        <v>339.52200000000028</v>
      </c>
      <c r="S99" s="23">
        <f t="shared" si="26"/>
        <v>0</v>
      </c>
      <c r="T99" s="23">
        <f t="shared" si="30"/>
        <v>0</v>
      </c>
    </row>
    <row r="100" spans="1:20" x14ac:dyDescent="0.2">
      <c r="A100" s="40">
        <v>34793</v>
      </c>
      <c r="B100" s="3">
        <v>94</v>
      </c>
      <c r="C100" s="16">
        <f>ROUND(Data!BJ100,2)</f>
        <v>7.83</v>
      </c>
      <c r="D100" s="3">
        <f>ROUND(Data!R100,1)</f>
        <v>5.4</v>
      </c>
      <c r="E100" s="3">
        <f>ROUND(Data!AF100,1)</f>
        <v>-8</v>
      </c>
      <c r="F100" s="23">
        <f>Data!BO100</f>
        <v>55.4</v>
      </c>
      <c r="G100" s="3">
        <f>Data!Q100</f>
        <v>0</v>
      </c>
      <c r="H100" s="19">
        <f>Data!BF100</f>
        <v>1054</v>
      </c>
      <c r="I100" s="14">
        <f t="shared" si="27"/>
        <v>0</v>
      </c>
      <c r="J100" s="16">
        <f>Data!BS100</f>
        <v>2.2999999999999998</v>
      </c>
      <c r="K100" s="31">
        <f t="shared" si="31"/>
        <v>0</v>
      </c>
      <c r="M100" s="23">
        <f t="shared" si="17"/>
        <v>132.79999999999998</v>
      </c>
      <c r="N100" s="23">
        <f t="shared" si="18"/>
        <v>136.6</v>
      </c>
      <c r="P100" s="20">
        <f t="shared" si="28"/>
        <v>0.32212713472485793</v>
      </c>
      <c r="Q100" s="20">
        <f t="shared" si="25"/>
        <v>0.32212713472485793</v>
      </c>
      <c r="R100" s="19">
        <f t="shared" si="29"/>
        <v>339.52200000000028</v>
      </c>
      <c r="S100" s="23">
        <f t="shared" si="26"/>
        <v>0</v>
      </c>
      <c r="T100" s="23">
        <f t="shared" si="30"/>
        <v>0</v>
      </c>
    </row>
    <row r="101" spans="1:20" x14ac:dyDescent="0.2">
      <c r="A101" s="40">
        <v>34794</v>
      </c>
      <c r="B101" s="3">
        <v>95</v>
      </c>
      <c r="C101" s="16">
        <f>ROUND(Data!BJ101,2)</f>
        <v>13.16</v>
      </c>
      <c r="D101" s="3">
        <f>ROUND(Data!R101,1)</f>
        <v>3.3</v>
      </c>
      <c r="E101" s="3">
        <f>ROUND(Data!AF101,1)</f>
        <v>-8.6</v>
      </c>
      <c r="F101" s="23">
        <f>Data!BO101</f>
        <v>33.9</v>
      </c>
      <c r="G101" s="3">
        <f>Data!Q101</f>
        <v>0</v>
      </c>
      <c r="H101" s="19">
        <f>Data!BF101</f>
        <v>1057</v>
      </c>
      <c r="I101" s="14">
        <f t="shared" si="27"/>
        <v>0.4</v>
      </c>
      <c r="J101" s="16">
        <f>Data!BS101</f>
        <v>0</v>
      </c>
      <c r="K101" s="31">
        <f t="shared" si="31"/>
        <v>0.4</v>
      </c>
      <c r="M101" s="23">
        <f t="shared" si="17"/>
        <v>132.79999999999998</v>
      </c>
      <c r="N101" s="23">
        <f t="shared" si="18"/>
        <v>137</v>
      </c>
      <c r="P101" s="20">
        <f t="shared" si="28"/>
        <v>0.32159129612109766</v>
      </c>
      <c r="Q101" s="20">
        <f t="shared" si="25"/>
        <v>0.32159129612109766</v>
      </c>
      <c r="R101" s="19">
        <f t="shared" si="29"/>
        <v>339.92200000000025</v>
      </c>
      <c r="S101" s="23">
        <f t="shared" si="26"/>
        <v>0.39999999999997726</v>
      </c>
      <c r="T101" s="23">
        <f t="shared" si="30"/>
        <v>2.2759572004815709E-14</v>
      </c>
    </row>
    <row r="102" spans="1:20" x14ac:dyDescent="0.2">
      <c r="A102" s="40">
        <v>34795</v>
      </c>
      <c r="B102" s="3">
        <v>96</v>
      </c>
      <c r="C102" s="16">
        <f>ROUND(Data!BJ102,2)</f>
        <v>19.91</v>
      </c>
      <c r="D102" s="3">
        <f>ROUND(Data!R102,1)</f>
        <v>6.5</v>
      </c>
      <c r="E102" s="3">
        <f>ROUND(Data!AF102,1)</f>
        <v>-5.0999999999999996</v>
      </c>
      <c r="F102" s="23">
        <f>Data!BO102</f>
        <v>35.5</v>
      </c>
      <c r="G102" s="3">
        <f>Data!Q102</f>
        <v>0</v>
      </c>
      <c r="H102" s="19">
        <f>Data!BF102</f>
        <v>1035</v>
      </c>
      <c r="I102" s="14">
        <f t="shared" si="27"/>
        <v>0</v>
      </c>
      <c r="J102" s="16">
        <f>Data!BS102</f>
        <v>0</v>
      </c>
      <c r="K102" s="31">
        <f t="shared" si="31"/>
        <v>0</v>
      </c>
      <c r="M102" s="23">
        <f t="shared" si="17"/>
        <v>132.79999999999998</v>
      </c>
      <c r="N102" s="23">
        <f t="shared" si="18"/>
        <v>137</v>
      </c>
      <c r="P102" s="20">
        <f t="shared" si="28"/>
        <v>0.32842705314009685</v>
      </c>
      <c r="Q102" s="20">
        <f t="shared" si="25"/>
        <v>0.32842705314009685</v>
      </c>
      <c r="R102" s="19">
        <f t="shared" si="29"/>
        <v>339.92200000000025</v>
      </c>
      <c r="S102" s="23">
        <f t="shared" si="26"/>
        <v>0</v>
      </c>
      <c r="T102" s="23">
        <f t="shared" si="30"/>
        <v>0</v>
      </c>
    </row>
    <row r="103" spans="1:20" x14ac:dyDescent="0.2">
      <c r="A103" s="40">
        <v>34796</v>
      </c>
      <c r="B103" s="3">
        <v>97</v>
      </c>
      <c r="C103" s="16">
        <f>ROUND(Data!BJ103,2)</f>
        <v>10.93</v>
      </c>
      <c r="D103" s="3">
        <f>ROUND(Data!R103,1)</f>
        <v>5.3</v>
      </c>
      <c r="E103" s="3">
        <f>ROUND(Data!AF103,1)</f>
        <v>-1.7</v>
      </c>
      <c r="F103" s="23">
        <f>Data!BO103</f>
        <v>51.7</v>
      </c>
      <c r="G103" s="3">
        <f>Data!Q103</f>
        <v>0</v>
      </c>
      <c r="H103" s="19">
        <f>Data!BF103</f>
        <v>1254</v>
      </c>
      <c r="I103" s="14">
        <f t="shared" si="27"/>
        <v>28.5</v>
      </c>
      <c r="J103" s="16">
        <f>Data!BS103</f>
        <v>5.9</v>
      </c>
      <c r="K103" s="31">
        <f t="shared" si="31"/>
        <v>28.5</v>
      </c>
      <c r="M103" s="23">
        <f t="shared" si="17"/>
        <v>138.69999999999999</v>
      </c>
      <c r="N103" s="23">
        <f t="shared" si="18"/>
        <v>165.5</v>
      </c>
      <c r="P103" s="20">
        <f t="shared" si="28"/>
        <v>0.29379744816586945</v>
      </c>
      <c r="Q103" s="20">
        <f t="shared" si="25"/>
        <v>0.29379744816586945</v>
      </c>
      <c r="R103" s="19">
        <f t="shared" si="29"/>
        <v>368.42200000000031</v>
      </c>
      <c r="S103" s="23">
        <f t="shared" si="26"/>
        <v>28.500000000000057</v>
      </c>
      <c r="T103" s="23">
        <f t="shared" si="30"/>
        <v>-5.6843418860808015E-14</v>
      </c>
    </row>
    <row r="104" spans="1:20" x14ac:dyDescent="0.2">
      <c r="A104" s="40">
        <v>34797</v>
      </c>
      <c r="B104" s="3">
        <v>98</v>
      </c>
      <c r="C104" s="16">
        <f>ROUND(Data!BJ104,2)</f>
        <v>3.56</v>
      </c>
      <c r="D104" s="3">
        <f>ROUND(Data!R104,1)</f>
        <v>1.2</v>
      </c>
      <c r="E104" s="3">
        <f>ROUND(Data!AF104,1)</f>
        <v>-3.4</v>
      </c>
      <c r="F104" s="23">
        <f>Data!BO104</f>
        <v>88.5</v>
      </c>
      <c r="G104" s="3">
        <f>Data!Q104</f>
        <v>0</v>
      </c>
      <c r="H104" s="19">
        <f>Data!BF104</f>
        <v>1255</v>
      </c>
      <c r="I104" s="14">
        <f t="shared" si="27"/>
        <v>0.1</v>
      </c>
      <c r="J104" s="16">
        <f>Data!BS104</f>
        <v>15.7</v>
      </c>
      <c r="K104" s="31">
        <f t="shared" si="31"/>
        <v>0.1</v>
      </c>
      <c r="M104" s="23">
        <f t="shared" si="17"/>
        <v>154.39999999999998</v>
      </c>
      <c r="N104" s="23">
        <f t="shared" si="18"/>
        <v>165.6</v>
      </c>
      <c r="P104" s="20">
        <f t="shared" si="28"/>
        <v>0.29364302788844648</v>
      </c>
      <c r="Q104" s="20">
        <f t="shared" si="25"/>
        <v>0.29364302788844648</v>
      </c>
      <c r="R104" s="19">
        <f t="shared" si="29"/>
        <v>368.52200000000033</v>
      </c>
      <c r="S104" s="23">
        <f t="shared" si="26"/>
        <v>0.10000000000002274</v>
      </c>
      <c r="T104" s="23">
        <f t="shared" si="30"/>
        <v>-2.273181642920008E-14</v>
      </c>
    </row>
    <row r="105" spans="1:20" x14ac:dyDescent="0.2">
      <c r="A105" s="40">
        <v>34798</v>
      </c>
      <c r="B105" s="3">
        <v>99</v>
      </c>
      <c r="C105" s="16">
        <f>ROUND(Data!BJ105,2)</f>
        <v>10.93</v>
      </c>
      <c r="D105" s="3">
        <f>ROUND(Data!R105,1)</f>
        <v>4.0999999999999996</v>
      </c>
      <c r="E105" s="3">
        <f>ROUND(Data!AF105,1)</f>
        <v>-3.2</v>
      </c>
      <c r="F105" s="23">
        <f>Data!BO105</f>
        <v>56.6</v>
      </c>
      <c r="G105" s="3">
        <f>Data!Q105</f>
        <v>0</v>
      </c>
      <c r="H105" s="19">
        <f>Data!BF105</f>
        <v>1264</v>
      </c>
      <c r="I105" s="14">
        <f t="shared" si="27"/>
        <v>1.2</v>
      </c>
      <c r="J105" s="16">
        <f>Data!BS105</f>
        <v>1</v>
      </c>
      <c r="K105" s="31">
        <f t="shared" si="31"/>
        <v>1.2</v>
      </c>
      <c r="M105" s="23">
        <f t="shared" si="17"/>
        <v>155.39999999999998</v>
      </c>
      <c r="N105" s="23">
        <f t="shared" si="18"/>
        <v>166.79999999999998</v>
      </c>
      <c r="P105" s="20">
        <f t="shared" si="28"/>
        <v>0.29250158227848128</v>
      </c>
      <c r="Q105" s="20">
        <f t="shared" si="25"/>
        <v>0.29250158227848128</v>
      </c>
      <c r="R105" s="19">
        <f t="shared" si="29"/>
        <v>369.72200000000032</v>
      </c>
      <c r="S105" s="23">
        <f t="shared" si="26"/>
        <v>1.1999999999999886</v>
      </c>
      <c r="T105" s="23">
        <f t="shared" si="30"/>
        <v>1.1324274851176597E-14</v>
      </c>
    </row>
    <row r="106" spans="1:20" x14ac:dyDescent="0.2">
      <c r="A106" s="40">
        <v>34799</v>
      </c>
      <c r="B106" s="3">
        <v>100</v>
      </c>
      <c r="C106" s="16">
        <f>ROUND(Data!BJ106,2)</f>
        <v>13.56</v>
      </c>
      <c r="D106" s="3">
        <f>ROUND(Data!R106,1)</f>
        <v>3.3</v>
      </c>
      <c r="E106" s="3">
        <f>ROUND(Data!AF106,1)</f>
        <v>-8</v>
      </c>
      <c r="F106" s="23">
        <f>Data!BO106</f>
        <v>44.2</v>
      </c>
      <c r="G106" s="3">
        <f>Data!Q106</f>
        <v>0</v>
      </c>
      <c r="H106" s="19">
        <f>Data!BF106</f>
        <v>1225</v>
      </c>
      <c r="I106" s="14">
        <f t="shared" si="27"/>
        <v>0</v>
      </c>
      <c r="J106" s="16">
        <f>Data!BS106</f>
        <v>0.6</v>
      </c>
      <c r="K106" s="31">
        <f t="shared" si="31"/>
        <v>0</v>
      </c>
      <c r="M106" s="23">
        <f t="shared" si="17"/>
        <v>155.99999999999997</v>
      </c>
      <c r="N106" s="23">
        <f t="shared" si="18"/>
        <v>166.79999999999998</v>
      </c>
      <c r="P106" s="20">
        <f t="shared" si="28"/>
        <v>0.30181387755102068</v>
      </c>
      <c r="Q106" s="20">
        <f t="shared" si="25"/>
        <v>0.30181387755102068</v>
      </c>
      <c r="R106" s="19">
        <f t="shared" si="29"/>
        <v>369.72200000000032</v>
      </c>
      <c r="S106" s="23">
        <f t="shared" si="26"/>
        <v>0</v>
      </c>
      <c r="T106" s="23">
        <f t="shared" si="30"/>
        <v>0</v>
      </c>
    </row>
    <row r="107" spans="1:20" x14ac:dyDescent="0.2">
      <c r="A107" s="40">
        <v>34800</v>
      </c>
      <c r="B107" s="3">
        <v>101</v>
      </c>
      <c r="C107" s="16">
        <f>ROUND(Data!BJ107,2)</f>
        <v>17.739999999999998</v>
      </c>
      <c r="D107" s="3">
        <f>ROUND(Data!R107,1)</f>
        <v>2.9</v>
      </c>
      <c r="E107" s="3">
        <f>ROUND(Data!AF107,1)</f>
        <v>-12.3</v>
      </c>
      <c r="F107" s="23">
        <f>Data!BO107</f>
        <v>36.1</v>
      </c>
      <c r="G107" s="3">
        <f>Data!Q107</f>
        <v>0</v>
      </c>
      <c r="H107" s="19">
        <f>Data!BF107</f>
        <v>1218</v>
      </c>
      <c r="I107" s="14">
        <f t="shared" si="27"/>
        <v>0</v>
      </c>
      <c r="J107" s="16">
        <f>Data!BS107</f>
        <v>3.1</v>
      </c>
      <c r="K107" s="31">
        <f t="shared" si="31"/>
        <v>0</v>
      </c>
      <c r="M107" s="23">
        <f t="shared" si="17"/>
        <v>159.09999999999997</v>
      </c>
      <c r="N107" s="23">
        <f t="shared" si="18"/>
        <v>166.79999999999998</v>
      </c>
      <c r="P107" s="20">
        <f t="shared" si="28"/>
        <v>0.30354844006568171</v>
      </c>
      <c r="Q107" s="20">
        <f t="shared" si="25"/>
        <v>0.30354844006568171</v>
      </c>
      <c r="R107" s="19">
        <f t="shared" si="29"/>
        <v>369.72200000000032</v>
      </c>
      <c r="S107" s="23">
        <f t="shared" si="26"/>
        <v>0</v>
      </c>
      <c r="T107" s="23">
        <f t="shared" si="30"/>
        <v>0</v>
      </c>
    </row>
    <row r="108" spans="1:20" x14ac:dyDescent="0.2">
      <c r="A108" s="40">
        <v>34801</v>
      </c>
      <c r="B108" s="3">
        <v>102</v>
      </c>
      <c r="C108" s="16">
        <f>ROUND(Data!BJ108,2)</f>
        <v>13.76</v>
      </c>
      <c r="D108" s="3">
        <f>ROUND(Data!R108,1)</f>
        <v>3.6</v>
      </c>
      <c r="E108" s="3">
        <f>ROUND(Data!AF108,1)</f>
        <v>-13.5</v>
      </c>
      <c r="F108" s="23">
        <f>Data!BO108</f>
        <v>24</v>
      </c>
      <c r="G108" s="3">
        <f>Data!Q108</f>
        <v>0</v>
      </c>
      <c r="H108" s="19">
        <f>Data!BF108</f>
        <v>1201</v>
      </c>
      <c r="I108" s="14">
        <f t="shared" si="27"/>
        <v>0</v>
      </c>
      <c r="J108" s="16">
        <f>Data!BS108</f>
        <v>0</v>
      </c>
      <c r="K108" s="31">
        <f t="shared" si="31"/>
        <v>0</v>
      </c>
      <c r="M108" s="23">
        <f t="shared" si="17"/>
        <v>159.09999999999997</v>
      </c>
      <c r="N108" s="23">
        <f t="shared" si="18"/>
        <v>166.79999999999998</v>
      </c>
      <c r="P108" s="20">
        <f t="shared" si="28"/>
        <v>0.30784512905911765</v>
      </c>
      <c r="Q108" s="20">
        <f t="shared" si="25"/>
        <v>0.30784512905911765</v>
      </c>
      <c r="R108" s="19">
        <f t="shared" si="29"/>
        <v>369.72200000000032</v>
      </c>
      <c r="S108" s="23">
        <f t="shared" si="26"/>
        <v>0</v>
      </c>
      <c r="T108" s="23">
        <f t="shared" si="30"/>
        <v>0</v>
      </c>
    </row>
    <row r="109" spans="1:20" x14ac:dyDescent="0.2">
      <c r="A109" s="40">
        <v>34802</v>
      </c>
      <c r="B109" s="3">
        <v>103</v>
      </c>
      <c r="C109" s="16">
        <f>ROUND(Data!BJ109,2)</f>
        <v>7.63</v>
      </c>
      <c r="D109" s="3">
        <f>ROUND(Data!R109,1)</f>
        <v>2</v>
      </c>
      <c r="E109" s="3">
        <f>ROUND(Data!AF109,1)</f>
        <v>-3</v>
      </c>
      <c r="F109" s="23">
        <f>Data!BO109</f>
        <v>59.9</v>
      </c>
      <c r="G109" s="3">
        <f>Data!Q109</f>
        <v>0</v>
      </c>
      <c r="H109" s="19">
        <f>Data!BF109</f>
        <v>1241</v>
      </c>
      <c r="I109" s="14">
        <f t="shared" si="27"/>
        <v>5.2</v>
      </c>
      <c r="J109" s="16">
        <f>Data!BS109</f>
        <v>10.7</v>
      </c>
      <c r="K109" s="31">
        <f t="shared" si="31"/>
        <v>5.2</v>
      </c>
      <c r="M109" s="23">
        <f t="shared" si="17"/>
        <v>169.79999999999995</v>
      </c>
      <c r="N109" s="23">
        <f t="shared" si="18"/>
        <v>171.99999999999997</v>
      </c>
      <c r="P109" s="20">
        <f t="shared" si="28"/>
        <v>0.3021128122481872</v>
      </c>
      <c r="Q109" s="20">
        <f t="shared" si="25"/>
        <v>0.3021128122481872</v>
      </c>
      <c r="R109" s="19">
        <f t="shared" si="29"/>
        <v>374.92200000000031</v>
      </c>
      <c r="S109" s="23">
        <f t="shared" si="26"/>
        <v>5.1999999999999886</v>
      </c>
      <c r="T109" s="23">
        <f t="shared" si="30"/>
        <v>1.1546319456101628E-14</v>
      </c>
    </row>
    <row r="110" spans="1:20" x14ac:dyDescent="0.2">
      <c r="A110" s="40">
        <v>34803</v>
      </c>
      <c r="B110" s="3">
        <v>104</v>
      </c>
      <c r="C110" s="16">
        <f>ROUND(Data!BJ110,2)</f>
        <v>10</v>
      </c>
      <c r="D110" s="3">
        <f>ROUND(Data!R110,1)</f>
        <v>-0.3</v>
      </c>
      <c r="E110" s="3">
        <f>ROUND(Data!AF110,1)</f>
        <v>-4.0999999999999996</v>
      </c>
      <c r="F110" s="23">
        <f>Data!BO110</f>
        <v>66.599999999999994</v>
      </c>
      <c r="G110" s="3">
        <f>Data!Q110</f>
        <v>0</v>
      </c>
      <c r="H110" s="19">
        <f>Data!BF110</f>
        <v>1247</v>
      </c>
      <c r="I110" s="14">
        <f t="shared" si="27"/>
        <v>0.8</v>
      </c>
      <c r="J110" s="16">
        <f>Data!BS110</f>
        <v>0.3</v>
      </c>
      <c r="K110" s="31">
        <f t="shared" si="31"/>
        <v>0.8</v>
      </c>
      <c r="M110" s="23">
        <f t="shared" si="17"/>
        <v>170.09999999999997</v>
      </c>
      <c r="N110" s="23">
        <f t="shared" si="18"/>
        <v>172.79999999999998</v>
      </c>
      <c r="P110" s="20">
        <f t="shared" si="28"/>
        <v>0.30130072173215744</v>
      </c>
      <c r="Q110" s="20">
        <f t="shared" si="25"/>
        <v>0.30130072173215744</v>
      </c>
      <c r="R110" s="19">
        <f t="shared" si="29"/>
        <v>375.72200000000032</v>
      </c>
      <c r="S110" s="23">
        <f t="shared" si="26"/>
        <v>0.80000000000001137</v>
      </c>
      <c r="T110" s="23">
        <f t="shared" si="30"/>
        <v>-1.1324274851176597E-14</v>
      </c>
    </row>
    <row r="111" spans="1:20" x14ac:dyDescent="0.2">
      <c r="A111" s="40">
        <v>34804</v>
      </c>
      <c r="B111" s="3">
        <v>105</v>
      </c>
      <c r="C111" s="16">
        <f>ROUND(Data!BJ111,2)</f>
        <v>12.44</v>
      </c>
      <c r="D111" s="3">
        <f>ROUND(Data!R111,1)</f>
        <v>2.4</v>
      </c>
      <c r="E111" s="3">
        <f>ROUND(Data!AF111,1)</f>
        <v>-11</v>
      </c>
      <c r="F111" s="23">
        <f>Data!BO111</f>
        <v>48.2</v>
      </c>
      <c r="G111" s="3">
        <f>Data!Q111</f>
        <v>0</v>
      </c>
      <c r="H111" s="19">
        <f>Data!BF111</f>
        <v>1226</v>
      </c>
      <c r="I111" s="14">
        <f t="shared" si="27"/>
        <v>0</v>
      </c>
      <c r="J111" s="16">
        <f>Data!BS111</f>
        <v>0.6</v>
      </c>
      <c r="K111" s="31">
        <f t="shared" si="31"/>
        <v>0</v>
      </c>
      <c r="M111" s="23">
        <f t="shared" si="17"/>
        <v>170.69999999999996</v>
      </c>
      <c r="N111" s="23">
        <f t="shared" si="18"/>
        <v>172.79999999999998</v>
      </c>
      <c r="P111" s="20">
        <f t="shared" si="28"/>
        <v>0.306461663947798</v>
      </c>
      <c r="Q111" s="20">
        <f t="shared" si="25"/>
        <v>0.306461663947798</v>
      </c>
      <c r="R111" s="19">
        <f t="shared" si="29"/>
        <v>375.72200000000038</v>
      </c>
      <c r="S111" s="23">
        <f t="shared" si="26"/>
        <v>0</v>
      </c>
      <c r="T111" s="23">
        <f t="shared" si="30"/>
        <v>0</v>
      </c>
    </row>
    <row r="112" spans="1:20" x14ac:dyDescent="0.2">
      <c r="A112" s="40">
        <v>34805</v>
      </c>
      <c r="B112" s="3">
        <v>106</v>
      </c>
      <c r="C112" s="16">
        <f>ROUND(Data!BJ112,2)</f>
        <v>21.12</v>
      </c>
      <c r="D112" s="3">
        <f>ROUND(Data!R112,1)</f>
        <v>5.5</v>
      </c>
      <c r="E112" s="3">
        <f>ROUND(Data!AF112,1)</f>
        <v>-14.7</v>
      </c>
      <c r="F112" s="23">
        <f>Data!BO112</f>
        <v>26.5</v>
      </c>
      <c r="G112" s="3">
        <f>Data!Q112</f>
        <v>0</v>
      </c>
      <c r="H112" s="19">
        <f>Data!BF112</f>
        <v>1180</v>
      </c>
      <c r="I112" s="14">
        <f t="shared" si="27"/>
        <v>0</v>
      </c>
      <c r="J112" s="16">
        <f>Data!BS112</f>
        <v>0</v>
      </c>
      <c r="K112" s="31">
        <f t="shared" si="31"/>
        <v>0</v>
      </c>
      <c r="M112" s="23">
        <f t="shared" si="17"/>
        <v>170.69999999999996</v>
      </c>
      <c r="N112" s="23">
        <f t="shared" si="18"/>
        <v>172.79999999999998</v>
      </c>
      <c r="P112" s="20">
        <f t="shared" si="28"/>
        <v>0.31840847457627153</v>
      </c>
      <c r="Q112" s="20">
        <f t="shared" si="25"/>
        <v>0.31840847457627153</v>
      </c>
      <c r="R112" s="19">
        <f t="shared" si="29"/>
        <v>375.72200000000038</v>
      </c>
      <c r="S112" s="23">
        <f t="shared" si="26"/>
        <v>0</v>
      </c>
      <c r="T112" s="23">
        <f t="shared" si="30"/>
        <v>0</v>
      </c>
    </row>
    <row r="113" spans="1:20" x14ac:dyDescent="0.2">
      <c r="A113" s="40">
        <v>34806</v>
      </c>
      <c r="B113" s="3">
        <v>107</v>
      </c>
      <c r="C113" s="16">
        <f>ROUND(Data!BJ113,2)</f>
        <v>9</v>
      </c>
      <c r="D113" s="3">
        <f>ROUND(Data!R113,1)</f>
        <v>3.1</v>
      </c>
      <c r="E113" s="3">
        <f>ROUND(Data!AF113,1)</f>
        <v>-5.4</v>
      </c>
      <c r="F113" s="23">
        <f>Data!BO113</f>
        <v>41.5</v>
      </c>
      <c r="G113" s="3">
        <f>Data!Q113</f>
        <v>0</v>
      </c>
      <c r="H113" s="19">
        <f>Data!BF113</f>
        <v>1170</v>
      </c>
      <c r="I113" s="14">
        <f t="shared" si="27"/>
        <v>0</v>
      </c>
      <c r="J113" s="16">
        <f>Data!BS113</f>
        <v>0</v>
      </c>
      <c r="K113" s="31">
        <f t="shared" si="31"/>
        <v>0</v>
      </c>
      <c r="M113" s="23">
        <f t="shared" si="17"/>
        <v>170.69999999999996</v>
      </c>
      <c r="N113" s="23">
        <f t="shared" si="18"/>
        <v>172.79999999999998</v>
      </c>
      <c r="P113" s="20">
        <f t="shared" si="28"/>
        <v>0.32112991452991485</v>
      </c>
      <c r="Q113" s="20">
        <f t="shared" si="25"/>
        <v>0.32112991452991485</v>
      </c>
      <c r="R113" s="19">
        <f t="shared" si="29"/>
        <v>375.72200000000038</v>
      </c>
      <c r="S113" s="23">
        <f t="shared" si="26"/>
        <v>0</v>
      </c>
      <c r="T113" s="23">
        <f t="shared" si="30"/>
        <v>0</v>
      </c>
    </row>
    <row r="114" spans="1:20" x14ac:dyDescent="0.2">
      <c r="A114" s="40">
        <v>34807</v>
      </c>
      <c r="B114" s="3">
        <v>108</v>
      </c>
      <c r="C114" s="16">
        <f>ROUND(Data!BJ114,2)</f>
        <v>11.34</v>
      </c>
      <c r="D114" s="3">
        <f>ROUND(Data!R114,1)</f>
        <v>5</v>
      </c>
      <c r="E114" s="3">
        <f>ROUND(Data!AF114,1)</f>
        <v>-4.9000000000000004</v>
      </c>
      <c r="F114" s="23">
        <f>Data!BO114</f>
        <v>60.9</v>
      </c>
      <c r="G114" s="3">
        <f>Data!Q114</f>
        <v>0</v>
      </c>
      <c r="H114" s="19">
        <f>Data!BF114</f>
        <v>1150</v>
      </c>
      <c r="I114" s="14">
        <f t="shared" si="27"/>
        <v>0</v>
      </c>
      <c r="J114" s="16">
        <f>Data!BS114</f>
        <v>0</v>
      </c>
      <c r="K114" s="31">
        <f t="shared" si="31"/>
        <v>0</v>
      </c>
      <c r="M114" s="23">
        <f t="shared" si="17"/>
        <v>170.69999999999996</v>
      </c>
      <c r="N114" s="23">
        <f t="shared" si="18"/>
        <v>172.79999999999998</v>
      </c>
      <c r="P114" s="20">
        <f t="shared" si="28"/>
        <v>0.32671478260869596</v>
      </c>
      <c r="Q114" s="20">
        <f t="shared" si="25"/>
        <v>0.32671478260869596</v>
      </c>
      <c r="R114" s="19">
        <f t="shared" si="29"/>
        <v>375.72200000000038</v>
      </c>
      <c r="S114" s="23">
        <f t="shared" si="26"/>
        <v>0</v>
      </c>
      <c r="T114" s="23">
        <f t="shared" si="30"/>
        <v>0</v>
      </c>
    </row>
    <row r="115" spans="1:20" x14ac:dyDescent="0.2">
      <c r="A115" s="40">
        <v>34808</v>
      </c>
      <c r="B115" s="3">
        <v>109</v>
      </c>
      <c r="C115" s="16">
        <f>ROUND(Data!BJ115,2)</f>
        <v>8.17</v>
      </c>
      <c r="D115" s="3">
        <f>ROUND(Data!R115,1)</f>
        <v>0.5</v>
      </c>
      <c r="E115" s="3">
        <f>ROUND(Data!AF115,1)</f>
        <v>-6.1</v>
      </c>
      <c r="F115" s="23">
        <f>Data!BO115</f>
        <v>90.8</v>
      </c>
      <c r="G115" s="3">
        <f>Data!Q115</f>
        <v>0</v>
      </c>
      <c r="H115" s="19">
        <f>Data!BF115</f>
        <v>1215</v>
      </c>
      <c r="I115" s="14">
        <f t="shared" si="27"/>
        <v>8.5</v>
      </c>
      <c r="J115" s="16">
        <f>Data!BS115</f>
        <v>5.6</v>
      </c>
      <c r="K115" s="31">
        <f t="shared" si="31"/>
        <v>8.5</v>
      </c>
      <c r="M115" s="23">
        <f t="shared" si="17"/>
        <v>176.29999999999995</v>
      </c>
      <c r="N115" s="23">
        <f t="shared" si="18"/>
        <v>181.29999999999998</v>
      </c>
      <c r="P115" s="20">
        <f t="shared" si="28"/>
        <v>0.3162320987654324</v>
      </c>
      <c r="Q115" s="20">
        <f t="shared" si="25"/>
        <v>0.3162320987654324</v>
      </c>
      <c r="R115" s="19">
        <f t="shared" si="29"/>
        <v>384.22200000000038</v>
      </c>
      <c r="S115" s="23">
        <f t="shared" si="26"/>
        <v>8.5</v>
      </c>
      <c r="T115" s="23">
        <f t="shared" si="30"/>
        <v>0</v>
      </c>
    </row>
    <row r="116" spans="1:20" x14ac:dyDescent="0.2">
      <c r="A116" s="40">
        <v>34809</v>
      </c>
      <c r="B116" s="3">
        <v>110</v>
      </c>
      <c r="C116" s="16">
        <f>ROUND(Data!BJ116,2)</f>
        <v>15.09</v>
      </c>
      <c r="D116" s="3">
        <f>ROUND(Data!R116,1)</f>
        <v>5.6</v>
      </c>
      <c r="E116" s="3">
        <f>ROUND(Data!AF116,1)</f>
        <v>-7.6</v>
      </c>
      <c r="F116" s="23">
        <f>Data!BO116</f>
        <v>41.8</v>
      </c>
      <c r="G116" s="3">
        <f>Data!Q116</f>
        <v>0</v>
      </c>
      <c r="H116" s="19">
        <f>Data!BF116</f>
        <v>1172</v>
      </c>
      <c r="I116" s="14">
        <f t="shared" si="27"/>
        <v>0</v>
      </c>
      <c r="J116" s="16">
        <f>Data!BS116</f>
        <v>0.3</v>
      </c>
      <c r="K116" s="31">
        <f t="shared" si="31"/>
        <v>0</v>
      </c>
      <c r="M116" s="23">
        <f t="shared" si="17"/>
        <v>176.59999999999997</v>
      </c>
      <c r="N116" s="23">
        <f t="shared" si="18"/>
        <v>181.29999999999998</v>
      </c>
      <c r="P116" s="20">
        <f t="shared" si="28"/>
        <v>0.32783447098976143</v>
      </c>
      <c r="Q116" s="20">
        <f t="shared" si="25"/>
        <v>0.32783447098976143</v>
      </c>
      <c r="R116" s="19">
        <f t="shared" si="29"/>
        <v>384.22200000000038</v>
      </c>
      <c r="S116" s="23">
        <f t="shared" si="26"/>
        <v>0</v>
      </c>
      <c r="T116" s="23">
        <f t="shared" si="30"/>
        <v>0</v>
      </c>
    </row>
    <row r="117" spans="1:20" x14ac:dyDescent="0.2">
      <c r="A117" s="40">
        <v>34810</v>
      </c>
      <c r="B117" s="3">
        <v>111</v>
      </c>
      <c r="C117" s="16">
        <f>ROUND(Data!BJ117,2)</f>
        <v>22.41</v>
      </c>
      <c r="D117" s="3">
        <f>ROUND(Data!R117,1)</f>
        <v>7.1</v>
      </c>
      <c r="E117" s="3">
        <f>ROUND(Data!AF117,1)</f>
        <v>-10</v>
      </c>
      <c r="F117" s="23">
        <f>Data!BO117</f>
        <v>37.1</v>
      </c>
      <c r="G117" s="3">
        <f>Data!Q117</f>
        <v>0</v>
      </c>
      <c r="H117" s="19">
        <f>Data!BF117</f>
        <v>1144</v>
      </c>
      <c r="I117" s="14">
        <f t="shared" si="27"/>
        <v>0</v>
      </c>
      <c r="J117" s="16">
        <f>Data!BS117</f>
        <v>0</v>
      </c>
      <c r="K117" s="31">
        <f t="shared" si="31"/>
        <v>0</v>
      </c>
      <c r="M117" s="23">
        <f t="shared" si="17"/>
        <v>176.59999999999997</v>
      </c>
      <c r="N117" s="23">
        <f t="shared" si="18"/>
        <v>181.29999999999998</v>
      </c>
      <c r="P117" s="20">
        <f t="shared" si="28"/>
        <v>0.33585839160839193</v>
      </c>
      <c r="Q117" s="20">
        <f t="shared" si="25"/>
        <v>0.33585839160839193</v>
      </c>
      <c r="R117" s="19">
        <f t="shared" si="29"/>
        <v>384.22200000000038</v>
      </c>
      <c r="S117" s="23">
        <f t="shared" si="26"/>
        <v>0</v>
      </c>
      <c r="T117" s="23">
        <f t="shared" si="30"/>
        <v>0</v>
      </c>
    </row>
    <row r="118" spans="1:20" x14ac:dyDescent="0.2">
      <c r="A118" s="40">
        <v>34811</v>
      </c>
      <c r="B118" s="3">
        <v>112</v>
      </c>
      <c r="C118" s="16">
        <f>ROUND(Data!BJ118,2)</f>
        <v>25.6</v>
      </c>
      <c r="D118" s="3">
        <f>ROUND(Data!R118,1)</f>
        <v>9.8000000000000007</v>
      </c>
      <c r="E118" s="3">
        <f>ROUND(Data!AF118,1)</f>
        <v>-7.9</v>
      </c>
      <c r="F118" s="23">
        <f>Data!BO118</f>
        <v>30.3</v>
      </c>
      <c r="G118" s="3">
        <f>Data!Q118</f>
        <v>0</v>
      </c>
      <c r="H118" s="19">
        <f>Data!BF118</f>
        <v>1103</v>
      </c>
      <c r="I118" s="14">
        <f t="shared" si="27"/>
        <v>0</v>
      </c>
      <c r="J118" s="16">
        <f>Data!BS118</f>
        <v>0</v>
      </c>
      <c r="K118" s="31">
        <f t="shared" si="31"/>
        <v>0</v>
      </c>
      <c r="M118" s="23">
        <f t="shared" si="17"/>
        <v>176.59999999999997</v>
      </c>
      <c r="N118" s="23">
        <f t="shared" si="18"/>
        <v>181.29999999999998</v>
      </c>
      <c r="P118" s="20">
        <f t="shared" si="28"/>
        <v>0.34834270172257514</v>
      </c>
      <c r="Q118" s="20">
        <f t="shared" si="25"/>
        <v>0.34834270172257514</v>
      </c>
      <c r="R118" s="19">
        <f t="shared" si="29"/>
        <v>384.22200000000038</v>
      </c>
      <c r="S118" s="23">
        <f t="shared" si="26"/>
        <v>0</v>
      </c>
      <c r="T118" s="23">
        <f t="shared" si="30"/>
        <v>0</v>
      </c>
    </row>
    <row r="119" spans="1:20" x14ac:dyDescent="0.2">
      <c r="A119" s="40">
        <v>34812</v>
      </c>
      <c r="B119" s="3">
        <v>113</v>
      </c>
      <c r="C119" s="16">
        <f>ROUND(Data!BJ119,2)</f>
        <v>25.12</v>
      </c>
      <c r="D119" s="3">
        <f>ROUND(Data!R119,1)</f>
        <v>11.5</v>
      </c>
      <c r="E119" s="3">
        <f>ROUND(Data!AF119,1)</f>
        <v>-7.4</v>
      </c>
      <c r="F119" s="23">
        <f>Data!BO119</f>
        <v>24.9</v>
      </c>
      <c r="G119" s="3">
        <f>Data!Q119</f>
        <v>0</v>
      </c>
      <c r="H119" s="19">
        <f>Data!BF119</f>
        <v>1047</v>
      </c>
      <c r="I119" s="14">
        <f t="shared" si="27"/>
        <v>0</v>
      </c>
      <c r="J119" s="16">
        <f>Data!BS119</f>
        <v>0</v>
      </c>
      <c r="K119" s="31">
        <f t="shared" si="31"/>
        <v>0</v>
      </c>
      <c r="M119" s="23">
        <f t="shared" si="17"/>
        <v>176.59999999999997</v>
      </c>
      <c r="N119" s="23">
        <f t="shared" si="18"/>
        <v>181.29999999999998</v>
      </c>
      <c r="P119" s="20">
        <f t="shared" si="28"/>
        <v>0.3669742120343843</v>
      </c>
      <c r="Q119" s="20">
        <f t="shared" si="25"/>
        <v>0.3669742120343843</v>
      </c>
      <c r="R119" s="19">
        <f t="shared" si="29"/>
        <v>384.22200000000038</v>
      </c>
      <c r="S119" s="23">
        <f t="shared" si="26"/>
        <v>0</v>
      </c>
      <c r="T119" s="23">
        <f t="shared" si="30"/>
        <v>0</v>
      </c>
    </row>
    <row r="120" spans="1:20" x14ac:dyDescent="0.2">
      <c r="A120" s="40">
        <v>34813</v>
      </c>
      <c r="B120" s="3">
        <v>114</v>
      </c>
      <c r="C120" s="16">
        <f>ROUND(Data!BJ120,2)</f>
        <v>14.15</v>
      </c>
      <c r="D120" s="3">
        <f>ROUND(Data!R120,1)</f>
        <v>6.9</v>
      </c>
      <c r="E120" s="3">
        <f>ROUND(Data!AF120,1)</f>
        <v>-3.1</v>
      </c>
      <c r="F120" s="23">
        <f>Data!BO120</f>
        <v>46.5</v>
      </c>
      <c r="G120" s="3">
        <f>Data!Q120</f>
        <v>0</v>
      </c>
      <c r="H120" s="19">
        <f>Data!BF120</f>
        <v>1029</v>
      </c>
      <c r="I120" s="14">
        <f t="shared" si="27"/>
        <v>0</v>
      </c>
      <c r="J120" s="16">
        <f>Data!BS120</f>
        <v>0</v>
      </c>
      <c r="K120" s="31">
        <f t="shared" si="31"/>
        <v>0</v>
      </c>
      <c r="M120" s="23">
        <f t="shared" si="17"/>
        <v>176.59999999999997</v>
      </c>
      <c r="N120" s="23">
        <f t="shared" si="18"/>
        <v>181.29999999999998</v>
      </c>
      <c r="P120" s="20">
        <f t="shared" si="28"/>
        <v>0.37339358600583128</v>
      </c>
      <c r="Q120" s="20">
        <f t="shared" si="25"/>
        <v>0.37339358600583128</v>
      </c>
      <c r="R120" s="19">
        <f t="shared" si="29"/>
        <v>384.22200000000038</v>
      </c>
      <c r="S120" s="23">
        <f t="shared" si="26"/>
        <v>0</v>
      </c>
      <c r="T120" s="23">
        <f t="shared" si="30"/>
        <v>0</v>
      </c>
    </row>
    <row r="121" spans="1:20" x14ac:dyDescent="0.2">
      <c r="A121" s="40">
        <v>34814</v>
      </c>
      <c r="B121" s="3">
        <v>115</v>
      </c>
      <c r="C121" s="16">
        <f>ROUND(Data!BJ121,2)</f>
        <v>21.65</v>
      </c>
      <c r="D121" s="3">
        <f>ROUND(Data!R121,1)</f>
        <v>10.6</v>
      </c>
      <c r="E121" s="3">
        <f>ROUND(Data!AF121,1)</f>
        <v>-5.9</v>
      </c>
      <c r="F121" s="23">
        <f>Data!BO121</f>
        <v>20.8</v>
      </c>
      <c r="G121" s="3">
        <f>Data!Q121</f>
        <v>0</v>
      </c>
      <c r="H121" s="19">
        <f>Data!BF121</f>
        <v>999</v>
      </c>
      <c r="I121" s="14">
        <f t="shared" si="27"/>
        <v>0</v>
      </c>
      <c r="J121" s="16">
        <f>Data!BS121</f>
        <v>0</v>
      </c>
      <c r="K121" s="31">
        <f t="shared" si="31"/>
        <v>0</v>
      </c>
      <c r="M121" s="23">
        <f t="shared" si="17"/>
        <v>176.59999999999997</v>
      </c>
      <c r="N121" s="23">
        <f t="shared" si="18"/>
        <v>181.29999999999998</v>
      </c>
      <c r="P121" s="20">
        <f t="shared" si="28"/>
        <v>0.384606606606607</v>
      </c>
      <c r="Q121" s="20">
        <f t="shared" si="25"/>
        <v>0.384606606606607</v>
      </c>
      <c r="R121" s="19">
        <f t="shared" si="29"/>
        <v>384.22200000000038</v>
      </c>
      <c r="S121" s="23">
        <f t="shared" si="26"/>
        <v>0</v>
      </c>
      <c r="T121" s="23">
        <f t="shared" si="30"/>
        <v>0</v>
      </c>
    </row>
    <row r="122" spans="1:20" x14ac:dyDescent="0.2">
      <c r="A122" s="40">
        <v>34815</v>
      </c>
      <c r="B122" s="3">
        <v>116</v>
      </c>
      <c r="C122" s="16">
        <f>ROUND(Data!BJ122,2)</f>
        <v>10.56</v>
      </c>
      <c r="D122" s="3">
        <f>ROUND(Data!R122,1)</f>
        <v>6.8</v>
      </c>
      <c r="E122" s="3">
        <f>ROUND(Data!AF122,1)</f>
        <v>-4.0999999999999996</v>
      </c>
      <c r="F122" s="23">
        <f>Data!BO122</f>
        <v>44.4</v>
      </c>
      <c r="G122" s="3">
        <f>Data!Q122</f>
        <v>0</v>
      </c>
      <c r="H122" s="19">
        <f>Data!BF122</f>
        <v>987</v>
      </c>
      <c r="I122" s="14">
        <f t="shared" si="27"/>
        <v>0</v>
      </c>
      <c r="J122" s="16">
        <f>Data!BS122</f>
        <v>0</v>
      </c>
      <c r="K122" s="31">
        <f t="shared" si="31"/>
        <v>0</v>
      </c>
      <c r="M122" s="23">
        <f t="shared" si="17"/>
        <v>176.59999999999997</v>
      </c>
      <c r="N122" s="23">
        <f t="shared" si="18"/>
        <v>181.29999999999998</v>
      </c>
      <c r="P122" s="20">
        <f t="shared" si="28"/>
        <v>0.38928267477203687</v>
      </c>
      <c r="Q122" s="20">
        <f t="shared" si="25"/>
        <v>0.38928267477203687</v>
      </c>
      <c r="R122" s="19">
        <f t="shared" si="29"/>
        <v>384.22200000000038</v>
      </c>
      <c r="S122" s="23">
        <f t="shared" si="26"/>
        <v>0</v>
      </c>
      <c r="T122" s="23">
        <f t="shared" si="30"/>
        <v>0</v>
      </c>
    </row>
    <row r="123" spans="1:20" x14ac:dyDescent="0.2">
      <c r="A123" s="40">
        <v>34816</v>
      </c>
      <c r="B123" s="3">
        <v>117</v>
      </c>
      <c r="C123" s="16">
        <f>ROUND(Data!BJ123,2)</f>
        <v>25.42</v>
      </c>
      <c r="D123" s="3">
        <f>ROUND(Data!R123,1)</f>
        <v>9.5</v>
      </c>
      <c r="E123" s="3">
        <f>ROUND(Data!AF123,1)</f>
        <v>-0.3</v>
      </c>
      <c r="F123" s="23">
        <f>Data!BO123</f>
        <v>29.9</v>
      </c>
      <c r="G123" s="3">
        <f>Data!Q123</f>
        <v>0</v>
      </c>
      <c r="H123" s="19">
        <f>Data!BF123</f>
        <v>966</v>
      </c>
      <c r="I123" s="14">
        <f t="shared" si="27"/>
        <v>0</v>
      </c>
      <c r="J123" s="16">
        <f>Data!BS123</f>
        <v>1.4</v>
      </c>
      <c r="K123" s="31">
        <f t="shared" si="31"/>
        <v>0</v>
      </c>
      <c r="M123" s="23">
        <f t="shared" si="17"/>
        <v>177.99999999999997</v>
      </c>
      <c r="N123" s="23">
        <f t="shared" si="18"/>
        <v>181.29999999999998</v>
      </c>
      <c r="P123" s="20">
        <f t="shared" si="28"/>
        <v>0.39774534161490721</v>
      </c>
      <c r="Q123" s="20">
        <f t="shared" si="25"/>
        <v>0.39774534161490721</v>
      </c>
      <c r="R123" s="19">
        <f t="shared" si="29"/>
        <v>384.22200000000038</v>
      </c>
      <c r="S123" s="23">
        <f t="shared" si="26"/>
        <v>0</v>
      </c>
      <c r="T123" s="23">
        <f t="shared" si="30"/>
        <v>0</v>
      </c>
    </row>
    <row r="124" spans="1:20" x14ac:dyDescent="0.2">
      <c r="A124" s="40">
        <v>34817</v>
      </c>
      <c r="B124" s="3">
        <v>118</v>
      </c>
      <c r="C124" s="16">
        <f>ROUND(Data!BJ124,2)</f>
        <v>16.45</v>
      </c>
      <c r="D124" s="3">
        <f>ROUND(Data!R124,1)</f>
        <v>9.1999999999999993</v>
      </c>
      <c r="E124" s="3">
        <f>ROUND(Data!AF124,1)</f>
        <v>-1.8</v>
      </c>
      <c r="F124" s="23">
        <f>Data!BO124</f>
        <v>29.3</v>
      </c>
      <c r="G124" s="3">
        <f>Data!Q124</f>
        <v>0</v>
      </c>
      <c r="H124" s="19">
        <f>Data!BF124</f>
        <v>943</v>
      </c>
      <c r="I124" s="14">
        <f t="shared" si="27"/>
        <v>0</v>
      </c>
      <c r="J124" s="16">
        <f>Data!BS124</f>
        <v>0</v>
      </c>
      <c r="K124" s="31">
        <f t="shared" si="31"/>
        <v>0</v>
      </c>
      <c r="M124" s="23">
        <f t="shared" si="17"/>
        <v>177.99999999999997</v>
      </c>
      <c r="N124" s="23">
        <f t="shared" si="18"/>
        <v>181.29999999999998</v>
      </c>
      <c r="P124" s="20">
        <f t="shared" si="28"/>
        <v>0.40744644750795372</v>
      </c>
      <c r="Q124" s="20">
        <f t="shared" si="25"/>
        <v>0.4</v>
      </c>
      <c r="R124" s="19">
        <f t="shared" si="29"/>
        <v>377.20000000000005</v>
      </c>
      <c r="S124" s="23">
        <f t="shared" si="26"/>
        <v>-7.0220000000003324</v>
      </c>
      <c r="T124" s="23">
        <f t="shared" si="30"/>
        <v>7.0220000000003324</v>
      </c>
    </row>
    <row r="125" spans="1:20" x14ac:dyDescent="0.2">
      <c r="A125" s="40">
        <v>34818</v>
      </c>
      <c r="B125" s="3">
        <v>119</v>
      </c>
      <c r="C125" s="16">
        <f>ROUND(Data!BJ125,2)</f>
        <v>18.47</v>
      </c>
      <c r="D125" s="3">
        <f>ROUND(Data!R125,1)</f>
        <v>6.4</v>
      </c>
      <c r="E125" s="3">
        <f>ROUND(Data!AF125,1)</f>
        <v>-1.5</v>
      </c>
      <c r="F125" s="23">
        <f>Data!BO125</f>
        <v>34.299999999999997</v>
      </c>
      <c r="G125" s="3">
        <f>Data!Q125</f>
        <v>0</v>
      </c>
      <c r="H125" s="19">
        <f>Data!BF125</f>
        <v>919</v>
      </c>
      <c r="I125" s="14">
        <f t="shared" si="27"/>
        <v>0</v>
      </c>
      <c r="J125" s="16">
        <f>Data!BS125</f>
        <v>0</v>
      </c>
      <c r="K125" s="31">
        <f t="shared" si="31"/>
        <v>0</v>
      </c>
      <c r="M125" s="23">
        <f t="shared" si="17"/>
        <v>177.99999999999997</v>
      </c>
      <c r="N125" s="23">
        <f t="shared" si="18"/>
        <v>181.29999999999998</v>
      </c>
      <c r="P125" s="20">
        <f t="shared" si="28"/>
        <v>0.41044613710554956</v>
      </c>
      <c r="Q125" s="20">
        <f t="shared" si="25"/>
        <v>0.4</v>
      </c>
      <c r="R125" s="19">
        <f t="shared" si="29"/>
        <v>367.6</v>
      </c>
      <c r="S125" s="23">
        <f t="shared" si="26"/>
        <v>-9.6000000000000227</v>
      </c>
      <c r="T125" s="23">
        <f t="shared" si="30"/>
        <v>9.6000000000000227</v>
      </c>
    </row>
    <row r="126" spans="1:20" x14ac:dyDescent="0.2">
      <c r="A126" s="40">
        <v>34819</v>
      </c>
      <c r="B126" s="3">
        <v>120</v>
      </c>
      <c r="C126" s="16">
        <f>ROUND(Data!BJ126,2)</f>
        <v>11.47</v>
      </c>
      <c r="D126" s="3">
        <f>ROUND(Data!R126,1)</f>
        <v>5</v>
      </c>
      <c r="E126" s="3">
        <f>ROUND(Data!AF126,1)</f>
        <v>-1.8</v>
      </c>
      <c r="F126" s="23">
        <f>Data!BO126</f>
        <v>40.299999999999997</v>
      </c>
      <c r="G126" s="3">
        <f>Data!Q126</f>
        <v>0</v>
      </c>
      <c r="H126" s="19">
        <f>Data!BF126</f>
        <v>911</v>
      </c>
      <c r="I126" s="14">
        <f t="shared" si="27"/>
        <v>0</v>
      </c>
      <c r="J126" s="16">
        <f>Data!BS126</f>
        <v>1.4</v>
      </c>
      <c r="K126" s="31">
        <f t="shared" si="31"/>
        <v>0</v>
      </c>
      <c r="M126" s="23">
        <f t="shared" si="17"/>
        <v>179.39999999999998</v>
      </c>
      <c r="N126" s="23">
        <f t="shared" si="18"/>
        <v>181.29999999999998</v>
      </c>
      <c r="P126" s="20">
        <f t="shared" si="28"/>
        <v>0.40351262349066963</v>
      </c>
      <c r="Q126" s="20">
        <f t="shared" si="25"/>
        <v>0.4</v>
      </c>
      <c r="R126" s="19">
        <f t="shared" si="29"/>
        <v>364.40000000000003</v>
      </c>
      <c r="S126" s="23">
        <f t="shared" si="26"/>
        <v>-3.1999999999999886</v>
      </c>
      <c r="T126" s="23">
        <f t="shared" si="30"/>
        <v>3.1999999999999886</v>
      </c>
    </row>
    <row r="127" spans="1:20" x14ac:dyDescent="0.2">
      <c r="A127" s="40">
        <v>34820</v>
      </c>
      <c r="B127" s="3">
        <v>121</v>
      </c>
      <c r="C127" s="16">
        <f>ROUND(Data!BJ127,2)</f>
        <v>16.87</v>
      </c>
      <c r="D127" s="3">
        <f>ROUND(Data!R127,1)</f>
        <v>9</v>
      </c>
      <c r="E127" s="3">
        <f>ROUND(Data!AF127,1)</f>
        <v>-2.7</v>
      </c>
      <c r="F127" s="23">
        <f>Data!BO127</f>
        <v>33.299999999999997</v>
      </c>
      <c r="G127" s="3">
        <f>Data!Q127</f>
        <v>0</v>
      </c>
      <c r="H127" s="19">
        <f>Data!BF127</f>
        <v>871</v>
      </c>
      <c r="I127" s="14">
        <f t="shared" si="27"/>
        <v>0</v>
      </c>
      <c r="J127" s="16">
        <f>Data!BS127</f>
        <v>0</v>
      </c>
      <c r="K127" s="31">
        <f t="shared" si="31"/>
        <v>0</v>
      </c>
      <c r="M127" s="23">
        <f t="shared" si="17"/>
        <v>179.39999999999998</v>
      </c>
      <c r="N127" s="23">
        <f t="shared" si="18"/>
        <v>181.29999999999998</v>
      </c>
      <c r="P127" s="20">
        <f t="shared" si="28"/>
        <v>0.41836969001148111</v>
      </c>
      <c r="Q127" s="20">
        <f t="shared" si="25"/>
        <v>0.4</v>
      </c>
      <c r="R127" s="19">
        <f t="shared" si="29"/>
        <v>348.40000000000003</v>
      </c>
      <c r="S127" s="23">
        <f t="shared" si="26"/>
        <v>-16</v>
      </c>
      <c r="T127" s="23">
        <f t="shared" si="30"/>
        <v>16</v>
      </c>
    </row>
    <row r="128" spans="1:20" x14ac:dyDescent="0.2">
      <c r="A128" s="40">
        <v>34821</v>
      </c>
      <c r="B128" s="3">
        <v>122</v>
      </c>
      <c r="C128" s="16">
        <f>ROUND(Data!BJ128,2)</f>
        <v>10.61</v>
      </c>
      <c r="D128" s="3">
        <f>ROUND(Data!R128,1)</f>
        <v>8.8000000000000007</v>
      </c>
      <c r="E128" s="3">
        <f>ROUND(Data!AF128,1)</f>
        <v>-1.4</v>
      </c>
      <c r="F128" s="23">
        <f>Data!BO128</f>
        <v>48.1</v>
      </c>
      <c r="G128" s="3">
        <f>Data!Q128</f>
        <v>0</v>
      </c>
      <c r="H128" s="19">
        <f>Data!BF128</f>
        <v>846</v>
      </c>
      <c r="I128" s="14">
        <f t="shared" si="27"/>
        <v>0</v>
      </c>
      <c r="J128" s="16">
        <f>Data!BS128</f>
        <v>2.8</v>
      </c>
      <c r="K128" s="31">
        <f t="shared" si="31"/>
        <v>0</v>
      </c>
      <c r="M128" s="23">
        <f t="shared" si="17"/>
        <v>182.2</v>
      </c>
      <c r="N128" s="23">
        <f t="shared" si="18"/>
        <v>181.29999999999998</v>
      </c>
      <c r="P128" s="20">
        <f t="shared" si="28"/>
        <v>0.41182033096926718</v>
      </c>
      <c r="Q128" s="20">
        <f t="shared" si="25"/>
        <v>0.4</v>
      </c>
      <c r="R128" s="19">
        <f t="shared" si="29"/>
        <v>338.40000000000003</v>
      </c>
      <c r="S128" s="23">
        <f t="shared" si="26"/>
        <v>-10</v>
      </c>
      <c r="T128" s="23">
        <f t="shared" si="30"/>
        <v>10</v>
      </c>
    </row>
    <row r="129" spans="1:21" x14ac:dyDescent="0.2">
      <c r="A129" s="40">
        <v>34822</v>
      </c>
      <c r="B129" s="3">
        <v>123</v>
      </c>
      <c r="C129" s="16">
        <f>ROUND(Data!BJ129,2)</f>
        <v>8.8000000000000007</v>
      </c>
      <c r="D129" s="3">
        <f>ROUND(Data!R129,1)</f>
        <v>5.0999999999999996</v>
      </c>
      <c r="E129" s="3">
        <f>ROUND(Data!AF129,1)</f>
        <v>-2</v>
      </c>
      <c r="F129" s="23">
        <f>Data!BO129</f>
        <v>66.400000000000006</v>
      </c>
      <c r="G129" s="3">
        <f>Data!Q129</f>
        <v>0</v>
      </c>
      <c r="H129" s="19">
        <f>Data!BF129</f>
        <v>855</v>
      </c>
      <c r="I129" s="14">
        <f t="shared" si="27"/>
        <v>1.2</v>
      </c>
      <c r="J129" s="16">
        <f>Data!BS129</f>
        <v>2.8</v>
      </c>
      <c r="K129" s="31">
        <f t="shared" si="31"/>
        <v>1.2</v>
      </c>
      <c r="M129" s="23">
        <f t="shared" si="17"/>
        <v>185</v>
      </c>
      <c r="N129" s="23">
        <f t="shared" si="18"/>
        <v>182.49999999999997</v>
      </c>
      <c r="P129" s="20">
        <f t="shared" si="28"/>
        <v>0.39719298245614038</v>
      </c>
      <c r="Q129" s="20">
        <f t="shared" si="25"/>
        <v>0.39719298245614038</v>
      </c>
      <c r="R129" s="19">
        <f t="shared" si="29"/>
        <v>339.6</v>
      </c>
      <c r="S129" s="23">
        <f t="shared" si="26"/>
        <v>1.1999999999999886</v>
      </c>
      <c r="T129" s="23">
        <f t="shared" si="30"/>
        <v>1.1324274851176597E-14</v>
      </c>
    </row>
    <row r="130" spans="1:21" x14ac:dyDescent="0.2">
      <c r="A130" s="40">
        <v>34823</v>
      </c>
      <c r="B130" s="3">
        <v>124</v>
      </c>
      <c r="C130" s="16">
        <f>ROUND(Data!BJ130,2)</f>
        <v>14.3</v>
      </c>
      <c r="D130" s="3">
        <f>ROUND(Data!R130,1)</f>
        <v>8.1999999999999993</v>
      </c>
      <c r="E130" s="3">
        <f>ROUND(Data!AF130,1)</f>
        <v>-4.0999999999999996</v>
      </c>
      <c r="F130" s="23">
        <f>Data!BO130</f>
        <v>48.7</v>
      </c>
      <c r="G130" s="3">
        <f>Data!Q130</f>
        <v>0</v>
      </c>
      <c r="H130" s="19">
        <f>Data!BF130</f>
        <v>836</v>
      </c>
      <c r="I130" s="14">
        <f t="shared" si="27"/>
        <v>0</v>
      </c>
      <c r="J130" s="16">
        <f>Data!BS130</f>
        <v>0</v>
      </c>
      <c r="K130" s="31">
        <f t="shared" si="31"/>
        <v>0</v>
      </c>
      <c r="M130" s="23">
        <f t="shared" ref="M130:M193" si="32">J130+M129</f>
        <v>185</v>
      </c>
      <c r="N130" s="23">
        <f t="shared" ref="N130:N193" si="33">K130+N129</f>
        <v>182.49999999999997</v>
      </c>
      <c r="P130" s="20">
        <f t="shared" si="28"/>
        <v>0.40622009569377993</v>
      </c>
      <c r="Q130" s="20">
        <f t="shared" si="25"/>
        <v>0.4</v>
      </c>
      <c r="R130" s="19">
        <f t="shared" si="29"/>
        <v>334.40000000000003</v>
      </c>
      <c r="S130" s="23">
        <f t="shared" si="26"/>
        <v>-5.1999999999999886</v>
      </c>
      <c r="T130" s="23">
        <f t="shared" si="30"/>
        <v>5.1999999999999886</v>
      </c>
    </row>
    <row r="131" spans="1:21" x14ac:dyDescent="0.2">
      <c r="A131" s="40">
        <v>34824</v>
      </c>
      <c r="B131" s="3">
        <v>125</v>
      </c>
      <c r="C131" s="16">
        <f>ROUND(Data!BJ131,2)</f>
        <v>9.64</v>
      </c>
      <c r="D131" s="3">
        <f>ROUND(Data!R131,1)</f>
        <v>6.6</v>
      </c>
      <c r="E131" s="3">
        <f>ROUND(Data!AF131,1)</f>
        <v>-2.7</v>
      </c>
      <c r="F131" s="23">
        <f>Data!BO131</f>
        <v>47.6</v>
      </c>
      <c r="G131" s="3">
        <f>Data!Q131</f>
        <v>0</v>
      </c>
      <c r="H131" s="19">
        <f>Data!BF131</f>
        <v>819</v>
      </c>
      <c r="I131" s="14">
        <f t="shared" si="27"/>
        <v>0</v>
      </c>
      <c r="J131" s="16">
        <f>Data!BS131</f>
        <v>0</v>
      </c>
      <c r="K131" s="31">
        <f t="shared" si="31"/>
        <v>0</v>
      </c>
      <c r="M131" s="23">
        <f t="shared" si="32"/>
        <v>185</v>
      </c>
      <c r="N131" s="23">
        <f t="shared" si="33"/>
        <v>182.49999999999997</v>
      </c>
      <c r="P131" s="20">
        <f t="shared" si="28"/>
        <v>0.40830280830280835</v>
      </c>
      <c r="Q131" s="20">
        <f t="shared" si="25"/>
        <v>0.4</v>
      </c>
      <c r="R131" s="19">
        <f t="shared" si="29"/>
        <v>327.60000000000002</v>
      </c>
      <c r="S131" s="23">
        <f t="shared" si="26"/>
        <v>-6.8000000000000114</v>
      </c>
      <c r="T131" s="23">
        <f t="shared" si="30"/>
        <v>6.8000000000000114</v>
      </c>
    </row>
    <row r="132" spans="1:21" x14ac:dyDescent="0.2">
      <c r="A132" s="40">
        <v>34825</v>
      </c>
      <c r="B132" s="3">
        <v>126</v>
      </c>
      <c r="C132" s="16">
        <f>ROUND(Data!BJ132,2)</f>
        <v>18.27</v>
      </c>
      <c r="D132" s="3">
        <f>ROUND(Data!R132,1)</f>
        <v>10.1</v>
      </c>
      <c r="E132" s="3">
        <f>ROUND(Data!AF132,1)</f>
        <v>-1.8</v>
      </c>
      <c r="F132" s="23">
        <f>Data!BO132</f>
        <v>48</v>
      </c>
      <c r="G132" s="3">
        <f>Data!Q132</f>
        <v>0</v>
      </c>
      <c r="H132" s="19">
        <f>Data!BF132</f>
        <v>765</v>
      </c>
      <c r="I132" s="14">
        <f t="shared" si="27"/>
        <v>0</v>
      </c>
      <c r="J132" s="16">
        <f>Data!BS132</f>
        <v>0</v>
      </c>
      <c r="K132" s="31">
        <f t="shared" si="31"/>
        <v>0</v>
      </c>
      <c r="M132" s="23">
        <f t="shared" si="32"/>
        <v>185</v>
      </c>
      <c r="N132" s="23">
        <f t="shared" si="33"/>
        <v>182.49999999999997</v>
      </c>
      <c r="P132" s="20">
        <f t="shared" si="28"/>
        <v>0.4282352941176471</v>
      </c>
      <c r="Q132" s="20">
        <f t="shared" si="25"/>
        <v>0.4</v>
      </c>
      <c r="R132" s="19">
        <f t="shared" si="29"/>
        <v>306</v>
      </c>
      <c r="S132" s="23">
        <f t="shared" si="26"/>
        <v>-21.600000000000023</v>
      </c>
      <c r="T132" s="23">
        <f t="shared" si="30"/>
        <v>21.600000000000023</v>
      </c>
    </row>
    <row r="133" spans="1:21" x14ac:dyDescent="0.2">
      <c r="A133" s="40">
        <v>34826</v>
      </c>
      <c r="B133" s="3">
        <v>127</v>
      </c>
      <c r="C133" s="16">
        <f>ROUND(Data!BJ133,2)</f>
        <v>16.21</v>
      </c>
      <c r="D133" s="3">
        <f>ROUND(Data!R133,1)</f>
        <v>11.3</v>
      </c>
      <c r="E133" s="3">
        <f>ROUND(Data!AF133,1)</f>
        <v>-1.3</v>
      </c>
      <c r="F133" s="23">
        <f>Data!BO133</f>
        <v>41.5</v>
      </c>
      <c r="G133" s="3">
        <f>Data!Q133</f>
        <v>0</v>
      </c>
      <c r="H133" s="19">
        <f>Data!BF133</f>
        <v>718</v>
      </c>
      <c r="I133" s="14">
        <f t="shared" si="27"/>
        <v>0</v>
      </c>
      <c r="J133" s="16">
        <f>Data!BS133</f>
        <v>11.2</v>
      </c>
      <c r="K133" s="31">
        <f t="shared" si="31"/>
        <v>0</v>
      </c>
      <c r="M133" s="23">
        <f t="shared" si="32"/>
        <v>196.2</v>
      </c>
      <c r="N133" s="23">
        <f t="shared" si="33"/>
        <v>182.49999999999997</v>
      </c>
      <c r="P133" s="20">
        <f t="shared" si="28"/>
        <v>0.42618384401114207</v>
      </c>
      <c r="Q133" s="20">
        <f t="shared" si="25"/>
        <v>0.4</v>
      </c>
      <c r="R133" s="19">
        <f t="shared" si="29"/>
        <v>287.2</v>
      </c>
      <c r="S133" s="23">
        <f t="shared" si="26"/>
        <v>-18.800000000000011</v>
      </c>
      <c r="T133" s="23">
        <f t="shared" si="30"/>
        <v>18.800000000000011</v>
      </c>
    </row>
    <row r="134" spans="1:21" x14ac:dyDescent="0.2">
      <c r="A134" s="40">
        <v>34827</v>
      </c>
      <c r="B134" s="3">
        <v>128</v>
      </c>
      <c r="C134" s="16">
        <f>ROUND(Data!BJ134,2)</f>
        <v>18.420000000000002</v>
      </c>
      <c r="D134" s="3">
        <f>ROUND(Data!R134,1)</f>
        <v>12.8</v>
      </c>
      <c r="E134" s="3">
        <f>ROUND(Data!AF134,1)</f>
        <v>-1.6</v>
      </c>
      <c r="F134" s="23">
        <f>Data!BO134</f>
        <v>34.5</v>
      </c>
      <c r="G134" s="3">
        <f>Data!Q134</f>
        <v>0</v>
      </c>
      <c r="H134" s="19">
        <f>Data!BF134</f>
        <v>668</v>
      </c>
      <c r="I134" s="14">
        <f t="shared" si="27"/>
        <v>0</v>
      </c>
      <c r="J134" s="16">
        <f>Data!BS134</f>
        <v>1.4</v>
      </c>
      <c r="K134" s="31">
        <f t="shared" si="31"/>
        <v>0</v>
      </c>
      <c r="M134" s="23">
        <f t="shared" si="32"/>
        <v>197.6</v>
      </c>
      <c r="N134" s="23">
        <f t="shared" si="33"/>
        <v>182.49999999999997</v>
      </c>
      <c r="P134" s="20">
        <f t="shared" si="28"/>
        <v>0.42994011976047902</v>
      </c>
      <c r="Q134" s="20">
        <f t="shared" ref="Q134:Q138" si="34">IF(P134&gt;Q$1,Q$1,P134)</f>
        <v>0.4</v>
      </c>
      <c r="R134" s="19">
        <f t="shared" si="29"/>
        <v>267.2</v>
      </c>
      <c r="S134" s="23">
        <f t="shared" ref="S134:S138" si="35">R134-R133</f>
        <v>-20</v>
      </c>
      <c r="T134" s="23">
        <f t="shared" si="30"/>
        <v>20</v>
      </c>
    </row>
    <row r="135" spans="1:21" x14ac:dyDescent="0.2">
      <c r="A135" s="40">
        <v>34828</v>
      </c>
      <c r="B135" s="3">
        <v>129</v>
      </c>
      <c r="C135" s="16">
        <f>ROUND(Data!BJ135,2)</f>
        <v>18.760000000000002</v>
      </c>
      <c r="D135" s="3">
        <f>ROUND(Data!R135,1)</f>
        <v>13.8</v>
      </c>
      <c r="E135" s="3">
        <f>ROUND(Data!AF135,1)</f>
        <v>-0.4</v>
      </c>
      <c r="F135" s="23">
        <f>Data!BO135</f>
        <v>34.9</v>
      </c>
      <c r="G135" s="3">
        <f>Data!Q135</f>
        <v>0</v>
      </c>
      <c r="H135" s="19">
        <f>Data!BF135</f>
        <v>630</v>
      </c>
      <c r="I135" s="14">
        <f t="shared" ref="I135:I198" si="36">IF(H135&gt;H134,ROUND((H135-H134)*I$1,1),0)</f>
        <v>0</v>
      </c>
      <c r="J135" s="16">
        <f>Data!BS135</f>
        <v>0</v>
      </c>
      <c r="K135" s="31">
        <f t="shared" si="31"/>
        <v>0</v>
      </c>
      <c r="M135" s="23">
        <f t="shared" si="32"/>
        <v>197.6</v>
      </c>
      <c r="N135" s="23">
        <f t="shared" si="33"/>
        <v>182.49999999999997</v>
      </c>
      <c r="P135" s="20">
        <f t="shared" ref="P135:P138" si="37">(R134+K135)/H135</f>
        <v>0.42412698412698413</v>
      </c>
      <c r="Q135" s="20">
        <f t="shared" si="34"/>
        <v>0.4</v>
      </c>
      <c r="R135" s="19">
        <f t="shared" ref="R135:R138" si="38">Q135*H135</f>
        <v>252</v>
      </c>
      <c r="S135" s="23">
        <f t="shared" si="35"/>
        <v>-15.199999999999989</v>
      </c>
      <c r="T135" s="23">
        <f t="shared" ref="T135:T138" si="39">K135-S135</f>
        <v>15.199999999999989</v>
      </c>
    </row>
    <row r="136" spans="1:21" x14ac:dyDescent="0.2">
      <c r="A136" s="40">
        <v>34829</v>
      </c>
      <c r="B136" s="3">
        <v>130</v>
      </c>
      <c r="C136" s="16">
        <f>ROUND(Data!BJ136,2)</f>
        <v>11.69</v>
      </c>
      <c r="D136" s="3">
        <f>ROUND(Data!R136,1)</f>
        <v>10.199999999999999</v>
      </c>
      <c r="E136" s="3">
        <f>ROUND(Data!AF136,1)</f>
        <v>0.1</v>
      </c>
      <c r="F136" s="23">
        <f>Data!BO136</f>
        <v>61.1</v>
      </c>
      <c r="G136" s="3">
        <f>Data!Q136</f>
        <v>0</v>
      </c>
      <c r="H136" s="19">
        <f>Data!BF136</f>
        <v>593</v>
      </c>
      <c r="I136" s="14">
        <f t="shared" si="36"/>
        <v>0</v>
      </c>
      <c r="J136" s="16">
        <f>Data!BS136</f>
        <v>5.6</v>
      </c>
      <c r="K136" s="49">
        <f t="shared" ref="K136:K138" si="40">J136*L$3</f>
        <v>5.88</v>
      </c>
      <c r="M136" s="23">
        <f t="shared" si="32"/>
        <v>203.2</v>
      </c>
      <c r="N136" s="23">
        <f t="shared" si="33"/>
        <v>188.37999999999997</v>
      </c>
      <c r="P136" s="20">
        <f t="shared" si="37"/>
        <v>0.43487352445193928</v>
      </c>
      <c r="Q136" s="20">
        <f t="shared" si="34"/>
        <v>0.4</v>
      </c>
      <c r="R136" s="19">
        <f t="shared" si="38"/>
        <v>237.20000000000002</v>
      </c>
      <c r="S136" s="23">
        <f t="shared" si="35"/>
        <v>-14.799999999999983</v>
      </c>
      <c r="T136" s="23">
        <f t="shared" si="39"/>
        <v>20.679999999999982</v>
      </c>
    </row>
    <row r="137" spans="1:21" x14ac:dyDescent="0.2">
      <c r="A137" s="40">
        <v>34830</v>
      </c>
      <c r="B137" s="3">
        <v>131</v>
      </c>
      <c r="C137" s="16">
        <f>ROUND(Data!BJ137,2)</f>
        <v>6.71</v>
      </c>
      <c r="D137" s="3">
        <f>ROUND(Data!R137,1)</f>
        <v>4.2</v>
      </c>
      <c r="E137" s="3">
        <f>ROUND(Data!AF137,1)</f>
        <v>0.6</v>
      </c>
      <c r="F137" s="23">
        <f>Data!BO137</f>
        <v>90.3</v>
      </c>
      <c r="G137" s="3">
        <f>Data!Q137</f>
        <v>0</v>
      </c>
      <c r="H137" s="19">
        <f>Data!BF137</f>
        <v>550</v>
      </c>
      <c r="I137" s="14">
        <f t="shared" si="36"/>
        <v>0</v>
      </c>
      <c r="J137" s="16">
        <f>Data!BS137</f>
        <v>15.4</v>
      </c>
      <c r="K137" s="49">
        <f t="shared" si="40"/>
        <v>16.170000000000002</v>
      </c>
      <c r="M137" s="23">
        <f t="shared" si="32"/>
        <v>218.6</v>
      </c>
      <c r="N137" s="23">
        <f t="shared" si="33"/>
        <v>204.54999999999995</v>
      </c>
      <c r="P137" s="20">
        <f t="shared" si="37"/>
        <v>0.46067272727272729</v>
      </c>
      <c r="Q137" s="20">
        <f t="shared" si="34"/>
        <v>0.4</v>
      </c>
      <c r="R137" s="19">
        <f t="shared" si="38"/>
        <v>220</v>
      </c>
      <c r="S137" s="23">
        <f t="shared" si="35"/>
        <v>-17.200000000000017</v>
      </c>
      <c r="T137" s="23">
        <f t="shared" si="39"/>
        <v>33.370000000000019</v>
      </c>
    </row>
    <row r="138" spans="1:21" x14ac:dyDescent="0.2">
      <c r="A138" s="40">
        <v>34831</v>
      </c>
      <c r="B138" s="3">
        <v>132</v>
      </c>
      <c r="C138" s="16">
        <f>ROUND(Data!BJ138,2)</f>
        <v>10.35</v>
      </c>
      <c r="D138" s="3">
        <f>ROUND(Data!R138,1)</f>
        <v>5.4</v>
      </c>
      <c r="E138" s="3">
        <f>ROUND(Data!AF138,1)</f>
        <v>-0.8</v>
      </c>
      <c r="F138" s="23">
        <f>Data!BO138</f>
        <v>81.900000000000006</v>
      </c>
      <c r="G138" s="3">
        <f>Data!Q138</f>
        <v>0</v>
      </c>
      <c r="H138" s="19">
        <f>Data!BF138</f>
        <v>500</v>
      </c>
      <c r="I138" s="14">
        <f t="shared" si="36"/>
        <v>0</v>
      </c>
      <c r="J138" s="16">
        <f>Data!BS138</f>
        <v>5.6</v>
      </c>
      <c r="K138" s="49">
        <f t="shared" si="40"/>
        <v>5.88</v>
      </c>
      <c r="M138" s="23">
        <f t="shared" si="32"/>
        <v>224.2</v>
      </c>
      <c r="N138" s="23">
        <f t="shared" si="33"/>
        <v>210.42999999999995</v>
      </c>
      <c r="P138" s="20">
        <f t="shared" si="37"/>
        <v>0.45175999999999999</v>
      </c>
      <c r="Q138" s="20">
        <f t="shared" si="34"/>
        <v>0.4</v>
      </c>
      <c r="R138" s="19">
        <f t="shared" si="38"/>
        <v>200</v>
      </c>
      <c r="S138" s="23">
        <f t="shared" si="35"/>
        <v>-20</v>
      </c>
      <c r="T138" s="23">
        <f t="shared" si="39"/>
        <v>25.88</v>
      </c>
    </row>
    <row r="139" spans="1:21" x14ac:dyDescent="0.2">
      <c r="A139" s="40">
        <v>34832</v>
      </c>
      <c r="B139" s="3">
        <v>133</v>
      </c>
      <c r="C139" s="16">
        <f>ROUND(Data!BJ139,2)</f>
        <v>29.8</v>
      </c>
      <c r="D139" s="3">
        <f>ROUND(Data!R139,1)</f>
        <v>14.5</v>
      </c>
      <c r="E139" s="3">
        <f>ROUND(Data!AF139,1)</f>
        <v>-3.6</v>
      </c>
      <c r="F139" s="23">
        <f>Data!BO139</f>
        <v>28.3</v>
      </c>
      <c r="G139" s="3">
        <f>Data!Q139</f>
        <v>0</v>
      </c>
      <c r="H139" s="19">
        <f>Data!BF139</f>
        <v>450</v>
      </c>
      <c r="I139" s="14">
        <f t="shared" si="36"/>
        <v>0</v>
      </c>
      <c r="J139" s="16">
        <f>Data!BS139</f>
        <v>0</v>
      </c>
      <c r="K139" s="31">
        <f t="shared" ref="K139:K144" si="41">I139</f>
        <v>0</v>
      </c>
      <c r="M139" s="23">
        <f t="shared" si="32"/>
        <v>224.2</v>
      </c>
      <c r="N139" s="23">
        <f t="shared" si="33"/>
        <v>210.42999999999995</v>
      </c>
      <c r="P139" s="20">
        <f t="shared" ref="P139:P146" si="42">(R138+K139)/H139</f>
        <v>0.44444444444444442</v>
      </c>
      <c r="Q139" s="20">
        <f t="shared" ref="Q139:Q146" si="43">IF(P139&gt;Q$1,Q$1,P139)</f>
        <v>0.4</v>
      </c>
      <c r="R139" s="19">
        <f t="shared" ref="R139:R146" si="44">Q139*H139</f>
        <v>180</v>
      </c>
      <c r="S139" s="23">
        <f t="shared" ref="S139:S146" si="45">R139-R138</f>
        <v>-20</v>
      </c>
      <c r="T139" s="23">
        <f t="shared" ref="T139:T146" si="46">K139-S139</f>
        <v>20</v>
      </c>
    </row>
    <row r="140" spans="1:21" x14ac:dyDescent="0.2">
      <c r="A140" s="40">
        <v>34833</v>
      </c>
      <c r="B140" s="3">
        <v>134</v>
      </c>
      <c r="C140" s="16">
        <f>ROUND(Data!BJ140,2)</f>
        <v>17.190000000000001</v>
      </c>
      <c r="D140" s="3">
        <f>ROUND(Data!R140,1)</f>
        <v>13.6</v>
      </c>
      <c r="E140" s="3">
        <f>ROUND(Data!AF140,1)</f>
        <v>-2.1</v>
      </c>
      <c r="F140" s="23">
        <f>Data!BO140</f>
        <v>36.299999999999997</v>
      </c>
      <c r="G140" s="3">
        <f>Data!Q140</f>
        <v>0</v>
      </c>
      <c r="H140" s="19">
        <f>Data!BF140</f>
        <v>400</v>
      </c>
      <c r="I140" s="14">
        <f t="shared" si="36"/>
        <v>0</v>
      </c>
      <c r="J140" s="16">
        <f>Data!BS140</f>
        <v>0</v>
      </c>
      <c r="K140" s="31">
        <f t="shared" si="41"/>
        <v>0</v>
      </c>
      <c r="M140" s="23">
        <f t="shared" si="32"/>
        <v>224.2</v>
      </c>
      <c r="N140" s="23">
        <f t="shared" si="33"/>
        <v>210.42999999999995</v>
      </c>
      <c r="P140" s="20">
        <f t="shared" si="42"/>
        <v>0.45</v>
      </c>
      <c r="Q140" s="20">
        <f t="shared" si="43"/>
        <v>0.4</v>
      </c>
      <c r="R140" s="19">
        <f t="shared" si="44"/>
        <v>160</v>
      </c>
      <c r="S140" s="23">
        <f t="shared" si="45"/>
        <v>-20</v>
      </c>
      <c r="T140" s="23">
        <f t="shared" si="46"/>
        <v>20</v>
      </c>
      <c r="U140" s="36"/>
    </row>
    <row r="141" spans="1:21" x14ac:dyDescent="0.2">
      <c r="A141" s="40">
        <v>34834</v>
      </c>
      <c r="B141" s="3">
        <v>135</v>
      </c>
      <c r="C141" s="16">
        <f>ROUND(Data!BJ141,2)</f>
        <v>22.81</v>
      </c>
      <c r="D141" s="3">
        <f>ROUND(Data!R141,1)</f>
        <v>14.7</v>
      </c>
      <c r="E141" s="3">
        <f>ROUND(Data!AF141,1)</f>
        <v>-1</v>
      </c>
      <c r="F141" s="23">
        <f>Data!BO141</f>
        <v>37.700000000000003</v>
      </c>
      <c r="G141" s="3">
        <f>Data!Q141</f>
        <v>0</v>
      </c>
      <c r="H141" s="19">
        <f>Data!BF141</f>
        <v>350</v>
      </c>
      <c r="I141" s="14">
        <f t="shared" si="36"/>
        <v>0</v>
      </c>
      <c r="J141" s="16">
        <f>Data!BS141</f>
        <v>0</v>
      </c>
      <c r="K141" s="31">
        <f t="shared" si="41"/>
        <v>0</v>
      </c>
      <c r="M141" s="23">
        <f t="shared" si="32"/>
        <v>224.2</v>
      </c>
      <c r="N141" s="23">
        <f t="shared" si="33"/>
        <v>210.42999999999995</v>
      </c>
      <c r="P141" s="20">
        <f t="shared" si="42"/>
        <v>0.45714285714285713</v>
      </c>
      <c r="Q141" s="20">
        <f t="shared" si="43"/>
        <v>0.4</v>
      </c>
      <c r="R141" s="19">
        <f t="shared" si="44"/>
        <v>140</v>
      </c>
      <c r="S141" s="23">
        <f t="shared" si="45"/>
        <v>-20</v>
      </c>
      <c r="T141" s="23">
        <f t="shared" si="46"/>
        <v>20</v>
      </c>
      <c r="U141" s="36"/>
    </row>
    <row r="142" spans="1:21" x14ac:dyDescent="0.2">
      <c r="A142" s="40">
        <v>34835</v>
      </c>
      <c r="B142" s="3">
        <v>136</v>
      </c>
      <c r="C142" s="16">
        <f>ROUND(Data!BJ142,2)</f>
        <v>25.21</v>
      </c>
      <c r="D142" s="3">
        <f>ROUND(Data!R142,1)</f>
        <v>16.600000000000001</v>
      </c>
      <c r="E142" s="3">
        <f>ROUND(Data!AF142,1)</f>
        <v>-1.8</v>
      </c>
      <c r="F142" s="23">
        <f>Data!BO142</f>
        <v>36.5</v>
      </c>
      <c r="G142" s="3">
        <f>Data!Q142</f>
        <v>0</v>
      </c>
      <c r="H142" s="19">
        <f>Data!BF142</f>
        <v>300</v>
      </c>
      <c r="I142" s="14">
        <f t="shared" si="36"/>
        <v>0</v>
      </c>
      <c r="J142" s="16">
        <f>Data!BS142</f>
        <v>0</v>
      </c>
      <c r="K142" s="31">
        <f t="shared" si="41"/>
        <v>0</v>
      </c>
      <c r="M142" s="23">
        <f t="shared" si="32"/>
        <v>224.2</v>
      </c>
      <c r="N142" s="23">
        <f t="shared" si="33"/>
        <v>210.42999999999995</v>
      </c>
      <c r="P142" s="20">
        <f t="shared" si="42"/>
        <v>0.46666666666666667</v>
      </c>
      <c r="Q142" s="20">
        <f t="shared" si="43"/>
        <v>0.4</v>
      </c>
      <c r="R142" s="19">
        <f t="shared" si="44"/>
        <v>120</v>
      </c>
      <c r="S142" s="23">
        <f t="shared" si="45"/>
        <v>-20</v>
      </c>
      <c r="T142" s="23">
        <f t="shared" si="46"/>
        <v>20</v>
      </c>
      <c r="U142" s="36"/>
    </row>
    <row r="143" spans="1:21" x14ac:dyDescent="0.2">
      <c r="A143" s="40">
        <v>34836</v>
      </c>
      <c r="B143" s="3">
        <v>137</v>
      </c>
      <c r="C143" s="16">
        <f>ROUND(Data!BJ143,2)</f>
        <v>11.95</v>
      </c>
      <c r="D143" s="3">
        <f>ROUND(Data!R143,1)</f>
        <v>10.5</v>
      </c>
      <c r="E143" s="3">
        <f>ROUND(Data!AF143,1)</f>
        <v>1</v>
      </c>
      <c r="F143" s="23">
        <f>Data!BO143</f>
        <v>53.9</v>
      </c>
      <c r="G143" s="3">
        <f>Data!Q143</f>
        <v>0</v>
      </c>
      <c r="H143" s="19">
        <f>Data!BF143</f>
        <v>250</v>
      </c>
      <c r="I143" s="14">
        <f t="shared" si="36"/>
        <v>0</v>
      </c>
      <c r="J143" s="16">
        <f>Data!BS143</f>
        <v>0</v>
      </c>
      <c r="K143" s="31">
        <f t="shared" si="41"/>
        <v>0</v>
      </c>
      <c r="M143" s="23">
        <f t="shared" si="32"/>
        <v>224.2</v>
      </c>
      <c r="N143" s="23">
        <f t="shared" si="33"/>
        <v>210.42999999999995</v>
      </c>
      <c r="P143" s="20">
        <f t="shared" si="42"/>
        <v>0.48</v>
      </c>
      <c r="Q143" s="20">
        <f t="shared" si="43"/>
        <v>0.4</v>
      </c>
      <c r="R143" s="19">
        <f t="shared" si="44"/>
        <v>100</v>
      </c>
      <c r="S143" s="23">
        <f t="shared" si="45"/>
        <v>-20</v>
      </c>
      <c r="T143" s="23">
        <f t="shared" si="46"/>
        <v>20</v>
      </c>
      <c r="U143" s="36"/>
    </row>
    <row r="144" spans="1:21" x14ac:dyDescent="0.2">
      <c r="A144" s="40">
        <v>34837</v>
      </c>
      <c r="B144" s="3">
        <v>138</v>
      </c>
      <c r="C144" s="16">
        <f>ROUND(Data!BJ144,2)</f>
        <v>27.66</v>
      </c>
      <c r="D144" s="3">
        <f>ROUND(Data!R144,1)</f>
        <v>7.3</v>
      </c>
      <c r="E144" s="3">
        <f>ROUND(Data!AF144,1)</f>
        <v>-2.5</v>
      </c>
      <c r="F144" s="23">
        <f>Data!BO144</f>
        <v>32.5</v>
      </c>
      <c r="G144" s="3">
        <f>Data!Q144</f>
        <v>0</v>
      </c>
      <c r="H144" s="19">
        <f>Data!BF144</f>
        <v>200</v>
      </c>
      <c r="I144" s="14">
        <f t="shared" si="36"/>
        <v>0</v>
      </c>
      <c r="J144" s="16">
        <f>Data!BS144</f>
        <v>0</v>
      </c>
      <c r="K144" s="31">
        <f t="shared" si="41"/>
        <v>0</v>
      </c>
      <c r="M144" s="23">
        <f t="shared" si="32"/>
        <v>224.2</v>
      </c>
      <c r="N144" s="23">
        <f t="shared" si="33"/>
        <v>210.42999999999995</v>
      </c>
      <c r="P144" s="20">
        <f t="shared" si="42"/>
        <v>0.5</v>
      </c>
      <c r="Q144" s="20">
        <f t="shared" si="43"/>
        <v>0.4</v>
      </c>
      <c r="R144" s="19">
        <f t="shared" si="44"/>
        <v>80</v>
      </c>
      <c r="S144" s="23">
        <f t="shared" si="45"/>
        <v>-20</v>
      </c>
      <c r="T144" s="23">
        <f t="shared" si="46"/>
        <v>20</v>
      </c>
      <c r="U144" s="36"/>
    </row>
    <row r="145" spans="1:21" x14ac:dyDescent="0.2">
      <c r="A145" s="40">
        <v>34838</v>
      </c>
      <c r="B145" s="3">
        <v>139</v>
      </c>
      <c r="C145" s="16">
        <f>ROUND(Data!BJ145,2)</f>
        <v>30.23</v>
      </c>
      <c r="D145" s="3">
        <f>ROUND(Data!R145,1)</f>
        <v>9.9</v>
      </c>
      <c r="E145" s="3">
        <f>ROUND(Data!AF145,1)</f>
        <v>-5.5</v>
      </c>
      <c r="F145" s="23">
        <f>Data!BO145</f>
        <v>17.8</v>
      </c>
      <c r="G145" s="3">
        <f>Data!Q145</f>
        <v>0</v>
      </c>
      <c r="H145" s="19">
        <f>Data!BF145</f>
        <v>130</v>
      </c>
      <c r="I145" s="14">
        <f t="shared" si="36"/>
        <v>0</v>
      </c>
      <c r="J145" s="16">
        <f>Data!BS145</f>
        <v>0</v>
      </c>
      <c r="K145" s="47">
        <f t="shared" ref="K145:K154" si="47">G145</f>
        <v>0</v>
      </c>
      <c r="M145" s="23">
        <f t="shared" si="32"/>
        <v>224.2</v>
      </c>
      <c r="N145" s="23">
        <f t="shared" si="33"/>
        <v>210.42999999999995</v>
      </c>
      <c r="P145" s="20">
        <f t="shared" si="42"/>
        <v>0.61538461538461542</v>
      </c>
      <c r="Q145" s="20">
        <f t="shared" si="43"/>
        <v>0.4</v>
      </c>
      <c r="R145" s="19">
        <f t="shared" si="44"/>
        <v>52</v>
      </c>
      <c r="S145" s="23">
        <f t="shared" si="45"/>
        <v>-28</v>
      </c>
      <c r="T145" s="23">
        <f t="shared" si="46"/>
        <v>28</v>
      </c>
      <c r="U145" s="36"/>
    </row>
    <row r="146" spans="1:21" x14ac:dyDescent="0.2">
      <c r="A146" s="40">
        <v>34839</v>
      </c>
      <c r="B146" s="3">
        <v>140</v>
      </c>
      <c r="C146" s="16">
        <f>ROUND(Data!BJ146,2)</f>
        <v>20.58</v>
      </c>
      <c r="D146" s="3">
        <f>ROUND(Data!R146,1)</f>
        <v>7</v>
      </c>
      <c r="E146" s="3">
        <f>ROUND(Data!AF146,1)</f>
        <v>-3.4</v>
      </c>
      <c r="F146" s="23">
        <f>Data!BO146</f>
        <v>42.5</v>
      </c>
      <c r="G146" s="3">
        <f>Data!Q146</f>
        <v>1</v>
      </c>
      <c r="H146" s="19">
        <f>Data!BF146</f>
        <v>70</v>
      </c>
      <c r="I146" s="14">
        <f t="shared" si="36"/>
        <v>0</v>
      </c>
      <c r="J146" s="16">
        <f>Data!BS146</f>
        <v>1.4</v>
      </c>
      <c r="K146" s="47">
        <f t="shared" si="47"/>
        <v>1</v>
      </c>
      <c r="M146" s="23">
        <f t="shared" si="32"/>
        <v>225.6</v>
      </c>
      <c r="N146" s="23">
        <f t="shared" si="33"/>
        <v>211.42999999999995</v>
      </c>
      <c r="P146" s="20">
        <f t="shared" si="42"/>
        <v>0.75714285714285712</v>
      </c>
      <c r="Q146" s="20">
        <f t="shared" si="43"/>
        <v>0.4</v>
      </c>
      <c r="R146" s="19">
        <f t="shared" si="44"/>
        <v>28</v>
      </c>
      <c r="S146" s="23">
        <f t="shared" si="45"/>
        <v>-24</v>
      </c>
      <c r="T146" s="23">
        <f t="shared" si="46"/>
        <v>25</v>
      </c>
      <c r="U146" s="36"/>
    </row>
    <row r="147" spans="1:21" x14ac:dyDescent="0.2">
      <c r="A147" s="40">
        <v>34840</v>
      </c>
      <c r="B147" s="3">
        <v>141</v>
      </c>
      <c r="C147" s="16">
        <f>ROUND(Data!BJ147,2)</f>
        <v>31.34</v>
      </c>
      <c r="D147" s="3">
        <f>ROUND(Data!R147,1)</f>
        <v>11.2</v>
      </c>
      <c r="E147" s="3">
        <f>ROUND(Data!AF147,1)</f>
        <v>-5.3</v>
      </c>
      <c r="F147" s="23">
        <f>Data!BO147</f>
        <v>23.8</v>
      </c>
      <c r="G147" s="3">
        <f>Data!Q147</f>
        <v>0</v>
      </c>
      <c r="H147" s="19">
        <f>Data!BF147</f>
        <v>0</v>
      </c>
      <c r="I147" s="14">
        <f t="shared" si="36"/>
        <v>0</v>
      </c>
      <c r="J147" s="16">
        <f>Data!BS147</f>
        <v>0</v>
      </c>
      <c r="K147" s="47">
        <f t="shared" si="47"/>
        <v>0</v>
      </c>
      <c r="M147" s="23">
        <f t="shared" si="32"/>
        <v>225.6</v>
      </c>
      <c r="N147" s="23">
        <f t="shared" si="33"/>
        <v>211.42999999999995</v>
      </c>
      <c r="P147" s="32">
        <v>1</v>
      </c>
      <c r="Q147" s="20">
        <f t="shared" ref="Q147" si="48">IF(P147&gt;Q$1,Q$1,P147)</f>
        <v>0.4</v>
      </c>
      <c r="R147" s="19">
        <f t="shared" ref="R147" si="49">Q147*H147</f>
        <v>0</v>
      </c>
      <c r="S147" s="23">
        <f t="shared" ref="S147" si="50">R147-R146</f>
        <v>-28</v>
      </c>
      <c r="T147" s="23">
        <f t="shared" ref="T147" si="51">K147-S147</f>
        <v>28</v>
      </c>
      <c r="U147" s="36"/>
    </row>
    <row r="148" spans="1:21" x14ac:dyDescent="0.2">
      <c r="A148" s="40">
        <v>34841</v>
      </c>
      <c r="B148" s="3">
        <v>142</v>
      </c>
      <c r="C148" s="16">
        <f>ROUND(Data!BJ148,2)</f>
        <v>31.24</v>
      </c>
      <c r="D148" s="3">
        <f>ROUND(Data!R148,1)</f>
        <v>14.1</v>
      </c>
      <c r="E148" s="3">
        <f>ROUND(Data!AF148,1)</f>
        <v>-4.5</v>
      </c>
      <c r="F148" s="23">
        <f>Data!BO148</f>
        <v>21.5</v>
      </c>
      <c r="G148" s="3">
        <f>Data!Q148</f>
        <v>0</v>
      </c>
      <c r="H148" s="19">
        <f>Data!BF148</f>
        <v>0</v>
      </c>
      <c r="I148" s="14">
        <f t="shared" si="36"/>
        <v>0</v>
      </c>
      <c r="J148" s="16">
        <f>Data!BS148</f>
        <v>1.4</v>
      </c>
      <c r="K148" s="47">
        <f t="shared" si="47"/>
        <v>0</v>
      </c>
      <c r="M148" s="23">
        <f t="shared" si="32"/>
        <v>227</v>
      </c>
      <c r="N148" s="23">
        <f t="shared" si="33"/>
        <v>211.42999999999995</v>
      </c>
      <c r="P148" s="33"/>
      <c r="Q148" s="33"/>
      <c r="R148" s="34"/>
      <c r="S148" s="35"/>
      <c r="T148" s="35"/>
      <c r="U148" s="36"/>
    </row>
    <row r="149" spans="1:21" x14ac:dyDescent="0.2">
      <c r="A149" s="40">
        <v>34842</v>
      </c>
      <c r="B149" s="3">
        <v>143</v>
      </c>
      <c r="C149" s="16">
        <f>ROUND(Data!BJ149,2)</f>
        <v>30.05</v>
      </c>
      <c r="D149" s="3">
        <f>ROUND(Data!R149,1)</f>
        <v>16</v>
      </c>
      <c r="E149" s="3">
        <f>ROUND(Data!AF149,1)</f>
        <v>-2.8</v>
      </c>
      <c r="F149" s="23">
        <f>Data!BO149</f>
        <v>19.7</v>
      </c>
      <c r="G149" s="3">
        <f>Data!Q149</f>
        <v>0</v>
      </c>
      <c r="H149" s="19">
        <f>Data!BF149</f>
        <v>0</v>
      </c>
      <c r="I149" s="14">
        <f t="shared" si="36"/>
        <v>0</v>
      </c>
      <c r="J149" s="16">
        <f>Data!BS149</f>
        <v>0</v>
      </c>
      <c r="K149" s="47">
        <f t="shared" si="47"/>
        <v>0</v>
      </c>
      <c r="M149" s="23">
        <f t="shared" si="32"/>
        <v>227</v>
      </c>
      <c r="N149" s="23">
        <f t="shared" si="33"/>
        <v>211.42999999999995</v>
      </c>
      <c r="P149" s="33"/>
      <c r="Q149" s="33"/>
      <c r="R149" s="34"/>
      <c r="S149" s="35"/>
      <c r="T149" s="35"/>
      <c r="U149" s="36"/>
    </row>
    <row r="150" spans="1:21" x14ac:dyDescent="0.2">
      <c r="A150" s="40">
        <v>34843</v>
      </c>
      <c r="B150" s="3">
        <v>144</v>
      </c>
      <c r="C150" s="16">
        <f>ROUND(Data!BJ150,2)</f>
        <v>27.08</v>
      </c>
      <c r="D150" s="3">
        <f>ROUND(Data!R150,1)</f>
        <v>15.7</v>
      </c>
      <c r="E150" s="3">
        <f>ROUND(Data!AF150,1)</f>
        <v>-1.6</v>
      </c>
      <c r="F150" s="23">
        <f>Data!BO150</f>
        <v>23.5</v>
      </c>
      <c r="G150" s="3">
        <f>Data!Q150</f>
        <v>0</v>
      </c>
      <c r="H150" s="19">
        <f>Data!BF150</f>
        <v>0</v>
      </c>
      <c r="I150" s="14">
        <f t="shared" si="36"/>
        <v>0</v>
      </c>
      <c r="J150" s="16">
        <f>Data!BS150</f>
        <v>0</v>
      </c>
      <c r="K150" s="47">
        <f t="shared" si="47"/>
        <v>0</v>
      </c>
      <c r="M150" s="23">
        <f t="shared" si="32"/>
        <v>227</v>
      </c>
      <c r="N150" s="23">
        <f t="shared" si="33"/>
        <v>211.42999999999995</v>
      </c>
      <c r="P150" s="33"/>
      <c r="Q150" s="33"/>
      <c r="R150" s="34"/>
      <c r="S150" s="35"/>
      <c r="T150" s="35"/>
      <c r="U150" s="36"/>
    </row>
    <row r="151" spans="1:21" x14ac:dyDescent="0.2">
      <c r="A151" s="40">
        <v>34844</v>
      </c>
      <c r="B151" s="3">
        <v>145</v>
      </c>
      <c r="C151" s="16">
        <f>ROUND(Data!BJ151,2)</f>
        <v>31.05</v>
      </c>
      <c r="D151" s="3">
        <f>ROUND(Data!R151,1)</f>
        <v>12.9</v>
      </c>
      <c r="E151" s="3">
        <f>ROUND(Data!AF151,1)</f>
        <v>-0.9</v>
      </c>
      <c r="F151" s="23">
        <f>Data!BO151</f>
        <v>22.4</v>
      </c>
      <c r="G151" s="3">
        <f>Data!Q151</f>
        <v>0</v>
      </c>
      <c r="H151" s="19">
        <f>Data!BF151</f>
        <v>0</v>
      </c>
      <c r="I151" s="14">
        <f t="shared" si="36"/>
        <v>0</v>
      </c>
      <c r="J151" s="16">
        <f>Data!BS151</f>
        <v>0</v>
      </c>
      <c r="K151" s="47">
        <f t="shared" si="47"/>
        <v>0</v>
      </c>
      <c r="M151" s="23">
        <f t="shared" si="32"/>
        <v>227</v>
      </c>
      <c r="N151" s="23">
        <f t="shared" si="33"/>
        <v>211.42999999999995</v>
      </c>
      <c r="P151" s="33"/>
      <c r="Q151" s="33"/>
      <c r="R151" s="34"/>
      <c r="S151" s="35"/>
      <c r="T151" s="35"/>
      <c r="U151" s="36"/>
    </row>
    <row r="152" spans="1:21" x14ac:dyDescent="0.2">
      <c r="A152" s="40">
        <v>34845</v>
      </c>
      <c r="B152" s="3">
        <v>146</v>
      </c>
      <c r="C152" s="16">
        <f>ROUND(Data!BJ152,2)</f>
        <v>31.44</v>
      </c>
      <c r="D152" s="3">
        <f>ROUND(Data!R152,1)</f>
        <v>15.1</v>
      </c>
      <c r="E152" s="3">
        <f>ROUND(Data!AF152,1)</f>
        <v>-3.1</v>
      </c>
      <c r="F152" s="23">
        <f>Data!BO152</f>
        <v>21.3</v>
      </c>
      <c r="G152" s="3">
        <f>Data!Q152</f>
        <v>0</v>
      </c>
      <c r="H152" s="19">
        <f>Data!BF152</f>
        <v>0</v>
      </c>
      <c r="I152" s="14">
        <f t="shared" si="36"/>
        <v>0</v>
      </c>
      <c r="J152" s="16">
        <f>Data!BS152</f>
        <v>0</v>
      </c>
      <c r="K152" s="47">
        <f t="shared" si="47"/>
        <v>0</v>
      </c>
      <c r="M152" s="23">
        <f t="shared" si="32"/>
        <v>227</v>
      </c>
      <c r="N152" s="23">
        <f t="shared" si="33"/>
        <v>211.42999999999995</v>
      </c>
      <c r="P152" s="33"/>
      <c r="Q152" s="33"/>
      <c r="R152" s="34"/>
      <c r="S152" s="35"/>
      <c r="T152" s="35"/>
      <c r="U152" s="36"/>
    </row>
    <row r="153" spans="1:21" x14ac:dyDescent="0.2">
      <c r="A153" s="40">
        <v>34846</v>
      </c>
      <c r="B153" s="3">
        <v>147</v>
      </c>
      <c r="C153" s="16">
        <f>ROUND(Data!BJ153,2)</f>
        <v>31.51</v>
      </c>
      <c r="D153" s="3">
        <f>ROUND(Data!R153,1)</f>
        <v>19.2</v>
      </c>
      <c r="E153" s="3">
        <f>ROUND(Data!AF153,1)</f>
        <v>-1.9</v>
      </c>
      <c r="F153" s="23">
        <f>Data!BO153</f>
        <v>15.9</v>
      </c>
      <c r="G153" s="3">
        <f>Data!Q153</f>
        <v>0</v>
      </c>
      <c r="H153" s="19">
        <f>Data!BF153</f>
        <v>0</v>
      </c>
      <c r="I153" s="14">
        <f t="shared" si="36"/>
        <v>0</v>
      </c>
      <c r="J153" s="16">
        <f>Data!BS153</f>
        <v>0</v>
      </c>
      <c r="K153" s="47">
        <f t="shared" si="47"/>
        <v>0</v>
      </c>
      <c r="M153" s="23">
        <f t="shared" si="32"/>
        <v>227</v>
      </c>
      <c r="N153" s="23">
        <f t="shared" si="33"/>
        <v>211.42999999999995</v>
      </c>
      <c r="P153" s="33"/>
      <c r="Q153" s="33"/>
      <c r="R153" s="34"/>
      <c r="S153" s="35"/>
      <c r="T153" s="35"/>
      <c r="U153" s="36"/>
    </row>
    <row r="154" spans="1:21" x14ac:dyDescent="0.2">
      <c r="A154" s="40">
        <v>34847</v>
      </c>
      <c r="B154" s="3">
        <v>148</v>
      </c>
      <c r="C154" s="16">
        <f>ROUND(Data!BJ154,2)</f>
        <v>30.93</v>
      </c>
      <c r="D154" s="3">
        <f>ROUND(Data!R154,1)</f>
        <v>22.1</v>
      </c>
      <c r="E154" s="3">
        <f>ROUND(Data!AF154,1)</f>
        <v>-0.4</v>
      </c>
      <c r="F154" s="23">
        <f>Data!BO154</f>
        <v>18.8</v>
      </c>
      <c r="G154" s="3">
        <f>Data!Q154</f>
        <v>0</v>
      </c>
      <c r="H154" s="19">
        <f>Data!BF154</f>
        <v>0</v>
      </c>
      <c r="I154" s="14">
        <f t="shared" si="36"/>
        <v>0</v>
      </c>
      <c r="J154" s="16">
        <f>Data!BS154</f>
        <v>0</v>
      </c>
      <c r="K154" s="47">
        <f t="shared" si="47"/>
        <v>0</v>
      </c>
      <c r="M154" s="23">
        <f t="shared" si="32"/>
        <v>227</v>
      </c>
      <c r="N154" s="23">
        <f t="shared" si="33"/>
        <v>211.42999999999995</v>
      </c>
      <c r="P154" s="33"/>
      <c r="Q154" s="33"/>
      <c r="R154" s="34"/>
      <c r="S154" s="35"/>
      <c r="T154" s="35"/>
      <c r="U154" s="36"/>
    </row>
    <row r="155" spans="1:21" x14ac:dyDescent="0.2">
      <c r="A155" s="40">
        <v>34848</v>
      </c>
      <c r="B155" s="3">
        <v>149</v>
      </c>
      <c r="C155" s="16">
        <f>ROUND(Data!BJ155,2)</f>
        <v>30.43</v>
      </c>
      <c r="D155" s="3">
        <f>ROUND(Data!R155,1)</f>
        <v>22.5</v>
      </c>
      <c r="E155" s="3">
        <f>ROUND(Data!AF155,1)</f>
        <v>1.2</v>
      </c>
      <c r="F155" s="23">
        <f>Data!BO155</f>
        <v>21.9</v>
      </c>
      <c r="G155" s="3">
        <f>Data!Q155</f>
        <v>0</v>
      </c>
      <c r="H155" s="19">
        <f>Data!BF155</f>
        <v>0</v>
      </c>
      <c r="I155" s="14">
        <f t="shared" si="36"/>
        <v>0</v>
      </c>
      <c r="J155" s="16">
        <f>Data!BS155</f>
        <v>0</v>
      </c>
      <c r="K155" s="47">
        <f t="shared" ref="K155:K156" si="52">G155</f>
        <v>0</v>
      </c>
      <c r="M155" s="23">
        <f t="shared" si="32"/>
        <v>227</v>
      </c>
      <c r="N155" s="23">
        <f t="shared" si="33"/>
        <v>211.42999999999995</v>
      </c>
      <c r="P155" s="33"/>
      <c r="Q155" s="33"/>
      <c r="R155" s="34"/>
      <c r="S155" s="35"/>
      <c r="T155" s="35"/>
      <c r="U155" s="36"/>
    </row>
    <row r="156" spans="1:21" x14ac:dyDescent="0.2">
      <c r="A156" s="40">
        <v>34849</v>
      </c>
      <c r="B156" s="3">
        <v>150</v>
      </c>
      <c r="C156" s="16">
        <f>ROUND(Data!BJ156,2)</f>
        <v>29.88</v>
      </c>
      <c r="D156" s="3">
        <f>ROUND(Data!R156,1)</f>
        <v>19.3</v>
      </c>
      <c r="E156" s="3">
        <f>ROUND(Data!AF156,1)</f>
        <v>1.8</v>
      </c>
      <c r="F156" s="23">
        <f>Data!BO156</f>
        <v>22</v>
      </c>
      <c r="G156" s="3">
        <f>Data!Q156</f>
        <v>0</v>
      </c>
      <c r="H156" s="19">
        <f>Data!BF156</f>
        <v>0</v>
      </c>
      <c r="I156" s="14">
        <f t="shared" si="36"/>
        <v>0</v>
      </c>
      <c r="J156" s="16">
        <f>Data!BS156</f>
        <v>0</v>
      </c>
      <c r="K156" s="47">
        <f t="shared" si="52"/>
        <v>0</v>
      </c>
      <c r="M156" s="23">
        <f t="shared" si="32"/>
        <v>227</v>
      </c>
      <c r="N156" s="23">
        <f t="shared" si="33"/>
        <v>211.42999999999995</v>
      </c>
      <c r="P156" s="33"/>
      <c r="Q156" s="33"/>
      <c r="R156" s="34"/>
      <c r="S156" s="35"/>
      <c r="T156" s="35"/>
      <c r="U156" s="36"/>
    </row>
    <row r="157" spans="1:21" x14ac:dyDescent="0.2">
      <c r="A157" s="40">
        <v>34850</v>
      </c>
      <c r="B157" s="3">
        <v>151</v>
      </c>
      <c r="C157" s="16">
        <f>ROUND(Data!BJ157,2)</f>
        <v>28.59</v>
      </c>
      <c r="D157" s="3">
        <f>ROUND(Data!R157,1)</f>
        <v>17.3</v>
      </c>
      <c r="E157" s="3">
        <f>ROUND(Data!AF157,1)</f>
        <v>-0.3</v>
      </c>
      <c r="F157" s="23">
        <f>Data!BO157</f>
        <v>34.5</v>
      </c>
      <c r="G157" s="3">
        <f>Data!Q157</f>
        <v>0</v>
      </c>
      <c r="H157" s="19">
        <f>Data!BF157</f>
        <v>0</v>
      </c>
      <c r="I157" s="14">
        <f t="shared" si="36"/>
        <v>0</v>
      </c>
      <c r="J157" s="16">
        <f>Data!BS157</f>
        <v>0</v>
      </c>
      <c r="K157" s="47">
        <f>G157</f>
        <v>0</v>
      </c>
      <c r="M157" s="23">
        <f t="shared" si="32"/>
        <v>227</v>
      </c>
      <c r="N157" s="23">
        <f t="shared" si="33"/>
        <v>211.42999999999995</v>
      </c>
      <c r="P157" s="33"/>
      <c r="Q157" s="33"/>
      <c r="R157" s="34"/>
      <c r="S157" s="35"/>
      <c r="T157" s="35"/>
      <c r="U157" s="36"/>
    </row>
    <row r="158" spans="1:21" x14ac:dyDescent="0.2">
      <c r="A158" s="40">
        <v>34851</v>
      </c>
      <c r="B158" s="3">
        <v>152</v>
      </c>
      <c r="C158" s="16">
        <f>ROUND(Data!BJ158,2)</f>
        <v>28.76</v>
      </c>
      <c r="D158" s="3">
        <f>ROUND(Data!R158,1)</f>
        <v>19.5</v>
      </c>
      <c r="E158" s="3">
        <f>ROUND(Data!AF158,1)</f>
        <v>1.6</v>
      </c>
      <c r="F158" s="23">
        <f>Data!BO158</f>
        <v>26.8</v>
      </c>
      <c r="G158" s="3">
        <f>Data!Q158</f>
        <v>0</v>
      </c>
      <c r="H158" s="19">
        <f>Data!BF158</f>
        <v>0</v>
      </c>
      <c r="I158" s="14">
        <f t="shared" si="36"/>
        <v>0</v>
      </c>
      <c r="J158" s="16">
        <f>Data!BS158</f>
        <v>0</v>
      </c>
      <c r="K158" s="47">
        <f t="shared" ref="K158:K221" si="53">G158</f>
        <v>0</v>
      </c>
      <c r="M158" s="23">
        <f t="shared" si="32"/>
        <v>227</v>
      </c>
      <c r="N158" s="23">
        <f t="shared" si="33"/>
        <v>211.42999999999995</v>
      </c>
      <c r="P158" s="33"/>
      <c r="Q158" s="33"/>
      <c r="R158" s="34"/>
      <c r="S158" s="35"/>
      <c r="T158" s="35"/>
    </row>
    <row r="159" spans="1:21" x14ac:dyDescent="0.2">
      <c r="A159" s="40">
        <v>34852</v>
      </c>
      <c r="B159" s="3">
        <v>153</v>
      </c>
      <c r="C159" s="16">
        <f>ROUND(Data!BJ159,2)</f>
        <v>19.25</v>
      </c>
      <c r="D159" s="3">
        <f>ROUND(Data!R159,1)</f>
        <v>17.3</v>
      </c>
      <c r="E159" s="3">
        <f>ROUND(Data!AF159,1)</f>
        <v>2.7</v>
      </c>
      <c r="F159" s="23">
        <f>Data!BO159</f>
        <v>37.700000000000003</v>
      </c>
      <c r="G159" s="3">
        <f>Data!Q159</f>
        <v>0</v>
      </c>
      <c r="H159" s="19">
        <f>Data!BF159</f>
        <v>0</v>
      </c>
      <c r="I159" s="14">
        <f t="shared" si="36"/>
        <v>0</v>
      </c>
      <c r="J159" s="16">
        <f>Data!BS159</f>
        <v>0</v>
      </c>
      <c r="K159" s="47">
        <f t="shared" si="53"/>
        <v>0</v>
      </c>
      <c r="M159" s="23">
        <f t="shared" si="32"/>
        <v>227</v>
      </c>
      <c r="N159" s="23">
        <f t="shared" si="33"/>
        <v>211.42999999999995</v>
      </c>
      <c r="P159" s="33"/>
      <c r="Q159" s="33"/>
      <c r="R159" s="34"/>
      <c r="S159" s="35"/>
      <c r="T159" s="35"/>
    </row>
    <row r="160" spans="1:21" x14ac:dyDescent="0.2">
      <c r="A160" s="40">
        <v>34853</v>
      </c>
      <c r="B160" s="3">
        <v>154</v>
      </c>
      <c r="C160" s="16">
        <f>ROUND(Data!BJ160,2)</f>
        <v>29.18</v>
      </c>
      <c r="D160" s="3">
        <f>ROUND(Data!R160,1)</f>
        <v>19.899999999999999</v>
      </c>
      <c r="E160" s="3">
        <f>ROUND(Data!AF160,1)</f>
        <v>1.5</v>
      </c>
      <c r="F160" s="23">
        <f>Data!BO160</f>
        <v>29.1</v>
      </c>
      <c r="G160" s="3">
        <f>Data!Q160</f>
        <v>0</v>
      </c>
      <c r="H160" s="19">
        <f>Data!BF160</f>
        <v>0</v>
      </c>
      <c r="I160" s="14">
        <f t="shared" si="36"/>
        <v>0</v>
      </c>
      <c r="J160" s="16">
        <f>Data!BS160</f>
        <v>0</v>
      </c>
      <c r="K160" s="47">
        <f t="shared" si="53"/>
        <v>0</v>
      </c>
      <c r="M160" s="23">
        <f t="shared" si="32"/>
        <v>227</v>
      </c>
      <c r="N160" s="23">
        <f t="shared" si="33"/>
        <v>211.42999999999995</v>
      </c>
      <c r="P160" s="33"/>
      <c r="Q160" s="33"/>
      <c r="R160" s="34"/>
      <c r="S160" s="35"/>
      <c r="T160" s="35"/>
    </row>
    <row r="161" spans="1:20" x14ac:dyDescent="0.2">
      <c r="A161" s="40">
        <v>34854</v>
      </c>
      <c r="B161" s="3">
        <v>155</v>
      </c>
      <c r="C161" s="16">
        <f>ROUND(Data!BJ161,2)</f>
        <v>16.47</v>
      </c>
      <c r="D161" s="3">
        <f>ROUND(Data!R161,1)</f>
        <v>16.899999999999999</v>
      </c>
      <c r="E161" s="3">
        <f>ROUND(Data!AF161,1)</f>
        <v>3.3</v>
      </c>
      <c r="F161" s="23">
        <f>Data!BO161</f>
        <v>32.6</v>
      </c>
      <c r="G161" s="3">
        <f>Data!Q161</f>
        <v>6</v>
      </c>
      <c r="H161" s="19">
        <f>Data!BF161</f>
        <v>0</v>
      </c>
      <c r="I161" s="14">
        <f t="shared" si="36"/>
        <v>0</v>
      </c>
      <c r="J161" s="16">
        <f>Data!BS161</f>
        <v>5.9</v>
      </c>
      <c r="K161" s="47">
        <f t="shared" si="53"/>
        <v>6</v>
      </c>
      <c r="M161" s="23">
        <f t="shared" si="32"/>
        <v>232.9</v>
      </c>
      <c r="N161" s="23">
        <f t="shared" si="33"/>
        <v>217.42999999999995</v>
      </c>
      <c r="P161" s="33"/>
      <c r="Q161" s="33"/>
      <c r="R161" s="34"/>
      <c r="S161" s="35"/>
      <c r="T161" s="35"/>
    </row>
    <row r="162" spans="1:20" x14ac:dyDescent="0.2">
      <c r="A162" s="40">
        <v>34855</v>
      </c>
      <c r="B162" s="3">
        <v>156</v>
      </c>
      <c r="C162" s="16">
        <f>ROUND(Data!BJ162,2)</f>
        <v>5.37</v>
      </c>
      <c r="D162" s="3">
        <f>ROUND(Data!R162,1)</f>
        <v>5.9</v>
      </c>
      <c r="E162" s="3">
        <f>ROUND(Data!AF162,1)</f>
        <v>2.2999999999999998</v>
      </c>
      <c r="F162" s="23">
        <f>Data!BO162</f>
        <v>96.8</v>
      </c>
      <c r="G162" s="3">
        <f>Data!Q162</f>
        <v>17</v>
      </c>
      <c r="H162" s="19">
        <f>Data!BF162</f>
        <v>0</v>
      </c>
      <c r="I162" s="14">
        <f t="shared" si="36"/>
        <v>0</v>
      </c>
      <c r="J162" s="16">
        <f>Data!BS162</f>
        <v>30.9</v>
      </c>
      <c r="K162" s="47">
        <f t="shared" si="53"/>
        <v>17</v>
      </c>
      <c r="M162" s="23">
        <f t="shared" si="32"/>
        <v>263.8</v>
      </c>
      <c r="N162" s="23">
        <f t="shared" si="33"/>
        <v>234.42999999999995</v>
      </c>
      <c r="P162" s="33"/>
      <c r="Q162" s="33"/>
      <c r="R162" s="34"/>
      <c r="S162" s="35"/>
      <c r="T162" s="35"/>
    </row>
    <row r="163" spans="1:20" x14ac:dyDescent="0.2">
      <c r="A163" s="40">
        <v>34856</v>
      </c>
      <c r="B163" s="3">
        <v>157</v>
      </c>
      <c r="C163" s="16">
        <f>ROUND(Data!BJ163,2)</f>
        <v>7.95</v>
      </c>
      <c r="D163" s="3">
        <f>ROUND(Data!R163,1)</f>
        <v>7.6</v>
      </c>
      <c r="E163" s="3">
        <f>ROUND(Data!AF163,1)</f>
        <v>0.6</v>
      </c>
      <c r="F163" s="23">
        <f>Data!BO163</f>
        <v>97.9</v>
      </c>
      <c r="G163" s="3">
        <f>Data!Q163</f>
        <v>0</v>
      </c>
      <c r="H163" s="19">
        <f>Data!BF163</f>
        <v>0</v>
      </c>
      <c r="I163" s="14">
        <f t="shared" si="36"/>
        <v>0</v>
      </c>
      <c r="J163" s="16">
        <f>Data!BS163</f>
        <v>16.5</v>
      </c>
      <c r="K163" s="47">
        <f t="shared" si="53"/>
        <v>0</v>
      </c>
      <c r="M163" s="23">
        <f t="shared" si="32"/>
        <v>280.3</v>
      </c>
      <c r="N163" s="23">
        <f t="shared" si="33"/>
        <v>234.42999999999995</v>
      </c>
      <c r="P163" s="33"/>
      <c r="Q163" s="33"/>
      <c r="R163" s="34"/>
      <c r="S163" s="35"/>
      <c r="T163" s="35"/>
    </row>
    <row r="164" spans="1:20" x14ac:dyDescent="0.2">
      <c r="A164" s="40">
        <v>34857</v>
      </c>
      <c r="B164" s="3">
        <v>158</v>
      </c>
      <c r="C164" s="16">
        <f>ROUND(Data!BJ164,2)</f>
        <v>29.15</v>
      </c>
      <c r="D164" s="3">
        <f>ROUND(Data!R164,1)</f>
        <v>16.399999999999999</v>
      </c>
      <c r="E164" s="3">
        <f>ROUND(Data!AF164,1)</f>
        <v>0.2</v>
      </c>
      <c r="F164" s="23">
        <f>Data!BO164</f>
        <v>26.4</v>
      </c>
      <c r="G164" s="3">
        <f>Data!Q164</f>
        <v>0</v>
      </c>
      <c r="H164" s="19">
        <f>Data!BF164</f>
        <v>0</v>
      </c>
      <c r="I164" s="14">
        <f t="shared" si="36"/>
        <v>0</v>
      </c>
      <c r="J164" s="16">
        <f>Data!BS164</f>
        <v>0</v>
      </c>
      <c r="K164" s="47">
        <f t="shared" si="53"/>
        <v>0</v>
      </c>
      <c r="M164" s="23">
        <f t="shared" si="32"/>
        <v>280.3</v>
      </c>
      <c r="N164" s="23">
        <f t="shared" si="33"/>
        <v>234.42999999999995</v>
      </c>
      <c r="P164" s="33"/>
      <c r="Q164" s="33"/>
      <c r="R164" s="34"/>
      <c r="S164" s="35"/>
      <c r="T164" s="35"/>
    </row>
    <row r="165" spans="1:20" x14ac:dyDescent="0.2">
      <c r="A165" s="40">
        <v>34858</v>
      </c>
      <c r="B165" s="3">
        <v>159</v>
      </c>
      <c r="C165" s="16">
        <f>ROUND(Data!BJ165,2)</f>
        <v>32.32</v>
      </c>
      <c r="D165" s="3">
        <f>ROUND(Data!R165,1)</f>
        <v>17.899999999999999</v>
      </c>
      <c r="E165" s="3">
        <f>ROUND(Data!AF165,1)</f>
        <v>-1</v>
      </c>
      <c r="F165" s="23">
        <f>Data!BO165</f>
        <v>16.899999999999999</v>
      </c>
      <c r="G165" s="3">
        <f>Data!Q165</f>
        <v>0</v>
      </c>
      <c r="H165" s="19">
        <f>Data!BF165</f>
        <v>0</v>
      </c>
      <c r="I165" s="14">
        <f t="shared" si="36"/>
        <v>0</v>
      </c>
      <c r="J165" s="16">
        <f>Data!BS165</f>
        <v>0</v>
      </c>
      <c r="K165" s="47">
        <f t="shared" si="53"/>
        <v>0</v>
      </c>
      <c r="M165" s="23">
        <f t="shared" si="32"/>
        <v>280.3</v>
      </c>
      <c r="N165" s="23">
        <f t="shared" si="33"/>
        <v>234.42999999999995</v>
      </c>
      <c r="P165" s="33"/>
      <c r="Q165" s="33"/>
      <c r="R165" s="34"/>
      <c r="S165" s="35"/>
      <c r="T165" s="35"/>
    </row>
    <row r="166" spans="1:20" x14ac:dyDescent="0.2">
      <c r="A166" s="40">
        <v>34859</v>
      </c>
      <c r="B166" s="3">
        <v>160</v>
      </c>
      <c r="C166" s="16">
        <f>ROUND(Data!BJ166,2)</f>
        <v>31.12</v>
      </c>
      <c r="D166" s="3">
        <f>ROUND(Data!R166,1)</f>
        <v>18</v>
      </c>
      <c r="E166" s="3">
        <f>ROUND(Data!AF166,1)</f>
        <v>-0.4</v>
      </c>
      <c r="F166" s="23">
        <f>Data!BO166</f>
        <v>18.100000000000001</v>
      </c>
      <c r="G166" s="3">
        <f>Data!Q166</f>
        <v>0</v>
      </c>
      <c r="H166" s="19">
        <f>Data!BF166</f>
        <v>0</v>
      </c>
      <c r="I166" s="14">
        <f t="shared" si="36"/>
        <v>0</v>
      </c>
      <c r="J166" s="16">
        <f>Data!BS166</f>
        <v>0</v>
      </c>
      <c r="K166" s="47">
        <f t="shared" si="53"/>
        <v>0</v>
      </c>
      <c r="M166" s="23">
        <f t="shared" si="32"/>
        <v>280.3</v>
      </c>
      <c r="N166" s="23">
        <f t="shared" si="33"/>
        <v>234.42999999999995</v>
      </c>
      <c r="P166" s="33"/>
      <c r="Q166" s="33"/>
      <c r="R166" s="34"/>
      <c r="S166" s="35"/>
      <c r="T166" s="35"/>
    </row>
    <row r="167" spans="1:20" x14ac:dyDescent="0.2">
      <c r="A167" s="40">
        <v>34860</v>
      </c>
      <c r="B167" s="3">
        <v>161</v>
      </c>
      <c r="C167" s="16">
        <f>ROUND(Data!BJ167,2)</f>
        <v>23.62</v>
      </c>
      <c r="D167" s="3">
        <f>ROUND(Data!R167,1)</f>
        <v>17.3</v>
      </c>
      <c r="E167" s="3">
        <f>ROUND(Data!AF167,1)</f>
        <v>0.6</v>
      </c>
      <c r="F167" s="23">
        <f>Data!BO167</f>
        <v>32.4</v>
      </c>
      <c r="G167" s="3">
        <f>Data!Q167</f>
        <v>0</v>
      </c>
      <c r="H167" s="19">
        <f>Data!BF167</f>
        <v>0</v>
      </c>
      <c r="I167" s="14">
        <f t="shared" si="36"/>
        <v>0</v>
      </c>
      <c r="J167" s="16">
        <f>Data!BS167</f>
        <v>0</v>
      </c>
      <c r="K167" s="47">
        <f t="shared" si="53"/>
        <v>0</v>
      </c>
      <c r="M167" s="23">
        <f t="shared" si="32"/>
        <v>280.3</v>
      </c>
      <c r="N167" s="23">
        <f t="shared" si="33"/>
        <v>234.42999999999995</v>
      </c>
      <c r="P167" s="33"/>
      <c r="Q167" s="33"/>
      <c r="R167" s="34"/>
      <c r="S167" s="35"/>
      <c r="T167" s="35"/>
    </row>
    <row r="168" spans="1:20" x14ac:dyDescent="0.2">
      <c r="A168" s="40">
        <v>34861</v>
      </c>
      <c r="B168" s="3">
        <v>162</v>
      </c>
      <c r="C168" s="16">
        <f>ROUND(Data!BJ168,2)</f>
        <v>11.73</v>
      </c>
      <c r="D168" s="3">
        <f>ROUND(Data!R168,1)</f>
        <v>10.5</v>
      </c>
      <c r="E168" s="3">
        <f>ROUND(Data!AF168,1)</f>
        <v>4.9000000000000004</v>
      </c>
      <c r="F168" s="23">
        <f>Data!BO168</f>
        <v>59.2</v>
      </c>
      <c r="G168" s="3">
        <f>Data!Q168</f>
        <v>8</v>
      </c>
      <c r="H168" s="19">
        <f>Data!BF168</f>
        <v>0</v>
      </c>
      <c r="I168" s="14">
        <f t="shared" si="36"/>
        <v>0</v>
      </c>
      <c r="J168" s="16">
        <f>Data!BS168</f>
        <v>5.8</v>
      </c>
      <c r="K168" s="47">
        <f t="shared" si="53"/>
        <v>8</v>
      </c>
      <c r="M168" s="23">
        <f t="shared" si="32"/>
        <v>286.10000000000002</v>
      </c>
      <c r="N168" s="23">
        <f t="shared" si="33"/>
        <v>242.42999999999995</v>
      </c>
      <c r="P168" s="33"/>
      <c r="Q168" s="33"/>
      <c r="R168" s="34"/>
      <c r="S168" s="35"/>
      <c r="T168" s="35"/>
    </row>
    <row r="169" spans="1:20" x14ac:dyDescent="0.2">
      <c r="A169" s="40">
        <v>34862</v>
      </c>
      <c r="B169" s="3">
        <v>163</v>
      </c>
      <c r="C169" s="16">
        <f>ROUND(Data!BJ169,2)</f>
        <v>22.25</v>
      </c>
      <c r="D169" s="3">
        <f>ROUND(Data!R169,1)</f>
        <v>13.3</v>
      </c>
      <c r="E169" s="3">
        <f>ROUND(Data!AF169,1)</f>
        <v>2</v>
      </c>
      <c r="F169" s="23">
        <f>Data!BO169</f>
        <v>34.700000000000003</v>
      </c>
      <c r="G169" s="3">
        <f>Data!Q169</f>
        <v>7</v>
      </c>
      <c r="H169" s="19">
        <f>Data!BF169</f>
        <v>0</v>
      </c>
      <c r="I169" s="14">
        <f t="shared" si="36"/>
        <v>0</v>
      </c>
      <c r="J169" s="16">
        <f>Data!BS169</f>
        <v>7.5</v>
      </c>
      <c r="K169" s="47">
        <f t="shared" si="53"/>
        <v>7</v>
      </c>
      <c r="M169" s="23">
        <f t="shared" si="32"/>
        <v>293.60000000000002</v>
      </c>
      <c r="N169" s="23">
        <f t="shared" si="33"/>
        <v>249.42999999999995</v>
      </c>
      <c r="P169" s="36"/>
      <c r="Q169" s="36"/>
      <c r="R169" s="36"/>
      <c r="S169" s="36"/>
      <c r="T169" s="36"/>
    </row>
    <row r="170" spans="1:20" x14ac:dyDescent="0.2">
      <c r="A170" s="40">
        <v>34863</v>
      </c>
      <c r="B170" s="3">
        <v>164</v>
      </c>
      <c r="C170" s="16">
        <f>ROUND(Data!BJ170,2)</f>
        <v>19.16</v>
      </c>
      <c r="D170" s="3">
        <f>ROUND(Data!R170,1)</f>
        <v>10.6</v>
      </c>
      <c r="E170" s="3">
        <f>ROUND(Data!AF170,1)</f>
        <v>2.4</v>
      </c>
      <c r="F170" s="23">
        <f>Data!BO170</f>
        <v>50.9</v>
      </c>
      <c r="G170" s="3">
        <f>Data!Q170</f>
        <v>3</v>
      </c>
      <c r="H170" s="19">
        <f>Data!BF170</f>
        <v>0</v>
      </c>
      <c r="I170" s="14">
        <f t="shared" si="36"/>
        <v>0</v>
      </c>
      <c r="J170" s="16">
        <f>Data!BS170</f>
        <v>3.6</v>
      </c>
      <c r="K170" s="47">
        <f t="shared" si="53"/>
        <v>3</v>
      </c>
      <c r="M170" s="23">
        <f t="shared" si="32"/>
        <v>297.20000000000005</v>
      </c>
      <c r="N170" s="23">
        <f t="shared" si="33"/>
        <v>252.42999999999995</v>
      </c>
    </row>
    <row r="171" spans="1:20" x14ac:dyDescent="0.2">
      <c r="A171" s="40">
        <v>34864</v>
      </c>
      <c r="B171" s="3">
        <v>165</v>
      </c>
      <c r="C171" s="16">
        <f>ROUND(Data!BJ171,2)</f>
        <v>10.47</v>
      </c>
      <c r="D171" s="3">
        <f>ROUND(Data!R171,1)</f>
        <v>9.8000000000000007</v>
      </c>
      <c r="E171" s="3">
        <f>ROUND(Data!AF171,1)</f>
        <v>3.4</v>
      </c>
      <c r="F171" s="23">
        <f>Data!BO171</f>
        <v>61</v>
      </c>
      <c r="G171" s="3">
        <f>Data!Q171</f>
        <v>6</v>
      </c>
      <c r="H171" s="19">
        <f>Data!BF171</f>
        <v>0</v>
      </c>
      <c r="I171" s="14">
        <f t="shared" si="36"/>
        <v>0</v>
      </c>
      <c r="J171" s="16">
        <f>Data!BS171</f>
        <v>5</v>
      </c>
      <c r="K171" s="47">
        <f t="shared" si="53"/>
        <v>6</v>
      </c>
      <c r="M171" s="23">
        <f t="shared" si="32"/>
        <v>302.20000000000005</v>
      </c>
      <c r="N171" s="23">
        <f t="shared" si="33"/>
        <v>258.42999999999995</v>
      </c>
    </row>
    <row r="172" spans="1:20" x14ac:dyDescent="0.2">
      <c r="A172" s="40">
        <v>34865</v>
      </c>
      <c r="B172" s="3">
        <v>166</v>
      </c>
      <c r="C172" s="16">
        <f>ROUND(Data!BJ172,2)</f>
        <v>17.989999999999998</v>
      </c>
      <c r="D172" s="3">
        <f>ROUND(Data!R172,1)</f>
        <v>13.7</v>
      </c>
      <c r="E172" s="3">
        <f>ROUND(Data!AF172,1)</f>
        <v>5.0999999999999996</v>
      </c>
      <c r="F172" s="23">
        <f>Data!BO172</f>
        <v>60.1</v>
      </c>
      <c r="G172" s="3">
        <f>Data!Q172</f>
        <v>2</v>
      </c>
      <c r="H172" s="19">
        <f>Data!BF172</f>
        <v>0</v>
      </c>
      <c r="I172" s="14">
        <f t="shared" si="36"/>
        <v>0</v>
      </c>
      <c r="J172" s="16">
        <f>Data!BS172</f>
        <v>0.3</v>
      </c>
      <c r="K172" s="47">
        <f t="shared" si="53"/>
        <v>2</v>
      </c>
      <c r="M172" s="23">
        <f t="shared" si="32"/>
        <v>302.50000000000006</v>
      </c>
      <c r="N172" s="23">
        <f t="shared" si="33"/>
        <v>260.42999999999995</v>
      </c>
    </row>
    <row r="173" spans="1:20" x14ac:dyDescent="0.2">
      <c r="A173" s="40">
        <v>34866</v>
      </c>
      <c r="B173" s="3">
        <v>167</v>
      </c>
      <c r="C173" s="16">
        <f>ROUND(Data!BJ173,2)</f>
        <v>15.72</v>
      </c>
      <c r="D173" s="3">
        <f>ROUND(Data!R173,1)</f>
        <v>14.4</v>
      </c>
      <c r="E173" s="3">
        <f>ROUND(Data!AF173,1)</f>
        <v>1.7</v>
      </c>
      <c r="F173" s="23">
        <f>Data!BO173</f>
        <v>55.5</v>
      </c>
      <c r="G173" s="3">
        <f>Data!Q173</f>
        <v>0</v>
      </c>
      <c r="H173" s="19">
        <f>Data!BF173</f>
        <v>0</v>
      </c>
      <c r="I173" s="14">
        <f t="shared" si="36"/>
        <v>0</v>
      </c>
      <c r="J173" s="16">
        <f>Data!BS173</f>
        <v>0</v>
      </c>
      <c r="K173" s="47">
        <f t="shared" si="53"/>
        <v>0</v>
      </c>
      <c r="M173" s="23">
        <f t="shared" si="32"/>
        <v>302.50000000000006</v>
      </c>
      <c r="N173" s="23">
        <f t="shared" si="33"/>
        <v>260.42999999999995</v>
      </c>
    </row>
    <row r="174" spans="1:20" x14ac:dyDescent="0.2">
      <c r="A174" s="40">
        <v>34867</v>
      </c>
      <c r="B174" s="3">
        <v>168</v>
      </c>
      <c r="C174" s="16">
        <f>ROUND(Data!BJ174,2)</f>
        <v>12.86</v>
      </c>
      <c r="D174" s="3">
        <f>ROUND(Data!R174,1)</f>
        <v>11.6</v>
      </c>
      <c r="E174" s="3">
        <f>ROUND(Data!AF174,1)</f>
        <v>5.2</v>
      </c>
      <c r="F174" s="23">
        <f>Data!BO174</f>
        <v>58.5</v>
      </c>
      <c r="G174" s="3">
        <f>Data!Q174</f>
        <v>2</v>
      </c>
      <c r="H174" s="19">
        <f>Data!BF174</f>
        <v>0</v>
      </c>
      <c r="I174" s="14">
        <f t="shared" si="36"/>
        <v>0</v>
      </c>
      <c r="J174" s="16">
        <f>Data!BS174</f>
        <v>1.9</v>
      </c>
      <c r="K174" s="47">
        <f t="shared" si="53"/>
        <v>2</v>
      </c>
      <c r="M174" s="23">
        <f t="shared" si="32"/>
        <v>304.40000000000003</v>
      </c>
      <c r="N174" s="23">
        <f t="shared" si="33"/>
        <v>262.42999999999995</v>
      </c>
    </row>
    <row r="175" spans="1:20" x14ac:dyDescent="0.2">
      <c r="A175" s="40">
        <v>34868</v>
      </c>
      <c r="B175" s="3">
        <v>169</v>
      </c>
      <c r="C175" s="16">
        <f>ROUND(Data!BJ175,2)</f>
        <v>13.46</v>
      </c>
      <c r="D175" s="3">
        <f>ROUND(Data!R175,1)</f>
        <v>12.7</v>
      </c>
      <c r="E175" s="3">
        <f>ROUND(Data!AF175,1)</f>
        <v>3.9</v>
      </c>
      <c r="F175" s="23">
        <f>Data!BO175</f>
        <v>52.6</v>
      </c>
      <c r="G175" s="3">
        <f>Data!Q175</f>
        <v>1</v>
      </c>
      <c r="H175" s="19">
        <f>Data!BF175</f>
        <v>0</v>
      </c>
      <c r="I175" s="14">
        <f t="shared" si="36"/>
        <v>0</v>
      </c>
      <c r="J175" s="16">
        <f>Data!BS175</f>
        <v>2.9</v>
      </c>
      <c r="K175" s="47">
        <f t="shared" si="53"/>
        <v>1</v>
      </c>
      <c r="M175" s="23">
        <f t="shared" si="32"/>
        <v>307.3</v>
      </c>
      <c r="N175" s="23">
        <f t="shared" si="33"/>
        <v>263.42999999999995</v>
      </c>
    </row>
    <row r="176" spans="1:20" x14ac:dyDescent="0.2">
      <c r="A176" s="40">
        <v>34869</v>
      </c>
      <c r="B176" s="3">
        <v>170</v>
      </c>
      <c r="C176" s="16">
        <f>ROUND(Data!BJ176,2)</f>
        <v>11.64</v>
      </c>
      <c r="D176" s="3">
        <f>ROUND(Data!R176,1)</f>
        <v>10.6</v>
      </c>
      <c r="E176" s="3">
        <f>ROUND(Data!AF176,1)</f>
        <v>2.6</v>
      </c>
      <c r="F176" s="23">
        <f>Data!BO176</f>
        <v>70</v>
      </c>
      <c r="G176" s="3">
        <f>Data!Q176</f>
        <v>0</v>
      </c>
      <c r="H176" s="19">
        <f>Data!BF176</f>
        <v>0</v>
      </c>
      <c r="I176" s="14">
        <f t="shared" si="36"/>
        <v>0</v>
      </c>
      <c r="J176" s="16">
        <f>Data!BS176</f>
        <v>3.3</v>
      </c>
      <c r="K176" s="47">
        <f t="shared" si="53"/>
        <v>0</v>
      </c>
      <c r="M176" s="23">
        <f t="shared" si="32"/>
        <v>310.60000000000002</v>
      </c>
      <c r="N176" s="23">
        <f t="shared" si="33"/>
        <v>263.42999999999995</v>
      </c>
    </row>
    <row r="177" spans="1:14" x14ac:dyDescent="0.2">
      <c r="A177" s="40">
        <v>34870</v>
      </c>
      <c r="B177" s="3">
        <v>171</v>
      </c>
      <c r="C177" s="16">
        <f>ROUND(Data!BJ177,2)</f>
        <v>4.12</v>
      </c>
      <c r="D177" s="3">
        <f>ROUND(Data!R177,1)</f>
        <v>9.5</v>
      </c>
      <c r="E177" s="3">
        <f>ROUND(Data!AF177,1)</f>
        <v>6.2</v>
      </c>
      <c r="F177" s="23">
        <f>Data!BO177</f>
        <v>97.1</v>
      </c>
      <c r="G177" s="3">
        <f>Data!Q177</f>
        <v>1</v>
      </c>
      <c r="H177" s="19">
        <f>Data!BF177</f>
        <v>0</v>
      </c>
      <c r="I177" s="14">
        <f t="shared" si="36"/>
        <v>0</v>
      </c>
      <c r="J177" s="16">
        <f>Data!BS177</f>
        <v>11.1</v>
      </c>
      <c r="K177" s="47">
        <f t="shared" si="53"/>
        <v>1</v>
      </c>
      <c r="M177" s="23">
        <f t="shared" si="32"/>
        <v>321.70000000000005</v>
      </c>
      <c r="N177" s="23">
        <f t="shared" si="33"/>
        <v>264.42999999999995</v>
      </c>
    </row>
    <row r="178" spans="1:14" x14ac:dyDescent="0.2">
      <c r="A178" s="40">
        <v>34871</v>
      </c>
      <c r="B178" s="3">
        <v>172</v>
      </c>
      <c r="C178" s="16">
        <f>ROUND(Data!BJ178,2)</f>
        <v>14.07</v>
      </c>
      <c r="D178" s="3">
        <f>ROUND(Data!R178,1)</f>
        <v>15.9</v>
      </c>
      <c r="E178" s="3">
        <f>ROUND(Data!AF178,1)</f>
        <v>7.4</v>
      </c>
      <c r="F178" s="23">
        <f>Data!BO178</f>
        <v>53.5</v>
      </c>
      <c r="G178" s="3">
        <f>Data!Q178</f>
        <v>1</v>
      </c>
      <c r="H178" s="19">
        <f>Data!BF178</f>
        <v>0</v>
      </c>
      <c r="I178" s="14">
        <f t="shared" si="36"/>
        <v>0</v>
      </c>
      <c r="J178" s="16">
        <f>Data!BS178</f>
        <v>0</v>
      </c>
      <c r="K178" s="47">
        <f t="shared" si="53"/>
        <v>1</v>
      </c>
      <c r="M178" s="23">
        <f t="shared" si="32"/>
        <v>321.70000000000005</v>
      </c>
      <c r="N178" s="23">
        <f t="shared" si="33"/>
        <v>265.42999999999995</v>
      </c>
    </row>
    <row r="179" spans="1:14" x14ac:dyDescent="0.2">
      <c r="A179" s="40">
        <v>34872</v>
      </c>
      <c r="B179" s="3">
        <v>173</v>
      </c>
      <c r="C179" s="16">
        <f>ROUND(Data!BJ179,2)</f>
        <v>26.16</v>
      </c>
      <c r="D179" s="3">
        <f>ROUND(Data!R179,1)</f>
        <v>17.7</v>
      </c>
      <c r="E179" s="3">
        <f>ROUND(Data!AF179,1)</f>
        <v>3.4</v>
      </c>
      <c r="F179" s="23">
        <f>Data!BO179</f>
        <v>40.700000000000003</v>
      </c>
      <c r="G179" s="3">
        <f>Data!Q179</f>
        <v>0</v>
      </c>
      <c r="H179" s="19">
        <f>Data!BF179</f>
        <v>0</v>
      </c>
      <c r="I179" s="14">
        <f t="shared" si="36"/>
        <v>0</v>
      </c>
      <c r="J179" s="16">
        <f>Data!BS179</f>
        <v>0</v>
      </c>
      <c r="K179" s="47">
        <f t="shared" si="53"/>
        <v>0</v>
      </c>
      <c r="M179" s="23">
        <f t="shared" si="32"/>
        <v>321.70000000000005</v>
      </c>
      <c r="N179" s="23">
        <f t="shared" si="33"/>
        <v>265.42999999999995</v>
      </c>
    </row>
    <row r="180" spans="1:14" x14ac:dyDescent="0.2">
      <c r="A180" s="40">
        <v>34873</v>
      </c>
      <c r="B180" s="3">
        <v>174</v>
      </c>
      <c r="C180" s="16">
        <f>ROUND(Data!BJ180,2)</f>
        <v>29.99</v>
      </c>
      <c r="D180" s="3">
        <f>ROUND(Data!R180,1)</f>
        <v>19.7</v>
      </c>
      <c r="E180" s="3">
        <f>ROUND(Data!AF180,1)</f>
        <v>4.4000000000000004</v>
      </c>
      <c r="F180" s="23">
        <f>Data!BO180</f>
        <v>29.4</v>
      </c>
      <c r="G180" s="3">
        <f>Data!Q180</f>
        <v>1</v>
      </c>
      <c r="H180" s="19">
        <f>Data!BF180</f>
        <v>0</v>
      </c>
      <c r="I180" s="14">
        <f t="shared" si="36"/>
        <v>0</v>
      </c>
      <c r="J180" s="16">
        <f>Data!BS180</f>
        <v>0</v>
      </c>
      <c r="K180" s="47">
        <f t="shared" si="53"/>
        <v>1</v>
      </c>
      <c r="M180" s="23">
        <f t="shared" si="32"/>
        <v>321.70000000000005</v>
      </c>
      <c r="N180" s="23">
        <f t="shared" si="33"/>
        <v>266.42999999999995</v>
      </c>
    </row>
    <row r="181" spans="1:14" x14ac:dyDescent="0.2">
      <c r="A181" s="40">
        <v>34874</v>
      </c>
      <c r="B181" s="3">
        <v>175</v>
      </c>
      <c r="C181" s="16">
        <f>ROUND(Data!BJ181,2)</f>
        <v>26.01</v>
      </c>
      <c r="D181" s="3">
        <f>ROUND(Data!R181,1)</f>
        <v>18.899999999999999</v>
      </c>
      <c r="E181" s="3">
        <f>ROUND(Data!AF181,1)</f>
        <v>6.4</v>
      </c>
      <c r="F181" s="23">
        <f>Data!BO181</f>
        <v>39.799999999999997</v>
      </c>
      <c r="G181" s="3">
        <f>Data!Q181</f>
        <v>0</v>
      </c>
      <c r="H181" s="19">
        <f>Data!BF181</f>
        <v>0</v>
      </c>
      <c r="I181" s="14">
        <f t="shared" si="36"/>
        <v>0</v>
      </c>
      <c r="J181" s="16">
        <f>Data!BS181</f>
        <v>0</v>
      </c>
      <c r="K181" s="47">
        <f t="shared" si="53"/>
        <v>0</v>
      </c>
      <c r="M181" s="23">
        <f t="shared" si="32"/>
        <v>321.70000000000005</v>
      </c>
      <c r="N181" s="23">
        <f t="shared" si="33"/>
        <v>266.42999999999995</v>
      </c>
    </row>
    <row r="182" spans="1:14" x14ac:dyDescent="0.2">
      <c r="A182" s="40">
        <v>34875</v>
      </c>
      <c r="B182" s="3">
        <v>176</v>
      </c>
      <c r="C182" s="16">
        <f>ROUND(Data!BJ182,2)</f>
        <v>32.15</v>
      </c>
      <c r="D182" s="3">
        <f>ROUND(Data!R182,1)</f>
        <v>18.100000000000001</v>
      </c>
      <c r="E182" s="3">
        <f>ROUND(Data!AF182,1)</f>
        <v>1.9</v>
      </c>
      <c r="F182" s="23">
        <f>Data!BO182</f>
        <v>32</v>
      </c>
      <c r="G182" s="3">
        <f>Data!Q182</f>
        <v>1</v>
      </c>
      <c r="H182" s="19">
        <f>Data!BF182</f>
        <v>0</v>
      </c>
      <c r="I182" s="14">
        <f t="shared" si="36"/>
        <v>0</v>
      </c>
      <c r="J182" s="16">
        <f>Data!BS182</f>
        <v>0</v>
      </c>
      <c r="K182" s="47">
        <f t="shared" si="53"/>
        <v>1</v>
      </c>
      <c r="M182" s="23">
        <f t="shared" si="32"/>
        <v>321.70000000000005</v>
      </c>
      <c r="N182" s="23">
        <f t="shared" si="33"/>
        <v>267.42999999999995</v>
      </c>
    </row>
    <row r="183" spans="1:14" x14ac:dyDescent="0.2">
      <c r="A183" s="40">
        <v>34876</v>
      </c>
      <c r="B183" s="3">
        <v>177</v>
      </c>
      <c r="C183" s="16">
        <f>ROUND(Data!BJ183,2)</f>
        <v>27.4</v>
      </c>
      <c r="D183" s="3">
        <f>ROUND(Data!R183,1)</f>
        <v>13.5</v>
      </c>
      <c r="E183" s="3">
        <f>ROUND(Data!AF183,1)</f>
        <v>0.2</v>
      </c>
      <c r="F183" s="23">
        <f>Data!BO183</f>
        <v>28.5</v>
      </c>
      <c r="G183" s="3">
        <f>Data!Q183</f>
        <v>0</v>
      </c>
      <c r="H183" s="19">
        <f>Data!BF183</f>
        <v>0</v>
      </c>
      <c r="I183" s="14">
        <f t="shared" si="36"/>
        <v>0</v>
      </c>
      <c r="J183" s="16">
        <f>Data!BS183</f>
        <v>0</v>
      </c>
      <c r="K183" s="47">
        <f t="shared" si="53"/>
        <v>0</v>
      </c>
      <c r="M183" s="23">
        <f t="shared" si="32"/>
        <v>321.70000000000005</v>
      </c>
      <c r="N183" s="23">
        <f t="shared" si="33"/>
        <v>267.42999999999995</v>
      </c>
    </row>
    <row r="184" spans="1:14" x14ac:dyDescent="0.2">
      <c r="A184" s="40">
        <v>34877</v>
      </c>
      <c r="B184" s="3">
        <v>178</v>
      </c>
      <c r="C184" s="16">
        <f>ROUND(Data!BJ184,2)</f>
        <v>31.22</v>
      </c>
      <c r="D184" s="3">
        <f>ROUND(Data!R184,1)</f>
        <v>17.100000000000001</v>
      </c>
      <c r="E184" s="3">
        <f>ROUND(Data!AF184,1)</f>
        <v>-1.6</v>
      </c>
      <c r="F184" s="23">
        <f>Data!BO184</f>
        <v>26.4</v>
      </c>
      <c r="G184" s="3">
        <f>Data!Q184</f>
        <v>9</v>
      </c>
      <c r="H184" s="19">
        <f>Data!BF184</f>
        <v>0</v>
      </c>
      <c r="I184" s="14">
        <f t="shared" si="36"/>
        <v>0</v>
      </c>
      <c r="J184" s="16">
        <f>Data!BS184</f>
        <v>0</v>
      </c>
      <c r="K184" s="47">
        <f t="shared" si="53"/>
        <v>9</v>
      </c>
      <c r="M184" s="23">
        <f t="shared" si="32"/>
        <v>321.70000000000005</v>
      </c>
      <c r="N184" s="23">
        <f t="shared" si="33"/>
        <v>276.42999999999995</v>
      </c>
    </row>
    <row r="185" spans="1:14" x14ac:dyDescent="0.2">
      <c r="A185" s="40">
        <v>34878</v>
      </c>
      <c r="B185" s="3">
        <v>179</v>
      </c>
      <c r="C185" s="16">
        <f>ROUND(Data!BJ185,2)</f>
        <v>32.35</v>
      </c>
      <c r="D185" s="3">
        <f>ROUND(Data!R185,1)</f>
        <v>21.1</v>
      </c>
      <c r="E185" s="3">
        <f>ROUND(Data!AF185,1)</f>
        <v>1</v>
      </c>
      <c r="F185" s="23">
        <f>Data!BO185</f>
        <v>22.5</v>
      </c>
      <c r="G185" s="3">
        <f>Data!Q185</f>
        <v>0</v>
      </c>
      <c r="H185" s="19">
        <f>Data!BF185</f>
        <v>0</v>
      </c>
      <c r="I185" s="14">
        <f t="shared" si="36"/>
        <v>0</v>
      </c>
      <c r="J185" s="16">
        <f>Data!BS185</f>
        <v>0</v>
      </c>
      <c r="K185" s="47">
        <f t="shared" si="53"/>
        <v>0</v>
      </c>
      <c r="M185" s="23">
        <f t="shared" si="32"/>
        <v>321.70000000000005</v>
      </c>
      <c r="N185" s="23">
        <f t="shared" si="33"/>
        <v>276.42999999999995</v>
      </c>
    </row>
    <row r="186" spans="1:14" x14ac:dyDescent="0.2">
      <c r="A186" s="40">
        <v>34879</v>
      </c>
      <c r="B186" s="3">
        <v>180</v>
      </c>
      <c r="C186" s="16">
        <f>ROUND(Data!BJ186,2)</f>
        <v>29</v>
      </c>
      <c r="D186" s="3">
        <f>ROUND(Data!R186,1)</f>
        <v>22.1</v>
      </c>
      <c r="E186" s="3">
        <f>ROUND(Data!AF186,1)</f>
        <v>3.5</v>
      </c>
      <c r="F186" s="23">
        <f>Data!BO186</f>
        <v>20.3</v>
      </c>
      <c r="G186" s="3">
        <f>Data!Q186</f>
        <v>0</v>
      </c>
      <c r="H186" s="19">
        <f>Data!BF186</f>
        <v>0</v>
      </c>
      <c r="I186" s="14">
        <f t="shared" si="36"/>
        <v>0</v>
      </c>
      <c r="J186" s="16">
        <f>Data!BS186</f>
        <v>0</v>
      </c>
      <c r="K186" s="47">
        <f t="shared" si="53"/>
        <v>0</v>
      </c>
      <c r="M186" s="23">
        <f t="shared" si="32"/>
        <v>321.70000000000005</v>
      </c>
      <c r="N186" s="23">
        <f t="shared" si="33"/>
        <v>276.42999999999995</v>
      </c>
    </row>
    <row r="187" spans="1:14" x14ac:dyDescent="0.2">
      <c r="A187" s="40">
        <v>34880</v>
      </c>
      <c r="B187" s="3">
        <v>181</v>
      </c>
      <c r="C187" s="16">
        <f>ROUND(Data!BJ187,2)</f>
        <v>29.52</v>
      </c>
      <c r="D187" s="3">
        <f>ROUND(Data!R187,1)</f>
        <v>23.4</v>
      </c>
      <c r="E187" s="3">
        <f>ROUND(Data!AF187,1)</f>
        <v>4.7</v>
      </c>
      <c r="F187" s="23">
        <f>Data!BO187</f>
        <v>22.1</v>
      </c>
      <c r="G187" s="3">
        <f>Data!Q187</f>
        <v>0</v>
      </c>
      <c r="H187" s="19">
        <f>Data!BF187</f>
        <v>0</v>
      </c>
      <c r="I187" s="14">
        <f t="shared" si="36"/>
        <v>0</v>
      </c>
      <c r="J187" s="16">
        <f>Data!BS187</f>
        <v>0</v>
      </c>
      <c r="K187" s="47">
        <f t="shared" si="53"/>
        <v>0</v>
      </c>
      <c r="M187" s="23">
        <f t="shared" si="32"/>
        <v>321.70000000000005</v>
      </c>
      <c r="N187" s="23">
        <f t="shared" si="33"/>
        <v>276.42999999999995</v>
      </c>
    </row>
    <row r="188" spans="1:14" x14ac:dyDescent="0.2">
      <c r="A188" s="40">
        <v>34881</v>
      </c>
      <c r="B188" s="3">
        <v>182</v>
      </c>
      <c r="C188" s="16">
        <f>ROUND(Data!BJ188,2)</f>
        <v>22.7</v>
      </c>
      <c r="D188" s="3">
        <f>ROUND(Data!R188,1)</f>
        <v>23.3</v>
      </c>
      <c r="E188" s="3">
        <f>ROUND(Data!AF188,1)</f>
        <v>7.1</v>
      </c>
      <c r="F188" s="23">
        <f>Data!BO188</f>
        <v>23.2</v>
      </c>
      <c r="G188" s="3">
        <f>Data!Q188</f>
        <v>0</v>
      </c>
      <c r="H188" s="19">
        <f>Data!BF188</f>
        <v>0</v>
      </c>
      <c r="I188" s="14">
        <f t="shared" si="36"/>
        <v>0</v>
      </c>
      <c r="J188" s="16">
        <f>Data!BS188</f>
        <v>0</v>
      </c>
      <c r="K188" s="47">
        <f t="shared" si="53"/>
        <v>0</v>
      </c>
      <c r="M188" s="23">
        <f t="shared" si="32"/>
        <v>321.70000000000005</v>
      </c>
      <c r="N188" s="23">
        <f t="shared" si="33"/>
        <v>276.42999999999995</v>
      </c>
    </row>
    <row r="189" spans="1:14" x14ac:dyDescent="0.2">
      <c r="A189" s="40">
        <v>34882</v>
      </c>
      <c r="B189" s="3">
        <v>183</v>
      </c>
      <c r="C189" s="16">
        <f>ROUND(Data!BJ189,2)</f>
        <v>10.73</v>
      </c>
      <c r="D189" s="3">
        <f>ROUND(Data!R189,1)</f>
        <v>16.100000000000001</v>
      </c>
      <c r="E189" s="3">
        <f>ROUND(Data!AF189,1)</f>
        <v>8.8000000000000007</v>
      </c>
      <c r="F189" s="23">
        <f>Data!BO189</f>
        <v>40.700000000000003</v>
      </c>
      <c r="G189" s="3">
        <f>Data!Q189</f>
        <v>8</v>
      </c>
      <c r="H189" s="19">
        <f>Data!BF189</f>
        <v>0</v>
      </c>
      <c r="I189" s="14">
        <f t="shared" si="36"/>
        <v>0</v>
      </c>
      <c r="J189" s="16">
        <f>Data!BS189</f>
        <v>8.1999999999999993</v>
      </c>
      <c r="K189" s="47">
        <f t="shared" si="53"/>
        <v>8</v>
      </c>
      <c r="M189" s="23">
        <f t="shared" si="32"/>
        <v>329.90000000000003</v>
      </c>
      <c r="N189" s="23">
        <f t="shared" si="33"/>
        <v>284.42999999999995</v>
      </c>
    </row>
    <row r="190" spans="1:14" x14ac:dyDescent="0.2">
      <c r="A190" s="40">
        <v>34883</v>
      </c>
      <c r="B190" s="3">
        <v>184</v>
      </c>
      <c r="C190" s="16">
        <f>ROUND(Data!BJ190,2)</f>
        <v>18.75</v>
      </c>
      <c r="D190" s="3">
        <f>ROUND(Data!R190,1)</f>
        <v>15.3</v>
      </c>
      <c r="E190" s="3">
        <f>ROUND(Data!AF190,1)</f>
        <v>5.8</v>
      </c>
      <c r="F190" s="23">
        <f>Data!BO190</f>
        <v>50.3</v>
      </c>
      <c r="G190" s="3">
        <f>Data!Q190</f>
        <v>0</v>
      </c>
      <c r="H190" s="19">
        <f>Data!BF190</f>
        <v>0</v>
      </c>
      <c r="I190" s="14">
        <f t="shared" si="36"/>
        <v>0</v>
      </c>
      <c r="J190" s="16">
        <f>Data!BS190</f>
        <v>0.3</v>
      </c>
      <c r="K190" s="47">
        <f t="shared" si="53"/>
        <v>0</v>
      </c>
      <c r="M190" s="23">
        <f t="shared" si="32"/>
        <v>330.20000000000005</v>
      </c>
      <c r="N190" s="23">
        <f t="shared" si="33"/>
        <v>284.42999999999995</v>
      </c>
    </row>
    <row r="191" spans="1:14" x14ac:dyDescent="0.2">
      <c r="A191" s="40">
        <v>34884</v>
      </c>
      <c r="B191" s="3">
        <v>185</v>
      </c>
      <c r="C191" s="16">
        <f>ROUND(Data!BJ191,2)</f>
        <v>13.79</v>
      </c>
      <c r="D191" s="3">
        <f>ROUND(Data!R191,1)</f>
        <v>12</v>
      </c>
      <c r="E191" s="3">
        <f>ROUND(Data!AF191,1)</f>
        <v>4.8</v>
      </c>
      <c r="F191" s="23">
        <f>Data!BO191</f>
        <v>60.2</v>
      </c>
      <c r="G191" s="3">
        <f>Data!Q191</f>
        <v>5</v>
      </c>
      <c r="H191" s="19">
        <f>Data!BF191</f>
        <v>0</v>
      </c>
      <c r="I191" s="14">
        <f t="shared" si="36"/>
        <v>0</v>
      </c>
      <c r="J191" s="16">
        <f>Data!BS191</f>
        <v>2.4</v>
      </c>
      <c r="K191" s="47">
        <f t="shared" si="53"/>
        <v>5</v>
      </c>
      <c r="M191" s="23">
        <f t="shared" si="32"/>
        <v>332.6</v>
      </c>
      <c r="N191" s="23">
        <f t="shared" si="33"/>
        <v>289.42999999999995</v>
      </c>
    </row>
    <row r="192" spans="1:14" x14ac:dyDescent="0.2">
      <c r="A192" s="40">
        <v>34885</v>
      </c>
      <c r="B192" s="3">
        <v>186</v>
      </c>
      <c r="C192" s="16">
        <f>ROUND(Data!BJ192,2)</f>
        <v>18.82</v>
      </c>
      <c r="D192" s="3">
        <f>ROUND(Data!R192,1)</f>
        <v>16.2</v>
      </c>
      <c r="E192" s="3">
        <f>ROUND(Data!AF192,1)</f>
        <v>6</v>
      </c>
      <c r="F192" s="23">
        <f>Data!BO192</f>
        <v>39.700000000000003</v>
      </c>
      <c r="G192" s="3">
        <f>Data!Q192</f>
        <v>2</v>
      </c>
      <c r="H192" s="19">
        <f>Data!BF192</f>
        <v>0</v>
      </c>
      <c r="I192" s="14">
        <f t="shared" si="36"/>
        <v>0</v>
      </c>
      <c r="J192" s="16">
        <f>Data!BS192</f>
        <v>5.0999999999999996</v>
      </c>
      <c r="K192" s="47">
        <f t="shared" si="53"/>
        <v>2</v>
      </c>
      <c r="M192" s="23">
        <f t="shared" si="32"/>
        <v>337.70000000000005</v>
      </c>
      <c r="N192" s="23">
        <f t="shared" si="33"/>
        <v>291.42999999999995</v>
      </c>
    </row>
    <row r="193" spans="1:14" x14ac:dyDescent="0.2">
      <c r="A193" s="40">
        <v>34886</v>
      </c>
      <c r="B193" s="3">
        <v>187</v>
      </c>
      <c r="C193" s="16">
        <f>ROUND(Data!BJ193,2)</f>
        <v>14.15</v>
      </c>
      <c r="D193" s="3">
        <f>ROUND(Data!R193,1)</f>
        <v>15.3</v>
      </c>
      <c r="E193" s="3">
        <f>ROUND(Data!AF193,1)</f>
        <v>2.5</v>
      </c>
      <c r="F193" s="23">
        <f>Data!BO193</f>
        <v>41.9</v>
      </c>
      <c r="G193" s="3">
        <f>Data!Q193</f>
        <v>3</v>
      </c>
      <c r="H193" s="19">
        <f>Data!BF193</f>
        <v>0</v>
      </c>
      <c r="I193" s="14">
        <f t="shared" si="36"/>
        <v>0</v>
      </c>
      <c r="J193" s="16">
        <f>Data!BS193</f>
        <v>3.2</v>
      </c>
      <c r="K193" s="47">
        <f t="shared" si="53"/>
        <v>3</v>
      </c>
      <c r="M193" s="23">
        <f t="shared" si="32"/>
        <v>340.90000000000003</v>
      </c>
      <c r="N193" s="23">
        <f t="shared" si="33"/>
        <v>294.42999999999995</v>
      </c>
    </row>
    <row r="194" spans="1:14" x14ac:dyDescent="0.2">
      <c r="A194" s="40">
        <v>34887</v>
      </c>
      <c r="B194" s="3">
        <v>188</v>
      </c>
      <c r="C194" s="16">
        <f>ROUND(Data!BJ194,2)</f>
        <v>12.26</v>
      </c>
      <c r="D194" s="3">
        <f>ROUND(Data!R194,1)</f>
        <v>16.2</v>
      </c>
      <c r="E194" s="3">
        <f>ROUND(Data!AF194,1)</f>
        <v>8.1</v>
      </c>
      <c r="F194" s="23">
        <f>Data!BO194</f>
        <v>62.6</v>
      </c>
      <c r="G194" s="3">
        <f>Data!Q194</f>
        <v>0</v>
      </c>
      <c r="H194" s="19">
        <f>Data!BF194</f>
        <v>0</v>
      </c>
      <c r="I194" s="14">
        <f t="shared" si="36"/>
        <v>0</v>
      </c>
      <c r="J194" s="16">
        <f>Data!BS194</f>
        <v>3.7</v>
      </c>
      <c r="K194" s="47">
        <f t="shared" si="53"/>
        <v>0</v>
      </c>
      <c r="M194" s="23">
        <f t="shared" ref="M194:M257" si="54">J194+M193</f>
        <v>344.6</v>
      </c>
      <c r="N194" s="23">
        <f t="shared" ref="N194:N257" si="55">K194+N193</f>
        <v>294.42999999999995</v>
      </c>
    </row>
    <row r="195" spans="1:14" x14ac:dyDescent="0.2">
      <c r="A195" s="40">
        <v>34888</v>
      </c>
      <c r="B195" s="3">
        <v>189</v>
      </c>
      <c r="C195" s="16">
        <f>ROUND(Data!BJ195,2)</f>
        <v>14.78</v>
      </c>
      <c r="D195" s="3">
        <f>ROUND(Data!R195,1)</f>
        <v>18.2</v>
      </c>
      <c r="E195" s="3">
        <f>ROUND(Data!AF195,1)</f>
        <v>6.3</v>
      </c>
      <c r="F195" s="23">
        <f>Data!BO195</f>
        <v>48.4</v>
      </c>
      <c r="G195" s="3">
        <f>Data!Q195</f>
        <v>0</v>
      </c>
      <c r="H195" s="19">
        <f>Data!BF195</f>
        <v>0</v>
      </c>
      <c r="I195" s="14">
        <f t="shared" si="36"/>
        <v>0</v>
      </c>
      <c r="J195" s="16">
        <f>Data!BS195</f>
        <v>0</v>
      </c>
      <c r="K195" s="47">
        <f t="shared" si="53"/>
        <v>0</v>
      </c>
      <c r="M195" s="23">
        <f t="shared" si="54"/>
        <v>344.6</v>
      </c>
      <c r="N195" s="23">
        <f t="shared" si="55"/>
        <v>294.42999999999995</v>
      </c>
    </row>
    <row r="196" spans="1:14" x14ac:dyDescent="0.2">
      <c r="A196" s="40">
        <v>34889</v>
      </c>
      <c r="B196" s="3">
        <v>190</v>
      </c>
      <c r="C196" s="16">
        <f>ROUND(Data!BJ196,2)</f>
        <v>16</v>
      </c>
      <c r="D196" s="3">
        <f>ROUND(Data!R196,1)</f>
        <v>20.2</v>
      </c>
      <c r="E196" s="3">
        <f>ROUND(Data!AF196,1)</f>
        <v>7.8</v>
      </c>
      <c r="F196" s="23">
        <f>Data!BO196</f>
        <v>43.5</v>
      </c>
      <c r="G196" s="3">
        <f>Data!Q196</f>
        <v>11</v>
      </c>
      <c r="H196" s="19">
        <f>Data!BF196</f>
        <v>0</v>
      </c>
      <c r="I196" s="14">
        <f t="shared" si="36"/>
        <v>0</v>
      </c>
      <c r="J196" s="16">
        <f>Data!BS196</f>
        <v>3.8</v>
      </c>
      <c r="K196" s="47">
        <f t="shared" si="53"/>
        <v>11</v>
      </c>
      <c r="M196" s="23">
        <f t="shared" si="54"/>
        <v>348.40000000000003</v>
      </c>
      <c r="N196" s="23">
        <f t="shared" si="55"/>
        <v>305.42999999999995</v>
      </c>
    </row>
    <row r="197" spans="1:14" x14ac:dyDescent="0.2">
      <c r="A197" s="40">
        <v>34890</v>
      </c>
      <c r="B197" s="3">
        <v>191</v>
      </c>
      <c r="C197" s="16">
        <f>ROUND(Data!BJ197,2)</f>
        <v>12.79</v>
      </c>
      <c r="D197" s="3">
        <f>ROUND(Data!R197,1)</f>
        <v>13.8</v>
      </c>
      <c r="E197" s="3">
        <f>ROUND(Data!AF197,1)</f>
        <v>5.4</v>
      </c>
      <c r="F197" s="23">
        <f>Data!BO197</f>
        <v>52.2</v>
      </c>
      <c r="G197" s="3">
        <f>Data!Q197</f>
        <v>5</v>
      </c>
      <c r="H197" s="19">
        <f>Data!BF197</f>
        <v>0</v>
      </c>
      <c r="I197" s="14">
        <f t="shared" si="36"/>
        <v>0</v>
      </c>
      <c r="J197" s="16">
        <f>Data!BS197</f>
        <v>6.1</v>
      </c>
      <c r="K197" s="47">
        <f t="shared" si="53"/>
        <v>5</v>
      </c>
      <c r="M197" s="23">
        <f t="shared" si="54"/>
        <v>354.50000000000006</v>
      </c>
      <c r="N197" s="23">
        <f t="shared" si="55"/>
        <v>310.42999999999995</v>
      </c>
    </row>
    <row r="198" spans="1:14" x14ac:dyDescent="0.2">
      <c r="A198" s="40">
        <v>34891</v>
      </c>
      <c r="B198" s="3">
        <v>192</v>
      </c>
      <c r="C198" s="16">
        <f>ROUND(Data!BJ198,2)</f>
        <v>22.43</v>
      </c>
      <c r="D198" s="3">
        <f>ROUND(Data!R198,1)</f>
        <v>14.6</v>
      </c>
      <c r="E198" s="3">
        <f>ROUND(Data!AF198,1)</f>
        <v>-7.3</v>
      </c>
      <c r="F198" s="23">
        <f>Data!BO198</f>
        <v>36.200000000000003</v>
      </c>
      <c r="G198" s="3">
        <f>Data!Q198</f>
        <v>0</v>
      </c>
      <c r="H198" s="19">
        <f>Data!BF198</f>
        <v>0</v>
      </c>
      <c r="I198" s="14">
        <f t="shared" si="36"/>
        <v>0</v>
      </c>
      <c r="J198" s="16">
        <f>Data!BS198</f>
        <v>0.3</v>
      </c>
      <c r="K198" s="47">
        <f t="shared" si="53"/>
        <v>0</v>
      </c>
      <c r="M198" s="23">
        <f t="shared" si="54"/>
        <v>354.80000000000007</v>
      </c>
      <c r="N198" s="23">
        <f t="shared" si="55"/>
        <v>310.42999999999995</v>
      </c>
    </row>
    <row r="199" spans="1:14" x14ac:dyDescent="0.2">
      <c r="A199" s="40">
        <v>34892</v>
      </c>
      <c r="B199" s="3">
        <v>193</v>
      </c>
      <c r="C199" s="16">
        <f>ROUND(Data!BJ199,2)</f>
        <v>28.5</v>
      </c>
      <c r="D199" s="3">
        <f>ROUND(Data!R199,1)</f>
        <v>16.399999999999999</v>
      </c>
      <c r="E199" s="3">
        <f>ROUND(Data!AF199,1)</f>
        <v>-0.3</v>
      </c>
      <c r="F199" s="23">
        <f>Data!BO199</f>
        <v>30.6</v>
      </c>
      <c r="G199" s="3">
        <f>Data!Q199</f>
        <v>0</v>
      </c>
      <c r="H199" s="19">
        <f>Data!BF199</f>
        <v>0</v>
      </c>
      <c r="I199" s="14">
        <f t="shared" ref="I199:I262" si="56">IF(H199&gt;H198,ROUND((H199-H198)*I$1,1),0)</f>
        <v>0</v>
      </c>
      <c r="J199" s="16">
        <f>Data!BS199</f>
        <v>0</v>
      </c>
      <c r="K199" s="47">
        <f t="shared" si="53"/>
        <v>0</v>
      </c>
      <c r="M199" s="23">
        <f t="shared" si="54"/>
        <v>354.80000000000007</v>
      </c>
      <c r="N199" s="23">
        <f t="shared" si="55"/>
        <v>310.42999999999995</v>
      </c>
    </row>
    <row r="200" spans="1:14" x14ac:dyDescent="0.2">
      <c r="A200" s="40">
        <v>34893</v>
      </c>
      <c r="B200" s="3">
        <v>194</v>
      </c>
      <c r="C200" s="16">
        <f>ROUND(Data!BJ200,2)</f>
        <v>24.24</v>
      </c>
      <c r="D200" s="3">
        <f>ROUND(Data!R200,1)</f>
        <v>17.899999999999999</v>
      </c>
      <c r="E200" s="3">
        <f>ROUND(Data!AF200,1)</f>
        <v>1.6</v>
      </c>
      <c r="F200" s="23">
        <f>Data!BO200</f>
        <v>35.799999999999997</v>
      </c>
      <c r="G200" s="3">
        <f>Data!Q200</f>
        <v>0</v>
      </c>
      <c r="H200" s="19">
        <f>Data!BF200</f>
        <v>0</v>
      </c>
      <c r="I200" s="14">
        <f t="shared" si="56"/>
        <v>0</v>
      </c>
      <c r="J200" s="16">
        <f>Data!BS200</f>
        <v>0</v>
      </c>
      <c r="K200" s="47">
        <f t="shared" si="53"/>
        <v>0</v>
      </c>
      <c r="M200" s="23">
        <f t="shared" si="54"/>
        <v>354.80000000000007</v>
      </c>
      <c r="N200" s="23">
        <f t="shared" si="55"/>
        <v>310.42999999999995</v>
      </c>
    </row>
    <row r="201" spans="1:14" x14ac:dyDescent="0.2">
      <c r="A201" s="40">
        <v>34894</v>
      </c>
      <c r="B201" s="3">
        <v>195</v>
      </c>
      <c r="C201" s="16">
        <f>ROUND(Data!BJ201,2)</f>
        <v>28.35</v>
      </c>
      <c r="D201" s="3">
        <f>ROUND(Data!R201,1)</f>
        <v>16.7</v>
      </c>
      <c r="E201" s="3">
        <f>ROUND(Data!AF201,1)</f>
        <v>4.9000000000000004</v>
      </c>
      <c r="F201" s="23">
        <f>Data!BO201</f>
        <v>35.700000000000003</v>
      </c>
      <c r="G201" s="3">
        <f>Data!Q201</f>
        <v>0</v>
      </c>
      <c r="H201" s="19">
        <f>Data!BF201</f>
        <v>0</v>
      </c>
      <c r="I201" s="14">
        <f t="shared" si="56"/>
        <v>0</v>
      </c>
      <c r="J201" s="16">
        <f>Data!BS201</f>
        <v>0</v>
      </c>
      <c r="K201" s="47">
        <f t="shared" si="53"/>
        <v>0</v>
      </c>
      <c r="M201" s="23">
        <f t="shared" si="54"/>
        <v>354.80000000000007</v>
      </c>
      <c r="N201" s="23">
        <f t="shared" si="55"/>
        <v>310.42999999999995</v>
      </c>
    </row>
    <row r="202" spans="1:14" x14ac:dyDescent="0.2">
      <c r="A202" s="40">
        <v>34895</v>
      </c>
      <c r="B202" s="3">
        <v>196</v>
      </c>
      <c r="C202" s="16">
        <f>ROUND(Data!BJ202,2)</f>
        <v>29.78</v>
      </c>
      <c r="D202" s="3">
        <f>ROUND(Data!R202,1)</f>
        <v>18.5</v>
      </c>
      <c r="E202" s="3">
        <f>ROUND(Data!AF202,1)</f>
        <v>2.1</v>
      </c>
      <c r="F202" s="23">
        <f>Data!BO202</f>
        <v>29.6</v>
      </c>
      <c r="G202" s="3">
        <f>Data!Q202</f>
        <v>0</v>
      </c>
      <c r="H202" s="19">
        <f>Data!BF202</f>
        <v>0</v>
      </c>
      <c r="I202" s="14">
        <f t="shared" si="56"/>
        <v>0</v>
      </c>
      <c r="J202" s="16">
        <f>Data!BS202</f>
        <v>0</v>
      </c>
      <c r="K202" s="47">
        <f t="shared" si="53"/>
        <v>0</v>
      </c>
      <c r="M202" s="23">
        <f t="shared" si="54"/>
        <v>354.80000000000007</v>
      </c>
      <c r="N202" s="23">
        <f t="shared" si="55"/>
        <v>310.42999999999995</v>
      </c>
    </row>
    <row r="203" spans="1:14" x14ac:dyDescent="0.2">
      <c r="A203" s="40">
        <v>34896</v>
      </c>
      <c r="B203" s="3">
        <v>197</v>
      </c>
      <c r="C203" s="16">
        <f>ROUND(Data!BJ203,2)</f>
        <v>30.31</v>
      </c>
      <c r="D203" s="3">
        <f>ROUND(Data!R203,1)</f>
        <v>20.2</v>
      </c>
      <c r="E203" s="3">
        <f>ROUND(Data!AF203,1)</f>
        <v>5.0999999999999996</v>
      </c>
      <c r="F203" s="23">
        <f>Data!BO203</f>
        <v>34.1</v>
      </c>
      <c r="G203" s="3">
        <f>Data!Q203</f>
        <v>0</v>
      </c>
      <c r="H203" s="19">
        <f>Data!BF203</f>
        <v>0</v>
      </c>
      <c r="I203" s="14">
        <f t="shared" si="56"/>
        <v>0</v>
      </c>
      <c r="J203" s="16">
        <f>Data!BS203</f>
        <v>0</v>
      </c>
      <c r="K203" s="47">
        <f t="shared" si="53"/>
        <v>0</v>
      </c>
      <c r="M203" s="23">
        <f t="shared" si="54"/>
        <v>354.80000000000007</v>
      </c>
      <c r="N203" s="23">
        <f t="shared" si="55"/>
        <v>310.42999999999995</v>
      </c>
    </row>
    <row r="204" spans="1:14" x14ac:dyDescent="0.2">
      <c r="A204" s="40">
        <v>34897</v>
      </c>
      <c r="B204" s="3">
        <v>198</v>
      </c>
      <c r="C204" s="16">
        <f>ROUND(Data!BJ204,2)</f>
        <v>30.36</v>
      </c>
      <c r="D204" s="3">
        <f>ROUND(Data!R204,1)</f>
        <v>21.1</v>
      </c>
      <c r="E204" s="3">
        <f>ROUND(Data!AF204,1)</f>
        <v>3.5</v>
      </c>
      <c r="F204" s="23">
        <f>Data!BO204</f>
        <v>33.9</v>
      </c>
      <c r="G204" s="3">
        <f>Data!Q204</f>
        <v>0</v>
      </c>
      <c r="H204" s="19">
        <f>Data!BF204</f>
        <v>0</v>
      </c>
      <c r="I204" s="14">
        <f t="shared" si="56"/>
        <v>0</v>
      </c>
      <c r="J204" s="16">
        <f>Data!BS204</f>
        <v>0</v>
      </c>
      <c r="K204" s="47">
        <f t="shared" si="53"/>
        <v>0</v>
      </c>
      <c r="M204" s="23">
        <f t="shared" si="54"/>
        <v>354.80000000000007</v>
      </c>
      <c r="N204" s="23">
        <f t="shared" si="55"/>
        <v>310.42999999999995</v>
      </c>
    </row>
    <row r="205" spans="1:14" x14ac:dyDescent="0.2">
      <c r="A205" s="40">
        <v>34898</v>
      </c>
      <c r="B205" s="3">
        <v>199</v>
      </c>
      <c r="C205" s="16">
        <f>ROUND(Data!BJ205,2)</f>
        <v>29.57</v>
      </c>
      <c r="D205" s="3">
        <f>ROUND(Data!R205,1)</f>
        <v>20.9</v>
      </c>
      <c r="E205" s="3">
        <f>ROUND(Data!AF205,1)</f>
        <v>5.5</v>
      </c>
      <c r="F205" s="23">
        <f>Data!BO205</f>
        <v>28.8</v>
      </c>
      <c r="G205" s="3">
        <f>Data!Q205</f>
        <v>0</v>
      </c>
      <c r="H205" s="19">
        <f>Data!BF205</f>
        <v>0</v>
      </c>
      <c r="I205" s="14">
        <f t="shared" si="56"/>
        <v>0</v>
      </c>
      <c r="J205" s="16">
        <f>Data!BS205</f>
        <v>0</v>
      </c>
      <c r="K205" s="47">
        <f t="shared" si="53"/>
        <v>0</v>
      </c>
      <c r="M205" s="23">
        <f t="shared" si="54"/>
        <v>354.80000000000007</v>
      </c>
      <c r="N205" s="23">
        <f t="shared" si="55"/>
        <v>310.42999999999995</v>
      </c>
    </row>
    <row r="206" spans="1:14" x14ac:dyDescent="0.2">
      <c r="A206" s="40">
        <v>34899</v>
      </c>
      <c r="B206" s="3">
        <v>200</v>
      </c>
      <c r="C206" s="16">
        <f>ROUND(Data!BJ206,2)</f>
        <v>30.06</v>
      </c>
      <c r="D206" s="3">
        <f>ROUND(Data!R206,1)</f>
        <v>22.9</v>
      </c>
      <c r="E206" s="3">
        <f>ROUND(Data!AF206,1)</f>
        <v>3.9</v>
      </c>
      <c r="F206" s="23">
        <f>Data!BO206</f>
        <v>17.7</v>
      </c>
      <c r="G206" s="3">
        <f>Data!Q206</f>
        <v>0</v>
      </c>
      <c r="H206" s="19">
        <f>Data!BF206</f>
        <v>0</v>
      </c>
      <c r="I206" s="14">
        <f t="shared" si="56"/>
        <v>0</v>
      </c>
      <c r="J206" s="16">
        <f>Data!BS206</f>
        <v>0</v>
      </c>
      <c r="K206" s="47">
        <f t="shared" si="53"/>
        <v>0</v>
      </c>
      <c r="M206" s="23">
        <f t="shared" si="54"/>
        <v>354.80000000000007</v>
      </c>
      <c r="N206" s="23">
        <f t="shared" si="55"/>
        <v>310.42999999999995</v>
      </c>
    </row>
    <row r="207" spans="1:14" x14ac:dyDescent="0.2">
      <c r="A207" s="40">
        <v>34900</v>
      </c>
      <c r="B207" s="3">
        <v>201</v>
      </c>
      <c r="C207" s="16">
        <f>ROUND(Data!BJ207,2)</f>
        <v>16.559999999999999</v>
      </c>
      <c r="D207" s="3">
        <f>ROUND(Data!R207,1)</f>
        <v>21.1</v>
      </c>
      <c r="E207" s="3">
        <f>ROUND(Data!AF207,1)</f>
        <v>7.1</v>
      </c>
      <c r="F207" s="23">
        <f>Data!BO207</f>
        <v>36.6</v>
      </c>
      <c r="G207" s="3">
        <f>Data!Q207</f>
        <v>0</v>
      </c>
      <c r="H207" s="19">
        <f>Data!BF207</f>
        <v>0</v>
      </c>
      <c r="I207" s="14">
        <f t="shared" si="56"/>
        <v>0</v>
      </c>
      <c r="J207" s="16">
        <f>Data!BS207</f>
        <v>0.3</v>
      </c>
      <c r="K207" s="47">
        <f t="shared" si="53"/>
        <v>0</v>
      </c>
      <c r="M207" s="23">
        <f t="shared" si="54"/>
        <v>355.10000000000008</v>
      </c>
      <c r="N207" s="23">
        <f t="shared" si="55"/>
        <v>310.42999999999995</v>
      </c>
    </row>
    <row r="208" spans="1:14" x14ac:dyDescent="0.2">
      <c r="A208" s="40">
        <v>34901</v>
      </c>
      <c r="B208" s="3">
        <v>202</v>
      </c>
      <c r="C208" s="16">
        <f>ROUND(Data!BJ208,2)</f>
        <v>23.56</v>
      </c>
      <c r="D208" s="3">
        <f>ROUND(Data!R208,1)</f>
        <v>19</v>
      </c>
      <c r="E208" s="3">
        <f>ROUND(Data!AF208,1)</f>
        <v>6.6</v>
      </c>
      <c r="F208" s="23">
        <f>Data!BO208</f>
        <v>34.4</v>
      </c>
      <c r="G208" s="3">
        <f>Data!Q208</f>
        <v>0</v>
      </c>
      <c r="H208" s="19">
        <f>Data!BF208</f>
        <v>0</v>
      </c>
      <c r="I208" s="14">
        <f t="shared" si="56"/>
        <v>0</v>
      </c>
      <c r="J208" s="16">
        <f>Data!BS208</f>
        <v>0.8</v>
      </c>
      <c r="K208" s="47">
        <f t="shared" si="53"/>
        <v>0</v>
      </c>
      <c r="M208" s="23">
        <f t="shared" si="54"/>
        <v>355.90000000000009</v>
      </c>
      <c r="N208" s="23">
        <f t="shared" si="55"/>
        <v>310.42999999999995</v>
      </c>
    </row>
    <row r="209" spans="1:14" x14ac:dyDescent="0.2">
      <c r="A209" s="40">
        <v>34902</v>
      </c>
      <c r="B209" s="3">
        <v>203</v>
      </c>
      <c r="C209" s="16">
        <f>ROUND(Data!BJ209,2)</f>
        <v>25.3</v>
      </c>
      <c r="D209" s="3">
        <f>ROUND(Data!R209,1)</f>
        <v>21.5</v>
      </c>
      <c r="E209" s="3">
        <f>ROUND(Data!AF209,1)</f>
        <v>4.2</v>
      </c>
      <c r="F209" s="23">
        <f>Data!BO209</f>
        <v>35.5</v>
      </c>
      <c r="G209" s="3">
        <f>Data!Q209</f>
        <v>1</v>
      </c>
      <c r="H209" s="19">
        <f>Data!BF209</f>
        <v>0</v>
      </c>
      <c r="I209" s="14">
        <f t="shared" si="56"/>
        <v>0</v>
      </c>
      <c r="J209" s="16">
        <f>Data!BS209</f>
        <v>1.8</v>
      </c>
      <c r="K209" s="47">
        <f t="shared" si="53"/>
        <v>1</v>
      </c>
      <c r="M209" s="23">
        <f t="shared" si="54"/>
        <v>357.7000000000001</v>
      </c>
      <c r="N209" s="23">
        <f t="shared" si="55"/>
        <v>311.42999999999995</v>
      </c>
    </row>
    <row r="210" spans="1:14" x14ac:dyDescent="0.2">
      <c r="A210" s="40">
        <v>34903</v>
      </c>
      <c r="B210" s="3">
        <v>204</v>
      </c>
      <c r="C210" s="16">
        <f>ROUND(Data!BJ210,2)</f>
        <v>12.06</v>
      </c>
      <c r="D210" s="3">
        <f>ROUND(Data!R210,1)</f>
        <v>14.7</v>
      </c>
      <c r="E210" s="3">
        <f>ROUND(Data!AF210,1)</f>
        <v>8.3000000000000007</v>
      </c>
      <c r="F210" s="23">
        <f>Data!BO210</f>
        <v>52.5</v>
      </c>
      <c r="G210" s="3">
        <f>Data!Q210</f>
        <v>4</v>
      </c>
      <c r="H210" s="19">
        <f>Data!BF210</f>
        <v>0</v>
      </c>
      <c r="I210" s="14">
        <f t="shared" si="56"/>
        <v>0</v>
      </c>
      <c r="J210" s="16">
        <f>Data!BS210</f>
        <v>5.4</v>
      </c>
      <c r="K210" s="47">
        <f t="shared" si="53"/>
        <v>4</v>
      </c>
      <c r="M210" s="23">
        <f t="shared" si="54"/>
        <v>363.10000000000008</v>
      </c>
      <c r="N210" s="23">
        <f t="shared" si="55"/>
        <v>315.42999999999995</v>
      </c>
    </row>
    <row r="211" spans="1:14" x14ac:dyDescent="0.2">
      <c r="A211" s="40">
        <v>34904</v>
      </c>
      <c r="B211" s="3">
        <v>205</v>
      </c>
      <c r="C211" s="16">
        <f>ROUND(Data!BJ211,2)</f>
        <v>14.68</v>
      </c>
      <c r="D211" s="3">
        <f>ROUND(Data!R211,1)</f>
        <v>15.6</v>
      </c>
      <c r="E211" s="3">
        <f>ROUND(Data!AF211,1)</f>
        <v>8.6</v>
      </c>
      <c r="F211" s="23">
        <f>Data!BO211</f>
        <v>61.2</v>
      </c>
      <c r="G211" s="3">
        <f>Data!Q211</f>
        <v>1</v>
      </c>
      <c r="H211" s="19">
        <f>Data!BF211</f>
        <v>0</v>
      </c>
      <c r="I211" s="14">
        <f t="shared" si="56"/>
        <v>0</v>
      </c>
      <c r="J211" s="16">
        <f>Data!BS211</f>
        <v>0</v>
      </c>
      <c r="K211" s="47">
        <f t="shared" si="53"/>
        <v>1</v>
      </c>
      <c r="M211" s="23">
        <f t="shared" si="54"/>
        <v>363.10000000000008</v>
      </c>
      <c r="N211" s="23">
        <f t="shared" si="55"/>
        <v>316.42999999999995</v>
      </c>
    </row>
    <row r="212" spans="1:14" x14ac:dyDescent="0.2">
      <c r="A212" s="40">
        <v>34905</v>
      </c>
      <c r="B212" s="3">
        <v>206</v>
      </c>
      <c r="C212" s="16">
        <f>ROUND(Data!BJ212,2)</f>
        <v>7.93</v>
      </c>
      <c r="D212" s="3">
        <f>ROUND(Data!R212,1)</f>
        <v>14.1</v>
      </c>
      <c r="E212" s="3">
        <f>ROUND(Data!AF212,1)</f>
        <v>8.9</v>
      </c>
      <c r="F212" s="23">
        <f>Data!BO212</f>
        <v>77</v>
      </c>
      <c r="G212" s="3">
        <f>Data!Q212</f>
        <v>8</v>
      </c>
      <c r="H212" s="19">
        <f>Data!BF212</f>
        <v>0</v>
      </c>
      <c r="I212" s="14">
        <f t="shared" si="56"/>
        <v>0</v>
      </c>
      <c r="J212" s="16">
        <f>Data!BS212</f>
        <v>9.1</v>
      </c>
      <c r="K212" s="47">
        <f t="shared" si="53"/>
        <v>8</v>
      </c>
      <c r="M212" s="23">
        <f t="shared" si="54"/>
        <v>372.2000000000001</v>
      </c>
      <c r="N212" s="23">
        <f t="shared" si="55"/>
        <v>324.42999999999995</v>
      </c>
    </row>
    <row r="213" spans="1:14" x14ac:dyDescent="0.2">
      <c r="A213" s="40">
        <v>34906</v>
      </c>
      <c r="B213" s="3">
        <v>207</v>
      </c>
      <c r="C213" s="16">
        <f>ROUND(Data!BJ213,2)</f>
        <v>11.71</v>
      </c>
      <c r="D213" s="3">
        <f>ROUND(Data!R213,1)</f>
        <v>14.5</v>
      </c>
      <c r="E213" s="3">
        <f>ROUND(Data!AF213,1)</f>
        <v>8.6</v>
      </c>
      <c r="F213" s="23">
        <f>Data!BO213</f>
        <v>61.1</v>
      </c>
      <c r="G213" s="3">
        <f>Data!Q213</f>
        <v>10</v>
      </c>
      <c r="H213" s="19">
        <f>Data!BF213</f>
        <v>0</v>
      </c>
      <c r="I213" s="14">
        <f t="shared" si="56"/>
        <v>0</v>
      </c>
      <c r="J213" s="16">
        <f>Data!BS213</f>
        <v>4.5999999999999996</v>
      </c>
      <c r="K213" s="47">
        <f t="shared" si="53"/>
        <v>10</v>
      </c>
      <c r="M213" s="23">
        <f t="shared" si="54"/>
        <v>376.80000000000013</v>
      </c>
      <c r="N213" s="23">
        <f t="shared" si="55"/>
        <v>334.42999999999995</v>
      </c>
    </row>
    <row r="214" spans="1:14" x14ac:dyDescent="0.2">
      <c r="A214" s="40">
        <v>34907</v>
      </c>
      <c r="B214" s="3">
        <v>208</v>
      </c>
      <c r="C214" s="16">
        <f>ROUND(Data!BJ214,2)</f>
        <v>20.43</v>
      </c>
      <c r="D214" s="3">
        <f>ROUND(Data!R214,1)</f>
        <v>12.8</v>
      </c>
      <c r="E214" s="3">
        <f>ROUND(Data!AF214,1)</f>
        <v>1.3</v>
      </c>
      <c r="F214" s="23">
        <f>Data!BO214</f>
        <v>41.9</v>
      </c>
      <c r="G214" s="3">
        <f>Data!Q214</f>
        <v>3</v>
      </c>
      <c r="H214" s="19">
        <f>Data!BF214</f>
        <v>0</v>
      </c>
      <c r="I214" s="14">
        <f t="shared" si="56"/>
        <v>0</v>
      </c>
      <c r="J214" s="16">
        <f>Data!BS214</f>
        <v>4.3</v>
      </c>
      <c r="K214" s="47">
        <f t="shared" si="53"/>
        <v>3</v>
      </c>
      <c r="M214" s="23">
        <f t="shared" si="54"/>
        <v>381.10000000000014</v>
      </c>
      <c r="N214" s="23">
        <f t="shared" si="55"/>
        <v>337.42999999999995</v>
      </c>
    </row>
    <row r="215" spans="1:14" x14ac:dyDescent="0.2">
      <c r="A215" s="40">
        <v>34908</v>
      </c>
      <c r="B215" s="3">
        <v>209</v>
      </c>
      <c r="C215" s="16">
        <f>ROUND(Data!BJ215,2)</f>
        <v>19.62</v>
      </c>
      <c r="D215" s="3">
        <f>ROUND(Data!R215,1)</f>
        <v>16.2</v>
      </c>
      <c r="E215" s="3">
        <f>ROUND(Data!AF215,1)</f>
        <v>0.5</v>
      </c>
      <c r="F215" s="23">
        <f>Data!BO215</f>
        <v>39.1</v>
      </c>
      <c r="G215" s="3">
        <f>Data!Q215</f>
        <v>2</v>
      </c>
      <c r="H215" s="19">
        <f>Data!BF215</f>
        <v>0</v>
      </c>
      <c r="I215" s="14">
        <f t="shared" si="56"/>
        <v>0</v>
      </c>
      <c r="J215" s="16">
        <f>Data!BS215</f>
        <v>0.6</v>
      </c>
      <c r="K215" s="47">
        <f t="shared" si="53"/>
        <v>2</v>
      </c>
      <c r="M215" s="23">
        <f t="shared" si="54"/>
        <v>381.70000000000016</v>
      </c>
      <c r="N215" s="23">
        <f t="shared" si="55"/>
        <v>339.42999999999995</v>
      </c>
    </row>
    <row r="216" spans="1:14" x14ac:dyDescent="0.2">
      <c r="A216" s="40">
        <v>34909</v>
      </c>
      <c r="B216" s="3">
        <v>210</v>
      </c>
      <c r="C216" s="16">
        <f>ROUND(Data!BJ216,2)</f>
        <v>4.93</v>
      </c>
      <c r="D216" s="3">
        <f>ROUND(Data!R216,1)</f>
        <v>8.8000000000000007</v>
      </c>
      <c r="E216" s="3">
        <f>ROUND(Data!AF216,1)</f>
        <v>3.2</v>
      </c>
      <c r="F216" s="23">
        <f>Data!BO216</f>
        <v>60.4</v>
      </c>
      <c r="G216" s="3">
        <f>Data!Q216</f>
        <v>3</v>
      </c>
      <c r="H216" s="19">
        <f>Data!BF216</f>
        <v>0</v>
      </c>
      <c r="I216" s="14">
        <f t="shared" si="56"/>
        <v>0</v>
      </c>
      <c r="J216" s="16">
        <f>Data!BS216</f>
        <v>6.4</v>
      </c>
      <c r="K216" s="47">
        <f t="shared" si="53"/>
        <v>3</v>
      </c>
      <c r="M216" s="23">
        <f t="shared" si="54"/>
        <v>388.10000000000014</v>
      </c>
      <c r="N216" s="23">
        <f t="shared" si="55"/>
        <v>342.42999999999995</v>
      </c>
    </row>
    <row r="217" spans="1:14" x14ac:dyDescent="0.2">
      <c r="A217" s="40">
        <v>34910</v>
      </c>
      <c r="B217" s="3">
        <v>211</v>
      </c>
      <c r="C217" s="16">
        <f>ROUND(Data!BJ217,2)</f>
        <v>19.3</v>
      </c>
      <c r="D217" s="3">
        <f>ROUND(Data!R217,1)</f>
        <v>14.5</v>
      </c>
      <c r="E217" s="3">
        <f>ROUND(Data!AF217,1)</f>
        <v>4.9000000000000004</v>
      </c>
      <c r="F217" s="23">
        <f>Data!BO217</f>
        <v>41.2</v>
      </c>
      <c r="G217" s="3">
        <f>Data!Q217</f>
        <v>0</v>
      </c>
      <c r="H217" s="19">
        <f>Data!BF217</f>
        <v>0</v>
      </c>
      <c r="I217" s="14">
        <f t="shared" si="56"/>
        <v>0</v>
      </c>
      <c r="J217" s="16">
        <f>Data!BS217</f>
        <v>0</v>
      </c>
      <c r="K217" s="47">
        <f t="shared" si="53"/>
        <v>0</v>
      </c>
      <c r="M217" s="23">
        <f t="shared" si="54"/>
        <v>388.10000000000014</v>
      </c>
      <c r="N217" s="23">
        <f t="shared" si="55"/>
        <v>342.42999999999995</v>
      </c>
    </row>
    <row r="218" spans="1:14" x14ac:dyDescent="0.2">
      <c r="A218" s="40">
        <v>34911</v>
      </c>
      <c r="B218" s="3">
        <v>212</v>
      </c>
      <c r="C218" s="16">
        <f>ROUND(Data!BJ218,2)</f>
        <v>16.22</v>
      </c>
      <c r="D218" s="3">
        <f>ROUND(Data!R218,1)</f>
        <v>15.8</v>
      </c>
      <c r="E218" s="3">
        <f>ROUND(Data!AF218,1)</f>
        <v>6.1</v>
      </c>
      <c r="F218" s="23">
        <f>Data!BO218</f>
        <v>47.3</v>
      </c>
      <c r="G218" s="3">
        <f>Data!Q218</f>
        <v>2</v>
      </c>
      <c r="H218" s="19">
        <f>Data!BF218</f>
        <v>0</v>
      </c>
      <c r="I218" s="14">
        <f t="shared" si="56"/>
        <v>0</v>
      </c>
      <c r="J218" s="16">
        <f>Data!BS218</f>
        <v>0.3</v>
      </c>
      <c r="K218" s="47">
        <f t="shared" si="53"/>
        <v>2</v>
      </c>
      <c r="M218" s="23">
        <f t="shared" si="54"/>
        <v>388.40000000000015</v>
      </c>
      <c r="N218" s="23">
        <f t="shared" si="55"/>
        <v>344.42999999999995</v>
      </c>
    </row>
    <row r="219" spans="1:14" x14ac:dyDescent="0.2">
      <c r="A219" s="40">
        <v>34912</v>
      </c>
      <c r="B219" s="3">
        <v>213</v>
      </c>
      <c r="C219" s="16">
        <f>ROUND(Data!BJ219,2)</f>
        <v>11.7</v>
      </c>
      <c r="D219" s="3">
        <f>ROUND(Data!R219,1)</f>
        <v>14.3</v>
      </c>
      <c r="E219" s="3">
        <f>ROUND(Data!AF219,1)</f>
        <v>5.4</v>
      </c>
      <c r="F219" s="23">
        <f>Data!BO219</f>
        <v>58.2</v>
      </c>
      <c r="G219" s="3">
        <f>Data!Q219</f>
        <v>3</v>
      </c>
      <c r="H219" s="19">
        <f>Data!BF219</f>
        <v>0</v>
      </c>
      <c r="I219" s="14">
        <f t="shared" si="56"/>
        <v>0</v>
      </c>
      <c r="J219" s="16">
        <f>Data!BS219</f>
        <v>2.2999999999999998</v>
      </c>
      <c r="K219" s="47">
        <f t="shared" si="53"/>
        <v>3</v>
      </c>
      <c r="M219" s="23">
        <f t="shared" si="54"/>
        <v>390.70000000000016</v>
      </c>
      <c r="N219" s="23">
        <f t="shared" si="55"/>
        <v>347.42999999999995</v>
      </c>
    </row>
    <row r="220" spans="1:14" x14ac:dyDescent="0.2">
      <c r="A220" s="40">
        <v>34913</v>
      </c>
      <c r="B220" s="3">
        <v>214</v>
      </c>
      <c r="C220" s="16">
        <f>ROUND(Data!BJ220,2)</f>
        <v>16.39</v>
      </c>
      <c r="D220" s="3">
        <f>ROUND(Data!R220,1)</f>
        <v>14.1</v>
      </c>
      <c r="E220" s="3">
        <f>ROUND(Data!AF220,1)</f>
        <v>4.5999999999999996</v>
      </c>
      <c r="F220" s="23">
        <f>Data!BO220</f>
        <v>43.2</v>
      </c>
      <c r="G220" s="3">
        <f>Data!Q220</f>
        <v>0</v>
      </c>
      <c r="H220" s="19">
        <f>Data!BF220</f>
        <v>0</v>
      </c>
      <c r="I220" s="14">
        <f t="shared" si="56"/>
        <v>0</v>
      </c>
      <c r="J220" s="16">
        <f>Data!BS220</f>
        <v>0</v>
      </c>
      <c r="K220" s="47">
        <f t="shared" si="53"/>
        <v>0</v>
      </c>
      <c r="M220" s="23">
        <f t="shared" si="54"/>
        <v>390.70000000000016</v>
      </c>
      <c r="N220" s="23">
        <f t="shared" si="55"/>
        <v>347.42999999999995</v>
      </c>
    </row>
    <row r="221" spans="1:14" x14ac:dyDescent="0.2">
      <c r="A221" s="40">
        <v>34914</v>
      </c>
      <c r="B221" s="3">
        <v>215</v>
      </c>
      <c r="C221" s="16">
        <f>ROUND(Data!BJ221,2)</f>
        <v>26.52</v>
      </c>
      <c r="D221" s="3">
        <f>ROUND(Data!R221,1)</f>
        <v>19.2</v>
      </c>
      <c r="E221" s="3">
        <f>ROUND(Data!AF221,1)</f>
        <v>4.4000000000000004</v>
      </c>
      <c r="F221" s="23">
        <f>Data!BO221</f>
        <v>41.7</v>
      </c>
      <c r="G221" s="3">
        <f>Data!Q221</f>
        <v>0</v>
      </c>
      <c r="H221" s="19">
        <f>Data!BF221</f>
        <v>0</v>
      </c>
      <c r="I221" s="14">
        <f t="shared" si="56"/>
        <v>0</v>
      </c>
      <c r="J221" s="16">
        <f>Data!BS221</f>
        <v>0</v>
      </c>
      <c r="K221" s="47">
        <f t="shared" si="53"/>
        <v>0</v>
      </c>
      <c r="M221" s="23">
        <f t="shared" si="54"/>
        <v>390.70000000000016</v>
      </c>
      <c r="N221" s="23">
        <f t="shared" si="55"/>
        <v>347.42999999999995</v>
      </c>
    </row>
    <row r="222" spans="1:14" x14ac:dyDescent="0.2">
      <c r="A222" s="40">
        <v>34915</v>
      </c>
      <c r="B222" s="3">
        <v>216</v>
      </c>
      <c r="C222" s="16">
        <f>ROUND(Data!BJ222,2)</f>
        <v>26.99</v>
      </c>
      <c r="D222" s="3">
        <f>ROUND(Data!R222,1)</f>
        <v>23.8</v>
      </c>
      <c r="E222" s="3">
        <f>ROUND(Data!AF222,1)</f>
        <v>5.6</v>
      </c>
      <c r="F222" s="23">
        <f>Data!BO222</f>
        <v>27.5</v>
      </c>
      <c r="G222" s="3">
        <f>Data!Q222</f>
        <v>0</v>
      </c>
      <c r="H222" s="19">
        <f>Data!BF222</f>
        <v>0</v>
      </c>
      <c r="I222" s="14">
        <f t="shared" si="56"/>
        <v>0</v>
      </c>
      <c r="J222" s="16">
        <f>Data!BS222</f>
        <v>0</v>
      </c>
      <c r="K222" s="47">
        <f t="shared" ref="K222:K285" si="57">G222</f>
        <v>0</v>
      </c>
      <c r="M222" s="23">
        <f t="shared" si="54"/>
        <v>390.70000000000016</v>
      </c>
      <c r="N222" s="23">
        <f t="shared" si="55"/>
        <v>347.42999999999995</v>
      </c>
    </row>
    <row r="223" spans="1:14" x14ac:dyDescent="0.2">
      <c r="A223" s="40">
        <v>34916</v>
      </c>
      <c r="B223" s="3">
        <v>217</v>
      </c>
      <c r="C223" s="16">
        <f>ROUND(Data!BJ223,2)</f>
        <v>8.0399999999999991</v>
      </c>
      <c r="D223" s="3">
        <f>ROUND(Data!R223,1)</f>
        <v>15.6</v>
      </c>
      <c r="E223" s="3">
        <f>ROUND(Data!AF223,1)</f>
        <v>5.3</v>
      </c>
      <c r="F223" s="23">
        <f>Data!BO223</f>
        <v>58.5</v>
      </c>
      <c r="G223" s="3">
        <f>Data!Q223</f>
        <v>2</v>
      </c>
      <c r="H223" s="19">
        <f>Data!BF223</f>
        <v>0</v>
      </c>
      <c r="I223" s="14">
        <f t="shared" si="56"/>
        <v>0</v>
      </c>
      <c r="J223" s="16">
        <f>Data!BS223</f>
        <v>5.0999999999999996</v>
      </c>
      <c r="K223" s="47">
        <f t="shared" si="57"/>
        <v>2</v>
      </c>
      <c r="M223" s="23">
        <f t="shared" si="54"/>
        <v>395.80000000000018</v>
      </c>
      <c r="N223" s="23">
        <f t="shared" si="55"/>
        <v>349.42999999999995</v>
      </c>
    </row>
    <row r="224" spans="1:14" x14ac:dyDescent="0.2">
      <c r="A224" s="40">
        <v>34917</v>
      </c>
      <c r="B224" s="3">
        <v>218</v>
      </c>
      <c r="C224" s="16">
        <f>ROUND(Data!BJ224,2)</f>
        <v>7.18</v>
      </c>
      <c r="D224" s="3">
        <f>ROUND(Data!R224,1)</f>
        <v>7.6</v>
      </c>
      <c r="E224" s="3">
        <f>ROUND(Data!AF224,1)</f>
        <v>4.0999999999999996</v>
      </c>
      <c r="F224" s="23">
        <f>Data!BO224</f>
        <v>73.3</v>
      </c>
      <c r="G224" s="3">
        <f>Data!Q224</f>
        <v>5</v>
      </c>
      <c r="H224" s="19">
        <f>Data!BF224</f>
        <v>0</v>
      </c>
      <c r="I224" s="14">
        <f t="shared" si="56"/>
        <v>0</v>
      </c>
      <c r="J224" s="16">
        <f>Data!BS224</f>
        <v>13.6</v>
      </c>
      <c r="K224" s="47">
        <f t="shared" si="57"/>
        <v>5</v>
      </c>
      <c r="M224" s="23">
        <f t="shared" si="54"/>
        <v>409.4000000000002</v>
      </c>
      <c r="N224" s="23">
        <f t="shared" si="55"/>
        <v>354.42999999999995</v>
      </c>
    </row>
    <row r="225" spans="1:14" x14ac:dyDescent="0.2">
      <c r="A225" s="40">
        <v>34918</v>
      </c>
      <c r="B225" s="3">
        <v>219</v>
      </c>
      <c r="C225" s="16">
        <f>ROUND(Data!BJ225,2)</f>
        <v>9.57</v>
      </c>
      <c r="D225" s="3">
        <f>ROUND(Data!R225,1)</f>
        <v>9.5</v>
      </c>
      <c r="E225" s="3">
        <f>ROUND(Data!AF225,1)</f>
        <v>2.6</v>
      </c>
      <c r="F225" s="23">
        <f>Data!BO225</f>
        <v>72.7</v>
      </c>
      <c r="G225" s="3">
        <f>Data!Q225</f>
        <v>3</v>
      </c>
      <c r="H225" s="19">
        <f>Data!BF225</f>
        <v>0</v>
      </c>
      <c r="I225" s="14">
        <f t="shared" si="56"/>
        <v>0</v>
      </c>
      <c r="J225" s="16">
        <f>Data!BS225</f>
        <v>16.7</v>
      </c>
      <c r="K225" s="47">
        <f t="shared" si="57"/>
        <v>3</v>
      </c>
      <c r="M225" s="23">
        <f t="shared" si="54"/>
        <v>426.10000000000019</v>
      </c>
      <c r="N225" s="23">
        <f t="shared" si="55"/>
        <v>357.42999999999995</v>
      </c>
    </row>
    <row r="226" spans="1:14" x14ac:dyDescent="0.2">
      <c r="A226" s="40">
        <v>34919</v>
      </c>
      <c r="B226" s="3">
        <v>220</v>
      </c>
      <c r="C226" s="16">
        <f>ROUND(Data!BJ226,2)</f>
        <v>4.07</v>
      </c>
      <c r="D226" s="3">
        <f>ROUND(Data!R226,1)</f>
        <v>9</v>
      </c>
      <c r="E226" s="3">
        <f>ROUND(Data!AF226,1)</f>
        <v>4.2</v>
      </c>
      <c r="F226" s="23">
        <f>Data!BO226</f>
        <v>89</v>
      </c>
      <c r="G226" s="3">
        <f>Data!Q226</f>
        <v>2</v>
      </c>
      <c r="H226" s="19">
        <f>Data!BF226</f>
        <v>0</v>
      </c>
      <c r="I226" s="14">
        <f t="shared" si="56"/>
        <v>0</v>
      </c>
      <c r="J226" s="16">
        <f>Data!BS226</f>
        <v>4.0999999999999996</v>
      </c>
      <c r="K226" s="47">
        <f t="shared" si="57"/>
        <v>2</v>
      </c>
      <c r="M226" s="23">
        <f t="shared" si="54"/>
        <v>430.20000000000022</v>
      </c>
      <c r="N226" s="23">
        <f t="shared" si="55"/>
        <v>359.42999999999995</v>
      </c>
    </row>
    <row r="227" spans="1:14" x14ac:dyDescent="0.2">
      <c r="A227" s="40">
        <v>34920</v>
      </c>
      <c r="B227" s="3">
        <v>221</v>
      </c>
      <c r="C227" s="16">
        <f>ROUND(Data!BJ227,2)</f>
        <v>15.83</v>
      </c>
      <c r="D227" s="3">
        <f>ROUND(Data!R227,1)</f>
        <v>15.1</v>
      </c>
      <c r="E227" s="3">
        <f>ROUND(Data!AF227,1)</f>
        <v>3.6</v>
      </c>
      <c r="F227" s="23">
        <f>Data!BO227</f>
        <v>51.7</v>
      </c>
      <c r="G227" s="3">
        <f>Data!Q227</f>
        <v>4</v>
      </c>
      <c r="H227" s="19">
        <f>Data!BF227</f>
        <v>0</v>
      </c>
      <c r="I227" s="14">
        <f t="shared" si="56"/>
        <v>0</v>
      </c>
      <c r="J227" s="16">
        <f>Data!BS227</f>
        <v>0.5</v>
      </c>
      <c r="K227" s="47">
        <f t="shared" si="57"/>
        <v>4</v>
      </c>
      <c r="M227" s="23">
        <f t="shared" si="54"/>
        <v>430.70000000000022</v>
      </c>
      <c r="N227" s="23">
        <f t="shared" si="55"/>
        <v>363.42999999999995</v>
      </c>
    </row>
    <row r="228" spans="1:14" x14ac:dyDescent="0.2">
      <c r="A228" s="40">
        <v>34921</v>
      </c>
      <c r="B228" s="3">
        <v>222</v>
      </c>
      <c r="C228" s="16">
        <f>ROUND(Data!BJ228,2)</f>
        <v>15.75</v>
      </c>
      <c r="D228" s="3">
        <f>ROUND(Data!R228,1)</f>
        <v>16.3</v>
      </c>
      <c r="E228" s="3">
        <f>ROUND(Data!AF228,1)</f>
        <v>1.3</v>
      </c>
      <c r="F228" s="23">
        <f>Data!BO228</f>
        <v>39.700000000000003</v>
      </c>
      <c r="G228" s="3">
        <f>Data!Q228</f>
        <v>3</v>
      </c>
      <c r="H228" s="19">
        <f>Data!BF228</f>
        <v>0</v>
      </c>
      <c r="I228" s="14">
        <f t="shared" si="56"/>
        <v>0</v>
      </c>
      <c r="J228" s="16">
        <f>Data!BS228</f>
        <v>4.9000000000000004</v>
      </c>
      <c r="K228" s="47">
        <f t="shared" si="57"/>
        <v>3</v>
      </c>
      <c r="M228" s="23">
        <f t="shared" si="54"/>
        <v>435.60000000000019</v>
      </c>
      <c r="N228" s="23">
        <f t="shared" si="55"/>
        <v>366.42999999999995</v>
      </c>
    </row>
    <row r="229" spans="1:14" x14ac:dyDescent="0.2">
      <c r="A229" s="40">
        <v>34922</v>
      </c>
      <c r="B229" s="3">
        <v>223</v>
      </c>
      <c r="C229" s="16">
        <f>ROUND(Data!BJ229,2)</f>
        <v>6.09</v>
      </c>
      <c r="D229" s="3">
        <f>ROUND(Data!R229,1)</f>
        <v>12.2</v>
      </c>
      <c r="E229" s="3">
        <f>ROUND(Data!AF229,1)</f>
        <v>5.6</v>
      </c>
      <c r="F229" s="23">
        <f>Data!BO229</f>
        <v>65.599999999999994</v>
      </c>
      <c r="G229" s="3">
        <f>Data!Q229</f>
        <v>1</v>
      </c>
      <c r="H229" s="19">
        <f>Data!BF229</f>
        <v>0</v>
      </c>
      <c r="I229" s="14">
        <f t="shared" si="56"/>
        <v>0</v>
      </c>
      <c r="J229" s="16">
        <f>Data!BS229</f>
        <v>13.8</v>
      </c>
      <c r="K229" s="47">
        <f t="shared" si="57"/>
        <v>1</v>
      </c>
      <c r="M229" s="23">
        <f t="shared" si="54"/>
        <v>449.4000000000002</v>
      </c>
      <c r="N229" s="23">
        <f t="shared" si="55"/>
        <v>367.42999999999995</v>
      </c>
    </row>
    <row r="230" spans="1:14" x14ac:dyDescent="0.2">
      <c r="A230" s="40">
        <v>34923</v>
      </c>
      <c r="B230" s="3">
        <v>224</v>
      </c>
      <c r="C230" s="16">
        <f>ROUND(Data!BJ230,2)</f>
        <v>6.28</v>
      </c>
      <c r="D230" s="3">
        <f>ROUND(Data!R230,1)</f>
        <v>5.7</v>
      </c>
      <c r="E230" s="3">
        <f>ROUND(Data!AF230,1)</f>
        <v>3.5</v>
      </c>
      <c r="F230" s="23">
        <f>Data!BO230</f>
        <v>85.7</v>
      </c>
      <c r="G230" s="3">
        <f>Data!Q230</f>
        <v>1</v>
      </c>
      <c r="H230" s="19">
        <f>Data!BF230</f>
        <v>0</v>
      </c>
      <c r="I230" s="14">
        <f t="shared" si="56"/>
        <v>0</v>
      </c>
      <c r="J230" s="16">
        <f>Data!BS230</f>
        <v>9.4</v>
      </c>
      <c r="K230" s="47">
        <f t="shared" si="57"/>
        <v>1</v>
      </c>
      <c r="M230" s="23">
        <f t="shared" si="54"/>
        <v>458.80000000000018</v>
      </c>
      <c r="N230" s="23">
        <f t="shared" si="55"/>
        <v>368.42999999999995</v>
      </c>
    </row>
    <row r="231" spans="1:14" x14ac:dyDescent="0.2">
      <c r="A231" s="40">
        <v>34924</v>
      </c>
      <c r="B231" s="3">
        <v>225</v>
      </c>
      <c r="C231" s="16">
        <f>ROUND(Data!BJ231,2)</f>
        <v>17.170000000000002</v>
      </c>
      <c r="D231" s="3">
        <f>ROUND(Data!R231,1)</f>
        <v>13.9</v>
      </c>
      <c r="E231" s="3">
        <f>ROUND(Data!AF231,1)</f>
        <v>3.8</v>
      </c>
      <c r="F231" s="23">
        <f>Data!BO231</f>
        <v>51.9</v>
      </c>
      <c r="G231" s="3">
        <f>Data!Q231</f>
        <v>2</v>
      </c>
      <c r="H231" s="19">
        <f>Data!BF231</f>
        <v>0</v>
      </c>
      <c r="I231" s="14">
        <f t="shared" si="56"/>
        <v>0</v>
      </c>
      <c r="J231" s="16">
        <f>Data!BS231</f>
        <v>0</v>
      </c>
      <c r="K231" s="47">
        <f t="shared" si="57"/>
        <v>2</v>
      </c>
      <c r="M231" s="23">
        <f t="shared" si="54"/>
        <v>458.80000000000018</v>
      </c>
      <c r="N231" s="23">
        <f t="shared" si="55"/>
        <v>370.42999999999995</v>
      </c>
    </row>
    <row r="232" spans="1:14" x14ac:dyDescent="0.2">
      <c r="A232" s="40">
        <v>34925</v>
      </c>
      <c r="B232" s="3">
        <v>226</v>
      </c>
      <c r="C232" s="16">
        <f>ROUND(Data!BJ232,2)</f>
        <v>5.54</v>
      </c>
      <c r="D232" s="3">
        <f>ROUND(Data!R232,1)</f>
        <v>10</v>
      </c>
      <c r="E232" s="3">
        <f>ROUND(Data!AF232,1)</f>
        <v>4.2</v>
      </c>
      <c r="F232" s="23">
        <f>Data!BO232</f>
        <v>56.7</v>
      </c>
      <c r="G232" s="3">
        <f>Data!Q232</f>
        <v>2</v>
      </c>
      <c r="H232" s="19">
        <f>Data!BF232</f>
        <v>0</v>
      </c>
      <c r="I232" s="14">
        <f t="shared" si="56"/>
        <v>0</v>
      </c>
      <c r="J232" s="16">
        <f>Data!BS232</f>
        <v>3.2</v>
      </c>
      <c r="K232" s="47">
        <f t="shared" si="57"/>
        <v>2</v>
      </c>
      <c r="M232" s="23">
        <f t="shared" si="54"/>
        <v>462.00000000000017</v>
      </c>
      <c r="N232" s="23">
        <f t="shared" si="55"/>
        <v>372.42999999999995</v>
      </c>
    </row>
    <row r="233" spans="1:14" x14ac:dyDescent="0.2">
      <c r="A233" s="40">
        <v>34926</v>
      </c>
      <c r="B233" s="3">
        <v>227</v>
      </c>
      <c r="C233" s="16">
        <f>ROUND(Data!BJ233,2)</f>
        <v>8.7899999999999991</v>
      </c>
      <c r="D233" s="3">
        <f>ROUND(Data!R233,1)</f>
        <v>10</v>
      </c>
      <c r="E233" s="3">
        <f>ROUND(Data!AF233,1)</f>
        <v>2.8</v>
      </c>
      <c r="F233" s="23">
        <f>Data!BO233</f>
        <v>73.400000000000006</v>
      </c>
      <c r="G233" s="3">
        <f>Data!Q233</f>
        <v>1</v>
      </c>
      <c r="H233" s="19">
        <f>Data!BF233</f>
        <v>0</v>
      </c>
      <c r="I233" s="14">
        <f t="shared" si="56"/>
        <v>0</v>
      </c>
      <c r="J233" s="16">
        <f>Data!BS233</f>
        <v>6.4</v>
      </c>
      <c r="K233" s="47">
        <f t="shared" si="57"/>
        <v>1</v>
      </c>
      <c r="M233" s="23">
        <f t="shared" si="54"/>
        <v>468.40000000000015</v>
      </c>
      <c r="N233" s="23">
        <f t="shared" si="55"/>
        <v>373.42999999999995</v>
      </c>
    </row>
    <row r="234" spans="1:14" x14ac:dyDescent="0.2">
      <c r="A234" s="40">
        <v>34927</v>
      </c>
      <c r="B234" s="3">
        <v>228</v>
      </c>
      <c r="C234" s="16">
        <f>ROUND(Data!BJ234,2)</f>
        <v>14.6</v>
      </c>
      <c r="D234" s="3">
        <f>ROUND(Data!R234,1)</f>
        <v>10</v>
      </c>
      <c r="E234" s="3">
        <f>ROUND(Data!AF234,1)</f>
        <v>1.9</v>
      </c>
      <c r="F234" s="23">
        <f>Data!BO234</f>
        <v>52.4</v>
      </c>
      <c r="G234" s="3">
        <f>Data!Q234</f>
        <v>1</v>
      </c>
      <c r="H234" s="19">
        <f>Data!BF234</f>
        <v>0</v>
      </c>
      <c r="I234" s="14">
        <f t="shared" si="56"/>
        <v>0</v>
      </c>
      <c r="J234" s="16">
        <f>Data!BS234</f>
        <v>0</v>
      </c>
      <c r="K234" s="47">
        <f t="shared" si="57"/>
        <v>1</v>
      </c>
      <c r="M234" s="23">
        <f t="shared" si="54"/>
        <v>468.40000000000015</v>
      </c>
      <c r="N234" s="23">
        <f t="shared" si="55"/>
        <v>374.42999999999995</v>
      </c>
    </row>
    <row r="235" spans="1:14" x14ac:dyDescent="0.2">
      <c r="A235" s="40">
        <v>34928</v>
      </c>
      <c r="B235" s="3">
        <v>229</v>
      </c>
      <c r="C235" s="16">
        <f>ROUND(Data!BJ235,2)</f>
        <v>5.38</v>
      </c>
      <c r="D235" s="3">
        <f>ROUND(Data!R235,1)</f>
        <v>6.9</v>
      </c>
      <c r="E235" s="3">
        <f>ROUND(Data!AF235,1)</f>
        <v>1.2</v>
      </c>
      <c r="F235" s="23">
        <f>Data!BO235</f>
        <v>81</v>
      </c>
      <c r="G235" s="3">
        <f>Data!Q235</f>
        <v>1</v>
      </c>
      <c r="H235" s="19">
        <f>Data!BF235</f>
        <v>0</v>
      </c>
      <c r="I235" s="14">
        <f t="shared" si="56"/>
        <v>0</v>
      </c>
      <c r="J235" s="16">
        <f>Data!BS235</f>
        <v>7</v>
      </c>
      <c r="K235" s="47">
        <f t="shared" si="57"/>
        <v>1</v>
      </c>
      <c r="M235" s="23">
        <f t="shared" si="54"/>
        <v>475.40000000000015</v>
      </c>
      <c r="N235" s="23">
        <f t="shared" si="55"/>
        <v>375.42999999999995</v>
      </c>
    </row>
    <row r="236" spans="1:14" x14ac:dyDescent="0.2">
      <c r="A236" s="40">
        <v>34929</v>
      </c>
      <c r="B236" s="3">
        <v>230</v>
      </c>
      <c r="C236" s="16">
        <f>ROUND(Data!BJ236,2)</f>
        <v>9.5399999999999991</v>
      </c>
      <c r="D236" s="3">
        <f>ROUND(Data!R236,1)</f>
        <v>9.5</v>
      </c>
      <c r="E236" s="3">
        <f>ROUND(Data!AF236,1)</f>
        <v>3.7</v>
      </c>
      <c r="F236" s="23">
        <f>Data!BO236</f>
        <v>63.3</v>
      </c>
      <c r="G236" s="3">
        <f>Data!Q236</f>
        <v>0</v>
      </c>
      <c r="H236" s="19">
        <f>Data!BF236</f>
        <v>0</v>
      </c>
      <c r="I236" s="14">
        <f t="shared" si="56"/>
        <v>0</v>
      </c>
      <c r="J236" s="16">
        <f>Data!BS236</f>
        <v>4.9000000000000004</v>
      </c>
      <c r="K236" s="47">
        <f t="shared" si="57"/>
        <v>0</v>
      </c>
      <c r="M236" s="23">
        <f t="shared" si="54"/>
        <v>480.30000000000013</v>
      </c>
      <c r="N236" s="23">
        <f t="shared" si="55"/>
        <v>375.42999999999995</v>
      </c>
    </row>
    <row r="237" spans="1:14" x14ac:dyDescent="0.2">
      <c r="A237" s="40">
        <v>34930</v>
      </c>
      <c r="B237" s="3">
        <v>231</v>
      </c>
      <c r="C237" s="16">
        <f>ROUND(Data!BJ237,2)</f>
        <v>16.75</v>
      </c>
      <c r="D237" s="3">
        <f>ROUND(Data!R237,1)</f>
        <v>13.5</v>
      </c>
      <c r="E237" s="3">
        <f>ROUND(Data!AF237,1)</f>
        <v>4.3</v>
      </c>
      <c r="F237" s="23">
        <f>Data!BO237</f>
        <v>52.2</v>
      </c>
      <c r="G237" s="3">
        <f>Data!Q237</f>
        <v>1</v>
      </c>
      <c r="H237" s="19">
        <f>Data!BF237</f>
        <v>0</v>
      </c>
      <c r="I237" s="14">
        <f t="shared" si="56"/>
        <v>0</v>
      </c>
      <c r="J237" s="16">
        <f>Data!BS237</f>
        <v>1.1000000000000001</v>
      </c>
      <c r="K237" s="47">
        <f t="shared" si="57"/>
        <v>1</v>
      </c>
      <c r="M237" s="23">
        <f t="shared" si="54"/>
        <v>481.40000000000015</v>
      </c>
      <c r="N237" s="23">
        <f t="shared" si="55"/>
        <v>376.42999999999995</v>
      </c>
    </row>
    <row r="238" spans="1:14" x14ac:dyDescent="0.2">
      <c r="A238" s="40">
        <v>34931</v>
      </c>
      <c r="B238" s="3">
        <v>232</v>
      </c>
      <c r="C238" s="16">
        <f>ROUND(Data!BJ238,2)</f>
        <v>21.41</v>
      </c>
      <c r="D238" s="3">
        <f>ROUND(Data!R238,1)</f>
        <v>17.399999999999999</v>
      </c>
      <c r="E238" s="3">
        <f>ROUND(Data!AF238,1)</f>
        <v>0.5</v>
      </c>
      <c r="F238" s="23">
        <f>Data!BO238</f>
        <v>39.799999999999997</v>
      </c>
      <c r="G238" s="3">
        <f>Data!Q238</f>
        <v>14</v>
      </c>
      <c r="H238" s="19">
        <f>Data!BF238</f>
        <v>0</v>
      </c>
      <c r="I238" s="14">
        <f t="shared" si="56"/>
        <v>0</v>
      </c>
      <c r="J238" s="16">
        <f>Data!BS238</f>
        <v>0</v>
      </c>
      <c r="K238" s="47">
        <f t="shared" si="57"/>
        <v>14</v>
      </c>
      <c r="M238" s="23">
        <f t="shared" si="54"/>
        <v>481.40000000000015</v>
      </c>
      <c r="N238" s="23">
        <f t="shared" si="55"/>
        <v>390.42999999999995</v>
      </c>
    </row>
    <row r="239" spans="1:14" x14ac:dyDescent="0.2">
      <c r="A239" s="40">
        <v>34932</v>
      </c>
      <c r="B239" s="3">
        <v>233</v>
      </c>
      <c r="C239" s="16">
        <f>ROUND(Data!BJ239,2)</f>
        <v>21.28</v>
      </c>
      <c r="D239" s="3">
        <f>ROUND(Data!R239,1)</f>
        <v>18.899999999999999</v>
      </c>
      <c r="E239" s="3">
        <f>ROUND(Data!AF239,1)</f>
        <v>4.8</v>
      </c>
      <c r="F239" s="23">
        <f>Data!BO239</f>
        <v>26</v>
      </c>
      <c r="G239" s="3">
        <f>Data!Q239</f>
        <v>29</v>
      </c>
      <c r="H239" s="19">
        <f>Data!BF239</f>
        <v>0</v>
      </c>
      <c r="I239" s="14">
        <f t="shared" si="56"/>
        <v>0</v>
      </c>
      <c r="J239" s="16">
        <f>Data!BS239</f>
        <v>0</v>
      </c>
      <c r="K239" s="47">
        <f t="shared" si="57"/>
        <v>29</v>
      </c>
      <c r="M239" s="23">
        <f t="shared" si="54"/>
        <v>481.40000000000015</v>
      </c>
      <c r="N239" s="23">
        <f t="shared" si="55"/>
        <v>419.42999999999995</v>
      </c>
    </row>
    <row r="240" spans="1:14" x14ac:dyDescent="0.2">
      <c r="A240" s="40">
        <v>34933</v>
      </c>
      <c r="B240" s="3">
        <v>234</v>
      </c>
      <c r="C240" s="16">
        <f>ROUND(Data!BJ240,2)</f>
        <v>23.63</v>
      </c>
      <c r="D240" s="3">
        <f>ROUND(Data!R240,1)</f>
        <v>18.100000000000001</v>
      </c>
      <c r="E240" s="3">
        <f>ROUND(Data!AF240,1)</f>
        <v>2.8</v>
      </c>
      <c r="F240" s="23">
        <f>Data!BO240</f>
        <v>23.3</v>
      </c>
      <c r="G240" s="3">
        <f>Data!Q240</f>
        <v>12</v>
      </c>
      <c r="H240" s="19">
        <f>Data!BF240</f>
        <v>0</v>
      </c>
      <c r="I240" s="14">
        <f t="shared" si="56"/>
        <v>0</v>
      </c>
      <c r="J240" s="16">
        <f>Data!BS240</f>
        <v>0</v>
      </c>
      <c r="K240" s="47">
        <f t="shared" si="57"/>
        <v>12</v>
      </c>
      <c r="M240" s="23">
        <f t="shared" si="54"/>
        <v>481.40000000000015</v>
      </c>
      <c r="N240" s="23">
        <f t="shared" si="55"/>
        <v>431.42999999999995</v>
      </c>
    </row>
    <row r="241" spans="1:14" x14ac:dyDescent="0.2">
      <c r="A241" s="40">
        <v>34934</v>
      </c>
      <c r="B241" s="3">
        <v>235</v>
      </c>
      <c r="C241" s="16">
        <f>ROUND(Data!BJ241,2)</f>
        <v>23.09</v>
      </c>
      <c r="D241" s="3">
        <f>ROUND(Data!R241,1)</f>
        <v>17.600000000000001</v>
      </c>
      <c r="E241" s="3">
        <f>ROUND(Data!AF241,1)</f>
        <v>0.3</v>
      </c>
      <c r="F241" s="23">
        <f>Data!BO241</f>
        <v>28.2</v>
      </c>
      <c r="G241" s="3">
        <f>Data!Q241</f>
        <v>2</v>
      </c>
      <c r="H241" s="19">
        <f>Data!BF241</f>
        <v>0</v>
      </c>
      <c r="I241" s="14">
        <f t="shared" si="56"/>
        <v>0</v>
      </c>
      <c r="J241" s="16">
        <f>Data!BS241</f>
        <v>0</v>
      </c>
      <c r="K241" s="47">
        <f t="shared" si="57"/>
        <v>2</v>
      </c>
      <c r="M241" s="23">
        <f t="shared" si="54"/>
        <v>481.40000000000015</v>
      </c>
      <c r="N241" s="23">
        <f t="shared" si="55"/>
        <v>433.42999999999995</v>
      </c>
    </row>
    <row r="242" spans="1:14" x14ac:dyDescent="0.2">
      <c r="A242" s="40">
        <v>34935</v>
      </c>
      <c r="B242" s="3">
        <v>236</v>
      </c>
      <c r="C242" s="16">
        <f>ROUND(Data!BJ242,2)</f>
        <v>16.03</v>
      </c>
      <c r="D242" s="3">
        <f>ROUND(Data!R242,1)</f>
        <v>11.6</v>
      </c>
      <c r="E242" s="3">
        <f>ROUND(Data!AF242,1)</f>
        <v>-1</v>
      </c>
      <c r="F242" s="23">
        <f>Data!BO242</f>
        <v>42</v>
      </c>
      <c r="G242" s="3">
        <f>Data!Q242</f>
        <v>0</v>
      </c>
      <c r="H242" s="19">
        <f>Data!BF242</f>
        <v>0</v>
      </c>
      <c r="I242" s="14">
        <f t="shared" si="56"/>
        <v>0</v>
      </c>
      <c r="J242" s="16">
        <f>Data!BS242</f>
        <v>0</v>
      </c>
      <c r="K242" s="47">
        <f t="shared" si="57"/>
        <v>0</v>
      </c>
      <c r="M242" s="23">
        <f t="shared" si="54"/>
        <v>481.40000000000015</v>
      </c>
      <c r="N242" s="23">
        <f t="shared" si="55"/>
        <v>433.42999999999995</v>
      </c>
    </row>
    <row r="243" spans="1:14" x14ac:dyDescent="0.2">
      <c r="A243" s="40">
        <v>34936</v>
      </c>
      <c r="B243" s="3">
        <v>237</v>
      </c>
      <c r="C243" s="16">
        <f>ROUND(Data!BJ243,2)</f>
        <v>23.1</v>
      </c>
      <c r="D243" s="3">
        <f>ROUND(Data!R243,1)</f>
        <v>15.2</v>
      </c>
      <c r="E243" s="3">
        <f>ROUND(Data!AF243,1)</f>
        <v>-2.4</v>
      </c>
      <c r="F243" s="23">
        <f>Data!BO243</f>
        <v>34</v>
      </c>
      <c r="G243" s="3">
        <f>Data!Q243</f>
        <v>0</v>
      </c>
      <c r="H243" s="19">
        <f>Data!BF243</f>
        <v>0</v>
      </c>
      <c r="I243" s="14">
        <f t="shared" si="56"/>
        <v>0</v>
      </c>
      <c r="J243" s="16">
        <f>Data!BS243</f>
        <v>0</v>
      </c>
      <c r="K243" s="47">
        <f t="shared" si="57"/>
        <v>0</v>
      </c>
      <c r="M243" s="23">
        <f t="shared" si="54"/>
        <v>481.40000000000015</v>
      </c>
      <c r="N243" s="23">
        <f t="shared" si="55"/>
        <v>433.42999999999995</v>
      </c>
    </row>
    <row r="244" spans="1:14" x14ac:dyDescent="0.2">
      <c r="A244" s="40">
        <v>34937</v>
      </c>
      <c r="B244" s="3">
        <v>238</v>
      </c>
      <c r="C244" s="16">
        <f>ROUND(Data!BJ244,2)</f>
        <v>18.63</v>
      </c>
      <c r="D244" s="3">
        <f>ROUND(Data!R244,1)</f>
        <v>13.2</v>
      </c>
      <c r="E244" s="3">
        <f>ROUND(Data!AF244,1)</f>
        <v>0.8</v>
      </c>
      <c r="F244" s="23">
        <f>Data!BO244</f>
        <v>43.2</v>
      </c>
      <c r="G244" s="3">
        <f>Data!Q244</f>
        <v>0</v>
      </c>
      <c r="H244" s="19">
        <f>Data!BF244</f>
        <v>0</v>
      </c>
      <c r="I244" s="14">
        <f t="shared" si="56"/>
        <v>0</v>
      </c>
      <c r="J244" s="16">
        <f>Data!BS244</f>
        <v>0.3</v>
      </c>
      <c r="K244" s="47">
        <f t="shared" si="57"/>
        <v>0</v>
      </c>
      <c r="M244" s="23">
        <f t="shared" si="54"/>
        <v>481.70000000000016</v>
      </c>
      <c r="N244" s="23">
        <f t="shared" si="55"/>
        <v>433.42999999999995</v>
      </c>
    </row>
    <row r="245" spans="1:14" x14ac:dyDescent="0.2">
      <c r="A245" s="40">
        <v>34938</v>
      </c>
      <c r="B245" s="3">
        <v>239</v>
      </c>
      <c r="C245" s="16">
        <f>ROUND(Data!BJ245,2)</f>
        <v>19.52</v>
      </c>
      <c r="D245" s="3">
        <f>ROUND(Data!R245,1)</f>
        <v>15.2</v>
      </c>
      <c r="E245" s="3">
        <f>ROUND(Data!AF245,1)</f>
        <v>-1.3</v>
      </c>
      <c r="F245" s="23">
        <f>Data!BO245</f>
        <v>41.3</v>
      </c>
      <c r="G245" s="3">
        <f>Data!Q245</f>
        <v>1</v>
      </c>
      <c r="H245" s="19">
        <f>Data!BF245</f>
        <v>0</v>
      </c>
      <c r="I245" s="14">
        <f t="shared" si="56"/>
        <v>0</v>
      </c>
      <c r="J245" s="16">
        <f>Data!BS245</f>
        <v>0.3</v>
      </c>
      <c r="K245" s="47">
        <f t="shared" si="57"/>
        <v>1</v>
      </c>
      <c r="M245" s="23">
        <f t="shared" si="54"/>
        <v>482.00000000000017</v>
      </c>
      <c r="N245" s="23">
        <f t="shared" si="55"/>
        <v>434.42999999999995</v>
      </c>
    </row>
    <row r="246" spans="1:14" x14ac:dyDescent="0.2">
      <c r="A246" s="40">
        <v>34939</v>
      </c>
      <c r="B246" s="3">
        <v>240</v>
      </c>
      <c r="C246" s="16">
        <f>ROUND(Data!BJ246,2)</f>
        <v>23.2</v>
      </c>
      <c r="D246" s="3">
        <f>ROUND(Data!R246,1)</f>
        <v>17.5</v>
      </c>
      <c r="E246" s="3">
        <f>ROUND(Data!AF246,1)</f>
        <v>0.6</v>
      </c>
      <c r="F246" s="23">
        <f>Data!BO246</f>
        <v>35.700000000000003</v>
      </c>
      <c r="G246" s="3">
        <f>Data!Q246</f>
        <v>7</v>
      </c>
      <c r="H246" s="19">
        <f>Data!BF246</f>
        <v>0</v>
      </c>
      <c r="I246" s="14">
        <f t="shared" si="56"/>
        <v>0</v>
      </c>
      <c r="J246" s="16">
        <f>Data!BS246</f>
        <v>7.8</v>
      </c>
      <c r="K246" s="47">
        <f t="shared" si="57"/>
        <v>7</v>
      </c>
      <c r="M246" s="23">
        <f t="shared" si="54"/>
        <v>489.80000000000018</v>
      </c>
      <c r="N246" s="23">
        <f t="shared" si="55"/>
        <v>441.42999999999995</v>
      </c>
    </row>
    <row r="247" spans="1:14" x14ac:dyDescent="0.2">
      <c r="A247" s="40">
        <v>34940</v>
      </c>
      <c r="B247" s="3">
        <v>241</v>
      </c>
      <c r="C247" s="16">
        <f>ROUND(Data!BJ247,2)</f>
        <v>9.4600000000000009</v>
      </c>
      <c r="D247" s="3">
        <f>ROUND(Data!R247,1)</f>
        <v>9.8000000000000007</v>
      </c>
      <c r="E247" s="3">
        <f>ROUND(Data!AF247,1)</f>
        <v>1.8</v>
      </c>
      <c r="F247" s="23">
        <f>Data!BO247</f>
        <v>75.900000000000006</v>
      </c>
      <c r="G247" s="3">
        <f>Data!Q247</f>
        <v>12</v>
      </c>
      <c r="H247" s="19">
        <f>Data!BF247</f>
        <v>0</v>
      </c>
      <c r="I247" s="14">
        <f t="shared" si="56"/>
        <v>0</v>
      </c>
      <c r="J247" s="16">
        <f>Data!BS247</f>
        <v>8.9</v>
      </c>
      <c r="K247" s="47">
        <f t="shared" si="57"/>
        <v>12</v>
      </c>
      <c r="M247" s="23">
        <f t="shared" si="54"/>
        <v>498.70000000000016</v>
      </c>
      <c r="N247" s="23">
        <f t="shared" si="55"/>
        <v>453.42999999999995</v>
      </c>
    </row>
    <row r="248" spans="1:14" x14ac:dyDescent="0.2">
      <c r="A248" s="40">
        <v>34941</v>
      </c>
      <c r="B248" s="3">
        <v>242</v>
      </c>
      <c r="C248" s="16">
        <f>ROUND(Data!BJ248,2)</f>
        <v>19.86</v>
      </c>
      <c r="D248" s="3">
        <f>ROUND(Data!R248,1)</f>
        <v>13.7</v>
      </c>
      <c r="E248" s="3">
        <f>ROUND(Data!AF248,1)</f>
        <v>0.3</v>
      </c>
      <c r="F248" s="23">
        <f>Data!BO248</f>
        <v>49.6</v>
      </c>
      <c r="G248" s="3">
        <f>Data!Q248</f>
        <v>1</v>
      </c>
      <c r="H248" s="19">
        <f>Data!BF248</f>
        <v>0</v>
      </c>
      <c r="I248" s="14">
        <f t="shared" si="56"/>
        <v>0</v>
      </c>
      <c r="J248" s="16">
        <f>Data!BS248</f>
        <v>2.6</v>
      </c>
      <c r="K248" s="47">
        <f t="shared" si="57"/>
        <v>1</v>
      </c>
      <c r="M248" s="23">
        <f t="shared" si="54"/>
        <v>501.30000000000018</v>
      </c>
      <c r="N248" s="23">
        <f t="shared" si="55"/>
        <v>454.42999999999995</v>
      </c>
    </row>
    <row r="249" spans="1:14" x14ac:dyDescent="0.2">
      <c r="A249" s="40">
        <v>34942</v>
      </c>
      <c r="B249" s="3">
        <v>243</v>
      </c>
      <c r="C249" s="16">
        <f>ROUND(Data!BJ249,2)</f>
        <v>23.05</v>
      </c>
      <c r="D249" s="3">
        <f>ROUND(Data!R249,1)</f>
        <v>17.2</v>
      </c>
      <c r="E249" s="3">
        <f>ROUND(Data!AF249,1)</f>
        <v>-1.1000000000000001</v>
      </c>
      <c r="F249" s="23">
        <f>Data!BO249</f>
        <v>32.700000000000003</v>
      </c>
      <c r="G249" s="3">
        <f>Data!Q249</f>
        <v>0</v>
      </c>
      <c r="H249" s="19">
        <f>Data!BF249</f>
        <v>0</v>
      </c>
      <c r="I249" s="14">
        <f t="shared" si="56"/>
        <v>0</v>
      </c>
      <c r="J249" s="16">
        <f>Data!BS249</f>
        <v>0</v>
      </c>
      <c r="K249" s="47">
        <f t="shared" si="57"/>
        <v>0</v>
      </c>
      <c r="M249" s="23">
        <f t="shared" si="54"/>
        <v>501.30000000000018</v>
      </c>
      <c r="N249" s="23">
        <f t="shared" si="55"/>
        <v>454.42999999999995</v>
      </c>
    </row>
    <row r="250" spans="1:14" x14ac:dyDescent="0.2">
      <c r="A250" s="40">
        <v>34943</v>
      </c>
      <c r="B250" s="3">
        <v>244</v>
      </c>
      <c r="C250" s="16">
        <f>ROUND(Data!BJ250,2)</f>
        <v>23.12</v>
      </c>
      <c r="D250" s="3">
        <f>ROUND(Data!R250,1)</f>
        <v>19.5</v>
      </c>
      <c r="E250" s="3">
        <f>ROUND(Data!AF250,1)</f>
        <v>0.3</v>
      </c>
      <c r="F250" s="23">
        <f>Data!BO250</f>
        <v>16</v>
      </c>
      <c r="G250" s="3">
        <f>Data!Q250</f>
        <v>0</v>
      </c>
      <c r="H250" s="19">
        <f>Data!BF250</f>
        <v>0</v>
      </c>
      <c r="I250" s="14">
        <f t="shared" si="56"/>
        <v>0</v>
      </c>
      <c r="J250" s="16">
        <f>Data!BS250</f>
        <v>0</v>
      </c>
      <c r="K250" s="47">
        <f t="shared" si="57"/>
        <v>0</v>
      </c>
      <c r="M250" s="23">
        <f t="shared" si="54"/>
        <v>501.30000000000018</v>
      </c>
      <c r="N250" s="23">
        <f t="shared" si="55"/>
        <v>454.42999999999995</v>
      </c>
    </row>
    <row r="251" spans="1:14" x14ac:dyDescent="0.2">
      <c r="A251" s="40">
        <v>34944</v>
      </c>
      <c r="B251" s="3">
        <v>245</v>
      </c>
      <c r="C251" s="16">
        <f>ROUND(Data!BJ251,2)</f>
        <v>22.96</v>
      </c>
      <c r="D251" s="3">
        <f>ROUND(Data!R251,1)</f>
        <v>21.5</v>
      </c>
      <c r="E251" s="3">
        <f>ROUND(Data!AF251,1)</f>
        <v>1.6</v>
      </c>
      <c r="F251" s="23">
        <f>Data!BO251</f>
        <v>15.1</v>
      </c>
      <c r="G251" s="3">
        <f>Data!Q251</f>
        <v>0</v>
      </c>
      <c r="H251" s="19">
        <f>Data!BF251</f>
        <v>0</v>
      </c>
      <c r="I251" s="14">
        <f t="shared" si="56"/>
        <v>0</v>
      </c>
      <c r="J251" s="16">
        <f>Data!BS251</f>
        <v>0</v>
      </c>
      <c r="K251" s="47">
        <f t="shared" si="57"/>
        <v>0</v>
      </c>
      <c r="M251" s="23">
        <f t="shared" si="54"/>
        <v>501.30000000000018</v>
      </c>
      <c r="N251" s="23">
        <f t="shared" si="55"/>
        <v>454.42999999999995</v>
      </c>
    </row>
    <row r="252" spans="1:14" x14ac:dyDescent="0.2">
      <c r="A252" s="40">
        <v>34945</v>
      </c>
      <c r="B252" s="3">
        <v>246</v>
      </c>
      <c r="C252" s="16">
        <f>ROUND(Data!BJ252,2)</f>
        <v>22.76</v>
      </c>
      <c r="D252" s="3">
        <f>ROUND(Data!R252,1)</f>
        <v>22.8</v>
      </c>
      <c r="E252" s="3">
        <f>ROUND(Data!AF252,1)</f>
        <v>0.7</v>
      </c>
      <c r="F252" s="23">
        <f>Data!BO252</f>
        <v>12.7</v>
      </c>
      <c r="G252" s="3">
        <f>Data!Q252</f>
        <v>0</v>
      </c>
      <c r="H252" s="19">
        <f>Data!BF252</f>
        <v>0</v>
      </c>
      <c r="I252" s="14">
        <f t="shared" si="56"/>
        <v>0</v>
      </c>
      <c r="J252" s="16">
        <f>Data!BS252</f>
        <v>0</v>
      </c>
      <c r="K252" s="47">
        <f t="shared" si="57"/>
        <v>0</v>
      </c>
      <c r="M252" s="23">
        <f t="shared" si="54"/>
        <v>501.30000000000018</v>
      </c>
      <c r="N252" s="23">
        <f t="shared" si="55"/>
        <v>454.42999999999995</v>
      </c>
    </row>
    <row r="253" spans="1:14" x14ac:dyDescent="0.2">
      <c r="A253" s="40">
        <v>34946</v>
      </c>
      <c r="B253" s="3">
        <v>247</v>
      </c>
      <c r="C253" s="16">
        <f>ROUND(Data!BJ253,2)</f>
        <v>19.809999999999999</v>
      </c>
      <c r="D253" s="3">
        <f>ROUND(Data!R253,1)</f>
        <v>27</v>
      </c>
      <c r="E253" s="3">
        <f>ROUND(Data!AF253,1)</f>
        <v>3.4</v>
      </c>
      <c r="F253" s="23">
        <f>Data!BO253</f>
        <v>17.5</v>
      </c>
      <c r="G253" s="3">
        <f>Data!Q253</f>
        <v>0</v>
      </c>
      <c r="H253" s="19">
        <f>Data!BF253</f>
        <v>0</v>
      </c>
      <c r="I253" s="14">
        <f t="shared" si="56"/>
        <v>0</v>
      </c>
      <c r="J253" s="16">
        <f>Data!BS253</f>
        <v>0</v>
      </c>
      <c r="K253" s="47">
        <f t="shared" si="57"/>
        <v>0</v>
      </c>
      <c r="M253" s="23">
        <f t="shared" si="54"/>
        <v>501.30000000000018</v>
      </c>
      <c r="N253" s="23">
        <f t="shared" si="55"/>
        <v>454.42999999999995</v>
      </c>
    </row>
    <row r="254" spans="1:14" x14ac:dyDescent="0.2">
      <c r="A254" s="40">
        <v>34947</v>
      </c>
      <c r="B254" s="3">
        <v>248</v>
      </c>
      <c r="C254" s="16">
        <f>ROUND(Data!BJ254,2)</f>
        <v>5.36</v>
      </c>
      <c r="D254" s="3">
        <f>ROUND(Data!R254,1)</f>
        <v>13.5</v>
      </c>
      <c r="E254" s="3">
        <f>ROUND(Data!AF254,1)</f>
        <v>5.5</v>
      </c>
      <c r="F254" s="23">
        <f>Data!BO254</f>
        <v>64.5</v>
      </c>
      <c r="G254" s="3">
        <f>Data!Q254</f>
        <v>20</v>
      </c>
      <c r="H254" s="19">
        <f>Data!BF254</f>
        <v>0</v>
      </c>
      <c r="I254" s="14">
        <f t="shared" si="56"/>
        <v>0</v>
      </c>
      <c r="J254" s="16">
        <f>Data!BS254</f>
        <v>15.6</v>
      </c>
      <c r="K254" s="47">
        <f t="shared" si="57"/>
        <v>20</v>
      </c>
      <c r="M254" s="23">
        <f t="shared" si="54"/>
        <v>516.9000000000002</v>
      </c>
      <c r="N254" s="23">
        <f t="shared" si="55"/>
        <v>474.42999999999995</v>
      </c>
    </row>
    <row r="255" spans="1:14" x14ac:dyDescent="0.2">
      <c r="A255" s="40">
        <v>34948</v>
      </c>
      <c r="B255" s="3">
        <v>249</v>
      </c>
      <c r="C255" s="16">
        <f>ROUND(Data!BJ255,2)</f>
        <v>15.84</v>
      </c>
      <c r="D255" s="3">
        <f>ROUND(Data!R255,1)</f>
        <v>15.9</v>
      </c>
      <c r="E255" s="3">
        <f>ROUND(Data!AF255,1)</f>
        <v>3.6</v>
      </c>
      <c r="F255" s="23">
        <f>Data!BO255</f>
        <v>50.3</v>
      </c>
      <c r="G255" s="3">
        <f>Data!Q255</f>
        <v>0</v>
      </c>
      <c r="H255" s="19">
        <f>Data!BF255</f>
        <v>0</v>
      </c>
      <c r="I255" s="14">
        <f t="shared" si="56"/>
        <v>0</v>
      </c>
      <c r="J255" s="16">
        <f>Data!BS255</f>
        <v>0.3</v>
      </c>
      <c r="K255" s="47">
        <f t="shared" si="57"/>
        <v>0</v>
      </c>
      <c r="M255" s="23">
        <f t="shared" si="54"/>
        <v>517.20000000000016</v>
      </c>
      <c r="N255" s="23">
        <f t="shared" si="55"/>
        <v>474.42999999999995</v>
      </c>
    </row>
    <row r="256" spans="1:14" x14ac:dyDescent="0.2">
      <c r="A256" s="40">
        <v>34949</v>
      </c>
      <c r="B256" s="3">
        <v>250</v>
      </c>
      <c r="C256" s="16">
        <f>ROUND(Data!BJ256,2)</f>
        <v>19.27</v>
      </c>
      <c r="D256" s="3">
        <f>ROUND(Data!R256,1)</f>
        <v>18.8</v>
      </c>
      <c r="E256" s="3">
        <f>ROUND(Data!AF256,1)</f>
        <v>1.7</v>
      </c>
      <c r="F256" s="23">
        <f>Data!BO256</f>
        <v>39</v>
      </c>
      <c r="G256" s="3">
        <f>Data!Q256</f>
        <v>0</v>
      </c>
      <c r="H256" s="19">
        <f>Data!BF256</f>
        <v>0</v>
      </c>
      <c r="I256" s="14">
        <f t="shared" si="56"/>
        <v>0</v>
      </c>
      <c r="J256" s="16">
        <f>Data!BS256</f>
        <v>0</v>
      </c>
      <c r="K256" s="47">
        <f t="shared" si="57"/>
        <v>0</v>
      </c>
      <c r="M256" s="23">
        <f t="shared" si="54"/>
        <v>517.20000000000016</v>
      </c>
      <c r="N256" s="23">
        <f t="shared" si="55"/>
        <v>474.42999999999995</v>
      </c>
    </row>
    <row r="257" spans="1:14" x14ac:dyDescent="0.2">
      <c r="A257" s="40">
        <v>34950</v>
      </c>
      <c r="B257" s="3">
        <v>251</v>
      </c>
      <c r="C257" s="16">
        <f>ROUND(Data!BJ257,2)</f>
        <v>19.63</v>
      </c>
      <c r="D257" s="3">
        <f>ROUND(Data!R257,1)</f>
        <v>19.100000000000001</v>
      </c>
      <c r="E257" s="3">
        <f>ROUND(Data!AF257,1)</f>
        <v>1.8</v>
      </c>
      <c r="F257" s="23">
        <f>Data!BO257</f>
        <v>43.8</v>
      </c>
      <c r="G257" s="3">
        <f>Data!Q257</f>
        <v>0</v>
      </c>
      <c r="H257" s="19">
        <f>Data!BF257</f>
        <v>0</v>
      </c>
      <c r="I257" s="14">
        <f t="shared" si="56"/>
        <v>0</v>
      </c>
      <c r="J257" s="16">
        <f>Data!BS257</f>
        <v>0</v>
      </c>
      <c r="K257" s="47">
        <f t="shared" si="57"/>
        <v>0</v>
      </c>
      <c r="M257" s="23">
        <f t="shared" si="54"/>
        <v>517.20000000000016</v>
      </c>
      <c r="N257" s="23">
        <f t="shared" si="55"/>
        <v>474.42999999999995</v>
      </c>
    </row>
    <row r="258" spans="1:14" x14ac:dyDescent="0.2">
      <c r="A258" s="40">
        <v>34951</v>
      </c>
      <c r="B258" s="3">
        <v>252</v>
      </c>
      <c r="C258" s="16">
        <f>ROUND(Data!BJ258,2)</f>
        <v>19.8</v>
      </c>
      <c r="D258" s="3">
        <f>ROUND(Data!R258,1)</f>
        <v>19.600000000000001</v>
      </c>
      <c r="E258" s="3">
        <f>ROUND(Data!AF258,1)</f>
        <v>2.4</v>
      </c>
      <c r="F258" s="23">
        <f>Data!BO258</f>
        <v>32.6</v>
      </c>
      <c r="G258" s="3">
        <f>Data!Q258</f>
        <v>0</v>
      </c>
      <c r="H258" s="19">
        <f>Data!BF258</f>
        <v>0</v>
      </c>
      <c r="I258" s="14">
        <f t="shared" si="56"/>
        <v>0</v>
      </c>
      <c r="J258" s="16">
        <f>Data!BS258</f>
        <v>0</v>
      </c>
      <c r="K258" s="47">
        <f t="shared" si="57"/>
        <v>0</v>
      </c>
      <c r="M258" s="23">
        <f t="shared" ref="M258:M321" si="58">J258+M257</f>
        <v>517.20000000000016</v>
      </c>
      <c r="N258" s="23">
        <f t="shared" ref="N258:N321" si="59">K258+N257</f>
        <v>474.42999999999995</v>
      </c>
    </row>
    <row r="259" spans="1:14" x14ac:dyDescent="0.2">
      <c r="A259" s="40">
        <v>34952</v>
      </c>
      <c r="B259" s="3">
        <v>253</v>
      </c>
      <c r="C259" s="16">
        <f>ROUND(Data!BJ259,2)</f>
        <v>20.41</v>
      </c>
      <c r="D259" s="3">
        <f>ROUND(Data!R259,1)</f>
        <v>20.2</v>
      </c>
      <c r="E259" s="3">
        <f>ROUND(Data!AF259,1)</f>
        <v>2.2999999999999998</v>
      </c>
      <c r="F259" s="23">
        <f>Data!BO259</f>
        <v>35.4</v>
      </c>
      <c r="G259" s="3">
        <f>Data!Q259</f>
        <v>0</v>
      </c>
      <c r="H259" s="19">
        <f>Data!BF259</f>
        <v>0</v>
      </c>
      <c r="I259" s="14">
        <f t="shared" si="56"/>
        <v>0</v>
      </c>
      <c r="J259" s="16">
        <f>Data!BS259</f>
        <v>0</v>
      </c>
      <c r="K259" s="47">
        <f t="shared" si="57"/>
        <v>0</v>
      </c>
      <c r="M259" s="23">
        <f t="shared" si="58"/>
        <v>517.20000000000016</v>
      </c>
      <c r="N259" s="23">
        <f t="shared" si="59"/>
        <v>474.42999999999995</v>
      </c>
    </row>
    <row r="260" spans="1:14" x14ac:dyDescent="0.2">
      <c r="A260" s="40">
        <v>34953</v>
      </c>
      <c r="B260" s="3">
        <v>254</v>
      </c>
      <c r="C260" s="16">
        <f>ROUND(Data!BJ260,2)</f>
        <v>19.11</v>
      </c>
      <c r="D260" s="3">
        <f>ROUND(Data!R260,1)</f>
        <v>19.100000000000001</v>
      </c>
      <c r="E260" s="3">
        <f>ROUND(Data!AF260,1)</f>
        <v>2.1</v>
      </c>
      <c r="F260" s="23">
        <f>Data!BO260</f>
        <v>31.8</v>
      </c>
      <c r="G260" s="3">
        <f>Data!Q260</f>
        <v>0</v>
      </c>
      <c r="H260" s="19">
        <f>Data!BF260</f>
        <v>0</v>
      </c>
      <c r="I260" s="14">
        <f t="shared" si="56"/>
        <v>0</v>
      </c>
      <c r="J260" s="16">
        <f>Data!BS260</f>
        <v>0</v>
      </c>
      <c r="K260" s="47">
        <f t="shared" si="57"/>
        <v>0</v>
      </c>
      <c r="M260" s="23">
        <f t="shared" si="58"/>
        <v>517.20000000000016</v>
      </c>
      <c r="N260" s="23">
        <f t="shared" si="59"/>
        <v>474.42999999999995</v>
      </c>
    </row>
    <row r="261" spans="1:14" x14ac:dyDescent="0.2">
      <c r="A261" s="40">
        <v>34954</v>
      </c>
      <c r="B261" s="3">
        <v>255</v>
      </c>
      <c r="C261" s="16">
        <f>ROUND(Data!BJ261,2)</f>
        <v>19.57</v>
      </c>
      <c r="D261" s="3">
        <f>ROUND(Data!R261,1)</f>
        <v>17.7</v>
      </c>
      <c r="E261" s="3">
        <f>ROUND(Data!AF261,1)</f>
        <v>0.5</v>
      </c>
      <c r="F261" s="23">
        <f>Data!BO261</f>
        <v>44.3</v>
      </c>
      <c r="G261" s="3">
        <f>Data!Q261</f>
        <v>0</v>
      </c>
      <c r="H261" s="19">
        <f>Data!BF261</f>
        <v>0</v>
      </c>
      <c r="I261" s="14">
        <f t="shared" si="56"/>
        <v>0</v>
      </c>
      <c r="J261" s="16">
        <f>Data!BS261</f>
        <v>0</v>
      </c>
      <c r="K261" s="47">
        <f t="shared" si="57"/>
        <v>0</v>
      </c>
      <c r="M261" s="23">
        <f t="shared" si="58"/>
        <v>517.20000000000016</v>
      </c>
      <c r="N261" s="23">
        <f t="shared" si="59"/>
        <v>474.42999999999995</v>
      </c>
    </row>
    <row r="262" spans="1:14" x14ac:dyDescent="0.2">
      <c r="A262" s="40">
        <v>34955</v>
      </c>
      <c r="B262" s="3">
        <v>256</v>
      </c>
      <c r="C262" s="16">
        <f>ROUND(Data!BJ262,2)</f>
        <v>18.68</v>
      </c>
      <c r="D262" s="3">
        <f>ROUND(Data!R262,1)</f>
        <v>19.100000000000001</v>
      </c>
      <c r="E262" s="3">
        <f>ROUND(Data!AF262,1)</f>
        <v>2.1</v>
      </c>
      <c r="F262" s="23">
        <f>Data!BO262</f>
        <v>33</v>
      </c>
      <c r="G262" s="3">
        <f>Data!Q262</f>
        <v>0</v>
      </c>
      <c r="H262" s="19">
        <f>Data!BF262</f>
        <v>0</v>
      </c>
      <c r="I262" s="14">
        <f t="shared" si="56"/>
        <v>0</v>
      </c>
      <c r="J262" s="16">
        <f>Data!BS262</f>
        <v>0</v>
      </c>
      <c r="K262" s="47">
        <f t="shared" si="57"/>
        <v>0</v>
      </c>
      <c r="M262" s="23">
        <f t="shared" si="58"/>
        <v>517.20000000000016</v>
      </c>
      <c r="N262" s="23">
        <f t="shared" si="59"/>
        <v>474.42999999999995</v>
      </c>
    </row>
    <row r="263" spans="1:14" x14ac:dyDescent="0.2">
      <c r="A263" s="40">
        <v>34956</v>
      </c>
      <c r="B263" s="3">
        <v>257</v>
      </c>
      <c r="C263" s="16">
        <f>ROUND(Data!BJ263,2)</f>
        <v>19.43</v>
      </c>
      <c r="D263" s="3">
        <f>ROUND(Data!R263,1)</f>
        <v>18.8</v>
      </c>
      <c r="E263" s="3">
        <f>ROUND(Data!AF263,1)</f>
        <v>0.5</v>
      </c>
      <c r="F263" s="23">
        <f>Data!BO263</f>
        <v>14.2</v>
      </c>
      <c r="G263" s="3">
        <f>Data!Q263</f>
        <v>0</v>
      </c>
      <c r="H263" s="19">
        <f>Data!BF263</f>
        <v>0</v>
      </c>
      <c r="I263" s="14">
        <f t="shared" ref="I263:I326" si="60">IF(H263&gt;H262,ROUND((H263-H262)*I$1,1),0)</f>
        <v>0</v>
      </c>
      <c r="J263" s="16">
        <f>Data!BS263</f>
        <v>0</v>
      </c>
      <c r="K263" s="47">
        <f t="shared" si="57"/>
        <v>0</v>
      </c>
      <c r="M263" s="23">
        <f t="shared" si="58"/>
        <v>517.20000000000016</v>
      </c>
      <c r="N263" s="23">
        <f t="shared" si="59"/>
        <v>474.42999999999995</v>
      </c>
    </row>
    <row r="264" spans="1:14" x14ac:dyDescent="0.2">
      <c r="A264" s="40">
        <v>34957</v>
      </c>
      <c r="B264" s="3">
        <v>258</v>
      </c>
      <c r="C264" s="16">
        <f>ROUND(Data!BJ264,2)</f>
        <v>19.559999999999999</v>
      </c>
      <c r="D264" s="3">
        <f>ROUND(Data!R264,1)</f>
        <v>17.100000000000001</v>
      </c>
      <c r="E264" s="3">
        <f>ROUND(Data!AF264,1)</f>
        <v>1.3</v>
      </c>
      <c r="F264" s="23">
        <f>Data!BO264</f>
        <v>27.7</v>
      </c>
      <c r="G264" s="3">
        <f>Data!Q264</f>
        <v>0</v>
      </c>
      <c r="H264" s="19">
        <f>Data!BF264</f>
        <v>0</v>
      </c>
      <c r="I264" s="14">
        <f t="shared" si="60"/>
        <v>0</v>
      </c>
      <c r="J264" s="16">
        <f>Data!BS264</f>
        <v>0</v>
      </c>
      <c r="K264" s="47">
        <f t="shared" si="57"/>
        <v>0</v>
      </c>
      <c r="M264" s="23">
        <f t="shared" si="58"/>
        <v>517.20000000000016</v>
      </c>
      <c r="N264" s="23">
        <f t="shared" si="59"/>
        <v>474.42999999999995</v>
      </c>
    </row>
    <row r="265" spans="1:14" x14ac:dyDescent="0.2">
      <c r="A265" s="40">
        <v>34958</v>
      </c>
      <c r="B265" s="3">
        <v>259</v>
      </c>
      <c r="C265" s="16">
        <f>ROUND(Data!BJ265,2)</f>
        <v>19.38</v>
      </c>
      <c r="D265" s="3">
        <f>ROUND(Data!R265,1)</f>
        <v>16.5</v>
      </c>
      <c r="E265" s="3">
        <f>ROUND(Data!AF265,1)</f>
        <v>-1</v>
      </c>
      <c r="F265" s="23">
        <f>Data!BO265</f>
        <v>37</v>
      </c>
      <c r="G265" s="3">
        <f>Data!Q265</f>
        <v>0</v>
      </c>
      <c r="H265" s="19">
        <f>Data!BF265</f>
        <v>0</v>
      </c>
      <c r="I265" s="14">
        <f t="shared" si="60"/>
        <v>0</v>
      </c>
      <c r="J265" s="16">
        <f>Data!BS265</f>
        <v>0</v>
      </c>
      <c r="K265" s="47">
        <f t="shared" si="57"/>
        <v>0</v>
      </c>
      <c r="M265" s="23">
        <f t="shared" si="58"/>
        <v>517.20000000000016</v>
      </c>
      <c r="N265" s="23">
        <f t="shared" si="59"/>
        <v>474.42999999999995</v>
      </c>
    </row>
    <row r="266" spans="1:14" x14ac:dyDescent="0.2">
      <c r="A266" s="40">
        <v>34959</v>
      </c>
      <c r="B266" s="3">
        <v>260</v>
      </c>
      <c r="C266" s="16">
        <f>ROUND(Data!BJ266,2)</f>
        <v>19.3</v>
      </c>
      <c r="D266" s="3">
        <f>ROUND(Data!R266,1)</f>
        <v>17.5</v>
      </c>
      <c r="E266" s="3">
        <f>ROUND(Data!AF266,1)</f>
        <v>-1.2</v>
      </c>
      <c r="F266" s="23">
        <f>Data!BO266</f>
        <v>21.8</v>
      </c>
      <c r="G266" s="3">
        <f>Data!Q266</f>
        <v>0</v>
      </c>
      <c r="H266" s="19">
        <f>Data!BF266</f>
        <v>0</v>
      </c>
      <c r="I266" s="14">
        <f t="shared" si="60"/>
        <v>0</v>
      </c>
      <c r="J266" s="16">
        <f>Data!BS266</f>
        <v>0</v>
      </c>
      <c r="K266" s="47">
        <f t="shared" si="57"/>
        <v>0</v>
      </c>
      <c r="M266" s="23">
        <f t="shared" si="58"/>
        <v>517.20000000000016</v>
      </c>
      <c r="N266" s="23">
        <f t="shared" si="59"/>
        <v>474.42999999999995</v>
      </c>
    </row>
    <row r="267" spans="1:14" x14ac:dyDescent="0.2">
      <c r="A267" s="40">
        <v>34960</v>
      </c>
      <c r="B267" s="3">
        <v>261</v>
      </c>
      <c r="C267" s="16">
        <f>ROUND(Data!BJ267,2)</f>
        <v>12.87</v>
      </c>
      <c r="D267" s="3">
        <f>ROUND(Data!R267,1)</f>
        <v>13.2</v>
      </c>
      <c r="E267" s="3">
        <f>ROUND(Data!AF267,1)</f>
        <v>0.8</v>
      </c>
      <c r="F267" s="23">
        <f>Data!BO267</f>
        <v>53.9</v>
      </c>
      <c r="G267" s="3">
        <f>Data!Q267</f>
        <v>0</v>
      </c>
      <c r="H267" s="19">
        <f>Data!BF267</f>
        <v>0</v>
      </c>
      <c r="I267" s="14">
        <f t="shared" si="60"/>
        <v>0</v>
      </c>
      <c r="J267" s="16">
        <f>Data!BS267</f>
        <v>0</v>
      </c>
      <c r="K267" s="47">
        <f t="shared" si="57"/>
        <v>0</v>
      </c>
      <c r="M267" s="23">
        <f t="shared" si="58"/>
        <v>517.20000000000016</v>
      </c>
      <c r="N267" s="23">
        <f t="shared" si="59"/>
        <v>474.42999999999995</v>
      </c>
    </row>
    <row r="268" spans="1:14" x14ac:dyDescent="0.2">
      <c r="A268" s="40">
        <v>34961</v>
      </c>
      <c r="B268" s="3">
        <v>262</v>
      </c>
      <c r="C268" s="16">
        <f>ROUND(Data!BJ268,2)</f>
        <v>18.71</v>
      </c>
      <c r="D268" s="3">
        <f>ROUND(Data!R268,1)</f>
        <v>12.3</v>
      </c>
      <c r="E268" s="3">
        <f>ROUND(Data!AF268,1)</f>
        <v>-2.4</v>
      </c>
      <c r="F268" s="23">
        <f>Data!BO268</f>
        <v>26.5</v>
      </c>
      <c r="G268" s="3">
        <f>Data!Q268</f>
        <v>0</v>
      </c>
      <c r="H268" s="19">
        <f>Data!BF268</f>
        <v>0</v>
      </c>
      <c r="I268" s="14">
        <f t="shared" si="60"/>
        <v>0</v>
      </c>
      <c r="J268" s="16">
        <f>Data!BS268</f>
        <v>0</v>
      </c>
      <c r="K268" s="47">
        <f t="shared" si="57"/>
        <v>0</v>
      </c>
      <c r="M268" s="23">
        <f t="shared" si="58"/>
        <v>517.20000000000016</v>
      </c>
      <c r="N268" s="23">
        <f t="shared" si="59"/>
        <v>474.42999999999995</v>
      </c>
    </row>
    <row r="269" spans="1:14" x14ac:dyDescent="0.2">
      <c r="A269" s="40">
        <v>34962</v>
      </c>
      <c r="B269" s="3">
        <v>263</v>
      </c>
      <c r="C269" s="16">
        <f>ROUND(Data!BJ269,2)</f>
        <v>18.899999999999999</v>
      </c>
      <c r="D269" s="3">
        <f>ROUND(Data!R269,1)</f>
        <v>13.4</v>
      </c>
      <c r="E269" s="3">
        <f>ROUND(Data!AF269,1)</f>
        <v>-4.4000000000000004</v>
      </c>
      <c r="F269" s="23">
        <f>Data!BO269</f>
        <v>18.3</v>
      </c>
      <c r="G269" s="3">
        <f>Data!Q269</f>
        <v>0</v>
      </c>
      <c r="H269" s="19">
        <f>Data!BF269</f>
        <v>0</v>
      </c>
      <c r="I269" s="14">
        <f t="shared" si="60"/>
        <v>0</v>
      </c>
      <c r="J269" s="16">
        <f>Data!BS269</f>
        <v>0</v>
      </c>
      <c r="K269" s="47">
        <f t="shared" si="57"/>
        <v>0</v>
      </c>
      <c r="M269" s="23">
        <f t="shared" si="58"/>
        <v>517.20000000000016</v>
      </c>
      <c r="N269" s="23">
        <f t="shared" si="59"/>
        <v>474.42999999999995</v>
      </c>
    </row>
    <row r="270" spans="1:14" x14ac:dyDescent="0.2">
      <c r="A270" s="40">
        <v>34963</v>
      </c>
      <c r="B270" s="3">
        <v>264</v>
      </c>
      <c r="C270" s="16">
        <f>ROUND(Data!BJ270,2)</f>
        <v>18.43</v>
      </c>
      <c r="D270" s="3">
        <f>ROUND(Data!R270,1)</f>
        <v>13.7</v>
      </c>
      <c r="E270" s="3">
        <f>ROUND(Data!AF270,1)</f>
        <v>-5.3</v>
      </c>
      <c r="F270" s="23">
        <f>Data!BO270</f>
        <v>24.9</v>
      </c>
      <c r="G270" s="3">
        <f>Data!Q270</f>
        <v>0</v>
      </c>
      <c r="H270" s="19">
        <f>Data!BF270</f>
        <v>0</v>
      </c>
      <c r="I270" s="14">
        <f t="shared" si="60"/>
        <v>0</v>
      </c>
      <c r="J270" s="16">
        <f>Data!BS270</f>
        <v>0</v>
      </c>
      <c r="K270" s="47">
        <f t="shared" si="57"/>
        <v>0</v>
      </c>
      <c r="M270" s="23">
        <f t="shared" si="58"/>
        <v>517.20000000000016</v>
      </c>
      <c r="N270" s="23">
        <f t="shared" si="59"/>
        <v>474.42999999999995</v>
      </c>
    </row>
    <row r="271" spans="1:14" x14ac:dyDescent="0.2">
      <c r="A271" s="40">
        <v>34964</v>
      </c>
      <c r="B271" s="3">
        <v>265</v>
      </c>
      <c r="C271" s="16">
        <f>ROUND(Data!BJ271,2)</f>
        <v>16.239999999999998</v>
      </c>
      <c r="D271" s="3">
        <f>ROUND(Data!R271,1)</f>
        <v>15.6</v>
      </c>
      <c r="E271" s="3">
        <f>ROUND(Data!AF271,1)</f>
        <v>-3.6</v>
      </c>
      <c r="F271" s="23">
        <f>Data!BO271</f>
        <v>32</v>
      </c>
      <c r="G271" s="3">
        <f>Data!Q271</f>
        <v>0</v>
      </c>
      <c r="H271" s="19">
        <f>Data!BF271</f>
        <v>0</v>
      </c>
      <c r="I271" s="14">
        <f t="shared" si="60"/>
        <v>0</v>
      </c>
      <c r="J271" s="16">
        <f>Data!BS271</f>
        <v>0</v>
      </c>
      <c r="K271" s="47">
        <f t="shared" si="57"/>
        <v>0</v>
      </c>
      <c r="M271" s="23">
        <f t="shared" si="58"/>
        <v>517.20000000000016</v>
      </c>
      <c r="N271" s="23">
        <f t="shared" si="59"/>
        <v>474.42999999999995</v>
      </c>
    </row>
    <row r="272" spans="1:14" x14ac:dyDescent="0.2">
      <c r="A272" s="40">
        <v>34965</v>
      </c>
      <c r="B272" s="3">
        <v>266</v>
      </c>
      <c r="C272" s="16">
        <f>ROUND(Data!BJ272,2)</f>
        <v>17.73</v>
      </c>
      <c r="D272" s="3">
        <f>ROUND(Data!R272,1)</f>
        <v>18.8</v>
      </c>
      <c r="E272" s="3">
        <f>ROUND(Data!AF272,1)</f>
        <v>-1.2</v>
      </c>
      <c r="F272" s="23">
        <f>Data!BO272</f>
        <v>30.4</v>
      </c>
      <c r="G272" s="3">
        <f>Data!Q272</f>
        <v>0</v>
      </c>
      <c r="H272" s="19">
        <f>Data!BF272</f>
        <v>0</v>
      </c>
      <c r="I272" s="14">
        <f t="shared" si="60"/>
        <v>0</v>
      </c>
      <c r="J272" s="16">
        <f>Data!BS272</f>
        <v>0</v>
      </c>
      <c r="K272" s="47">
        <f t="shared" si="57"/>
        <v>0</v>
      </c>
      <c r="M272" s="23">
        <f t="shared" si="58"/>
        <v>517.20000000000016</v>
      </c>
      <c r="N272" s="23">
        <f t="shared" si="59"/>
        <v>474.42999999999995</v>
      </c>
    </row>
    <row r="273" spans="1:20" x14ac:dyDescent="0.2">
      <c r="A273" s="40">
        <v>34966</v>
      </c>
      <c r="B273" s="3">
        <v>267</v>
      </c>
      <c r="C273" s="16">
        <f>ROUND(Data!BJ273,2)</f>
        <v>17.440000000000001</v>
      </c>
      <c r="D273" s="3">
        <f>ROUND(Data!R273,1)</f>
        <v>19.399999999999999</v>
      </c>
      <c r="E273" s="3">
        <f>ROUND(Data!AF273,1)</f>
        <v>-0.5</v>
      </c>
      <c r="F273" s="23">
        <f>Data!BO273</f>
        <v>28</v>
      </c>
      <c r="G273" s="3">
        <f>Data!Q273</f>
        <v>0</v>
      </c>
      <c r="H273" s="19">
        <f>Data!BF273</f>
        <v>0</v>
      </c>
      <c r="I273" s="14">
        <f t="shared" si="60"/>
        <v>0</v>
      </c>
      <c r="J273" s="16">
        <f>Data!BS273</f>
        <v>0</v>
      </c>
      <c r="K273" s="47">
        <f t="shared" si="57"/>
        <v>0</v>
      </c>
      <c r="M273" s="23">
        <f t="shared" si="58"/>
        <v>517.20000000000016</v>
      </c>
      <c r="N273" s="23">
        <f t="shared" si="59"/>
        <v>474.42999999999995</v>
      </c>
    </row>
    <row r="274" spans="1:20" x14ac:dyDescent="0.2">
      <c r="A274" s="40">
        <v>34967</v>
      </c>
      <c r="B274" s="3">
        <v>268</v>
      </c>
      <c r="C274" s="16">
        <f>ROUND(Data!BJ274,2)</f>
        <v>15.29</v>
      </c>
      <c r="D274" s="3">
        <f>ROUND(Data!R274,1)</f>
        <v>17.3</v>
      </c>
      <c r="E274" s="3">
        <f>ROUND(Data!AF274,1)</f>
        <v>-2.2000000000000002</v>
      </c>
      <c r="F274" s="23">
        <f>Data!BO274</f>
        <v>24.5</v>
      </c>
      <c r="G274" s="3">
        <f>Data!Q274</f>
        <v>0</v>
      </c>
      <c r="H274" s="19">
        <f>Data!BF274</f>
        <v>0</v>
      </c>
      <c r="I274" s="14">
        <f t="shared" si="60"/>
        <v>0</v>
      </c>
      <c r="J274" s="16">
        <f>Data!BS274</f>
        <v>0</v>
      </c>
      <c r="K274" s="47">
        <f t="shared" si="57"/>
        <v>0</v>
      </c>
      <c r="M274" s="23">
        <f t="shared" si="58"/>
        <v>517.20000000000016</v>
      </c>
      <c r="N274" s="23">
        <f t="shared" si="59"/>
        <v>474.42999999999995</v>
      </c>
    </row>
    <row r="275" spans="1:20" x14ac:dyDescent="0.2">
      <c r="A275" s="40">
        <v>34968</v>
      </c>
      <c r="B275" s="3">
        <v>269</v>
      </c>
      <c r="C275" s="16">
        <f>ROUND(Data!BJ275,2)</f>
        <v>10.66</v>
      </c>
      <c r="D275" s="3">
        <f>ROUND(Data!R275,1)</f>
        <v>12.2</v>
      </c>
      <c r="E275" s="3">
        <f>ROUND(Data!AF275,1)</f>
        <v>-1.6</v>
      </c>
      <c r="F275" s="23">
        <f>Data!BO275</f>
        <v>44</v>
      </c>
      <c r="G275" s="3">
        <f>Data!Q275</f>
        <v>0</v>
      </c>
      <c r="H275" s="19">
        <f>Data!BF275</f>
        <v>0</v>
      </c>
      <c r="I275" s="14">
        <f t="shared" si="60"/>
        <v>0</v>
      </c>
      <c r="J275" s="16">
        <f>Data!BS275</f>
        <v>0</v>
      </c>
      <c r="K275" s="47">
        <f t="shared" si="57"/>
        <v>0</v>
      </c>
      <c r="M275" s="23">
        <f t="shared" si="58"/>
        <v>517.20000000000016</v>
      </c>
      <c r="N275" s="23">
        <f t="shared" si="59"/>
        <v>474.42999999999995</v>
      </c>
    </row>
    <row r="276" spans="1:20" x14ac:dyDescent="0.2">
      <c r="A276" s="40">
        <v>34969</v>
      </c>
      <c r="B276" s="3">
        <v>270</v>
      </c>
      <c r="C276" s="16">
        <f>ROUND(Data!BJ276,2)</f>
        <v>6.89</v>
      </c>
      <c r="D276" s="3">
        <f>ROUND(Data!R276,1)</f>
        <v>10.4</v>
      </c>
      <c r="E276" s="3">
        <f>ROUND(Data!AF276,1)</f>
        <v>3</v>
      </c>
      <c r="F276" s="23">
        <f>Data!BO276</f>
        <v>60.9</v>
      </c>
      <c r="G276" s="3">
        <f>Data!Q276</f>
        <v>0</v>
      </c>
      <c r="H276" s="19">
        <f>Data!BF276</f>
        <v>0</v>
      </c>
      <c r="I276" s="14">
        <f t="shared" si="60"/>
        <v>0</v>
      </c>
      <c r="J276" s="16">
        <f>Data!BS276</f>
        <v>0.30000001192092896</v>
      </c>
      <c r="K276" s="47">
        <f t="shared" si="57"/>
        <v>0</v>
      </c>
      <c r="M276" s="23">
        <f t="shared" si="58"/>
        <v>517.50000001192109</v>
      </c>
      <c r="N276" s="23">
        <f t="shared" si="59"/>
        <v>474.42999999999995</v>
      </c>
    </row>
    <row r="277" spans="1:20" x14ac:dyDescent="0.2">
      <c r="A277" s="40">
        <v>34970</v>
      </c>
      <c r="B277" s="3">
        <v>271</v>
      </c>
      <c r="C277" s="16">
        <f>ROUND(Data!BJ277,2)</f>
        <v>8.66</v>
      </c>
      <c r="D277" s="3">
        <f>ROUND(Data!R277,1)</f>
        <v>10.4</v>
      </c>
      <c r="E277" s="3">
        <f>ROUND(Data!AF277,1)</f>
        <v>3.1</v>
      </c>
      <c r="F277" s="23">
        <f>Data!BO277</f>
        <v>59.6</v>
      </c>
      <c r="G277" s="3">
        <f>Data!Q277</f>
        <v>7</v>
      </c>
      <c r="H277" s="19">
        <f>Data!BF277</f>
        <v>0</v>
      </c>
      <c r="I277" s="14">
        <f t="shared" si="60"/>
        <v>0</v>
      </c>
      <c r="J277" s="16">
        <f>Data!BS277</f>
        <v>13.699999809265137</v>
      </c>
      <c r="K277" s="47">
        <f t="shared" si="57"/>
        <v>7</v>
      </c>
      <c r="M277" s="23">
        <f t="shared" si="58"/>
        <v>531.19999982118622</v>
      </c>
      <c r="N277" s="23">
        <f t="shared" si="59"/>
        <v>481.42999999999995</v>
      </c>
    </row>
    <row r="278" spans="1:20" x14ac:dyDescent="0.2">
      <c r="A278" s="40">
        <v>34971</v>
      </c>
      <c r="B278" s="3">
        <v>272</v>
      </c>
      <c r="C278" s="16">
        <f>ROUND(Data!BJ278,2)</f>
        <v>12.76</v>
      </c>
      <c r="D278" s="3">
        <f>ROUND(Data!R278,1)</f>
        <v>10.8</v>
      </c>
      <c r="E278" s="3">
        <f>ROUND(Data!AF278,1)</f>
        <v>3.5</v>
      </c>
      <c r="F278" s="23">
        <f>Data!BO278</f>
        <v>54.8</v>
      </c>
      <c r="G278" s="3">
        <f>Data!Q278</f>
        <v>2</v>
      </c>
      <c r="H278" s="19">
        <f>Data!BF278</f>
        <v>0</v>
      </c>
      <c r="I278" s="14">
        <f t="shared" si="60"/>
        <v>0</v>
      </c>
      <c r="J278" s="16">
        <f>Data!BS278</f>
        <v>3.5999999046325684</v>
      </c>
      <c r="K278" s="47">
        <f t="shared" si="57"/>
        <v>2</v>
      </c>
      <c r="M278" s="23">
        <f t="shared" si="58"/>
        <v>534.79999972581879</v>
      </c>
      <c r="N278" s="23">
        <f t="shared" si="59"/>
        <v>483.42999999999995</v>
      </c>
    </row>
    <row r="279" spans="1:20" x14ac:dyDescent="0.2">
      <c r="A279" s="40">
        <v>34972</v>
      </c>
      <c r="B279" s="3">
        <v>273</v>
      </c>
      <c r="C279" s="16">
        <f>ROUND(Data!BJ279,2)</f>
        <v>3.93</v>
      </c>
      <c r="D279" s="3">
        <f>ROUND(Data!R279,1)</f>
        <v>7.6</v>
      </c>
      <c r="E279" s="3">
        <f>ROUND(Data!AF279,1)</f>
        <v>-0.3</v>
      </c>
      <c r="F279" s="23">
        <f>Data!BO279</f>
        <v>68.599999999999994</v>
      </c>
      <c r="G279" s="3">
        <f>Data!Q279</f>
        <v>3</v>
      </c>
      <c r="H279" s="19">
        <f>Data!BF279</f>
        <v>0</v>
      </c>
      <c r="I279" s="14">
        <f t="shared" si="60"/>
        <v>0</v>
      </c>
      <c r="J279" s="16">
        <f>Data!BS279</f>
        <v>6.3000001907348633</v>
      </c>
      <c r="K279" s="47">
        <f t="shared" si="57"/>
        <v>3</v>
      </c>
      <c r="M279" s="23">
        <f t="shared" si="58"/>
        <v>541.09999991655366</v>
      </c>
      <c r="N279" s="23">
        <f t="shared" si="59"/>
        <v>486.42999999999995</v>
      </c>
    </row>
    <row r="280" spans="1:20" x14ac:dyDescent="0.2">
      <c r="A280" s="40">
        <v>34973</v>
      </c>
      <c r="B280" s="3">
        <v>274</v>
      </c>
      <c r="C280" s="16">
        <f>ROUND(Data!BJ280,2)</f>
        <v>11.44</v>
      </c>
      <c r="D280" s="3">
        <f>ROUND(Data!R280,1)</f>
        <v>3.7</v>
      </c>
      <c r="E280" s="3">
        <f>ROUND(Data!AF280,1)</f>
        <v>-3.8</v>
      </c>
      <c r="F280" s="23">
        <f>Data!BO280</f>
        <v>66.099999999999994</v>
      </c>
      <c r="G280" s="3">
        <f>Data!Q280</f>
        <v>14</v>
      </c>
      <c r="H280" s="19">
        <f>Data!BF280</f>
        <v>0</v>
      </c>
      <c r="I280" s="14">
        <f t="shared" si="60"/>
        <v>0</v>
      </c>
      <c r="J280" s="16">
        <f>Data!BS280</f>
        <v>9.1000003814697266</v>
      </c>
      <c r="K280" s="47">
        <f t="shared" si="57"/>
        <v>14</v>
      </c>
      <c r="M280" s="23">
        <f t="shared" si="58"/>
        <v>550.20000029802338</v>
      </c>
      <c r="N280" s="23">
        <f t="shared" si="59"/>
        <v>500.42999999999995</v>
      </c>
    </row>
    <row r="281" spans="1:20" x14ac:dyDescent="0.2">
      <c r="A281" s="40">
        <v>34974</v>
      </c>
      <c r="B281" s="3">
        <v>275</v>
      </c>
      <c r="C281" s="16">
        <f>ROUND(Data!BJ281,2)</f>
        <v>4.2699999999999996</v>
      </c>
      <c r="D281" s="3">
        <f>ROUND(Data!R281,1)</f>
        <v>4.3</v>
      </c>
      <c r="E281" s="3">
        <f>ROUND(Data!AF281,1)</f>
        <v>-0.7</v>
      </c>
      <c r="F281" s="23">
        <f>Data!BO281</f>
        <v>80.2</v>
      </c>
      <c r="G281" s="3">
        <f>Data!Q281</f>
        <v>1</v>
      </c>
      <c r="H281" s="19">
        <f>Data!BF281</f>
        <v>0</v>
      </c>
      <c r="I281" s="14">
        <f t="shared" si="60"/>
        <v>0</v>
      </c>
      <c r="J281" s="16">
        <f>Data!BS281</f>
        <v>1</v>
      </c>
      <c r="K281" s="47">
        <f t="shared" si="57"/>
        <v>1</v>
      </c>
      <c r="M281" s="23">
        <f t="shared" si="58"/>
        <v>551.20000029802338</v>
      </c>
      <c r="N281" s="23">
        <f t="shared" si="59"/>
        <v>501.42999999999995</v>
      </c>
    </row>
    <row r="282" spans="1:20" x14ac:dyDescent="0.2">
      <c r="A282" s="40">
        <v>34975</v>
      </c>
      <c r="B282" s="3">
        <v>276</v>
      </c>
      <c r="C282" s="16">
        <f>ROUND(Data!BJ282,2)</f>
        <v>0.92</v>
      </c>
      <c r="D282" s="3">
        <f>ROUND(Data!R282,1)</f>
        <v>3.8</v>
      </c>
      <c r="E282" s="3">
        <f>ROUND(Data!AF282,1)</f>
        <v>-0.8</v>
      </c>
      <c r="F282" s="23">
        <f>Data!BO282</f>
        <v>87.1</v>
      </c>
      <c r="G282" s="3">
        <f>Data!Q282</f>
        <v>3</v>
      </c>
      <c r="H282" s="19">
        <f>Data!BF282</f>
        <v>0</v>
      </c>
      <c r="I282" s="14">
        <f t="shared" si="60"/>
        <v>0</v>
      </c>
      <c r="J282" s="16">
        <f>Data!BS282</f>
        <v>17</v>
      </c>
      <c r="K282" s="47">
        <f t="shared" si="57"/>
        <v>3</v>
      </c>
      <c r="M282" s="23">
        <f t="shared" si="58"/>
        <v>568.20000029802338</v>
      </c>
      <c r="N282" s="23">
        <f t="shared" si="59"/>
        <v>504.42999999999995</v>
      </c>
    </row>
    <row r="283" spans="1:20" x14ac:dyDescent="0.2">
      <c r="A283" s="40">
        <v>34976</v>
      </c>
      <c r="B283" s="3">
        <v>277</v>
      </c>
      <c r="C283" s="16">
        <f>ROUND(Data!BJ283,2)</f>
        <v>14.13</v>
      </c>
      <c r="D283" s="3">
        <f>ROUND(Data!R283,1)</f>
        <v>5.4</v>
      </c>
      <c r="E283" s="3">
        <f>ROUND(Data!AF283,1)</f>
        <v>-4.8</v>
      </c>
      <c r="F283" s="23">
        <f>Data!BO283</f>
        <v>58</v>
      </c>
      <c r="G283" s="3">
        <f>Data!Q283</f>
        <v>11</v>
      </c>
      <c r="H283" s="19">
        <f>Data!BF283</f>
        <v>0</v>
      </c>
      <c r="I283" s="14">
        <f t="shared" si="60"/>
        <v>0</v>
      </c>
      <c r="J283" s="16">
        <f>Data!BS283</f>
        <v>0.30000001192092896</v>
      </c>
      <c r="K283" s="47">
        <f t="shared" si="57"/>
        <v>11</v>
      </c>
      <c r="M283" s="23">
        <f t="shared" si="58"/>
        <v>568.50000030994431</v>
      </c>
      <c r="N283" s="23">
        <f t="shared" si="59"/>
        <v>515.42999999999995</v>
      </c>
    </row>
    <row r="284" spans="1:20" x14ac:dyDescent="0.2">
      <c r="A284" s="40">
        <v>34977</v>
      </c>
      <c r="B284" s="3">
        <v>278</v>
      </c>
      <c r="C284" s="16">
        <f>ROUND(Data!BJ284,2)</f>
        <v>6.68</v>
      </c>
      <c r="D284" s="3">
        <f>ROUND(Data!R284,1)</f>
        <v>5.6</v>
      </c>
      <c r="E284" s="3">
        <f>ROUND(Data!AF284,1)</f>
        <v>-4.0999999999999996</v>
      </c>
      <c r="F284" s="23">
        <f>Data!BO284</f>
        <v>58.1</v>
      </c>
      <c r="G284" s="3">
        <f>Data!Q284</f>
        <v>1</v>
      </c>
      <c r="H284" s="19">
        <f>Data!BF284</f>
        <v>0</v>
      </c>
      <c r="I284" s="14">
        <f t="shared" si="60"/>
        <v>0</v>
      </c>
      <c r="J284" s="16">
        <f>Data!BS284</f>
        <v>0</v>
      </c>
      <c r="K284" s="47">
        <f t="shared" si="57"/>
        <v>1</v>
      </c>
      <c r="M284" s="23">
        <f t="shared" si="58"/>
        <v>568.50000030994431</v>
      </c>
      <c r="N284" s="23">
        <f t="shared" si="59"/>
        <v>516.42999999999995</v>
      </c>
    </row>
    <row r="285" spans="1:20" x14ac:dyDescent="0.2">
      <c r="A285" s="40">
        <v>34978</v>
      </c>
      <c r="B285" s="3">
        <v>279</v>
      </c>
      <c r="C285" s="16">
        <f>ROUND(Data!BJ285,2)</f>
        <v>5.64</v>
      </c>
      <c r="D285" s="3">
        <f>ROUND(Data!R285,1)</f>
        <v>5.5</v>
      </c>
      <c r="E285" s="3">
        <f>ROUND(Data!AF285,1)</f>
        <v>0.4</v>
      </c>
      <c r="F285" s="23">
        <f>Data!BO285</f>
        <v>68</v>
      </c>
      <c r="G285" s="3">
        <f>Data!Q285</f>
        <v>5</v>
      </c>
      <c r="H285" s="19">
        <f>Data!BF285</f>
        <v>0</v>
      </c>
      <c r="I285" s="14">
        <f t="shared" si="60"/>
        <v>0</v>
      </c>
      <c r="J285" s="16">
        <f>Data!BS285</f>
        <v>4.3000001907348633</v>
      </c>
      <c r="K285" s="47">
        <f t="shared" si="57"/>
        <v>5</v>
      </c>
      <c r="M285" s="23">
        <f t="shared" si="58"/>
        <v>572.80000050067918</v>
      </c>
      <c r="N285" s="23">
        <f t="shared" si="59"/>
        <v>521.42999999999995</v>
      </c>
      <c r="P285" s="33"/>
      <c r="Q285" s="33"/>
      <c r="R285" s="34"/>
      <c r="S285" s="35"/>
      <c r="T285" s="35"/>
    </row>
    <row r="286" spans="1:20" x14ac:dyDescent="0.2">
      <c r="A286" s="40">
        <v>34979</v>
      </c>
      <c r="B286" s="3">
        <v>280</v>
      </c>
      <c r="C286" s="16">
        <f>ROUND(Data!BJ286,2)</f>
        <v>6.49</v>
      </c>
      <c r="D286" s="3">
        <f>ROUND(Data!R286,1)</f>
        <v>5.7</v>
      </c>
      <c r="E286" s="3">
        <f>ROUND(Data!AF286,1)</f>
        <v>0.5</v>
      </c>
      <c r="F286" s="23">
        <f>Data!BO286</f>
        <v>66.900000000000006</v>
      </c>
      <c r="G286" s="3">
        <f>Data!Q286</f>
        <v>0</v>
      </c>
      <c r="H286" s="19">
        <f>Data!BF286</f>
        <v>0</v>
      </c>
      <c r="I286" s="14">
        <f t="shared" si="60"/>
        <v>0</v>
      </c>
      <c r="J286" s="16">
        <f>Data!BS286</f>
        <v>3.2999999523162842</v>
      </c>
      <c r="K286" s="47">
        <f t="shared" ref="K286:K307" si="61">G286</f>
        <v>0</v>
      </c>
      <c r="M286" s="23">
        <f t="shared" si="58"/>
        <v>576.10000045299546</v>
      </c>
      <c r="N286" s="23">
        <f t="shared" si="59"/>
        <v>521.42999999999995</v>
      </c>
      <c r="P286" s="33"/>
      <c r="Q286" s="33"/>
      <c r="R286" s="34"/>
      <c r="S286" s="35"/>
      <c r="T286" s="35"/>
    </row>
    <row r="287" spans="1:20" x14ac:dyDescent="0.2">
      <c r="A287" s="40">
        <v>34980</v>
      </c>
      <c r="B287" s="3">
        <v>281</v>
      </c>
      <c r="C287" s="16">
        <f>ROUND(Data!BJ287,2)</f>
        <v>5.0999999999999996</v>
      </c>
      <c r="D287" s="3">
        <f>ROUND(Data!R287,1)</f>
        <v>5.2</v>
      </c>
      <c r="E287" s="3">
        <f>ROUND(Data!AF287,1)</f>
        <v>0.1</v>
      </c>
      <c r="F287" s="23">
        <f>Data!BO287</f>
        <v>70</v>
      </c>
      <c r="G287" s="3">
        <f>Data!Q287</f>
        <v>9</v>
      </c>
      <c r="H287" s="19">
        <f>Data!BF287</f>
        <v>0</v>
      </c>
      <c r="I287" s="14">
        <f t="shared" si="60"/>
        <v>0</v>
      </c>
      <c r="J287" s="16">
        <f>Data!BS287</f>
        <v>4.0999999046325684</v>
      </c>
      <c r="K287" s="47">
        <f t="shared" si="61"/>
        <v>9</v>
      </c>
      <c r="M287" s="23">
        <f t="shared" si="58"/>
        <v>580.20000035762803</v>
      </c>
      <c r="N287" s="23">
        <f t="shared" si="59"/>
        <v>530.42999999999995</v>
      </c>
      <c r="P287" s="33"/>
      <c r="Q287" s="33"/>
      <c r="R287" s="34"/>
      <c r="S287" s="35"/>
      <c r="T287" s="35"/>
    </row>
    <row r="288" spans="1:20" x14ac:dyDescent="0.2">
      <c r="A288" s="40">
        <v>34981</v>
      </c>
      <c r="B288" s="3">
        <v>282</v>
      </c>
      <c r="C288" s="16">
        <f>ROUND(Data!BJ288,2)</f>
        <v>3.48</v>
      </c>
      <c r="D288" s="3">
        <f>ROUND(Data!R288,1)</f>
        <v>3.8</v>
      </c>
      <c r="E288" s="3">
        <f>ROUND(Data!AF288,1)</f>
        <v>-0.9</v>
      </c>
      <c r="F288" s="23">
        <f>Data!BO288</f>
        <v>74.599999999999994</v>
      </c>
      <c r="G288" s="3">
        <f>Data!Q288</f>
        <v>1</v>
      </c>
      <c r="H288" s="19">
        <f>Data!BF288</f>
        <v>0</v>
      </c>
      <c r="I288" s="14">
        <f t="shared" si="60"/>
        <v>0</v>
      </c>
      <c r="J288" s="16">
        <f>Data!BS288</f>
        <v>5.5999999046325684</v>
      </c>
      <c r="K288" s="47">
        <f t="shared" si="61"/>
        <v>1</v>
      </c>
      <c r="M288" s="23">
        <f t="shared" si="58"/>
        <v>585.8000002622606</v>
      </c>
      <c r="N288" s="23">
        <f t="shared" si="59"/>
        <v>531.42999999999995</v>
      </c>
      <c r="P288" s="33"/>
      <c r="Q288" s="33"/>
      <c r="R288" s="34"/>
      <c r="S288" s="35"/>
      <c r="T288" s="35"/>
    </row>
    <row r="289" spans="1:20" x14ac:dyDescent="0.2">
      <c r="A289" s="40">
        <v>34982</v>
      </c>
      <c r="B289" s="3">
        <v>283</v>
      </c>
      <c r="C289" s="16">
        <f>ROUND(Data!BJ289,2)</f>
        <v>5.83</v>
      </c>
      <c r="D289" s="3">
        <f>ROUND(Data!R289,1)</f>
        <v>8</v>
      </c>
      <c r="E289" s="3">
        <f>ROUND(Data!AF289,1)</f>
        <v>0.2</v>
      </c>
      <c r="F289" s="23">
        <f>Data!BO289</f>
        <v>60</v>
      </c>
      <c r="G289" s="3">
        <f>Data!Q289</f>
        <v>1</v>
      </c>
      <c r="H289" s="19">
        <f>Data!BF289</f>
        <v>0</v>
      </c>
      <c r="I289" s="14">
        <f t="shared" si="60"/>
        <v>0</v>
      </c>
      <c r="J289" s="16">
        <f>Data!BS289</f>
        <v>2</v>
      </c>
      <c r="K289" s="47">
        <f t="shared" si="61"/>
        <v>1</v>
      </c>
      <c r="M289" s="23">
        <f t="shared" si="58"/>
        <v>587.8000002622606</v>
      </c>
      <c r="N289" s="23">
        <f t="shared" si="59"/>
        <v>532.42999999999995</v>
      </c>
      <c r="P289" s="33"/>
      <c r="Q289" s="33"/>
      <c r="R289" s="34"/>
      <c r="S289" s="35"/>
      <c r="T289" s="35"/>
    </row>
    <row r="290" spans="1:20" x14ac:dyDescent="0.2">
      <c r="A290" s="40">
        <v>34983</v>
      </c>
      <c r="B290" s="3">
        <v>284</v>
      </c>
      <c r="C290" s="16">
        <f>ROUND(Data!BJ290,2)</f>
        <v>2.74</v>
      </c>
      <c r="D290" s="3">
        <f>ROUND(Data!R290,1)</f>
        <v>2.6</v>
      </c>
      <c r="E290" s="3">
        <f>ROUND(Data!AF290,1)</f>
        <v>-0.1</v>
      </c>
      <c r="F290" s="23">
        <f>Data!BO290</f>
        <v>62</v>
      </c>
      <c r="G290" s="3">
        <f>Data!Q290</f>
        <v>7</v>
      </c>
      <c r="H290" s="19">
        <f>Data!BF290</f>
        <v>0</v>
      </c>
      <c r="I290" s="14">
        <f t="shared" si="60"/>
        <v>0</v>
      </c>
      <c r="J290" s="16">
        <f>Data!BS290</f>
        <v>7.5999999046325684</v>
      </c>
      <c r="K290" s="47">
        <f t="shared" si="61"/>
        <v>7</v>
      </c>
      <c r="M290" s="23">
        <f t="shared" si="58"/>
        <v>595.40000016689316</v>
      </c>
      <c r="N290" s="23">
        <f t="shared" si="59"/>
        <v>539.42999999999995</v>
      </c>
      <c r="P290" s="33"/>
      <c r="Q290" s="33"/>
      <c r="R290" s="34"/>
      <c r="S290" s="35"/>
      <c r="T290" s="35"/>
    </row>
    <row r="291" spans="1:20" x14ac:dyDescent="0.2">
      <c r="A291" s="40">
        <v>34984</v>
      </c>
      <c r="B291" s="3">
        <v>285</v>
      </c>
      <c r="C291" s="16">
        <f>ROUND(Data!BJ291,2)</f>
        <v>3.01</v>
      </c>
      <c r="D291" s="3">
        <f>ROUND(Data!R291,1)</f>
        <v>2.1</v>
      </c>
      <c r="E291" s="3">
        <f>ROUND(Data!AF291,1)</f>
        <v>-1.3</v>
      </c>
      <c r="F291" s="23">
        <f>Data!BO291</f>
        <v>85</v>
      </c>
      <c r="G291" s="3">
        <f>Data!Q291</f>
        <v>3</v>
      </c>
      <c r="H291" s="19">
        <f>Data!BF291</f>
        <v>0</v>
      </c>
      <c r="I291" s="14">
        <f t="shared" si="60"/>
        <v>0</v>
      </c>
      <c r="J291" s="16">
        <f>Data!BS291</f>
        <v>14.699999809265137</v>
      </c>
      <c r="K291" s="47">
        <f t="shared" si="61"/>
        <v>3</v>
      </c>
      <c r="M291" s="23">
        <f t="shared" si="58"/>
        <v>610.0999999761583</v>
      </c>
      <c r="N291" s="23">
        <f t="shared" si="59"/>
        <v>542.42999999999995</v>
      </c>
      <c r="P291" s="33"/>
      <c r="Q291" s="33"/>
      <c r="R291" s="34"/>
      <c r="S291" s="35"/>
      <c r="T291" s="35"/>
    </row>
    <row r="292" spans="1:20" x14ac:dyDescent="0.2">
      <c r="A292" s="40">
        <v>34985</v>
      </c>
      <c r="B292" s="3">
        <v>286</v>
      </c>
      <c r="C292" s="16">
        <f>ROUND(Data!BJ292,2)</f>
        <v>0.49</v>
      </c>
      <c r="D292" s="3">
        <f>ROUND(Data!R292,1)</f>
        <v>0.5</v>
      </c>
      <c r="E292" s="3">
        <f>ROUND(Data!AF292,1)</f>
        <v>-1.5</v>
      </c>
      <c r="F292" s="23">
        <f>Data!BO292</f>
        <v>82.4</v>
      </c>
      <c r="G292" s="3">
        <f>Data!Q292</f>
        <v>1</v>
      </c>
      <c r="H292" s="19">
        <f>Data!BF292</f>
        <v>0</v>
      </c>
      <c r="I292" s="14">
        <f t="shared" si="60"/>
        <v>0</v>
      </c>
      <c r="J292" s="16">
        <f>Data!BS292</f>
        <v>4.5999999046325684</v>
      </c>
      <c r="K292" s="47">
        <f t="shared" si="61"/>
        <v>1</v>
      </c>
      <c r="M292" s="23">
        <f t="shared" si="58"/>
        <v>614.69999988079087</v>
      </c>
      <c r="N292" s="23">
        <f t="shared" si="59"/>
        <v>543.42999999999995</v>
      </c>
      <c r="P292" s="33"/>
      <c r="Q292" s="33"/>
      <c r="R292" s="34"/>
      <c r="S292" s="35"/>
      <c r="T292" s="35"/>
    </row>
    <row r="293" spans="1:20" x14ac:dyDescent="0.2">
      <c r="A293" s="40">
        <v>34986</v>
      </c>
      <c r="B293" s="3">
        <v>287</v>
      </c>
      <c r="C293" s="16">
        <f>ROUND(Data!BJ293,2)</f>
        <v>1.93</v>
      </c>
      <c r="D293" s="3">
        <f>ROUND(Data!R293,1)</f>
        <v>6.5</v>
      </c>
      <c r="E293" s="3">
        <f>ROUND(Data!AF293,1)</f>
        <v>0.1</v>
      </c>
      <c r="F293" s="23">
        <f>Data!BO293</f>
        <v>92.5</v>
      </c>
      <c r="G293" s="3">
        <f>Data!Q293</f>
        <v>26</v>
      </c>
      <c r="H293" s="19">
        <f>Data!BF293</f>
        <v>0</v>
      </c>
      <c r="I293" s="14">
        <f t="shared" si="60"/>
        <v>0</v>
      </c>
      <c r="J293" s="16">
        <f>Data!BS293</f>
        <v>17.799999237060547</v>
      </c>
      <c r="K293" s="47">
        <f t="shared" si="61"/>
        <v>26</v>
      </c>
      <c r="M293" s="23">
        <f t="shared" si="58"/>
        <v>632.49999911785142</v>
      </c>
      <c r="N293" s="23">
        <f t="shared" si="59"/>
        <v>569.42999999999995</v>
      </c>
      <c r="P293" s="33"/>
      <c r="Q293" s="33"/>
      <c r="R293" s="34"/>
      <c r="S293" s="35"/>
      <c r="T293" s="35"/>
    </row>
    <row r="294" spans="1:20" x14ac:dyDescent="0.2">
      <c r="A294" s="40">
        <v>34987</v>
      </c>
      <c r="B294" s="3">
        <v>288</v>
      </c>
      <c r="C294" s="16">
        <f>ROUND(Data!BJ294,2)</f>
        <v>3.31</v>
      </c>
      <c r="D294" s="3">
        <f>ROUND(Data!R294,1)</f>
        <v>9.5</v>
      </c>
      <c r="E294" s="3">
        <f>ROUND(Data!AF294,1)</f>
        <v>1.8</v>
      </c>
      <c r="F294" s="23">
        <f>Data!BO294</f>
        <v>69.3</v>
      </c>
      <c r="G294" s="3">
        <f>Data!Q294</f>
        <v>3</v>
      </c>
      <c r="H294" s="19">
        <f>Data!BF294</f>
        <v>0</v>
      </c>
      <c r="I294" s="14">
        <f t="shared" si="60"/>
        <v>0</v>
      </c>
      <c r="J294" s="16">
        <f>Data!BS294</f>
        <v>0.30000001192092896</v>
      </c>
      <c r="K294" s="47">
        <f t="shared" si="61"/>
        <v>3</v>
      </c>
      <c r="M294" s="23">
        <f t="shared" si="58"/>
        <v>632.79999912977235</v>
      </c>
      <c r="N294" s="23">
        <f t="shared" si="59"/>
        <v>572.42999999999995</v>
      </c>
      <c r="P294" s="33"/>
      <c r="Q294" s="33"/>
      <c r="R294" s="34"/>
      <c r="S294" s="35"/>
      <c r="T294" s="35"/>
    </row>
    <row r="295" spans="1:20" x14ac:dyDescent="0.2">
      <c r="A295" s="40">
        <v>34988</v>
      </c>
      <c r="B295" s="3">
        <v>289</v>
      </c>
      <c r="C295" s="16">
        <f>ROUND(Data!BJ295,2)</f>
        <v>2.93</v>
      </c>
      <c r="D295" s="3">
        <f>ROUND(Data!R295,1)</f>
        <v>5.5</v>
      </c>
      <c r="E295" s="3">
        <f>ROUND(Data!AF295,1)</f>
        <v>-0.2</v>
      </c>
      <c r="F295" s="23">
        <f>Data!BO295</f>
        <v>76.7</v>
      </c>
      <c r="G295" s="3">
        <f>Data!Q295</f>
        <v>9</v>
      </c>
      <c r="H295" s="19">
        <f>Data!BF295</f>
        <v>0</v>
      </c>
      <c r="I295" s="14">
        <f t="shared" si="60"/>
        <v>0</v>
      </c>
      <c r="J295" s="16">
        <f>Data!BS295</f>
        <v>9.3999996185302734</v>
      </c>
      <c r="K295" s="47">
        <f t="shared" si="61"/>
        <v>9</v>
      </c>
      <c r="M295" s="23">
        <f t="shared" si="58"/>
        <v>642.19999874830262</v>
      </c>
      <c r="N295" s="23">
        <f t="shared" si="59"/>
        <v>581.42999999999995</v>
      </c>
      <c r="P295" s="33"/>
      <c r="Q295" s="33"/>
      <c r="R295" s="34"/>
      <c r="S295" s="35"/>
      <c r="T295" s="35"/>
    </row>
    <row r="296" spans="1:20" x14ac:dyDescent="0.2">
      <c r="A296" s="40">
        <v>34989</v>
      </c>
      <c r="B296" s="3">
        <v>290</v>
      </c>
      <c r="C296" s="16">
        <f>ROUND(Data!BJ296,2)</f>
        <v>1.34</v>
      </c>
      <c r="D296" s="3">
        <f>ROUND(Data!R296,1)</f>
        <v>3.4</v>
      </c>
      <c r="E296" s="3">
        <f>ROUND(Data!AF296,1)</f>
        <v>0.1</v>
      </c>
      <c r="F296" s="23">
        <f>Data!BO296</f>
        <v>85.5</v>
      </c>
      <c r="G296" s="3">
        <f>Data!Q296</f>
        <v>15</v>
      </c>
      <c r="H296" s="19">
        <f>Data!BF296</f>
        <v>0</v>
      </c>
      <c r="I296" s="14">
        <f t="shared" si="60"/>
        <v>0</v>
      </c>
      <c r="J296" s="16">
        <f>Data!BS296</f>
        <v>23.100000381469727</v>
      </c>
      <c r="K296" s="47">
        <f t="shared" si="61"/>
        <v>15</v>
      </c>
      <c r="M296" s="23">
        <f t="shared" si="58"/>
        <v>665.29999912977235</v>
      </c>
      <c r="N296" s="23">
        <f t="shared" si="59"/>
        <v>596.42999999999995</v>
      </c>
      <c r="P296" s="33"/>
      <c r="Q296" s="33"/>
      <c r="R296" s="34"/>
      <c r="S296" s="35"/>
      <c r="T296" s="35"/>
    </row>
    <row r="297" spans="1:20" x14ac:dyDescent="0.2">
      <c r="A297" s="40">
        <v>34990</v>
      </c>
      <c r="B297" s="42">
        <v>291</v>
      </c>
      <c r="C297" s="16">
        <f>ROUND(Data!BJ297,2)</f>
        <v>3.89</v>
      </c>
      <c r="D297" s="3">
        <f>ROUND(Data!R297,1)</f>
        <v>2.2999999999999998</v>
      </c>
      <c r="E297" s="3">
        <f>ROUND(Data!AF297,1)</f>
        <v>-5.3</v>
      </c>
      <c r="F297" s="23">
        <f>Data!BO297</f>
        <v>70.900000000000006</v>
      </c>
      <c r="G297" s="3">
        <f>Data!Q297</f>
        <v>1</v>
      </c>
      <c r="H297" s="19">
        <f>Data!BF297</f>
        <v>0</v>
      </c>
      <c r="I297" s="14">
        <f t="shared" si="60"/>
        <v>0</v>
      </c>
      <c r="J297" s="16">
        <f>Data!BS297</f>
        <v>2.5</v>
      </c>
      <c r="K297" s="47">
        <f t="shared" si="61"/>
        <v>1</v>
      </c>
      <c r="M297" s="23">
        <f t="shared" si="58"/>
        <v>667.79999912977235</v>
      </c>
      <c r="N297" s="23">
        <f t="shared" si="59"/>
        <v>597.42999999999995</v>
      </c>
      <c r="P297" s="33"/>
      <c r="Q297" s="33"/>
      <c r="R297" s="34"/>
      <c r="S297" s="35"/>
      <c r="T297" s="35"/>
    </row>
    <row r="298" spans="1:20" x14ac:dyDescent="0.2">
      <c r="A298" s="40">
        <v>34991</v>
      </c>
      <c r="B298" s="42">
        <v>292</v>
      </c>
      <c r="C298" s="16">
        <f>ROUND(Data!BJ298,2)</f>
        <v>9.66</v>
      </c>
      <c r="D298" s="3">
        <f>ROUND(Data!R298,1)</f>
        <v>6.3</v>
      </c>
      <c r="E298" s="3">
        <f>ROUND(Data!AF298,1)</f>
        <v>-6.5</v>
      </c>
      <c r="F298" s="23">
        <f>Data!BO298</f>
        <v>45.7</v>
      </c>
      <c r="G298" s="3">
        <f>Data!Q298</f>
        <v>5</v>
      </c>
      <c r="H298" s="19">
        <f>Data!BF298</f>
        <v>0</v>
      </c>
      <c r="I298" s="14">
        <f t="shared" si="60"/>
        <v>0</v>
      </c>
      <c r="J298" s="16">
        <f>Data!BS298</f>
        <v>0.5</v>
      </c>
      <c r="K298" s="47">
        <f t="shared" si="61"/>
        <v>5</v>
      </c>
      <c r="M298" s="23">
        <f t="shared" si="58"/>
        <v>668.29999912977235</v>
      </c>
      <c r="N298" s="23">
        <f t="shared" si="59"/>
        <v>602.42999999999995</v>
      </c>
      <c r="P298" s="33"/>
      <c r="Q298" s="33"/>
      <c r="R298" s="34"/>
      <c r="S298" s="35"/>
      <c r="T298" s="35"/>
    </row>
    <row r="299" spans="1:20" x14ac:dyDescent="0.2">
      <c r="A299" s="40">
        <v>34992</v>
      </c>
      <c r="B299" s="42">
        <v>293</v>
      </c>
      <c r="C299" s="16">
        <f>ROUND(Data!BJ299,2)</f>
        <v>4.74</v>
      </c>
      <c r="D299" s="3">
        <f>ROUND(Data!R299,1)</f>
        <v>3.9</v>
      </c>
      <c r="E299" s="3">
        <f>ROUND(Data!AF299,1)</f>
        <v>-1.9</v>
      </c>
      <c r="F299" s="23">
        <f>Data!BO299</f>
        <v>43.9</v>
      </c>
      <c r="G299" s="3">
        <f>Data!Q299</f>
        <v>2</v>
      </c>
      <c r="H299" s="19">
        <f>Data!BF299</f>
        <v>0</v>
      </c>
      <c r="I299" s="14">
        <f t="shared" si="60"/>
        <v>0</v>
      </c>
      <c r="J299" s="16">
        <f>Data!BS299</f>
        <v>3.2999999523162842</v>
      </c>
      <c r="K299" s="47">
        <f t="shared" si="61"/>
        <v>2</v>
      </c>
      <c r="M299" s="23">
        <f t="shared" si="58"/>
        <v>671.59999908208863</v>
      </c>
      <c r="N299" s="23">
        <f t="shared" si="59"/>
        <v>604.42999999999995</v>
      </c>
      <c r="P299" s="33"/>
      <c r="Q299" s="33"/>
      <c r="R299" s="34"/>
      <c r="S299" s="35"/>
      <c r="T299" s="35"/>
    </row>
    <row r="300" spans="1:20" x14ac:dyDescent="0.2">
      <c r="A300" s="40">
        <v>34993</v>
      </c>
      <c r="B300" s="42">
        <v>294</v>
      </c>
      <c r="C300" s="16">
        <f>ROUND(Data!BJ300,2)</f>
        <v>5.86</v>
      </c>
      <c r="D300" s="3">
        <f>ROUND(Data!R300,1)</f>
        <v>1.9</v>
      </c>
      <c r="E300" s="3">
        <f>ROUND(Data!AF300,1)</f>
        <v>-3.6</v>
      </c>
      <c r="F300" s="23">
        <f>Data!BO300</f>
        <v>72.3</v>
      </c>
      <c r="G300" s="3">
        <f>Data!Q300</f>
        <v>0</v>
      </c>
      <c r="H300" s="19">
        <f>Data!BF300</f>
        <v>0</v>
      </c>
      <c r="I300" s="14">
        <f t="shared" si="60"/>
        <v>0</v>
      </c>
      <c r="J300" s="16">
        <f>Data!BS300</f>
        <v>0</v>
      </c>
      <c r="K300" s="47">
        <f t="shared" si="61"/>
        <v>0</v>
      </c>
      <c r="M300" s="23">
        <f t="shared" si="58"/>
        <v>671.59999908208863</v>
      </c>
      <c r="N300" s="23">
        <f t="shared" si="59"/>
        <v>604.42999999999995</v>
      </c>
      <c r="P300" s="33"/>
      <c r="Q300" s="33"/>
      <c r="R300" s="34"/>
      <c r="S300" s="35"/>
      <c r="T300" s="35"/>
    </row>
    <row r="301" spans="1:20" x14ac:dyDescent="0.2">
      <c r="A301" s="40">
        <v>34994</v>
      </c>
      <c r="B301" s="42">
        <v>295</v>
      </c>
      <c r="C301" s="16">
        <f>ROUND(Data!BJ301,2)</f>
        <v>10.11</v>
      </c>
      <c r="D301" s="3">
        <f>ROUND(Data!R301,1)</f>
        <v>2.9</v>
      </c>
      <c r="E301" s="3">
        <f>ROUND(Data!AF301,1)</f>
        <v>-5</v>
      </c>
      <c r="F301" s="23">
        <f>Data!BO301</f>
        <v>56.6</v>
      </c>
      <c r="G301" s="3">
        <f>Data!Q301</f>
        <v>1</v>
      </c>
      <c r="H301" s="19">
        <f>Data!BF301</f>
        <v>0</v>
      </c>
      <c r="I301" s="14">
        <f t="shared" si="60"/>
        <v>0</v>
      </c>
      <c r="J301" s="16">
        <f>Data!BS301</f>
        <v>0</v>
      </c>
      <c r="K301" s="47">
        <f t="shared" si="61"/>
        <v>1</v>
      </c>
      <c r="M301" s="23">
        <f t="shared" si="58"/>
        <v>671.59999908208863</v>
      </c>
      <c r="N301" s="23">
        <f t="shared" si="59"/>
        <v>605.42999999999995</v>
      </c>
      <c r="P301" s="33"/>
      <c r="Q301" s="33"/>
      <c r="R301" s="34"/>
      <c r="S301" s="35"/>
      <c r="T301" s="35"/>
    </row>
    <row r="302" spans="1:20" x14ac:dyDescent="0.2">
      <c r="A302" s="40">
        <v>34995</v>
      </c>
      <c r="B302" s="42">
        <v>296</v>
      </c>
      <c r="C302" s="16">
        <f>ROUND(Data!BJ302,2)</f>
        <v>2.85</v>
      </c>
      <c r="D302" s="3">
        <f>ROUND(Data!R302,1)</f>
        <v>1.1000000000000001</v>
      </c>
      <c r="E302" s="3">
        <f>ROUND(Data!AF302,1)</f>
        <v>-2.8</v>
      </c>
      <c r="F302" s="23">
        <f>Data!BO302</f>
        <v>64.3</v>
      </c>
      <c r="G302" s="3">
        <f>Data!Q302</f>
        <v>0</v>
      </c>
      <c r="H302" s="19">
        <f>Data!BF302</f>
        <v>0</v>
      </c>
      <c r="I302" s="14">
        <f t="shared" si="60"/>
        <v>0</v>
      </c>
      <c r="J302" s="16">
        <f>Data!BS302</f>
        <v>0</v>
      </c>
      <c r="K302" s="47">
        <f t="shared" si="61"/>
        <v>0</v>
      </c>
      <c r="M302" s="23">
        <f t="shared" si="58"/>
        <v>671.59999908208863</v>
      </c>
      <c r="N302" s="23">
        <f t="shared" si="59"/>
        <v>605.42999999999995</v>
      </c>
      <c r="P302" s="33"/>
      <c r="Q302" s="33"/>
      <c r="R302" s="34"/>
      <c r="S302" s="35"/>
      <c r="T302" s="35"/>
    </row>
    <row r="303" spans="1:20" x14ac:dyDescent="0.2">
      <c r="A303" s="40">
        <v>34996</v>
      </c>
      <c r="B303" s="42">
        <v>297</v>
      </c>
      <c r="C303" s="16">
        <f>ROUND(Data!BJ303,2)</f>
        <v>4.05</v>
      </c>
      <c r="D303" s="3">
        <f>ROUND(Data!R303,1)</f>
        <v>1.3</v>
      </c>
      <c r="E303" s="3">
        <f>ROUND(Data!AF303,1)</f>
        <v>-1.8</v>
      </c>
      <c r="F303" s="23">
        <f>Data!BO303</f>
        <v>78.900000000000006</v>
      </c>
      <c r="G303" s="3">
        <f>Data!Q303</f>
        <v>2</v>
      </c>
      <c r="H303" s="19">
        <f>Data!BF303</f>
        <v>0</v>
      </c>
      <c r="I303" s="14">
        <f t="shared" si="60"/>
        <v>0</v>
      </c>
      <c r="J303" s="16">
        <f>Data!BS303</f>
        <v>2.7999999523162842</v>
      </c>
      <c r="K303" s="47">
        <f t="shared" si="61"/>
        <v>2</v>
      </c>
      <c r="M303" s="23">
        <f t="shared" si="58"/>
        <v>674.39999903440491</v>
      </c>
      <c r="N303" s="23">
        <f t="shared" si="59"/>
        <v>607.42999999999995</v>
      </c>
      <c r="P303" s="33"/>
      <c r="Q303" s="33"/>
      <c r="R303" s="34"/>
      <c r="S303" s="35"/>
      <c r="T303" s="35"/>
    </row>
    <row r="304" spans="1:20" x14ac:dyDescent="0.2">
      <c r="A304" s="40">
        <v>34997</v>
      </c>
      <c r="B304" s="42">
        <v>298</v>
      </c>
      <c r="C304" s="16">
        <f>ROUND(Data!BJ304,2)</f>
        <v>0.94</v>
      </c>
      <c r="D304" s="3">
        <f>ROUND(Data!R304,1)</f>
        <v>1.1000000000000001</v>
      </c>
      <c r="E304" s="3">
        <f>ROUND(Data!AF304,1)</f>
        <v>-1.9</v>
      </c>
      <c r="F304" s="23">
        <f>Data!BO304</f>
        <v>80.099999999999994</v>
      </c>
      <c r="G304" s="3">
        <f>Data!Q304</f>
        <v>0</v>
      </c>
      <c r="H304" s="19">
        <f>Data!BF304</f>
        <v>0</v>
      </c>
      <c r="I304" s="14">
        <f t="shared" si="60"/>
        <v>0</v>
      </c>
      <c r="J304" s="16">
        <f>Data!BS304</f>
        <v>2.7999999523162842</v>
      </c>
      <c r="K304" s="47">
        <f t="shared" si="61"/>
        <v>0</v>
      </c>
      <c r="M304" s="23">
        <f t="shared" si="58"/>
        <v>677.1999989867212</v>
      </c>
      <c r="N304" s="23">
        <f t="shared" si="59"/>
        <v>607.42999999999995</v>
      </c>
      <c r="P304" s="33"/>
      <c r="Q304" s="33"/>
      <c r="R304" s="34"/>
      <c r="S304" s="35"/>
      <c r="T304" s="35"/>
    </row>
    <row r="305" spans="1:20" x14ac:dyDescent="0.2">
      <c r="A305" s="40">
        <v>34998</v>
      </c>
      <c r="B305" s="42">
        <v>299</v>
      </c>
      <c r="C305" s="16">
        <f>ROUND(Data!BJ305,2)</f>
        <v>4.3499999999999996</v>
      </c>
      <c r="D305" s="3">
        <f>ROUND(Data!R305,1)</f>
        <v>3.2</v>
      </c>
      <c r="E305" s="3">
        <f>ROUND(Data!AF305,1)</f>
        <v>-1.7</v>
      </c>
      <c r="F305" s="23">
        <f>Data!BO305</f>
        <v>69.3</v>
      </c>
      <c r="G305" s="3">
        <f>Data!Q305</f>
        <v>2</v>
      </c>
      <c r="H305" s="19">
        <f>Data!BF305</f>
        <v>0</v>
      </c>
      <c r="I305" s="14">
        <f t="shared" si="60"/>
        <v>0</v>
      </c>
      <c r="J305" s="16">
        <f>Data!BS305</f>
        <v>13.5</v>
      </c>
      <c r="K305" s="47">
        <f t="shared" si="61"/>
        <v>2</v>
      </c>
      <c r="M305" s="23">
        <f t="shared" si="58"/>
        <v>690.6999989867212</v>
      </c>
      <c r="N305" s="23">
        <f t="shared" si="59"/>
        <v>609.42999999999995</v>
      </c>
      <c r="P305" s="33"/>
      <c r="Q305" s="33"/>
      <c r="R305" s="34"/>
      <c r="S305" s="35"/>
      <c r="T305" s="35"/>
    </row>
    <row r="306" spans="1:20" x14ac:dyDescent="0.2">
      <c r="A306" s="40">
        <v>34999</v>
      </c>
      <c r="B306" s="42">
        <v>300</v>
      </c>
      <c r="C306" s="16">
        <f>ROUND(Data!BJ306,2)</f>
        <v>3.4</v>
      </c>
      <c r="D306" s="3">
        <f>ROUND(Data!R306,1)</f>
        <v>0</v>
      </c>
      <c r="E306" s="3">
        <f>ROUND(Data!AF306,1)</f>
        <v>-7.8</v>
      </c>
      <c r="F306" s="23">
        <f>Data!BO306</f>
        <v>70.5</v>
      </c>
      <c r="G306" s="3">
        <f>Data!Q306</f>
        <v>1</v>
      </c>
      <c r="H306" s="19">
        <f>Data!BF306</f>
        <v>0</v>
      </c>
      <c r="I306" s="14">
        <f t="shared" si="60"/>
        <v>0</v>
      </c>
      <c r="J306" s="16">
        <f>Data!BS306</f>
        <v>0</v>
      </c>
      <c r="K306" s="47">
        <f t="shared" si="61"/>
        <v>1</v>
      </c>
      <c r="M306" s="23">
        <f t="shared" si="58"/>
        <v>690.6999989867212</v>
      </c>
      <c r="N306" s="23">
        <f t="shared" si="59"/>
        <v>610.42999999999995</v>
      </c>
      <c r="P306" s="33"/>
      <c r="Q306" s="33"/>
      <c r="R306" s="34"/>
      <c r="S306" s="35"/>
      <c r="T306" s="35"/>
    </row>
    <row r="307" spans="1:20" x14ac:dyDescent="0.2">
      <c r="A307" s="40">
        <v>35000</v>
      </c>
      <c r="B307" s="42">
        <v>301</v>
      </c>
      <c r="C307" s="16">
        <f>ROUND(Data!BJ307,2)</f>
        <v>6.29</v>
      </c>
      <c r="D307" s="3">
        <f>ROUND(Data!R307,1)</f>
        <v>0.2</v>
      </c>
      <c r="E307" s="3">
        <f>ROUND(Data!AF307,1)</f>
        <v>-12.7</v>
      </c>
      <c r="F307" s="23">
        <f>Data!BO307</f>
        <v>57.4</v>
      </c>
      <c r="G307" s="3">
        <f>Data!Q307</f>
        <v>1</v>
      </c>
      <c r="H307" s="19">
        <f>Data!BF307</f>
        <v>0</v>
      </c>
      <c r="I307" s="14">
        <f t="shared" si="60"/>
        <v>0</v>
      </c>
      <c r="J307" s="16">
        <f>Data!BS307</f>
        <v>0.30000001192092896</v>
      </c>
      <c r="K307" s="47">
        <f t="shared" si="61"/>
        <v>1</v>
      </c>
      <c r="M307" s="23">
        <f t="shared" si="58"/>
        <v>690.99999899864213</v>
      </c>
      <c r="N307" s="23">
        <f t="shared" si="59"/>
        <v>611.42999999999995</v>
      </c>
      <c r="P307" s="32">
        <v>1</v>
      </c>
      <c r="Q307" s="20"/>
      <c r="R307" s="19">
        <f t="shared" ref="R307:R310" si="62">Q307*H307</f>
        <v>0</v>
      </c>
      <c r="S307" s="23"/>
      <c r="T307" s="23"/>
    </row>
    <row r="308" spans="1:20" x14ac:dyDescent="0.2">
      <c r="A308" s="40">
        <v>35001</v>
      </c>
      <c r="B308" s="42">
        <v>302</v>
      </c>
      <c r="C308" s="16">
        <f>ROUND(Data!BJ308,2)</f>
        <v>10.02</v>
      </c>
      <c r="D308" s="3">
        <f>ROUND(Data!R308,1)</f>
        <v>-0.3</v>
      </c>
      <c r="E308" s="3">
        <f>ROUND(Data!AF308,1)</f>
        <v>-14.7</v>
      </c>
      <c r="F308" s="23">
        <f>Data!BO308</f>
        <v>41.2</v>
      </c>
      <c r="G308" s="3">
        <f>Data!Q308</f>
        <v>1</v>
      </c>
      <c r="H308" s="19">
        <f>Data!BF308</f>
        <v>10</v>
      </c>
      <c r="I308" s="14">
        <f t="shared" si="60"/>
        <v>1.3</v>
      </c>
      <c r="J308" s="16">
        <f>Data!BS308</f>
        <v>0</v>
      </c>
      <c r="K308" s="31">
        <f t="shared" ref="K308:K317" si="63">I308</f>
        <v>1.3</v>
      </c>
      <c r="M308" s="23">
        <f t="shared" si="58"/>
        <v>690.99999899864213</v>
      </c>
      <c r="N308" s="23">
        <f t="shared" si="59"/>
        <v>612.7299999999999</v>
      </c>
      <c r="P308" s="20">
        <f t="shared" ref="P308:P310" si="64">(R307+K308)/H308</f>
        <v>0.13</v>
      </c>
      <c r="Q308" s="20">
        <f t="shared" ref="Q308:Q310" si="65">IF(P308&gt;Q$1,Q$1,P308)</f>
        <v>0.13</v>
      </c>
      <c r="R308" s="19">
        <f t="shared" si="62"/>
        <v>1.3</v>
      </c>
      <c r="S308" s="23">
        <f t="shared" ref="S308:S310" si="66">R308-R307</f>
        <v>1.3</v>
      </c>
      <c r="T308" s="23">
        <f t="shared" ref="T308:T310" si="67">K308-S308</f>
        <v>0</v>
      </c>
    </row>
    <row r="309" spans="1:20" x14ac:dyDescent="0.2">
      <c r="A309" s="40">
        <v>35002</v>
      </c>
      <c r="B309" s="42">
        <v>303</v>
      </c>
      <c r="C309" s="16">
        <f>ROUND(Data!BJ309,2)</f>
        <v>4.37</v>
      </c>
      <c r="D309" s="3">
        <f>ROUND(Data!R309,1)</f>
        <v>-5.0999999999999996</v>
      </c>
      <c r="E309" s="3">
        <f>ROUND(Data!AF309,1)</f>
        <v>-16.8</v>
      </c>
      <c r="F309" s="23">
        <f>Data!BO309</f>
        <v>82</v>
      </c>
      <c r="G309" s="3">
        <f>Data!Q309</f>
        <v>0</v>
      </c>
      <c r="H309" s="19">
        <f>Data!BF309</f>
        <v>10</v>
      </c>
      <c r="I309" s="14">
        <f t="shared" si="60"/>
        <v>0</v>
      </c>
      <c r="J309" s="16">
        <f>Data!BS309</f>
        <v>0</v>
      </c>
      <c r="K309" s="31">
        <f t="shared" si="63"/>
        <v>0</v>
      </c>
      <c r="M309" s="23">
        <f t="shared" si="58"/>
        <v>690.99999899864213</v>
      </c>
      <c r="N309" s="23">
        <f t="shared" si="59"/>
        <v>612.7299999999999</v>
      </c>
      <c r="P309" s="20">
        <f t="shared" si="64"/>
        <v>0.13</v>
      </c>
      <c r="Q309" s="20">
        <f t="shared" si="65"/>
        <v>0.13</v>
      </c>
      <c r="R309" s="19">
        <f t="shared" si="62"/>
        <v>1.3</v>
      </c>
      <c r="S309" s="23">
        <f t="shared" si="66"/>
        <v>0</v>
      </c>
      <c r="T309" s="23">
        <f t="shared" si="67"/>
        <v>0</v>
      </c>
    </row>
    <row r="310" spans="1:20" x14ac:dyDescent="0.2">
      <c r="A310" s="40">
        <v>35003</v>
      </c>
      <c r="B310" s="42">
        <v>304</v>
      </c>
      <c r="C310" s="16">
        <f>ROUND(Data!BJ310,2)</f>
        <v>9.41</v>
      </c>
      <c r="D310" s="3">
        <f>ROUND(Data!R310,1)</f>
        <v>-2.9</v>
      </c>
      <c r="E310" s="3">
        <f>ROUND(Data!AF310,1)</f>
        <v>-17</v>
      </c>
      <c r="F310" s="23">
        <f>Data!BO310</f>
        <v>42.8</v>
      </c>
      <c r="G310" s="3">
        <f>Data!Q310</f>
        <v>0</v>
      </c>
      <c r="H310" s="19">
        <f>Data!BF310</f>
        <v>10</v>
      </c>
      <c r="I310" s="14">
        <f t="shared" si="60"/>
        <v>0</v>
      </c>
      <c r="J310" s="16">
        <f>Data!BS310</f>
        <v>0</v>
      </c>
      <c r="K310" s="31">
        <f t="shared" si="63"/>
        <v>0</v>
      </c>
      <c r="M310" s="23">
        <f t="shared" si="58"/>
        <v>690.99999899864213</v>
      </c>
      <c r="N310" s="23">
        <f t="shared" si="59"/>
        <v>612.7299999999999</v>
      </c>
      <c r="P310" s="20">
        <f t="shared" si="64"/>
        <v>0.13</v>
      </c>
      <c r="Q310" s="20">
        <f t="shared" si="65"/>
        <v>0.13</v>
      </c>
      <c r="R310" s="19">
        <f t="shared" si="62"/>
        <v>1.3</v>
      </c>
      <c r="S310" s="23">
        <f t="shared" si="66"/>
        <v>0</v>
      </c>
      <c r="T310" s="23">
        <f t="shared" si="67"/>
        <v>0</v>
      </c>
    </row>
    <row r="311" spans="1:20" x14ac:dyDescent="0.2">
      <c r="A311" s="40">
        <v>35004</v>
      </c>
      <c r="B311" s="42">
        <v>305</v>
      </c>
      <c r="C311" s="16">
        <f>ROUND(Data!BJ311,2)</f>
        <v>9.1300000000000008</v>
      </c>
      <c r="D311" s="3">
        <f>ROUND(Data!R311,1)</f>
        <v>-4.0999999999999996</v>
      </c>
      <c r="E311" s="3">
        <f>ROUND(Data!AF311,1)</f>
        <v>-19.5</v>
      </c>
      <c r="F311" s="23">
        <f>Data!BO311</f>
        <v>59.2</v>
      </c>
      <c r="G311" s="3">
        <f>Data!Q311</f>
        <v>0</v>
      </c>
      <c r="H311" s="19">
        <f>Data!BF311</f>
        <v>10</v>
      </c>
      <c r="I311" s="14">
        <f t="shared" si="60"/>
        <v>0</v>
      </c>
      <c r="J311" s="16">
        <f>Data!BS311</f>
        <v>0</v>
      </c>
      <c r="K311" s="31">
        <f t="shared" si="63"/>
        <v>0</v>
      </c>
      <c r="M311" s="23">
        <f t="shared" si="58"/>
        <v>690.99999899864213</v>
      </c>
      <c r="N311" s="23">
        <f t="shared" si="59"/>
        <v>612.7299999999999</v>
      </c>
      <c r="P311" s="20">
        <f t="shared" ref="P311:P371" si="68">(R310+K311)/H311</f>
        <v>0.13</v>
      </c>
      <c r="Q311" s="20">
        <f t="shared" ref="Q311:Q371" si="69">IF(P311&gt;Q$1,Q$1,P311)</f>
        <v>0.13</v>
      </c>
      <c r="R311" s="19">
        <f t="shared" ref="R311:R371" si="70">Q311*H311</f>
        <v>1.3</v>
      </c>
      <c r="S311" s="23">
        <f t="shared" ref="S311:S371" si="71">R311-R310</f>
        <v>0</v>
      </c>
      <c r="T311" s="23">
        <f t="shared" ref="T311:T371" si="72">K311-S311</f>
        <v>0</v>
      </c>
    </row>
    <row r="312" spans="1:20" x14ac:dyDescent="0.2">
      <c r="A312" s="40">
        <v>35005</v>
      </c>
      <c r="B312" s="42">
        <v>306</v>
      </c>
      <c r="C312" s="16">
        <f>ROUND(Data!BJ312,2)</f>
        <v>8.8699999999999992</v>
      </c>
      <c r="D312" s="3">
        <f>ROUND(Data!R312,1)</f>
        <v>-2.4</v>
      </c>
      <c r="E312" s="3">
        <f>ROUND(Data!AF312,1)</f>
        <v>-17</v>
      </c>
      <c r="F312" s="23">
        <f>Data!BO312</f>
        <v>45.2</v>
      </c>
      <c r="G312" s="3">
        <f>Data!Q312</f>
        <v>0</v>
      </c>
      <c r="H312" s="19">
        <f>Data!BF312</f>
        <v>10</v>
      </c>
      <c r="I312" s="14">
        <f t="shared" si="60"/>
        <v>0</v>
      </c>
      <c r="J312" s="16">
        <f>Data!BS312</f>
        <v>0</v>
      </c>
      <c r="K312" s="31">
        <f t="shared" si="63"/>
        <v>0</v>
      </c>
      <c r="M312" s="23">
        <f t="shared" si="58"/>
        <v>690.99999899864213</v>
      </c>
      <c r="N312" s="23">
        <f t="shared" si="59"/>
        <v>612.7299999999999</v>
      </c>
      <c r="P312" s="20">
        <f t="shared" si="68"/>
        <v>0.13</v>
      </c>
      <c r="Q312" s="20">
        <f t="shared" si="69"/>
        <v>0.13</v>
      </c>
      <c r="R312" s="19">
        <f t="shared" si="70"/>
        <v>1.3</v>
      </c>
      <c r="S312" s="23">
        <f t="shared" si="71"/>
        <v>0</v>
      </c>
      <c r="T312" s="23">
        <f t="shared" si="72"/>
        <v>0</v>
      </c>
    </row>
    <row r="313" spans="1:20" x14ac:dyDescent="0.2">
      <c r="A313" s="40">
        <v>35006</v>
      </c>
      <c r="B313" s="42">
        <v>307</v>
      </c>
      <c r="C313" s="16">
        <f>ROUND(Data!BJ313,2)</f>
        <v>7.17</v>
      </c>
      <c r="D313" s="3">
        <f>ROUND(Data!R313,1)</f>
        <v>-1.4</v>
      </c>
      <c r="E313" s="3">
        <f>ROUND(Data!AF313,1)</f>
        <v>-15.7</v>
      </c>
      <c r="F313" s="23">
        <f>Data!BO313</f>
        <v>53.5</v>
      </c>
      <c r="G313" s="3">
        <f>Data!Q313</f>
        <v>0</v>
      </c>
      <c r="H313" s="19">
        <f>Data!BF313</f>
        <v>10</v>
      </c>
      <c r="I313" s="14">
        <f t="shared" si="60"/>
        <v>0</v>
      </c>
      <c r="J313" s="16">
        <f>Data!BS313</f>
        <v>0</v>
      </c>
      <c r="K313" s="31">
        <f t="shared" si="63"/>
        <v>0</v>
      </c>
      <c r="M313" s="23">
        <f t="shared" si="58"/>
        <v>690.99999899864213</v>
      </c>
      <c r="N313" s="23">
        <f t="shared" si="59"/>
        <v>612.7299999999999</v>
      </c>
      <c r="P313" s="20">
        <f t="shared" si="68"/>
        <v>0.13</v>
      </c>
      <c r="Q313" s="20">
        <f t="shared" si="69"/>
        <v>0.13</v>
      </c>
      <c r="R313" s="19">
        <f t="shared" si="70"/>
        <v>1.3</v>
      </c>
      <c r="S313" s="23">
        <f t="shared" si="71"/>
        <v>0</v>
      </c>
      <c r="T313" s="23">
        <f t="shared" si="72"/>
        <v>0</v>
      </c>
    </row>
    <row r="314" spans="1:20" x14ac:dyDescent="0.2">
      <c r="A314" s="40">
        <v>35007</v>
      </c>
      <c r="B314" s="42">
        <v>308</v>
      </c>
      <c r="C314" s="16">
        <f>ROUND(Data!BJ314,2)</f>
        <v>1.56</v>
      </c>
      <c r="D314" s="3">
        <f>ROUND(Data!R314,1)</f>
        <v>-2.4</v>
      </c>
      <c r="E314" s="3">
        <f>ROUND(Data!AF314,1)</f>
        <v>-10.4</v>
      </c>
      <c r="F314" s="23">
        <f>Data!BO314</f>
        <v>64.900000000000006</v>
      </c>
      <c r="G314" s="3">
        <f>Data!Q314</f>
        <v>0</v>
      </c>
      <c r="H314" s="19">
        <f>Data!BF314</f>
        <v>10</v>
      </c>
      <c r="I314" s="14">
        <f t="shared" si="60"/>
        <v>0</v>
      </c>
      <c r="J314" s="16">
        <f>Data!BS314</f>
        <v>0</v>
      </c>
      <c r="K314" s="31">
        <f t="shared" si="63"/>
        <v>0</v>
      </c>
      <c r="M314" s="23">
        <f t="shared" si="58"/>
        <v>690.99999899864213</v>
      </c>
      <c r="N314" s="23">
        <f t="shared" si="59"/>
        <v>612.7299999999999</v>
      </c>
      <c r="P314" s="20">
        <f t="shared" si="68"/>
        <v>0.13</v>
      </c>
      <c r="Q314" s="20">
        <f t="shared" si="69"/>
        <v>0.13</v>
      </c>
      <c r="R314" s="19">
        <f t="shared" si="70"/>
        <v>1.3</v>
      </c>
      <c r="S314" s="23">
        <f t="shared" si="71"/>
        <v>0</v>
      </c>
      <c r="T314" s="23">
        <f t="shared" si="72"/>
        <v>0</v>
      </c>
    </row>
    <row r="315" spans="1:20" x14ac:dyDescent="0.2">
      <c r="A315" s="40">
        <v>35008</v>
      </c>
      <c r="B315" s="42">
        <v>309</v>
      </c>
      <c r="C315" s="16">
        <f>ROUND(Data!BJ315,2)</f>
        <v>0.74</v>
      </c>
      <c r="D315" s="3">
        <f>ROUND(Data!R315,1)</f>
        <v>-3.8</v>
      </c>
      <c r="E315" s="3">
        <f>ROUND(Data!AF315,1)</f>
        <v>-8.8000000000000007</v>
      </c>
      <c r="F315" s="23">
        <f>Data!BO315</f>
        <v>84.9</v>
      </c>
      <c r="G315" s="3">
        <f>Data!Q315</f>
        <v>0</v>
      </c>
      <c r="H315" s="19">
        <f>Data!BF315</f>
        <v>15</v>
      </c>
      <c r="I315" s="14">
        <f t="shared" si="60"/>
        <v>0.7</v>
      </c>
      <c r="J315" s="16">
        <f>Data!BS315</f>
        <v>0</v>
      </c>
      <c r="K315" s="31">
        <f t="shared" si="63"/>
        <v>0.7</v>
      </c>
      <c r="M315" s="23">
        <f t="shared" si="58"/>
        <v>690.99999899864213</v>
      </c>
      <c r="N315" s="23">
        <f t="shared" si="59"/>
        <v>613.42999999999995</v>
      </c>
      <c r="P315" s="20">
        <f t="shared" si="68"/>
        <v>0.13333333333333333</v>
      </c>
      <c r="Q315" s="20">
        <f t="shared" si="69"/>
        <v>0.13333333333333333</v>
      </c>
      <c r="R315" s="19">
        <f t="shared" si="70"/>
        <v>2</v>
      </c>
      <c r="S315" s="23">
        <f t="shared" si="71"/>
        <v>0.7</v>
      </c>
      <c r="T315" s="23">
        <f t="shared" si="72"/>
        <v>0</v>
      </c>
    </row>
    <row r="316" spans="1:20" x14ac:dyDescent="0.2">
      <c r="A316" s="40">
        <v>35009</v>
      </c>
      <c r="B316" s="42">
        <v>310</v>
      </c>
      <c r="C316" s="16">
        <f>ROUND(Data!BJ316,2)</f>
        <v>0.63</v>
      </c>
      <c r="D316" s="3">
        <f>ROUND(Data!R316,1)</f>
        <v>-5</v>
      </c>
      <c r="E316" s="3">
        <f>ROUND(Data!AF316,1)</f>
        <v>-11.7</v>
      </c>
      <c r="F316" s="23">
        <f>Data!BO316</f>
        <v>90</v>
      </c>
      <c r="G316" s="3">
        <f>Data!Q316</f>
        <v>0</v>
      </c>
      <c r="H316" s="19">
        <f>Data!BF316</f>
        <v>20</v>
      </c>
      <c r="I316" s="14">
        <f t="shared" si="60"/>
        <v>0.7</v>
      </c>
      <c r="J316" s="16">
        <f>Data!BS316</f>
        <v>0</v>
      </c>
      <c r="K316" s="31">
        <f t="shared" si="63"/>
        <v>0.7</v>
      </c>
      <c r="M316" s="23">
        <f t="shared" si="58"/>
        <v>690.99999899864213</v>
      </c>
      <c r="N316" s="23">
        <f t="shared" si="59"/>
        <v>614.13</v>
      </c>
      <c r="P316" s="20">
        <f t="shared" si="68"/>
        <v>0.13500000000000001</v>
      </c>
      <c r="Q316" s="20">
        <f t="shared" si="69"/>
        <v>0.13500000000000001</v>
      </c>
      <c r="R316" s="19">
        <f t="shared" si="70"/>
        <v>2.7</v>
      </c>
      <c r="S316" s="23">
        <f t="shared" si="71"/>
        <v>0.70000000000000018</v>
      </c>
      <c r="T316" s="23">
        <f t="shared" si="72"/>
        <v>0</v>
      </c>
    </row>
    <row r="317" spans="1:20" x14ac:dyDescent="0.2">
      <c r="A317" s="40">
        <v>35010</v>
      </c>
      <c r="B317" s="42">
        <v>311</v>
      </c>
      <c r="C317" s="16">
        <f>ROUND(Data!BJ317,2)</f>
        <v>0.51</v>
      </c>
      <c r="D317" s="3">
        <f>ROUND(Data!R317,1)</f>
        <v>-4.0999999999999996</v>
      </c>
      <c r="E317" s="3">
        <f>ROUND(Data!AF317,1)</f>
        <v>-13.6</v>
      </c>
      <c r="F317" s="23">
        <f>Data!BO317</f>
        <v>78.2</v>
      </c>
      <c r="G317" s="3">
        <f>Data!Q317</f>
        <v>0</v>
      </c>
      <c r="H317" s="19">
        <f>Data!BF317</f>
        <v>20</v>
      </c>
      <c r="I317" s="14">
        <f t="shared" si="60"/>
        <v>0</v>
      </c>
      <c r="J317" s="16">
        <f>Data!BS317</f>
        <v>4.5</v>
      </c>
      <c r="K317" s="31">
        <f t="shared" si="63"/>
        <v>0</v>
      </c>
      <c r="M317" s="23">
        <f t="shared" si="58"/>
        <v>695.49999899864213</v>
      </c>
      <c r="N317" s="23">
        <f t="shared" si="59"/>
        <v>614.13</v>
      </c>
      <c r="P317" s="20">
        <f t="shared" si="68"/>
        <v>0.13500000000000001</v>
      </c>
      <c r="Q317" s="20">
        <f t="shared" si="69"/>
        <v>0.13500000000000001</v>
      </c>
      <c r="R317" s="19">
        <f t="shared" si="70"/>
        <v>2.7</v>
      </c>
      <c r="S317" s="23">
        <f t="shared" si="71"/>
        <v>0</v>
      </c>
      <c r="T317" s="23">
        <f t="shared" si="72"/>
        <v>0</v>
      </c>
    </row>
    <row r="318" spans="1:20" x14ac:dyDescent="0.2">
      <c r="A318" s="40">
        <v>35011</v>
      </c>
      <c r="B318" s="42">
        <v>312</v>
      </c>
      <c r="C318" s="16">
        <f>ROUND(Data!BJ318,2)</f>
        <v>1.22</v>
      </c>
      <c r="D318" s="3">
        <f>ROUND(Data!R318,1)</f>
        <v>4.8</v>
      </c>
      <c r="E318" s="3">
        <f>ROUND(Data!AF318,1)</f>
        <v>-4.8</v>
      </c>
      <c r="F318" s="23">
        <f>Data!BO318</f>
        <v>87.2</v>
      </c>
      <c r="G318" s="3">
        <f>Data!Q318</f>
        <v>0</v>
      </c>
      <c r="H318" s="19">
        <f>Data!BF318</f>
        <v>50</v>
      </c>
      <c r="I318" s="14">
        <f t="shared" si="60"/>
        <v>3.9</v>
      </c>
      <c r="J318" s="16">
        <f>Data!BS318</f>
        <v>10.5</v>
      </c>
      <c r="K318" s="54">
        <f t="shared" ref="K318:K371" si="73">J318*L$3</f>
        <v>11.025</v>
      </c>
      <c r="M318" s="23">
        <f t="shared" si="58"/>
        <v>705.99999899864213</v>
      </c>
      <c r="N318" s="23">
        <f t="shared" si="59"/>
        <v>625.15499999999997</v>
      </c>
      <c r="P318" s="20">
        <f t="shared" si="68"/>
        <v>0.27450000000000002</v>
      </c>
      <c r="Q318" s="20">
        <f t="shared" si="69"/>
        <v>0.27450000000000002</v>
      </c>
      <c r="R318" s="19">
        <f t="shared" si="70"/>
        <v>13.725000000000001</v>
      </c>
      <c r="S318" s="23">
        <f t="shared" si="71"/>
        <v>11.025000000000002</v>
      </c>
      <c r="T318" s="23">
        <f t="shared" si="72"/>
        <v>0</v>
      </c>
    </row>
    <row r="319" spans="1:20" x14ac:dyDescent="0.2">
      <c r="A319" s="40">
        <v>35012</v>
      </c>
      <c r="B319" s="42">
        <v>313</v>
      </c>
      <c r="C319" s="16">
        <f>ROUND(Data!BJ319,2)</f>
        <v>2.9</v>
      </c>
      <c r="D319" s="3">
        <f>ROUND(Data!R319,1)</f>
        <v>-4.7</v>
      </c>
      <c r="E319" s="3">
        <f>ROUND(Data!AF319,1)</f>
        <v>-15.9</v>
      </c>
      <c r="F319" s="23">
        <f>Data!BO319</f>
        <v>89.1</v>
      </c>
      <c r="G319" s="3">
        <f>Data!Q319</f>
        <v>0</v>
      </c>
      <c r="H319" s="19">
        <f>Data!BF319</f>
        <v>50</v>
      </c>
      <c r="I319" s="14">
        <f t="shared" si="60"/>
        <v>0</v>
      </c>
      <c r="J319" s="16">
        <f>Data!BS319</f>
        <v>0</v>
      </c>
      <c r="K319" s="54">
        <f t="shared" si="73"/>
        <v>0</v>
      </c>
      <c r="M319" s="23">
        <f t="shared" si="58"/>
        <v>705.99999899864213</v>
      </c>
      <c r="N319" s="23">
        <f t="shared" si="59"/>
        <v>625.15499999999997</v>
      </c>
      <c r="P319" s="20">
        <f t="shared" si="68"/>
        <v>0.27450000000000002</v>
      </c>
      <c r="Q319" s="20">
        <f t="shared" si="69"/>
        <v>0.27450000000000002</v>
      </c>
      <c r="R319" s="19">
        <f t="shared" si="70"/>
        <v>13.725000000000001</v>
      </c>
      <c r="S319" s="23">
        <f t="shared" si="71"/>
        <v>0</v>
      </c>
      <c r="T319" s="23">
        <f t="shared" si="72"/>
        <v>0</v>
      </c>
    </row>
    <row r="320" spans="1:20" x14ac:dyDescent="0.2">
      <c r="A320" s="40">
        <v>35013</v>
      </c>
      <c r="B320" s="42">
        <v>314</v>
      </c>
      <c r="C320" s="16">
        <f>ROUND(Data!BJ320,2)</f>
        <v>4.2</v>
      </c>
      <c r="D320" s="3">
        <f>ROUND(Data!R320,1)</f>
        <v>-7.8</v>
      </c>
      <c r="E320" s="3">
        <f>ROUND(Data!AF320,1)</f>
        <v>-16.3</v>
      </c>
      <c r="F320" s="23">
        <f>Data!BO320</f>
        <v>87.1</v>
      </c>
      <c r="G320" s="3">
        <f>Data!Q320</f>
        <v>0</v>
      </c>
      <c r="H320" s="19">
        <f>Data!BF320</f>
        <v>50</v>
      </c>
      <c r="I320" s="14">
        <f t="shared" si="60"/>
        <v>0</v>
      </c>
      <c r="J320" s="16">
        <f>Data!BS320</f>
        <v>0</v>
      </c>
      <c r="K320" s="54">
        <f t="shared" si="73"/>
        <v>0</v>
      </c>
      <c r="M320" s="23">
        <f t="shared" si="58"/>
        <v>705.99999899864213</v>
      </c>
      <c r="N320" s="23">
        <f t="shared" si="59"/>
        <v>625.15499999999997</v>
      </c>
      <c r="P320" s="20">
        <f t="shared" si="68"/>
        <v>0.27450000000000002</v>
      </c>
      <c r="Q320" s="20">
        <f t="shared" si="69"/>
        <v>0.27450000000000002</v>
      </c>
      <c r="R320" s="19">
        <f t="shared" si="70"/>
        <v>13.725000000000001</v>
      </c>
      <c r="S320" s="23">
        <f t="shared" si="71"/>
        <v>0</v>
      </c>
      <c r="T320" s="23">
        <f t="shared" si="72"/>
        <v>0</v>
      </c>
    </row>
    <row r="321" spans="1:20" x14ac:dyDescent="0.2">
      <c r="A321" s="40">
        <v>35014</v>
      </c>
      <c r="B321" s="42">
        <v>315</v>
      </c>
      <c r="C321" s="16">
        <f>ROUND(Data!BJ321,2)</f>
        <v>4.58</v>
      </c>
      <c r="D321" s="3">
        <f>ROUND(Data!R321,1)</f>
        <v>0</v>
      </c>
      <c r="E321" s="3">
        <f>ROUND(Data!AF321,1)</f>
        <v>-7.8</v>
      </c>
      <c r="F321" s="23">
        <f>Data!BO321</f>
        <v>92.5</v>
      </c>
      <c r="G321" s="3">
        <f>Data!Q321</f>
        <v>0</v>
      </c>
      <c r="H321" s="65">
        <f>IF(K321&gt;0,ROUND(H320+K321/0.13,0),H320-20)</f>
        <v>220</v>
      </c>
      <c r="I321" s="14">
        <f t="shared" si="60"/>
        <v>22.1</v>
      </c>
      <c r="J321" s="16">
        <f>Data!BS321</f>
        <v>21</v>
      </c>
      <c r="K321" s="54">
        <f t="shared" si="73"/>
        <v>22.05</v>
      </c>
      <c r="M321" s="23">
        <f t="shared" si="58"/>
        <v>726.99999899864213</v>
      </c>
      <c r="N321" s="23">
        <f t="shared" si="59"/>
        <v>647.20499999999993</v>
      </c>
      <c r="P321" s="20">
        <f t="shared" si="68"/>
        <v>0.16261363636363638</v>
      </c>
      <c r="Q321" s="20">
        <f t="shared" si="69"/>
        <v>0.16261363636363638</v>
      </c>
      <c r="R321" s="19">
        <f t="shared" si="70"/>
        <v>35.775000000000006</v>
      </c>
      <c r="S321" s="23">
        <f t="shared" si="71"/>
        <v>22.050000000000004</v>
      </c>
      <c r="T321" s="23">
        <f t="shared" si="72"/>
        <v>0</v>
      </c>
    </row>
    <row r="322" spans="1:20" x14ac:dyDescent="0.2">
      <c r="A322" s="40">
        <v>35015</v>
      </c>
      <c r="B322" s="42">
        <v>316</v>
      </c>
      <c r="C322" s="16">
        <f>ROUND(Data!BJ322,2)</f>
        <v>4.83</v>
      </c>
      <c r="D322" s="3">
        <f>ROUND(Data!R322,1)</f>
        <v>0.3</v>
      </c>
      <c r="E322" s="3">
        <f>ROUND(Data!AF322,1)</f>
        <v>-3</v>
      </c>
      <c r="F322" s="23">
        <f>Data!BO322</f>
        <v>75.099999999999994</v>
      </c>
      <c r="G322" s="3">
        <f>Data!Q322</f>
        <v>0</v>
      </c>
      <c r="H322" s="65">
        <f t="shared" ref="H322:H371" si="74">IF(K322&gt;0,ROUND(H321+K322/0.13,0),H321-20)</f>
        <v>200</v>
      </c>
      <c r="I322" s="14">
        <f t="shared" si="60"/>
        <v>0</v>
      </c>
      <c r="J322" s="16">
        <f>Data!BS322</f>
        <v>0</v>
      </c>
      <c r="K322" s="54">
        <f t="shared" si="73"/>
        <v>0</v>
      </c>
      <c r="M322" s="23">
        <f t="shared" ref="M322:M371" si="75">J322+M321</f>
        <v>726.99999899864213</v>
      </c>
      <c r="N322" s="23">
        <f t="shared" ref="N322:N371" si="76">K322+N321</f>
        <v>647.20499999999993</v>
      </c>
      <c r="P322" s="20">
        <f t="shared" si="68"/>
        <v>0.17887500000000003</v>
      </c>
      <c r="Q322" s="20">
        <f t="shared" si="69"/>
        <v>0.17887500000000003</v>
      </c>
      <c r="R322" s="19">
        <f t="shared" si="70"/>
        <v>35.775000000000006</v>
      </c>
      <c r="S322" s="23">
        <f t="shared" si="71"/>
        <v>0</v>
      </c>
      <c r="T322" s="23">
        <f t="shared" si="72"/>
        <v>0</v>
      </c>
    </row>
    <row r="323" spans="1:20" x14ac:dyDescent="0.2">
      <c r="A323" s="40">
        <v>35016</v>
      </c>
      <c r="B323" s="42">
        <v>317</v>
      </c>
      <c r="C323" s="16">
        <f>ROUND(Data!BJ323,2)</f>
        <v>0.17</v>
      </c>
      <c r="D323" s="3">
        <f>ROUND(Data!R323,1)</f>
        <v>0.3</v>
      </c>
      <c r="E323" s="3">
        <f>ROUND(Data!AF323,1)</f>
        <v>-2.2000000000000002</v>
      </c>
      <c r="F323" s="23">
        <f>Data!BO323</f>
        <v>96.7</v>
      </c>
      <c r="G323" s="3">
        <f>Data!Q323</f>
        <v>0</v>
      </c>
      <c r="H323" s="65">
        <f t="shared" si="74"/>
        <v>271</v>
      </c>
      <c r="I323" s="14">
        <f t="shared" si="60"/>
        <v>9.1999999999999993</v>
      </c>
      <c r="J323" s="16">
        <f>Data!BS323</f>
        <v>8.8000000000000007</v>
      </c>
      <c r="K323" s="49">
        <f t="shared" si="73"/>
        <v>9.240000000000002</v>
      </c>
      <c r="M323" s="23">
        <f t="shared" si="75"/>
        <v>735.79999899864208</v>
      </c>
      <c r="N323" s="23">
        <f t="shared" si="76"/>
        <v>656.44499999999994</v>
      </c>
      <c r="P323" s="20">
        <f t="shared" si="68"/>
        <v>0.16610701107011072</v>
      </c>
      <c r="Q323" s="20">
        <f t="shared" si="69"/>
        <v>0.16610701107011072</v>
      </c>
      <c r="R323" s="19">
        <f t="shared" si="70"/>
        <v>45.015000000000008</v>
      </c>
      <c r="S323" s="23">
        <f t="shared" si="71"/>
        <v>9.240000000000002</v>
      </c>
      <c r="T323" s="23">
        <f t="shared" si="72"/>
        <v>0</v>
      </c>
    </row>
    <row r="324" spans="1:20" x14ac:dyDescent="0.2">
      <c r="A324" s="40">
        <v>35017</v>
      </c>
      <c r="B324" s="42">
        <v>318</v>
      </c>
      <c r="C324" s="16">
        <f>ROUND(Data!BJ324,2)</f>
        <v>1.43</v>
      </c>
      <c r="D324" s="3">
        <f>ROUND(Data!R324,1)</f>
        <v>3.5</v>
      </c>
      <c r="E324" s="3">
        <f>ROUND(Data!AF324,1)</f>
        <v>0.2</v>
      </c>
      <c r="F324" s="23">
        <f>Data!BO324</f>
        <v>94</v>
      </c>
      <c r="G324" s="3">
        <f>Data!Q324</f>
        <v>0</v>
      </c>
      <c r="H324" s="65">
        <f t="shared" si="74"/>
        <v>296</v>
      </c>
      <c r="I324" s="14">
        <f t="shared" si="60"/>
        <v>3.3</v>
      </c>
      <c r="J324" s="16">
        <f>Data!BS324</f>
        <v>3.1</v>
      </c>
      <c r="K324" s="49">
        <f t="shared" si="73"/>
        <v>3.2550000000000003</v>
      </c>
      <c r="M324" s="23">
        <f t="shared" si="75"/>
        <v>738.8999989986421</v>
      </c>
      <c r="N324" s="23">
        <f t="shared" si="76"/>
        <v>659.69999999999993</v>
      </c>
      <c r="P324" s="20">
        <f t="shared" si="68"/>
        <v>0.16307432432432437</v>
      </c>
      <c r="Q324" s="20">
        <f t="shared" si="69"/>
        <v>0.16307432432432437</v>
      </c>
      <c r="R324" s="19">
        <f t="shared" si="70"/>
        <v>48.27000000000001</v>
      </c>
      <c r="S324" s="23">
        <f t="shared" si="71"/>
        <v>3.2550000000000026</v>
      </c>
      <c r="T324" s="23">
        <f t="shared" si="72"/>
        <v>0</v>
      </c>
    </row>
    <row r="325" spans="1:20" x14ac:dyDescent="0.2">
      <c r="A325" s="40">
        <v>35018</v>
      </c>
      <c r="B325" s="42">
        <v>319</v>
      </c>
      <c r="C325" s="16">
        <f>ROUND(Data!BJ325,2)</f>
        <v>2.9</v>
      </c>
      <c r="D325" s="3">
        <f>ROUND(Data!R325,1)</f>
        <v>6.5</v>
      </c>
      <c r="E325" s="3">
        <f>ROUND(Data!AF325,1)</f>
        <v>0</v>
      </c>
      <c r="F325" s="23">
        <f>Data!BO325</f>
        <v>77.400000000000006</v>
      </c>
      <c r="G325" s="3">
        <f>Data!Q325</f>
        <v>0</v>
      </c>
      <c r="H325" s="65">
        <f t="shared" si="74"/>
        <v>313</v>
      </c>
      <c r="I325" s="14">
        <f t="shared" si="60"/>
        <v>2.2000000000000002</v>
      </c>
      <c r="J325" s="16">
        <f>Data!BS325</f>
        <v>2.1</v>
      </c>
      <c r="K325" s="49">
        <f t="shared" si="73"/>
        <v>2.2050000000000001</v>
      </c>
      <c r="M325" s="23">
        <f t="shared" si="75"/>
        <v>740.99999899864213</v>
      </c>
      <c r="N325" s="23">
        <f t="shared" si="76"/>
        <v>661.90499999999997</v>
      </c>
      <c r="P325" s="20">
        <f t="shared" si="68"/>
        <v>0.16126198083067095</v>
      </c>
      <c r="Q325" s="20">
        <f t="shared" si="69"/>
        <v>0.16126198083067095</v>
      </c>
      <c r="R325" s="19">
        <f t="shared" si="70"/>
        <v>50.475000000000009</v>
      </c>
      <c r="S325" s="23">
        <f t="shared" si="71"/>
        <v>2.2049999999999983</v>
      </c>
      <c r="T325" s="23">
        <f t="shared" si="72"/>
        <v>0</v>
      </c>
    </row>
    <row r="326" spans="1:20" x14ac:dyDescent="0.2">
      <c r="A326" s="40">
        <v>35019</v>
      </c>
      <c r="B326" s="42">
        <v>320</v>
      </c>
      <c r="C326" s="16">
        <f>ROUND(Data!BJ326,2)</f>
        <v>4.7300000000000004</v>
      </c>
      <c r="D326" s="3">
        <f>ROUND(Data!R326,1)</f>
        <v>4.8</v>
      </c>
      <c r="E326" s="3">
        <f>ROUND(Data!AF326,1)</f>
        <v>0.2</v>
      </c>
      <c r="F326" s="23">
        <f>Data!BO326</f>
        <v>67.7</v>
      </c>
      <c r="G326" s="3">
        <f>Data!Q326</f>
        <v>0</v>
      </c>
      <c r="H326" s="65">
        <f t="shared" si="74"/>
        <v>319</v>
      </c>
      <c r="I326" s="14">
        <f t="shared" si="60"/>
        <v>0.8</v>
      </c>
      <c r="J326" s="16">
        <f>Data!BS326</f>
        <v>0.8</v>
      </c>
      <c r="K326" s="49">
        <f t="shared" si="73"/>
        <v>0.84000000000000008</v>
      </c>
      <c r="M326" s="23">
        <f t="shared" si="75"/>
        <v>741.79999899864208</v>
      </c>
      <c r="N326" s="23">
        <f t="shared" si="76"/>
        <v>662.745</v>
      </c>
      <c r="P326" s="20">
        <f t="shared" si="68"/>
        <v>0.16086206896551727</v>
      </c>
      <c r="Q326" s="20">
        <f t="shared" si="69"/>
        <v>0.16086206896551727</v>
      </c>
      <c r="R326" s="19">
        <f t="shared" si="70"/>
        <v>51.315000000000012</v>
      </c>
      <c r="S326" s="23">
        <f t="shared" si="71"/>
        <v>0.84000000000000341</v>
      </c>
      <c r="T326" s="23">
        <f t="shared" si="72"/>
        <v>-3.3306690738754696E-15</v>
      </c>
    </row>
    <row r="327" spans="1:20" x14ac:dyDescent="0.2">
      <c r="A327" s="40">
        <v>35020</v>
      </c>
      <c r="B327" s="42">
        <v>321</v>
      </c>
      <c r="C327" s="16">
        <f>ROUND(Data!BJ327,2)</f>
        <v>0.98</v>
      </c>
      <c r="D327" s="3">
        <f>ROUND(Data!R327,1)</f>
        <v>6.3</v>
      </c>
      <c r="E327" s="3">
        <f>ROUND(Data!AF327,1)</f>
        <v>0.4</v>
      </c>
      <c r="F327" s="23">
        <f>Data!BO327</f>
        <v>76.599999999999994</v>
      </c>
      <c r="G327" s="3">
        <f>Data!Q327</f>
        <v>0</v>
      </c>
      <c r="H327" s="65">
        <f t="shared" si="74"/>
        <v>352</v>
      </c>
      <c r="I327" s="14">
        <f t="shared" ref="I327:I371" si="77">IF(H327&gt;H326,ROUND((H327-H326)*I$1,1),0)</f>
        <v>4.3</v>
      </c>
      <c r="J327" s="16">
        <f>Data!BS327</f>
        <v>4.0999999999999996</v>
      </c>
      <c r="K327" s="49">
        <f t="shared" si="73"/>
        <v>4.3049999999999997</v>
      </c>
      <c r="M327" s="23">
        <f t="shared" si="75"/>
        <v>745.8999989986421</v>
      </c>
      <c r="N327" s="23">
        <f t="shared" si="76"/>
        <v>667.05</v>
      </c>
      <c r="P327" s="20">
        <f t="shared" si="68"/>
        <v>0.15801136363636367</v>
      </c>
      <c r="Q327" s="20">
        <f t="shared" si="69"/>
        <v>0.15801136363636367</v>
      </c>
      <c r="R327" s="19">
        <f t="shared" si="70"/>
        <v>55.620000000000012</v>
      </c>
      <c r="S327" s="23">
        <f t="shared" si="71"/>
        <v>4.3049999999999997</v>
      </c>
      <c r="T327" s="23">
        <f t="shared" si="72"/>
        <v>0</v>
      </c>
    </row>
    <row r="328" spans="1:20" x14ac:dyDescent="0.2">
      <c r="A328" s="40">
        <v>35021</v>
      </c>
      <c r="B328" s="42">
        <v>322</v>
      </c>
      <c r="C328" s="16">
        <f>ROUND(Data!BJ328,2)</f>
        <v>4.24</v>
      </c>
      <c r="D328" s="3">
        <f>ROUND(Data!R328,1)</f>
        <v>6.1</v>
      </c>
      <c r="E328" s="3">
        <f>ROUND(Data!AF328,1)</f>
        <v>-1.6</v>
      </c>
      <c r="F328" s="23">
        <f>Data!BO328</f>
        <v>59.5</v>
      </c>
      <c r="G328" s="3">
        <f>Data!Q328</f>
        <v>0</v>
      </c>
      <c r="H328" s="65">
        <f t="shared" si="74"/>
        <v>363</v>
      </c>
      <c r="I328" s="14">
        <f t="shared" si="77"/>
        <v>1.4</v>
      </c>
      <c r="J328" s="16">
        <f>Data!BS328</f>
        <v>1.4</v>
      </c>
      <c r="K328" s="49">
        <f t="shared" si="73"/>
        <v>1.47</v>
      </c>
      <c r="M328" s="23">
        <f t="shared" si="75"/>
        <v>747.29999899864208</v>
      </c>
      <c r="N328" s="23">
        <f t="shared" si="76"/>
        <v>668.52</v>
      </c>
      <c r="P328" s="20">
        <f t="shared" si="68"/>
        <v>0.15727272727272731</v>
      </c>
      <c r="Q328" s="20">
        <f t="shared" si="69"/>
        <v>0.15727272727272731</v>
      </c>
      <c r="R328" s="19">
        <f t="shared" si="70"/>
        <v>57.090000000000018</v>
      </c>
      <c r="S328" s="23">
        <f t="shared" si="71"/>
        <v>1.470000000000006</v>
      </c>
      <c r="T328" s="23">
        <f t="shared" si="72"/>
        <v>-5.9952043329758453E-15</v>
      </c>
    </row>
    <row r="329" spans="1:20" x14ac:dyDescent="0.2">
      <c r="A329" s="40">
        <v>35022</v>
      </c>
      <c r="B329" s="42">
        <v>323</v>
      </c>
      <c r="C329" s="16">
        <f>ROUND(Data!BJ329,2)</f>
        <v>6.57</v>
      </c>
      <c r="D329" s="3">
        <f>ROUND(Data!R329,1)</f>
        <v>3.4</v>
      </c>
      <c r="E329" s="3">
        <f>ROUND(Data!AF329,1)</f>
        <v>-11.2</v>
      </c>
      <c r="F329" s="23">
        <f>Data!BO329</f>
        <v>37.6</v>
      </c>
      <c r="G329" s="3">
        <f>Data!Q329</f>
        <v>0</v>
      </c>
      <c r="H329" s="65">
        <f t="shared" si="74"/>
        <v>371</v>
      </c>
      <c r="I329" s="14">
        <f t="shared" si="77"/>
        <v>1</v>
      </c>
      <c r="J329" s="16">
        <f>Data!BS329</f>
        <v>1</v>
      </c>
      <c r="K329" s="49">
        <f t="shared" si="73"/>
        <v>1.05</v>
      </c>
      <c r="M329" s="23">
        <f t="shared" si="75"/>
        <v>748.29999899864208</v>
      </c>
      <c r="N329" s="23">
        <f t="shared" si="76"/>
        <v>669.56999999999994</v>
      </c>
      <c r="P329" s="20">
        <f t="shared" si="68"/>
        <v>0.15671159029649601</v>
      </c>
      <c r="Q329" s="20">
        <f t="shared" si="69"/>
        <v>0.15671159029649601</v>
      </c>
      <c r="R329" s="19">
        <f t="shared" si="70"/>
        <v>58.140000000000015</v>
      </c>
      <c r="S329" s="23">
        <f t="shared" si="71"/>
        <v>1.0499999999999972</v>
      </c>
      <c r="T329" s="23">
        <f t="shared" si="72"/>
        <v>2.886579864025407E-15</v>
      </c>
    </row>
    <row r="330" spans="1:20" x14ac:dyDescent="0.2">
      <c r="A330" s="40">
        <v>35023</v>
      </c>
      <c r="B330" s="42">
        <v>324</v>
      </c>
      <c r="C330" s="16">
        <f>ROUND(Data!BJ330,2)</f>
        <v>6.55</v>
      </c>
      <c r="D330" s="3">
        <f>ROUND(Data!R330,1)</f>
        <v>9.1</v>
      </c>
      <c r="E330" s="3">
        <f>ROUND(Data!AF330,1)</f>
        <v>-12.2</v>
      </c>
      <c r="F330" s="23">
        <f>Data!BO330</f>
        <v>12.8</v>
      </c>
      <c r="G330" s="3">
        <f>Data!Q330</f>
        <v>0</v>
      </c>
      <c r="H330" s="65">
        <f t="shared" si="74"/>
        <v>351</v>
      </c>
      <c r="I330" s="14">
        <f t="shared" si="77"/>
        <v>0</v>
      </c>
      <c r="J330" s="16">
        <f>Data!BS330</f>
        <v>0</v>
      </c>
      <c r="K330" s="49">
        <f t="shared" si="73"/>
        <v>0</v>
      </c>
      <c r="M330" s="23">
        <f t="shared" si="75"/>
        <v>748.29999899864208</v>
      </c>
      <c r="N330" s="23">
        <f t="shared" si="76"/>
        <v>669.56999999999994</v>
      </c>
      <c r="P330" s="20">
        <f t="shared" si="68"/>
        <v>0.16564102564102567</v>
      </c>
      <c r="Q330" s="20">
        <f t="shared" si="69"/>
        <v>0.16564102564102567</v>
      </c>
      <c r="R330" s="19">
        <f t="shared" si="70"/>
        <v>58.140000000000015</v>
      </c>
      <c r="S330" s="23">
        <f t="shared" si="71"/>
        <v>0</v>
      </c>
      <c r="T330" s="23">
        <f t="shared" si="72"/>
        <v>0</v>
      </c>
    </row>
    <row r="331" spans="1:20" x14ac:dyDescent="0.2">
      <c r="A331" s="40">
        <v>35024</v>
      </c>
      <c r="B331" s="42">
        <v>325</v>
      </c>
      <c r="C331" s="16">
        <f>ROUND(Data!BJ331,2)</f>
        <v>1.92</v>
      </c>
      <c r="D331" s="3">
        <f>ROUND(Data!R331,1)</f>
        <v>5.2</v>
      </c>
      <c r="E331" s="3">
        <f>ROUND(Data!AF331,1)</f>
        <v>-6.2</v>
      </c>
      <c r="F331" s="23">
        <f>Data!BO331</f>
        <v>53.9</v>
      </c>
      <c r="G331" s="3">
        <f>Data!Q331</f>
        <v>0</v>
      </c>
      <c r="H331" s="65">
        <f t="shared" si="74"/>
        <v>331</v>
      </c>
      <c r="I331" s="14">
        <f t="shared" si="77"/>
        <v>0</v>
      </c>
      <c r="J331" s="16">
        <f>Data!BS331</f>
        <v>0</v>
      </c>
      <c r="K331" s="49">
        <f t="shared" si="73"/>
        <v>0</v>
      </c>
      <c r="M331" s="23">
        <f t="shared" si="75"/>
        <v>748.29999899864208</v>
      </c>
      <c r="N331" s="23">
        <f t="shared" si="76"/>
        <v>669.56999999999994</v>
      </c>
      <c r="P331" s="20">
        <f t="shared" si="68"/>
        <v>0.1756495468277946</v>
      </c>
      <c r="Q331" s="20">
        <f t="shared" si="69"/>
        <v>0.1756495468277946</v>
      </c>
      <c r="R331" s="19">
        <f t="shared" si="70"/>
        <v>58.140000000000015</v>
      </c>
      <c r="S331" s="23">
        <f t="shared" si="71"/>
        <v>0</v>
      </c>
      <c r="T331" s="23">
        <f t="shared" si="72"/>
        <v>0</v>
      </c>
    </row>
    <row r="332" spans="1:20" x14ac:dyDescent="0.2">
      <c r="A332" s="40">
        <v>35025</v>
      </c>
      <c r="B332" s="42">
        <v>326</v>
      </c>
      <c r="C332" s="16">
        <f>ROUND(Data!BJ332,2)</f>
        <v>1.1000000000000001</v>
      </c>
      <c r="D332" s="3">
        <f>ROUND(Data!R332,1)</f>
        <v>2.7</v>
      </c>
      <c r="E332" s="3">
        <f>ROUND(Data!AF332,1)</f>
        <v>-0.1</v>
      </c>
      <c r="F332" s="23">
        <f>Data!BO332</f>
        <v>92.3</v>
      </c>
      <c r="G332" s="3">
        <f>Data!Q332</f>
        <v>0</v>
      </c>
      <c r="H332" s="65">
        <f t="shared" si="74"/>
        <v>311</v>
      </c>
      <c r="I332" s="14">
        <f t="shared" si="77"/>
        <v>0</v>
      </c>
      <c r="J332" s="16">
        <f>Data!BS332</f>
        <v>0</v>
      </c>
      <c r="K332" s="49">
        <f t="shared" si="73"/>
        <v>0</v>
      </c>
      <c r="M332" s="23">
        <f t="shared" si="75"/>
        <v>748.29999899864208</v>
      </c>
      <c r="N332" s="23">
        <f t="shared" si="76"/>
        <v>669.56999999999994</v>
      </c>
      <c r="P332" s="20">
        <f t="shared" si="68"/>
        <v>0.18694533762057883</v>
      </c>
      <c r="Q332" s="20">
        <f t="shared" si="69"/>
        <v>0.18694533762057883</v>
      </c>
      <c r="R332" s="19">
        <f t="shared" si="70"/>
        <v>58.140000000000015</v>
      </c>
      <c r="S332" s="23">
        <f t="shared" si="71"/>
        <v>0</v>
      </c>
      <c r="T332" s="23">
        <f t="shared" si="72"/>
        <v>0</v>
      </c>
    </row>
    <row r="333" spans="1:20" x14ac:dyDescent="0.2">
      <c r="A333" s="40">
        <v>35026</v>
      </c>
      <c r="B333" s="42">
        <v>327</v>
      </c>
      <c r="C333" s="16">
        <f>ROUND(Data!BJ333,2)</f>
        <v>0.69</v>
      </c>
      <c r="D333" s="3">
        <f>ROUND(Data!R333,1)</f>
        <v>3.8</v>
      </c>
      <c r="E333" s="3">
        <f>ROUND(Data!AF333,1)</f>
        <v>-0.7</v>
      </c>
      <c r="F333" s="23">
        <f>Data!BO333</f>
        <v>85.5</v>
      </c>
      <c r="G333" s="3">
        <f>Data!Q333</f>
        <v>0</v>
      </c>
      <c r="H333" s="65">
        <f t="shared" si="74"/>
        <v>316</v>
      </c>
      <c r="I333" s="14">
        <f t="shared" si="77"/>
        <v>0.7</v>
      </c>
      <c r="J333" s="16">
        <f>Data!BS333</f>
        <v>0.6</v>
      </c>
      <c r="K333" s="49">
        <f t="shared" si="73"/>
        <v>0.63</v>
      </c>
      <c r="M333" s="23">
        <f t="shared" si="75"/>
        <v>748.8999989986421</v>
      </c>
      <c r="N333" s="23">
        <f t="shared" si="76"/>
        <v>670.19999999999993</v>
      </c>
      <c r="P333" s="20">
        <f t="shared" si="68"/>
        <v>0.18598101265822789</v>
      </c>
      <c r="Q333" s="20">
        <f t="shared" si="69"/>
        <v>0.18598101265822789</v>
      </c>
      <c r="R333" s="19">
        <f t="shared" si="70"/>
        <v>58.77000000000001</v>
      </c>
      <c r="S333" s="23">
        <f t="shared" si="71"/>
        <v>0.62999999999999545</v>
      </c>
      <c r="T333" s="23">
        <f t="shared" si="72"/>
        <v>4.5519144009631418E-15</v>
      </c>
    </row>
    <row r="334" spans="1:20" x14ac:dyDescent="0.2">
      <c r="A334" s="40">
        <v>35027</v>
      </c>
      <c r="B334" s="42">
        <v>328</v>
      </c>
      <c r="C334" s="16">
        <f>ROUND(Data!BJ334,2)</f>
        <v>2.78</v>
      </c>
      <c r="D334" s="3">
        <f>ROUND(Data!R334,1)</f>
        <v>5.0999999999999996</v>
      </c>
      <c r="E334" s="3">
        <f>ROUND(Data!AF334,1)</f>
        <v>0.4</v>
      </c>
      <c r="F334" s="23">
        <f>Data!BO334</f>
        <v>74.8</v>
      </c>
      <c r="G334" s="3">
        <f>Data!Q334</f>
        <v>0</v>
      </c>
      <c r="H334" s="65">
        <f t="shared" si="74"/>
        <v>411</v>
      </c>
      <c r="I334" s="14">
        <f t="shared" si="77"/>
        <v>12.4</v>
      </c>
      <c r="J334" s="16">
        <f>Data!BS334</f>
        <v>11.8</v>
      </c>
      <c r="K334" s="49">
        <f t="shared" si="73"/>
        <v>12.39</v>
      </c>
      <c r="M334" s="23">
        <f t="shared" si="75"/>
        <v>760.69999899864206</v>
      </c>
      <c r="N334" s="23">
        <f t="shared" si="76"/>
        <v>682.58999999999992</v>
      </c>
      <c r="P334" s="20">
        <f t="shared" si="68"/>
        <v>0.17313868613138689</v>
      </c>
      <c r="Q334" s="20">
        <f t="shared" si="69"/>
        <v>0.17313868613138689</v>
      </c>
      <c r="R334" s="19">
        <f t="shared" si="70"/>
        <v>71.160000000000011</v>
      </c>
      <c r="S334" s="23">
        <f t="shared" si="71"/>
        <v>12.39</v>
      </c>
      <c r="T334" s="23">
        <f t="shared" si="72"/>
        <v>0</v>
      </c>
    </row>
    <row r="335" spans="1:20" x14ac:dyDescent="0.2">
      <c r="A335" s="40">
        <v>35028</v>
      </c>
      <c r="B335" s="42">
        <v>329</v>
      </c>
      <c r="C335" s="16">
        <f>ROUND(Data!BJ335,2)</f>
        <v>1.52</v>
      </c>
      <c r="D335" s="3">
        <f>ROUND(Data!R335,1)</f>
        <v>3.1</v>
      </c>
      <c r="E335" s="3">
        <f>ROUND(Data!AF335,1)</f>
        <v>-3.5</v>
      </c>
      <c r="F335" s="23">
        <f>Data!BO335</f>
        <v>72.599999999999994</v>
      </c>
      <c r="G335" s="3">
        <f>Data!Q335</f>
        <v>0</v>
      </c>
      <c r="H335" s="65">
        <f t="shared" si="74"/>
        <v>420</v>
      </c>
      <c r="I335" s="14">
        <f t="shared" si="77"/>
        <v>1.2</v>
      </c>
      <c r="J335" s="16">
        <f>Data!BS335</f>
        <v>1.1000000000000001</v>
      </c>
      <c r="K335" s="49">
        <f t="shared" si="73"/>
        <v>1.1550000000000002</v>
      </c>
      <c r="M335" s="23">
        <f t="shared" si="75"/>
        <v>761.79999899864208</v>
      </c>
      <c r="N335" s="23">
        <f t="shared" si="76"/>
        <v>683.74499999999989</v>
      </c>
      <c r="P335" s="20">
        <f t="shared" si="68"/>
        <v>0.17217857142857146</v>
      </c>
      <c r="Q335" s="20">
        <f t="shared" si="69"/>
        <v>0.17217857142857146</v>
      </c>
      <c r="R335" s="19">
        <f t="shared" si="70"/>
        <v>72.315000000000012</v>
      </c>
      <c r="S335" s="23">
        <f t="shared" si="71"/>
        <v>1.1550000000000011</v>
      </c>
      <c r="T335" s="23">
        <f t="shared" si="72"/>
        <v>0</v>
      </c>
    </row>
    <row r="336" spans="1:20" x14ac:dyDescent="0.2">
      <c r="A336" s="40">
        <v>35029</v>
      </c>
      <c r="B336" s="42">
        <v>330</v>
      </c>
      <c r="C336" s="16">
        <f>ROUND(Data!BJ336,2)</f>
        <v>2.16</v>
      </c>
      <c r="D336" s="3">
        <f>ROUND(Data!R336,1)</f>
        <v>-0.9</v>
      </c>
      <c r="E336" s="3">
        <f>ROUND(Data!AF336,1)</f>
        <v>-3.3</v>
      </c>
      <c r="F336" s="23">
        <f>Data!BO336</f>
        <v>81.099999999999994</v>
      </c>
      <c r="G336" s="3">
        <f>Data!Q336</f>
        <v>0</v>
      </c>
      <c r="H336" s="65">
        <f t="shared" si="74"/>
        <v>436</v>
      </c>
      <c r="I336" s="14">
        <f t="shared" si="77"/>
        <v>2.1</v>
      </c>
      <c r="J336" s="16">
        <f>Data!BS336</f>
        <v>2</v>
      </c>
      <c r="K336" s="49">
        <f t="shared" si="73"/>
        <v>2.1</v>
      </c>
      <c r="M336" s="23">
        <f t="shared" si="75"/>
        <v>763.79999899864208</v>
      </c>
      <c r="N336" s="23">
        <f t="shared" si="76"/>
        <v>685.84499999999991</v>
      </c>
      <c r="P336" s="20">
        <f t="shared" si="68"/>
        <v>0.17067660550458716</v>
      </c>
      <c r="Q336" s="20">
        <f t="shared" si="69"/>
        <v>0.17067660550458716</v>
      </c>
      <c r="R336" s="19">
        <f t="shared" si="70"/>
        <v>74.415000000000006</v>
      </c>
      <c r="S336" s="23">
        <f t="shared" si="71"/>
        <v>2.0999999999999943</v>
      </c>
      <c r="T336" s="23">
        <f t="shared" si="72"/>
        <v>5.773159728050814E-15</v>
      </c>
    </row>
    <row r="337" spans="1:20" x14ac:dyDescent="0.2">
      <c r="A337" s="40">
        <v>35030</v>
      </c>
      <c r="B337" s="42">
        <v>331</v>
      </c>
      <c r="C337" s="16">
        <f>ROUND(Data!BJ337,2)</f>
        <v>0.81</v>
      </c>
      <c r="D337" s="3">
        <f>ROUND(Data!R337,1)</f>
        <v>-2.4</v>
      </c>
      <c r="E337" s="3">
        <f>ROUND(Data!AF337,1)</f>
        <v>-4.5999999999999996</v>
      </c>
      <c r="F337" s="23">
        <f>Data!BO337</f>
        <v>84</v>
      </c>
      <c r="G337" s="3">
        <f>Data!Q337</f>
        <v>0</v>
      </c>
      <c r="H337" s="65">
        <f t="shared" si="74"/>
        <v>642</v>
      </c>
      <c r="I337" s="14">
        <f t="shared" si="77"/>
        <v>26.8</v>
      </c>
      <c r="J337" s="16">
        <f>Data!BS337</f>
        <v>25.5</v>
      </c>
      <c r="K337" s="49">
        <f t="shared" si="73"/>
        <v>26.775000000000002</v>
      </c>
      <c r="M337" s="23">
        <f t="shared" si="75"/>
        <v>789.29999899864208</v>
      </c>
      <c r="N337" s="23">
        <f t="shared" si="76"/>
        <v>712.61999999999989</v>
      </c>
      <c r="P337" s="20">
        <f t="shared" si="68"/>
        <v>0.15761682242990657</v>
      </c>
      <c r="Q337" s="20">
        <f t="shared" si="69"/>
        <v>0.15761682242990657</v>
      </c>
      <c r="R337" s="19">
        <f t="shared" si="70"/>
        <v>101.19000000000003</v>
      </c>
      <c r="S337" s="23">
        <f t="shared" si="71"/>
        <v>26.77500000000002</v>
      </c>
      <c r="T337" s="23">
        <f t="shared" si="72"/>
        <v>0</v>
      </c>
    </row>
    <row r="338" spans="1:20" x14ac:dyDescent="0.2">
      <c r="A338" s="40">
        <v>35031</v>
      </c>
      <c r="B338" s="42">
        <v>332</v>
      </c>
      <c r="C338" s="16">
        <f>ROUND(Data!BJ338,2)</f>
        <v>0.22</v>
      </c>
      <c r="D338" s="3">
        <f>ROUND(Data!R338,1)</f>
        <v>4.5</v>
      </c>
      <c r="E338" s="3">
        <f>ROUND(Data!AF338,1)</f>
        <v>-3.7</v>
      </c>
      <c r="F338" s="23">
        <f>Data!BO338</f>
        <v>88.2</v>
      </c>
      <c r="G338" s="3">
        <f>Data!Q338</f>
        <v>0</v>
      </c>
      <c r="H338" s="65">
        <f t="shared" si="74"/>
        <v>696</v>
      </c>
      <c r="I338" s="14">
        <f t="shared" si="77"/>
        <v>7</v>
      </c>
      <c r="J338" s="16">
        <f>Data!BS338</f>
        <v>6.7</v>
      </c>
      <c r="K338" s="49">
        <f t="shared" si="73"/>
        <v>7.0350000000000001</v>
      </c>
      <c r="M338" s="23">
        <f t="shared" si="75"/>
        <v>795.99999899864213</v>
      </c>
      <c r="N338" s="23">
        <f t="shared" si="76"/>
        <v>719.65499999999986</v>
      </c>
      <c r="P338" s="20">
        <f t="shared" si="68"/>
        <v>0.15549568965517244</v>
      </c>
      <c r="Q338" s="20">
        <f t="shared" si="69"/>
        <v>0.15549568965517244</v>
      </c>
      <c r="R338" s="19">
        <f t="shared" si="70"/>
        <v>108.22500000000002</v>
      </c>
      <c r="S338" s="23">
        <f t="shared" si="71"/>
        <v>7.0349999999999966</v>
      </c>
      <c r="T338" s="23">
        <f t="shared" si="72"/>
        <v>0</v>
      </c>
    </row>
    <row r="339" spans="1:20" x14ac:dyDescent="0.2">
      <c r="A339" s="40">
        <v>35032</v>
      </c>
      <c r="B339" s="42">
        <v>333</v>
      </c>
      <c r="C339" s="16">
        <f>ROUND(Data!BJ339,2)</f>
        <v>2.0699999999999998</v>
      </c>
      <c r="D339" s="3">
        <f>ROUND(Data!R339,1)</f>
        <v>6.1</v>
      </c>
      <c r="E339" s="3">
        <f>ROUND(Data!AF339,1)</f>
        <v>1.7</v>
      </c>
      <c r="F339" s="23">
        <f>Data!BO339</f>
        <v>56.5</v>
      </c>
      <c r="G339" s="3">
        <f>Data!Q339</f>
        <v>0</v>
      </c>
      <c r="H339" s="65">
        <f t="shared" si="74"/>
        <v>725</v>
      </c>
      <c r="I339" s="14">
        <f t="shared" si="77"/>
        <v>3.8</v>
      </c>
      <c r="J339" s="16">
        <f>Data!BS339</f>
        <v>3.6</v>
      </c>
      <c r="K339" s="49">
        <f t="shared" si="73"/>
        <v>3.7800000000000002</v>
      </c>
      <c r="M339" s="23">
        <f t="shared" si="75"/>
        <v>799.59999899864215</v>
      </c>
      <c r="N339" s="23">
        <f t="shared" si="76"/>
        <v>723.43499999999983</v>
      </c>
      <c r="P339" s="20">
        <f t="shared" si="68"/>
        <v>0.15448965517241384</v>
      </c>
      <c r="Q339" s="20">
        <f t="shared" si="69"/>
        <v>0.15448965517241384</v>
      </c>
      <c r="R339" s="19">
        <f t="shared" si="70"/>
        <v>112.00500000000004</v>
      </c>
      <c r="S339" s="23">
        <f t="shared" si="71"/>
        <v>3.7800000000000153</v>
      </c>
      <c r="T339" s="23">
        <f t="shared" si="72"/>
        <v>-1.5099033134902129E-14</v>
      </c>
    </row>
    <row r="340" spans="1:20" x14ac:dyDescent="0.2">
      <c r="A340" s="40">
        <v>35033</v>
      </c>
      <c r="B340" s="42">
        <v>334</v>
      </c>
      <c r="C340" s="16">
        <f>ROUND(Data!BJ340,2)</f>
        <v>2.3199999999999998</v>
      </c>
      <c r="D340" s="3">
        <f>ROUND(Data!R340,1)</f>
        <v>1.9</v>
      </c>
      <c r="E340" s="3">
        <f>ROUND(Data!AF340,1)</f>
        <v>-0.2</v>
      </c>
      <c r="F340" s="23">
        <f>Data!BO340</f>
        <v>60.4</v>
      </c>
      <c r="G340" s="3">
        <f>Data!Q340</f>
        <v>0</v>
      </c>
      <c r="H340" s="65">
        <f t="shared" si="74"/>
        <v>705</v>
      </c>
      <c r="I340" s="14">
        <f t="shared" si="77"/>
        <v>0</v>
      </c>
      <c r="J340" s="16">
        <f>Data!BS340</f>
        <v>0</v>
      </c>
      <c r="K340" s="49">
        <f t="shared" si="73"/>
        <v>0</v>
      </c>
      <c r="M340" s="23">
        <f t="shared" si="75"/>
        <v>799.59999899864215</v>
      </c>
      <c r="N340" s="23">
        <f t="shared" si="76"/>
        <v>723.43499999999983</v>
      </c>
      <c r="P340" s="20">
        <f t="shared" si="68"/>
        <v>0.15887234042553197</v>
      </c>
      <c r="Q340" s="20">
        <f t="shared" si="69"/>
        <v>0.15887234042553197</v>
      </c>
      <c r="R340" s="19">
        <f t="shared" si="70"/>
        <v>112.00500000000004</v>
      </c>
      <c r="S340" s="23">
        <f t="shared" si="71"/>
        <v>0</v>
      </c>
      <c r="T340" s="23">
        <f t="shared" si="72"/>
        <v>0</v>
      </c>
    </row>
    <row r="341" spans="1:20" x14ac:dyDescent="0.2">
      <c r="A341" s="40">
        <v>35034</v>
      </c>
      <c r="B341" s="42">
        <v>335</v>
      </c>
      <c r="C341" s="16">
        <f>ROUND(Data!BJ341,2)</f>
        <v>2.99</v>
      </c>
      <c r="D341" s="3">
        <f>ROUND(Data!R341,1)</f>
        <v>0.1</v>
      </c>
      <c r="E341" s="3">
        <f>ROUND(Data!AF341,1)</f>
        <v>-4.9000000000000004</v>
      </c>
      <c r="F341" s="23">
        <f>Data!BO341</f>
        <v>51.8</v>
      </c>
      <c r="G341" s="3">
        <f>Data!Q341</f>
        <v>0</v>
      </c>
      <c r="H341" s="65">
        <f t="shared" si="74"/>
        <v>685</v>
      </c>
      <c r="I341" s="14">
        <f t="shared" si="77"/>
        <v>0</v>
      </c>
      <c r="J341" s="16">
        <f>Data!BS341</f>
        <v>0</v>
      </c>
      <c r="K341" s="54">
        <f t="shared" si="73"/>
        <v>0</v>
      </c>
      <c r="M341" s="23">
        <f t="shared" si="75"/>
        <v>799.59999899864215</v>
      </c>
      <c r="N341" s="23">
        <f t="shared" si="76"/>
        <v>723.43499999999983</v>
      </c>
      <c r="P341" s="20">
        <f t="shared" si="68"/>
        <v>0.16351094890510953</v>
      </c>
      <c r="Q341" s="20">
        <f t="shared" si="69"/>
        <v>0.16351094890510953</v>
      </c>
      <c r="R341" s="19">
        <f t="shared" si="70"/>
        <v>112.00500000000002</v>
      </c>
      <c r="S341" s="23">
        <f t="shared" si="71"/>
        <v>0</v>
      </c>
      <c r="T341" s="23">
        <f t="shared" si="72"/>
        <v>0</v>
      </c>
    </row>
    <row r="342" spans="1:20" x14ac:dyDescent="0.2">
      <c r="A342" s="40">
        <v>35035</v>
      </c>
      <c r="B342" s="42">
        <v>336</v>
      </c>
      <c r="C342" s="16">
        <f>ROUND(Data!BJ342,2)</f>
        <v>1.63</v>
      </c>
      <c r="D342" s="3">
        <f>ROUND(Data!R342,1)</f>
        <v>-3.8</v>
      </c>
      <c r="E342" s="3">
        <f>ROUND(Data!AF342,1)</f>
        <v>-8.3000000000000007</v>
      </c>
      <c r="F342" s="23">
        <f>Data!BO342</f>
        <v>58.2</v>
      </c>
      <c r="G342" s="3">
        <f>Data!Q342</f>
        <v>0</v>
      </c>
      <c r="H342" s="65">
        <f t="shared" si="74"/>
        <v>665</v>
      </c>
      <c r="I342" s="14">
        <f t="shared" si="77"/>
        <v>0</v>
      </c>
      <c r="J342" s="16">
        <f>Data!BS342</f>
        <v>0</v>
      </c>
      <c r="K342" s="54">
        <f t="shared" si="73"/>
        <v>0</v>
      </c>
      <c r="M342" s="23">
        <f t="shared" si="75"/>
        <v>799.59999899864215</v>
      </c>
      <c r="N342" s="23">
        <f t="shared" si="76"/>
        <v>723.43499999999983</v>
      </c>
      <c r="P342" s="20">
        <f t="shared" si="68"/>
        <v>0.16842857142857146</v>
      </c>
      <c r="Q342" s="20">
        <f t="shared" si="69"/>
        <v>0.16842857142857146</v>
      </c>
      <c r="R342" s="19">
        <f t="shared" si="70"/>
        <v>112.00500000000002</v>
      </c>
      <c r="S342" s="23">
        <f t="shared" si="71"/>
        <v>0</v>
      </c>
      <c r="T342" s="23">
        <f t="shared" si="72"/>
        <v>0</v>
      </c>
    </row>
    <row r="343" spans="1:20" x14ac:dyDescent="0.2">
      <c r="A343" s="40">
        <v>35036</v>
      </c>
      <c r="B343" s="42">
        <v>337</v>
      </c>
      <c r="C343" s="16">
        <f>ROUND(Data!BJ343,2)</f>
        <v>2.2599999999999998</v>
      </c>
      <c r="D343" s="3">
        <f>ROUND(Data!R343,1)</f>
        <v>-3.7</v>
      </c>
      <c r="E343" s="3">
        <f>ROUND(Data!AF343,1)</f>
        <v>-6.3</v>
      </c>
      <c r="F343" s="23">
        <f>Data!BO343</f>
        <v>59.9</v>
      </c>
      <c r="G343" s="3">
        <f>Data!Q343</f>
        <v>0</v>
      </c>
      <c r="H343" s="65">
        <f t="shared" si="74"/>
        <v>645</v>
      </c>
      <c r="I343" s="14">
        <f t="shared" si="77"/>
        <v>0</v>
      </c>
      <c r="J343" s="16">
        <f>Data!BS343</f>
        <v>0</v>
      </c>
      <c r="K343" s="54">
        <f t="shared" si="73"/>
        <v>0</v>
      </c>
      <c r="M343" s="23">
        <f t="shared" si="75"/>
        <v>799.59999899864215</v>
      </c>
      <c r="N343" s="23">
        <f t="shared" si="76"/>
        <v>723.43499999999983</v>
      </c>
      <c r="P343" s="20">
        <f t="shared" si="68"/>
        <v>0.1736511627906977</v>
      </c>
      <c r="Q343" s="20">
        <f t="shared" si="69"/>
        <v>0.1736511627906977</v>
      </c>
      <c r="R343" s="19">
        <f t="shared" si="70"/>
        <v>112.00500000000001</v>
      </c>
      <c r="S343" s="23">
        <f t="shared" si="71"/>
        <v>0</v>
      </c>
      <c r="T343" s="23">
        <f t="shared" si="72"/>
        <v>0</v>
      </c>
    </row>
    <row r="344" spans="1:20" x14ac:dyDescent="0.2">
      <c r="A344" s="40">
        <v>35037</v>
      </c>
      <c r="B344" s="42">
        <v>338</v>
      </c>
      <c r="C344" s="16">
        <f>ROUND(Data!BJ344,2)</f>
        <v>3.13</v>
      </c>
      <c r="D344" s="3">
        <f>ROUND(Data!R344,1)</f>
        <v>-3.7</v>
      </c>
      <c r="E344" s="3">
        <f>ROUND(Data!AF344,1)</f>
        <v>-18.5</v>
      </c>
      <c r="F344" s="23">
        <f>Data!BO344</f>
        <v>58.9</v>
      </c>
      <c r="G344" s="3">
        <f>Data!Q344</f>
        <v>0</v>
      </c>
      <c r="H344" s="65">
        <f t="shared" si="74"/>
        <v>669</v>
      </c>
      <c r="I344" s="14">
        <f t="shared" si="77"/>
        <v>3.1</v>
      </c>
      <c r="J344" s="16">
        <f>Data!BS344</f>
        <v>3</v>
      </c>
      <c r="K344" s="54">
        <f t="shared" si="73"/>
        <v>3.1500000000000004</v>
      </c>
      <c r="M344" s="23">
        <f t="shared" si="75"/>
        <v>802.59999899864215</v>
      </c>
      <c r="N344" s="23">
        <f t="shared" si="76"/>
        <v>726.58499999999981</v>
      </c>
      <c r="P344" s="20">
        <f t="shared" si="68"/>
        <v>0.17213004484304936</v>
      </c>
      <c r="Q344" s="20">
        <f t="shared" si="69"/>
        <v>0.17213004484304936</v>
      </c>
      <c r="R344" s="19">
        <f t="shared" si="70"/>
        <v>115.15500000000003</v>
      </c>
      <c r="S344" s="23">
        <f t="shared" si="71"/>
        <v>3.1500000000000199</v>
      </c>
      <c r="T344" s="23">
        <f t="shared" si="72"/>
        <v>-1.9539925233402755E-14</v>
      </c>
    </row>
    <row r="345" spans="1:20" x14ac:dyDescent="0.2">
      <c r="A345" s="40">
        <v>35038</v>
      </c>
      <c r="B345" s="42">
        <v>339</v>
      </c>
      <c r="C345" s="16">
        <f>ROUND(Data!BJ345,2)</f>
        <v>5.2</v>
      </c>
      <c r="D345" s="3">
        <f>ROUND(Data!R345,1)</f>
        <v>-8</v>
      </c>
      <c r="E345" s="3">
        <f>ROUND(Data!AF345,1)</f>
        <v>-25.8</v>
      </c>
      <c r="F345" s="23">
        <f>Data!BO345</f>
        <v>49.4</v>
      </c>
      <c r="G345" s="3">
        <f>Data!Q345</f>
        <v>0</v>
      </c>
      <c r="H345" s="65">
        <f t="shared" si="74"/>
        <v>649</v>
      </c>
      <c r="I345" s="14">
        <f t="shared" si="77"/>
        <v>0</v>
      </c>
      <c r="J345" s="16">
        <f>Data!BS345</f>
        <v>0</v>
      </c>
      <c r="K345" s="54">
        <f t="shared" si="73"/>
        <v>0</v>
      </c>
      <c r="M345" s="23">
        <f t="shared" si="75"/>
        <v>802.59999899864215</v>
      </c>
      <c r="N345" s="23">
        <f t="shared" si="76"/>
        <v>726.58499999999981</v>
      </c>
      <c r="P345" s="20">
        <f t="shared" si="68"/>
        <v>0.17743451463790452</v>
      </c>
      <c r="Q345" s="20">
        <f t="shared" si="69"/>
        <v>0.17743451463790452</v>
      </c>
      <c r="R345" s="19">
        <f t="shared" si="70"/>
        <v>115.15500000000003</v>
      </c>
      <c r="S345" s="23">
        <f t="shared" si="71"/>
        <v>0</v>
      </c>
      <c r="T345" s="23">
        <f t="shared" si="72"/>
        <v>0</v>
      </c>
    </row>
    <row r="346" spans="1:20" x14ac:dyDescent="0.2">
      <c r="A346" s="40">
        <v>35039</v>
      </c>
      <c r="B346" s="42">
        <v>340</v>
      </c>
      <c r="C346" s="16">
        <f>ROUND(Data!BJ346,2)</f>
        <v>1.7</v>
      </c>
      <c r="D346" s="3">
        <f>ROUND(Data!R346,1)</f>
        <v>-8</v>
      </c>
      <c r="E346" s="3">
        <f>ROUND(Data!AF346,1)</f>
        <v>-25.2</v>
      </c>
      <c r="F346" s="23">
        <f>Data!BO346</f>
        <v>74.599999999999994</v>
      </c>
      <c r="G346" s="3">
        <f>Data!Q346</f>
        <v>0</v>
      </c>
      <c r="H346" s="65">
        <f t="shared" si="74"/>
        <v>629</v>
      </c>
      <c r="I346" s="14">
        <f t="shared" si="77"/>
        <v>0</v>
      </c>
      <c r="J346" s="16">
        <f>Data!BS346</f>
        <v>0</v>
      </c>
      <c r="K346" s="54">
        <f t="shared" si="73"/>
        <v>0</v>
      </c>
      <c r="M346" s="23">
        <f t="shared" si="75"/>
        <v>802.59999899864215</v>
      </c>
      <c r="N346" s="23">
        <f t="shared" si="76"/>
        <v>726.58499999999981</v>
      </c>
      <c r="P346" s="20">
        <f t="shared" si="68"/>
        <v>0.18307631160572341</v>
      </c>
      <c r="Q346" s="20">
        <f t="shared" si="69"/>
        <v>0.18307631160572341</v>
      </c>
      <c r="R346" s="19">
        <f t="shared" si="70"/>
        <v>115.15500000000003</v>
      </c>
      <c r="S346" s="23">
        <f t="shared" si="71"/>
        <v>0</v>
      </c>
      <c r="T346" s="23">
        <f t="shared" si="72"/>
        <v>0</v>
      </c>
    </row>
    <row r="347" spans="1:20" x14ac:dyDescent="0.2">
      <c r="A347" s="40">
        <v>35040</v>
      </c>
      <c r="B347" s="42">
        <v>341</v>
      </c>
      <c r="C347" s="16">
        <f>ROUND(Data!BJ347,2)</f>
        <v>4.58</v>
      </c>
      <c r="D347" s="3">
        <f>ROUND(Data!R347,1)</f>
        <v>-9.1</v>
      </c>
      <c r="E347" s="3">
        <f>ROUND(Data!AF347,1)</f>
        <v>-33.299999999999997</v>
      </c>
      <c r="F347" s="23">
        <f>Data!BO347</f>
        <v>72</v>
      </c>
      <c r="G347" s="3">
        <f>Data!Q347</f>
        <v>0</v>
      </c>
      <c r="H347" s="65">
        <f t="shared" si="74"/>
        <v>641</v>
      </c>
      <c r="I347" s="14">
        <f t="shared" si="77"/>
        <v>1.6</v>
      </c>
      <c r="J347" s="16">
        <f>Data!BS347</f>
        <v>1.5</v>
      </c>
      <c r="K347" s="54">
        <f t="shared" si="73"/>
        <v>1.5750000000000002</v>
      </c>
      <c r="M347" s="23">
        <f t="shared" si="75"/>
        <v>804.09999899864215</v>
      </c>
      <c r="N347" s="23">
        <f t="shared" si="76"/>
        <v>728.15999999999985</v>
      </c>
      <c r="P347" s="20">
        <f t="shared" si="68"/>
        <v>0.1821060842433698</v>
      </c>
      <c r="Q347" s="20">
        <f t="shared" si="69"/>
        <v>0.1821060842433698</v>
      </c>
      <c r="R347" s="19">
        <f t="shared" si="70"/>
        <v>116.73000000000005</v>
      </c>
      <c r="S347" s="23">
        <f t="shared" si="71"/>
        <v>1.5750000000000171</v>
      </c>
      <c r="T347" s="23">
        <f t="shared" si="72"/>
        <v>-1.6875389974302379E-14</v>
      </c>
    </row>
    <row r="348" spans="1:20" x14ac:dyDescent="0.2">
      <c r="A348" s="40">
        <v>35041</v>
      </c>
      <c r="B348" s="3">
        <v>342</v>
      </c>
      <c r="C348" s="16">
        <f>ROUND(Data!BJ348,2)</f>
        <v>0</v>
      </c>
      <c r="D348" s="3">
        <f>ROUND(Data!R348,1)</f>
        <v>-12.2</v>
      </c>
      <c r="E348" s="3">
        <f>ROUND(Data!AF348,1)</f>
        <v>-41.7</v>
      </c>
      <c r="F348" s="23">
        <f>Data!BO348</f>
        <v>0</v>
      </c>
      <c r="G348" s="3">
        <f>Data!Q348</f>
        <v>0</v>
      </c>
      <c r="H348" s="65">
        <f t="shared" si="74"/>
        <v>621</v>
      </c>
      <c r="I348" s="14">
        <f t="shared" si="77"/>
        <v>0</v>
      </c>
      <c r="J348" s="16">
        <f>Data!BS348</f>
        <v>0</v>
      </c>
      <c r="K348" s="54">
        <f t="shared" si="73"/>
        <v>0</v>
      </c>
      <c r="M348" s="23">
        <f t="shared" si="75"/>
        <v>804.09999899864215</v>
      </c>
      <c r="N348" s="23">
        <f t="shared" si="76"/>
        <v>728.15999999999985</v>
      </c>
      <c r="P348" s="20">
        <f t="shared" si="68"/>
        <v>0.18797101449275369</v>
      </c>
      <c r="Q348" s="20">
        <f t="shared" si="69"/>
        <v>0.18797101449275369</v>
      </c>
      <c r="R348" s="19">
        <f t="shared" si="70"/>
        <v>116.73000000000005</v>
      </c>
      <c r="S348" s="23">
        <f t="shared" si="71"/>
        <v>0</v>
      </c>
      <c r="T348" s="23">
        <f t="shared" si="72"/>
        <v>0</v>
      </c>
    </row>
    <row r="349" spans="1:20" x14ac:dyDescent="0.2">
      <c r="A349" s="40">
        <v>35042</v>
      </c>
      <c r="B349" s="3">
        <v>343</v>
      </c>
      <c r="C349" s="16">
        <f>ROUND(Data!BJ349,2)</f>
        <v>0</v>
      </c>
      <c r="D349" s="3">
        <f>ROUND(Data!R349,1)</f>
        <v>-10</v>
      </c>
      <c r="E349" s="3">
        <f>ROUND(Data!AF349,1)</f>
        <v>-30.7</v>
      </c>
      <c r="F349" s="23">
        <f>Data!BO349</f>
        <v>0</v>
      </c>
      <c r="G349" s="3">
        <f>Data!Q349</f>
        <v>0</v>
      </c>
      <c r="H349" s="65">
        <f t="shared" si="74"/>
        <v>601</v>
      </c>
      <c r="I349" s="14">
        <f t="shared" si="77"/>
        <v>0</v>
      </c>
      <c r="J349" s="16">
        <f>Data!BS349</f>
        <v>0</v>
      </c>
      <c r="K349" s="54">
        <f t="shared" si="73"/>
        <v>0</v>
      </c>
      <c r="M349" s="23">
        <f t="shared" si="75"/>
        <v>804.09999899864215</v>
      </c>
      <c r="N349" s="23">
        <f t="shared" si="76"/>
        <v>728.15999999999985</v>
      </c>
      <c r="P349" s="20">
        <f t="shared" si="68"/>
        <v>0.19422628951747095</v>
      </c>
      <c r="Q349" s="20">
        <f t="shared" si="69"/>
        <v>0.19422628951747095</v>
      </c>
      <c r="R349" s="19">
        <f t="shared" si="70"/>
        <v>116.73000000000005</v>
      </c>
      <c r="S349" s="23">
        <f t="shared" si="71"/>
        <v>0</v>
      </c>
      <c r="T349" s="23">
        <f t="shared" si="72"/>
        <v>0</v>
      </c>
    </row>
    <row r="350" spans="1:20" x14ac:dyDescent="0.2">
      <c r="A350" s="40">
        <v>35043</v>
      </c>
      <c r="B350" s="3">
        <v>344</v>
      </c>
      <c r="C350" s="16">
        <f>ROUND(Data!BJ350,2)</f>
        <v>0</v>
      </c>
      <c r="D350" s="3">
        <f>ROUND(Data!R350,1)</f>
        <v>-3.3</v>
      </c>
      <c r="E350" s="3">
        <f>ROUND(Data!AF350,1)</f>
        <v>-14.2</v>
      </c>
      <c r="F350" s="23">
        <f>Data!BO350</f>
        <v>0</v>
      </c>
      <c r="G350" s="3">
        <f>Data!Q350</f>
        <v>0</v>
      </c>
      <c r="H350" s="65">
        <f t="shared" si="74"/>
        <v>819</v>
      </c>
      <c r="I350" s="14">
        <f t="shared" si="77"/>
        <v>28.3</v>
      </c>
      <c r="J350" s="16">
        <f>Data!BS350</f>
        <v>27</v>
      </c>
      <c r="K350" s="54">
        <f t="shared" si="73"/>
        <v>28.35</v>
      </c>
      <c r="M350" s="23">
        <f t="shared" si="75"/>
        <v>831.09999899864215</v>
      </c>
      <c r="N350" s="23">
        <f t="shared" si="76"/>
        <v>756.50999999999988</v>
      </c>
      <c r="P350" s="20">
        <f t="shared" si="68"/>
        <v>0.17714285714285719</v>
      </c>
      <c r="Q350" s="20">
        <f t="shared" si="69"/>
        <v>0.17714285714285719</v>
      </c>
      <c r="R350" s="19">
        <f t="shared" si="70"/>
        <v>145.08000000000004</v>
      </c>
      <c r="S350" s="23">
        <f t="shared" si="71"/>
        <v>28.349999999999994</v>
      </c>
      <c r="T350" s="23">
        <f t="shared" si="72"/>
        <v>0</v>
      </c>
    </row>
    <row r="351" spans="1:20" x14ac:dyDescent="0.2">
      <c r="A351" s="40">
        <v>35044</v>
      </c>
      <c r="B351" s="3">
        <v>345</v>
      </c>
      <c r="C351" s="16">
        <f>ROUND(Data!BJ351,2)</f>
        <v>0</v>
      </c>
      <c r="D351" s="3">
        <f>ROUND(Data!R351,1)</f>
        <v>1.8</v>
      </c>
      <c r="E351" s="3">
        <f>ROUND(Data!AF351,1)</f>
        <v>-7.8</v>
      </c>
      <c r="F351" s="23">
        <f>Data!BO351</f>
        <v>0</v>
      </c>
      <c r="G351" s="3">
        <f>Data!Q351</f>
        <v>0</v>
      </c>
      <c r="H351" s="65">
        <f t="shared" si="74"/>
        <v>977</v>
      </c>
      <c r="I351" s="14">
        <f t="shared" si="77"/>
        <v>20.5</v>
      </c>
      <c r="J351" s="16">
        <f>Data!BS351</f>
        <v>19.5</v>
      </c>
      <c r="K351" s="54">
        <f t="shared" si="73"/>
        <v>20.475000000000001</v>
      </c>
      <c r="M351" s="23">
        <f t="shared" si="75"/>
        <v>850.59999899864215</v>
      </c>
      <c r="N351" s="23">
        <f t="shared" si="76"/>
        <v>776.9849999999999</v>
      </c>
      <c r="P351" s="20">
        <f t="shared" si="68"/>
        <v>0.16945240532241559</v>
      </c>
      <c r="Q351" s="20">
        <f t="shared" si="69"/>
        <v>0.16945240532241559</v>
      </c>
      <c r="R351" s="19">
        <f t="shared" si="70"/>
        <v>165.55500000000004</v>
      </c>
      <c r="S351" s="23">
        <f t="shared" si="71"/>
        <v>20.474999999999994</v>
      </c>
      <c r="T351" s="23">
        <f t="shared" si="72"/>
        <v>0</v>
      </c>
    </row>
    <row r="352" spans="1:20" x14ac:dyDescent="0.2">
      <c r="A352" s="40">
        <v>35045</v>
      </c>
      <c r="B352" s="3">
        <v>346</v>
      </c>
      <c r="C352" s="16">
        <f>ROUND(Data!BJ352,2)</f>
        <v>0</v>
      </c>
      <c r="D352" s="3">
        <f>ROUND(Data!R352,1)</f>
        <v>3.9</v>
      </c>
      <c r="E352" s="3">
        <f>ROUND(Data!AF352,1)</f>
        <v>-4.2</v>
      </c>
      <c r="F352" s="23">
        <f>Data!BO352</f>
        <v>0</v>
      </c>
      <c r="G352" s="3">
        <f>Data!Q352</f>
        <v>0</v>
      </c>
      <c r="H352" s="65">
        <f t="shared" si="74"/>
        <v>957</v>
      </c>
      <c r="I352" s="14">
        <f t="shared" si="77"/>
        <v>0</v>
      </c>
      <c r="J352" s="16">
        <f>Data!BS352</f>
        <v>0</v>
      </c>
      <c r="K352" s="54">
        <f t="shared" si="73"/>
        <v>0</v>
      </c>
      <c r="M352" s="23">
        <f t="shared" si="75"/>
        <v>850.59999899864215</v>
      </c>
      <c r="N352" s="23">
        <f t="shared" si="76"/>
        <v>776.9849999999999</v>
      </c>
      <c r="P352" s="20">
        <f t="shared" si="68"/>
        <v>0.17299373040752355</v>
      </c>
      <c r="Q352" s="20">
        <f t="shared" si="69"/>
        <v>0.17299373040752355</v>
      </c>
      <c r="R352" s="19">
        <f t="shared" si="70"/>
        <v>165.55500000000004</v>
      </c>
      <c r="S352" s="23">
        <f t="shared" si="71"/>
        <v>0</v>
      </c>
      <c r="T352" s="23">
        <f t="shared" si="72"/>
        <v>0</v>
      </c>
    </row>
    <row r="353" spans="1:20" x14ac:dyDescent="0.2">
      <c r="A353" s="40">
        <v>35046</v>
      </c>
      <c r="B353" s="3">
        <v>347</v>
      </c>
      <c r="C353" s="16">
        <f>ROUND(Data!BJ353,2)</f>
        <v>0</v>
      </c>
      <c r="D353" s="3">
        <f>ROUND(Data!R353,1)</f>
        <v>2.4</v>
      </c>
      <c r="E353" s="3">
        <f>ROUND(Data!AF353,1)</f>
        <v>-6.4</v>
      </c>
      <c r="F353" s="23">
        <f>Data!BO353</f>
        <v>0</v>
      </c>
      <c r="G353" s="3">
        <f>Data!Q353</f>
        <v>0</v>
      </c>
      <c r="H353" s="65">
        <f t="shared" si="74"/>
        <v>1005</v>
      </c>
      <c r="I353" s="14">
        <f t="shared" si="77"/>
        <v>6.2</v>
      </c>
      <c r="J353" s="16">
        <f>Data!BS353</f>
        <v>6</v>
      </c>
      <c r="K353" s="54">
        <f t="shared" si="73"/>
        <v>6.3000000000000007</v>
      </c>
      <c r="M353" s="23">
        <f t="shared" si="75"/>
        <v>856.59999899864215</v>
      </c>
      <c r="N353" s="23">
        <f t="shared" si="76"/>
        <v>783.28499999999985</v>
      </c>
      <c r="P353" s="20">
        <f t="shared" si="68"/>
        <v>0.17100000000000004</v>
      </c>
      <c r="Q353" s="20">
        <f t="shared" si="69"/>
        <v>0.17100000000000004</v>
      </c>
      <c r="R353" s="19">
        <f t="shared" si="70"/>
        <v>171.85500000000005</v>
      </c>
      <c r="S353" s="23">
        <f t="shared" si="71"/>
        <v>6.3000000000000114</v>
      </c>
      <c r="T353" s="23">
        <f t="shared" si="72"/>
        <v>-1.0658141036401503E-14</v>
      </c>
    </row>
    <row r="354" spans="1:20" x14ac:dyDescent="0.2">
      <c r="A354" s="40">
        <v>35047</v>
      </c>
      <c r="B354" s="3">
        <v>348</v>
      </c>
      <c r="C354" s="16">
        <f>ROUND(Data!BJ354,2)</f>
        <v>0</v>
      </c>
      <c r="D354" s="3">
        <f>ROUND(Data!R354,1)</f>
        <v>-0.5</v>
      </c>
      <c r="E354" s="3">
        <f>ROUND(Data!AF354,1)</f>
        <v>-10.1</v>
      </c>
      <c r="F354" s="23">
        <f>Data!BO354</f>
        <v>0</v>
      </c>
      <c r="G354" s="3">
        <f>Data!Q354</f>
        <v>0</v>
      </c>
      <c r="H354" s="65">
        <f t="shared" si="74"/>
        <v>985</v>
      </c>
      <c r="I354" s="14">
        <f t="shared" si="77"/>
        <v>0</v>
      </c>
      <c r="J354" s="16">
        <f>Data!BS354</f>
        <v>0</v>
      </c>
      <c r="K354" s="54">
        <f t="shared" si="73"/>
        <v>0</v>
      </c>
      <c r="M354" s="23">
        <f t="shared" si="75"/>
        <v>856.59999899864215</v>
      </c>
      <c r="N354" s="23">
        <f t="shared" si="76"/>
        <v>783.28499999999985</v>
      </c>
      <c r="P354" s="20">
        <f t="shared" si="68"/>
        <v>0.17447208121827415</v>
      </c>
      <c r="Q354" s="20">
        <f t="shared" si="69"/>
        <v>0.17447208121827415</v>
      </c>
      <c r="R354" s="19">
        <f t="shared" si="70"/>
        <v>171.85500000000005</v>
      </c>
      <c r="S354" s="23">
        <f t="shared" si="71"/>
        <v>0</v>
      </c>
      <c r="T354" s="23">
        <f t="shared" si="72"/>
        <v>0</v>
      </c>
    </row>
    <row r="355" spans="1:20" x14ac:dyDescent="0.2">
      <c r="A355" s="40">
        <v>35048</v>
      </c>
      <c r="B355" s="3">
        <v>349</v>
      </c>
      <c r="C355" s="16">
        <f>ROUND(Data!BJ355,2)</f>
        <v>0</v>
      </c>
      <c r="D355" s="3">
        <f>ROUND(Data!R355,1)</f>
        <v>-2.9</v>
      </c>
      <c r="E355" s="3">
        <f>ROUND(Data!AF355,1)</f>
        <v>-12.6</v>
      </c>
      <c r="F355" s="23">
        <f>Data!BO355</f>
        <v>0</v>
      </c>
      <c r="G355" s="3">
        <f>Data!Q355</f>
        <v>0</v>
      </c>
      <c r="H355" s="65">
        <f t="shared" si="74"/>
        <v>965</v>
      </c>
      <c r="I355" s="14">
        <f t="shared" si="77"/>
        <v>0</v>
      </c>
      <c r="J355" s="16">
        <f>Data!BS355</f>
        <v>0</v>
      </c>
      <c r="K355" s="54">
        <f t="shared" si="73"/>
        <v>0</v>
      </c>
      <c r="M355" s="23">
        <f t="shared" si="75"/>
        <v>856.59999899864215</v>
      </c>
      <c r="N355" s="23">
        <f t="shared" si="76"/>
        <v>783.28499999999985</v>
      </c>
      <c r="P355" s="20">
        <f t="shared" si="68"/>
        <v>0.17808808290155445</v>
      </c>
      <c r="Q355" s="20">
        <f t="shared" si="69"/>
        <v>0.17808808290155445</v>
      </c>
      <c r="R355" s="19">
        <f t="shared" si="70"/>
        <v>171.85500000000005</v>
      </c>
      <c r="S355" s="23">
        <f t="shared" si="71"/>
        <v>0</v>
      </c>
      <c r="T355" s="23">
        <f t="shared" si="72"/>
        <v>0</v>
      </c>
    </row>
    <row r="356" spans="1:20" x14ac:dyDescent="0.2">
      <c r="A356" s="40">
        <v>35049</v>
      </c>
      <c r="B356" s="3">
        <v>350</v>
      </c>
      <c r="C356" s="16">
        <f>ROUND(Data!BJ356,2)</f>
        <v>0</v>
      </c>
      <c r="D356" s="3">
        <f>ROUND(Data!R356,1)</f>
        <v>1.7</v>
      </c>
      <c r="E356" s="3">
        <f>ROUND(Data!AF356,1)</f>
        <v>-13.4</v>
      </c>
      <c r="F356" s="23">
        <f>Data!BO356</f>
        <v>0</v>
      </c>
      <c r="G356" s="3">
        <f>Data!Q356</f>
        <v>0</v>
      </c>
      <c r="H356" s="65">
        <f t="shared" si="74"/>
        <v>945</v>
      </c>
      <c r="I356" s="14">
        <f t="shared" si="77"/>
        <v>0</v>
      </c>
      <c r="J356" s="16">
        <f>Data!BS356</f>
        <v>0</v>
      </c>
      <c r="K356" s="54">
        <f t="shared" si="73"/>
        <v>0</v>
      </c>
      <c r="M356" s="23">
        <f t="shared" si="75"/>
        <v>856.59999899864215</v>
      </c>
      <c r="N356" s="23">
        <f t="shared" si="76"/>
        <v>783.28499999999985</v>
      </c>
      <c r="P356" s="20">
        <f t="shared" si="68"/>
        <v>0.18185714285714291</v>
      </c>
      <c r="Q356" s="20">
        <f t="shared" si="69"/>
        <v>0.18185714285714291</v>
      </c>
      <c r="R356" s="19">
        <f t="shared" si="70"/>
        <v>171.85500000000005</v>
      </c>
      <c r="S356" s="23">
        <f t="shared" si="71"/>
        <v>0</v>
      </c>
      <c r="T356" s="23">
        <f t="shared" si="72"/>
        <v>0</v>
      </c>
    </row>
    <row r="357" spans="1:20" x14ac:dyDescent="0.2">
      <c r="A357" s="40">
        <v>35050</v>
      </c>
      <c r="B357" s="3">
        <v>351</v>
      </c>
      <c r="C357" s="16">
        <f>ROUND(Data!BJ357,2)</f>
        <v>0</v>
      </c>
      <c r="D357" s="3">
        <f>ROUND(Data!R357,1)</f>
        <v>-4.7</v>
      </c>
      <c r="E357" s="3">
        <f>ROUND(Data!AF357,1)</f>
        <v>-10.8</v>
      </c>
      <c r="F357" s="23">
        <f>Data!BO357</f>
        <v>0</v>
      </c>
      <c r="G357" s="3">
        <f>Data!Q357</f>
        <v>0</v>
      </c>
      <c r="H357" s="65">
        <f t="shared" si="74"/>
        <v>925</v>
      </c>
      <c r="I357" s="14">
        <f t="shared" si="77"/>
        <v>0</v>
      </c>
      <c r="J357" s="16">
        <f>Data!BS357</f>
        <v>0</v>
      </c>
      <c r="K357" s="54">
        <f t="shared" si="73"/>
        <v>0</v>
      </c>
      <c r="M357" s="23">
        <f t="shared" si="75"/>
        <v>856.59999899864215</v>
      </c>
      <c r="N357" s="23">
        <f t="shared" si="76"/>
        <v>783.28499999999985</v>
      </c>
      <c r="P357" s="20">
        <f t="shared" si="68"/>
        <v>0.18578918918918924</v>
      </c>
      <c r="Q357" s="20">
        <f t="shared" si="69"/>
        <v>0.18578918918918924</v>
      </c>
      <c r="R357" s="19">
        <f t="shared" si="70"/>
        <v>171.85500000000005</v>
      </c>
      <c r="S357" s="23">
        <f t="shared" si="71"/>
        <v>0</v>
      </c>
      <c r="T357" s="23">
        <f t="shared" si="72"/>
        <v>0</v>
      </c>
    </row>
    <row r="358" spans="1:20" x14ac:dyDescent="0.2">
      <c r="A358" s="40">
        <v>35051</v>
      </c>
      <c r="B358" s="3">
        <v>352</v>
      </c>
      <c r="C358" s="16">
        <f>ROUND(Data!BJ358,2)</f>
        <v>0</v>
      </c>
      <c r="D358" s="3">
        <f>ROUND(Data!R358,1)</f>
        <v>-3.7</v>
      </c>
      <c r="E358" s="3">
        <f>ROUND(Data!AF358,1)</f>
        <v>-8.4</v>
      </c>
      <c r="F358" s="23">
        <f>Data!BO358</f>
        <v>0</v>
      </c>
      <c r="G358" s="3">
        <f>Data!Q358</f>
        <v>0</v>
      </c>
      <c r="H358" s="65">
        <f t="shared" si="74"/>
        <v>937</v>
      </c>
      <c r="I358" s="14">
        <f t="shared" si="77"/>
        <v>1.6</v>
      </c>
      <c r="J358" s="16">
        <f>Data!BS358</f>
        <v>1.5</v>
      </c>
      <c r="K358" s="54">
        <f t="shared" si="73"/>
        <v>1.5750000000000002</v>
      </c>
      <c r="M358" s="23">
        <f t="shared" si="75"/>
        <v>858.09999899864215</v>
      </c>
      <c r="N358" s="23">
        <f t="shared" si="76"/>
        <v>784.8599999999999</v>
      </c>
      <c r="P358" s="20">
        <f t="shared" si="68"/>
        <v>0.18509071504802566</v>
      </c>
      <c r="Q358" s="20">
        <f t="shared" si="69"/>
        <v>0.18509071504802566</v>
      </c>
      <c r="R358" s="19">
        <f t="shared" si="70"/>
        <v>173.43000000000004</v>
      </c>
      <c r="S358" s="23">
        <f t="shared" si="71"/>
        <v>1.5749999999999886</v>
      </c>
      <c r="T358" s="23">
        <f t="shared" si="72"/>
        <v>1.1546319456101628E-14</v>
      </c>
    </row>
    <row r="359" spans="1:20" x14ac:dyDescent="0.2">
      <c r="A359" s="40">
        <v>35052</v>
      </c>
      <c r="B359" s="3">
        <v>353</v>
      </c>
      <c r="C359" s="16">
        <f>ROUND(Data!BJ359,2)</f>
        <v>0</v>
      </c>
      <c r="D359" s="3">
        <f>ROUND(Data!R359,1)</f>
        <v>-1.9</v>
      </c>
      <c r="E359" s="3">
        <f>ROUND(Data!AF359,1)</f>
        <v>-8.3000000000000007</v>
      </c>
      <c r="F359" s="23">
        <f>Data!BO359</f>
        <v>0</v>
      </c>
      <c r="G359" s="3">
        <f>Data!Q359</f>
        <v>0</v>
      </c>
      <c r="H359" s="65">
        <f t="shared" si="74"/>
        <v>917</v>
      </c>
      <c r="I359" s="14">
        <f t="shared" si="77"/>
        <v>0</v>
      </c>
      <c r="J359" s="16">
        <f>Data!BS359</f>
        <v>0</v>
      </c>
      <c r="K359" s="54">
        <f t="shared" si="73"/>
        <v>0</v>
      </c>
      <c r="M359" s="23">
        <f t="shared" si="75"/>
        <v>858.09999899864215</v>
      </c>
      <c r="N359" s="23">
        <f t="shared" si="76"/>
        <v>784.8599999999999</v>
      </c>
      <c r="P359" s="20">
        <f t="shared" si="68"/>
        <v>0.18912758996728465</v>
      </c>
      <c r="Q359" s="20">
        <f t="shared" si="69"/>
        <v>0.18912758996728465</v>
      </c>
      <c r="R359" s="19">
        <f t="shared" si="70"/>
        <v>173.43000000000004</v>
      </c>
      <c r="S359" s="23">
        <f t="shared" si="71"/>
        <v>0</v>
      </c>
      <c r="T359" s="23">
        <f t="shared" si="72"/>
        <v>0</v>
      </c>
    </row>
    <row r="360" spans="1:20" x14ac:dyDescent="0.2">
      <c r="A360" s="40">
        <v>35053</v>
      </c>
      <c r="B360" s="3">
        <v>354</v>
      </c>
      <c r="C360" s="16">
        <f>ROUND(Data!BJ360,2)</f>
        <v>0</v>
      </c>
      <c r="D360" s="3">
        <f>ROUND(Data!R360,1)</f>
        <v>-0.7</v>
      </c>
      <c r="E360" s="3">
        <f>ROUND(Data!AF360,1)</f>
        <v>-7.9</v>
      </c>
      <c r="F360" s="23">
        <f>Data!BO360</f>
        <v>0</v>
      </c>
      <c r="G360" s="3">
        <f>Data!Q360</f>
        <v>0</v>
      </c>
      <c r="H360" s="65">
        <f t="shared" si="74"/>
        <v>897</v>
      </c>
      <c r="I360" s="14">
        <f t="shared" si="77"/>
        <v>0</v>
      </c>
      <c r="J360" s="16">
        <f>Data!BS360</f>
        <v>0</v>
      </c>
      <c r="K360" s="54">
        <f t="shared" si="73"/>
        <v>0</v>
      </c>
      <c r="M360" s="23">
        <f t="shared" si="75"/>
        <v>858.09999899864215</v>
      </c>
      <c r="N360" s="23">
        <f t="shared" si="76"/>
        <v>784.8599999999999</v>
      </c>
      <c r="P360" s="20">
        <f t="shared" si="68"/>
        <v>0.1933444816053512</v>
      </c>
      <c r="Q360" s="20">
        <f t="shared" si="69"/>
        <v>0.1933444816053512</v>
      </c>
      <c r="R360" s="19">
        <f t="shared" si="70"/>
        <v>173.43000000000004</v>
      </c>
      <c r="S360" s="23">
        <f t="shared" si="71"/>
        <v>0</v>
      </c>
      <c r="T360" s="23">
        <f t="shared" si="72"/>
        <v>0</v>
      </c>
    </row>
    <row r="361" spans="1:20" x14ac:dyDescent="0.2">
      <c r="A361" s="40">
        <v>35054</v>
      </c>
      <c r="B361" s="3">
        <v>355</v>
      </c>
      <c r="C361" s="16">
        <f>ROUND(Data!BJ361,2)</f>
        <v>0</v>
      </c>
      <c r="D361" s="3">
        <f>ROUND(Data!R361,1)</f>
        <v>-5.2</v>
      </c>
      <c r="E361" s="3">
        <f>ROUND(Data!AF361,1)</f>
        <v>-9.3000000000000007</v>
      </c>
      <c r="F361" s="23">
        <f>Data!BO361</f>
        <v>0</v>
      </c>
      <c r="G361" s="3">
        <f>Data!Q361</f>
        <v>0</v>
      </c>
      <c r="H361" s="65">
        <f t="shared" si="74"/>
        <v>877</v>
      </c>
      <c r="I361" s="14">
        <f t="shared" si="77"/>
        <v>0</v>
      </c>
      <c r="J361" s="16">
        <f>Data!BS361</f>
        <v>0</v>
      </c>
      <c r="K361" s="54">
        <f t="shared" si="73"/>
        <v>0</v>
      </c>
      <c r="M361" s="23">
        <f t="shared" si="75"/>
        <v>858.09999899864215</v>
      </c>
      <c r="N361" s="23">
        <f t="shared" si="76"/>
        <v>784.8599999999999</v>
      </c>
      <c r="P361" s="20">
        <f t="shared" si="68"/>
        <v>0.1977537058152794</v>
      </c>
      <c r="Q361" s="20">
        <f t="shared" si="69"/>
        <v>0.1977537058152794</v>
      </c>
      <c r="R361" s="19">
        <f t="shared" si="70"/>
        <v>173.43000000000004</v>
      </c>
      <c r="S361" s="23">
        <f t="shared" si="71"/>
        <v>0</v>
      </c>
      <c r="T361" s="23">
        <f t="shared" si="72"/>
        <v>0</v>
      </c>
    </row>
    <row r="362" spans="1:20" x14ac:dyDescent="0.2">
      <c r="A362" s="40">
        <v>35055</v>
      </c>
      <c r="B362" s="3">
        <v>356</v>
      </c>
      <c r="C362" s="16">
        <f>ROUND(Data!BJ362,2)</f>
        <v>0</v>
      </c>
      <c r="D362" s="3">
        <f>ROUND(Data!R362,1)</f>
        <v>-7.1</v>
      </c>
      <c r="E362" s="3">
        <f>ROUND(Data!AF362,1)</f>
        <v>-13.7</v>
      </c>
      <c r="F362" s="23">
        <f>Data!BO362</f>
        <v>0</v>
      </c>
      <c r="G362" s="3">
        <f>Data!Q362</f>
        <v>0</v>
      </c>
      <c r="H362" s="65">
        <f t="shared" si="74"/>
        <v>857</v>
      </c>
      <c r="I362" s="14">
        <f t="shared" si="77"/>
        <v>0</v>
      </c>
      <c r="J362" s="16">
        <f>Data!BS362</f>
        <v>0</v>
      </c>
      <c r="K362" s="54">
        <f t="shared" si="73"/>
        <v>0</v>
      </c>
      <c r="M362" s="23">
        <f t="shared" si="75"/>
        <v>858.09999899864215</v>
      </c>
      <c r="N362" s="23">
        <f t="shared" si="76"/>
        <v>784.8599999999999</v>
      </c>
      <c r="P362" s="20">
        <f t="shared" si="68"/>
        <v>0.20236872812135359</v>
      </c>
      <c r="Q362" s="20">
        <f t="shared" si="69"/>
        <v>0.20236872812135359</v>
      </c>
      <c r="R362" s="19">
        <f t="shared" si="70"/>
        <v>173.43000000000004</v>
      </c>
      <c r="S362" s="23">
        <f t="shared" si="71"/>
        <v>0</v>
      </c>
      <c r="T362" s="23">
        <f t="shared" si="72"/>
        <v>0</v>
      </c>
    </row>
    <row r="363" spans="1:20" x14ac:dyDescent="0.2">
      <c r="A363" s="40">
        <v>35056</v>
      </c>
      <c r="B363" s="3">
        <v>357</v>
      </c>
      <c r="C363" s="16">
        <f>ROUND(Data!BJ363,2)</f>
        <v>0</v>
      </c>
      <c r="D363" s="3">
        <f>ROUND(Data!R363,1)</f>
        <v>-1.3</v>
      </c>
      <c r="E363" s="3">
        <f>ROUND(Data!AF363,1)</f>
        <v>-21.1</v>
      </c>
      <c r="F363" s="23">
        <f>Data!BO363</f>
        <v>0</v>
      </c>
      <c r="G363" s="3">
        <f>Data!Q363</f>
        <v>0</v>
      </c>
      <c r="H363" s="65">
        <f t="shared" si="74"/>
        <v>837</v>
      </c>
      <c r="I363" s="14">
        <f t="shared" si="77"/>
        <v>0</v>
      </c>
      <c r="J363" s="16">
        <f>Data!BS363</f>
        <v>0</v>
      </c>
      <c r="K363" s="54">
        <f t="shared" si="73"/>
        <v>0</v>
      </c>
      <c r="M363" s="23">
        <f t="shared" si="75"/>
        <v>858.09999899864215</v>
      </c>
      <c r="N363" s="23">
        <f t="shared" si="76"/>
        <v>784.8599999999999</v>
      </c>
      <c r="P363" s="20">
        <f t="shared" si="68"/>
        <v>0.20720430107526885</v>
      </c>
      <c r="Q363" s="20">
        <f t="shared" si="69"/>
        <v>0.20720430107526885</v>
      </c>
      <c r="R363" s="19">
        <f t="shared" si="70"/>
        <v>173.43000000000004</v>
      </c>
      <c r="S363" s="23">
        <f t="shared" si="71"/>
        <v>0</v>
      </c>
      <c r="T363" s="23">
        <f t="shared" si="72"/>
        <v>0</v>
      </c>
    </row>
    <row r="364" spans="1:20" x14ac:dyDescent="0.2">
      <c r="A364" s="40">
        <v>35057</v>
      </c>
      <c r="B364" s="3">
        <v>358</v>
      </c>
      <c r="C364" s="16">
        <f>ROUND(Data!BJ364,2)</f>
        <v>0</v>
      </c>
      <c r="D364" s="3">
        <f>ROUND(Data!R364,1)</f>
        <v>0.6</v>
      </c>
      <c r="E364" s="3">
        <f>ROUND(Data!AF364,1)</f>
        <v>-18.600000000000001</v>
      </c>
      <c r="F364" s="23">
        <f>Data!BO364</f>
        <v>0</v>
      </c>
      <c r="G364" s="3">
        <f>Data!Q364</f>
        <v>0</v>
      </c>
      <c r="H364" s="65">
        <f t="shared" si="74"/>
        <v>817</v>
      </c>
      <c r="I364" s="14">
        <f t="shared" si="77"/>
        <v>0</v>
      </c>
      <c r="J364" s="16">
        <f>Data!BS364</f>
        <v>0</v>
      </c>
      <c r="K364" s="54">
        <f t="shared" si="73"/>
        <v>0</v>
      </c>
      <c r="M364" s="23">
        <f t="shared" si="75"/>
        <v>858.09999899864215</v>
      </c>
      <c r="N364" s="23">
        <f t="shared" si="76"/>
        <v>784.8599999999999</v>
      </c>
      <c r="P364" s="20">
        <f t="shared" si="68"/>
        <v>0.21227662178702575</v>
      </c>
      <c r="Q364" s="20">
        <f t="shared" si="69"/>
        <v>0.21227662178702575</v>
      </c>
      <c r="R364" s="19">
        <f t="shared" si="70"/>
        <v>173.43000000000004</v>
      </c>
      <c r="S364" s="23">
        <f t="shared" si="71"/>
        <v>0</v>
      </c>
      <c r="T364" s="23">
        <f t="shared" si="72"/>
        <v>0</v>
      </c>
    </row>
    <row r="365" spans="1:20" x14ac:dyDescent="0.2">
      <c r="A365" s="40">
        <v>35058</v>
      </c>
      <c r="B365" s="3">
        <v>359</v>
      </c>
      <c r="C365" s="16">
        <f>ROUND(Data!BJ365,2)</f>
        <v>0</v>
      </c>
      <c r="D365" s="3">
        <f>ROUND(Data!R365,1)</f>
        <v>-2.9</v>
      </c>
      <c r="E365" s="3">
        <f>ROUND(Data!AF365,1)</f>
        <v>-21.5</v>
      </c>
      <c r="F365" s="23">
        <f>Data!BO365</f>
        <v>0</v>
      </c>
      <c r="G365" s="3">
        <f>Data!Q365</f>
        <v>0</v>
      </c>
      <c r="H365" s="65">
        <f t="shared" si="74"/>
        <v>797</v>
      </c>
      <c r="I365" s="14">
        <f t="shared" si="77"/>
        <v>0</v>
      </c>
      <c r="J365" s="16">
        <f>Data!BS365</f>
        <v>0</v>
      </c>
      <c r="K365" s="54">
        <f t="shared" si="73"/>
        <v>0</v>
      </c>
      <c r="M365" s="23">
        <f t="shared" si="75"/>
        <v>858.09999899864215</v>
      </c>
      <c r="N365" s="23">
        <f t="shared" si="76"/>
        <v>784.8599999999999</v>
      </c>
      <c r="P365" s="20">
        <f t="shared" si="68"/>
        <v>0.21760351317440407</v>
      </c>
      <c r="Q365" s="20">
        <f t="shared" si="69"/>
        <v>0.21760351317440407</v>
      </c>
      <c r="R365" s="19">
        <f t="shared" si="70"/>
        <v>173.43000000000004</v>
      </c>
      <c r="S365" s="23">
        <f t="shared" si="71"/>
        <v>0</v>
      </c>
      <c r="T365" s="23">
        <f t="shared" si="72"/>
        <v>0</v>
      </c>
    </row>
    <row r="366" spans="1:20" x14ac:dyDescent="0.2">
      <c r="A366" s="40">
        <v>35059</v>
      </c>
      <c r="B366" s="3">
        <v>360</v>
      </c>
      <c r="C366" s="16">
        <f>ROUND(Data!BJ366,2)</f>
        <v>0</v>
      </c>
      <c r="D366" s="3">
        <f>ROUND(Data!R366,1)</f>
        <v>-1.7</v>
      </c>
      <c r="E366" s="3">
        <f>ROUND(Data!AF366,1)</f>
        <v>-21.6</v>
      </c>
      <c r="F366" s="23">
        <f>Data!BO366</f>
        <v>0</v>
      </c>
      <c r="G366" s="3">
        <f>Data!Q366</f>
        <v>0</v>
      </c>
      <c r="H366" s="65">
        <f t="shared" si="74"/>
        <v>777</v>
      </c>
      <c r="I366" s="14">
        <f t="shared" si="77"/>
        <v>0</v>
      </c>
      <c r="J366" s="16">
        <f>Data!BS366</f>
        <v>0</v>
      </c>
      <c r="K366" s="54">
        <f t="shared" si="73"/>
        <v>0</v>
      </c>
      <c r="M366" s="23">
        <f t="shared" si="75"/>
        <v>858.09999899864215</v>
      </c>
      <c r="N366" s="23">
        <f t="shared" si="76"/>
        <v>784.8599999999999</v>
      </c>
      <c r="P366" s="20">
        <f t="shared" si="68"/>
        <v>0.22320463320463324</v>
      </c>
      <c r="Q366" s="20">
        <f t="shared" si="69"/>
        <v>0.22320463320463324</v>
      </c>
      <c r="R366" s="19">
        <f t="shared" si="70"/>
        <v>173.43000000000004</v>
      </c>
      <c r="S366" s="23">
        <f t="shared" si="71"/>
        <v>0</v>
      </c>
      <c r="T366" s="23">
        <f t="shared" si="72"/>
        <v>0</v>
      </c>
    </row>
    <row r="367" spans="1:20" x14ac:dyDescent="0.2">
      <c r="A367" s="40">
        <v>35060</v>
      </c>
      <c r="B367" s="3">
        <v>361</v>
      </c>
      <c r="C367" s="16">
        <f>ROUND(Data!BJ367,2)</f>
        <v>0</v>
      </c>
      <c r="D367" s="3">
        <f>ROUND(Data!R367,1)</f>
        <v>-2.7</v>
      </c>
      <c r="E367" s="3">
        <f>ROUND(Data!AF367,1)</f>
        <v>-15.5</v>
      </c>
      <c r="F367" s="23">
        <f>Data!BO367</f>
        <v>0</v>
      </c>
      <c r="G367" s="3">
        <f>Data!Q367</f>
        <v>0</v>
      </c>
      <c r="H367" s="65">
        <f t="shared" si="74"/>
        <v>757</v>
      </c>
      <c r="I367" s="14">
        <f t="shared" si="77"/>
        <v>0</v>
      </c>
      <c r="J367" s="16">
        <f>Data!BS367</f>
        <v>0</v>
      </c>
      <c r="K367" s="54">
        <f t="shared" si="73"/>
        <v>0</v>
      </c>
      <c r="M367" s="23">
        <f t="shared" si="75"/>
        <v>858.09999899864215</v>
      </c>
      <c r="N367" s="23">
        <f t="shared" si="76"/>
        <v>784.8599999999999</v>
      </c>
      <c r="P367" s="20">
        <f t="shared" si="68"/>
        <v>0.22910171730515197</v>
      </c>
      <c r="Q367" s="20">
        <f t="shared" si="69"/>
        <v>0.22910171730515197</v>
      </c>
      <c r="R367" s="19">
        <f t="shared" si="70"/>
        <v>173.43000000000004</v>
      </c>
      <c r="S367" s="23">
        <f t="shared" si="71"/>
        <v>0</v>
      </c>
      <c r="T367" s="23">
        <f t="shared" si="72"/>
        <v>0</v>
      </c>
    </row>
    <row r="368" spans="1:20" x14ac:dyDescent="0.2">
      <c r="A368" s="40">
        <v>35061</v>
      </c>
      <c r="B368" s="3">
        <v>362</v>
      </c>
      <c r="C368" s="16">
        <f>ROUND(Data!BJ368,2)</f>
        <v>0</v>
      </c>
      <c r="D368" s="3">
        <f>ROUND(Data!R368,1)</f>
        <v>-6</v>
      </c>
      <c r="E368" s="3">
        <f>ROUND(Data!AF368,1)</f>
        <v>-10.9</v>
      </c>
      <c r="F368" s="23">
        <f>Data!BO368</f>
        <v>0</v>
      </c>
      <c r="G368" s="3">
        <f>Data!Q368</f>
        <v>0</v>
      </c>
      <c r="H368" s="65">
        <f t="shared" si="74"/>
        <v>737</v>
      </c>
      <c r="I368" s="14">
        <f t="shared" si="77"/>
        <v>0</v>
      </c>
      <c r="J368" s="16">
        <f>Data!BS368</f>
        <v>0</v>
      </c>
      <c r="K368" s="54">
        <f t="shared" si="73"/>
        <v>0</v>
      </c>
      <c r="M368" s="23">
        <f t="shared" si="75"/>
        <v>858.09999899864215</v>
      </c>
      <c r="N368" s="23">
        <f t="shared" si="76"/>
        <v>784.8599999999999</v>
      </c>
      <c r="P368" s="20">
        <f t="shared" si="68"/>
        <v>0.23531886024423343</v>
      </c>
      <c r="Q368" s="20">
        <f t="shared" si="69"/>
        <v>0.23531886024423343</v>
      </c>
      <c r="R368" s="19">
        <f t="shared" si="70"/>
        <v>173.43000000000004</v>
      </c>
      <c r="S368" s="23">
        <f t="shared" si="71"/>
        <v>0</v>
      </c>
      <c r="T368" s="23">
        <f t="shared" si="72"/>
        <v>0</v>
      </c>
    </row>
    <row r="369" spans="1:20" x14ac:dyDescent="0.2">
      <c r="A369" s="40">
        <v>35062</v>
      </c>
      <c r="B369" s="3">
        <v>363</v>
      </c>
      <c r="C369" s="16">
        <f>ROUND(Data!BJ369,2)</f>
        <v>0</v>
      </c>
      <c r="D369" s="3">
        <f>ROUND(Data!R369,1)</f>
        <v>-2.2000000000000002</v>
      </c>
      <c r="E369" s="3">
        <f>ROUND(Data!AF369,1)</f>
        <v>-9.6</v>
      </c>
      <c r="F369" s="23">
        <f>Data!BO369</f>
        <v>0</v>
      </c>
      <c r="G369" s="3">
        <f>Data!Q369</f>
        <v>0</v>
      </c>
      <c r="H369" s="65">
        <f t="shared" si="74"/>
        <v>798</v>
      </c>
      <c r="I369" s="14">
        <f t="shared" si="77"/>
        <v>7.9</v>
      </c>
      <c r="J369" s="16">
        <f>Data!BS369</f>
        <v>7.5</v>
      </c>
      <c r="K369" s="54">
        <f t="shared" si="73"/>
        <v>7.875</v>
      </c>
      <c r="M369" s="23">
        <f t="shared" si="75"/>
        <v>865.59999899864215</v>
      </c>
      <c r="N369" s="23">
        <f t="shared" si="76"/>
        <v>792.7349999999999</v>
      </c>
      <c r="P369" s="20">
        <f t="shared" si="68"/>
        <v>0.22719924812030079</v>
      </c>
      <c r="Q369" s="20">
        <f t="shared" si="69"/>
        <v>0.22719924812030079</v>
      </c>
      <c r="R369" s="19">
        <f t="shared" si="70"/>
        <v>181.30500000000004</v>
      </c>
      <c r="S369" s="23">
        <f t="shared" si="71"/>
        <v>7.875</v>
      </c>
      <c r="T369" s="23">
        <f t="shared" si="72"/>
        <v>0</v>
      </c>
    </row>
    <row r="370" spans="1:20" x14ac:dyDescent="0.2">
      <c r="A370" s="40">
        <v>35063</v>
      </c>
      <c r="B370" s="3">
        <v>364</v>
      </c>
      <c r="C370" s="16">
        <f>ROUND(Data!BJ370,2)</f>
        <v>0</v>
      </c>
      <c r="D370" s="3">
        <f>ROUND(Data!R370,1)</f>
        <v>-1.1000000000000001</v>
      </c>
      <c r="E370" s="3">
        <f>ROUND(Data!AF370,1)</f>
        <v>-7.8</v>
      </c>
      <c r="F370" s="23">
        <f>Data!BO370</f>
        <v>0</v>
      </c>
      <c r="G370" s="3">
        <f>Data!Q370</f>
        <v>0</v>
      </c>
      <c r="H370" s="65">
        <f t="shared" si="74"/>
        <v>822</v>
      </c>
      <c r="I370" s="14">
        <f t="shared" si="77"/>
        <v>3.1</v>
      </c>
      <c r="J370" s="16">
        <f>Data!BS370</f>
        <v>3</v>
      </c>
      <c r="K370" s="54">
        <f t="shared" si="73"/>
        <v>3.1500000000000004</v>
      </c>
      <c r="M370" s="23">
        <f t="shared" si="75"/>
        <v>868.59999899864215</v>
      </c>
      <c r="N370" s="23">
        <f t="shared" si="76"/>
        <v>795.88499999999988</v>
      </c>
      <c r="P370" s="20">
        <f t="shared" si="68"/>
        <v>0.22439781021897814</v>
      </c>
      <c r="Q370" s="20">
        <f t="shared" si="69"/>
        <v>0.22439781021897814</v>
      </c>
      <c r="R370" s="19">
        <f t="shared" si="70"/>
        <v>184.45500000000004</v>
      </c>
      <c r="S370" s="23">
        <f t="shared" si="71"/>
        <v>3.1500000000000057</v>
      </c>
      <c r="T370" s="23">
        <f t="shared" si="72"/>
        <v>-5.3290705182007514E-15</v>
      </c>
    </row>
    <row r="371" spans="1:20" x14ac:dyDescent="0.2">
      <c r="A371" s="40">
        <v>35064</v>
      </c>
      <c r="B371" s="3">
        <v>365</v>
      </c>
      <c r="C371" s="16">
        <f>ROUND(Data!BJ371,2)</f>
        <v>0</v>
      </c>
      <c r="D371" s="3">
        <f>ROUND(Data!R371,1)</f>
        <v>-0.2</v>
      </c>
      <c r="E371" s="3">
        <f>ROUND(Data!AF371,1)</f>
        <v>-6.1</v>
      </c>
      <c r="F371" s="23">
        <f>Data!BO371</f>
        <v>0</v>
      </c>
      <c r="G371" s="3">
        <f>Data!Q371</f>
        <v>0</v>
      </c>
      <c r="H371" s="65">
        <f t="shared" si="74"/>
        <v>858</v>
      </c>
      <c r="I371" s="14">
        <f t="shared" si="77"/>
        <v>4.7</v>
      </c>
      <c r="J371" s="16">
        <f>Data!BS371</f>
        <v>4.5</v>
      </c>
      <c r="K371" s="54">
        <f t="shared" si="73"/>
        <v>4.7250000000000005</v>
      </c>
      <c r="M371" s="23">
        <f t="shared" si="75"/>
        <v>873.09999899864215</v>
      </c>
      <c r="N371" s="23">
        <f t="shared" si="76"/>
        <v>800.6099999999999</v>
      </c>
      <c r="P371" s="20">
        <f t="shared" si="68"/>
        <v>0.22048951048951054</v>
      </c>
      <c r="Q371" s="20">
        <f t="shared" si="69"/>
        <v>0.22048951048951054</v>
      </c>
      <c r="R371" s="19">
        <f t="shared" si="70"/>
        <v>189.18000000000004</v>
      </c>
      <c r="S371" s="23">
        <f t="shared" si="71"/>
        <v>4.7249999999999943</v>
      </c>
      <c r="T371" s="23">
        <f t="shared" si="72"/>
        <v>0</v>
      </c>
    </row>
    <row r="373" spans="1:20" x14ac:dyDescent="0.2">
      <c r="A373" s="3" t="s">
        <v>122</v>
      </c>
    </row>
    <row r="374" spans="1:20" x14ac:dyDescent="0.2">
      <c r="A374" s="3" t="s">
        <v>89</v>
      </c>
      <c r="K374" s="37">
        <f>ROUND(SUM(K6:K36),1)</f>
        <v>56.3</v>
      </c>
    </row>
    <row r="375" spans="1:20" x14ac:dyDescent="0.2">
      <c r="A375" s="3" t="s">
        <v>90</v>
      </c>
      <c r="K375" s="37">
        <f>ROUND(SUM(K37:K64),1)</f>
        <v>38.6</v>
      </c>
    </row>
    <row r="376" spans="1:20" x14ac:dyDescent="0.2">
      <c r="A376" s="3" t="s">
        <v>91</v>
      </c>
      <c r="K376" s="37">
        <f>ROUND(SUM(K65:K95),1)</f>
        <v>38.5</v>
      </c>
    </row>
    <row r="377" spans="1:20" x14ac:dyDescent="0.2">
      <c r="A377" s="3" t="s">
        <v>92</v>
      </c>
      <c r="K377" s="37">
        <f>ROUND(SUM(K96:K125),1)</f>
        <v>47.9</v>
      </c>
    </row>
    <row r="378" spans="1:20" x14ac:dyDescent="0.2">
      <c r="A378" s="3" t="s">
        <v>93</v>
      </c>
      <c r="K378" s="37">
        <f>ROUND(SUM(K127:K157),1)</f>
        <v>30.1</v>
      </c>
    </row>
    <row r="379" spans="1:20" x14ac:dyDescent="0.2">
      <c r="A379" s="3" t="s">
        <v>94</v>
      </c>
      <c r="K379" s="46">
        <f>ROUND(SUM(K158:K187),1)</f>
        <v>65</v>
      </c>
    </row>
    <row r="380" spans="1:20" x14ac:dyDescent="0.2">
      <c r="A380" s="3" t="s">
        <v>95</v>
      </c>
      <c r="K380" s="46">
        <f>ROUND(SUM(K188:K218),1)</f>
        <v>68</v>
      </c>
    </row>
    <row r="381" spans="1:20" x14ac:dyDescent="0.2">
      <c r="A381" s="3" t="s">
        <v>96</v>
      </c>
      <c r="K381" s="46">
        <f>ROUND(SUM(K219:K249),1)</f>
        <v>110</v>
      </c>
    </row>
    <row r="382" spans="1:20" x14ac:dyDescent="0.2">
      <c r="A382" s="3" t="s">
        <v>97</v>
      </c>
      <c r="K382" s="46">
        <f>ROUND(SUM(K250:K279),1)</f>
        <v>32</v>
      </c>
    </row>
    <row r="383" spans="1:20" x14ac:dyDescent="0.2">
      <c r="A383" s="3" t="s">
        <v>98</v>
      </c>
      <c r="K383" s="46">
        <f>ROUND(SUM(K280:K310),1)</f>
        <v>126.3</v>
      </c>
    </row>
    <row r="384" spans="1:20" x14ac:dyDescent="0.2">
      <c r="A384" s="3" t="s">
        <v>99</v>
      </c>
      <c r="K384" s="45">
        <f>ROUND(SUM(K311:K340),1)</f>
        <v>110.7</v>
      </c>
      <c r="M384" s="3"/>
      <c r="N384" s="3"/>
    </row>
    <row r="385" spans="1:14" x14ac:dyDescent="0.2">
      <c r="A385" s="3" t="s">
        <v>100</v>
      </c>
      <c r="K385" s="53">
        <f>ROUND(SUM(K341:K371),1)</f>
        <v>77.2</v>
      </c>
      <c r="M385" s="3"/>
      <c r="N385" s="3"/>
    </row>
    <row r="386" spans="1:14" x14ac:dyDescent="0.2">
      <c r="K386" s="36"/>
      <c r="M386" s="3"/>
      <c r="N386" s="3"/>
    </row>
    <row r="387" spans="1:14" x14ac:dyDescent="0.2">
      <c r="K387" s="14">
        <f>SUM(K374:K385)</f>
        <v>800.6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V399"/>
  <sheetViews>
    <sheetView tabSelected="1" workbookViewId="0">
      <pane xSplit="2" ySplit="5" topLeftCell="BW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2" width="9.140625" style="1"/>
    <col min="3" max="58" width="6.7109375" style="1" customWidth="1"/>
    <col min="59" max="64" width="6.7109375" style="2" customWidth="1"/>
    <col min="65" max="146" width="6.7109375" style="1" customWidth="1"/>
    <col min="147" max="16384" width="9.140625" style="1"/>
  </cols>
  <sheetData>
    <row r="1" spans="1:131" x14ac:dyDescent="0.2">
      <c r="A1" s="1" t="s">
        <v>123</v>
      </c>
      <c r="D1" s="3" t="s">
        <v>124</v>
      </c>
      <c r="E1" s="3"/>
      <c r="F1" s="3"/>
      <c r="G1" s="3"/>
      <c r="H1" s="3"/>
      <c r="J1" s="3" t="s">
        <v>51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BF1" s="1">
        <v>3485</v>
      </c>
      <c r="BG1" s="5"/>
      <c r="BH1" s="3"/>
      <c r="BI1" s="3">
        <f>2.02</f>
        <v>2.02</v>
      </c>
      <c r="BJ1" s="2" t="s">
        <v>57</v>
      </c>
      <c r="BM1" s="1" t="s">
        <v>134</v>
      </c>
      <c r="BQ1" s="1" t="s">
        <v>67</v>
      </c>
      <c r="BV1" s="8"/>
    </row>
    <row r="2" spans="1:131" x14ac:dyDescent="0.2">
      <c r="A2" s="3" t="s">
        <v>235</v>
      </c>
      <c r="D2" s="3"/>
      <c r="E2" s="3"/>
      <c r="F2" s="3"/>
      <c r="G2" s="3"/>
      <c r="H2" s="3"/>
      <c r="I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BG2" s="5"/>
      <c r="BH2" s="3"/>
      <c r="BJ2" s="4">
        <v>1</v>
      </c>
      <c r="BK2" s="4">
        <v>1.08</v>
      </c>
      <c r="BM2" s="1">
        <f>MAX(BM7:BM347)</f>
        <v>100</v>
      </c>
      <c r="BP2" s="67" t="s">
        <v>229</v>
      </c>
      <c r="BQ2" s="68" t="s">
        <v>230</v>
      </c>
      <c r="BS2" s="44">
        <v>1.4</v>
      </c>
      <c r="BV2" s="8"/>
      <c r="BW2" s="3" t="s">
        <v>184</v>
      </c>
    </row>
    <row r="3" spans="1:131" x14ac:dyDescent="0.2">
      <c r="C3" s="6" t="s">
        <v>0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1</v>
      </c>
      <c r="J3" s="6" t="s">
        <v>1</v>
      </c>
      <c r="K3" s="6" t="s">
        <v>1</v>
      </c>
      <c r="L3" s="6" t="s">
        <v>1</v>
      </c>
      <c r="M3" s="6" t="s">
        <v>1</v>
      </c>
      <c r="N3" s="6" t="s">
        <v>1</v>
      </c>
      <c r="O3" s="6" t="s">
        <v>1</v>
      </c>
      <c r="P3" s="6" t="s">
        <v>1</v>
      </c>
      <c r="Q3" s="6" t="s">
        <v>0</v>
      </c>
      <c r="R3" s="6" t="s">
        <v>2</v>
      </c>
      <c r="S3" s="6" t="s">
        <v>3</v>
      </c>
      <c r="T3" s="6" t="s">
        <v>4</v>
      </c>
      <c r="U3" s="6" t="s">
        <v>3</v>
      </c>
      <c r="V3" s="6" t="s">
        <v>4</v>
      </c>
      <c r="W3" s="6" t="s">
        <v>4</v>
      </c>
      <c r="X3" s="6" t="s">
        <v>4</v>
      </c>
      <c r="Y3" s="6" t="s">
        <v>4</v>
      </c>
      <c r="Z3" s="6" t="s">
        <v>4</v>
      </c>
      <c r="AA3" s="6" t="s">
        <v>4</v>
      </c>
      <c r="AB3" s="6" t="s">
        <v>4</v>
      </c>
      <c r="AC3" s="6" t="s">
        <v>4</v>
      </c>
      <c r="AD3" s="6" t="s">
        <v>4</v>
      </c>
      <c r="AE3" s="6" t="s">
        <v>3</v>
      </c>
      <c r="AF3" s="6" t="s">
        <v>5</v>
      </c>
      <c r="AG3" s="6" t="s">
        <v>3</v>
      </c>
      <c r="AH3" s="6" t="s">
        <v>5</v>
      </c>
      <c r="AI3" s="6" t="s">
        <v>3</v>
      </c>
      <c r="AJ3" s="6" t="s">
        <v>5</v>
      </c>
      <c r="AK3" s="6" t="s">
        <v>5</v>
      </c>
      <c r="AL3" s="6" t="s">
        <v>5</v>
      </c>
      <c r="AM3" s="6" t="s">
        <v>5</v>
      </c>
      <c r="AN3" s="6" t="s">
        <v>5</v>
      </c>
      <c r="AO3" s="6" t="s">
        <v>5</v>
      </c>
      <c r="AP3" s="6" t="s">
        <v>5</v>
      </c>
      <c r="AQ3" s="6" t="s">
        <v>5</v>
      </c>
      <c r="AR3" s="7" t="s">
        <v>6</v>
      </c>
      <c r="BH3" s="1"/>
      <c r="BI3" s="3"/>
      <c r="BJ3" s="2" t="s">
        <v>58</v>
      </c>
      <c r="BM3" s="1">
        <v>0.92400000000000004</v>
      </c>
      <c r="BP3" s="6"/>
      <c r="BQ3" s="6"/>
      <c r="BU3" s="51">
        <v>1.5</v>
      </c>
      <c r="BV3" s="8"/>
      <c r="BX3" s="63"/>
      <c r="BY3" s="63"/>
      <c r="BZ3" s="63"/>
      <c r="CA3" s="63"/>
      <c r="CB3" s="63"/>
      <c r="CC3" s="63"/>
      <c r="CD3" s="63"/>
      <c r="CE3" s="63"/>
      <c r="CF3" s="63"/>
      <c r="CW3" s="1" t="s">
        <v>185</v>
      </c>
      <c r="CY3"/>
      <c r="CZ3"/>
      <c r="DA3"/>
      <c r="DB3"/>
      <c r="DC3"/>
      <c r="DD3" s="8"/>
      <c r="DE3" s="8"/>
      <c r="DF3" s="8" t="s">
        <v>104</v>
      </c>
      <c r="DW3" s="1" t="s">
        <v>125</v>
      </c>
    </row>
    <row r="4" spans="1:131" x14ac:dyDescent="0.2"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56</v>
      </c>
      <c r="K4" s="6" t="s">
        <v>56</v>
      </c>
      <c r="L4" s="6" t="s">
        <v>14</v>
      </c>
      <c r="M4" s="6" t="s">
        <v>14</v>
      </c>
      <c r="N4" s="6" t="s">
        <v>14</v>
      </c>
      <c r="O4" s="6" t="s">
        <v>15</v>
      </c>
      <c r="P4" s="6" t="s">
        <v>16</v>
      </c>
      <c r="Q4" s="6" t="s">
        <v>17</v>
      </c>
      <c r="R4" s="6" t="s">
        <v>9</v>
      </c>
      <c r="S4" s="6" t="s">
        <v>18</v>
      </c>
      <c r="T4" s="6" t="s">
        <v>10</v>
      </c>
      <c r="U4" s="6" t="s">
        <v>10</v>
      </c>
      <c r="V4" s="6" t="s">
        <v>11</v>
      </c>
      <c r="W4" s="6" t="s">
        <v>12</v>
      </c>
      <c r="X4" s="6" t="s">
        <v>13</v>
      </c>
      <c r="Y4" s="6" t="s">
        <v>56</v>
      </c>
      <c r="Z4" s="6" t="s">
        <v>56</v>
      </c>
      <c r="AA4" s="6" t="s">
        <v>14</v>
      </c>
      <c r="AB4" s="6" t="s">
        <v>14</v>
      </c>
      <c r="AC4" s="6" t="s">
        <v>14</v>
      </c>
      <c r="AD4" s="6" t="s">
        <v>19</v>
      </c>
      <c r="AE4" s="6" t="s">
        <v>20</v>
      </c>
      <c r="AF4" s="6" t="s">
        <v>9</v>
      </c>
      <c r="AG4" s="6" t="s">
        <v>18</v>
      </c>
      <c r="AH4" s="6" t="s">
        <v>10</v>
      </c>
      <c r="AI4" s="6" t="s">
        <v>10</v>
      </c>
      <c r="AJ4" s="6" t="s">
        <v>11</v>
      </c>
      <c r="AK4" s="6" t="s">
        <v>12</v>
      </c>
      <c r="AL4" s="6" t="s">
        <v>13</v>
      </c>
      <c r="AM4" s="6" t="s">
        <v>56</v>
      </c>
      <c r="AN4" s="6" t="s">
        <v>56</v>
      </c>
      <c r="AO4" s="6" t="s">
        <v>14</v>
      </c>
      <c r="AP4" s="6" t="s">
        <v>14</v>
      </c>
      <c r="AQ4" s="6" t="s">
        <v>14</v>
      </c>
      <c r="AZ4" s="6" t="s">
        <v>21</v>
      </c>
      <c r="BA4" s="6" t="s">
        <v>22</v>
      </c>
      <c r="BB4" s="6" t="s">
        <v>23</v>
      </c>
      <c r="BC4" s="6" t="s">
        <v>50</v>
      </c>
      <c r="BD4" s="6" t="s">
        <v>47</v>
      </c>
      <c r="BE4" s="6" t="s">
        <v>47</v>
      </c>
      <c r="BF4" s="9" t="s">
        <v>45</v>
      </c>
      <c r="BG4" s="3"/>
      <c r="BH4" s="3" t="s">
        <v>60</v>
      </c>
      <c r="BI4" s="3" t="s">
        <v>61</v>
      </c>
      <c r="BJ4" s="2" t="s">
        <v>59</v>
      </c>
      <c r="BK4" s="2" t="s">
        <v>8</v>
      </c>
      <c r="BL4" s="2">
        <f>MAX(BM7:BM371)</f>
        <v>100</v>
      </c>
      <c r="BM4" s="1">
        <v>1</v>
      </c>
      <c r="BN4" s="8"/>
      <c r="BP4" s="6" t="s">
        <v>182</v>
      </c>
      <c r="BQ4" s="6" t="s">
        <v>183</v>
      </c>
      <c r="BS4" s="44" t="s">
        <v>126</v>
      </c>
      <c r="BU4" s="51" t="s">
        <v>128</v>
      </c>
      <c r="BV4" s="8"/>
      <c r="BW4" s="6" t="s">
        <v>59</v>
      </c>
      <c r="BX4" s="3" t="s">
        <v>8</v>
      </c>
      <c r="BY4" s="8" t="s">
        <v>186</v>
      </c>
      <c r="BZ4" s="8" t="s">
        <v>187</v>
      </c>
      <c r="CA4" s="8" t="s">
        <v>188</v>
      </c>
      <c r="CB4" s="8" t="s">
        <v>189</v>
      </c>
      <c r="CC4" s="8" t="s">
        <v>190</v>
      </c>
      <c r="CD4" s="8" t="s">
        <v>191</v>
      </c>
      <c r="CE4" s="8" t="s">
        <v>192</v>
      </c>
      <c r="CF4" s="8" t="s">
        <v>193</v>
      </c>
      <c r="CG4" s="3" t="s">
        <v>194</v>
      </c>
      <c r="CH4" s="8" t="s">
        <v>195</v>
      </c>
      <c r="CI4" s="8" t="s">
        <v>196</v>
      </c>
      <c r="CJ4" s="8" t="s">
        <v>197</v>
      </c>
      <c r="CK4" s="8" t="s">
        <v>198</v>
      </c>
      <c r="CL4" s="8" t="s">
        <v>199</v>
      </c>
      <c r="CM4" s="8" t="s">
        <v>200</v>
      </c>
      <c r="CN4" s="3" t="s">
        <v>201</v>
      </c>
      <c r="CO4" s="3" t="s">
        <v>202</v>
      </c>
      <c r="CP4" s="8" t="s">
        <v>203</v>
      </c>
      <c r="CQ4" s="8" t="s">
        <v>204</v>
      </c>
      <c r="CR4" s="8" t="s">
        <v>205</v>
      </c>
      <c r="CS4" s="8" t="s">
        <v>206</v>
      </c>
      <c r="CT4" s="8" t="s">
        <v>207</v>
      </c>
      <c r="CU4" s="8" t="s">
        <v>208</v>
      </c>
      <c r="CV4" s="3" t="s">
        <v>209</v>
      </c>
      <c r="CW4" s="3" t="s">
        <v>114</v>
      </c>
      <c r="CX4" s="1" t="s">
        <v>105</v>
      </c>
      <c r="CY4" s="6" t="s">
        <v>72</v>
      </c>
      <c r="CZ4" s="6" t="s">
        <v>80</v>
      </c>
      <c r="DA4" s="8" t="s">
        <v>210</v>
      </c>
      <c r="DB4" s="8" t="s">
        <v>211</v>
      </c>
      <c r="DC4" s="1" t="s">
        <v>212</v>
      </c>
      <c r="DD4" s="8"/>
      <c r="DE4" s="8"/>
      <c r="DF4" s="8" t="s">
        <v>54</v>
      </c>
      <c r="DG4" s="1" t="s">
        <v>54</v>
      </c>
      <c r="DH4" s="1" t="s">
        <v>54</v>
      </c>
      <c r="DI4" s="1" t="s">
        <v>55</v>
      </c>
      <c r="DJ4" s="1" t="s">
        <v>55</v>
      </c>
      <c r="DW4" s="1" t="s">
        <v>172</v>
      </c>
      <c r="DX4" s="1" t="s">
        <v>111</v>
      </c>
      <c r="DY4" s="1" t="s">
        <v>112</v>
      </c>
    </row>
    <row r="5" spans="1:131" x14ac:dyDescent="0.2">
      <c r="A5" s="9" t="s">
        <v>42</v>
      </c>
      <c r="B5" s="6" t="s">
        <v>120</v>
      </c>
      <c r="C5" s="10" t="s">
        <v>52</v>
      </c>
      <c r="D5" s="11" t="s">
        <v>53</v>
      </c>
      <c r="E5" s="10" t="s">
        <v>54</v>
      </c>
      <c r="F5" s="12" t="s">
        <v>55</v>
      </c>
      <c r="G5" s="12" t="s">
        <v>54</v>
      </c>
      <c r="H5" s="12" t="s">
        <v>54</v>
      </c>
      <c r="I5" s="12" t="s">
        <v>54</v>
      </c>
      <c r="J5" s="10" t="s">
        <v>24</v>
      </c>
      <c r="K5" s="10" t="s">
        <v>25</v>
      </c>
      <c r="L5" s="10" t="s">
        <v>26</v>
      </c>
      <c r="M5" s="10" t="s">
        <v>27</v>
      </c>
      <c r="N5" s="10" t="s">
        <v>28</v>
      </c>
      <c r="O5" s="10" t="s">
        <v>29</v>
      </c>
      <c r="P5" s="10" t="s">
        <v>30</v>
      </c>
      <c r="Q5" s="10" t="s">
        <v>46</v>
      </c>
      <c r="R5" s="10" t="s">
        <v>54</v>
      </c>
      <c r="S5" s="12"/>
      <c r="T5" s="12" t="s">
        <v>55</v>
      </c>
      <c r="U5" s="12"/>
      <c r="V5" s="10" t="s">
        <v>54</v>
      </c>
      <c r="W5" s="10" t="s">
        <v>54</v>
      </c>
      <c r="X5" s="10" t="s">
        <v>54</v>
      </c>
      <c r="Y5" s="10" t="s">
        <v>24</v>
      </c>
      <c r="Z5" s="10" t="s">
        <v>25</v>
      </c>
      <c r="AA5" s="10" t="s">
        <v>26</v>
      </c>
      <c r="AB5" s="10" t="s">
        <v>27</v>
      </c>
      <c r="AC5" s="10" t="s">
        <v>28</v>
      </c>
      <c r="AD5" s="12" t="s">
        <v>43</v>
      </c>
      <c r="AE5" s="12" t="s">
        <v>43</v>
      </c>
      <c r="AF5" s="12" t="s">
        <v>54</v>
      </c>
      <c r="AG5" s="12" t="s">
        <v>54</v>
      </c>
      <c r="AH5" s="12" t="s">
        <v>55</v>
      </c>
      <c r="AI5" s="12"/>
      <c r="AJ5" s="12" t="s">
        <v>54</v>
      </c>
      <c r="AK5" s="12" t="s">
        <v>54</v>
      </c>
      <c r="AL5" s="12" t="s">
        <v>54</v>
      </c>
      <c r="AM5" s="6" t="s">
        <v>24</v>
      </c>
      <c r="AN5" s="6" t="s">
        <v>25</v>
      </c>
      <c r="AO5" s="6" t="s">
        <v>26</v>
      </c>
      <c r="AP5" s="6" t="s">
        <v>27</v>
      </c>
      <c r="AQ5" s="6" t="s">
        <v>28</v>
      </c>
      <c r="AR5" s="6" t="s">
        <v>31</v>
      </c>
      <c r="AS5" s="6" t="s">
        <v>32</v>
      </c>
      <c r="AT5" s="6" t="s">
        <v>33</v>
      </c>
      <c r="AU5" s="6" t="s">
        <v>34</v>
      </c>
      <c r="AV5" s="6" t="s">
        <v>35</v>
      </c>
      <c r="AW5" s="6" t="s">
        <v>36</v>
      </c>
      <c r="AX5" s="6" t="s">
        <v>37</v>
      </c>
      <c r="AY5" s="6" t="s">
        <v>38</v>
      </c>
      <c r="AZ5" s="6" t="s">
        <v>39</v>
      </c>
      <c r="BA5" s="6" t="s">
        <v>40</v>
      </c>
      <c r="BB5" s="6" t="s">
        <v>41</v>
      </c>
      <c r="BD5" s="6" t="s">
        <v>49</v>
      </c>
      <c r="BE5" s="6" t="s">
        <v>48</v>
      </c>
      <c r="BF5" s="9" t="s">
        <v>46</v>
      </c>
      <c r="BG5" s="3"/>
      <c r="BH5" s="12" t="s">
        <v>52</v>
      </c>
      <c r="BI5" s="3" t="s">
        <v>53</v>
      </c>
      <c r="BM5" s="1" t="s">
        <v>63</v>
      </c>
      <c r="BN5" s="1" t="s">
        <v>62</v>
      </c>
      <c r="BO5" s="1" t="s">
        <v>64</v>
      </c>
      <c r="BP5" s="13" t="s">
        <v>44</v>
      </c>
      <c r="BQ5" s="13" t="s">
        <v>44</v>
      </c>
      <c r="BS5" s="1" t="s">
        <v>104</v>
      </c>
      <c r="BT5" s="44" t="s">
        <v>125</v>
      </c>
      <c r="BV5" s="8"/>
      <c r="BW5" s="10" t="s">
        <v>52</v>
      </c>
      <c r="BX5" s="3" t="s">
        <v>53</v>
      </c>
      <c r="BY5" s="10" t="s">
        <v>54</v>
      </c>
      <c r="BZ5" s="10" t="s">
        <v>54</v>
      </c>
      <c r="CA5" s="10" t="s">
        <v>54</v>
      </c>
      <c r="CB5" s="10" t="s">
        <v>54</v>
      </c>
      <c r="CC5" s="10" t="s">
        <v>54</v>
      </c>
      <c r="CD5" s="10" t="s">
        <v>54</v>
      </c>
      <c r="CE5" s="10" t="s">
        <v>54</v>
      </c>
      <c r="CF5" s="12" t="s">
        <v>55</v>
      </c>
      <c r="CG5" s="10" t="s">
        <v>54</v>
      </c>
      <c r="CH5" s="10" t="s">
        <v>54</v>
      </c>
      <c r="CI5" s="10" t="s">
        <v>54</v>
      </c>
      <c r="CJ5" s="10" t="s">
        <v>54</v>
      </c>
      <c r="CK5" s="10" t="s">
        <v>54</v>
      </c>
      <c r="CL5" s="10" t="s">
        <v>54</v>
      </c>
      <c r="CM5" s="10" t="s">
        <v>54</v>
      </c>
      <c r="CN5" s="12" t="s">
        <v>55</v>
      </c>
      <c r="CO5" s="10" t="s">
        <v>54</v>
      </c>
      <c r="CP5" s="10" t="s">
        <v>54</v>
      </c>
      <c r="CQ5" s="10" t="s">
        <v>54</v>
      </c>
      <c r="CR5" s="10" t="s">
        <v>54</v>
      </c>
      <c r="CS5" s="10" t="s">
        <v>54</v>
      </c>
      <c r="CT5" s="10" t="s">
        <v>54</v>
      </c>
      <c r="CU5" s="10" t="s">
        <v>54</v>
      </c>
      <c r="CV5" s="12" t="s">
        <v>55</v>
      </c>
      <c r="CW5" s="1" t="s">
        <v>46</v>
      </c>
      <c r="CX5" s="1" t="s">
        <v>213</v>
      </c>
      <c r="CY5" s="1" t="s">
        <v>43</v>
      </c>
      <c r="CZ5" s="1" t="s">
        <v>43</v>
      </c>
      <c r="DA5" s="1" t="s">
        <v>44</v>
      </c>
      <c r="DB5" s="1" t="s">
        <v>44</v>
      </c>
      <c r="DC5" s="1" t="s">
        <v>214</v>
      </c>
      <c r="DF5" s="1" t="s">
        <v>135</v>
      </c>
      <c r="DG5" s="1" t="s">
        <v>111</v>
      </c>
      <c r="DH5" s="1" t="s">
        <v>112</v>
      </c>
      <c r="DI5" s="1" t="s">
        <v>136</v>
      </c>
      <c r="DJ5" s="1" t="s">
        <v>113</v>
      </c>
      <c r="DW5" s="1" t="s">
        <v>54</v>
      </c>
      <c r="DX5" s="1" t="s">
        <v>54</v>
      </c>
      <c r="DY5" s="1" t="s">
        <v>54</v>
      </c>
    </row>
    <row r="6" spans="1:131" x14ac:dyDescent="0.2">
      <c r="BF6" s="3">
        <v>842</v>
      </c>
      <c r="BG6" s="3"/>
      <c r="BH6" s="3"/>
      <c r="BI6" s="3"/>
      <c r="BV6" s="8"/>
      <c r="BW6"/>
      <c r="BX6"/>
      <c r="BY6"/>
      <c r="BZ6"/>
      <c r="CA6"/>
      <c r="CB6"/>
      <c r="CC6"/>
      <c r="CD6"/>
      <c r="CE6"/>
      <c r="CF6"/>
      <c r="CY6"/>
      <c r="CZ6"/>
      <c r="DA6"/>
      <c r="DB6"/>
      <c r="EA6" s="1" t="s">
        <v>174</v>
      </c>
    </row>
    <row r="7" spans="1:131" x14ac:dyDescent="0.2">
      <c r="A7" s="40">
        <v>34700</v>
      </c>
      <c r="B7" s="3">
        <v>1</v>
      </c>
      <c r="C7" s="3">
        <v>4.29</v>
      </c>
      <c r="D7" s="3">
        <v>7.65</v>
      </c>
      <c r="E7" s="3">
        <v>-15.64</v>
      </c>
      <c r="F7" s="3">
        <v>90.6</v>
      </c>
      <c r="G7" s="3">
        <v>-16.52</v>
      </c>
      <c r="H7" s="3">
        <v>-18.14</v>
      </c>
      <c r="I7" s="3">
        <v>5.8000000000000003E-2</v>
      </c>
      <c r="J7" s="3">
        <v>-17.71</v>
      </c>
      <c r="K7" s="3">
        <v>-16.73</v>
      </c>
      <c r="L7" s="3">
        <v>0.52600000000000002</v>
      </c>
      <c r="M7" s="3">
        <v>1.286</v>
      </c>
      <c r="N7" s="3">
        <v>1.956</v>
      </c>
      <c r="O7" s="3">
        <v>0</v>
      </c>
      <c r="P7" s="16">
        <v>1.4760000000000002</v>
      </c>
      <c r="Q7" s="3"/>
      <c r="R7" s="3">
        <v>-4.4539999999999997</v>
      </c>
      <c r="S7" s="3">
        <v>1423</v>
      </c>
      <c r="T7" s="3">
        <v>98</v>
      </c>
      <c r="U7" s="3">
        <v>1632</v>
      </c>
      <c r="V7" s="3">
        <v>-4.7469999999999999</v>
      </c>
      <c r="W7" s="3">
        <v>-9.19</v>
      </c>
      <c r="X7" s="3">
        <v>0.16400000000000001</v>
      </c>
      <c r="Y7" s="3">
        <v>-4.3499999999999996</v>
      </c>
      <c r="Z7" s="3">
        <v>-5.7930000000000001</v>
      </c>
      <c r="AA7" s="3">
        <v>0.621</v>
      </c>
      <c r="AB7" s="3">
        <v>1.3819999999999999</v>
      </c>
      <c r="AC7" s="3">
        <v>2.0569999999999999</v>
      </c>
      <c r="AD7" s="16">
        <v>2.9941666666666671</v>
      </c>
      <c r="AE7" s="3">
        <v>2231</v>
      </c>
      <c r="AF7" s="3">
        <v>-20.36</v>
      </c>
      <c r="AG7" s="3">
        <v>25</v>
      </c>
      <c r="AH7" s="3">
        <v>79.2</v>
      </c>
      <c r="AI7" s="3">
        <v>1423</v>
      </c>
      <c r="AJ7" s="3">
        <v>-21.16</v>
      </c>
      <c r="AK7" s="3">
        <v>-22.66</v>
      </c>
      <c r="AL7" s="3">
        <v>-3.4000000000000002E-2</v>
      </c>
      <c r="AM7" s="3">
        <v>-22.47</v>
      </c>
      <c r="AN7" s="3">
        <v>-21.48</v>
      </c>
      <c r="AO7" s="3">
        <v>0.45700000000000002</v>
      </c>
      <c r="AP7" s="3">
        <v>1.2110000000000001</v>
      </c>
      <c r="AQ7" s="3">
        <v>1.8680000000000001</v>
      </c>
      <c r="AR7" s="3">
        <v>3.0000000000000001E-3</v>
      </c>
      <c r="AS7" s="3">
        <v>0.27100000000000002</v>
      </c>
      <c r="AT7" s="3">
        <v>0.64400000000000002</v>
      </c>
      <c r="AU7" s="3">
        <v>3.5000000000000003E-2</v>
      </c>
      <c r="AV7" s="3">
        <v>4.5999999999999999E-2</v>
      </c>
      <c r="AW7" s="3">
        <v>0</v>
      </c>
      <c r="AX7" s="3">
        <v>0</v>
      </c>
      <c r="AY7" s="3">
        <v>0</v>
      </c>
      <c r="AZ7" s="3">
        <v>-17.82</v>
      </c>
      <c r="BA7" s="3">
        <v>2643</v>
      </c>
      <c r="BB7" s="3">
        <v>12.31</v>
      </c>
      <c r="BC7" s="3">
        <v>2876</v>
      </c>
      <c r="BD7" s="3"/>
      <c r="BE7" s="3"/>
      <c r="BF7" s="3">
        <f>BF$1-BA7</f>
        <v>842</v>
      </c>
      <c r="BG7" s="15"/>
      <c r="BH7" s="16">
        <v>4.59</v>
      </c>
      <c r="BI7" s="16">
        <f t="shared" ref="BI7:BI38" si="0">BH7*$BI$1</f>
        <v>9.2717999999999989</v>
      </c>
      <c r="BJ7" s="17">
        <f t="shared" ref="BJ7:BJ70" si="1">ROUND(C7*BJ$2,2)</f>
        <v>4.29</v>
      </c>
      <c r="BK7" s="17">
        <f t="shared" ref="BK7:BK70" si="2">ROUND(D7*BK$2,2)</f>
        <v>8.26</v>
      </c>
      <c r="BM7" s="1">
        <f t="shared" ref="BM7:BM70" si="3">ROUND(T7*BM$3+BM$4,1)</f>
        <v>91.6</v>
      </c>
      <c r="BN7" s="1">
        <f t="shared" ref="BN7:BN70" si="4">ROUND(F7*BM$3+BM$4,1)</f>
        <v>84.7</v>
      </c>
      <c r="BO7" s="1">
        <f t="shared" ref="BO7:BO70" si="5">ROUND(AH7*BM$3+BM$4,1)</f>
        <v>74.2</v>
      </c>
      <c r="BP7" s="62">
        <f>ROUND(0.6105*(EXP((17.273*R7)/(R7+237.3)))*BO7/100, 3)</f>
        <v>0.32600000000000001</v>
      </c>
      <c r="BQ7" s="62">
        <f t="shared" ref="BQ7:BQ70" si="6">ROUND((100-BO7)*BP7/BO7,3)</f>
        <v>0.113</v>
      </c>
      <c r="BS7" s="39"/>
      <c r="BT7" s="8"/>
      <c r="BV7" s="8"/>
      <c r="BW7" s="16">
        <f t="shared" ref="BW7:BX22" si="7">BJ7</f>
        <v>4.29</v>
      </c>
      <c r="BX7" s="16">
        <f t="shared" si="7"/>
        <v>8.26</v>
      </c>
      <c r="BY7" s="3">
        <f t="shared" ref="BY7:BY24" si="8">ROUND(E7,1)</f>
        <v>-15.6</v>
      </c>
      <c r="BZ7" s="3">
        <f t="shared" ref="BZ7:CB22" si="9">ROUND(G7,1)</f>
        <v>-16.5</v>
      </c>
      <c r="CA7" s="3">
        <f t="shared" si="9"/>
        <v>-18.100000000000001</v>
      </c>
      <c r="CB7" s="3">
        <f t="shared" si="9"/>
        <v>0.1</v>
      </c>
      <c r="CC7" s="3">
        <f t="shared" ref="CC7:CE22" si="10">ROUND(L7,1)</f>
        <v>0.5</v>
      </c>
      <c r="CD7" s="3">
        <f t="shared" si="10"/>
        <v>1.3</v>
      </c>
      <c r="CE7" s="3">
        <f t="shared" si="10"/>
        <v>2</v>
      </c>
      <c r="CF7" s="23">
        <f t="shared" ref="CF7:CF24" si="11">ROUND(BN7,1)</f>
        <v>84.7</v>
      </c>
      <c r="CG7" s="1">
        <f t="shared" ref="CG7:CG24" si="12">ROUND(R7,1)</f>
        <v>-4.5</v>
      </c>
      <c r="CH7" s="1">
        <f t="shared" ref="CH7:CJ22" si="13">ROUND(V7,1)</f>
        <v>-4.7</v>
      </c>
      <c r="CI7" s="1">
        <f t="shared" si="13"/>
        <v>-9.1999999999999993</v>
      </c>
      <c r="CJ7" s="1">
        <f t="shared" si="13"/>
        <v>0.2</v>
      </c>
      <c r="CK7" s="1">
        <f t="shared" ref="CK7:CM22" si="14">ROUND(AA7,1)</f>
        <v>0.6</v>
      </c>
      <c r="CL7" s="1">
        <f t="shared" si="14"/>
        <v>1.4</v>
      </c>
      <c r="CM7" s="1">
        <f t="shared" si="14"/>
        <v>2.1</v>
      </c>
      <c r="CN7" s="2">
        <f t="shared" ref="CN7:CN24" si="15">ROUND(BM7,1)</f>
        <v>91.6</v>
      </c>
      <c r="CO7" s="1">
        <f t="shared" ref="CO7:CO24" si="16">ROUND(AF7,1)</f>
        <v>-20.399999999999999</v>
      </c>
      <c r="CP7" s="1">
        <f t="shared" ref="CP7:CR22" si="17">ROUND(AJ7,1)</f>
        <v>-21.2</v>
      </c>
      <c r="CQ7" s="1">
        <f t="shared" si="17"/>
        <v>-22.7</v>
      </c>
      <c r="CR7" s="1">
        <f t="shared" si="17"/>
        <v>0</v>
      </c>
      <c r="CS7" s="1">
        <f t="shared" ref="CS7:CU22" si="18">ROUND(AO7,1)</f>
        <v>0.5</v>
      </c>
      <c r="CT7" s="1">
        <f t="shared" si="18"/>
        <v>1.2</v>
      </c>
      <c r="CU7" s="1">
        <f t="shared" si="18"/>
        <v>1.9</v>
      </c>
      <c r="CV7" s="2">
        <f t="shared" ref="CV7:CV24" si="19">ROUND(BO7,1)</f>
        <v>74.2</v>
      </c>
      <c r="CW7" s="18">
        <f t="shared" ref="CW7:CW22" si="20">BF7</f>
        <v>842</v>
      </c>
      <c r="CX7" s="1">
        <f>ROUND(PPTest!K7,1)</f>
        <v>0</v>
      </c>
      <c r="CY7" s="17">
        <f t="shared" ref="CY7:CY24" si="21">ROUND(P7,2)</f>
        <v>1.48</v>
      </c>
      <c r="CZ7" s="17">
        <f t="shared" ref="CZ7:CZ24" si="22">ROUND(AD7,2)</f>
        <v>2.99</v>
      </c>
      <c r="DA7" s="20">
        <f t="shared" ref="DA7:DB22" si="23">BP7</f>
        <v>0.32600000000000001</v>
      </c>
      <c r="DB7" s="20">
        <f t="shared" si="23"/>
        <v>0.113</v>
      </c>
      <c r="DC7" s="16">
        <f t="shared" ref="DC7:DC24" si="24">BB7</f>
        <v>12.31</v>
      </c>
      <c r="DW7" s="1">
        <v>-13.6</v>
      </c>
      <c r="DX7" s="1">
        <v>-2.5</v>
      </c>
      <c r="DY7" s="1">
        <v>-18.5</v>
      </c>
    </row>
    <row r="8" spans="1:131" x14ac:dyDescent="0.2">
      <c r="A8" s="40">
        <v>34701</v>
      </c>
      <c r="B8" s="3">
        <v>2</v>
      </c>
      <c r="C8" s="3">
        <v>4.367</v>
      </c>
      <c r="D8" s="3">
        <v>7.75</v>
      </c>
      <c r="E8" s="3">
        <v>-16.37</v>
      </c>
      <c r="F8" s="3">
        <v>89.8</v>
      </c>
      <c r="G8" s="3">
        <v>-17.3</v>
      </c>
      <c r="H8" s="3">
        <v>-18.88</v>
      </c>
      <c r="I8" s="3">
        <v>-0.16800000000000001</v>
      </c>
      <c r="J8" s="3">
        <v>-18.55</v>
      </c>
      <c r="K8" s="3">
        <v>-17.53</v>
      </c>
      <c r="L8" s="3">
        <v>0.50900000000000001</v>
      </c>
      <c r="M8" s="3">
        <v>1.2669999999999999</v>
      </c>
      <c r="N8" s="3">
        <v>1.9359999999999999</v>
      </c>
      <c r="O8" s="3">
        <v>0</v>
      </c>
      <c r="P8" s="16">
        <v>1.6274999999999999</v>
      </c>
      <c r="Q8" s="3"/>
      <c r="R8" s="3">
        <v>-5.7160000000000002</v>
      </c>
      <c r="S8" s="3">
        <v>1305</v>
      </c>
      <c r="T8" s="3">
        <v>98.1</v>
      </c>
      <c r="U8" s="3">
        <v>1626</v>
      </c>
      <c r="V8" s="3">
        <v>-6.915</v>
      </c>
      <c r="W8" s="3">
        <v>-10.23</v>
      </c>
      <c r="X8" s="3">
        <v>-1.2E-2</v>
      </c>
      <c r="Y8" s="3">
        <v>-4.976</v>
      </c>
      <c r="Z8" s="3">
        <v>-7.11</v>
      </c>
      <c r="AA8" s="3">
        <v>0.61499999999999999</v>
      </c>
      <c r="AB8" s="3">
        <v>1.381</v>
      </c>
      <c r="AC8" s="3">
        <v>2.0550000000000002</v>
      </c>
      <c r="AD8" s="16">
        <v>2.9674999999999998</v>
      </c>
      <c r="AE8" s="3">
        <v>856</v>
      </c>
      <c r="AF8" s="3">
        <v>-21.33</v>
      </c>
      <c r="AG8" s="3">
        <v>821</v>
      </c>
      <c r="AH8" s="3">
        <v>76.3</v>
      </c>
      <c r="AI8" s="3">
        <v>1305</v>
      </c>
      <c r="AJ8" s="3">
        <v>-22.16</v>
      </c>
      <c r="AK8" s="3">
        <v>-23.52</v>
      </c>
      <c r="AL8" s="3">
        <v>-0.38300000000000001</v>
      </c>
      <c r="AM8" s="3">
        <v>-23.22</v>
      </c>
      <c r="AN8" s="3">
        <v>-22.37</v>
      </c>
      <c r="AO8" s="3">
        <v>0.42099999999999999</v>
      </c>
      <c r="AP8" s="3">
        <v>1.171</v>
      </c>
      <c r="AQ8" s="3">
        <v>1.84</v>
      </c>
      <c r="AR8" s="3">
        <v>1E-3</v>
      </c>
      <c r="AS8" s="3">
        <v>0.3</v>
      </c>
      <c r="AT8" s="3">
        <v>0.66900000000000004</v>
      </c>
      <c r="AU8" s="3">
        <v>1.9E-2</v>
      </c>
      <c r="AV8" s="3">
        <v>8.9999999999999993E-3</v>
      </c>
      <c r="AW8" s="3">
        <v>0</v>
      </c>
      <c r="AX8" s="3">
        <v>0</v>
      </c>
      <c r="AY8" s="3">
        <v>0</v>
      </c>
      <c r="AZ8" s="3">
        <v>-18.29</v>
      </c>
      <c r="BA8" s="3">
        <v>2644</v>
      </c>
      <c r="BB8" s="3">
        <v>12.3</v>
      </c>
      <c r="BC8" s="3">
        <v>2876</v>
      </c>
      <c r="BD8" s="3"/>
      <c r="BE8" s="3"/>
      <c r="BF8" s="3">
        <f t="shared" ref="BF8:BF71" si="25">BF$1-BA8</f>
        <v>841</v>
      </c>
      <c r="BH8" s="16">
        <v>4.63</v>
      </c>
      <c r="BI8" s="16">
        <f t="shared" si="0"/>
        <v>9.3526000000000007</v>
      </c>
      <c r="BJ8" s="17">
        <f t="shared" si="1"/>
        <v>4.37</v>
      </c>
      <c r="BK8" s="17">
        <f t="shared" si="2"/>
        <v>8.3699999999999992</v>
      </c>
      <c r="BM8" s="1">
        <f t="shared" si="3"/>
        <v>91.6</v>
      </c>
      <c r="BN8" s="1">
        <f t="shared" si="4"/>
        <v>84</v>
      </c>
      <c r="BO8" s="1">
        <f t="shared" si="5"/>
        <v>71.5</v>
      </c>
      <c r="BP8" s="62">
        <f t="shared" ref="BP8:BP71" si="26">ROUND(0.6105*(EXP((17.273*R8)/(R8+237.3)))*BO8/100, 3)</f>
        <v>0.28499999999999998</v>
      </c>
      <c r="BQ8" s="62">
        <f t="shared" si="6"/>
        <v>0.114</v>
      </c>
      <c r="BS8" s="39"/>
      <c r="BT8" s="8"/>
      <c r="BV8" s="8"/>
      <c r="BW8" s="16">
        <f t="shared" si="7"/>
        <v>4.37</v>
      </c>
      <c r="BX8" s="16">
        <f t="shared" si="7"/>
        <v>8.3699999999999992</v>
      </c>
      <c r="BY8" s="3">
        <f t="shared" si="8"/>
        <v>-16.399999999999999</v>
      </c>
      <c r="BZ8" s="3">
        <f t="shared" si="9"/>
        <v>-17.3</v>
      </c>
      <c r="CA8" s="3">
        <f t="shared" si="9"/>
        <v>-18.899999999999999</v>
      </c>
      <c r="CB8" s="3">
        <f t="shared" si="9"/>
        <v>-0.2</v>
      </c>
      <c r="CC8" s="3">
        <f t="shared" si="10"/>
        <v>0.5</v>
      </c>
      <c r="CD8" s="3">
        <f t="shared" si="10"/>
        <v>1.3</v>
      </c>
      <c r="CE8" s="3">
        <f t="shared" si="10"/>
        <v>1.9</v>
      </c>
      <c r="CF8" s="23">
        <f t="shared" si="11"/>
        <v>84</v>
      </c>
      <c r="CG8" s="1">
        <f t="shared" si="12"/>
        <v>-5.7</v>
      </c>
      <c r="CH8" s="1">
        <f t="shared" si="13"/>
        <v>-6.9</v>
      </c>
      <c r="CI8" s="1">
        <f t="shared" si="13"/>
        <v>-10.199999999999999</v>
      </c>
      <c r="CJ8" s="1">
        <f t="shared" si="13"/>
        <v>0</v>
      </c>
      <c r="CK8" s="1">
        <f t="shared" si="14"/>
        <v>0.6</v>
      </c>
      <c r="CL8" s="1">
        <f t="shared" si="14"/>
        <v>1.4</v>
      </c>
      <c r="CM8" s="1">
        <f t="shared" si="14"/>
        <v>2.1</v>
      </c>
      <c r="CN8" s="2">
        <f t="shared" si="15"/>
        <v>91.6</v>
      </c>
      <c r="CO8" s="1">
        <f t="shared" si="16"/>
        <v>-21.3</v>
      </c>
      <c r="CP8" s="1">
        <f t="shared" si="17"/>
        <v>-22.2</v>
      </c>
      <c r="CQ8" s="1">
        <f t="shared" si="17"/>
        <v>-23.5</v>
      </c>
      <c r="CR8" s="1">
        <f t="shared" si="17"/>
        <v>-0.4</v>
      </c>
      <c r="CS8" s="1">
        <f t="shared" si="18"/>
        <v>0.4</v>
      </c>
      <c r="CT8" s="1">
        <f t="shared" si="18"/>
        <v>1.2</v>
      </c>
      <c r="CU8" s="1">
        <f t="shared" si="18"/>
        <v>1.8</v>
      </c>
      <c r="CV8" s="2">
        <f t="shared" si="19"/>
        <v>71.5</v>
      </c>
      <c r="CW8" s="18">
        <f t="shared" si="20"/>
        <v>841</v>
      </c>
      <c r="CX8" s="1">
        <f>ROUND(PPTest!K8,1)</f>
        <v>0</v>
      </c>
      <c r="CY8" s="17">
        <f t="shared" si="21"/>
        <v>1.63</v>
      </c>
      <c r="CZ8" s="17">
        <f t="shared" si="22"/>
        <v>2.97</v>
      </c>
      <c r="DA8" s="20">
        <f t="shared" si="23"/>
        <v>0.28499999999999998</v>
      </c>
      <c r="DB8" s="20">
        <f t="shared" si="23"/>
        <v>0.114</v>
      </c>
      <c r="DC8" s="16">
        <f t="shared" si="24"/>
        <v>12.3</v>
      </c>
      <c r="DW8" s="1">
        <v>-12.5</v>
      </c>
      <c r="DX8" s="1">
        <v>-1.8</v>
      </c>
      <c r="DY8" s="1">
        <v>-19.399999999999999</v>
      </c>
    </row>
    <row r="9" spans="1:131" x14ac:dyDescent="0.2">
      <c r="A9" s="40">
        <v>34702</v>
      </c>
      <c r="B9" s="3">
        <v>3</v>
      </c>
      <c r="C9" s="3">
        <v>4.5590000000000002</v>
      </c>
      <c r="D9" s="3">
        <v>8.1999999999999993</v>
      </c>
      <c r="E9" s="3">
        <v>-16.09</v>
      </c>
      <c r="F9" s="3">
        <v>90</v>
      </c>
      <c r="G9" s="3">
        <v>-17.010000000000002</v>
      </c>
      <c r="H9" s="3">
        <v>-18.41</v>
      </c>
      <c r="I9" s="3">
        <v>-0.439</v>
      </c>
      <c r="J9" s="3">
        <v>-18.079999999999998</v>
      </c>
      <c r="K9" s="3">
        <v>-17.21</v>
      </c>
      <c r="L9" s="3">
        <v>0.47099999999999997</v>
      </c>
      <c r="M9" s="3">
        <v>1.234</v>
      </c>
      <c r="N9" s="3">
        <v>1.9039999999999999</v>
      </c>
      <c r="O9" s="3">
        <v>0</v>
      </c>
      <c r="P9" s="16">
        <v>1.7758333333333334</v>
      </c>
      <c r="Q9" s="3"/>
      <c r="R9" s="3">
        <v>-5.7060000000000004</v>
      </c>
      <c r="S9" s="3">
        <v>1333</v>
      </c>
      <c r="T9" s="3">
        <v>101.7</v>
      </c>
      <c r="U9" s="3">
        <v>2134</v>
      </c>
      <c r="V9" s="3">
        <v>-5.7050000000000001</v>
      </c>
      <c r="W9" s="3">
        <v>-8.86</v>
      </c>
      <c r="X9" s="3">
        <v>-0.32700000000000001</v>
      </c>
      <c r="Y9" s="3">
        <v>-3.327</v>
      </c>
      <c r="Z9" s="3">
        <v>-5.8520000000000003</v>
      </c>
      <c r="AA9" s="3">
        <v>0.58499999999999996</v>
      </c>
      <c r="AB9" s="3">
        <v>1.3520000000000001</v>
      </c>
      <c r="AC9" s="3">
        <v>2.0369999999999999</v>
      </c>
      <c r="AD9" s="16">
        <v>3.1141666666666667</v>
      </c>
      <c r="AE9" s="3">
        <v>2134</v>
      </c>
      <c r="AF9" s="3">
        <v>-21.81</v>
      </c>
      <c r="AG9" s="3">
        <v>417</v>
      </c>
      <c r="AH9" s="3">
        <v>75.7</v>
      </c>
      <c r="AI9" s="3">
        <v>1213</v>
      </c>
      <c r="AJ9" s="3">
        <v>-22.65</v>
      </c>
      <c r="AK9" s="3">
        <v>-23.91</v>
      </c>
      <c r="AL9" s="3">
        <v>-0.54200000000000004</v>
      </c>
      <c r="AM9" s="3">
        <v>-23.49</v>
      </c>
      <c r="AN9" s="3">
        <v>-22.86</v>
      </c>
      <c r="AO9" s="3">
        <v>0.35499999999999998</v>
      </c>
      <c r="AP9" s="3">
        <v>1.1060000000000001</v>
      </c>
      <c r="AQ9" s="3">
        <v>1.7749999999999999</v>
      </c>
      <c r="AR9" s="3">
        <v>0</v>
      </c>
      <c r="AS9" s="3">
        <v>0.27200000000000002</v>
      </c>
      <c r="AT9" s="3">
        <v>0.71099999999999997</v>
      </c>
      <c r="AU9" s="3">
        <v>1.6E-2</v>
      </c>
      <c r="AV9" s="3">
        <v>1E-3</v>
      </c>
      <c r="AW9" s="3">
        <v>0</v>
      </c>
      <c r="AX9" s="3">
        <v>0</v>
      </c>
      <c r="AY9" s="3">
        <v>0</v>
      </c>
      <c r="AZ9" s="3">
        <v>-18.2</v>
      </c>
      <c r="BA9" s="3">
        <v>2653</v>
      </c>
      <c r="BB9" s="3">
        <v>12.3</v>
      </c>
      <c r="BC9" s="3">
        <v>2876</v>
      </c>
      <c r="BD9" s="3"/>
      <c r="BE9" s="3"/>
      <c r="BF9" s="3">
        <f t="shared" si="25"/>
        <v>832</v>
      </c>
      <c r="BH9" s="16">
        <v>4.67</v>
      </c>
      <c r="BI9" s="16">
        <f t="shared" si="0"/>
        <v>9.4334000000000007</v>
      </c>
      <c r="BJ9" s="17">
        <f t="shared" si="1"/>
        <v>4.5599999999999996</v>
      </c>
      <c r="BK9" s="17">
        <f t="shared" si="2"/>
        <v>8.86</v>
      </c>
      <c r="BM9" s="1">
        <f t="shared" si="3"/>
        <v>95</v>
      </c>
      <c r="BN9" s="1">
        <f t="shared" si="4"/>
        <v>84.2</v>
      </c>
      <c r="BO9" s="1">
        <f t="shared" si="5"/>
        <v>70.900000000000006</v>
      </c>
      <c r="BP9" s="62">
        <f t="shared" si="26"/>
        <v>0.28299999999999997</v>
      </c>
      <c r="BQ9" s="62">
        <f t="shared" si="6"/>
        <v>0.11600000000000001</v>
      </c>
      <c r="BS9" s="39"/>
      <c r="BT9" s="8"/>
      <c r="BV9" s="8"/>
      <c r="BW9" s="16">
        <f t="shared" si="7"/>
        <v>4.5599999999999996</v>
      </c>
      <c r="BX9" s="16">
        <f t="shared" si="7"/>
        <v>8.86</v>
      </c>
      <c r="BY9" s="3">
        <f t="shared" si="8"/>
        <v>-16.100000000000001</v>
      </c>
      <c r="BZ9" s="3">
        <f t="shared" si="9"/>
        <v>-17</v>
      </c>
      <c r="CA9" s="3">
        <f t="shared" si="9"/>
        <v>-18.399999999999999</v>
      </c>
      <c r="CB9" s="3">
        <f t="shared" si="9"/>
        <v>-0.4</v>
      </c>
      <c r="CC9" s="3">
        <f t="shared" si="10"/>
        <v>0.5</v>
      </c>
      <c r="CD9" s="3">
        <f t="shared" si="10"/>
        <v>1.2</v>
      </c>
      <c r="CE9" s="3">
        <f t="shared" si="10"/>
        <v>1.9</v>
      </c>
      <c r="CF9" s="23">
        <f t="shared" si="11"/>
        <v>84.2</v>
      </c>
      <c r="CG9" s="1">
        <f t="shared" si="12"/>
        <v>-5.7</v>
      </c>
      <c r="CH9" s="1">
        <f t="shared" si="13"/>
        <v>-5.7</v>
      </c>
      <c r="CI9" s="1">
        <f t="shared" si="13"/>
        <v>-8.9</v>
      </c>
      <c r="CJ9" s="1">
        <f t="shared" si="13"/>
        <v>-0.3</v>
      </c>
      <c r="CK9" s="1">
        <f t="shared" si="14"/>
        <v>0.6</v>
      </c>
      <c r="CL9" s="1">
        <f t="shared" si="14"/>
        <v>1.4</v>
      </c>
      <c r="CM9" s="1">
        <f t="shared" si="14"/>
        <v>2</v>
      </c>
      <c r="CN9" s="2">
        <f t="shared" si="15"/>
        <v>95</v>
      </c>
      <c r="CO9" s="1">
        <f t="shared" si="16"/>
        <v>-21.8</v>
      </c>
      <c r="CP9" s="1">
        <f t="shared" si="17"/>
        <v>-22.7</v>
      </c>
      <c r="CQ9" s="1">
        <f t="shared" si="17"/>
        <v>-23.9</v>
      </c>
      <c r="CR9" s="1">
        <f t="shared" si="17"/>
        <v>-0.5</v>
      </c>
      <c r="CS9" s="1">
        <f t="shared" si="18"/>
        <v>0.4</v>
      </c>
      <c r="CT9" s="1">
        <f t="shared" si="18"/>
        <v>1.1000000000000001</v>
      </c>
      <c r="CU9" s="1">
        <f t="shared" si="18"/>
        <v>1.8</v>
      </c>
      <c r="CV9" s="2">
        <f t="shared" si="19"/>
        <v>70.900000000000006</v>
      </c>
      <c r="CW9" s="18">
        <f t="shared" si="20"/>
        <v>832</v>
      </c>
      <c r="CX9" s="1">
        <f>ROUND(PPTest!K9,1)</f>
        <v>0</v>
      </c>
      <c r="CY9" s="17">
        <f t="shared" si="21"/>
        <v>1.78</v>
      </c>
      <c r="CZ9" s="17">
        <f t="shared" si="22"/>
        <v>3.11</v>
      </c>
      <c r="DA9" s="20">
        <f t="shared" si="23"/>
        <v>0.28299999999999997</v>
      </c>
      <c r="DB9" s="20">
        <f t="shared" si="23"/>
        <v>0.11600000000000001</v>
      </c>
      <c r="DC9" s="16">
        <f t="shared" si="24"/>
        <v>12.3</v>
      </c>
      <c r="DW9" s="1">
        <v>-12.6</v>
      </c>
      <c r="DX9" s="1">
        <v>-0.6</v>
      </c>
      <c r="DY9" s="1">
        <v>-19.2</v>
      </c>
    </row>
    <row r="10" spans="1:131" x14ac:dyDescent="0.2">
      <c r="A10" s="40">
        <v>34703</v>
      </c>
      <c r="B10" s="3">
        <v>4</v>
      </c>
      <c r="C10" s="3">
        <v>4.8899999999999997</v>
      </c>
      <c r="D10" s="3">
        <v>8.4700000000000006</v>
      </c>
      <c r="E10" s="3">
        <v>-15.33</v>
      </c>
      <c r="F10" s="3">
        <v>90.4</v>
      </c>
      <c r="G10" s="3">
        <v>-16.3</v>
      </c>
      <c r="H10" s="3">
        <v>-17.75</v>
      </c>
      <c r="I10" s="3">
        <v>-0.55600000000000005</v>
      </c>
      <c r="J10" s="3">
        <v>-17.59</v>
      </c>
      <c r="K10" s="3">
        <v>-16.579999999999998</v>
      </c>
      <c r="L10" s="3">
        <v>0.45700000000000002</v>
      </c>
      <c r="M10" s="3">
        <v>1.2330000000000001</v>
      </c>
      <c r="N10" s="3">
        <v>1.9059999999999999</v>
      </c>
      <c r="O10" s="3">
        <v>0</v>
      </c>
      <c r="P10" s="16">
        <v>1.7925</v>
      </c>
      <c r="Q10" s="3"/>
      <c r="R10" s="3">
        <v>-4.87</v>
      </c>
      <c r="S10" s="3">
        <v>1329</v>
      </c>
      <c r="T10" s="3">
        <v>102.8</v>
      </c>
      <c r="U10" s="3">
        <v>541</v>
      </c>
      <c r="V10" s="3">
        <v>-5.5570000000000004</v>
      </c>
      <c r="W10" s="3">
        <v>-7.06</v>
      </c>
      <c r="X10" s="3">
        <v>-0.46300000000000002</v>
      </c>
      <c r="Y10" s="3">
        <v>-2.5640000000000001</v>
      </c>
      <c r="Z10" s="3">
        <v>-5.5839999999999996</v>
      </c>
      <c r="AA10" s="3">
        <v>0.55100000000000005</v>
      </c>
      <c r="AB10" s="3">
        <v>1.3340000000000001</v>
      </c>
      <c r="AC10" s="3">
        <v>2.0249999999999999</v>
      </c>
      <c r="AD10" s="16">
        <v>2.7408333333333337</v>
      </c>
      <c r="AE10" s="3">
        <v>527</v>
      </c>
      <c r="AF10" s="3">
        <v>-20.18</v>
      </c>
      <c r="AG10" s="3">
        <v>2340</v>
      </c>
      <c r="AH10" s="3">
        <v>74.599999999999994</v>
      </c>
      <c r="AI10" s="3">
        <v>1217</v>
      </c>
      <c r="AJ10" s="3">
        <v>-21.15</v>
      </c>
      <c r="AK10" s="3">
        <v>-22.62</v>
      </c>
      <c r="AL10" s="3">
        <v>-0.68300000000000005</v>
      </c>
      <c r="AM10" s="3">
        <v>-22.72</v>
      </c>
      <c r="AN10" s="3">
        <v>-21.51</v>
      </c>
      <c r="AO10" s="3">
        <v>0.38100000000000001</v>
      </c>
      <c r="AP10" s="3">
        <v>1.1539999999999999</v>
      </c>
      <c r="AQ10" s="3">
        <v>1.8220000000000001</v>
      </c>
      <c r="AR10" s="3">
        <v>0</v>
      </c>
      <c r="AS10" s="3">
        <v>0.26500000000000001</v>
      </c>
      <c r="AT10" s="3">
        <v>0.72199999999999998</v>
      </c>
      <c r="AU10" s="3">
        <v>0.01</v>
      </c>
      <c r="AV10" s="3">
        <v>2E-3</v>
      </c>
      <c r="AW10" s="3">
        <v>0</v>
      </c>
      <c r="AX10" s="3">
        <v>0</v>
      </c>
      <c r="AY10" s="3">
        <v>0</v>
      </c>
      <c r="AZ10" s="3">
        <v>-17.55</v>
      </c>
      <c r="BA10" s="3">
        <v>2662</v>
      </c>
      <c r="BB10" s="3">
        <v>12.29</v>
      </c>
      <c r="BC10" s="3">
        <v>2876</v>
      </c>
      <c r="BD10" s="3"/>
      <c r="BE10" s="3"/>
      <c r="BF10" s="3">
        <f t="shared" si="25"/>
        <v>823</v>
      </c>
      <c r="BH10" s="16">
        <v>4.72</v>
      </c>
      <c r="BI10" s="16">
        <f t="shared" si="0"/>
        <v>9.5343999999999998</v>
      </c>
      <c r="BJ10" s="17">
        <f t="shared" si="1"/>
        <v>4.8899999999999997</v>
      </c>
      <c r="BK10" s="17">
        <f t="shared" si="2"/>
        <v>9.15</v>
      </c>
      <c r="BM10" s="1">
        <f t="shared" si="3"/>
        <v>96</v>
      </c>
      <c r="BN10" s="1">
        <f t="shared" si="4"/>
        <v>84.5</v>
      </c>
      <c r="BO10" s="1">
        <f t="shared" si="5"/>
        <v>69.900000000000006</v>
      </c>
      <c r="BP10" s="62">
        <f t="shared" si="26"/>
        <v>0.29699999999999999</v>
      </c>
      <c r="BQ10" s="62">
        <f t="shared" si="6"/>
        <v>0.128</v>
      </c>
      <c r="BS10" s="39"/>
      <c r="BT10" s="8"/>
      <c r="BV10" s="8"/>
      <c r="BW10" s="16">
        <f t="shared" si="7"/>
        <v>4.8899999999999997</v>
      </c>
      <c r="BX10" s="16">
        <f t="shared" si="7"/>
        <v>9.15</v>
      </c>
      <c r="BY10" s="3">
        <f t="shared" si="8"/>
        <v>-15.3</v>
      </c>
      <c r="BZ10" s="3">
        <f t="shared" si="9"/>
        <v>-16.3</v>
      </c>
      <c r="CA10" s="3">
        <f t="shared" si="9"/>
        <v>-17.8</v>
      </c>
      <c r="CB10" s="3">
        <f t="shared" si="9"/>
        <v>-0.6</v>
      </c>
      <c r="CC10" s="3">
        <f t="shared" si="10"/>
        <v>0.5</v>
      </c>
      <c r="CD10" s="3">
        <f t="shared" si="10"/>
        <v>1.2</v>
      </c>
      <c r="CE10" s="3">
        <f t="shared" si="10"/>
        <v>1.9</v>
      </c>
      <c r="CF10" s="23">
        <f t="shared" si="11"/>
        <v>84.5</v>
      </c>
      <c r="CG10" s="1">
        <f t="shared" si="12"/>
        <v>-4.9000000000000004</v>
      </c>
      <c r="CH10" s="1">
        <f t="shared" si="13"/>
        <v>-5.6</v>
      </c>
      <c r="CI10" s="1">
        <f t="shared" si="13"/>
        <v>-7.1</v>
      </c>
      <c r="CJ10" s="1">
        <f t="shared" si="13"/>
        <v>-0.5</v>
      </c>
      <c r="CK10" s="1">
        <f t="shared" si="14"/>
        <v>0.6</v>
      </c>
      <c r="CL10" s="1">
        <f t="shared" si="14"/>
        <v>1.3</v>
      </c>
      <c r="CM10" s="1">
        <f t="shared" si="14"/>
        <v>2</v>
      </c>
      <c r="CN10" s="2">
        <f t="shared" si="15"/>
        <v>96</v>
      </c>
      <c r="CO10" s="1">
        <f t="shared" si="16"/>
        <v>-20.2</v>
      </c>
      <c r="CP10" s="1">
        <f t="shared" si="17"/>
        <v>-21.2</v>
      </c>
      <c r="CQ10" s="1">
        <f t="shared" si="17"/>
        <v>-22.6</v>
      </c>
      <c r="CR10" s="1">
        <f t="shared" si="17"/>
        <v>-0.7</v>
      </c>
      <c r="CS10" s="1">
        <f t="shared" si="18"/>
        <v>0.4</v>
      </c>
      <c r="CT10" s="1">
        <f t="shared" si="18"/>
        <v>1.2</v>
      </c>
      <c r="CU10" s="1">
        <f t="shared" si="18"/>
        <v>1.8</v>
      </c>
      <c r="CV10" s="2">
        <f t="shared" si="19"/>
        <v>69.900000000000006</v>
      </c>
      <c r="CW10" s="18">
        <f t="shared" si="20"/>
        <v>823</v>
      </c>
      <c r="CX10" s="1">
        <f>ROUND(PPTest!K10,1)</f>
        <v>0</v>
      </c>
      <c r="CY10" s="17">
        <f t="shared" si="21"/>
        <v>1.79</v>
      </c>
      <c r="CZ10" s="17">
        <f t="shared" si="22"/>
        <v>2.74</v>
      </c>
      <c r="DA10" s="20">
        <f t="shared" si="23"/>
        <v>0.29699999999999999</v>
      </c>
      <c r="DB10" s="20">
        <f t="shared" si="23"/>
        <v>0.128</v>
      </c>
      <c r="DC10" s="16">
        <f t="shared" si="24"/>
        <v>12.29</v>
      </c>
      <c r="DW10" s="1">
        <v>-12</v>
      </c>
      <c r="DX10" s="1">
        <v>-2.2999999999999998</v>
      </c>
      <c r="DY10" s="1">
        <v>-16.899999999999999</v>
      </c>
    </row>
    <row r="11" spans="1:131" x14ac:dyDescent="0.2">
      <c r="A11" s="40">
        <v>34704</v>
      </c>
      <c r="B11" s="3">
        <v>5</v>
      </c>
      <c r="C11" s="3">
        <v>5.3650000000000002</v>
      </c>
      <c r="D11" s="3">
        <v>8.94</v>
      </c>
      <c r="E11" s="3">
        <v>-17.11</v>
      </c>
      <c r="F11" s="3">
        <v>87.4</v>
      </c>
      <c r="G11" s="3">
        <v>-17.989999999999998</v>
      </c>
      <c r="H11" s="3">
        <v>-19.34</v>
      </c>
      <c r="I11" s="3">
        <v>-0.69899999999999995</v>
      </c>
      <c r="J11" s="3">
        <v>-19.010000000000002</v>
      </c>
      <c r="K11" s="3">
        <v>-18.190000000000001</v>
      </c>
      <c r="L11" s="3">
        <v>0.375</v>
      </c>
      <c r="M11" s="3">
        <v>1.1639999999999999</v>
      </c>
      <c r="N11" s="3">
        <v>1.849</v>
      </c>
      <c r="O11" s="3">
        <v>0</v>
      </c>
      <c r="P11" s="16">
        <v>1.6541666666666668</v>
      </c>
      <c r="Q11" s="3"/>
      <c r="R11" s="3">
        <v>-5.734</v>
      </c>
      <c r="S11" s="3">
        <v>1345</v>
      </c>
      <c r="T11" s="3">
        <v>95</v>
      </c>
      <c r="U11" s="3">
        <v>1624</v>
      </c>
      <c r="V11" s="3">
        <v>-4.9580000000000002</v>
      </c>
      <c r="W11" s="3">
        <v>-7.43</v>
      </c>
      <c r="X11" s="3">
        <v>-0.55200000000000005</v>
      </c>
      <c r="Y11" s="3">
        <v>-2.306</v>
      </c>
      <c r="Z11" s="3">
        <v>-5.806</v>
      </c>
      <c r="AA11" s="3">
        <v>0.499</v>
      </c>
      <c r="AB11" s="3">
        <v>1.306</v>
      </c>
      <c r="AC11" s="3">
        <v>2.0009999999999999</v>
      </c>
      <c r="AD11" s="16">
        <v>2.6875</v>
      </c>
      <c r="AE11" s="3">
        <v>251</v>
      </c>
      <c r="AF11" s="3">
        <v>-22.01</v>
      </c>
      <c r="AG11" s="3">
        <v>710</v>
      </c>
      <c r="AH11" s="3">
        <v>60.85</v>
      </c>
      <c r="AI11" s="3">
        <v>1342</v>
      </c>
      <c r="AJ11" s="3">
        <v>-22.99</v>
      </c>
      <c r="AK11" s="3">
        <v>-24.51</v>
      </c>
      <c r="AL11" s="3">
        <v>-0.83599999999999997</v>
      </c>
      <c r="AM11" s="3">
        <v>-24.47</v>
      </c>
      <c r="AN11" s="3">
        <v>-23.26</v>
      </c>
      <c r="AO11" s="3">
        <v>0.251</v>
      </c>
      <c r="AP11" s="3">
        <v>1.0369999999999999</v>
      </c>
      <c r="AQ11" s="3">
        <v>1.7170000000000001</v>
      </c>
      <c r="AR11" s="3">
        <v>1E-3</v>
      </c>
      <c r="AS11" s="3">
        <v>0.20300000000000001</v>
      </c>
      <c r="AT11" s="3">
        <v>0.73</v>
      </c>
      <c r="AU11" s="3">
        <v>3.6999999999999998E-2</v>
      </c>
      <c r="AV11" s="3">
        <v>2.7E-2</v>
      </c>
      <c r="AW11" s="3">
        <v>2E-3</v>
      </c>
      <c r="AX11" s="3">
        <v>0</v>
      </c>
      <c r="AY11" s="3">
        <v>0</v>
      </c>
      <c r="AZ11" s="3">
        <v>-19.010000000000002</v>
      </c>
      <c r="BA11" s="3">
        <v>2666</v>
      </c>
      <c r="BB11" s="3">
        <v>12.29</v>
      </c>
      <c r="BC11" s="3">
        <v>2876</v>
      </c>
      <c r="BD11" s="3"/>
      <c r="BE11" s="3"/>
      <c r="BF11" s="3">
        <f t="shared" si="25"/>
        <v>819</v>
      </c>
      <c r="BH11" s="16">
        <v>4.76</v>
      </c>
      <c r="BI11" s="16">
        <f t="shared" si="0"/>
        <v>9.6151999999999997</v>
      </c>
      <c r="BJ11" s="17">
        <f t="shared" si="1"/>
        <v>5.37</v>
      </c>
      <c r="BK11" s="17">
        <f t="shared" si="2"/>
        <v>9.66</v>
      </c>
      <c r="BM11" s="1">
        <f t="shared" si="3"/>
        <v>88.8</v>
      </c>
      <c r="BN11" s="1">
        <f t="shared" si="4"/>
        <v>81.8</v>
      </c>
      <c r="BO11" s="1">
        <f t="shared" si="5"/>
        <v>57.2</v>
      </c>
      <c r="BP11" s="62">
        <f t="shared" si="26"/>
        <v>0.22800000000000001</v>
      </c>
      <c r="BQ11" s="62">
        <f t="shared" si="6"/>
        <v>0.17100000000000001</v>
      </c>
      <c r="BS11" s="39"/>
      <c r="BT11" s="8"/>
      <c r="BV11" s="8"/>
      <c r="BW11" s="16">
        <f t="shared" si="7"/>
        <v>5.37</v>
      </c>
      <c r="BX11" s="16">
        <f t="shared" si="7"/>
        <v>9.66</v>
      </c>
      <c r="BY11" s="3">
        <f t="shared" si="8"/>
        <v>-17.100000000000001</v>
      </c>
      <c r="BZ11" s="3">
        <f t="shared" si="9"/>
        <v>-18</v>
      </c>
      <c r="CA11" s="3">
        <f t="shared" si="9"/>
        <v>-19.3</v>
      </c>
      <c r="CB11" s="3">
        <f t="shared" si="9"/>
        <v>-0.7</v>
      </c>
      <c r="CC11" s="3">
        <f t="shared" si="10"/>
        <v>0.4</v>
      </c>
      <c r="CD11" s="3">
        <f t="shared" si="10"/>
        <v>1.2</v>
      </c>
      <c r="CE11" s="3">
        <f t="shared" si="10"/>
        <v>1.8</v>
      </c>
      <c r="CF11" s="23">
        <f t="shared" si="11"/>
        <v>81.8</v>
      </c>
      <c r="CG11" s="1">
        <f t="shared" si="12"/>
        <v>-5.7</v>
      </c>
      <c r="CH11" s="1">
        <f t="shared" si="13"/>
        <v>-5</v>
      </c>
      <c r="CI11" s="1">
        <f t="shared" si="13"/>
        <v>-7.4</v>
      </c>
      <c r="CJ11" s="1">
        <f t="shared" si="13"/>
        <v>-0.6</v>
      </c>
      <c r="CK11" s="1">
        <f t="shared" si="14"/>
        <v>0.5</v>
      </c>
      <c r="CL11" s="1">
        <f t="shared" si="14"/>
        <v>1.3</v>
      </c>
      <c r="CM11" s="1">
        <f t="shared" si="14"/>
        <v>2</v>
      </c>
      <c r="CN11" s="2">
        <f t="shared" si="15"/>
        <v>88.8</v>
      </c>
      <c r="CO11" s="1">
        <f t="shared" si="16"/>
        <v>-22</v>
      </c>
      <c r="CP11" s="1">
        <f t="shared" si="17"/>
        <v>-23</v>
      </c>
      <c r="CQ11" s="1">
        <f t="shared" si="17"/>
        <v>-24.5</v>
      </c>
      <c r="CR11" s="1">
        <f t="shared" si="17"/>
        <v>-0.8</v>
      </c>
      <c r="CS11" s="1">
        <f t="shared" si="18"/>
        <v>0.3</v>
      </c>
      <c r="CT11" s="1">
        <f t="shared" si="18"/>
        <v>1</v>
      </c>
      <c r="CU11" s="1">
        <f t="shared" si="18"/>
        <v>1.7</v>
      </c>
      <c r="CV11" s="2">
        <f t="shared" si="19"/>
        <v>57.2</v>
      </c>
      <c r="CW11" s="18">
        <f t="shared" si="20"/>
        <v>819</v>
      </c>
      <c r="CX11" s="1">
        <f>ROUND(PPTest!K11,1)</f>
        <v>0</v>
      </c>
      <c r="CY11" s="17">
        <f t="shared" si="21"/>
        <v>1.65</v>
      </c>
      <c r="CZ11" s="17">
        <f t="shared" si="22"/>
        <v>2.69</v>
      </c>
      <c r="DA11" s="20">
        <f t="shared" si="23"/>
        <v>0.22800000000000001</v>
      </c>
      <c r="DB11" s="20">
        <f t="shared" si="23"/>
        <v>0.17100000000000001</v>
      </c>
      <c r="DC11" s="16">
        <f t="shared" si="24"/>
        <v>12.29</v>
      </c>
      <c r="DW11" s="1">
        <v>-11.5</v>
      </c>
      <c r="DX11" s="1">
        <v>3.2</v>
      </c>
      <c r="DY11" s="1">
        <v>-17</v>
      </c>
    </row>
    <row r="12" spans="1:131" x14ac:dyDescent="0.2">
      <c r="A12" s="40">
        <v>34705</v>
      </c>
      <c r="B12" s="3">
        <v>6</v>
      </c>
      <c r="C12" s="3">
        <v>3.726</v>
      </c>
      <c r="D12" s="3">
        <v>5.8650000000000002</v>
      </c>
      <c r="E12" s="3">
        <v>-16.649999999999999</v>
      </c>
      <c r="F12" s="3">
        <v>86.7</v>
      </c>
      <c r="G12" s="3">
        <v>-17.100000000000001</v>
      </c>
      <c r="H12" s="3">
        <v>-18.25</v>
      </c>
      <c r="I12" s="3">
        <v>-0.76800000000000002</v>
      </c>
      <c r="J12" s="3">
        <v>-17.78</v>
      </c>
      <c r="K12" s="3">
        <v>-17.3</v>
      </c>
      <c r="L12" s="3">
        <v>0.33100000000000002</v>
      </c>
      <c r="M12" s="3">
        <v>1.1419999999999999</v>
      </c>
      <c r="N12" s="3">
        <v>1.8480000000000001</v>
      </c>
      <c r="O12" s="3">
        <v>0</v>
      </c>
      <c r="P12" s="16">
        <v>1.4668333333333334</v>
      </c>
      <c r="Q12" s="3"/>
      <c r="R12" s="3">
        <v>-5.7720000000000002</v>
      </c>
      <c r="S12" s="3">
        <v>1416</v>
      </c>
      <c r="T12" s="3">
        <v>97.1</v>
      </c>
      <c r="U12" s="3">
        <v>1625</v>
      </c>
      <c r="V12" s="3">
        <v>-4.03</v>
      </c>
      <c r="W12" s="3">
        <v>-6.7560000000000002</v>
      </c>
      <c r="X12" s="3">
        <v>-0.63500000000000001</v>
      </c>
      <c r="Y12" s="3">
        <v>-1.788</v>
      </c>
      <c r="Z12" s="3">
        <v>-4.5529999999999999</v>
      </c>
      <c r="AA12" s="3">
        <v>0.45</v>
      </c>
      <c r="AB12" s="3">
        <v>1.2649999999999999</v>
      </c>
      <c r="AC12" s="3">
        <v>1.99</v>
      </c>
      <c r="AD12" s="16">
        <v>2.6475</v>
      </c>
      <c r="AE12" s="3">
        <v>2359</v>
      </c>
      <c r="AF12" s="3">
        <v>-21.43</v>
      </c>
      <c r="AG12" s="3">
        <v>625</v>
      </c>
      <c r="AH12" s="3">
        <v>63.05</v>
      </c>
      <c r="AI12" s="3">
        <v>1418</v>
      </c>
      <c r="AJ12" s="3">
        <v>-22.23</v>
      </c>
      <c r="AK12" s="3">
        <v>-23.33</v>
      </c>
      <c r="AL12" s="3">
        <v>-0.874</v>
      </c>
      <c r="AM12" s="3">
        <v>-23.26</v>
      </c>
      <c r="AN12" s="3">
        <v>-22.54</v>
      </c>
      <c r="AO12" s="3">
        <v>0.24199999999999999</v>
      </c>
      <c r="AP12" s="3">
        <v>1.0449999999999999</v>
      </c>
      <c r="AQ12" s="3">
        <v>1.742</v>
      </c>
      <c r="AR12" s="3">
        <v>6.0000000000000001E-3</v>
      </c>
      <c r="AS12" s="3">
        <v>0.28100000000000003</v>
      </c>
      <c r="AT12" s="3">
        <v>0.55300000000000005</v>
      </c>
      <c r="AU12" s="3">
        <v>1.7000000000000001E-2</v>
      </c>
      <c r="AV12" s="3">
        <v>9.1999999999999998E-2</v>
      </c>
      <c r="AW12" s="3">
        <v>0.04</v>
      </c>
      <c r="AX12" s="3">
        <v>3.0000000000000001E-3</v>
      </c>
      <c r="AY12" s="3">
        <v>8.9999999999999993E-3</v>
      </c>
      <c r="AZ12" s="3">
        <v>-17.760000000000002</v>
      </c>
      <c r="BA12" s="3">
        <v>2679</v>
      </c>
      <c r="BB12" s="3">
        <v>12.29</v>
      </c>
      <c r="BC12" s="3">
        <v>2876</v>
      </c>
      <c r="BD12" s="3"/>
      <c r="BE12" s="3"/>
      <c r="BF12" s="3">
        <f t="shared" si="25"/>
        <v>806</v>
      </c>
      <c r="BH12" s="16">
        <v>4.82</v>
      </c>
      <c r="BI12" s="16">
        <f t="shared" si="0"/>
        <v>9.7364000000000015</v>
      </c>
      <c r="BJ12" s="17">
        <f t="shared" si="1"/>
        <v>3.73</v>
      </c>
      <c r="BK12" s="17">
        <f t="shared" si="2"/>
        <v>6.33</v>
      </c>
      <c r="BM12" s="1">
        <f t="shared" si="3"/>
        <v>90.7</v>
      </c>
      <c r="BN12" s="1">
        <f t="shared" si="4"/>
        <v>81.099999999999994</v>
      </c>
      <c r="BO12" s="1">
        <f t="shared" si="5"/>
        <v>59.3</v>
      </c>
      <c r="BP12" s="62">
        <f t="shared" si="26"/>
        <v>0.23499999999999999</v>
      </c>
      <c r="BQ12" s="62">
        <f t="shared" si="6"/>
        <v>0.161</v>
      </c>
      <c r="BS12" s="39"/>
      <c r="BT12" s="8"/>
      <c r="BV12" s="8"/>
      <c r="BW12" s="16">
        <f t="shared" si="7"/>
        <v>3.73</v>
      </c>
      <c r="BX12" s="16">
        <f t="shared" si="7"/>
        <v>6.33</v>
      </c>
      <c r="BY12" s="3">
        <f t="shared" si="8"/>
        <v>-16.7</v>
      </c>
      <c r="BZ12" s="3">
        <f t="shared" si="9"/>
        <v>-17.100000000000001</v>
      </c>
      <c r="CA12" s="3">
        <f t="shared" si="9"/>
        <v>-18.3</v>
      </c>
      <c r="CB12" s="3">
        <f t="shared" si="9"/>
        <v>-0.8</v>
      </c>
      <c r="CC12" s="3">
        <f t="shared" si="10"/>
        <v>0.3</v>
      </c>
      <c r="CD12" s="3">
        <f t="shared" si="10"/>
        <v>1.1000000000000001</v>
      </c>
      <c r="CE12" s="3">
        <f t="shared" si="10"/>
        <v>1.8</v>
      </c>
      <c r="CF12" s="23">
        <f t="shared" si="11"/>
        <v>81.099999999999994</v>
      </c>
      <c r="CG12" s="1">
        <f t="shared" si="12"/>
        <v>-5.8</v>
      </c>
      <c r="CH12" s="1">
        <f t="shared" si="13"/>
        <v>-4</v>
      </c>
      <c r="CI12" s="1">
        <f t="shared" si="13"/>
        <v>-6.8</v>
      </c>
      <c r="CJ12" s="1">
        <f t="shared" si="13"/>
        <v>-0.6</v>
      </c>
      <c r="CK12" s="1">
        <f t="shared" si="14"/>
        <v>0.5</v>
      </c>
      <c r="CL12" s="1">
        <f t="shared" si="14"/>
        <v>1.3</v>
      </c>
      <c r="CM12" s="1">
        <f t="shared" si="14"/>
        <v>2</v>
      </c>
      <c r="CN12" s="2">
        <f t="shared" si="15"/>
        <v>90.7</v>
      </c>
      <c r="CO12" s="1">
        <f t="shared" si="16"/>
        <v>-21.4</v>
      </c>
      <c r="CP12" s="1">
        <f t="shared" si="17"/>
        <v>-22.2</v>
      </c>
      <c r="CQ12" s="1">
        <f t="shared" si="17"/>
        <v>-23.3</v>
      </c>
      <c r="CR12" s="1">
        <f t="shared" si="17"/>
        <v>-0.9</v>
      </c>
      <c r="CS12" s="1">
        <f t="shared" si="18"/>
        <v>0.2</v>
      </c>
      <c r="CT12" s="1">
        <f t="shared" si="18"/>
        <v>1</v>
      </c>
      <c r="CU12" s="1">
        <f t="shared" si="18"/>
        <v>1.7</v>
      </c>
      <c r="CV12" s="2">
        <f t="shared" si="19"/>
        <v>59.3</v>
      </c>
      <c r="CW12" s="18">
        <f t="shared" si="20"/>
        <v>806</v>
      </c>
      <c r="CX12" s="1">
        <f>ROUND(PPTest!K12,1)</f>
        <v>0</v>
      </c>
      <c r="CY12" s="17">
        <f t="shared" si="21"/>
        <v>1.47</v>
      </c>
      <c r="CZ12" s="17">
        <f t="shared" si="22"/>
        <v>2.65</v>
      </c>
      <c r="DA12" s="20">
        <f t="shared" si="23"/>
        <v>0.23499999999999999</v>
      </c>
      <c r="DB12" s="20">
        <f t="shared" si="23"/>
        <v>0.161</v>
      </c>
      <c r="DC12" s="16">
        <f t="shared" si="24"/>
        <v>12.29</v>
      </c>
      <c r="DW12" s="1">
        <v>-12.9</v>
      </c>
      <c r="DX12" s="1">
        <v>-4</v>
      </c>
      <c r="DY12" s="1">
        <v>-16.8</v>
      </c>
    </row>
    <row r="13" spans="1:131" x14ac:dyDescent="0.2">
      <c r="A13" s="40">
        <v>34706</v>
      </c>
      <c r="B13" s="3">
        <v>7</v>
      </c>
      <c r="C13" s="3">
        <v>6.0469999999999997</v>
      </c>
      <c r="D13" s="3">
        <v>11.05</v>
      </c>
      <c r="E13" s="3">
        <v>-15.76</v>
      </c>
      <c r="F13" s="3">
        <v>85.7</v>
      </c>
      <c r="G13" s="3">
        <v>-16.61</v>
      </c>
      <c r="H13" s="3">
        <v>-17.600000000000001</v>
      </c>
      <c r="I13" s="3">
        <v>-0.90800000000000003</v>
      </c>
      <c r="J13" s="3">
        <v>-17.350000000000001</v>
      </c>
      <c r="K13" s="3">
        <v>-16.86</v>
      </c>
      <c r="L13" s="3">
        <v>0.22600000000000001</v>
      </c>
      <c r="M13" s="3">
        <v>1.0629999999999999</v>
      </c>
      <c r="N13" s="3">
        <v>1.7889999999999999</v>
      </c>
      <c r="O13" s="3">
        <v>0</v>
      </c>
      <c r="P13" s="16">
        <v>1.8091666666666668</v>
      </c>
      <c r="Q13" s="3"/>
      <c r="R13" s="3">
        <v>-5.2670000000000003</v>
      </c>
      <c r="S13" s="3">
        <v>2238</v>
      </c>
      <c r="T13" s="3">
        <v>98.9</v>
      </c>
      <c r="U13" s="3">
        <v>1616</v>
      </c>
      <c r="V13" s="3">
        <v>-5.3650000000000002</v>
      </c>
      <c r="W13" s="3">
        <v>-6.1550000000000002</v>
      </c>
      <c r="X13" s="3">
        <v>-0.75800000000000001</v>
      </c>
      <c r="Y13" s="3">
        <v>-3.4580000000000002</v>
      </c>
      <c r="Z13" s="3">
        <v>-6.6559999999999997</v>
      </c>
      <c r="AA13" s="3">
        <v>0.36099999999999999</v>
      </c>
      <c r="AB13" s="3">
        <v>1.214</v>
      </c>
      <c r="AC13" s="3">
        <v>1.954</v>
      </c>
      <c r="AD13" s="16">
        <v>4.020833333333333</v>
      </c>
      <c r="AE13" s="3">
        <v>2224</v>
      </c>
      <c r="AF13" s="3">
        <v>-24.24</v>
      </c>
      <c r="AG13" s="3">
        <v>814</v>
      </c>
      <c r="AH13" s="3">
        <v>67.36</v>
      </c>
      <c r="AI13" s="3">
        <v>1416</v>
      </c>
      <c r="AJ13" s="3">
        <v>-25.12</v>
      </c>
      <c r="AK13" s="3">
        <v>-26.44</v>
      </c>
      <c r="AL13" s="3">
        <v>-1.1240000000000001</v>
      </c>
      <c r="AM13" s="3">
        <v>-26.43</v>
      </c>
      <c r="AN13" s="3">
        <v>-25.63</v>
      </c>
      <c r="AO13" s="3">
        <v>5.7000000000000002E-2</v>
      </c>
      <c r="AP13" s="3">
        <v>0.89400000000000002</v>
      </c>
      <c r="AQ13" s="3">
        <v>1.6120000000000001</v>
      </c>
      <c r="AR13" s="3">
        <v>1.9E-2</v>
      </c>
      <c r="AS13" s="3">
        <v>0.38200000000000001</v>
      </c>
      <c r="AT13" s="3">
        <v>0.57099999999999995</v>
      </c>
      <c r="AU13" s="3">
        <v>1.4E-2</v>
      </c>
      <c r="AV13" s="3">
        <v>6.0000000000000001E-3</v>
      </c>
      <c r="AW13" s="3">
        <v>5.0000000000000001E-3</v>
      </c>
      <c r="AX13" s="3">
        <v>1E-3</v>
      </c>
      <c r="AY13" s="3">
        <v>1E-3</v>
      </c>
      <c r="AZ13" s="3">
        <v>-18.190000000000001</v>
      </c>
      <c r="BA13" s="3">
        <v>2676</v>
      </c>
      <c r="BB13" s="3">
        <v>12.29</v>
      </c>
      <c r="BC13" s="3">
        <v>2876</v>
      </c>
      <c r="BD13" s="3"/>
      <c r="BE13" s="3"/>
      <c r="BF13" s="3">
        <f t="shared" si="25"/>
        <v>809</v>
      </c>
      <c r="BH13" s="16">
        <v>4.87</v>
      </c>
      <c r="BI13" s="16">
        <f t="shared" si="0"/>
        <v>9.8374000000000006</v>
      </c>
      <c r="BJ13" s="17">
        <f t="shared" si="1"/>
        <v>6.05</v>
      </c>
      <c r="BK13" s="17">
        <f t="shared" si="2"/>
        <v>11.93</v>
      </c>
      <c r="BM13" s="1">
        <f t="shared" si="3"/>
        <v>92.4</v>
      </c>
      <c r="BN13" s="1">
        <f t="shared" si="4"/>
        <v>80.2</v>
      </c>
      <c r="BO13" s="1">
        <f t="shared" si="5"/>
        <v>63.2</v>
      </c>
      <c r="BP13" s="62">
        <f t="shared" si="26"/>
        <v>0.26100000000000001</v>
      </c>
      <c r="BQ13" s="62">
        <f t="shared" si="6"/>
        <v>0.152</v>
      </c>
      <c r="BS13" s="39"/>
      <c r="BT13" s="8"/>
      <c r="BV13" s="8"/>
      <c r="BW13" s="16">
        <f t="shared" si="7"/>
        <v>6.05</v>
      </c>
      <c r="BX13" s="16">
        <f t="shared" si="7"/>
        <v>11.93</v>
      </c>
      <c r="BY13" s="3">
        <f t="shared" si="8"/>
        <v>-15.8</v>
      </c>
      <c r="BZ13" s="3">
        <f t="shared" si="9"/>
        <v>-16.600000000000001</v>
      </c>
      <c r="CA13" s="3">
        <f t="shared" si="9"/>
        <v>-17.600000000000001</v>
      </c>
      <c r="CB13" s="3">
        <f t="shared" si="9"/>
        <v>-0.9</v>
      </c>
      <c r="CC13" s="3">
        <f t="shared" si="10"/>
        <v>0.2</v>
      </c>
      <c r="CD13" s="3">
        <f t="shared" si="10"/>
        <v>1.1000000000000001</v>
      </c>
      <c r="CE13" s="3">
        <f t="shared" si="10"/>
        <v>1.8</v>
      </c>
      <c r="CF13" s="23">
        <f t="shared" si="11"/>
        <v>80.2</v>
      </c>
      <c r="CG13" s="1">
        <f t="shared" si="12"/>
        <v>-5.3</v>
      </c>
      <c r="CH13" s="1">
        <f t="shared" si="13"/>
        <v>-5.4</v>
      </c>
      <c r="CI13" s="1">
        <f t="shared" si="13"/>
        <v>-6.2</v>
      </c>
      <c r="CJ13" s="1">
        <f t="shared" si="13"/>
        <v>-0.8</v>
      </c>
      <c r="CK13" s="1">
        <f t="shared" si="14"/>
        <v>0.4</v>
      </c>
      <c r="CL13" s="1">
        <f t="shared" si="14"/>
        <v>1.2</v>
      </c>
      <c r="CM13" s="1">
        <f t="shared" si="14"/>
        <v>2</v>
      </c>
      <c r="CN13" s="2">
        <f t="shared" si="15"/>
        <v>92.4</v>
      </c>
      <c r="CO13" s="1">
        <f t="shared" si="16"/>
        <v>-24.2</v>
      </c>
      <c r="CP13" s="1">
        <f t="shared" si="17"/>
        <v>-25.1</v>
      </c>
      <c r="CQ13" s="1">
        <f t="shared" si="17"/>
        <v>-26.4</v>
      </c>
      <c r="CR13" s="1">
        <f t="shared" si="17"/>
        <v>-1.1000000000000001</v>
      </c>
      <c r="CS13" s="1">
        <f t="shared" si="18"/>
        <v>0.1</v>
      </c>
      <c r="CT13" s="1">
        <f t="shared" si="18"/>
        <v>0.9</v>
      </c>
      <c r="CU13" s="1">
        <f t="shared" si="18"/>
        <v>1.6</v>
      </c>
      <c r="CV13" s="2">
        <f t="shared" si="19"/>
        <v>63.2</v>
      </c>
      <c r="CW13" s="18">
        <f t="shared" si="20"/>
        <v>809</v>
      </c>
      <c r="CX13" s="1">
        <f>ROUND(PPTest!K13,1)</f>
        <v>0.4</v>
      </c>
      <c r="CY13" s="17">
        <f t="shared" si="21"/>
        <v>1.81</v>
      </c>
      <c r="CZ13" s="17">
        <f t="shared" si="22"/>
        <v>4.0199999999999996</v>
      </c>
      <c r="DA13" s="20">
        <f t="shared" si="23"/>
        <v>0.26100000000000001</v>
      </c>
      <c r="DB13" s="20">
        <f t="shared" si="23"/>
        <v>0.152</v>
      </c>
      <c r="DC13" s="16">
        <f t="shared" si="24"/>
        <v>12.29</v>
      </c>
      <c r="DW13" s="1">
        <v>-9.6</v>
      </c>
      <c r="DX13" s="1">
        <v>-3.1</v>
      </c>
      <c r="DY13" s="1">
        <v>-17.7</v>
      </c>
    </row>
    <row r="14" spans="1:131" x14ac:dyDescent="0.2">
      <c r="A14" s="40">
        <v>34707</v>
      </c>
      <c r="B14" s="3">
        <v>8</v>
      </c>
      <c r="C14" s="3">
        <v>0.63100000000000001</v>
      </c>
      <c r="D14" s="3">
        <v>1.4590000000000001</v>
      </c>
      <c r="E14" s="3">
        <v>-3.8719999999999999</v>
      </c>
      <c r="F14" s="3">
        <v>97.2</v>
      </c>
      <c r="G14" s="3">
        <v>-4.2839999999999998</v>
      </c>
      <c r="H14" s="3">
        <v>-4.8280000000000003</v>
      </c>
      <c r="I14" s="3">
        <v>-0.879</v>
      </c>
      <c r="J14" s="3">
        <v>-4.8620000000000001</v>
      </c>
      <c r="K14" s="3">
        <v>-4.4740000000000002</v>
      </c>
      <c r="L14" s="3">
        <v>0.217</v>
      </c>
      <c r="M14" s="3">
        <v>1.0920000000000001</v>
      </c>
      <c r="N14" s="3">
        <v>1.8480000000000001</v>
      </c>
      <c r="O14" s="3">
        <v>0</v>
      </c>
      <c r="P14" s="16">
        <v>1.3216666666666668</v>
      </c>
      <c r="Q14" s="3"/>
      <c r="R14" s="3">
        <v>-5.0000000000000001E-3</v>
      </c>
      <c r="S14" s="3">
        <v>1146</v>
      </c>
      <c r="T14" s="3">
        <v>105.2</v>
      </c>
      <c r="U14" s="3">
        <v>2332</v>
      </c>
      <c r="V14" s="3">
        <v>-0.16500000000000001</v>
      </c>
      <c r="W14" s="3">
        <v>-1.431</v>
      </c>
      <c r="X14" s="3">
        <v>-0.83799999999999997</v>
      </c>
      <c r="Y14" s="3">
        <v>-1.238</v>
      </c>
      <c r="Z14" s="3">
        <v>-0.75800000000000001</v>
      </c>
      <c r="AA14" s="3">
        <v>0.26800000000000002</v>
      </c>
      <c r="AB14" s="3">
        <v>1.1399999999999999</v>
      </c>
      <c r="AC14" s="3">
        <v>1.909</v>
      </c>
      <c r="AD14" s="16">
        <v>4.1008333333333331</v>
      </c>
      <c r="AE14" s="3">
        <v>1528</v>
      </c>
      <c r="AF14" s="3">
        <v>-7.66</v>
      </c>
      <c r="AG14" s="3">
        <v>645</v>
      </c>
      <c r="AH14" s="3">
        <v>81.3</v>
      </c>
      <c r="AI14" s="3">
        <v>1040</v>
      </c>
      <c r="AJ14" s="3">
        <v>-8.42</v>
      </c>
      <c r="AK14" s="3">
        <v>-9.7200000000000006</v>
      </c>
      <c r="AL14" s="3">
        <v>-0.92700000000000005</v>
      </c>
      <c r="AM14" s="3">
        <v>-9.65</v>
      </c>
      <c r="AN14" s="3">
        <v>-8.3699999999999992</v>
      </c>
      <c r="AO14" s="3">
        <v>0.154</v>
      </c>
      <c r="AP14" s="3">
        <v>1.006</v>
      </c>
      <c r="AQ14" s="3">
        <v>1.754</v>
      </c>
      <c r="AR14" s="3">
        <v>0.14799999999999999</v>
      </c>
      <c r="AS14" s="3">
        <v>0.188</v>
      </c>
      <c r="AT14" s="3">
        <v>0.115</v>
      </c>
      <c r="AU14" s="3">
        <v>8.7999999999999995E-2</v>
      </c>
      <c r="AV14" s="3">
        <v>9.2999999999999999E-2</v>
      </c>
      <c r="AW14" s="3">
        <v>0.17199999999999999</v>
      </c>
      <c r="AX14" s="3">
        <v>0.126</v>
      </c>
      <c r="AY14" s="3">
        <v>7.0000000000000007E-2</v>
      </c>
      <c r="AZ14" s="3">
        <v>-5.32</v>
      </c>
      <c r="BA14" s="3">
        <v>2626</v>
      </c>
      <c r="BB14" s="3">
        <v>12.29</v>
      </c>
      <c r="BC14" s="3">
        <v>2876</v>
      </c>
      <c r="BD14" s="3"/>
      <c r="BE14" s="3"/>
      <c r="BF14" s="3">
        <f t="shared" si="25"/>
        <v>859</v>
      </c>
      <c r="BH14" s="16">
        <v>4.93</v>
      </c>
      <c r="BI14" s="16">
        <f t="shared" si="0"/>
        <v>9.9585999999999988</v>
      </c>
      <c r="BJ14" s="17">
        <f t="shared" si="1"/>
        <v>0.63</v>
      </c>
      <c r="BK14" s="17">
        <f t="shared" si="2"/>
        <v>1.58</v>
      </c>
      <c r="BM14" s="1">
        <f t="shared" si="3"/>
        <v>98.2</v>
      </c>
      <c r="BN14" s="1">
        <f t="shared" si="4"/>
        <v>90.8</v>
      </c>
      <c r="BO14" s="1">
        <f t="shared" si="5"/>
        <v>76.099999999999994</v>
      </c>
      <c r="BP14" s="62">
        <f t="shared" si="26"/>
        <v>0.46400000000000002</v>
      </c>
      <c r="BQ14" s="62">
        <f t="shared" si="6"/>
        <v>0.14599999999999999</v>
      </c>
      <c r="BS14" s="39"/>
      <c r="BT14" s="8"/>
      <c r="BV14" s="8"/>
      <c r="BW14" s="16">
        <f t="shared" si="7"/>
        <v>0.63</v>
      </c>
      <c r="BX14" s="16">
        <f t="shared" si="7"/>
        <v>1.58</v>
      </c>
      <c r="BY14" s="3">
        <f t="shared" si="8"/>
        <v>-3.9</v>
      </c>
      <c r="BZ14" s="3">
        <f t="shared" si="9"/>
        <v>-4.3</v>
      </c>
      <c r="CA14" s="3">
        <f t="shared" si="9"/>
        <v>-4.8</v>
      </c>
      <c r="CB14" s="3">
        <f t="shared" si="9"/>
        <v>-0.9</v>
      </c>
      <c r="CC14" s="3">
        <f t="shared" si="10"/>
        <v>0.2</v>
      </c>
      <c r="CD14" s="3">
        <f t="shared" si="10"/>
        <v>1.1000000000000001</v>
      </c>
      <c r="CE14" s="3">
        <f t="shared" si="10"/>
        <v>1.8</v>
      </c>
      <c r="CF14" s="23">
        <f t="shared" si="11"/>
        <v>90.8</v>
      </c>
      <c r="CG14" s="1">
        <f t="shared" si="12"/>
        <v>0</v>
      </c>
      <c r="CH14" s="1">
        <f t="shared" si="13"/>
        <v>-0.2</v>
      </c>
      <c r="CI14" s="1">
        <f t="shared" si="13"/>
        <v>-1.4</v>
      </c>
      <c r="CJ14" s="1">
        <f t="shared" si="13"/>
        <v>-0.8</v>
      </c>
      <c r="CK14" s="1">
        <f t="shared" si="14"/>
        <v>0.3</v>
      </c>
      <c r="CL14" s="1">
        <f t="shared" si="14"/>
        <v>1.1000000000000001</v>
      </c>
      <c r="CM14" s="1">
        <f t="shared" si="14"/>
        <v>1.9</v>
      </c>
      <c r="CN14" s="2">
        <f t="shared" si="15"/>
        <v>98.2</v>
      </c>
      <c r="CO14" s="1">
        <f t="shared" si="16"/>
        <v>-7.7</v>
      </c>
      <c r="CP14" s="1">
        <f t="shared" si="17"/>
        <v>-8.4</v>
      </c>
      <c r="CQ14" s="1">
        <f t="shared" si="17"/>
        <v>-9.6999999999999993</v>
      </c>
      <c r="CR14" s="1">
        <f t="shared" si="17"/>
        <v>-0.9</v>
      </c>
      <c r="CS14" s="1">
        <f t="shared" si="18"/>
        <v>0.2</v>
      </c>
      <c r="CT14" s="1">
        <f t="shared" si="18"/>
        <v>1</v>
      </c>
      <c r="CU14" s="1">
        <f t="shared" si="18"/>
        <v>1.8</v>
      </c>
      <c r="CV14" s="2">
        <f t="shared" si="19"/>
        <v>76.099999999999994</v>
      </c>
      <c r="CW14" s="18">
        <f t="shared" si="20"/>
        <v>859</v>
      </c>
      <c r="CX14" s="1">
        <f>ROUND(PPTest!K14,1)</f>
        <v>6.5</v>
      </c>
      <c r="CY14" s="17">
        <f t="shared" si="21"/>
        <v>1.32</v>
      </c>
      <c r="CZ14" s="17">
        <f t="shared" si="22"/>
        <v>4.0999999999999996</v>
      </c>
      <c r="DA14" s="20">
        <f t="shared" si="23"/>
        <v>0.46400000000000002</v>
      </c>
      <c r="DB14" s="20">
        <f t="shared" si="23"/>
        <v>0.14599999999999999</v>
      </c>
      <c r="DC14" s="16">
        <f t="shared" si="24"/>
        <v>12.29</v>
      </c>
      <c r="DW14" s="1">
        <v>-4.5</v>
      </c>
      <c r="DX14" s="1">
        <v>-1.2</v>
      </c>
      <c r="DY14" s="1">
        <v>-7.6</v>
      </c>
    </row>
    <row r="15" spans="1:131" x14ac:dyDescent="0.2">
      <c r="A15" s="40">
        <v>34708</v>
      </c>
      <c r="B15" s="3">
        <v>9</v>
      </c>
      <c r="C15" s="3">
        <v>0.54100000000000004</v>
      </c>
      <c r="D15" s="3">
        <v>1.1379999999999999</v>
      </c>
      <c r="E15" s="3">
        <v>-1.153</v>
      </c>
      <c r="F15" s="3">
        <v>94.9</v>
      </c>
      <c r="G15" s="3">
        <v>-1.5169999999999999</v>
      </c>
      <c r="H15" s="3">
        <v>-1.861</v>
      </c>
      <c r="I15" s="3">
        <v>-0.86</v>
      </c>
      <c r="J15" s="3">
        <v>-2.2839999999999998</v>
      </c>
      <c r="K15" s="3">
        <v>-1.9510000000000001</v>
      </c>
      <c r="L15" s="3">
        <v>0.16300000000000001</v>
      </c>
      <c r="M15" s="3">
        <v>1.0580000000000001</v>
      </c>
      <c r="N15" s="3">
        <v>1.8360000000000001</v>
      </c>
      <c r="O15" s="3">
        <v>0</v>
      </c>
      <c r="P15" s="16">
        <v>1.6575</v>
      </c>
      <c r="Q15" s="3"/>
      <c r="R15" s="3">
        <v>1.1919999999999999</v>
      </c>
      <c r="S15" s="3">
        <v>2315</v>
      </c>
      <c r="T15" s="3">
        <v>103.2</v>
      </c>
      <c r="U15" s="3">
        <v>339</v>
      </c>
      <c r="V15" s="3">
        <v>1.583</v>
      </c>
      <c r="W15" s="3">
        <v>1.0620000000000001</v>
      </c>
      <c r="X15" s="3">
        <v>-0.78100000000000003</v>
      </c>
      <c r="Y15" s="3">
        <v>0.313</v>
      </c>
      <c r="Z15" s="3">
        <v>-0.187</v>
      </c>
      <c r="AA15" s="3">
        <v>0.20699999999999999</v>
      </c>
      <c r="AB15" s="3">
        <v>1.105</v>
      </c>
      <c r="AC15" s="3">
        <v>1.8759999999999999</v>
      </c>
      <c r="AD15" s="16">
        <v>4.3008333333333333</v>
      </c>
      <c r="AE15" s="3">
        <v>2339</v>
      </c>
      <c r="AF15" s="3">
        <v>-5.8129999999999997</v>
      </c>
      <c r="AG15" s="3">
        <v>404</v>
      </c>
      <c r="AH15" s="3">
        <v>81</v>
      </c>
      <c r="AI15" s="3">
        <v>614</v>
      </c>
      <c r="AJ15" s="3">
        <v>-6.859</v>
      </c>
      <c r="AK15" s="3">
        <v>-7.82</v>
      </c>
      <c r="AL15" s="3">
        <v>-0.91900000000000004</v>
      </c>
      <c r="AM15" s="3">
        <v>-7.49</v>
      </c>
      <c r="AN15" s="3">
        <v>-6.7880000000000003</v>
      </c>
      <c r="AO15" s="3">
        <v>0.13100000000000001</v>
      </c>
      <c r="AP15" s="3">
        <v>1.02</v>
      </c>
      <c r="AQ15" s="3">
        <v>1.7909999999999999</v>
      </c>
      <c r="AR15" s="3">
        <v>0.24399999999999999</v>
      </c>
      <c r="AS15" s="3">
        <v>0.27800000000000002</v>
      </c>
      <c r="AT15" s="3">
        <v>9.9000000000000005E-2</v>
      </c>
      <c r="AU15" s="3">
        <v>6.0999999999999999E-2</v>
      </c>
      <c r="AV15" s="3">
        <v>5.6000000000000001E-2</v>
      </c>
      <c r="AW15" s="3">
        <v>8.6999999999999994E-2</v>
      </c>
      <c r="AX15" s="3">
        <v>0.10100000000000001</v>
      </c>
      <c r="AY15" s="3">
        <v>7.2999999999999995E-2</v>
      </c>
      <c r="AZ15" s="3">
        <v>-3.1819999999999999</v>
      </c>
      <c r="BA15" s="3">
        <v>3474</v>
      </c>
      <c r="BB15" s="3">
        <v>12.29</v>
      </c>
      <c r="BC15" s="3">
        <v>2876</v>
      </c>
      <c r="BD15" s="3"/>
      <c r="BE15" s="3"/>
      <c r="BF15" s="43">
        <v>900</v>
      </c>
      <c r="BH15" s="16">
        <v>4.99</v>
      </c>
      <c r="BI15" s="16">
        <f t="shared" si="0"/>
        <v>10.079800000000001</v>
      </c>
      <c r="BJ15" s="17">
        <f t="shared" si="1"/>
        <v>0.54</v>
      </c>
      <c r="BK15" s="17">
        <f t="shared" si="2"/>
        <v>1.23</v>
      </c>
      <c r="BM15" s="1">
        <f t="shared" si="3"/>
        <v>96.4</v>
      </c>
      <c r="BN15" s="1">
        <f t="shared" si="4"/>
        <v>88.7</v>
      </c>
      <c r="BO15" s="1">
        <f t="shared" si="5"/>
        <v>75.8</v>
      </c>
      <c r="BP15" s="62">
        <f t="shared" si="26"/>
        <v>0.504</v>
      </c>
      <c r="BQ15" s="62">
        <f t="shared" si="6"/>
        <v>0.161</v>
      </c>
      <c r="BS15" s="39"/>
      <c r="BT15" s="8"/>
      <c r="BV15" s="8"/>
      <c r="BW15" s="16">
        <f t="shared" si="7"/>
        <v>0.54</v>
      </c>
      <c r="BX15" s="16">
        <f t="shared" si="7"/>
        <v>1.23</v>
      </c>
      <c r="BY15" s="3">
        <f t="shared" si="8"/>
        <v>-1.2</v>
      </c>
      <c r="BZ15" s="3">
        <f t="shared" si="9"/>
        <v>-1.5</v>
      </c>
      <c r="CA15" s="3">
        <f t="shared" si="9"/>
        <v>-1.9</v>
      </c>
      <c r="CB15" s="3">
        <f t="shared" si="9"/>
        <v>-0.9</v>
      </c>
      <c r="CC15" s="3">
        <f t="shared" si="10"/>
        <v>0.2</v>
      </c>
      <c r="CD15" s="3">
        <f t="shared" si="10"/>
        <v>1.1000000000000001</v>
      </c>
      <c r="CE15" s="3">
        <f t="shared" si="10"/>
        <v>1.8</v>
      </c>
      <c r="CF15" s="23">
        <f t="shared" si="11"/>
        <v>88.7</v>
      </c>
      <c r="CG15" s="1">
        <f t="shared" si="12"/>
        <v>1.2</v>
      </c>
      <c r="CH15" s="1">
        <f t="shared" si="13"/>
        <v>1.6</v>
      </c>
      <c r="CI15" s="1">
        <f t="shared" si="13"/>
        <v>1.1000000000000001</v>
      </c>
      <c r="CJ15" s="1">
        <f t="shared" si="13"/>
        <v>-0.8</v>
      </c>
      <c r="CK15" s="1">
        <f t="shared" si="14"/>
        <v>0.2</v>
      </c>
      <c r="CL15" s="1">
        <f t="shared" si="14"/>
        <v>1.1000000000000001</v>
      </c>
      <c r="CM15" s="1">
        <f t="shared" si="14"/>
        <v>1.9</v>
      </c>
      <c r="CN15" s="2">
        <f t="shared" si="15"/>
        <v>96.4</v>
      </c>
      <c r="CO15" s="1">
        <f t="shared" si="16"/>
        <v>-5.8</v>
      </c>
      <c r="CP15" s="1">
        <f t="shared" si="17"/>
        <v>-6.9</v>
      </c>
      <c r="CQ15" s="1">
        <f t="shared" si="17"/>
        <v>-7.8</v>
      </c>
      <c r="CR15" s="1">
        <f t="shared" si="17"/>
        <v>-0.9</v>
      </c>
      <c r="CS15" s="1">
        <f t="shared" si="18"/>
        <v>0.1</v>
      </c>
      <c r="CT15" s="1">
        <f t="shared" si="18"/>
        <v>1</v>
      </c>
      <c r="CU15" s="1">
        <f t="shared" si="18"/>
        <v>1.8</v>
      </c>
      <c r="CV15" s="2">
        <f t="shared" si="19"/>
        <v>75.8</v>
      </c>
      <c r="CW15" s="18">
        <f t="shared" si="20"/>
        <v>900</v>
      </c>
      <c r="CX15" s="1">
        <f>ROUND(PPTest!K15,1)</f>
        <v>5.3</v>
      </c>
      <c r="CY15" s="17">
        <f t="shared" si="21"/>
        <v>1.66</v>
      </c>
      <c r="CZ15" s="17">
        <f t="shared" si="22"/>
        <v>4.3</v>
      </c>
      <c r="DA15" s="20">
        <f t="shared" si="23"/>
        <v>0.504</v>
      </c>
      <c r="DB15" s="20">
        <f t="shared" si="23"/>
        <v>0.161</v>
      </c>
      <c r="DC15" s="16">
        <f t="shared" si="24"/>
        <v>12.29</v>
      </c>
      <c r="DW15" s="1">
        <v>-1.6</v>
      </c>
      <c r="DX15" s="1">
        <v>1.8</v>
      </c>
      <c r="DY15" s="1">
        <v>-4.5</v>
      </c>
    </row>
    <row r="16" spans="1:131" x14ac:dyDescent="0.2">
      <c r="A16" s="40">
        <v>34709</v>
      </c>
      <c r="B16" s="3">
        <v>10</v>
      </c>
      <c r="C16" s="3">
        <v>0.57199999999999995</v>
      </c>
      <c r="D16" s="3">
        <v>0.92600000000000005</v>
      </c>
      <c r="E16" s="3">
        <v>-0.35399999999999998</v>
      </c>
      <c r="F16" s="3">
        <v>99.6</v>
      </c>
      <c r="G16" s="3">
        <v>-0.93799999999999994</v>
      </c>
      <c r="H16" s="3">
        <v>-1.355</v>
      </c>
      <c r="I16" s="3">
        <v>-0.746</v>
      </c>
      <c r="J16" s="3">
        <v>-1.4530000000000001</v>
      </c>
      <c r="K16" s="3">
        <v>-1.0489999999999999</v>
      </c>
      <c r="L16" s="3">
        <v>0.151</v>
      </c>
      <c r="M16" s="3">
        <v>1.046</v>
      </c>
      <c r="N16" s="3">
        <v>1.8380000000000001</v>
      </c>
      <c r="O16" s="3">
        <v>0</v>
      </c>
      <c r="P16" s="16">
        <v>0.87916666666666665</v>
      </c>
      <c r="Q16" s="3"/>
      <c r="R16" s="3">
        <v>2.2080000000000002</v>
      </c>
      <c r="S16" s="3">
        <v>1128</v>
      </c>
      <c r="T16" s="3">
        <v>104.6</v>
      </c>
      <c r="U16" s="3">
        <v>440</v>
      </c>
      <c r="V16" s="3">
        <v>2.2149999999999999</v>
      </c>
      <c r="W16" s="3">
        <v>1.8480000000000001</v>
      </c>
      <c r="X16" s="3">
        <v>-0.68500000000000005</v>
      </c>
      <c r="Y16" s="3">
        <v>1.0189999999999999</v>
      </c>
      <c r="Z16" s="3">
        <v>0.28000000000000003</v>
      </c>
      <c r="AA16" s="3">
        <v>0.18</v>
      </c>
      <c r="AB16" s="3">
        <v>1.087</v>
      </c>
      <c r="AC16" s="3">
        <v>1.871</v>
      </c>
      <c r="AD16" s="16">
        <v>3.9674999999999998</v>
      </c>
      <c r="AE16" s="3">
        <v>44</v>
      </c>
      <c r="AF16" s="3">
        <v>-3.7909999999999999</v>
      </c>
      <c r="AG16" s="3">
        <v>0</v>
      </c>
      <c r="AH16" s="3">
        <v>84.1</v>
      </c>
      <c r="AI16" s="3">
        <v>1124</v>
      </c>
      <c r="AJ16" s="3">
        <v>-4.9050000000000002</v>
      </c>
      <c r="AK16" s="3">
        <v>-6.4119999999999999</v>
      </c>
      <c r="AL16" s="3">
        <v>-0.81499999999999995</v>
      </c>
      <c r="AM16" s="3">
        <v>-5.3490000000000002</v>
      </c>
      <c r="AN16" s="3">
        <v>-4.4649999999999999</v>
      </c>
      <c r="AO16" s="3">
        <v>0.11899999999999999</v>
      </c>
      <c r="AP16" s="3">
        <v>1.012</v>
      </c>
      <c r="AQ16" s="3">
        <v>1.8080000000000001</v>
      </c>
      <c r="AR16" s="3">
        <v>0.09</v>
      </c>
      <c r="AS16" s="3">
        <v>0.30299999999999999</v>
      </c>
      <c r="AT16" s="3">
        <v>0.217</v>
      </c>
      <c r="AU16" s="3">
        <v>8.3000000000000004E-2</v>
      </c>
      <c r="AV16" s="3">
        <v>5.5E-2</v>
      </c>
      <c r="AW16" s="3">
        <v>0.14000000000000001</v>
      </c>
      <c r="AX16" s="3">
        <v>0.06</v>
      </c>
      <c r="AY16" s="3">
        <v>5.1999999999999998E-2</v>
      </c>
      <c r="AZ16" s="3">
        <v>-1.4339999999999999</v>
      </c>
      <c r="BA16" s="3">
        <v>2517</v>
      </c>
      <c r="BB16" s="3">
        <v>12.3</v>
      </c>
      <c r="BC16" s="3">
        <v>2876</v>
      </c>
      <c r="BD16" s="3"/>
      <c r="BE16" s="3"/>
      <c r="BF16" s="3">
        <f t="shared" si="25"/>
        <v>968</v>
      </c>
      <c r="BH16" s="16">
        <v>5.0599999999999996</v>
      </c>
      <c r="BI16" s="16">
        <f t="shared" si="0"/>
        <v>10.2212</v>
      </c>
      <c r="BJ16" s="17">
        <f t="shared" si="1"/>
        <v>0.56999999999999995</v>
      </c>
      <c r="BK16" s="17">
        <f t="shared" si="2"/>
        <v>1</v>
      </c>
      <c r="BM16" s="1">
        <f t="shared" si="3"/>
        <v>97.7</v>
      </c>
      <c r="BN16" s="1">
        <f t="shared" si="4"/>
        <v>93</v>
      </c>
      <c r="BO16" s="1">
        <f t="shared" si="5"/>
        <v>78.7</v>
      </c>
      <c r="BP16" s="62">
        <f t="shared" si="26"/>
        <v>0.56299999999999994</v>
      </c>
      <c r="BQ16" s="62">
        <f t="shared" si="6"/>
        <v>0.152</v>
      </c>
      <c r="BS16" s="39"/>
      <c r="BT16" s="8"/>
      <c r="BV16" s="8"/>
      <c r="BW16" s="16">
        <f t="shared" si="7"/>
        <v>0.56999999999999995</v>
      </c>
      <c r="BX16" s="16">
        <f t="shared" si="7"/>
        <v>1</v>
      </c>
      <c r="BY16" s="3">
        <f t="shared" si="8"/>
        <v>-0.4</v>
      </c>
      <c r="BZ16" s="3">
        <f t="shared" si="9"/>
        <v>-0.9</v>
      </c>
      <c r="CA16" s="3">
        <f t="shared" si="9"/>
        <v>-1.4</v>
      </c>
      <c r="CB16" s="3">
        <f t="shared" si="9"/>
        <v>-0.7</v>
      </c>
      <c r="CC16" s="3">
        <f t="shared" si="10"/>
        <v>0.2</v>
      </c>
      <c r="CD16" s="3">
        <f t="shared" si="10"/>
        <v>1</v>
      </c>
      <c r="CE16" s="3">
        <f t="shared" si="10"/>
        <v>1.8</v>
      </c>
      <c r="CF16" s="23">
        <f t="shared" si="11"/>
        <v>93</v>
      </c>
      <c r="CG16" s="1">
        <f t="shared" si="12"/>
        <v>2.2000000000000002</v>
      </c>
      <c r="CH16" s="1">
        <f t="shared" si="13"/>
        <v>2.2000000000000002</v>
      </c>
      <c r="CI16" s="1">
        <f t="shared" si="13"/>
        <v>1.8</v>
      </c>
      <c r="CJ16" s="1">
        <f t="shared" si="13"/>
        <v>-0.7</v>
      </c>
      <c r="CK16" s="1">
        <f t="shared" si="14"/>
        <v>0.2</v>
      </c>
      <c r="CL16" s="1">
        <f t="shared" si="14"/>
        <v>1.1000000000000001</v>
      </c>
      <c r="CM16" s="1">
        <f t="shared" si="14"/>
        <v>1.9</v>
      </c>
      <c r="CN16" s="2">
        <f t="shared" si="15"/>
        <v>97.7</v>
      </c>
      <c r="CO16" s="1">
        <f t="shared" si="16"/>
        <v>-3.8</v>
      </c>
      <c r="CP16" s="1">
        <f t="shared" si="17"/>
        <v>-4.9000000000000004</v>
      </c>
      <c r="CQ16" s="1">
        <f t="shared" si="17"/>
        <v>-6.4</v>
      </c>
      <c r="CR16" s="1">
        <f t="shared" si="17"/>
        <v>-0.8</v>
      </c>
      <c r="CS16" s="1">
        <f t="shared" si="18"/>
        <v>0.1</v>
      </c>
      <c r="CT16" s="1">
        <f t="shared" si="18"/>
        <v>1</v>
      </c>
      <c r="CU16" s="1">
        <f t="shared" si="18"/>
        <v>1.8</v>
      </c>
      <c r="CV16" s="2">
        <f t="shared" si="19"/>
        <v>78.7</v>
      </c>
      <c r="CW16" s="18">
        <f t="shared" si="20"/>
        <v>968</v>
      </c>
      <c r="CX16" s="1">
        <f>ROUND(PPTest!K16,1)</f>
        <v>8.8000000000000007</v>
      </c>
      <c r="CY16" s="17">
        <f t="shared" si="21"/>
        <v>0.88</v>
      </c>
      <c r="CZ16" s="17">
        <f t="shared" si="22"/>
        <v>3.97</v>
      </c>
      <c r="DA16" s="20">
        <f t="shared" si="23"/>
        <v>0.56299999999999994</v>
      </c>
      <c r="DB16" s="20">
        <f t="shared" si="23"/>
        <v>0.152</v>
      </c>
      <c r="DC16" s="16">
        <f t="shared" si="24"/>
        <v>12.3</v>
      </c>
      <c r="DW16" s="1">
        <v>-0.7</v>
      </c>
      <c r="DX16" s="1">
        <v>1.1000000000000001</v>
      </c>
      <c r="DY16" s="1">
        <v>-3.7</v>
      </c>
    </row>
    <row r="17" spans="1:129" x14ac:dyDescent="0.2">
      <c r="A17" s="40">
        <v>34710</v>
      </c>
      <c r="B17" s="3">
        <v>11</v>
      </c>
      <c r="C17" s="3">
        <v>0.246</v>
      </c>
      <c r="D17" s="3">
        <v>0.626</v>
      </c>
      <c r="E17" s="3">
        <v>-3.7240000000000002</v>
      </c>
      <c r="F17" s="3">
        <v>101.2</v>
      </c>
      <c r="G17" s="3">
        <v>-4.3449999999999998</v>
      </c>
      <c r="H17" s="3">
        <v>-5.0529999999999999</v>
      </c>
      <c r="I17" s="3">
        <v>-0.64800000000000002</v>
      </c>
      <c r="J17" s="3">
        <v>-5.423</v>
      </c>
      <c r="K17" s="3">
        <v>-4.6029999999999998</v>
      </c>
      <c r="L17" s="3">
        <v>0.13300000000000001</v>
      </c>
      <c r="M17" s="3">
        <v>1.0109999999999999</v>
      </c>
      <c r="N17" s="3">
        <v>1.8049999999999999</v>
      </c>
      <c r="O17" s="3">
        <v>0</v>
      </c>
      <c r="P17" s="16">
        <v>0.80366666666666675</v>
      </c>
      <c r="Q17" s="3"/>
      <c r="R17" s="3">
        <v>-0.377</v>
      </c>
      <c r="S17" s="3">
        <v>1545</v>
      </c>
      <c r="T17" s="3">
        <v>102.9</v>
      </c>
      <c r="U17" s="3">
        <v>423</v>
      </c>
      <c r="V17" s="3">
        <v>0.28699999999999998</v>
      </c>
      <c r="W17" s="3">
        <v>-1.3959999999999999</v>
      </c>
      <c r="X17" s="3">
        <v>-0.57699999999999996</v>
      </c>
      <c r="Y17" s="3">
        <v>-1.948</v>
      </c>
      <c r="Z17" s="3">
        <v>-0.98299999999999998</v>
      </c>
      <c r="AA17" s="3">
        <v>0.157</v>
      </c>
      <c r="AB17" s="3">
        <v>1.044</v>
      </c>
      <c r="AC17" s="3">
        <v>1.8440000000000001</v>
      </c>
      <c r="AD17" s="16">
        <v>4.1408333333333331</v>
      </c>
      <c r="AE17" s="3">
        <v>1337</v>
      </c>
      <c r="AF17" s="3">
        <v>-6.7960000000000003</v>
      </c>
      <c r="AG17" s="3">
        <v>351</v>
      </c>
      <c r="AH17" s="3">
        <v>98.5</v>
      </c>
      <c r="AI17" s="3">
        <v>1531</v>
      </c>
      <c r="AJ17" s="3">
        <v>-7.89</v>
      </c>
      <c r="AK17" s="3">
        <v>-9.82</v>
      </c>
      <c r="AL17" s="3">
        <v>-0.72</v>
      </c>
      <c r="AM17" s="3">
        <v>-9.33</v>
      </c>
      <c r="AN17" s="3">
        <v>-8.23</v>
      </c>
      <c r="AO17" s="3">
        <v>0.106</v>
      </c>
      <c r="AP17" s="3">
        <v>0.98099999999999998</v>
      </c>
      <c r="AQ17" s="3">
        <v>1.7749999999999999</v>
      </c>
      <c r="AR17" s="3">
        <v>0.46700000000000003</v>
      </c>
      <c r="AS17" s="3">
        <v>0.21</v>
      </c>
      <c r="AT17" s="3">
        <v>0.19400000000000001</v>
      </c>
      <c r="AU17" s="3">
        <v>2.4E-2</v>
      </c>
      <c r="AV17" s="3">
        <v>2.8000000000000001E-2</v>
      </c>
      <c r="AW17" s="3">
        <v>0.06</v>
      </c>
      <c r="AX17" s="3">
        <v>1.4999999999999999E-2</v>
      </c>
      <c r="AY17" s="3">
        <v>2E-3</v>
      </c>
      <c r="AZ17" s="3">
        <v>-3.6829999999999998</v>
      </c>
      <c r="BA17" s="3">
        <v>2478</v>
      </c>
      <c r="BB17" s="3">
        <v>12.3</v>
      </c>
      <c r="BC17" s="3">
        <v>2876</v>
      </c>
      <c r="BD17" s="3"/>
      <c r="BE17" s="3"/>
      <c r="BF17" s="3">
        <f t="shared" si="25"/>
        <v>1007</v>
      </c>
      <c r="BH17" s="16">
        <v>5.13</v>
      </c>
      <c r="BI17" s="16">
        <f t="shared" si="0"/>
        <v>10.3626</v>
      </c>
      <c r="BJ17" s="17">
        <f t="shared" si="1"/>
        <v>0.25</v>
      </c>
      <c r="BK17" s="17">
        <f t="shared" si="2"/>
        <v>0.68</v>
      </c>
      <c r="BM17" s="1">
        <f t="shared" si="3"/>
        <v>96.1</v>
      </c>
      <c r="BN17" s="1">
        <f t="shared" si="4"/>
        <v>94.5</v>
      </c>
      <c r="BO17" s="1">
        <f t="shared" si="5"/>
        <v>92</v>
      </c>
      <c r="BP17" s="62">
        <f t="shared" si="26"/>
        <v>0.54600000000000004</v>
      </c>
      <c r="BQ17" s="62">
        <f t="shared" si="6"/>
        <v>4.7E-2</v>
      </c>
      <c r="BS17" s="39"/>
      <c r="BT17" s="8"/>
      <c r="BV17" s="8"/>
      <c r="BW17" s="16">
        <f t="shared" si="7"/>
        <v>0.25</v>
      </c>
      <c r="BX17" s="16">
        <f t="shared" si="7"/>
        <v>0.68</v>
      </c>
      <c r="BY17" s="3">
        <f t="shared" si="8"/>
        <v>-3.7</v>
      </c>
      <c r="BZ17" s="3">
        <f t="shared" si="9"/>
        <v>-4.3</v>
      </c>
      <c r="CA17" s="3">
        <f t="shared" si="9"/>
        <v>-5.0999999999999996</v>
      </c>
      <c r="CB17" s="3">
        <f t="shared" si="9"/>
        <v>-0.6</v>
      </c>
      <c r="CC17" s="3">
        <f t="shared" si="10"/>
        <v>0.1</v>
      </c>
      <c r="CD17" s="3">
        <f t="shared" si="10"/>
        <v>1</v>
      </c>
      <c r="CE17" s="3">
        <f t="shared" si="10"/>
        <v>1.8</v>
      </c>
      <c r="CF17" s="23">
        <f t="shared" si="11"/>
        <v>94.5</v>
      </c>
      <c r="CG17" s="1">
        <f t="shared" si="12"/>
        <v>-0.4</v>
      </c>
      <c r="CH17" s="1">
        <f t="shared" si="13"/>
        <v>0.3</v>
      </c>
      <c r="CI17" s="1">
        <f t="shared" si="13"/>
        <v>-1.4</v>
      </c>
      <c r="CJ17" s="1">
        <f t="shared" si="13"/>
        <v>-0.6</v>
      </c>
      <c r="CK17" s="1">
        <f t="shared" si="14"/>
        <v>0.2</v>
      </c>
      <c r="CL17" s="1">
        <f t="shared" si="14"/>
        <v>1</v>
      </c>
      <c r="CM17" s="1">
        <f t="shared" si="14"/>
        <v>1.8</v>
      </c>
      <c r="CN17" s="2">
        <f t="shared" si="15"/>
        <v>96.1</v>
      </c>
      <c r="CO17" s="1">
        <f t="shared" si="16"/>
        <v>-6.8</v>
      </c>
      <c r="CP17" s="1">
        <f t="shared" si="17"/>
        <v>-7.9</v>
      </c>
      <c r="CQ17" s="1">
        <f t="shared" si="17"/>
        <v>-9.8000000000000007</v>
      </c>
      <c r="CR17" s="1">
        <f t="shared" si="17"/>
        <v>-0.7</v>
      </c>
      <c r="CS17" s="1">
        <f t="shared" si="18"/>
        <v>0.1</v>
      </c>
      <c r="CT17" s="1">
        <f t="shared" si="18"/>
        <v>1</v>
      </c>
      <c r="CU17" s="1">
        <f t="shared" si="18"/>
        <v>1.8</v>
      </c>
      <c r="CV17" s="2">
        <f t="shared" si="19"/>
        <v>92</v>
      </c>
      <c r="CW17" s="18">
        <f t="shared" si="20"/>
        <v>1007</v>
      </c>
      <c r="CX17" s="1">
        <f>ROUND(PPTest!K17,1)</f>
        <v>5.0999999999999996</v>
      </c>
      <c r="CY17" s="17">
        <f t="shared" si="21"/>
        <v>0.8</v>
      </c>
      <c r="CZ17" s="17">
        <f t="shared" si="22"/>
        <v>4.1399999999999997</v>
      </c>
      <c r="DA17" s="20">
        <f t="shared" si="23"/>
        <v>0.54600000000000004</v>
      </c>
      <c r="DB17" s="20">
        <f t="shared" si="23"/>
        <v>4.7E-2</v>
      </c>
      <c r="DC17" s="16">
        <f t="shared" si="24"/>
        <v>12.3</v>
      </c>
      <c r="DW17" s="1">
        <v>-2.2999999999999998</v>
      </c>
      <c r="DX17" s="1">
        <v>1.9</v>
      </c>
      <c r="DY17" s="1">
        <v>-4</v>
      </c>
    </row>
    <row r="18" spans="1:129" x14ac:dyDescent="0.2">
      <c r="A18" s="40">
        <v>34711</v>
      </c>
      <c r="B18" s="3">
        <v>12</v>
      </c>
      <c r="C18" s="3">
        <v>0.73699999999999999</v>
      </c>
      <c r="D18" s="3">
        <v>1.4710000000000001</v>
      </c>
      <c r="E18" s="3">
        <v>-3.7759999999999998</v>
      </c>
      <c r="F18" s="3">
        <v>95.4</v>
      </c>
      <c r="G18" s="3">
        <v>-4.4349999999999996</v>
      </c>
      <c r="H18" s="3">
        <v>-5.3120000000000003</v>
      </c>
      <c r="I18" s="3">
        <v>-0.54300000000000004</v>
      </c>
      <c r="J18" s="3">
        <v>-6.0129999999999999</v>
      </c>
      <c r="K18" s="3">
        <v>-4.9000000000000004</v>
      </c>
      <c r="L18" s="3">
        <v>0.14599999999999999</v>
      </c>
      <c r="M18" s="3">
        <v>1</v>
      </c>
      <c r="N18" s="3">
        <v>1.7849999999999999</v>
      </c>
      <c r="O18" s="3">
        <v>0</v>
      </c>
      <c r="P18" s="16">
        <v>0.72283333333333333</v>
      </c>
      <c r="Q18" s="3"/>
      <c r="R18" s="3">
        <v>1.0620000000000001</v>
      </c>
      <c r="S18" s="3">
        <v>1109</v>
      </c>
      <c r="T18" s="3">
        <v>103</v>
      </c>
      <c r="U18" s="3">
        <v>737</v>
      </c>
      <c r="V18" s="3">
        <v>0.64700000000000002</v>
      </c>
      <c r="W18" s="3">
        <v>-1.1180000000000001</v>
      </c>
      <c r="X18" s="3">
        <v>-0.48899999999999999</v>
      </c>
      <c r="Y18" s="3">
        <v>-2.7469999999999999</v>
      </c>
      <c r="Z18" s="3">
        <v>-1.151</v>
      </c>
      <c r="AA18" s="3">
        <v>0.188</v>
      </c>
      <c r="AB18" s="3">
        <v>1.04</v>
      </c>
      <c r="AC18" s="3">
        <v>1.8220000000000001</v>
      </c>
      <c r="AD18" s="16">
        <v>3.3275000000000001</v>
      </c>
      <c r="AE18" s="3">
        <v>1208</v>
      </c>
      <c r="AF18" s="3">
        <v>-7.77</v>
      </c>
      <c r="AG18" s="3">
        <v>444</v>
      </c>
      <c r="AH18" s="3">
        <v>74.5</v>
      </c>
      <c r="AI18" s="3">
        <v>1110</v>
      </c>
      <c r="AJ18" s="3">
        <v>-9.59</v>
      </c>
      <c r="AK18" s="3">
        <v>-11.81</v>
      </c>
      <c r="AL18" s="3">
        <v>-0.60799999999999998</v>
      </c>
      <c r="AM18" s="3">
        <v>-11.73</v>
      </c>
      <c r="AN18" s="3">
        <v>-9.34</v>
      </c>
      <c r="AO18" s="3">
        <v>0.111</v>
      </c>
      <c r="AP18" s="3">
        <v>0.96399999999999997</v>
      </c>
      <c r="AQ18" s="3">
        <v>1.7430000000000001</v>
      </c>
      <c r="AR18" s="3">
        <v>0.53500000000000003</v>
      </c>
      <c r="AS18" s="3">
        <v>0.214</v>
      </c>
      <c r="AT18" s="3">
        <v>0.14299999999999999</v>
      </c>
      <c r="AU18" s="3">
        <v>3.9E-2</v>
      </c>
      <c r="AV18" s="3">
        <v>6.0000000000000001E-3</v>
      </c>
      <c r="AW18" s="3">
        <v>2.1000000000000001E-2</v>
      </c>
      <c r="AX18" s="3">
        <v>1.4999999999999999E-2</v>
      </c>
      <c r="AY18" s="3">
        <v>2.8000000000000001E-2</v>
      </c>
      <c r="AZ18" s="3">
        <v>-4.0060000000000002</v>
      </c>
      <c r="BA18" s="3">
        <v>2488</v>
      </c>
      <c r="BB18" s="3">
        <v>12.29</v>
      </c>
      <c r="BC18" s="3">
        <v>2876</v>
      </c>
      <c r="BD18" s="3"/>
      <c r="BE18" s="3"/>
      <c r="BF18" s="3">
        <f t="shared" si="25"/>
        <v>997</v>
      </c>
      <c r="BH18" s="16">
        <v>5.2</v>
      </c>
      <c r="BI18" s="16">
        <f t="shared" si="0"/>
        <v>10.504000000000001</v>
      </c>
      <c r="BJ18" s="17">
        <f t="shared" si="1"/>
        <v>0.74</v>
      </c>
      <c r="BK18" s="17">
        <f t="shared" si="2"/>
        <v>1.59</v>
      </c>
      <c r="BM18" s="1">
        <f t="shared" si="3"/>
        <v>96.2</v>
      </c>
      <c r="BN18" s="1">
        <f t="shared" si="4"/>
        <v>89.1</v>
      </c>
      <c r="BO18" s="1">
        <f t="shared" si="5"/>
        <v>69.8</v>
      </c>
      <c r="BP18" s="62">
        <f t="shared" si="26"/>
        <v>0.46</v>
      </c>
      <c r="BQ18" s="62">
        <f t="shared" si="6"/>
        <v>0.19900000000000001</v>
      </c>
      <c r="BS18" s="39"/>
      <c r="BT18" s="8"/>
      <c r="BV18" s="8"/>
      <c r="BW18" s="16">
        <f t="shared" si="7"/>
        <v>0.74</v>
      </c>
      <c r="BX18" s="16">
        <f t="shared" si="7"/>
        <v>1.59</v>
      </c>
      <c r="BY18" s="3">
        <f t="shared" si="8"/>
        <v>-3.8</v>
      </c>
      <c r="BZ18" s="3">
        <f t="shared" si="9"/>
        <v>-4.4000000000000004</v>
      </c>
      <c r="CA18" s="3">
        <f t="shared" si="9"/>
        <v>-5.3</v>
      </c>
      <c r="CB18" s="3">
        <f t="shared" si="9"/>
        <v>-0.5</v>
      </c>
      <c r="CC18" s="3">
        <f t="shared" si="10"/>
        <v>0.1</v>
      </c>
      <c r="CD18" s="3">
        <f t="shared" si="10"/>
        <v>1</v>
      </c>
      <c r="CE18" s="3">
        <f t="shared" si="10"/>
        <v>1.8</v>
      </c>
      <c r="CF18" s="23">
        <f t="shared" si="11"/>
        <v>89.1</v>
      </c>
      <c r="CG18" s="1">
        <f t="shared" si="12"/>
        <v>1.1000000000000001</v>
      </c>
      <c r="CH18" s="1">
        <f t="shared" si="13"/>
        <v>0.6</v>
      </c>
      <c r="CI18" s="1">
        <f t="shared" si="13"/>
        <v>-1.1000000000000001</v>
      </c>
      <c r="CJ18" s="1">
        <f t="shared" si="13"/>
        <v>-0.5</v>
      </c>
      <c r="CK18" s="1">
        <f t="shared" si="14"/>
        <v>0.2</v>
      </c>
      <c r="CL18" s="1">
        <f t="shared" si="14"/>
        <v>1</v>
      </c>
      <c r="CM18" s="1">
        <f t="shared" si="14"/>
        <v>1.8</v>
      </c>
      <c r="CN18" s="2">
        <f t="shared" si="15"/>
        <v>96.2</v>
      </c>
      <c r="CO18" s="1">
        <f t="shared" si="16"/>
        <v>-7.8</v>
      </c>
      <c r="CP18" s="1">
        <f t="shared" si="17"/>
        <v>-9.6</v>
      </c>
      <c r="CQ18" s="1">
        <f t="shared" si="17"/>
        <v>-11.8</v>
      </c>
      <c r="CR18" s="1">
        <f t="shared" si="17"/>
        <v>-0.6</v>
      </c>
      <c r="CS18" s="1">
        <f t="shared" si="18"/>
        <v>0.1</v>
      </c>
      <c r="CT18" s="1">
        <f t="shared" si="18"/>
        <v>1</v>
      </c>
      <c r="CU18" s="1">
        <f t="shared" si="18"/>
        <v>1.7</v>
      </c>
      <c r="CV18" s="2">
        <f t="shared" si="19"/>
        <v>69.8</v>
      </c>
      <c r="CW18" s="18">
        <f t="shared" si="20"/>
        <v>997</v>
      </c>
      <c r="CX18" s="1">
        <f>ROUND(PPTest!K18,1)</f>
        <v>0</v>
      </c>
      <c r="CY18" s="17">
        <f t="shared" si="21"/>
        <v>0.72</v>
      </c>
      <c r="CZ18" s="17">
        <f t="shared" si="22"/>
        <v>3.33</v>
      </c>
      <c r="DA18" s="20">
        <f t="shared" si="23"/>
        <v>0.46</v>
      </c>
      <c r="DB18" s="20">
        <f t="shared" si="23"/>
        <v>0.19900000000000001</v>
      </c>
      <c r="DC18" s="16">
        <f t="shared" si="24"/>
        <v>12.29</v>
      </c>
      <c r="DW18" s="1">
        <v>-3</v>
      </c>
      <c r="DX18" s="1">
        <v>-0.2</v>
      </c>
      <c r="DY18" s="1">
        <v>-6.1</v>
      </c>
    </row>
    <row r="19" spans="1:129" x14ac:dyDescent="0.2">
      <c r="A19" s="40">
        <v>34712</v>
      </c>
      <c r="B19" s="3">
        <v>13</v>
      </c>
      <c r="C19" s="3">
        <v>0.40200000000000002</v>
      </c>
      <c r="D19" s="3">
        <v>0.879</v>
      </c>
      <c r="E19" s="3">
        <v>-1.742</v>
      </c>
      <c r="F19" s="3">
        <v>97.9</v>
      </c>
      <c r="G19" s="3">
        <v>-2.0449999999999999</v>
      </c>
      <c r="H19" s="3">
        <v>-2.1579999999999999</v>
      </c>
      <c r="I19" s="3">
        <v>-0.46300000000000002</v>
      </c>
      <c r="J19" s="3">
        <v>-2.77</v>
      </c>
      <c r="K19" s="3">
        <v>-2.286</v>
      </c>
      <c r="L19" s="3">
        <v>0.16900000000000001</v>
      </c>
      <c r="M19" s="3">
        <v>0.998</v>
      </c>
      <c r="N19" s="3">
        <v>1.7709999999999999</v>
      </c>
      <c r="O19" s="3">
        <v>0</v>
      </c>
      <c r="P19" s="16">
        <v>1.3923333333333332</v>
      </c>
      <c r="Q19" s="3"/>
      <c r="R19" s="3">
        <v>-0.26300000000000001</v>
      </c>
      <c r="S19" s="3">
        <v>1046</v>
      </c>
      <c r="T19" s="3">
        <v>103.1</v>
      </c>
      <c r="U19" s="3">
        <v>655</v>
      </c>
      <c r="V19" s="3">
        <v>-0.32700000000000001</v>
      </c>
      <c r="W19" s="3">
        <v>-0.49099999999999999</v>
      </c>
      <c r="X19" s="3">
        <v>-0.41599999999999998</v>
      </c>
      <c r="Y19" s="3">
        <v>-2.044</v>
      </c>
      <c r="Z19" s="3">
        <v>-1.036</v>
      </c>
      <c r="AA19" s="3">
        <v>0.19800000000000001</v>
      </c>
      <c r="AB19" s="3">
        <v>1.016</v>
      </c>
      <c r="AC19" s="3">
        <v>1.792</v>
      </c>
      <c r="AD19" s="16">
        <v>5.354166666666667</v>
      </c>
      <c r="AE19" s="3">
        <v>1854</v>
      </c>
      <c r="AF19" s="3">
        <v>-2.8540000000000001</v>
      </c>
      <c r="AG19" s="3">
        <v>614</v>
      </c>
      <c r="AH19" s="3">
        <v>79.099999999999994</v>
      </c>
      <c r="AI19" s="3">
        <v>1209</v>
      </c>
      <c r="AJ19" s="3">
        <v>-3.5550000000000002</v>
      </c>
      <c r="AK19" s="3">
        <v>-4.1230000000000002</v>
      </c>
      <c r="AL19" s="3">
        <v>-0.51300000000000001</v>
      </c>
      <c r="AM19" s="3">
        <v>-3.5659999999999998</v>
      </c>
      <c r="AN19" s="3">
        <v>-3.331</v>
      </c>
      <c r="AO19" s="3">
        <v>0.14000000000000001</v>
      </c>
      <c r="AP19" s="3">
        <v>0.97299999999999998</v>
      </c>
      <c r="AQ19" s="3">
        <v>1.752</v>
      </c>
      <c r="AR19" s="3">
        <v>0.19500000000000001</v>
      </c>
      <c r="AS19" s="3">
        <v>0.26300000000000001</v>
      </c>
      <c r="AT19" s="3">
        <v>9.9000000000000005E-2</v>
      </c>
      <c r="AU19" s="3">
        <v>6.8000000000000005E-2</v>
      </c>
      <c r="AV19" s="3">
        <v>8.6999999999999994E-2</v>
      </c>
      <c r="AW19" s="3">
        <v>0.121</v>
      </c>
      <c r="AX19" s="3">
        <v>9.2999999999999999E-2</v>
      </c>
      <c r="AY19" s="3">
        <v>7.2999999999999995E-2</v>
      </c>
      <c r="AZ19" s="3">
        <v>-2.5979999999999999</v>
      </c>
      <c r="BA19" s="3">
        <v>2466</v>
      </c>
      <c r="BB19" s="3">
        <v>12.29</v>
      </c>
      <c r="BC19" s="3">
        <v>2876</v>
      </c>
      <c r="BD19" s="3"/>
      <c r="BE19" s="3"/>
      <c r="BF19" s="3">
        <f t="shared" si="25"/>
        <v>1019</v>
      </c>
      <c r="BH19" s="16">
        <v>5.27</v>
      </c>
      <c r="BI19" s="16">
        <f t="shared" si="0"/>
        <v>10.645399999999999</v>
      </c>
      <c r="BJ19" s="17">
        <f t="shared" si="1"/>
        <v>0.4</v>
      </c>
      <c r="BK19" s="17">
        <f t="shared" si="2"/>
        <v>0.95</v>
      </c>
      <c r="BM19" s="1">
        <f t="shared" si="3"/>
        <v>96.3</v>
      </c>
      <c r="BN19" s="1">
        <f t="shared" si="4"/>
        <v>91.5</v>
      </c>
      <c r="BO19" s="1">
        <f t="shared" si="5"/>
        <v>74.099999999999994</v>
      </c>
      <c r="BP19" s="62">
        <f t="shared" si="26"/>
        <v>0.44400000000000001</v>
      </c>
      <c r="BQ19" s="62">
        <f t="shared" si="6"/>
        <v>0.155</v>
      </c>
      <c r="BS19" s="39"/>
      <c r="BT19" s="8"/>
      <c r="BV19" s="8"/>
      <c r="BW19" s="16">
        <f t="shared" si="7"/>
        <v>0.4</v>
      </c>
      <c r="BX19" s="16">
        <f t="shared" si="7"/>
        <v>0.95</v>
      </c>
      <c r="BY19" s="3">
        <f t="shared" si="8"/>
        <v>-1.7</v>
      </c>
      <c r="BZ19" s="3">
        <f t="shared" si="9"/>
        <v>-2</v>
      </c>
      <c r="CA19" s="3">
        <f t="shared" si="9"/>
        <v>-2.2000000000000002</v>
      </c>
      <c r="CB19" s="3">
        <f t="shared" si="9"/>
        <v>-0.5</v>
      </c>
      <c r="CC19" s="3">
        <f t="shared" si="10"/>
        <v>0.2</v>
      </c>
      <c r="CD19" s="3">
        <f t="shared" si="10"/>
        <v>1</v>
      </c>
      <c r="CE19" s="3">
        <f t="shared" si="10"/>
        <v>1.8</v>
      </c>
      <c r="CF19" s="23">
        <f t="shared" si="11"/>
        <v>91.5</v>
      </c>
      <c r="CG19" s="1">
        <f t="shared" si="12"/>
        <v>-0.3</v>
      </c>
      <c r="CH19" s="1">
        <f t="shared" si="13"/>
        <v>-0.3</v>
      </c>
      <c r="CI19" s="1">
        <f t="shared" si="13"/>
        <v>-0.5</v>
      </c>
      <c r="CJ19" s="1">
        <f t="shared" si="13"/>
        <v>-0.4</v>
      </c>
      <c r="CK19" s="1">
        <f t="shared" si="14"/>
        <v>0.2</v>
      </c>
      <c r="CL19" s="1">
        <f t="shared" si="14"/>
        <v>1</v>
      </c>
      <c r="CM19" s="1">
        <f t="shared" si="14"/>
        <v>1.8</v>
      </c>
      <c r="CN19" s="2">
        <f t="shared" si="15"/>
        <v>96.3</v>
      </c>
      <c r="CO19" s="1">
        <f t="shared" si="16"/>
        <v>-2.9</v>
      </c>
      <c r="CP19" s="1">
        <f t="shared" si="17"/>
        <v>-3.6</v>
      </c>
      <c r="CQ19" s="1">
        <f t="shared" si="17"/>
        <v>-4.0999999999999996</v>
      </c>
      <c r="CR19" s="1">
        <f t="shared" si="17"/>
        <v>-0.5</v>
      </c>
      <c r="CS19" s="1">
        <f t="shared" si="18"/>
        <v>0.1</v>
      </c>
      <c r="CT19" s="1">
        <f t="shared" si="18"/>
        <v>1</v>
      </c>
      <c r="CU19" s="1">
        <f t="shared" si="18"/>
        <v>1.8</v>
      </c>
      <c r="CV19" s="2">
        <f t="shared" si="19"/>
        <v>74.099999999999994</v>
      </c>
      <c r="CW19" s="18">
        <f t="shared" si="20"/>
        <v>1019</v>
      </c>
      <c r="CX19" s="1">
        <f>ROUND(PPTest!K19,1)</f>
        <v>2.9</v>
      </c>
      <c r="CY19" s="17">
        <f t="shared" si="21"/>
        <v>1.39</v>
      </c>
      <c r="CZ19" s="17">
        <f t="shared" si="22"/>
        <v>5.35</v>
      </c>
      <c r="DA19" s="20">
        <f t="shared" si="23"/>
        <v>0.44400000000000001</v>
      </c>
      <c r="DB19" s="20">
        <f t="shared" si="23"/>
        <v>0.155</v>
      </c>
      <c r="DC19" s="16">
        <f t="shared" si="24"/>
        <v>12.29</v>
      </c>
      <c r="DW19" s="1">
        <v>-2.8</v>
      </c>
      <c r="DX19" s="1">
        <v>-1.4</v>
      </c>
      <c r="DY19" s="1">
        <v>-5.2</v>
      </c>
    </row>
    <row r="20" spans="1:129" x14ac:dyDescent="0.2">
      <c r="A20" s="40">
        <v>34713</v>
      </c>
      <c r="B20" s="3">
        <v>14</v>
      </c>
      <c r="C20" s="3">
        <v>0.38400000000000001</v>
      </c>
      <c r="D20" s="3">
        <v>0.89900000000000002</v>
      </c>
      <c r="E20" s="3">
        <v>-2.7229999999999999</v>
      </c>
      <c r="F20" s="3">
        <v>98.9</v>
      </c>
      <c r="G20" s="3">
        <v>-3.3010000000000002</v>
      </c>
      <c r="H20" s="3">
        <v>-3.6909999999999998</v>
      </c>
      <c r="I20" s="3">
        <v>-0.41299999999999998</v>
      </c>
      <c r="J20" s="3">
        <v>-4.2679999999999998</v>
      </c>
      <c r="K20" s="3">
        <v>-3.472</v>
      </c>
      <c r="L20" s="3">
        <v>0.187</v>
      </c>
      <c r="M20" s="3">
        <v>1</v>
      </c>
      <c r="N20" s="3">
        <v>1.7609999999999999</v>
      </c>
      <c r="O20" s="3">
        <v>0</v>
      </c>
      <c r="P20" s="16">
        <v>1.1083333333333334</v>
      </c>
      <c r="Q20" s="3"/>
      <c r="R20" s="3">
        <v>-0.32900000000000001</v>
      </c>
      <c r="S20" s="3">
        <v>1318</v>
      </c>
      <c r="T20" s="3">
        <v>103.3</v>
      </c>
      <c r="U20" s="3">
        <v>436</v>
      </c>
      <c r="V20" s="3">
        <v>6.5000000000000002E-2</v>
      </c>
      <c r="W20" s="3">
        <v>-0.70799999999999996</v>
      </c>
      <c r="X20" s="3">
        <v>-0.372</v>
      </c>
      <c r="Y20" s="3">
        <v>-2.1680000000000001</v>
      </c>
      <c r="Z20" s="3">
        <v>-0.48799999999999999</v>
      </c>
      <c r="AA20" s="3">
        <v>0.215</v>
      </c>
      <c r="AB20" s="3">
        <v>1.0229999999999999</v>
      </c>
      <c r="AC20" s="3">
        <v>1.7889999999999999</v>
      </c>
      <c r="AD20" s="16">
        <v>3.5941666666666667</v>
      </c>
      <c r="AE20" s="3">
        <v>724</v>
      </c>
      <c r="AF20" s="3">
        <v>-6.5529999999999999</v>
      </c>
      <c r="AG20" s="3">
        <v>546</v>
      </c>
      <c r="AH20" s="3">
        <v>84.8</v>
      </c>
      <c r="AI20" s="3">
        <v>1240</v>
      </c>
      <c r="AJ20" s="3">
        <v>-8.15</v>
      </c>
      <c r="AK20" s="3">
        <v>-9.6</v>
      </c>
      <c r="AL20" s="3">
        <v>-0.44800000000000001</v>
      </c>
      <c r="AM20" s="3">
        <v>-8.61</v>
      </c>
      <c r="AN20" s="3">
        <v>-8.4600000000000009</v>
      </c>
      <c r="AO20" s="3">
        <v>0.16200000000000001</v>
      </c>
      <c r="AP20" s="3">
        <v>0.97899999999999998</v>
      </c>
      <c r="AQ20" s="3">
        <v>1.7370000000000001</v>
      </c>
      <c r="AR20" s="3">
        <v>9.5000000000000001E-2</v>
      </c>
      <c r="AS20" s="3">
        <v>0.45700000000000002</v>
      </c>
      <c r="AT20" s="3">
        <v>0.26200000000000001</v>
      </c>
      <c r="AU20" s="3">
        <v>3.5000000000000003E-2</v>
      </c>
      <c r="AV20" s="3">
        <v>4.2000000000000003E-2</v>
      </c>
      <c r="AW20" s="3">
        <v>8.2000000000000003E-2</v>
      </c>
      <c r="AX20" s="3">
        <v>1.4999999999999999E-2</v>
      </c>
      <c r="AY20" s="3">
        <v>1.2E-2</v>
      </c>
      <c r="AZ20" s="3">
        <v>-2.8839999999999999</v>
      </c>
      <c r="BA20" s="3">
        <v>2441</v>
      </c>
      <c r="BB20" s="3">
        <v>12.29</v>
      </c>
      <c r="BC20" s="3">
        <v>2876</v>
      </c>
      <c r="BD20" s="3"/>
      <c r="BE20" s="3"/>
      <c r="BF20" s="3">
        <f t="shared" si="25"/>
        <v>1044</v>
      </c>
      <c r="BH20" s="16">
        <v>5.36</v>
      </c>
      <c r="BI20" s="16">
        <f t="shared" si="0"/>
        <v>10.827200000000001</v>
      </c>
      <c r="BJ20" s="17">
        <f t="shared" si="1"/>
        <v>0.38</v>
      </c>
      <c r="BK20" s="17">
        <f t="shared" si="2"/>
        <v>0.97</v>
      </c>
      <c r="BM20" s="1">
        <f t="shared" si="3"/>
        <v>96.4</v>
      </c>
      <c r="BN20" s="1">
        <f t="shared" si="4"/>
        <v>92.4</v>
      </c>
      <c r="BO20" s="1">
        <f t="shared" si="5"/>
        <v>79.400000000000006</v>
      </c>
      <c r="BP20" s="62">
        <f t="shared" si="26"/>
        <v>0.47299999999999998</v>
      </c>
      <c r="BQ20" s="62">
        <f t="shared" si="6"/>
        <v>0.123</v>
      </c>
      <c r="BS20" s="39"/>
      <c r="BT20" s="8"/>
      <c r="BV20" s="8"/>
      <c r="BW20" s="16">
        <f t="shared" si="7"/>
        <v>0.38</v>
      </c>
      <c r="BX20" s="16">
        <f t="shared" si="7"/>
        <v>0.97</v>
      </c>
      <c r="BY20" s="3">
        <f t="shared" si="8"/>
        <v>-2.7</v>
      </c>
      <c r="BZ20" s="3">
        <f t="shared" si="9"/>
        <v>-3.3</v>
      </c>
      <c r="CA20" s="3">
        <f t="shared" si="9"/>
        <v>-3.7</v>
      </c>
      <c r="CB20" s="3">
        <f t="shared" si="9"/>
        <v>-0.4</v>
      </c>
      <c r="CC20" s="3">
        <f t="shared" si="10"/>
        <v>0.2</v>
      </c>
      <c r="CD20" s="3">
        <f t="shared" si="10"/>
        <v>1</v>
      </c>
      <c r="CE20" s="3">
        <f t="shared" si="10"/>
        <v>1.8</v>
      </c>
      <c r="CF20" s="23">
        <f t="shared" si="11"/>
        <v>92.4</v>
      </c>
      <c r="CG20" s="1">
        <f t="shared" si="12"/>
        <v>-0.3</v>
      </c>
      <c r="CH20" s="1">
        <f t="shared" si="13"/>
        <v>0.1</v>
      </c>
      <c r="CI20" s="1">
        <f t="shared" si="13"/>
        <v>-0.7</v>
      </c>
      <c r="CJ20" s="1">
        <f t="shared" si="13"/>
        <v>-0.4</v>
      </c>
      <c r="CK20" s="1">
        <f t="shared" si="14"/>
        <v>0.2</v>
      </c>
      <c r="CL20" s="1">
        <f t="shared" si="14"/>
        <v>1</v>
      </c>
      <c r="CM20" s="1">
        <f t="shared" si="14"/>
        <v>1.8</v>
      </c>
      <c r="CN20" s="2">
        <f t="shared" si="15"/>
        <v>96.4</v>
      </c>
      <c r="CO20" s="1">
        <f t="shared" si="16"/>
        <v>-6.6</v>
      </c>
      <c r="CP20" s="1">
        <f t="shared" si="17"/>
        <v>-8.1999999999999993</v>
      </c>
      <c r="CQ20" s="1">
        <f t="shared" si="17"/>
        <v>-9.6</v>
      </c>
      <c r="CR20" s="1">
        <f t="shared" si="17"/>
        <v>-0.4</v>
      </c>
      <c r="CS20" s="1">
        <f t="shared" si="18"/>
        <v>0.2</v>
      </c>
      <c r="CT20" s="1">
        <f t="shared" si="18"/>
        <v>1</v>
      </c>
      <c r="CU20" s="1">
        <f t="shared" si="18"/>
        <v>1.7</v>
      </c>
      <c r="CV20" s="2">
        <f t="shared" si="19"/>
        <v>79.400000000000006</v>
      </c>
      <c r="CW20" s="18">
        <f t="shared" si="20"/>
        <v>1044</v>
      </c>
      <c r="CX20" s="1">
        <f>ROUND(PPTest!K20,1)</f>
        <v>3.3</v>
      </c>
      <c r="CY20" s="17">
        <f t="shared" si="21"/>
        <v>1.1100000000000001</v>
      </c>
      <c r="CZ20" s="17">
        <f t="shared" si="22"/>
        <v>3.59</v>
      </c>
      <c r="DA20" s="20">
        <f t="shared" si="23"/>
        <v>0.47299999999999998</v>
      </c>
      <c r="DB20" s="20">
        <f t="shared" si="23"/>
        <v>0.123</v>
      </c>
      <c r="DC20" s="16">
        <f t="shared" si="24"/>
        <v>12.29</v>
      </c>
      <c r="DW20" s="1">
        <v>-1.9</v>
      </c>
      <c r="DX20" s="1">
        <v>0.3</v>
      </c>
      <c r="DY20" s="1">
        <v>-3.9</v>
      </c>
    </row>
    <row r="21" spans="1:129" x14ac:dyDescent="0.2">
      <c r="A21" s="40">
        <v>34714</v>
      </c>
      <c r="B21" s="3">
        <v>15</v>
      </c>
      <c r="C21" s="3">
        <v>0.44700000000000001</v>
      </c>
      <c r="D21" s="3">
        <v>1.179</v>
      </c>
      <c r="E21" s="3">
        <v>-2.8330000000000002</v>
      </c>
      <c r="F21" s="3">
        <v>99.1</v>
      </c>
      <c r="G21" s="3">
        <v>-3.2650000000000001</v>
      </c>
      <c r="H21" s="3">
        <v>-3.7309999999999999</v>
      </c>
      <c r="I21" s="3">
        <v>-0.35599999999999998</v>
      </c>
      <c r="J21" s="3">
        <v>-2.9159999999999999</v>
      </c>
      <c r="K21" s="3">
        <v>-3.3079999999999998</v>
      </c>
      <c r="L21" s="3">
        <v>0.216</v>
      </c>
      <c r="M21" s="3">
        <v>1.0089999999999999</v>
      </c>
      <c r="N21" s="3">
        <v>1.7569999999999999</v>
      </c>
      <c r="O21" s="3">
        <v>0</v>
      </c>
      <c r="P21" s="16">
        <v>0.60750000000000004</v>
      </c>
      <c r="Q21" s="3"/>
      <c r="R21" s="3">
        <v>0.501</v>
      </c>
      <c r="S21" s="3">
        <v>1316</v>
      </c>
      <c r="T21" s="3">
        <v>103.8</v>
      </c>
      <c r="U21" s="3">
        <v>1947</v>
      </c>
      <c r="V21" s="3">
        <v>1.5629999999999999</v>
      </c>
      <c r="W21" s="3">
        <v>-0.40400000000000003</v>
      </c>
      <c r="X21" s="3">
        <v>-0.315</v>
      </c>
      <c r="Y21" s="3">
        <v>-2.2519999999999998</v>
      </c>
      <c r="Z21" s="3">
        <v>-0.32300000000000001</v>
      </c>
      <c r="AA21" s="3">
        <v>0.249</v>
      </c>
      <c r="AB21" s="3">
        <v>1.036</v>
      </c>
      <c r="AC21" s="3">
        <v>1.7809999999999999</v>
      </c>
      <c r="AD21" s="16">
        <v>2.3008333333333333</v>
      </c>
      <c r="AE21" s="3">
        <v>1352</v>
      </c>
      <c r="AF21" s="3">
        <v>-5.8949999999999996</v>
      </c>
      <c r="AG21" s="3">
        <v>2208</v>
      </c>
      <c r="AH21" s="3">
        <v>80.400000000000006</v>
      </c>
      <c r="AI21" s="3">
        <v>1317</v>
      </c>
      <c r="AJ21" s="3">
        <v>-6.8289999999999997</v>
      </c>
      <c r="AK21" s="3">
        <v>-8.6</v>
      </c>
      <c r="AL21" s="3">
        <v>-0.39900000000000002</v>
      </c>
      <c r="AM21" s="3">
        <v>-3.5790000000000002</v>
      </c>
      <c r="AN21" s="3">
        <v>-6.851</v>
      </c>
      <c r="AO21" s="3">
        <v>0.193</v>
      </c>
      <c r="AP21" s="3">
        <v>0.98799999999999999</v>
      </c>
      <c r="AQ21" s="3">
        <v>1.738</v>
      </c>
      <c r="AR21" s="3">
        <v>0.23100000000000001</v>
      </c>
      <c r="AS21" s="3">
        <v>0.16700000000000001</v>
      </c>
      <c r="AT21" s="3">
        <v>0.126</v>
      </c>
      <c r="AU21" s="3">
        <v>4.2999999999999997E-2</v>
      </c>
      <c r="AV21" s="3">
        <v>0.13300000000000001</v>
      </c>
      <c r="AW21" s="3">
        <v>0.187</v>
      </c>
      <c r="AX21" s="3">
        <v>5.0999999999999997E-2</v>
      </c>
      <c r="AY21" s="3">
        <v>6.3E-2</v>
      </c>
      <c r="AZ21" s="3">
        <v>-2.2309999999999999</v>
      </c>
      <c r="BA21" s="3">
        <v>2434</v>
      </c>
      <c r="BB21" s="3">
        <v>12.29</v>
      </c>
      <c r="BC21" s="3">
        <v>2876</v>
      </c>
      <c r="BD21" s="3"/>
      <c r="BE21" s="3"/>
      <c r="BF21" s="3">
        <f t="shared" si="25"/>
        <v>1051</v>
      </c>
      <c r="BH21" s="16">
        <v>5.44</v>
      </c>
      <c r="BI21" s="16">
        <f t="shared" si="0"/>
        <v>10.988800000000001</v>
      </c>
      <c r="BJ21" s="17">
        <f t="shared" si="1"/>
        <v>0.45</v>
      </c>
      <c r="BK21" s="17">
        <f t="shared" si="2"/>
        <v>1.27</v>
      </c>
      <c r="BM21" s="1">
        <f t="shared" si="3"/>
        <v>96.9</v>
      </c>
      <c r="BN21" s="1">
        <f t="shared" si="4"/>
        <v>92.6</v>
      </c>
      <c r="BO21" s="1">
        <f t="shared" si="5"/>
        <v>75.3</v>
      </c>
      <c r="BP21" s="62">
        <f t="shared" si="26"/>
        <v>0.47699999999999998</v>
      </c>
      <c r="BQ21" s="62">
        <f t="shared" si="6"/>
        <v>0.156</v>
      </c>
      <c r="BS21" s="39"/>
      <c r="BT21" s="8"/>
      <c r="BV21" s="8"/>
      <c r="BW21" s="16">
        <f t="shared" si="7"/>
        <v>0.45</v>
      </c>
      <c r="BX21" s="16">
        <f t="shared" si="7"/>
        <v>1.27</v>
      </c>
      <c r="BY21" s="3">
        <f t="shared" si="8"/>
        <v>-2.8</v>
      </c>
      <c r="BZ21" s="3">
        <f t="shared" si="9"/>
        <v>-3.3</v>
      </c>
      <c r="CA21" s="3">
        <f t="shared" si="9"/>
        <v>-3.7</v>
      </c>
      <c r="CB21" s="3">
        <f t="shared" si="9"/>
        <v>-0.4</v>
      </c>
      <c r="CC21" s="3">
        <f t="shared" si="10"/>
        <v>0.2</v>
      </c>
      <c r="CD21" s="3">
        <f t="shared" si="10"/>
        <v>1</v>
      </c>
      <c r="CE21" s="3">
        <f t="shared" si="10"/>
        <v>1.8</v>
      </c>
      <c r="CF21" s="23">
        <f t="shared" si="11"/>
        <v>92.6</v>
      </c>
      <c r="CG21" s="1">
        <f t="shared" si="12"/>
        <v>0.5</v>
      </c>
      <c r="CH21" s="1">
        <f t="shared" si="13"/>
        <v>1.6</v>
      </c>
      <c r="CI21" s="1">
        <f t="shared" si="13"/>
        <v>-0.4</v>
      </c>
      <c r="CJ21" s="1">
        <f t="shared" si="13"/>
        <v>-0.3</v>
      </c>
      <c r="CK21" s="1">
        <f t="shared" si="14"/>
        <v>0.2</v>
      </c>
      <c r="CL21" s="1">
        <f t="shared" si="14"/>
        <v>1</v>
      </c>
      <c r="CM21" s="1">
        <f t="shared" si="14"/>
        <v>1.8</v>
      </c>
      <c r="CN21" s="2">
        <f t="shared" si="15"/>
        <v>96.9</v>
      </c>
      <c r="CO21" s="1">
        <f t="shared" si="16"/>
        <v>-5.9</v>
      </c>
      <c r="CP21" s="1">
        <f t="shared" si="17"/>
        <v>-6.8</v>
      </c>
      <c r="CQ21" s="1">
        <f t="shared" si="17"/>
        <v>-8.6</v>
      </c>
      <c r="CR21" s="1">
        <f t="shared" si="17"/>
        <v>-0.4</v>
      </c>
      <c r="CS21" s="1">
        <f t="shared" si="18"/>
        <v>0.2</v>
      </c>
      <c r="CT21" s="1">
        <f t="shared" si="18"/>
        <v>1</v>
      </c>
      <c r="CU21" s="1">
        <f t="shared" si="18"/>
        <v>1.7</v>
      </c>
      <c r="CV21" s="2">
        <f t="shared" si="19"/>
        <v>75.3</v>
      </c>
      <c r="CW21" s="18">
        <f t="shared" si="20"/>
        <v>1051</v>
      </c>
      <c r="CX21" s="1">
        <f>ROUND(PPTest!K21,1)</f>
        <v>0.9</v>
      </c>
      <c r="CY21" s="17">
        <f t="shared" si="21"/>
        <v>0.61</v>
      </c>
      <c r="CZ21" s="17">
        <f t="shared" si="22"/>
        <v>2.2999999999999998</v>
      </c>
      <c r="DA21" s="20">
        <f t="shared" si="23"/>
        <v>0.47699999999999998</v>
      </c>
      <c r="DB21" s="20">
        <f t="shared" si="23"/>
        <v>0.156</v>
      </c>
      <c r="DC21" s="16">
        <f t="shared" si="24"/>
        <v>12.29</v>
      </c>
      <c r="DW21" s="1">
        <v>-4.2</v>
      </c>
      <c r="DX21" s="1">
        <v>-0.3</v>
      </c>
      <c r="DY21" s="1">
        <v>-6.4</v>
      </c>
    </row>
    <row r="22" spans="1:129" x14ac:dyDescent="0.2">
      <c r="A22" s="40">
        <v>34715</v>
      </c>
      <c r="B22" s="3">
        <v>16</v>
      </c>
      <c r="C22" s="3">
        <v>0.34499999999999997</v>
      </c>
      <c r="D22" s="3">
        <v>0.93200000000000005</v>
      </c>
      <c r="E22" s="3">
        <v>-4.2350000000000003</v>
      </c>
      <c r="F22" s="3">
        <v>101</v>
      </c>
      <c r="G22" s="3">
        <v>-4.6769999999999996</v>
      </c>
      <c r="H22" s="3">
        <v>-4.8849999999999998</v>
      </c>
      <c r="I22" s="3">
        <v>-0.318</v>
      </c>
      <c r="J22" s="3">
        <v>-3.3660000000000001</v>
      </c>
      <c r="K22" s="3">
        <v>-4.6390000000000002</v>
      </c>
      <c r="L22" s="3">
        <v>0.23599999999999999</v>
      </c>
      <c r="M22" s="3">
        <v>1.008</v>
      </c>
      <c r="N22" s="3">
        <v>1.7430000000000001</v>
      </c>
      <c r="O22" s="3">
        <v>0</v>
      </c>
      <c r="P22" s="16">
        <v>0.98616666666666664</v>
      </c>
      <c r="Q22" s="3"/>
      <c r="R22" s="3">
        <v>-3.26</v>
      </c>
      <c r="S22" s="3">
        <v>1306</v>
      </c>
      <c r="T22" s="3">
        <v>103</v>
      </c>
      <c r="U22" s="3">
        <v>159</v>
      </c>
      <c r="V22" s="3">
        <v>-2.9119999999999999</v>
      </c>
      <c r="W22" s="3">
        <v>-3.4209999999999998</v>
      </c>
      <c r="X22" s="3">
        <v>-0.26800000000000002</v>
      </c>
      <c r="Y22" s="3">
        <v>-3.08</v>
      </c>
      <c r="Z22" s="3">
        <v>-2.8420000000000001</v>
      </c>
      <c r="AA22" s="3">
        <v>0.26200000000000001</v>
      </c>
      <c r="AB22" s="3">
        <v>1.0289999999999999</v>
      </c>
      <c r="AC22" s="3">
        <v>1.7669999999999999</v>
      </c>
      <c r="AD22" s="16">
        <v>3.1408333333333336</v>
      </c>
      <c r="AE22" s="3">
        <v>1536</v>
      </c>
      <c r="AF22" s="3">
        <v>-6.0010000000000003</v>
      </c>
      <c r="AG22" s="3">
        <v>2300</v>
      </c>
      <c r="AH22" s="3">
        <v>98.9</v>
      </c>
      <c r="AI22" s="3">
        <v>2254</v>
      </c>
      <c r="AJ22" s="3">
        <v>-7.02</v>
      </c>
      <c r="AK22" s="3">
        <v>-8.58</v>
      </c>
      <c r="AL22" s="3">
        <v>-0.35399999999999998</v>
      </c>
      <c r="AM22" s="3">
        <v>-3.71</v>
      </c>
      <c r="AN22" s="3">
        <v>-7.23</v>
      </c>
      <c r="AO22" s="3">
        <v>0.21199999999999999</v>
      </c>
      <c r="AP22" s="3">
        <v>0.99099999999999999</v>
      </c>
      <c r="AQ22" s="3">
        <v>1.72</v>
      </c>
      <c r="AR22" s="3">
        <v>2.5000000000000001E-2</v>
      </c>
      <c r="AS22" s="3">
        <v>0.192</v>
      </c>
      <c r="AT22" s="3">
        <v>0.17899999999999999</v>
      </c>
      <c r="AU22" s="3">
        <v>0.04</v>
      </c>
      <c r="AV22" s="3">
        <v>0.151</v>
      </c>
      <c r="AW22" s="3">
        <v>0.36599999999999999</v>
      </c>
      <c r="AX22" s="3">
        <v>3.9E-2</v>
      </c>
      <c r="AY22" s="3">
        <v>8.0000000000000002E-3</v>
      </c>
      <c r="AZ22" s="3">
        <v>-2.9220000000000002</v>
      </c>
      <c r="BA22" s="3">
        <v>2432</v>
      </c>
      <c r="BB22" s="3">
        <v>12.28</v>
      </c>
      <c r="BC22" s="3">
        <v>2876</v>
      </c>
      <c r="BD22" s="3"/>
      <c r="BE22" s="3"/>
      <c r="BF22" s="3">
        <f t="shared" si="25"/>
        <v>1053</v>
      </c>
      <c r="BH22" s="16">
        <v>5.53</v>
      </c>
      <c r="BI22" s="16">
        <f t="shared" si="0"/>
        <v>11.1706</v>
      </c>
      <c r="BJ22" s="17">
        <f t="shared" si="1"/>
        <v>0.35</v>
      </c>
      <c r="BK22" s="17">
        <f t="shared" si="2"/>
        <v>1.01</v>
      </c>
      <c r="BM22" s="1">
        <f t="shared" si="3"/>
        <v>96.2</v>
      </c>
      <c r="BN22" s="1">
        <f t="shared" si="4"/>
        <v>94.3</v>
      </c>
      <c r="BO22" s="1">
        <f t="shared" si="5"/>
        <v>92.4</v>
      </c>
      <c r="BP22" s="62">
        <f t="shared" si="26"/>
        <v>0.443</v>
      </c>
      <c r="BQ22" s="62">
        <f t="shared" si="6"/>
        <v>3.5999999999999997E-2</v>
      </c>
      <c r="BS22" s="39"/>
      <c r="BT22" s="8"/>
      <c r="BV22" s="8"/>
      <c r="BW22" s="16">
        <f t="shared" si="7"/>
        <v>0.35</v>
      </c>
      <c r="BX22" s="16">
        <f t="shared" si="7"/>
        <v>1.01</v>
      </c>
      <c r="BY22" s="3">
        <f t="shared" si="8"/>
        <v>-4.2</v>
      </c>
      <c r="BZ22" s="3">
        <f t="shared" si="9"/>
        <v>-4.7</v>
      </c>
      <c r="CA22" s="3">
        <f t="shared" si="9"/>
        <v>-4.9000000000000004</v>
      </c>
      <c r="CB22" s="3">
        <f t="shared" si="9"/>
        <v>-0.3</v>
      </c>
      <c r="CC22" s="3">
        <f t="shared" si="10"/>
        <v>0.2</v>
      </c>
      <c r="CD22" s="3">
        <f t="shared" si="10"/>
        <v>1</v>
      </c>
      <c r="CE22" s="3">
        <f t="shared" si="10"/>
        <v>1.7</v>
      </c>
      <c r="CF22" s="23">
        <f t="shared" si="11"/>
        <v>94.3</v>
      </c>
      <c r="CG22" s="1">
        <f t="shared" si="12"/>
        <v>-3.3</v>
      </c>
      <c r="CH22" s="1">
        <f t="shared" si="13"/>
        <v>-2.9</v>
      </c>
      <c r="CI22" s="1">
        <f t="shared" si="13"/>
        <v>-3.4</v>
      </c>
      <c r="CJ22" s="1">
        <f t="shared" si="13"/>
        <v>-0.3</v>
      </c>
      <c r="CK22" s="1">
        <f t="shared" si="14"/>
        <v>0.3</v>
      </c>
      <c r="CL22" s="1">
        <f t="shared" si="14"/>
        <v>1</v>
      </c>
      <c r="CM22" s="1">
        <f t="shared" si="14"/>
        <v>1.8</v>
      </c>
      <c r="CN22" s="2">
        <f t="shared" si="15"/>
        <v>96.2</v>
      </c>
      <c r="CO22" s="1">
        <f t="shared" si="16"/>
        <v>-6</v>
      </c>
      <c r="CP22" s="1">
        <f t="shared" si="17"/>
        <v>-7</v>
      </c>
      <c r="CQ22" s="1">
        <f t="shared" si="17"/>
        <v>-8.6</v>
      </c>
      <c r="CR22" s="1">
        <f t="shared" si="17"/>
        <v>-0.4</v>
      </c>
      <c r="CS22" s="1">
        <f t="shared" si="18"/>
        <v>0.2</v>
      </c>
      <c r="CT22" s="1">
        <f t="shared" si="18"/>
        <v>1</v>
      </c>
      <c r="CU22" s="1">
        <f t="shared" si="18"/>
        <v>1.7</v>
      </c>
      <c r="CV22" s="2">
        <f t="shared" si="19"/>
        <v>92.4</v>
      </c>
      <c r="CW22" s="18">
        <f t="shared" si="20"/>
        <v>1053</v>
      </c>
      <c r="CX22" s="1">
        <f>ROUND(PPTest!K22,1)</f>
        <v>0.3</v>
      </c>
      <c r="CY22" s="17">
        <f t="shared" si="21"/>
        <v>0.99</v>
      </c>
      <c r="CZ22" s="17">
        <f t="shared" si="22"/>
        <v>3.14</v>
      </c>
      <c r="DA22" s="20">
        <f t="shared" si="23"/>
        <v>0.443</v>
      </c>
      <c r="DB22" s="20">
        <f t="shared" si="23"/>
        <v>3.5999999999999997E-2</v>
      </c>
      <c r="DC22" s="16">
        <f t="shared" si="24"/>
        <v>12.28</v>
      </c>
      <c r="DF22" s="3">
        <v>-2</v>
      </c>
      <c r="DG22" s="3">
        <v>-1.1000000000000001</v>
      </c>
      <c r="DH22" s="3">
        <v>-2.8</v>
      </c>
      <c r="DI22" s="3">
        <v>93</v>
      </c>
      <c r="DJ22" s="3">
        <v>93</v>
      </c>
      <c r="DK22" s="3"/>
      <c r="DL22" s="3"/>
      <c r="DM22" s="3"/>
      <c r="DN22" s="3"/>
      <c r="DO22" s="3"/>
      <c r="DP22" s="3"/>
      <c r="DQ22" s="3"/>
      <c r="DR22" s="3"/>
      <c r="DS22" s="3"/>
      <c r="DT22" s="3"/>
      <c r="DW22" s="1">
        <v>-4.9000000000000004</v>
      </c>
      <c r="DX22" s="1">
        <v>-1.2</v>
      </c>
      <c r="DY22" s="1">
        <v>-7.9</v>
      </c>
    </row>
    <row r="23" spans="1:129" x14ac:dyDescent="0.2">
      <c r="A23" s="40">
        <v>34716</v>
      </c>
      <c r="B23" s="3">
        <v>17</v>
      </c>
      <c r="C23" s="3">
        <v>0.33600000000000002</v>
      </c>
      <c r="D23" s="3">
        <v>0.90600000000000003</v>
      </c>
      <c r="E23" s="3">
        <v>-5.7759999999999998</v>
      </c>
      <c r="F23" s="3">
        <v>95</v>
      </c>
      <c r="G23" s="3">
        <v>-6.1870000000000003</v>
      </c>
      <c r="H23" s="3">
        <v>-6.4089999999999998</v>
      </c>
      <c r="I23" s="3">
        <v>-0.16600000000000001</v>
      </c>
      <c r="J23" s="3">
        <v>-3.8279999999999998</v>
      </c>
      <c r="K23" s="3">
        <v>-6.3159999999999998</v>
      </c>
      <c r="L23" s="3">
        <v>0.25800000000000001</v>
      </c>
      <c r="M23" s="3">
        <v>1.0129999999999999</v>
      </c>
      <c r="N23" s="3">
        <v>1.734</v>
      </c>
      <c r="O23" s="3">
        <v>0</v>
      </c>
      <c r="P23" s="16">
        <v>1.0371666666666666</v>
      </c>
      <c r="Q23" s="3"/>
      <c r="R23" s="3">
        <v>-4.9640000000000004</v>
      </c>
      <c r="S23" s="3">
        <v>1433</v>
      </c>
      <c r="T23" s="3">
        <v>101.9</v>
      </c>
      <c r="U23" s="3">
        <v>446</v>
      </c>
      <c r="V23" s="3">
        <v>-4.907</v>
      </c>
      <c r="W23" s="3">
        <v>-4.9530000000000003</v>
      </c>
      <c r="X23" s="3">
        <v>-9.7000000000000003E-2</v>
      </c>
      <c r="Y23" s="3">
        <v>-3.278</v>
      </c>
      <c r="Z23" s="3">
        <v>-4.7560000000000002</v>
      </c>
      <c r="AA23" s="3">
        <v>0.28299999999999997</v>
      </c>
      <c r="AB23" s="3">
        <v>1.0429999999999999</v>
      </c>
      <c r="AC23" s="3">
        <v>1.768</v>
      </c>
      <c r="AD23" s="16">
        <v>3.8341666666666669</v>
      </c>
      <c r="AE23" s="3">
        <v>1228</v>
      </c>
      <c r="AF23" s="3">
        <v>-7.27</v>
      </c>
      <c r="AG23" s="3">
        <v>414</v>
      </c>
      <c r="AH23" s="3">
        <v>84.7</v>
      </c>
      <c r="AI23" s="3">
        <v>854</v>
      </c>
      <c r="AJ23" s="3">
        <v>-8.39</v>
      </c>
      <c r="AK23" s="3">
        <v>-10.45</v>
      </c>
      <c r="AL23" s="3">
        <v>-0.29299999999999998</v>
      </c>
      <c r="AM23" s="3">
        <v>-4.2960000000000003</v>
      </c>
      <c r="AN23" s="3">
        <v>-8.5500000000000007</v>
      </c>
      <c r="AO23" s="3">
        <v>0.23</v>
      </c>
      <c r="AP23" s="3">
        <v>0.99099999999999999</v>
      </c>
      <c r="AQ23" s="3">
        <v>1.7150000000000001</v>
      </c>
      <c r="AR23" s="3">
        <v>5.8000000000000003E-2</v>
      </c>
      <c r="AS23" s="3">
        <v>0.17</v>
      </c>
      <c r="AT23" s="3">
        <v>0.115</v>
      </c>
      <c r="AU23" s="3">
        <v>6.3E-2</v>
      </c>
      <c r="AV23" s="3">
        <v>0.159</v>
      </c>
      <c r="AW23" s="3">
        <v>0.33</v>
      </c>
      <c r="AX23" s="3">
        <v>7.5999999999999998E-2</v>
      </c>
      <c r="AY23" s="3">
        <v>0.03</v>
      </c>
      <c r="AZ23" s="3">
        <v>-4.0410000000000004</v>
      </c>
      <c r="BA23" s="3">
        <v>2443</v>
      </c>
      <c r="BB23" s="3">
        <v>12.28</v>
      </c>
      <c r="BC23" s="3">
        <v>2876</v>
      </c>
      <c r="BD23" s="3"/>
      <c r="BE23" s="3"/>
      <c r="BF23" s="3">
        <f t="shared" si="25"/>
        <v>1042</v>
      </c>
      <c r="BH23" s="16">
        <v>5.63</v>
      </c>
      <c r="BI23" s="16">
        <f t="shared" si="0"/>
        <v>11.3726</v>
      </c>
      <c r="BJ23" s="17">
        <f t="shared" si="1"/>
        <v>0.34</v>
      </c>
      <c r="BK23" s="17">
        <f t="shared" si="2"/>
        <v>0.98</v>
      </c>
      <c r="BM23" s="1">
        <f t="shared" si="3"/>
        <v>95.2</v>
      </c>
      <c r="BN23" s="1">
        <f t="shared" si="4"/>
        <v>88.8</v>
      </c>
      <c r="BO23" s="1">
        <f t="shared" si="5"/>
        <v>79.3</v>
      </c>
      <c r="BP23" s="62">
        <f t="shared" si="26"/>
        <v>0.33500000000000002</v>
      </c>
      <c r="BQ23" s="62">
        <f t="shared" si="6"/>
        <v>8.6999999999999994E-2</v>
      </c>
      <c r="BS23" s="39"/>
      <c r="BT23" s="8"/>
      <c r="BV23" s="8"/>
      <c r="BW23" s="16">
        <f t="shared" ref="BW23:BX24" si="27">BJ23</f>
        <v>0.34</v>
      </c>
      <c r="BX23" s="16">
        <f t="shared" si="27"/>
        <v>0.98</v>
      </c>
      <c r="BY23" s="3">
        <f t="shared" si="8"/>
        <v>-5.8</v>
      </c>
      <c r="BZ23" s="3">
        <f t="shared" ref="BZ23:CB24" si="28">ROUND(G23,1)</f>
        <v>-6.2</v>
      </c>
      <c r="CA23" s="3">
        <f t="shared" si="28"/>
        <v>-6.4</v>
      </c>
      <c r="CB23" s="3">
        <f t="shared" si="28"/>
        <v>-0.2</v>
      </c>
      <c r="CC23" s="3">
        <f t="shared" ref="CC23:CE24" si="29">ROUND(L23,1)</f>
        <v>0.3</v>
      </c>
      <c r="CD23" s="3">
        <f t="shared" si="29"/>
        <v>1</v>
      </c>
      <c r="CE23" s="3">
        <f t="shared" si="29"/>
        <v>1.7</v>
      </c>
      <c r="CF23" s="23">
        <f t="shared" si="11"/>
        <v>88.8</v>
      </c>
      <c r="CG23" s="1">
        <f t="shared" si="12"/>
        <v>-5</v>
      </c>
      <c r="CH23" s="1">
        <f t="shared" ref="CH23:CJ24" si="30">ROUND(V23,1)</f>
        <v>-4.9000000000000004</v>
      </c>
      <c r="CI23" s="1">
        <f t="shared" si="30"/>
        <v>-5</v>
      </c>
      <c r="CJ23" s="1">
        <f t="shared" si="30"/>
        <v>-0.1</v>
      </c>
      <c r="CK23" s="1">
        <f t="shared" ref="CK23:CM24" si="31">ROUND(AA23,1)</f>
        <v>0.3</v>
      </c>
      <c r="CL23" s="1">
        <f t="shared" si="31"/>
        <v>1</v>
      </c>
      <c r="CM23" s="1">
        <f t="shared" si="31"/>
        <v>1.8</v>
      </c>
      <c r="CN23" s="2">
        <f t="shared" si="15"/>
        <v>95.2</v>
      </c>
      <c r="CO23" s="1">
        <f t="shared" si="16"/>
        <v>-7.3</v>
      </c>
      <c r="CP23" s="1">
        <f t="shared" ref="CP23:CR24" si="32">ROUND(AJ23,1)</f>
        <v>-8.4</v>
      </c>
      <c r="CQ23" s="1">
        <f t="shared" si="32"/>
        <v>-10.5</v>
      </c>
      <c r="CR23" s="1">
        <f t="shared" si="32"/>
        <v>-0.3</v>
      </c>
      <c r="CS23" s="1">
        <f t="shared" ref="CS23:CU24" si="33">ROUND(AO23,1)</f>
        <v>0.2</v>
      </c>
      <c r="CT23" s="1">
        <f t="shared" si="33"/>
        <v>1</v>
      </c>
      <c r="CU23" s="1">
        <f t="shared" si="33"/>
        <v>1.7</v>
      </c>
      <c r="CV23" s="2">
        <f t="shared" si="19"/>
        <v>79.3</v>
      </c>
      <c r="CW23" s="18">
        <f t="shared" ref="CW23:CW24" si="34">BF23</f>
        <v>1042</v>
      </c>
      <c r="CX23" s="1">
        <f>ROUND(PPTest!K23,1)</f>
        <v>0</v>
      </c>
      <c r="CY23" s="17">
        <f t="shared" si="21"/>
        <v>1.04</v>
      </c>
      <c r="CZ23" s="17">
        <f t="shared" si="22"/>
        <v>3.83</v>
      </c>
      <c r="DA23" s="20">
        <f t="shared" ref="DA23:DB24" si="35">BP23</f>
        <v>0.33500000000000002</v>
      </c>
      <c r="DB23" s="20">
        <f t="shared" si="35"/>
        <v>8.6999999999999994E-2</v>
      </c>
      <c r="DC23" s="16">
        <f t="shared" si="24"/>
        <v>12.28</v>
      </c>
      <c r="DF23" s="3">
        <v>-3.7</v>
      </c>
      <c r="DG23" s="3">
        <v>-2.7</v>
      </c>
      <c r="DH23" s="3">
        <v>-4.5</v>
      </c>
      <c r="DI23" s="3">
        <v>93.2</v>
      </c>
      <c r="DJ23" s="3">
        <v>92</v>
      </c>
      <c r="DK23" s="3"/>
      <c r="DL23" s="3"/>
      <c r="DM23" s="3"/>
      <c r="DN23" s="3"/>
      <c r="DO23" s="3"/>
      <c r="DP23" s="3"/>
      <c r="DQ23" s="3"/>
      <c r="DR23" s="3"/>
      <c r="DS23" s="3"/>
      <c r="DT23" s="3"/>
      <c r="DW23" s="1">
        <v>-6.2</v>
      </c>
      <c r="DX23" s="1">
        <v>-3.1</v>
      </c>
      <c r="DY23" s="1">
        <v>-8.1999999999999993</v>
      </c>
    </row>
    <row r="24" spans="1:129" x14ac:dyDescent="0.2">
      <c r="A24" s="40">
        <v>34717</v>
      </c>
      <c r="B24" s="3">
        <v>18</v>
      </c>
      <c r="C24" s="3">
        <v>0.27400000000000002</v>
      </c>
      <c r="D24" s="3">
        <v>0.77300000000000002</v>
      </c>
      <c r="E24" s="3">
        <v>-3.617</v>
      </c>
      <c r="F24" s="3">
        <v>95.1</v>
      </c>
      <c r="G24" s="3">
        <v>-3.9449999999999998</v>
      </c>
      <c r="H24" s="3">
        <v>-4.0309999999999997</v>
      </c>
      <c r="I24" s="3">
        <v>-6.5000000000000002E-2</v>
      </c>
      <c r="J24" s="3">
        <v>-3.4159999999999999</v>
      </c>
      <c r="K24" s="3">
        <v>-4.101</v>
      </c>
      <c r="L24" s="3">
        <v>0.28199999999999997</v>
      </c>
      <c r="M24" s="3">
        <v>1.0209999999999999</v>
      </c>
      <c r="N24" s="3">
        <v>1.73</v>
      </c>
      <c r="O24" s="3">
        <v>0</v>
      </c>
      <c r="P24" s="16">
        <v>1.349</v>
      </c>
      <c r="Q24" s="3"/>
      <c r="R24" s="3">
        <v>-1.4339999999999999</v>
      </c>
      <c r="S24" s="3">
        <v>2115</v>
      </c>
      <c r="T24" s="3">
        <v>99.8</v>
      </c>
      <c r="U24" s="3">
        <v>413</v>
      </c>
      <c r="V24" s="3">
        <v>-1.7230000000000001</v>
      </c>
      <c r="W24" s="3">
        <v>-1.4810000000000001</v>
      </c>
      <c r="X24" s="3">
        <v>1.2E-2</v>
      </c>
      <c r="Y24" s="3">
        <v>-2.718</v>
      </c>
      <c r="Z24" s="3">
        <v>-2.31</v>
      </c>
      <c r="AA24" s="3">
        <v>0.317</v>
      </c>
      <c r="AB24" s="3">
        <v>1.05</v>
      </c>
      <c r="AC24" s="3">
        <v>1.7509999999999999</v>
      </c>
      <c r="AD24" s="16">
        <v>5.5674999999999999</v>
      </c>
      <c r="AE24" s="3">
        <v>2302</v>
      </c>
      <c r="AF24" s="3">
        <v>-6.19</v>
      </c>
      <c r="AG24" s="3">
        <v>128</v>
      </c>
      <c r="AH24" s="3">
        <v>85.8</v>
      </c>
      <c r="AI24" s="3">
        <v>2144</v>
      </c>
      <c r="AJ24" s="3">
        <v>-6.7190000000000003</v>
      </c>
      <c r="AK24" s="3">
        <v>-7.01</v>
      </c>
      <c r="AL24" s="3">
        <v>-0.11899999999999999</v>
      </c>
      <c r="AM24" s="3">
        <v>-3.7970000000000002</v>
      </c>
      <c r="AN24" s="3">
        <v>-6.673</v>
      </c>
      <c r="AO24" s="3">
        <v>0.25800000000000001</v>
      </c>
      <c r="AP24" s="3">
        <v>0.997</v>
      </c>
      <c r="AQ24" s="3">
        <v>1.706</v>
      </c>
      <c r="AR24" s="3">
        <v>8.1000000000000003E-2</v>
      </c>
      <c r="AS24" s="3">
        <v>0.06</v>
      </c>
      <c r="AT24" s="3">
        <v>3.6999999999999998E-2</v>
      </c>
      <c r="AU24" s="3">
        <v>4.3999999999999997E-2</v>
      </c>
      <c r="AV24" s="3">
        <v>0.11</v>
      </c>
      <c r="AW24" s="3">
        <v>0.32100000000000001</v>
      </c>
      <c r="AX24" s="3">
        <v>0.222</v>
      </c>
      <c r="AY24" s="3">
        <v>0.126</v>
      </c>
      <c r="AZ24" s="3">
        <v>-3.6230000000000002</v>
      </c>
      <c r="BA24" s="3">
        <v>2392</v>
      </c>
      <c r="BB24" s="3">
        <v>12.28</v>
      </c>
      <c r="BC24" s="3">
        <v>2876</v>
      </c>
      <c r="BD24" s="3"/>
      <c r="BE24" s="3"/>
      <c r="BF24" s="3">
        <f t="shared" si="25"/>
        <v>1093</v>
      </c>
      <c r="BH24" s="16">
        <v>5.72</v>
      </c>
      <c r="BI24" s="16">
        <f t="shared" si="0"/>
        <v>11.554399999999999</v>
      </c>
      <c r="BJ24" s="17">
        <f t="shared" si="1"/>
        <v>0.27</v>
      </c>
      <c r="BK24" s="17">
        <f t="shared" si="2"/>
        <v>0.83</v>
      </c>
      <c r="BM24" s="1">
        <f t="shared" si="3"/>
        <v>93.2</v>
      </c>
      <c r="BN24" s="1">
        <f t="shared" si="4"/>
        <v>88.9</v>
      </c>
      <c r="BO24" s="1">
        <f t="shared" si="5"/>
        <v>80.3</v>
      </c>
      <c r="BP24" s="62">
        <f t="shared" si="26"/>
        <v>0.441</v>
      </c>
      <c r="BQ24" s="62">
        <f t="shared" si="6"/>
        <v>0.108</v>
      </c>
      <c r="BS24" s="39"/>
      <c r="BT24" s="8"/>
      <c r="BV24" s="8"/>
      <c r="BW24" s="16">
        <f t="shared" si="27"/>
        <v>0.27</v>
      </c>
      <c r="BX24" s="16">
        <f t="shared" si="27"/>
        <v>0.83</v>
      </c>
      <c r="BY24" s="3">
        <f t="shared" si="8"/>
        <v>-3.6</v>
      </c>
      <c r="BZ24" s="3">
        <f t="shared" si="28"/>
        <v>-3.9</v>
      </c>
      <c r="CA24" s="3">
        <f t="shared" si="28"/>
        <v>-4</v>
      </c>
      <c r="CB24" s="3">
        <f t="shared" si="28"/>
        <v>-0.1</v>
      </c>
      <c r="CC24" s="3">
        <f t="shared" si="29"/>
        <v>0.3</v>
      </c>
      <c r="CD24" s="3">
        <f t="shared" si="29"/>
        <v>1</v>
      </c>
      <c r="CE24" s="3">
        <f t="shared" si="29"/>
        <v>1.7</v>
      </c>
      <c r="CF24" s="23">
        <f t="shared" si="11"/>
        <v>88.9</v>
      </c>
      <c r="CG24" s="1">
        <f t="shared" si="12"/>
        <v>-1.4</v>
      </c>
      <c r="CH24" s="1">
        <f t="shared" si="30"/>
        <v>-1.7</v>
      </c>
      <c r="CI24" s="1">
        <f t="shared" si="30"/>
        <v>-1.5</v>
      </c>
      <c r="CJ24" s="1">
        <f t="shared" si="30"/>
        <v>0</v>
      </c>
      <c r="CK24" s="1">
        <f t="shared" si="31"/>
        <v>0.3</v>
      </c>
      <c r="CL24" s="1">
        <f t="shared" si="31"/>
        <v>1.1000000000000001</v>
      </c>
      <c r="CM24" s="1">
        <f t="shared" si="31"/>
        <v>1.8</v>
      </c>
      <c r="CN24" s="2">
        <f t="shared" si="15"/>
        <v>93.2</v>
      </c>
      <c r="CO24" s="1">
        <f t="shared" si="16"/>
        <v>-6.2</v>
      </c>
      <c r="CP24" s="1">
        <f t="shared" si="32"/>
        <v>-6.7</v>
      </c>
      <c r="CQ24" s="1">
        <f t="shared" si="32"/>
        <v>-7</v>
      </c>
      <c r="CR24" s="1">
        <f t="shared" si="32"/>
        <v>-0.1</v>
      </c>
      <c r="CS24" s="1">
        <f t="shared" si="33"/>
        <v>0.3</v>
      </c>
      <c r="CT24" s="1">
        <f t="shared" si="33"/>
        <v>1</v>
      </c>
      <c r="CU24" s="1">
        <f t="shared" si="33"/>
        <v>1.7</v>
      </c>
      <c r="CV24" s="2">
        <f t="shared" si="19"/>
        <v>80.3</v>
      </c>
      <c r="CW24" s="18">
        <f t="shared" si="34"/>
        <v>1093</v>
      </c>
      <c r="CX24" s="1">
        <f>ROUND(PPTest!K24,1)</f>
        <v>6.6</v>
      </c>
      <c r="CY24" s="17">
        <f t="shared" si="21"/>
        <v>1.35</v>
      </c>
      <c r="CZ24" s="17">
        <f t="shared" si="22"/>
        <v>5.57</v>
      </c>
      <c r="DA24" s="20">
        <f t="shared" si="35"/>
        <v>0.441</v>
      </c>
      <c r="DB24" s="20">
        <f t="shared" si="35"/>
        <v>0.108</v>
      </c>
      <c r="DC24" s="16">
        <f t="shared" si="24"/>
        <v>12.28</v>
      </c>
      <c r="DF24" s="3">
        <v>-3.1</v>
      </c>
      <c r="DG24" s="3">
        <v>-1.3</v>
      </c>
      <c r="DH24" s="3">
        <v>-4.5</v>
      </c>
      <c r="DI24" s="3">
        <v>93.3</v>
      </c>
      <c r="DJ24" s="3">
        <v>93</v>
      </c>
      <c r="DK24" s="3"/>
      <c r="DL24" s="3"/>
      <c r="DM24" s="3"/>
      <c r="DN24" s="3"/>
      <c r="DO24" s="3"/>
      <c r="DP24" s="3"/>
      <c r="DQ24" s="3"/>
      <c r="DR24" s="3"/>
      <c r="DS24" s="3"/>
      <c r="DT24" s="3"/>
      <c r="DW24" s="1">
        <v>-4.8</v>
      </c>
      <c r="DX24" s="1">
        <v>-1.7</v>
      </c>
      <c r="DY24" s="1">
        <v>-6.9</v>
      </c>
    </row>
    <row r="25" spans="1:129" x14ac:dyDescent="0.2">
      <c r="A25" s="40">
        <v>34718</v>
      </c>
      <c r="B25" s="3">
        <v>19</v>
      </c>
      <c r="C25" s="3">
        <v>1.65</v>
      </c>
      <c r="D25" s="3">
        <v>4.0350000000000001</v>
      </c>
      <c r="E25" s="3">
        <v>-6.2939999999999996</v>
      </c>
      <c r="F25" s="3">
        <v>90.7</v>
      </c>
      <c r="G25" s="3">
        <v>-6.9859999999999998</v>
      </c>
      <c r="H25" s="3">
        <v>-8.56</v>
      </c>
      <c r="I25" s="3">
        <v>1.9E-2</v>
      </c>
      <c r="J25" s="3">
        <v>-2.7930000000000001</v>
      </c>
      <c r="K25" s="3">
        <v>-7.65</v>
      </c>
      <c r="L25" s="3">
        <v>0.311</v>
      </c>
      <c r="M25" s="3">
        <v>1.046</v>
      </c>
      <c r="N25" s="3">
        <v>1.7450000000000001</v>
      </c>
      <c r="O25" s="3">
        <v>0</v>
      </c>
      <c r="P25" s="16">
        <v>1.3986666666666667</v>
      </c>
      <c r="Q25" s="3"/>
      <c r="R25" s="3">
        <v>3.0710000000000002</v>
      </c>
      <c r="S25" s="3">
        <v>1408</v>
      </c>
      <c r="T25" s="3">
        <v>103.9</v>
      </c>
      <c r="U25" s="3">
        <v>2348</v>
      </c>
      <c r="V25" s="3">
        <v>5.4720000000000004</v>
      </c>
      <c r="W25" s="3">
        <v>1.873</v>
      </c>
      <c r="X25" s="3">
        <v>6.2E-2</v>
      </c>
      <c r="Y25" s="3">
        <v>-2.4710000000000001</v>
      </c>
      <c r="Z25" s="3">
        <v>2.29</v>
      </c>
      <c r="AA25" s="3">
        <v>0.34899999999999998</v>
      </c>
      <c r="AB25" s="3">
        <v>1.0860000000000001</v>
      </c>
      <c r="AC25" s="3">
        <v>1.7809999999999999</v>
      </c>
      <c r="AD25" s="16">
        <v>3.6341666666666668</v>
      </c>
      <c r="AE25" s="3">
        <v>103</v>
      </c>
      <c r="AF25" s="3">
        <v>-12.8</v>
      </c>
      <c r="AG25" s="3">
        <v>2346</v>
      </c>
      <c r="AH25" s="3">
        <v>54.53</v>
      </c>
      <c r="AI25" s="3">
        <v>1409</v>
      </c>
      <c r="AJ25" s="3">
        <v>-14.01</v>
      </c>
      <c r="AK25" s="3">
        <v>-15.38</v>
      </c>
      <c r="AL25" s="3">
        <v>-1.6E-2</v>
      </c>
      <c r="AM25" s="3">
        <v>-3.26</v>
      </c>
      <c r="AN25" s="3">
        <v>-14.72</v>
      </c>
      <c r="AO25" s="3">
        <v>0.28299999999999997</v>
      </c>
      <c r="AP25" s="3">
        <v>1.0109999999999999</v>
      </c>
      <c r="AQ25" s="3">
        <v>1.704</v>
      </c>
      <c r="AR25" s="3">
        <v>1.7000000000000001E-2</v>
      </c>
      <c r="AS25" s="3">
        <v>0.40100000000000002</v>
      </c>
      <c r="AT25" s="3">
        <v>0.39900000000000002</v>
      </c>
      <c r="AU25" s="3">
        <v>2.5000000000000001E-2</v>
      </c>
      <c r="AV25" s="3">
        <v>4.8000000000000001E-2</v>
      </c>
      <c r="AW25" s="3">
        <v>9.7000000000000003E-2</v>
      </c>
      <c r="AX25" s="3">
        <v>0.01</v>
      </c>
      <c r="AY25" s="3">
        <v>3.0000000000000001E-3</v>
      </c>
      <c r="AZ25" s="3">
        <v>-4.3819999999999997</v>
      </c>
      <c r="BA25" s="3">
        <v>2422</v>
      </c>
      <c r="BB25" s="3">
        <v>12.27</v>
      </c>
      <c r="BC25" s="3">
        <v>2876</v>
      </c>
      <c r="BD25" s="3"/>
      <c r="BE25" s="3"/>
      <c r="BF25" s="3">
        <f t="shared" si="25"/>
        <v>1063</v>
      </c>
      <c r="BH25" s="16">
        <v>5.82</v>
      </c>
      <c r="BI25" s="16">
        <f t="shared" si="0"/>
        <v>11.756400000000001</v>
      </c>
      <c r="BJ25" s="17">
        <f t="shared" si="1"/>
        <v>1.65</v>
      </c>
      <c r="BK25" s="17">
        <f t="shared" si="2"/>
        <v>4.3600000000000003</v>
      </c>
      <c r="BM25" s="1">
        <f t="shared" si="3"/>
        <v>97</v>
      </c>
      <c r="BN25" s="1">
        <f t="shared" si="4"/>
        <v>84.8</v>
      </c>
      <c r="BO25" s="1">
        <f t="shared" si="5"/>
        <v>51.4</v>
      </c>
      <c r="BP25" s="62">
        <f t="shared" si="26"/>
        <v>0.39100000000000001</v>
      </c>
      <c r="BQ25" s="62">
        <f t="shared" si="6"/>
        <v>0.37</v>
      </c>
      <c r="BS25" s="39"/>
      <c r="BT25" s="8"/>
      <c r="BV25" s="8"/>
      <c r="BW25" s="16">
        <f t="shared" ref="BW25:BW88" si="36">BJ25</f>
        <v>1.65</v>
      </c>
      <c r="BX25" s="16">
        <f t="shared" ref="BX25:BX88" si="37">BK25</f>
        <v>4.3600000000000003</v>
      </c>
      <c r="BY25" s="3">
        <f t="shared" ref="BY25:BY88" si="38">ROUND(E25,1)</f>
        <v>-6.3</v>
      </c>
      <c r="BZ25" s="3">
        <f t="shared" ref="BZ25:BZ88" si="39">ROUND(G25,1)</f>
        <v>-7</v>
      </c>
      <c r="CA25" s="3">
        <f t="shared" ref="CA25:CA88" si="40">ROUND(H25,1)</f>
        <v>-8.6</v>
      </c>
      <c r="CB25" s="3">
        <f t="shared" ref="CB25:CB88" si="41">ROUND(I25,1)</f>
        <v>0</v>
      </c>
      <c r="CC25" s="3">
        <f t="shared" ref="CC25:CC88" si="42">ROUND(L25,1)</f>
        <v>0.3</v>
      </c>
      <c r="CD25" s="3">
        <f t="shared" ref="CD25:CD88" si="43">ROUND(M25,1)</f>
        <v>1</v>
      </c>
      <c r="CE25" s="3">
        <f t="shared" ref="CE25:CE88" si="44">ROUND(N25,1)</f>
        <v>1.7</v>
      </c>
      <c r="CF25" s="23">
        <f t="shared" ref="CF25:CF88" si="45">ROUND(BN25,1)</f>
        <v>84.8</v>
      </c>
      <c r="CG25" s="1">
        <f t="shared" ref="CG25:CG88" si="46">ROUND(R25,1)</f>
        <v>3.1</v>
      </c>
      <c r="CH25" s="1">
        <f t="shared" ref="CH25:CH88" si="47">ROUND(V25,1)</f>
        <v>5.5</v>
      </c>
      <c r="CI25" s="1">
        <f t="shared" ref="CI25:CI88" si="48">ROUND(W25,1)</f>
        <v>1.9</v>
      </c>
      <c r="CJ25" s="1">
        <f t="shared" ref="CJ25:CJ88" si="49">ROUND(X25,1)</f>
        <v>0.1</v>
      </c>
      <c r="CK25" s="1">
        <f t="shared" ref="CK25:CK88" si="50">ROUND(AA25,1)</f>
        <v>0.3</v>
      </c>
      <c r="CL25" s="1">
        <f t="shared" ref="CL25:CL88" si="51">ROUND(AB25,1)</f>
        <v>1.1000000000000001</v>
      </c>
      <c r="CM25" s="1">
        <f t="shared" ref="CM25:CM88" si="52">ROUND(AC25,1)</f>
        <v>1.8</v>
      </c>
      <c r="CN25" s="2">
        <f t="shared" ref="CN25:CN88" si="53">ROUND(BM25,1)</f>
        <v>97</v>
      </c>
      <c r="CO25" s="1">
        <f t="shared" ref="CO25:CO88" si="54">ROUND(AF25,1)</f>
        <v>-12.8</v>
      </c>
      <c r="CP25" s="1">
        <f t="shared" ref="CP25:CP88" si="55">ROUND(AJ25,1)</f>
        <v>-14</v>
      </c>
      <c r="CQ25" s="1">
        <f t="shared" ref="CQ25:CQ88" si="56">ROUND(AK25,1)</f>
        <v>-15.4</v>
      </c>
      <c r="CR25" s="1">
        <f t="shared" ref="CR25:CR88" si="57">ROUND(AL25,1)</f>
        <v>0</v>
      </c>
      <c r="CS25" s="1">
        <f t="shared" ref="CS25:CS88" si="58">ROUND(AO25,1)</f>
        <v>0.3</v>
      </c>
      <c r="CT25" s="1">
        <f t="shared" ref="CT25:CT88" si="59">ROUND(AP25,1)</f>
        <v>1</v>
      </c>
      <c r="CU25" s="1">
        <f t="shared" ref="CU25:CU88" si="60">ROUND(AQ25,1)</f>
        <v>1.7</v>
      </c>
      <c r="CV25" s="2">
        <f t="shared" ref="CV25:CV88" si="61">ROUND(BO25,1)</f>
        <v>51.4</v>
      </c>
      <c r="CW25" s="18">
        <f t="shared" ref="CW25:CW88" si="62">BF25</f>
        <v>1063</v>
      </c>
      <c r="CX25" s="1">
        <f>ROUND(PPTest!K25,1)</f>
        <v>0</v>
      </c>
      <c r="CY25" s="17">
        <f t="shared" ref="CY25:CY88" si="63">ROUND(P25,2)</f>
        <v>1.4</v>
      </c>
      <c r="CZ25" s="17">
        <f t="shared" ref="CZ25:CZ88" si="64">ROUND(AD25,2)</f>
        <v>3.63</v>
      </c>
      <c r="DA25" s="20">
        <f t="shared" ref="DA25:DA88" si="65">BP25</f>
        <v>0.39100000000000001</v>
      </c>
      <c r="DB25" s="20">
        <f t="shared" ref="DB25:DB88" si="66">BQ25</f>
        <v>0.37</v>
      </c>
      <c r="DC25" s="16">
        <f t="shared" ref="DC25:DC88" si="67">BB25</f>
        <v>12.27</v>
      </c>
      <c r="DF25" s="3">
        <v>-2.4</v>
      </c>
      <c r="DG25" s="3">
        <v>3.2</v>
      </c>
      <c r="DH25" s="3">
        <v>-5.9</v>
      </c>
      <c r="DI25" s="3">
        <v>90</v>
      </c>
      <c r="DJ25" s="3">
        <v>80</v>
      </c>
      <c r="DK25" s="3"/>
      <c r="DL25" s="3"/>
      <c r="DM25" s="3"/>
      <c r="DN25" s="3"/>
      <c r="DO25" s="3"/>
      <c r="DP25" s="3"/>
      <c r="DQ25" s="3"/>
      <c r="DR25" s="3"/>
      <c r="DS25" s="3"/>
      <c r="DT25" s="3"/>
      <c r="DW25" s="1">
        <v>-6</v>
      </c>
      <c r="DX25" s="1">
        <v>1.4</v>
      </c>
      <c r="DY25" s="1">
        <v>-11.1</v>
      </c>
    </row>
    <row r="26" spans="1:129" x14ac:dyDescent="0.2">
      <c r="A26" s="40">
        <v>34719</v>
      </c>
      <c r="B26" s="3">
        <v>20</v>
      </c>
      <c r="C26" s="3">
        <v>0.85199999999999998</v>
      </c>
      <c r="D26" s="3">
        <v>4.1429999999999998</v>
      </c>
      <c r="E26" s="3">
        <v>-8.48</v>
      </c>
      <c r="F26" s="3">
        <v>90</v>
      </c>
      <c r="G26" s="3">
        <v>-9.41</v>
      </c>
      <c r="H26" s="3">
        <v>-11</v>
      </c>
      <c r="I26" s="3">
        <v>5.8999999999999997E-2</v>
      </c>
      <c r="J26" s="3">
        <v>-4.1059999999999999</v>
      </c>
      <c r="K26" s="3">
        <v>-9.58</v>
      </c>
      <c r="L26" s="3">
        <v>0.34</v>
      </c>
      <c r="M26" s="3">
        <v>1.0680000000000001</v>
      </c>
      <c r="N26" s="3">
        <v>1.754</v>
      </c>
      <c r="O26" s="3">
        <v>0</v>
      </c>
      <c r="P26" s="16">
        <v>1.8474999999999999</v>
      </c>
      <c r="Q26" s="3"/>
      <c r="R26" s="3">
        <v>3.4790000000000001</v>
      </c>
      <c r="S26" s="3">
        <v>1408</v>
      </c>
      <c r="T26" s="3">
        <v>102.8</v>
      </c>
      <c r="U26" s="3">
        <v>802</v>
      </c>
      <c r="V26" s="3">
        <v>3.3220000000000001</v>
      </c>
      <c r="W26" s="3">
        <v>7.9000000000000001E-2</v>
      </c>
      <c r="X26" s="3">
        <v>9.8000000000000004E-2</v>
      </c>
      <c r="Y26" s="3">
        <v>-3.2429999999999999</v>
      </c>
      <c r="Z26" s="3">
        <v>3.84</v>
      </c>
      <c r="AA26" s="3">
        <v>0.38</v>
      </c>
      <c r="AB26" s="3">
        <v>1.1060000000000001</v>
      </c>
      <c r="AC26" s="3">
        <v>1.7909999999999999</v>
      </c>
      <c r="AD26" s="16">
        <v>3.9674999999999998</v>
      </c>
      <c r="AE26" s="3">
        <v>1914</v>
      </c>
      <c r="AF26" s="3">
        <v>-13.74</v>
      </c>
      <c r="AG26" s="3">
        <v>232</v>
      </c>
      <c r="AH26" s="3">
        <v>41.85</v>
      </c>
      <c r="AI26" s="3">
        <v>1407</v>
      </c>
      <c r="AJ26" s="3">
        <v>-15.08</v>
      </c>
      <c r="AK26" s="3">
        <v>-16.43</v>
      </c>
      <c r="AL26" s="3">
        <v>2.8000000000000001E-2</v>
      </c>
      <c r="AM26" s="3">
        <v>-4.6660000000000004</v>
      </c>
      <c r="AN26" s="3">
        <v>-15.42</v>
      </c>
      <c r="AO26" s="3">
        <v>0.30499999999999999</v>
      </c>
      <c r="AP26" s="3">
        <v>1.022</v>
      </c>
      <c r="AQ26" s="3">
        <v>1.708</v>
      </c>
      <c r="AR26" s="3">
        <v>1.4999999999999999E-2</v>
      </c>
      <c r="AS26" s="3">
        <v>0.43</v>
      </c>
      <c r="AT26" s="3">
        <v>0.51100000000000001</v>
      </c>
      <c r="AU26" s="3">
        <v>0.03</v>
      </c>
      <c r="AV26" s="3">
        <v>6.0000000000000001E-3</v>
      </c>
      <c r="AW26" s="3">
        <v>3.0000000000000001E-3</v>
      </c>
      <c r="AX26" s="3">
        <v>2E-3</v>
      </c>
      <c r="AY26" s="3">
        <v>2E-3</v>
      </c>
      <c r="AZ26" s="3">
        <v>-6.8159999999999998</v>
      </c>
      <c r="BA26" s="3">
        <v>2444</v>
      </c>
      <c r="BB26" s="3">
        <v>12.27</v>
      </c>
      <c r="BC26" s="3">
        <v>2876</v>
      </c>
      <c r="BD26" s="3"/>
      <c r="BE26" s="3"/>
      <c r="BF26" s="3">
        <f t="shared" si="25"/>
        <v>1041</v>
      </c>
      <c r="BH26" s="16">
        <v>5.92</v>
      </c>
      <c r="BI26" s="16">
        <f t="shared" si="0"/>
        <v>11.958399999999999</v>
      </c>
      <c r="BJ26" s="17">
        <f t="shared" si="1"/>
        <v>0.85</v>
      </c>
      <c r="BK26" s="17">
        <f t="shared" si="2"/>
        <v>4.47</v>
      </c>
      <c r="BM26" s="1">
        <f t="shared" si="3"/>
        <v>96</v>
      </c>
      <c r="BN26" s="1">
        <f t="shared" si="4"/>
        <v>84.2</v>
      </c>
      <c r="BO26" s="1">
        <f t="shared" si="5"/>
        <v>39.700000000000003</v>
      </c>
      <c r="BP26" s="62">
        <f t="shared" si="26"/>
        <v>0.311</v>
      </c>
      <c r="BQ26" s="62">
        <f t="shared" si="6"/>
        <v>0.47199999999999998</v>
      </c>
      <c r="BS26" s="39"/>
      <c r="BT26" s="8"/>
      <c r="BV26" s="8"/>
      <c r="BW26" s="16">
        <f t="shared" si="36"/>
        <v>0.85</v>
      </c>
      <c r="BX26" s="16">
        <f t="shared" si="37"/>
        <v>4.47</v>
      </c>
      <c r="BY26" s="3">
        <f t="shared" si="38"/>
        <v>-8.5</v>
      </c>
      <c r="BZ26" s="3">
        <f t="shared" si="39"/>
        <v>-9.4</v>
      </c>
      <c r="CA26" s="3">
        <f t="shared" si="40"/>
        <v>-11</v>
      </c>
      <c r="CB26" s="3">
        <f t="shared" si="41"/>
        <v>0.1</v>
      </c>
      <c r="CC26" s="3">
        <f t="shared" si="42"/>
        <v>0.3</v>
      </c>
      <c r="CD26" s="3">
        <f t="shared" si="43"/>
        <v>1.1000000000000001</v>
      </c>
      <c r="CE26" s="3">
        <f t="shared" si="44"/>
        <v>1.8</v>
      </c>
      <c r="CF26" s="23">
        <f t="shared" si="45"/>
        <v>84.2</v>
      </c>
      <c r="CG26" s="1">
        <f t="shared" si="46"/>
        <v>3.5</v>
      </c>
      <c r="CH26" s="1">
        <f t="shared" si="47"/>
        <v>3.3</v>
      </c>
      <c r="CI26" s="1">
        <f t="shared" si="48"/>
        <v>0.1</v>
      </c>
      <c r="CJ26" s="1">
        <f t="shared" si="49"/>
        <v>0.1</v>
      </c>
      <c r="CK26" s="1">
        <f t="shared" si="50"/>
        <v>0.4</v>
      </c>
      <c r="CL26" s="1">
        <f t="shared" si="51"/>
        <v>1.1000000000000001</v>
      </c>
      <c r="CM26" s="1">
        <f t="shared" si="52"/>
        <v>1.8</v>
      </c>
      <c r="CN26" s="2">
        <f t="shared" si="53"/>
        <v>96</v>
      </c>
      <c r="CO26" s="1">
        <f t="shared" si="54"/>
        <v>-13.7</v>
      </c>
      <c r="CP26" s="1">
        <f t="shared" si="55"/>
        <v>-15.1</v>
      </c>
      <c r="CQ26" s="1">
        <f t="shared" si="56"/>
        <v>-16.399999999999999</v>
      </c>
      <c r="CR26" s="1">
        <f t="shared" si="57"/>
        <v>0</v>
      </c>
      <c r="CS26" s="1">
        <f t="shared" si="58"/>
        <v>0.3</v>
      </c>
      <c r="CT26" s="1">
        <f t="shared" si="59"/>
        <v>1</v>
      </c>
      <c r="CU26" s="1">
        <f t="shared" si="60"/>
        <v>1.7</v>
      </c>
      <c r="CV26" s="2">
        <f t="shared" si="61"/>
        <v>39.700000000000003</v>
      </c>
      <c r="CW26" s="18">
        <f t="shared" si="62"/>
        <v>1041</v>
      </c>
      <c r="CX26" s="1">
        <f>ROUND(PPTest!K26,1)</f>
        <v>0</v>
      </c>
      <c r="CY26" s="17">
        <f t="shared" si="63"/>
        <v>1.85</v>
      </c>
      <c r="CZ26" s="17">
        <f t="shared" si="64"/>
        <v>3.97</v>
      </c>
      <c r="DA26" s="20">
        <f t="shared" si="65"/>
        <v>0.311</v>
      </c>
      <c r="DB26" s="20">
        <f t="shared" si="66"/>
        <v>0.47199999999999998</v>
      </c>
      <c r="DC26" s="16">
        <f t="shared" si="67"/>
        <v>12.27</v>
      </c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W26" s="1">
        <v>-5.2</v>
      </c>
      <c r="DX26" s="1">
        <v>1.6</v>
      </c>
      <c r="DY26" s="1">
        <v>-11.7</v>
      </c>
    </row>
    <row r="27" spans="1:129" x14ac:dyDescent="0.2">
      <c r="A27" s="40">
        <v>34720</v>
      </c>
      <c r="B27" s="3">
        <v>21</v>
      </c>
      <c r="C27" s="3">
        <v>1.5049999999999999</v>
      </c>
      <c r="D27" s="3">
        <v>5.6909999999999998</v>
      </c>
      <c r="E27" s="3">
        <v>-10.09</v>
      </c>
      <c r="F27" s="3">
        <v>89.9</v>
      </c>
      <c r="G27" s="3">
        <v>-11.1</v>
      </c>
      <c r="H27" s="3">
        <v>-12.68</v>
      </c>
      <c r="I27" s="3">
        <v>8.5999999999999993E-2</v>
      </c>
      <c r="J27" s="3">
        <v>-5.1459999999999999</v>
      </c>
      <c r="K27" s="3">
        <v>-11.3</v>
      </c>
      <c r="L27" s="3">
        <v>0.37</v>
      </c>
      <c r="M27" s="3">
        <v>1.0880000000000001</v>
      </c>
      <c r="N27" s="3">
        <v>1.7649999999999999</v>
      </c>
      <c r="O27" s="3">
        <v>0</v>
      </c>
      <c r="P27" s="16">
        <v>1.3213333333333332</v>
      </c>
      <c r="Q27" s="3"/>
      <c r="R27" s="3">
        <v>1.1579999999999999</v>
      </c>
      <c r="S27" s="3">
        <v>1408</v>
      </c>
      <c r="T27" s="3">
        <v>101.4</v>
      </c>
      <c r="U27" s="3">
        <v>245</v>
      </c>
      <c r="V27" s="3">
        <v>1.135</v>
      </c>
      <c r="W27" s="3">
        <v>-1.867</v>
      </c>
      <c r="X27" s="3">
        <v>0.121</v>
      </c>
      <c r="Y27" s="3">
        <v>-4.625</v>
      </c>
      <c r="Z27" s="3">
        <v>1.0269999999999999</v>
      </c>
      <c r="AA27" s="3">
        <v>0.41199999999999998</v>
      </c>
      <c r="AB27" s="3">
        <v>1.1359999999999999</v>
      </c>
      <c r="AC27" s="3">
        <v>1.8149999999999999</v>
      </c>
      <c r="AD27" s="16">
        <v>3.2341666666666673</v>
      </c>
      <c r="AE27" s="3">
        <v>1921</v>
      </c>
      <c r="AF27" s="3">
        <v>-15.99</v>
      </c>
      <c r="AG27" s="3">
        <v>755</v>
      </c>
      <c r="AH27" s="3">
        <v>66.239999999999995</v>
      </c>
      <c r="AI27" s="3">
        <v>1310</v>
      </c>
      <c r="AJ27" s="3">
        <v>-17.46</v>
      </c>
      <c r="AK27" s="3">
        <v>-18.899999999999999</v>
      </c>
      <c r="AL27" s="3">
        <v>5.1999999999999998E-2</v>
      </c>
      <c r="AM27" s="3">
        <v>-5.7030000000000003</v>
      </c>
      <c r="AN27" s="3">
        <v>-18.059999999999999</v>
      </c>
      <c r="AO27" s="3">
        <v>0.33100000000000002</v>
      </c>
      <c r="AP27" s="3">
        <v>1.036</v>
      </c>
      <c r="AQ27" s="3">
        <v>1.7050000000000001</v>
      </c>
      <c r="AR27" s="3">
        <v>6.0000000000000001E-3</v>
      </c>
      <c r="AS27" s="3">
        <v>0.32200000000000001</v>
      </c>
      <c r="AT27" s="3">
        <v>0.64100000000000001</v>
      </c>
      <c r="AU27" s="3">
        <v>2.1999999999999999E-2</v>
      </c>
      <c r="AV27" s="3">
        <v>4.0000000000000001E-3</v>
      </c>
      <c r="AW27" s="3">
        <v>1E-3</v>
      </c>
      <c r="AX27" s="3">
        <v>0</v>
      </c>
      <c r="AY27" s="3">
        <v>2E-3</v>
      </c>
      <c r="AZ27" s="3">
        <v>-8.44</v>
      </c>
      <c r="BA27" s="3">
        <v>2463</v>
      </c>
      <c r="BB27" s="3">
        <v>12.27</v>
      </c>
      <c r="BC27" s="3">
        <v>2876</v>
      </c>
      <c r="BD27" s="3"/>
      <c r="BE27" s="3"/>
      <c r="BF27" s="3">
        <f t="shared" si="25"/>
        <v>1022</v>
      </c>
      <c r="BH27" s="16">
        <v>6.02</v>
      </c>
      <c r="BI27" s="16">
        <f t="shared" si="0"/>
        <v>12.160399999999999</v>
      </c>
      <c r="BJ27" s="17">
        <f t="shared" si="1"/>
        <v>1.51</v>
      </c>
      <c r="BK27" s="17">
        <f t="shared" si="2"/>
        <v>6.15</v>
      </c>
      <c r="BM27" s="1">
        <f t="shared" si="3"/>
        <v>94.7</v>
      </c>
      <c r="BN27" s="1">
        <f t="shared" si="4"/>
        <v>84.1</v>
      </c>
      <c r="BO27" s="1">
        <f t="shared" si="5"/>
        <v>62.2</v>
      </c>
      <c r="BP27" s="62">
        <f t="shared" si="26"/>
        <v>0.41299999999999998</v>
      </c>
      <c r="BQ27" s="62">
        <f t="shared" si="6"/>
        <v>0.251</v>
      </c>
      <c r="BS27" s="39"/>
      <c r="BT27" s="8"/>
      <c r="BV27" s="8"/>
      <c r="BW27" s="16">
        <f t="shared" si="36"/>
        <v>1.51</v>
      </c>
      <c r="BX27" s="16">
        <f t="shared" si="37"/>
        <v>6.15</v>
      </c>
      <c r="BY27" s="3">
        <f t="shared" si="38"/>
        <v>-10.1</v>
      </c>
      <c r="BZ27" s="3">
        <f t="shared" si="39"/>
        <v>-11.1</v>
      </c>
      <c r="CA27" s="3">
        <f t="shared" si="40"/>
        <v>-12.7</v>
      </c>
      <c r="CB27" s="3">
        <f t="shared" si="41"/>
        <v>0.1</v>
      </c>
      <c r="CC27" s="3">
        <f t="shared" si="42"/>
        <v>0.4</v>
      </c>
      <c r="CD27" s="3">
        <f t="shared" si="43"/>
        <v>1.1000000000000001</v>
      </c>
      <c r="CE27" s="3">
        <f t="shared" si="44"/>
        <v>1.8</v>
      </c>
      <c r="CF27" s="23">
        <f t="shared" si="45"/>
        <v>84.1</v>
      </c>
      <c r="CG27" s="1">
        <f t="shared" si="46"/>
        <v>1.2</v>
      </c>
      <c r="CH27" s="1">
        <f t="shared" si="47"/>
        <v>1.1000000000000001</v>
      </c>
      <c r="CI27" s="1">
        <f t="shared" si="48"/>
        <v>-1.9</v>
      </c>
      <c r="CJ27" s="1">
        <f t="shared" si="49"/>
        <v>0.1</v>
      </c>
      <c r="CK27" s="1">
        <f t="shared" si="50"/>
        <v>0.4</v>
      </c>
      <c r="CL27" s="1">
        <f t="shared" si="51"/>
        <v>1.1000000000000001</v>
      </c>
      <c r="CM27" s="1">
        <f t="shared" si="52"/>
        <v>1.8</v>
      </c>
      <c r="CN27" s="2">
        <f t="shared" si="53"/>
        <v>94.7</v>
      </c>
      <c r="CO27" s="1">
        <f t="shared" si="54"/>
        <v>-16</v>
      </c>
      <c r="CP27" s="1">
        <f t="shared" si="55"/>
        <v>-17.5</v>
      </c>
      <c r="CQ27" s="1">
        <f t="shared" si="56"/>
        <v>-18.899999999999999</v>
      </c>
      <c r="CR27" s="1">
        <f t="shared" si="57"/>
        <v>0.1</v>
      </c>
      <c r="CS27" s="1">
        <f t="shared" si="58"/>
        <v>0.3</v>
      </c>
      <c r="CT27" s="1">
        <f t="shared" si="59"/>
        <v>1</v>
      </c>
      <c r="CU27" s="1">
        <f t="shared" si="60"/>
        <v>1.7</v>
      </c>
      <c r="CV27" s="2">
        <f t="shared" si="61"/>
        <v>62.2</v>
      </c>
      <c r="CW27" s="18">
        <f t="shared" si="62"/>
        <v>1022</v>
      </c>
      <c r="CX27" s="1">
        <f>ROUND(PPTest!K27,1)</f>
        <v>0</v>
      </c>
      <c r="CY27" s="17">
        <f t="shared" si="63"/>
        <v>1.32</v>
      </c>
      <c r="CZ27" s="17">
        <f t="shared" si="64"/>
        <v>3.23</v>
      </c>
      <c r="DA27" s="20">
        <f t="shared" si="65"/>
        <v>0.41299999999999998</v>
      </c>
      <c r="DB27" s="20">
        <f t="shared" si="66"/>
        <v>0.251</v>
      </c>
      <c r="DC27" s="16">
        <f t="shared" si="67"/>
        <v>12.27</v>
      </c>
      <c r="DW27" s="1">
        <v>-7.6</v>
      </c>
      <c r="DX27" s="1">
        <v>5.4</v>
      </c>
      <c r="DY27" s="1">
        <v>-13.7</v>
      </c>
    </row>
    <row r="28" spans="1:129" x14ac:dyDescent="0.2">
      <c r="A28" s="40">
        <v>34721</v>
      </c>
      <c r="B28" s="3">
        <v>22</v>
      </c>
      <c r="C28" s="3">
        <v>2.0529999999999999</v>
      </c>
      <c r="D28" s="3">
        <v>8.11</v>
      </c>
      <c r="E28" s="3">
        <v>-11.63</v>
      </c>
      <c r="F28" s="3">
        <v>90</v>
      </c>
      <c r="G28" s="3">
        <v>-12.67</v>
      </c>
      <c r="H28" s="3">
        <v>-14.39</v>
      </c>
      <c r="I28" s="3">
        <v>0.10199999999999999</v>
      </c>
      <c r="J28" s="3">
        <v>-5.9340000000000002</v>
      </c>
      <c r="K28" s="3">
        <v>-12.37</v>
      </c>
      <c r="L28" s="3">
        <v>0.40200000000000002</v>
      </c>
      <c r="M28" s="3">
        <v>1.109</v>
      </c>
      <c r="N28" s="3">
        <v>1.778</v>
      </c>
      <c r="O28" s="3">
        <v>0</v>
      </c>
      <c r="P28" s="16">
        <v>1.5408333333333333</v>
      </c>
      <c r="Q28" s="3"/>
      <c r="R28" s="3">
        <v>2.0680000000000001</v>
      </c>
      <c r="S28" s="3">
        <v>1347</v>
      </c>
      <c r="T28" s="3">
        <v>100.8</v>
      </c>
      <c r="U28" s="3">
        <v>2148</v>
      </c>
      <c r="V28" s="3">
        <v>1.8340000000000001</v>
      </c>
      <c r="W28" s="3">
        <v>-2.6019999999999999</v>
      </c>
      <c r="X28" s="3">
        <v>0.14099999999999999</v>
      </c>
      <c r="Y28" s="3">
        <v>-5.2249999999999996</v>
      </c>
      <c r="Z28" s="3">
        <v>2.177</v>
      </c>
      <c r="AA28" s="3">
        <v>0.45</v>
      </c>
      <c r="AB28" s="3">
        <v>1.1539999999999999</v>
      </c>
      <c r="AC28" s="3">
        <v>1.833</v>
      </c>
      <c r="AD28" s="16">
        <v>2.6875</v>
      </c>
      <c r="AE28" s="3">
        <v>1808</v>
      </c>
      <c r="AF28" s="3">
        <v>-17.53</v>
      </c>
      <c r="AG28" s="3">
        <v>813</v>
      </c>
      <c r="AH28" s="3">
        <v>59.86</v>
      </c>
      <c r="AI28" s="3">
        <v>1347</v>
      </c>
      <c r="AJ28" s="3">
        <v>-18.559999999999999</v>
      </c>
      <c r="AK28" s="3">
        <v>-20.46</v>
      </c>
      <c r="AL28" s="3">
        <v>6.3E-2</v>
      </c>
      <c r="AM28" s="3">
        <v>-6.4630000000000001</v>
      </c>
      <c r="AN28" s="3">
        <v>-19.43</v>
      </c>
      <c r="AO28" s="3">
        <v>0.34499999999999997</v>
      </c>
      <c r="AP28" s="3">
        <v>1.046</v>
      </c>
      <c r="AQ28" s="3">
        <v>1.712</v>
      </c>
      <c r="AR28" s="3">
        <v>0</v>
      </c>
      <c r="AS28" s="3">
        <v>0.27600000000000002</v>
      </c>
      <c r="AT28" s="3">
        <v>0.71499999999999997</v>
      </c>
      <c r="AU28" s="3">
        <v>4.0000000000000001E-3</v>
      </c>
      <c r="AV28" s="3">
        <v>2E-3</v>
      </c>
      <c r="AW28" s="3">
        <v>2E-3</v>
      </c>
      <c r="AX28" s="3">
        <v>0</v>
      </c>
      <c r="AY28" s="3">
        <v>0</v>
      </c>
      <c r="AZ28" s="3">
        <v>-10.039999999999999</v>
      </c>
      <c r="BA28" s="3">
        <v>2486</v>
      </c>
      <c r="BB28" s="3">
        <v>12.26</v>
      </c>
      <c r="BC28" s="3">
        <v>2876</v>
      </c>
      <c r="BD28" s="3"/>
      <c r="BE28" s="3"/>
      <c r="BF28" s="3">
        <f t="shared" si="25"/>
        <v>999</v>
      </c>
      <c r="BH28" s="16">
        <v>6.13</v>
      </c>
      <c r="BI28" s="16">
        <f t="shared" si="0"/>
        <v>12.3826</v>
      </c>
      <c r="BJ28" s="17">
        <f t="shared" si="1"/>
        <v>2.0499999999999998</v>
      </c>
      <c r="BK28" s="17">
        <f t="shared" si="2"/>
        <v>8.76</v>
      </c>
      <c r="BM28" s="1">
        <f t="shared" si="3"/>
        <v>94.1</v>
      </c>
      <c r="BN28" s="1">
        <f t="shared" si="4"/>
        <v>84.2</v>
      </c>
      <c r="BO28" s="1">
        <f t="shared" si="5"/>
        <v>56.3</v>
      </c>
      <c r="BP28" s="62">
        <f t="shared" si="26"/>
        <v>0.39900000000000002</v>
      </c>
      <c r="BQ28" s="62">
        <f t="shared" si="6"/>
        <v>0.31</v>
      </c>
      <c r="BS28" s="39"/>
      <c r="BT28" s="8"/>
      <c r="BV28" s="8"/>
      <c r="BW28" s="16">
        <f t="shared" si="36"/>
        <v>2.0499999999999998</v>
      </c>
      <c r="BX28" s="16">
        <f t="shared" si="37"/>
        <v>8.76</v>
      </c>
      <c r="BY28" s="3">
        <f t="shared" si="38"/>
        <v>-11.6</v>
      </c>
      <c r="BZ28" s="3">
        <f t="shared" si="39"/>
        <v>-12.7</v>
      </c>
      <c r="CA28" s="3">
        <f t="shared" si="40"/>
        <v>-14.4</v>
      </c>
      <c r="CB28" s="3">
        <f t="shared" si="41"/>
        <v>0.1</v>
      </c>
      <c r="CC28" s="3">
        <f t="shared" si="42"/>
        <v>0.4</v>
      </c>
      <c r="CD28" s="3">
        <f t="shared" si="43"/>
        <v>1.1000000000000001</v>
      </c>
      <c r="CE28" s="3">
        <f t="shared" si="44"/>
        <v>1.8</v>
      </c>
      <c r="CF28" s="23">
        <f t="shared" si="45"/>
        <v>84.2</v>
      </c>
      <c r="CG28" s="1">
        <f t="shared" si="46"/>
        <v>2.1</v>
      </c>
      <c r="CH28" s="1">
        <f t="shared" si="47"/>
        <v>1.8</v>
      </c>
      <c r="CI28" s="1">
        <f t="shared" si="48"/>
        <v>-2.6</v>
      </c>
      <c r="CJ28" s="1">
        <f t="shared" si="49"/>
        <v>0.1</v>
      </c>
      <c r="CK28" s="1">
        <f t="shared" si="50"/>
        <v>0.5</v>
      </c>
      <c r="CL28" s="1">
        <f t="shared" si="51"/>
        <v>1.2</v>
      </c>
      <c r="CM28" s="1">
        <f t="shared" si="52"/>
        <v>1.8</v>
      </c>
      <c r="CN28" s="2">
        <f t="shared" si="53"/>
        <v>94.1</v>
      </c>
      <c r="CO28" s="1">
        <f t="shared" si="54"/>
        <v>-17.5</v>
      </c>
      <c r="CP28" s="1">
        <f t="shared" si="55"/>
        <v>-18.600000000000001</v>
      </c>
      <c r="CQ28" s="1">
        <f t="shared" si="56"/>
        <v>-20.5</v>
      </c>
      <c r="CR28" s="1">
        <f t="shared" si="57"/>
        <v>0.1</v>
      </c>
      <c r="CS28" s="1">
        <f t="shared" si="58"/>
        <v>0.3</v>
      </c>
      <c r="CT28" s="1">
        <f t="shared" si="59"/>
        <v>1</v>
      </c>
      <c r="CU28" s="1">
        <f t="shared" si="60"/>
        <v>1.7</v>
      </c>
      <c r="CV28" s="2">
        <f t="shared" si="61"/>
        <v>56.3</v>
      </c>
      <c r="CW28" s="18">
        <f t="shared" si="62"/>
        <v>999</v>
      </c>
      <c r="CX28" s="1">
        <f>ROUND(PPTest!K28,1)</f>
        <v>0</v>
      </c>
      <c r="CY28" s="17">
        <f t="shared" si="63"/>
        <v>1.54</v>
      </c>
      <c r="CZ28" s="17">
        <f t="shared" si="64"/>
        <v>2.69</v>
      </c>
      <c r="DA28" s="20">
        <f t="shared" si="65"/>
        <v>0.39900000000000002</v>
      </c>
      <c r="DB28" s="20">
        <f t="shared" si="66"/>
        <v>0.31</v>
      </c>
      <c r="DC28" s="16">
        <f t="shared" si="67"/>
        <v>12.26</v>
      </c>
      <c r="DW28" s="1">
        <v>-8.6999999999999993</v>
      </c>
      <c r="DX28" s="1">
        <v>2.8</v>
      </c>
      <c r="DY28" s="1">
        <v>-15.7</v>
      </c>
    </row>
    <row r="29" spans="1:129" x14ac:dyDescent="0.2">
      <c r="A29" s="40">
        <v>34722</v>
      </c>
      <c r="B29" s="3">
        <v>23</v>
      </c>
      <c r="C29" s="3">
        <v>3.464</v>
      </c>
      <c r="D29" s="3">
        <v>12.09</v>
      </c>
      <c r="E29" s="3">
        <v>-12.02</v>
      </c>
      <c r="F29" s="3">
        <v>86.6</v>
      </c>
      <c r="G29" s="3">
        <v>-13.12</v>
      </c>
      <c r="H29" s="3">
        <v>-14.81</v>
      </c>
      <c r="I29" s="3">
        <v>8.2000000000000003E-2</v>
      </c>
      <c r="J29" s="3">
        <v>-6.702</v>
      </c>
      <c r="K29" s="3">
        <v>-13</v>
      </c>
      <c r="L29" s="3">
        <v>0.41699999999999998</v>
      </c>
      <c r="M29" s="3">
        <v>1.117</v>
      </c>
      <c r="N29" s="3">
        <v>1.78</v>
      </c>
      <c r="O29" s="3">
        <v>0</v>
      </c>
      <c r="P29" s="16">
        <v>1.884166666666667</v>
      </c>
      <c r="Q29" s="3"/>
      <c r="R29" s="3">
        <v>1.0049999999999999</v>
      </c>
      <c r="S29" s="3">
        <v>1343</v>
      </c>
      <c r="T29" s="3">
        <v>98.1</v>
      </c>
      <c r="U29" s="3">
        <v>1943</v>
      </c>
      <c r="V29" s="3">
        <v>1.2649999999999999</v>
      </c>
      <c r="W29" s="3">
        <v>-2.6859999999999999</v>
      </c>
      <c r="X29" s="3">
        <v>0.127</v>
      </c>
      <c r="Y29" s="3">
        <v>-5.7530000000000001</v>
      </c>
      <c r="Z29" s="3">
        <v>1.8740000000000001</v>
      </c>
      <c r="AA29" s="3">
        <v>0.46600000000000003</v>
      </c>
      <c r="AB29" s="3">
        <v>1.161</v>
      </c>
      <c r="AC29" s="3">
        <v>1.8260000000000001</v>
      </c>
      <c r="AD29" s="16">
        <v>3.3941666666666666</v>
      </c>
      <c r="AE29" s="3">
        <v>2105</v>
      </c>
      <c r="AF29" s="3">
        <v>-18.68</v>
      </c>
      <c r="AG29" s="3">
        <v>844</v>
      </c>
      <c r="AH29" s="3">
        <v>50.16</v>
      </c>
      <c r="AI29" s="3">
        <v>1328</v>
      </c>
      <c r="AJ29" s="3">
        <v>-19.77</v>
      </c>
      <c r="AK29" s="3">
        <v>-21.83</v>
      </c>
      <c r="AL29" s="3">
        <v>3.4000000000000002E-2</v>
      </c>
      <c r="AM29" s="3">
        <v>-7.82</v>
      </c>
      <c r="AN29" s="3">
        <v>-20.48</v>
      </c>
      <c r="AO29" s="3">
        <v>0.36099999999999999</v>
      </c>
      <c r="AP29" s="3">
        <v>1.05</v>
      </c>
      <c r="AQ29" s="3">
        <v>1.712</v>
      </c>
      <c r="AR29" s="3">
        <v>1E-3</v>
      </c>
      <c r="AS29" s="3">
        <v>0.31900000000000001</v>
      </c>
      <c r="AT29" s="3">
        <v>0.66300000000000003</v>
      </c>
      <c r="AU29" s="3">
        <v>1.4999999999999999E-2</v>
      </c>
      <c r="AV29" s="3">
        <v>0</v>
      </c>
      <c r="AW29" s="3">
        <v>0</v>
      </c>
      <c r="AX29" s="3">
        <v>0</v>
      </c>
      <c r="AY29" s="3">
        <v>0</v>
      </c>
      <c r="AZ29" s="3">
        <v>-11.38</v>
      </c>
      <c r="BA29" s="3">
        <v>2488</v>
      </c>
      <c r="BB29" s="3">
        <v>12.26</v>
      </c>
      <c r="BC29" s="3">
        <v>2876</v>
      </c>
      <c r="BD29" s="3"/>
      <c r="BE29" s="3"/>
      <c r="BF29" s="3">
        <f t="shared" si="25"/>
        <v>997</v>
      </c>
      <c r="BH29" s="16">
        <v>6.25</v>
      </c>
      <c r="BI29" s="16">
        <f t="shared" si="0"/>
        <v>12.625</v>
      </c>
      <c r="BJ29" s="17">
        <f t="shared" si="1"/>
        <v>3.46</v>
      </c>
      <c r="BK29" s="17">
        <f t="shared" si="2"/>
        <v>13.06</v>
      </c>
      <c r="BM29" s="1">
        <f t="shared" si="3"/>
        <v>91.6</v>
      </c>
      <c r="BN29" s="1">
        <f t="shared" si="4"/>
        <v>81</v>
      </c>
      <c r="BO29" s="1">
        <f t="shared" si="5"/>
        <v>47.3</v>
      </c>
      <c r="BP29" s="62">
        <f t="shared" si="26"/>
        <v>0.311</v>
      </c>
      <c r="BQ29" s="62">
        <f t="shared" si="6"/>
        <v>0.34699999999999998</v>
      </c>
      <c r="BS29" s="39"/>
      <c r="BT29" s="8"/>
      <c r="BV29" s="8"/>
      <c r="BW29" s="16">
        <f t="shared" si="36"/>
        <v>3.46</v>
      </c>
      <c r="BX29" s="16">
        <f t="shared" si="37"/>
        <v>13.06</v>
      </c>
      <c r="BY29" s="3">
        <f t="shared" si="38"/>
        <v>-12</v>
      </c>
      <c r="BZ29" s="3">
        <f t="shared" si="39"/>
        <v>-13.1</v>
      </c>
      <c r="CA29" s="3">
        <f t="shared" si="40"/>
        <v>-14.8</v>
      </c>
      <c r="CB29" s="3">
        <f t="shared" si="41"/>
        <v>0.1</v>
      </c>
      <c r="CC29" s="3">
        <f t="shared" si="42"/>
        <v>0.4</v>
      </c>
      <c r="CD29" s="3">
        <f t="shared" si="43"/>
        <v>1.1000000000000001</v>
      </c>
      <c r="CE29" s="3">
        <f t="shared" si="44"/>
        <v>1.8</v>
      </c>
      <c r="CF29" s="23">
        <f t="shared" si="45"/>
        <v>81</v>
      </c>
      <c r="CG29" s="1">
        <f t="shared" si="46"/>
        <v>1</v>
      </c>
      <c r="CH29" s="1">
        <f t="shared" si="47"/>
        <v>1.3</v>
      </c>
      <c r="CI29" s="1">
        <f t="shared" si="48"/>
        <v>-2.7</v>
      </c>
      <c r="CJ29" s="1">
        <f t="shared" si="49"/>
        <v>0.1</v>
      </c>
      <c r="CK29" s="1">
        <f t="shared" si="50"/>
        <v>0.5</v>
      </c>
      <c r="CL29" s="1">
        <f t="shared" si="51"/>
        <v>1.2</v>
      </c>
      <c r="CM29" s="1">
        <f t="shared" si="52"/>
        <v>1.8</v>
      </c>
      <c r="CN29" s="2">
        <f t="shared" si="53"/>
        <v>91.6</v>
      </c>
      <c r="CO29" s="1">
        <f t="shared" si="54"/>
        <v>-18.7</v>
      </c>
      <c r="CP29" s="1">
        <f t="shared" si="55"/>
        <v>-19.8</v>
      </c>
      <c r="CQ29" s="1">
        <f t="shared" si="56"/>
        <v>-21.8</v>
      </c>
      <c r="CR29" s="1">
        <f t="shared" si="57"/>
        <v>0</v>
      </c>
      <c r="CS29" s="1">
        <f t="shared" si="58"/>
        <v>0.4</v>
      </c>
      <c r="CT29" s="1">
        <f t="shared" si="59"/>
        <v>1.1000000000000001</v>
      </c>
      <c r="CU29" s="1">
        <f t="shared" si="60"/>
        <v>1.7</v>
      </c>
      <c r="CV29" s="2">
        <f t="shared" si="61"/>
        <v>47.3</v>
      </c>
      <c r="CW29" s="18">
        <f t="shared" si="62"/>
        <v>997</v>
      </c>
      <c r="CX29" s="1">
        <f>ROUND(PPTest!K29,1)</f>
        <v>0</v>
      </c>
      <c r="CY29" s="17">
        <f t="shared" si="63"/>
        <v>1.88</v>
      </c>
      <c r="CZ29" s="17">
        <f t="shared" si="64"/>
        <v>3.39</v>
      </c>
      <c r="DA29" s="20">
        <f t="shared" si="65"/>
        <v>0.311</v>
      </c>
      <c r="DB29" s="20">
        <f t="shared" si="66"/>
        <v>0.34699999999999998</v>
      </c>
      <c r="DC29" s="16">
        <f t="shared" si="67"/>
        <v>12.26</v>
      </c>
      <c r="DW29" s="1">
        <v>-8.1</v>
      </c>
      <c r="DX29" s="1">
        <v>3.6</v>
      </c>
      <c r="DY29" s="1">
        <v>-15.1</v>
      </c>
    </row>
    <row r="30" spans="1:129" x14ac:dyDescent="0.2">
      <c r="A30" s="40">
        <v>34723</v>
      </c>
      <c r="B30" s="3">
        <v>24</v>
      </c>
      <c r="C30" s="3">
        <v>6.2679999999999998</v>
      </c>
      <c r="D30" s="3">
        <v>11.72</v>
      </c>
      <c r="E30" s="3">
        <v>-7.38</v>
      </c>
      <c r="F30" s="3">
        <v>82.4</v>
      </c>
      <c r="G30" s="3">
        <v>-8.4499999999999993</v>
      </c>
      <c r="H30" s="3">
        <v>-9.65</v>
      </c>
      <c r="I30" s="3">
        <v>3.0000000000000001E-3</v>
      </c>
      <c r="J30" s="3">
        <v>-7.11</v>
      </c>
      <c r="K30" s="3">
        <v>-8.1999999999999993</v>
      </c>
      <c r="L30" s="3">
        <v>0.38900000000000001</v>
      </c>
      <c r="M30" s="3">
        <v>1.085</v>
      </c>
      <c r="N30" s="3">
        <v>1.7450000000000001</v>
      </c>
      <c r="O30" s="3">
        <v>0</v>
      </c>
      <c r="P30" s="16">
        <v>2.0008333333333335</v>
      </c>
      <c r="Q30" s="3"/>
      <c r="R30" s="3">
        <v>5.4969999999999999</v>
      </c>
      <c r="S30" s="3">
        <v>1304</v>
      </c>
      <c r="T30" s="3">
        <v>94.2</v>
      </c>
      <c r="U30" s="3">
        <v>1900</v>
      </c>
      <c r="V30" s="3">
        <v>4.5780000000000003</v>
      </c>
      <c r="W30" s="3">
        <v>2.1120000000000001</v>
      </c>
      <c r="X30" s="3">
        <v>7.0999999999999994E-2</v>
      </c>
      <c r="Y30" s="3">
        <v>-5.4219999999999997</v>
      </c>
      <c r="Z30" s="3">
        <v>6.1660000000000004</v>
      </c>
      <c r="AA30" s="3">
        <v>0.44800000000000001</v>
      </c>
      <c r="AB30" s="3">
        <v>1.1439999999999999</v>
      </c>
      <c r="AC30" s="3">
        <v>1.8049999999999999</v>
      </c>
      <c r="AD30" s="16">
        <v>3.8208333333333337</v>
      </c>
      <c r="AE30" s="3">
        <v>58</v>
      </c>
      <c r="AF30" s="3">
        <v>-14.79</v>
      </c>
      <c r="AG30" s="3">
        <v>407</v>
      </c>
      <c r="AH30" s="3">
        <v>27.55</v>
      </c>
      <c r="AI30" s="3">
        <v>1315</v>
      </c>
      <c r="AJ30" s="3">
        <v>-16.010000000000002</v>
      </c>
      <c r="AK30" s="3">
        <v>-17.260000000000002</v>
      </c>
      <c r="AL30" s="3">
        <v>-5.8999999999999997E-2</v>
      </c>
      <c r="AM30" s="3">
        <v>-8.98</v>
      </c>
      <c r="AN30" s="3">
        <v>-16.86</v>
      </c>
      <c r="AO30" s="3">
        <v>0.33500000000000002</v>
      </c>
      <c r="AP30" s="3">
        <v>1.0249999999999999</v>
      </c>
      <c r="AQ30" s="3">
        <v>1.6859999999999999</v>
      </c>
      <c r="AR30" s="3">
        <v>2.5000000000000001E-2</v>
      </c>
      <c r="AS30" s="3">
        <v>0.35699999999999998</v>
      </c>
      <c r="AT30" s="3">
        <v>0.57299999999999995</v>
      </c>
      <c r="AU30" s="3">
        <v>2.8000000000000001E-2</v>
      </c>
      <c r="AV30" s="3">
        <v>6.0000000000000001E-3</v>
      </c>
      <c r="AW30" s="3">
        <v>3.0000000000000001E-3</v>
      </c>
      <c r="AX30" s="3">
        <v>3.0000000000000001E-3</v>
      </c>
      <c r="AY30" s="3">
        <v>5.0000000000000001E-3</v>
      </c>
      <c r="AZ30" s="3">
        <v>-8.9600000000000009</v>
      </c>
      <c r="BA30" s="3">
        <v>2496</v>
      </c>
      <c r="BB30" s="3">
        <v>12.25</v>
      </c>
      <c r="BC30" s="3">
        <v>2876</v>
      </c>
      <c r="BD30" s="3"/>
      <c r="BE30" s="3"/>
      <c r="BF30" s="3">
        <f t="shared" si="25"/>
        <v>989</v>
      </c>
      <c r="BH30" s="16">
        <v>6.36</v>
      </c>
      <c r="BI30" s="16">
        <f t="shared" si="0"/>
        <v>12.847200000000001</v>
      </c>
      <c r="BJ30" s="17">
        <f t="shared" si="1"/>
        <v>6.27</v>
      </c>
      <c r="BK30" s="17">
        <f t="shared" si="2"/>
        <v>12.66</v>
      </c>
      <c r="BM30" s="1">
        <f t="shared" si="3"/>
        <v>88</v>
      </c>
      <c r="BN30" s="1">
        <f t="shared" si="4"/>
        <v>77.099999999999994</v>
      </c>
      <c r="BO30" s="1">
        <f t="shared" si="5"/>
        <v>26.5</v>
      </c>
      <c r="BP30" s="62">
        <f t="shared" si="26"/>
        <v>0.23899999999999999</v>
      </c>
      <c r="BQ30" s="62">
        <f t="shared" si="6"/>
        <v>0.66300000000000003</v>
      </c>
      <c r="BS30" s="39"/>
      <c r="BT30" s="8"/>
      <c r="BV30" s="8"/>
      <c r="BW30" s="16">
        <f t="shared" si="36"/>
        <v>6.27</v>
      </c>
      <c r="BX30" s="16">
        <f t="shared" si="37"/>
        <v>12.66</v>
      </c>
      <c r="BY30" s="3">
        <f t="shared" si="38"/>
        <v>-7.4</v>
      </c>
      <c r="BZ30" s="3">
        <f t="shared" si="39"/>
        <v>-8.5</v>
      </c>
      <c r="CA30" s="3">
        <f t="shared" si="40"/>
        <v>-9.6999999999999993</v>
      </c>
      <c r="CB30" s="3">
        <f t="shared" si="41"/>
        <v>0</v>
      </c>
      <c r="CC30" s="3">
        <f t="shared" si="42"/>
        <v>0.4</v>
      </c>
      <c r="CD30" s="3">
        <f t="shared" si="43"/>
        <v>1.1000000000000001</v>
      </c>
      <c r="CE30" s="3">
        <f t="shared" si="44"/>
        <v>1.7</v>
      </c>
      <c r="CF30" s="23">
        <f t="shared" si="45"/>
        <v>77.099999999999994</v>
      </c>
      <c r="CG30" s="1">
        <f t="shared" si="46"/>
        <v>5.5</v>
      </c>
      <c r="CH30" s="1">
        <f t="shared" si="47"/>
        <v>4.5999999999999996</v>
      </c>
      <c r="CI30" s="1">
        <f t="shared" si="48"/>
        <v>2.1</v>
      </c>
      <c r="CJ30" s="1">
        <f t="shared" si="49"/>
        <v>0.1</v>
      </c>
      <c r="CK30" s="1">
        <f t="shared" si="50"/>
        <v>0.4</v>
      </c>
      <c r="CL30" s="1">
        <f t="shared" si="51"/>
        <v>1.1000000000000001</v>
      </c>
      <c r="CM30" s="1">
        <f t="shared" si="52"/>
        <v>1.8</v>
      </c>
      <c r="CN30" s="2">
        <f t="shared" si="53"/>
        <v>88</v>
      </c>
      <c r="CO30" s="1">
        <f t="shared" si="54"/>
        <v>-14.8</v>
      </c>
      <c r="CP30" s="1">
        <f t="shared" si="55"/>
        <v>-16</v>
      </c>
      <c r="CQ30" s="1">
        <f t="shared" si="56"/>
        <v>-17.3</v>
      </c>
      <c r="CR30" s="1">
        <f t="shared" si="57"/>
        <v>-0.1</v>
      </c>
      <c r="CS30" s="1">
        <f t="shared" si="58"/>
        <v>0.3</v>
      </c>
      <c r="CT30" s="1">
        <f t="shared" si="59"/>
        <v>1</v>
      </c>
      <c r="CU30" s="1">
        <f t="shared" si="60"/>
        <v>1.7</v>
      </c>
      <c r="CV30" s="2">
        <f t="shared" si="61"/>
        <v>26.5</v>
      </c>
      <c r="CW30" s="18">
        <f t="shared" si="62"/>
        <v>989</v>
      </c>
      <c r="CX30" s="1">
        <f>ROUND(PPTest!K30,1)</f>
        <v>0</v>
      </c>
      <c r="CY30" s="17">
        <f t="shared" si="63"/>
        <v>2</v>
      </c>
      <c r="CZ30" s="17">
        <f t="shared" si="64"/>
        <v>3.82</v>
      </c>
      <c r="DA30" s="20">
        <f t="shared" si="65"/>
        <v>0.23899999999999999</v>
      </c>
      <c r="DB30" s="20">
        <f t="shared" si="66"/>
        <v>0.66300000000000003</v>
      </c>
      <c r="DC30" s="16">
        <f t="shared" si="67"/>
        <v>12.25</v>
      </c>
      <c r="DW30" s="1">
        <v>-3.4</v>
      </c>
      <c r="DX30" s="1">
        <v>4.4000000000000004</v>
      </c>
      <c r="DY30" s="1">
        <v>-9</v>
      </c>
    </row>
    <row r="31" spans="1:129" x14ac:dyDescent="0.2">
      <c r="A31" s="40">
        <v>34724</v>
      </c>
      <c r="B31" s="3">
        <v>25</v>
      </c>
      <c r="C31" s="3">
        <v>3.3250000000000002</v>
      </c>
      <c r="D31" s="3">
        <v>6.4669999999999996</v>
      </c>
      <c r="E31" s="3">
        <v>-1.409</v>
      </c>
      <c r="F31" s="3">
        <v>83.5</v>
      </c>
      <c r="G31" s="3">
        <v>-2.13</v>
      </c>
      <c r="H31" s="3">
        <v>-2.609</v>
      </c>
      <c r="I31" s="3">
        <v>-7.2999999999999995E-2</v>
      </c>
      <c r="J31" s="3">
        <v>-4.2629999999999999</v>
      </c>
      <c r="K31" s="3">
        <v>-2.2599999999999998</v>
      </c>
      <c r="L31" s="3">
        <v>0.35299999999999998</v>
      </c>
      <c r="M31" s="3">
        <v>1.0389999999999999</v>
      </c>
      <c r="N31" s="3">
        <v>1.7070000000000001</v>
      </c>
      <c r="O31" s="3">
        <v>0</v>
      </c>
      <c r="P31" s="16">
        <v>1.5691666666666666</v>
      </c>
      <c r="Q31" s="3"/>
      <c r="R31" s="3">
        <v>3.415</v>
      </c>
      <c r="S31" s="3">
        <v>1435</v>
      </c>
      <c r="T31" s="3">
        <v>99.9</v>
      </c>
      <c r="U31" s="3">
        <v>2342</v>
      </c>
      <c r="V31" s="3">
        <v>4.5179999999999998</v>
      </c>
      <c r="W31" s="3">
        <v>3.0830000000000002</v>
      </c>
      <c r="X31" s="3">
        <v>-3.4000000000000002E-2</v>
      </c>
      <c r="Y31" s="3">
        <v>-1.139</v>
      </c>
      <c r="Z31" s="3">
        <v>5.5389999999999997</v>
      </c>
      <c r="AA31" s="3">
        <v>0.38700000000000001</v>
      </c>
      <c r="AB31" s="3">
        <v>1.0820000000000001</v>
      </c>
      <c r="AC31" s="3">
        <v>1.752</v>
      </c>
      <c r="AD31" s="16">
        <v>4.5274999999999999</v>
      </c>
      <c r="AE31" s="3">
        <v>1250</v>
      </c>
      <c r="AF31" s="3">
        <v>-8.06</v>
      </c>
      <c r="AG31" s="3">
        <v>35</v>
      </c>
      <c r="AH31" s="3">
        <v>64.77</v>
      </c>
      <c r="AI31" s="3">
        <v>1127</v>
      </c>
      <c r="AJ31" s="3">
        <v>-9.36</v>
      </c>
      <c r="AK31" s="3">
        <v>-10.38</v>
      </c>
      <c r="AL31" s="3">
        <v>-0.105</v>
      </c>
      <c r="AM31" s="3">
        <v>-7</v>
      </c>
      <c r="AN31" s="3">
        <v>-9.61</v>
      </c>
      <c r="AO31" s="3">
        <v>0.31</v>
      </c>
      <c r="AP31" s="3">
        <v>0.99</v>
      </c>
      <c r="AQ31" s="3">
        <v>1.6459999999999999</v>
      </c>
      <c r="AR31" s="3">
        <v>0.05</v>
      </c>
      <c r="AS31" s="3">
        <v>0.44900000000000001</v>
      </c>
      <c r="AT31" s="3">
        <v>0.35599999999999998</v>
      </c>
      <c r="AU31" s="3">
        <v>8.3000000000000004E-2</v>
      </c>
      <c r="AV31" s="3">
        <v>3.3000000000000002E-2</v>
      </c>
      <c r="AW31" s="3">
        <v>1.2999999999999999E-2</v>
      </c>
      <c r="AX31" s="3">
        <v>8.0000000000000002E-3</v>
      </c>
      <c r="AY31" s="3">
        <v>8.0000000000000002E-3</v>
      </c>
      <c r="AZ31" s="3">
        <v>-4.3869999999999996</v>
      </c>
      <c r="BA31" s="3">
        <v>2508</v>
      </c>
      <c r="BB31" s="3">
        <v>12.25</v>
      </c>
      <c r="BC31" s="3">
        <v>2876</v>
      </c>
      <c r="BD31" s="3"/>
      <c r="BE31" s="3"/>
      <c r="BF31" s="3">
        <f t="shared" si="25"/>
        <v>977</v>
      </c>
      <c r="BH31" s="16">
        <v>6.48</v>
      </c>
      <c r="BI31" s="16">
        <f t="shared" si="0"/>
        <v>13.089600000000001</v>
      </c>
      <c r="BJ31" s="17">
        <f t="shared" si="1"/>
        <v>3.33</v>
      </c>
      <c r="BK31" s="17">
        <f t="shared" si="2"/>
        <v>6.98</v>
      </c>
      <c r="BM31" s="1">
        <f t="shared" si="3"/>
        <v>93.3</v>
      </c>
      <c r="BN31" s="1">
        <f t="shared" si="4"/>
        <v>78.2</v>
      </c>
      <c r="BO31" s="1">
        <f t="shared" si="5"/>
        <v>60.8</v>
      </c>
      <c r="BP31" s="62">
        <f t="shared" si="26"/>
        <v>0.47399999999999998</v>
      </c>
      <c r="BQ31" s="62">
        <f t="shared" si="6"/>
        <v>0.30599999999999999</v>
      </c>
      <c r="BS31" s="39"/>
      <c r="BT31" s="8"/>
      <c r="BV31" s="8"/>
      <c r="BW31" s="16">
        <f t="shared" si="36"/>
        <v>3.33</v>
      </c>
      <c r="BX31" s="16">
        <f t="shared" si="37"/>
        <v>6.98</v>
      </c>
      <c r="BY31" s="3">
        <f t="shared" si="38"/>
        <v>-1.4</v>
      </c>
      <c r="BZ31" s="3">
        <f t="shared" si="39"/>
        <v>-2.1</v>
      </c>
      <c r="CA31" s="3">
        <f t="shared" si="40"/>
        <v>-2.6</v>
      </c>
      <c r="CB31" s="3">
        <f t="shared" si="41"/>
        <v>-0.1</v>
      </c>
      <c r="CC31" s="3">
        <f t="shared" si="42"/>
        <v>0.4</v>
      </c>
      <c r="CD31" s="3">
        <f t="shared" si="43"/>
        <v>1</v>
      </c>
      <c r="CE31" s="3">
        <f t="shared" si="44"/>
        <v>1.7</v>
      </c>
      <c r="CF31" s="23">
        <f t="shared" si="45"/>
        <v>78.2</v>
      </c>
      <c r="CG31" s="1">
        <f t="shared" si="46"/>
        <v>3.4</v>
      </c>
      <c r="CH31" s="1">
        <f t="shared" si="47"/>
        <v>4.5</v>
      </c>
      <c r="CI31" s="1">
        <f t="shared" si="48"/>
        <v>3.1</v>
      </c>
      <c r="CJ31" s="1">
        <f t="shared" si="49"/>
        <v>0</v>
      </c>
      <c r="CK31" s="1">
        <f t="shared" si="50"/>
        <v>0.4</v>
      </c>
      <c r="CL31" s="1">
        <f t="shared" si="51"/>
        <v>1.1000000000000001</v>
      </c>
      <c r="CM31" s="1">
        <f t="shared" si="52"/>
        <v>1.8</v>
      </c>
      <c r="CN31" s="2">
        <f t="shared" si="53"/>
        <v>93.3</v>
      </c>
      <c r="CO31" s="1">
        <f t="shared" si="54"/>
        <v>-8.1</v>
      </c>
      <c r="CP31" s="1">
        <f t="shared" si="55"/>
        <v>-9.4</v>
      </c>
      <c r="CQ31" s="1">
        <f t="shared" si="56"/>
        <v>-10.4</v>
      </c>
      <c r="CR31" s="1">
        <f t="shared" si="57"/>
        <v>-0.1</v>
      </c>
      <c r="CS31" s="1">
        <f t="shared" si="58"/>
        <v>0.3</v>
      </c>
      <c r="CT31" s="1">
        <f t="shared" si="59"/>
        <v>1</v>
      </c>
      <c r="CU31" s="1">
        <f t="shared" si="60"/>
        <v>1.6</v>
      </c>
      <c r="CV31" s="2">
        <f t="shared" si="61"/>
        <v>60.8</v>
      </c>
      <c r="CW31" s="18">
        <f t="shared" si="62"/>
        <v>977</v>
      </c>
      <c r="CX31" s="1">
        <f>ROUND(PPTest!K31,1)</f>
        <v>0</v>
      </c>
      <c r="CY31" s="17">
        <f t="shared" si="63"/>
        <v>1.57</v>
      </c>
      <c r="CZ31" s="17">
        <f t="shared" si="64"/>
        <v>4.53</v>
      </c>
      <c r="DA31" s="20">
        <f t="shared" si="65"/>
        <v>0.47399999999999998</v>
      </c>
      <c r="DB31" s="20">
        <f t="shared" si="66"/>
        <v>0.30599999999999999</v>
      </c>
      <c r="DC31" s="16">
        <f t="shared" si="67"/>
        <v>12.25</v>
      </c>
      <c r="DW31" s="1">
        <v>-0.6</v>
      </c>
      <c r="DX31" s="1">
        <v>2.4</v>
      </c>
      <c r="DY31" s="1">
        <v>-3.1</v>
      </c>
    </row>
    <row r="32" spans="1:129" x14ac:dyDescent="0.2">
      <c r="A32" s="40">
        <v>34725</v>
      </c>
      <c r="B32" s="3">
        <v>26</v>
      </c>
      <c r="C32" s="3">
        <v>1.5309999999999999</v>
      </c>
      <c r="D32" s="3">
        <v>3.016</v>
      </c>
      <c r="E32" s="3">
        <v>-1.8779999999999999</v>
      </c>
      <c r="F32" s="3">
        <v>100.2</v>
      </c>
      <c r="G32" s="3">
        <v>-2.4849999999999999</v>
      </c>
      <c r="H32" s="3">
        <v>-2.99</v>
      </c>
      <c r="I32" s="3">
        <v>-8.2000000000000003E-2</v>
      </c>
      <c r="J32" s="3">
        <v>-3.6760000000000002</v>
      </c>
      <c r="K32" s="3">
        <v>-2.4529999999999998</v>
      </c>
      <c r="L32" s="3">
        <v>0.35699999999999998</v>
      </c>
      <c r="M32" s="3">
        <v>1.0449999999999999</v>
      </c>
      <c r="N32" s="3">
        <v>1.718</v>
      </c>
      <c r="O32" s="3">
        <v>0</v>
      </c>
      <c r="P32" s="16">
        <v>0.94633333333333336</v>
      </c>
      <c r="Q32" s="3"/>
      <c r="R32" s="3">
        <v>0.88600000000000001</v>
      </c>
      <c r="S32" s="3">
        <v>1511</v>
      </c>
      <c r="T32" s="3">
        <v>103.9</v>
      </c>
      <c r="U32" s="3">
        <v>548</v>
      </c>
      <c r="V32" s="3">
        <v>1.617</v>
      </c>
      <c r="W32" s="3">
        <v>0.51100000000000001</v>
      </c>
      <c r="X32" s="3">
        <v>-5.6000000000000001E-2</v>
      </c>
      <c r="Y32" s="3">
        <v>-2.4239999999999999</v>
      </c>
      <c r="Z32" s="3">
        <v>1.355</v>
      </c>
      <c r="AA32" s="3">
        <v>0.38700000000000001</v>
      </c>
      <c r="AB32" s="3">
        <v>1.0860000000000001</v>
      </c>
      <c r="AC32" s="3">
        <v>1.7629999999999999</v>
      </c>
      <c r="AD32" s="16">
        <v>3.9674999999999998</v>
      </c>
      <c r="AE32" s="3">
        <v>1020</v>
      </c>
      <c r="AF32" s="3">
        <v>-5.8520000000000003</v>
      </c>
      <c r="AG32" s="3">
        <v>2059</v>
      </c>
      <c r="AH32" s="3">
        <v>87</v>
      </c>
      <c r="AI32" s="3">
        <v>1513</v>
      </c>
      <c r="AJ32" s="3">
        <v>-7.08</v>
      </c>
      <c r="AK32" s="3">
        <v>-8.93</v>
      </c>
      <c r="AL32" s="3">
        <v>-0.106</v>
      </c>
      <c r="AM32" s="3">
        <v>-6.8150000000000004</v>
      </c>
      <c r="AN32" s="3">
        <v>-7.74</v>
      </c>
      <c r="AO32" s="3">
        <v>0.32600000000000001</v>
      </c>
      <c r="AP32" s="3">
        <v>1.0129999999999999</v>
      </c>
      <c r="AQ32" s="3">
        <v>1.6819999999999999</v>
      </c>
      <c r="AR32" s="3">
        <v>5.0999999999999997E-2</v>
      </c>
      <c r="AS32" s="3">
        <v>0.29699999999999999</v>
      </c>
      <c r="AT32" s="3">
        <v>0.24199999999999999</v>
      </c>
      <c r="AU32" s="3">
        <v>2.7E-2</v>
      </c>
      <c r="AV32" s="3">
        <v>0.11899999999999999</v>
      </c>
      <c r="AW32" s="3">
        <v>0.224</v>
      </c>
      <c r="AX32" s="3">
        <v>2.4E-2</v>
      </c>
      <c r="AY32" s="3">
        <v>1.4999999999999999E-2</v>
      </c>
      <c r="AZ32" s="3">
        <v>-2.9390000000000001</v>
      </c>
      <c r="BA32" s="3">
        <v>2469</v>
      </c>
      <c r="BB32" s="3">
        <v>12.25</v>
      </c>
      <c r="BC32" s="3">
        <v>2876</v>
      </c>
      <c r="BD32" s="3"/>
      <c r="BE32" s="3"/>
      <c r="BF32" s="3">
        <f t="shared" si="25"/>
        <v>1016</v>
      </c>
      <c r="BH32" s="16">
        <v>6.61</v>
      </c>
      <c r="BI32" s="16">
        <f t="shared" si="0"/>
        <v>13.352200000000002</v>
      </c>
      <c r="BJ32" s="17">
        <f t="shared" si="1"/>
        <v>1.53</v>
      </c>
      <c r="BK32" s="17">
        <f t="shared" si="2"/>
        <v>3.26</v>
      </c>
      <c r="BM32" s="1">
        <f t="shared" si="3"/>
        <v>97</v>
      </c>
      <c r="BN32" s="1">
        <f t="shared" si="4"/>
        <v>93.6</v>
      </c>
      <c r="BO32" s="1">
        <f t="shared" si="5"/>
        <v>81.400000000000006</v>
      </c>
      <c r="BP32" s="62">
        <f t="shared" si="26"/>
        <v>0.53</v>
      </c>
      <c r="BQ32" s="62">
        <f t="shared" si="6"/>
        <v>0.121</v>
      </c>
      <c r="BS32" s="39"/>
      <c r="BT32" s="8"/>
      <c r="BV32" s="8"/>
      <c r="BW32" s="16">
        <f t="shared" si="36"/>
        <v>1.53</v>
      </c>
      <c r="BX32" s="16">
        <f t="shared" si="37"/>
        <v>3.26</v>
      </c>
      <c r="BY32" s="3">
        <f t="shared" si="38"/>
        <v>-1.9</v>
      </c>
      <c r="BZ32" s="3">
        <f t="shared" si="39"/>
        <v>-2.5</v>
      </c>
      <c r="CA32" s="3">
        <f t="shared" si="40"/>
        <v>-3</v>
      </c>
      <c r="CB32" s="3">
        <f t="shared" si="41"/>
        <v>-0.1</v>
      </c>
      <c r="CC32" s="3">
        <f t="shared" si="42"/>
        <v>0.4</v>
      </c>
      <c r="CD32" s="3">
        <f t="shared" si="43"/>
        <v>1</v>
      </c>
      <c r="CE32" s="3">
        <f t="shared" si="44"/>
        <v>1.7</v>
      </c>
      <c r="CF32" s="23">
        <f t="shared" si="45"/>
        <v>93.6</v>
      </c>
      <c r="CG32" s="1">
        <f t="shared" si="46"/>
        <v>0.9</v>
      </c>
      <c r="CH32" s="1">
        <f t="shared" si="47"/>
        <v>1.6</v>
      </c>
      <c r="CI32" s="1">
        <f t="shared" si="48"/>
        <v>0.5</v>
      </c>
      <c r="CJ32" s="1">
        <f t="shared" si="49"/>
        <v>-0.1</v>
      </c>
      <c r="CK32" s="1">
        <f t="shared" si="50"/>
        <v>0.4</v>
      </c>
      <c r="CL32" s="1">
        <f t="shared" si="51"/>
        <v>1.1000000000000001</v>
      </c>
      <c r="CM32" s="1">
        <f t="shared" si="52"/>
        <v>1.8</v>
      </c>
      <c r="CN32" s="2">
        <f t="shared" si="53"/>
        <v>97</v>
      </c>
      <c r="CO32" s="1">
        <f t="shared" si="54"/>
        <v>-5.9</v>
      </c>
      <c r="CP32" s="1">
        <f t="shared" si="55"/>
        <v>-7.1</v>
      </c>
      <c r="CQ32" s="1">
        <f t="shared" si="56"/>
        <v>-8.9</v>
      </c>
      <c r="CR32" s="1">
        <f t="shared" si="57"/>
        <v>-0.1</v>
      </c>
      <c r="CS32" s="1">
        <f t="shared" si="58"/>
        <v>0.3</v>
      </c>
      <c r="CT32" s="1">
        <f t="shared" si="59"/>
        <v>1</v>
      </c>
      <c r="CU32" s="1">
        <f t="shared" si="60"/>
        <v>1.7</v>
      </c>
      <c r="CV32" s="2">
        <f t="shared" si="61"/>
        <v>81.400000000000006</v>
      </c>
      <c r="CW32" s="18">
        <f t="shared" si="62"/>
        <v>1016</v>
      </c>
      <c r="CX32" s="1">
        <f>ROUND(PPTest!K32,1)</f>
        <v>5.0999999999999996</v>
      </c>
      <c r="CY32" s="17">
        <f t="shared" si="63"/>
        <v>0.95</v>
      </c>
      <c r="CZ32" s="17">
        <f t="shared" si="64"/>
        <v>3.97</v>
      </c>
      <c r="DA32" s="20">
        <f t="shared" si="65"/>
        <v>0.53</v>
      </c>
      <c r="DB32" s="20">
        <f t="shared" si="66"/>
        <v>0.121</v>
      </c>
      <c r="DC32" s="16">
        <f t="shared" si="67"/>
        <v>12.25</v>
      </c>
      <c r="DW32" s="1">
        <v>-2.7</v>
      </c>
      <c r="DX32" s="1">
        <v>2</v>
      </c>
      <c r="DY32" s="1">
        <v>-7.6</v>
      </c>
    </row>
    <row r="33" spans="1:129" x14ac:dyDescent="0.2">
      <c r="A33" s="40">
        <v>34726</v>
      </c>
      <c r="B33" s="3">
        <v>27</v>
      </c>
      <c r="C33" s="3">
        <v>6.8719999999999999</v>
      </c>
      <c r="D33" s="3">
        <v>11.63</v>
      </c>
      <c r="E33" s="3">
        <v>-6.96</v>
      </c>
      <c r="F33" s="3">
        <v>94.2</v>
      </c>
      <c r="G33" s="3">
        <v>-7.61</v>
      </c>
      <c r="H33" s="3">
        <v>-8.84</v>
      </c>
      <c r="I33" s="3">
        <v>-6.8000000000000005E-2</v>
      </c>
      <c r="J33" s="3">
        <v>-8.64</v>
      </c>
      <c r="K33" s="3">
        <v>-7.44</v>
      </c>
      <c r="L33" s="3">
        <v>0.36399999999999999</v>
      </c>
      <c r="M33" s="3">
        <v>1.0549999999999999</v>
      </c>
      <c r="N33" s="3">
        <v>1.728</v>
      </c>
      <c r="O33" s="3">
        <v>0</v>
      </c>
      <c r="P33" s="16">
        <v>1.2311666666666667</v>
      </c>
      <c r="Q33" s="3"/>
      <c r="R33" s="3">
        <v>2.4</v>
      </c>
      <c r="S33" s="3">
        <v>1152</v>
      </c>
      <c r="T33" s="3">
        <v>105.3</v>
      </c>
      <c r="U33" s="3">
        <v>2257</v>
      </c>
      <c r="V33" s="3">
        <v>3.806</v>
      </c>
      <c r="W33" s="3">
        <v>0.68100000000000005</v>
      </c>
      <c r="X33" s="3">
        <v>-2.4E-2</v>
      </c>
      <c r="Y33" s="3">
        <v>-3.5019999999999998</v>
      </c>
      <c r="Z33" s="3">
        <v>4.4450000000000003</v>
      </c>
      <c r="AA33" s="3">
        <v>0.40500000000000003</v>
      </c>
      <c r="AB33" s="3">
        <v>1.095</v>
      </c>
      <c r="AC33" s="3">
        <v>1.772</v>
      </c>
      <c r="AD33" s="16">
        <v>3.9408333333333334</v>
      </c>
      <c r="AE33" s="3">
        <v>1459</v>
      </c>
      <c r="AF33" s="3">
        <v>-12.43</v>
      </c>
      <c r="AG33" s="3">
        <v>608</v>
      </c>
      <c r="AH33" s="3">
        <v>65.98</v>
      </c>
      <c r="AI33" s="3">
        <v>1537</v>
      </c>
      <c r="AJ33" s="3">
        <v>-14.06</v>
      </c>
      <c r="AK33" s="3">
        <v>-15.7</v>
      </c>
      <c r="AL33" s="3">
        <v>-0.10199999999999999</v>
      </c>
      <c r="AM33" s="3">
        <v>-13.01</v>
      </c>
      <c r="AN33" s="3">
        <v>-14.49</v>
      </c>
      <c r="AO33" s="3">
        <v>0.312</v>
      </c>
      <c r="AP33" s="3">
        <v>0.99199999999999999</v>
      </c>
      <c r="AQ33" s="3">
        <v>1.6659999999999999</v>
      </c>
      <c r="AR33" s="3">
        <v>3.3000000000000002E-2</v>
      </c>
      <c r="AS33" s="3">
        <v>0.35699999999999998</v>
      </c>
      <c r="AT33" s="3">
        <v>0.36</v>
      </c>
      <c r="AU33" s="3">
        <v>3.5000000000000003E-2</v>
      </c>
      <c r="AV33" s="3">
        <v>9.4E-2</v>
      </c>
      <c r="AW33" s="3">
        <v>0.104</v>
      </c>
      <c r="AX33" s="3">
        <v>7.0000000000000001E-3</v>
      </c>
      <c r="AY33" s="3">
        <v>0.01</v>
      </c>
      <c r="AZ33" s="3">
        <v>-5.883</v>
      </c>
      <c r="BA33" s="3">
        <v>2499</v>
      </c>
      <c r="BB33" s="3">
        <v>12.25</v>
      </c>
      <c r="BC33" s="3">
        <v>2876</v>
      </c>
      <c r="BD33" s="3"/>
      <c r="BE33" s="3"/>
      <c r="BF33" s="3">
        <f t="shared" si="25"/>
        <v>986</v>
      </c>
      <c r="BH33" s="16">
        <v>6.74</v>
      </c>
      <c r="BI33" s="16">
        <f t="shared" si="0"/>
        <v>13.614800000000001</v>
      </c>
      <c r="BJ33" s="17">
        <f t="shared" si="1"/>
        <v>6.87</v>
      </c>
      <c r="BK33" s="17">
        <f t="shared" si="2"/>
        <v>12.56</v>
      </c>
      <c r="BM33" s="1">
        <f t="shared" si="3"/>
        <v>98.3</v>
      </c>
      <c r="BN33" s="1">
        <f t="shared" si="4"/>
        <v>88</v>
      </c>
      <c r="BO33" s="1">
        <f t="shared" si="5"/>
        <v>62</v>
      </c>
      <c r="BP33" s="62">
        <f t="shared" si="26"/>
        <v>0.45</v>
      </c>
      <c r="BQ33" s="62">
        <f t="shared" si="6"/>
        <v>0.27600000000000002</v>
      </c>
      <c r="BS33" s="39"/>
      <c r="BT33" s="8"/>
      <c r="BV33" s="8"/>
      <c r="BW33" s="16">
        <f t="shared" si="36"/>
        <v>6.87</v>
      </c>
      <c r="BX33" s="16">
        <f t="shared" si="37"/>
        <v>12.56</v>
      </c>
      <c r="BY33" s="3">
        <f t="shared" si="38"/>
        <v>-7</v>
      </c>
      <c r="BZ33" s="3">
        <f t="shared" si="39"/>
        <v>-7.6</v>
      </c>
      <c r="CA33" s="3">
        <f t="shared" si="40"/>
        <v>-8.8000000000000007</v>
      </c>
      <c r="CB33" s="3">
        <f t="shared" si="41"/>
        <v>-0.1</v>
      </c>
      <c r="CC33" s="3">
        <f t="shared" si="42"/>
        <v>0.4</v>
      </c>
      <c r="CD33" s="3">
        <f t="shared" si="43"/>
        <v>1.1000000000000001</v>
      </c>
      <c r="CE33" s="3">
        <f t="shared" si="44"/>
        <v>1.7</v>
      </c>
      <c r="CF33" s="23">
        <f t="shared" si="45"/>
        <v>88</v>
      </c>
      <c r="CG33" s="1">
        <f t="shared" si="46"/>
        <v>2.4</v>
      </c>
      <c r="CH33" s="1">
        <f t="shared" si="47"/>
        <v>3.8</v>
      </c>
      <c r="CI33" s="1">
        <f t="shared" si="48"/>
        <v>0.7</v>
      </c>
      <c r="CJ33" s="1">
        <f t="shared" si="49"/>
        <v>0</v>
      </c>
      <c r="CK33" s="1">
        <f t="shared" si="50"/>
        <v>0.4</v>
      </c>
      <c r="CL33" s="1">
        <f t="shared" si="51"/>
        <v>1.1000000000000001</v>
      </c>
      <c r="CM33" s="1">
        <f t="shared" si="52"/>
        <v>1.8</v>
      </c>
      <c r="CN33" s="2">
        <f t="shared" si="53"/>
        <v>98.3</v>
      </c>
      <c r="CO33" s="1">
        <f t="shared" si="54"/>
        <v>-12.4</v>
      </c>
      <c r="CP33" s="1">
        <f t="shared" si="55"/>
        <v>-14.1</v>
      </c>
      <c r="CQ33" s="1">
        <f t="shared" si="56"/>
        <v>-15.7</v>
      </c>
      <c r="CR33" s="1">
        <f t="shared" si="57"/>
        <v>-0.1</v>
      </c>
      <c r="CS33" s="1">
        <f t="shared" si="58"/>
        <v>0.3</v>
      </c>
      <c r="CT33" s="1">
        <f t="shared" si="59"/>
        <v>1</v>
      </c>
      <c r="CU33" s="1">
        <f t="shared" si="60"/>
        <v>1.7</v>
      </c>
      <c r="CV33" s="2">
        <f t="shared" si="61"/>
        <v>62</v>
      </c>
      <c r="CW33" s="18">
        <f t="shared" si="62"/>
        <v>986</v>
      </c>
      <c r="CX33" s="1">
        <f>ROUND(PPTest!K33,1)</f>
        <v>0</v>
      </c>
      <c r="CY33" s="17">
        <f t="shared" si="63"/>
        <v>1.23</v>
      </c>
      <c r="CZ33" s="17">
        <f t="shared" si="64"/>
        <v>3.94</v>
      </c>
      <c r="DA33" s="20">
        <f t="shared" si="65"/>
        <v>0.45</v>
      </c>
      <c r="DB33" s="20">
        <f t="shared" si="66"/>
        <v>0.27600000000000002</v>
      </c>
      <c r="DC33" s="16">
        <f t="shared" si="67"/>
        <v>12.25</v>
      </c>
      <c r="DW33" s="1">
        <v>-5.6</v>
      </c>
      <c r="DX33" s="1">
        <v>0.4</v>
      </c>
      <c r="DY33" s="1">
        <v>-10.199999999999999</v>
      </c>
    </row>
    <row r="34" spans="1:129" x14ac:dyDescent="0.2">
      <c r="A34" s="40">
        <v>34727</v>
      </c>
      <c r="B34" s="3">
        <v>28</v>
      </c>
      <c r="C34" s="3">
        <v>5.0209999999999999</v>
      </c>
      <c r="D34" s="3">
        <v>8.7200000000000006</v>
      </c>
      <c r="E34" s="3">
        <v>-5.9329999999999998</v>
      </c>
      <c r="F34" s="3">
        <v>86.1</v>
      </c>
      <c r="G34" s="3">
        <v>-6.5830000000000002</v>
      </c>
      <c r="H34" s="3">
        <v>-7.35</v>
      </c>
      <c r="I34" s="3">
        <v>-2.4E-2</v>
      </c>
      <c r="J34" s="3">
        <v>-8.5500000000000007</v>
      </c>
      <c r="K34" s="3">
        <v>-6.6429999999999998</v>
      </c>
      <c r="L34" s="3">
        <v>0.36299999999999999</v>
      </c>
      <c r="M34" s="3">
        <v>1.0429999999999999</v>
      </c>
      <c r="N34" s="3">
        <v>1.708</v>
      </c>
      <c r="O34" s="3">
        <v>0</v>
      </c>
      <c r="P34" s="16">
        <v>1.7558333333333336</v>
      </c>
      <c r="Q34" s="3"/>
      <c r="R34" s="3">
        <v>0.49399999999999999</v>
      </c>
      <c r="S34" s="3">
        <v>2207</v>
      </c>
      <c r="T34" s="3">
        <v>106.3</v>
      </c>
      <c r="U34" s="3">
        <v>648</v>
      </c>
      <c r="V34" s="3">
        <v>1.498</v>
      </c>
      <c r="W34" s="3">
        <v>0.29899999999999999</v>
      </c>
      <c r="X34" s="3">
        <v>2.1000000000000001E-2</v>
      </c>
      <c r="Y34" s="3">
        <v>-3.2730000000000001</v>
      </c>
      <c r="Z34" s="3">
        <v>-7.0000000000000007E-2</v>
      </c>
      <c r="AA34" s="3">
        <v>0.44</v>
      </c>
      <c r="AB34" s="3">
        <v>1.125</v>
      </c>
      <c r="AC34" s="3">
        <v>1.792</v>
      </c>
      <c r="AD34" s="16">
        <v>6.0341666666666658</v>
      </c>
      <c r="AE34" s="3">
        <v>1924</v>
      </c>
      <c r="AF34" s="3">
        <v>-14.96</v>
      </c>
      <c r="AG34" s="3">
        <v>707</v>
      </c>
      <c r="AH34" s="3">
        <v>61.8</v>
      </c>
      <c r="AI34" s="3">
        <v>1302</v>
      </c>
      <c r="AJ34" s="3">
        <v>-16.55</v>
      </c>
      <c r="AK34" s="3">
        <v>-18.100000000000001</v>
      </c>
      <c r="AL34" s="3">
        <v>-6.7000000000000004E-2</v>
      </c>
      <c r="AM34" s="3">
        <v>-16.190000000000001</v>
      </c>
      <c r="AN34" s="3">
        <v>-16.739999999999998</v>
      </c>
      <c r="AO34" s="3">
        <v>0.307</v>
      </c>
      <c r="AP34" s="3">
        <v>0.97899999999999998</v>
      </c>
      <c r="AQ34" s="3">
        <v>1.6359999999999999</v>
      </c>
      <c r="AR34" s="3">
        <v>8.1000000000000003E-2</v>
      </c>
      <c r="AS34" s="3">
        <v>0.35099999999999998</v>
      </c>
      <c r="AT34" s="3">
        <v>0.28599999999999998</v>
      </c>
      <c r="AU34" s="3">
        <v>5.8999999999999997E-2</v>
      </c>
      <c r="AV34" s="3">
        <v>4.7E-2</v>
      </c>
      <c r="AW34" s="3">
        <v>7.2999999999999995E-2</v>
      </c>
      <c r="AX34" s="3">
        <v>5.5E-2</v>
      </c>
      <c r="AY34" s="3">
        <v>4.9000000000000002E-2</v>
      </c>
      <c r="AZ34" s="3">
        <v>-7.25</v>
      </c>
      <c r="BA34" s="3">
        <v>2500</v>
      </c>
      <c r="BB34" s="3">
        <v>12.24</v>
      </c>
      <c r="BC34" s="3">
        <v>2876</v>
      </c>
      <c r="BD34" s="3"/>
      <c r="BE34" s="3"/>
      <c r="BF34" s="3">
        <f t="shared" si="25"/>
        <v>985</v>
      </c>
      <c r="BH34" s="16">
        <v>6.87</v>
      </c>
      <c r="BI34" s="16">
        <f t="shared" si="0"/>
        <v>13.8774</v>
      </c>
      <c r="BJ34" s="17">
        <f t="shared" si="1"/>
        <v>5.0199999999999996</v>
      </c>
      <c r="BK34" s="17">
        <f t="shared" si="2"/>
        <v>9.42</v>
      </c>
      <c r="BM34" s="1">
        <f t="shared" si="3"/>
        <v>99.2</v>
      </c>
      <c r="BN34" s="1">
        <f t="shared" si="4"/>
        <v>80.599999999999994</v>
      </c>
      <c r="BO34" s="1">
        <f t="shared" si="5"/>
        <v>58.1</v>
      </c>
      <c r="BP34" s="62">
        <f t="shared" si="26"/>
        <v>0.36799999999999999</v>
      </c>
      <c r="BQ34" s="62">
        <f t="shared" si="6"/>
        <v>0.26500000000000001</v>
      </c>
      <c r="BS34" s="3">
        <v>0</v>
      </c>
      <c r="BT34" s="8"/>
      <c r="BV34" s="8"/>
      <c r="BW34" s="16">
        <f t="shared" si="36"/>
        <v>5.0199999999999996</v>
      </c>
      <c r="BX34" s="16">
        <f t="shared" si="37"/>
        <v>9.42</v>
      </c>
      <c r="BY34" s="3">
        <f t="shared" si="38"/>
        <v>-5.9</v>
      </c>
      <c r="BZ34" s="3">
        <f t="shared" si="39"/>
        <v>-6.6</v>
      </c>
      <c r="CA34" s="3">
        <f t="shared" si="40"/>
        <v>-7.4</v>
      </c>
      <c r="CB34" s="3">
        <f t="shared" si="41"/>
        <v>0</v>
      </c>
      <c r="CC34" s="3">
        <f t="shared" si="42"/>
        <v>0.4</v>
      </c>
      <c r="CD34" s="3">
        <f t="shared" si="43"/>
        <v>1</v>
      </c>
      <c r="CE34" s="3">
        <f t="shared" si="44"/>
        <v>1.7</v>
      </c>
      <c r="CF34" s="23">
        <f t="shared" si="45"/>
        <v>80.599999999999994</v>
      </c>
      <c r="CG34" s="1">
        <f t="shared" si="46"/>
        <v>0.5</v>
      </c>
      <c r="CH34" s="1">
        <f t="shared" si="47"/>
        <v>1.5</v>
      </c>
      <c r="CI34" s="1">
        <f t="shared" si="48"/>
        <v>0.3</v>
      </c>
      <c r="CJ34" s="1">
        <f t="shared" si="49"/>
        <v>0</v>
      </c>
      <c r="CK34" s="1">
        <f t="shared" si="50"/>
        <v>0.4</v>
      </c>
      <c r="CL34" s="1">
        <f t="shared" si="51"/>
        <v>1.1000000000000001</v>
      </c>
      <c r="CM34" s="1">
        <f t="shared" si="52"/>
        <v>1.8</v>
      </c>
      <c r="CN34" s="2">
        <f t="shared" si="53"/>
        <v>99.2</v>
      </c>
      <c r="CO34" s="1">
        <f t="shared" si="54"/>
        <v>-15</v>
      </c>
      <c r="CP34" s="1">
        <f t="shared" si="55"/>
        <v>-16.600000000000001</v>
      </c>
      <c r="CQ34" s="1">
        <f t="shared" si="56"/>
        <v>-18.100000000000001</v>
      </c>
      <c r="CR34" s="1">
        <f t="shared" si="57"/>
        <v>-0.1</v>
      </c>
      <c r="CS34" s="1">
        <f t="shared" si="58"/>
        <v>0.3</v>
      </c>
      <c r="CT34" s="1">
        <f t="shared" si="59"/>
        <v>1</v>
      </c>
      <c r="CU34" s="1">
        <f t="shared" si="60"/>
        <v>1.6</v>
      </c>
      <c r="CV34" s="2">
        <f t="shared" si="61"/>
        <v>58.1</v>
      </c>
      <c r="CW34" s="18">
        <f t="shared" si="62"/>
        <v>985</v>
      </c>
      <c r="CX34" s="1">
        <f>ROUND(PPTest!K34,1)</f>
        <v>0</v>
      </c>
      <c r="CY34" s="17">
        <f t="shared" si="63"/>
        <v>1.76</v>
      </c>
      <c r="CZ34" s="17">
        <f t="shared" si="64"/>
        <v>6.03</v>
      </c>
      <c r="DA34" s="20">
        <f t="shared" si="65"/>
        <v>0.36799999999999999</v>
      </c>
      <c r="DB34" s="20">
        <f t="shared" si="66"/>
        <v>0.26500000000000001</v>
      </c>
      <c r="DC34" s="16">
        <f t="shared" si="67"/>
        <v>12.24</v>
      </c>
      <c r="DF34" s="3">
        <v>0</v>
      </c>
      <c r="DG34" s="3">
        <v>1.7</v>
      </c>
      <c r="DH34" s="3">
        <v>-1.6</v>
      </c>
      <c r="DI34" s="3">
        <v>92.5</v>
      </c>
      <c r="DJ34" s="3">
        <v>89</v>
      </c>
      <c r="DK34" s="3"/>
      <c r="DL34" s="3"/>
      <c r="DM34" s="3"/>
      <c r="DN34" s="3"/>
      <c r="DO34" s="3"/>
      <c r="DP34" s="3"/>
      <c r="DQ34" s="3"/>
      <c r="DR34" s="3"/>
      <c r="DS34" s="3"/>
      <c r="DT34" s="3"/>
      <c r="DW34" s="1">
        <v>-3.9</v>
      </c>
      <c r="DX34" s="1">
        <v>-2</v>
      </c>
      <c r="DY34" s="1">
        <v>-5.6</v>
      </c>
    </row>
    <row r="35" spans="1:129" x14ac:dyDescent="0.2">
      <c r="A35" s="40">
        <v>34728</v>
      </c>
      <c r="B35" s="3">
        <v>29</v>
      </c>
      <c r="C35" s="3">
        <v>1.88</v>
      </c>
      <c r="D35" s="3">
        <v>3.7130000000000001</v>
      </c>
      <c r="E35" s="3">
        <v>0.224</v>
      </c>
      <c r="F35" s="3">
        <v>95.1</v>
      </c>
      <c r="G35" s="3">
        <v>-0.189</v>
      </c>
      <c r="H35" s="3">
        <v>-0.255</v>
      </c>
      <c r="I35" s="3">
        <v>3.1E-2</v>
      </c>
      <c r="J35" s="3">
        <v>-2.5569999999999999</v>
      </c>
      <c r="K35" s="3">
        <v>-0.47599999999999998</v>
      </c>
      <c r="L35" s="3">
        <v>0.36699999999999999</v>
      </c>
      <c r="M35" s="3">
        <v>1.0369999999999999</v>
      </c>
      <c r="N35" s="3">
        <v>1.704</v>
      </c>
      <c r="O35" s="3">
        <v>0</v>
      </c>
      <c r="P35" s="16">
        <v>1.9041666666666668</v>
      </c>
      <c r="Q35" s="3"/>
      <c r="R35" s="3">
        <v>1.6659999999999999</v>
      </c>
      <c r="S35" s="3">
        <v>1303</v>
      </c>
      <c r="T35" s="3">
        <v>104.4</v>
      </c>
      <c r="U35" s="3">
        <v>2239</v>
      </c>
      <c r="V35" s="3">
        <v>1.4470000000000001</v>
      </c>
      <c r="W35" s="3">
        <v>1.462</v>
      </c>
      <c r="X35" s="3">
        <v>6.9000000000000006E-2</v>
      </c>
      <c r="Y35" s="3">
        <v>-1.542</v>
      </c>
      <c r="Z35" s="3">
        <v>0.82</v>
      </c>
      <c r="AA35" s="3">
        <v>0.4</v>
      </c>
      <c r="AB35" s="3">
        <v>1.0680000000000001</v>
      </c>
      <c r="AC35" s="3">
        <v>1.7370000000000001</v>
      </c>
      <c r="AD35" s="16">
        <v>6.1808333333333332</v>
      </c>
      <c r="AE35" s="3">
        <v>110</v>
      </c>
      <c r="AF35" s="3">
        <v>-1.091</v>
      </c>
      <c r="AG35" s="3">
        <v>2026</v>
      </c>
      <c r="AH35" s="3">
        <v>79.8</v>
      </c>
      <c r="AI35" s="3">
        <v>54</v>
      </c>
      <c r="AJ35" s="3">
        <v>-1.631</v>
      </c>
      <c r="AK35" s="3">
        <v>-1.609</v>
      </c>
      <c r="AL35" s="3">
        <v>-1.2E-2</v>
      </c>
      <c r="AM35" s="3">
        <v>-3.8719999999999999</v>
      </c>
      <c r="AN35" s="3">
        <v>-1.214</v>
      </c>
      <c r="AO35" s="3">
        <v>0.32700000000000001</v>
      </c>
      <c r="AP35" s="3">
        <v>1.006</v>
      </c>
      <c r="AQ35" s="3">
        <v>1.6739999999999999</v>
      </c>
      <c r="AR35" s="3">
        <v>5.5E-2</v>
      </c>
      <c r="AS35" s="3">
        <v>2.5999999999999999E-2</v>
      </c>
      <c r="AT35" s="3">
        <v>1.6E-2</v>
      </c>
      <c r="AU35" s="3">
        <v>3.3000000000000002E-2</v>
      </c>
      <c r="AV35" s="3">
        <v>9.9000000000000005E-2</v>
      </c>
      <c r="AW35" s="3">
        <v>0.34899999999999998</v>
      </c>
      <c r="AX35" s="3">
        <v>0.30199999999999999</v>
      </c>
      <c r="AY35" s="3">
        <v>0.11899999999999999</v>
      </c>
      <c r="AZ35" s="3">
        <v>-1.5840000000000001</v>
      </c>
      <c r="BA35" s="3">
        <v>2427</v>
      </c>
      <c r="BB35" s="3">
        <v>12.24</v>
      </c>
      <c r="BC35" s="3">
        <v>2876</v>
      </c>
      <c r="BD35" s="3"/>
      <c r="BE35" s="3"/>
      <c r="BF35" s="3">
        <f t="shared" si="25"/>
        <v>1058</v>
      </c>
      <c r="BH35" s="16">
        <v>7</v>
      </c>
      <c r="BI35" s="16">
        <f t="shared" si="0"/>
        <v>14.14</v>
      </c>
      <c r="BJ35" s="17">
        <f t="shared" si="1"/>
        <v>1.88</v>
      </c>
      <c r="BK35" s="17">
        <f t="shared" si="2"/>
        <v>4.01</v>
      </c>
      <c r="BM35" s="1">
        <f t="shared" si="3"/>
        <v>97.5</v>
      </c>
      <c r="BN35" s="1">
        <f t="shared" si="4"/>
        <v>88.9</v>
      </c>
      <c r="BO35" s="1">
        <f t="shared" si="5"/>
        <v>74.7</v>
      </c>
      <c r="BP35" s="62">
        <f t="shared" si="26"/>
        <v>0.51400000000000001</v>
      </c>
      <c r="BQ35" s="62">
        <f t="shared" si="6"/>
        <v>0.17399999999999999</v>
      </c>
      <c r="BS35" s="3">
        <v>0.3</v>
      </c>
      <c r="BT35" s="8"/>
      <c r="BV35" s="8"/>
      <c r="BW35" s="16">
        <f t="shared" si="36"/>
        <v>1.88</v>
      </c>
      <c r="BX35" s="16">
        <f t="shared" si="37"/>
        <v>4.01</v>
      </c>
      <c r="BY35" s="3">
        <f t="shared" si="38"/>
        <v>0.2</v>
      </c>
      <c r="BZ35" s="3">
        <f t="shared" si="39"/>
        <v>-0.2</v>
      </c>
      <c r="CA35" s="3">
        <f t="shared" si="40"/>
        <v>-0.3</v>
      </c>
      <c r="CB35" s="3">
        <f t="shared" si="41"/>
        <v>0</v>
      </c>
      <c r="CC35" s="3">
        <f t="shared" si="42"/>
        <v>0.4</v>
      </c>
      <c r="CD35" s="3">
        <f t="shared" si="43"/>
        <v>1</v>
      </c>
      <c r="CE35" s="3">
        <f t="shared" si="44"/>
        <v>1.7</v>
      </c>
      <c r="CF35" s="23">
        <f t="shared" si="45"/>
        <v>88.9</v>
      </c>
      <c r="CG35" s="1">
        <f t="shared" si="46"/>
        <v>1.7</v>
      </c>
      <c r="CH35" s="1">
        <f t="shared" si="47"/>
        <v>1.4</v>
      </c>
      <c r="CI35" s="1">
        <f t="shared" si="48"/>
        <v>1.5</v>
      </c>
      <c r="CJ35" s="1">
        <f t="shared" si="49"/>
        <v>0.1</v>
      </c>
      <c r="CK35" s="1">
        <f t="shared" si="50"/>
        <v>0.4</v>
      </c>
      <c r="CL35" s="1">
        <f t="shared" si="51"/>
        <v>1.1000000000000001</v>
      </c>
      <c r="CM35" s="1">
        <f t="shared" si="52"/>
        <v>1.7</v>
      </c>
      <c r="CN35" s="2">
        <f t="shared" si="53"/>
        <v>97.5</v>
      </c>
      <c r="CO35" s="1">
        <f t="shared" si="54"/>
        <v>-1.1000000000000001</v>
      </c>
      <c r="CP35" s="1">
        <f t="shared" si="55"/>
        <v>-1.6</v>
      </c>
      <c r="CQ35" s="1">
        <f t="shared" si="56"/>
        <v>-1.6</v>
      </c>
      <c r="CR35" s="1">
        <f t="shared" si="57"/>
        <v>0</v>
      </c>
      <c r="CS35" s="1">
        <f t="shared" si="58"/>
        <v>0.3</v>
      </c>
      <c r="CT35" s="1">
        <f t="shared" si="59"/>
        <v>1</v>
      </c>
      <c r="CU35" s="1">
        <f t="shared" si="60"/>
        <v>1.7</v>
      </c>
      <c r="CV35" s="2">
        <f t="shared" si="61"/>
        <v>74.7</v>
      </c>
      <c r="CW35" s="18">
        <f t="shared" si="62"/>
        <v>1058</v>
      </c>
      <c r="CX35" s="1">
        <f>ROUND(PPTest!K35,1)</f>
        <v>9.5</v>
      </c>
      <c r="CY35" s="17">
        <f t="shared" si="63"/>
        <v>1.9</v>
      </c>
      <c r="CZ35" s="17">
        <f t="shared" si="64"/>
        <v>6.18</v>
      </c>
      <c r="DA35" s="20">
        <f t="shared" si="65"/>
        <v>0.51400000000000001</v>
      </c>
      <c r="DB35" s="20">
        <f t="shared" si="66"/>
        <v>0.17399999999999999</v>
      </c>
      <c r="DC35" s="16">
        <f t="shared" si="67"/>
        <v>12.24</v>
      </c>
      <c r="DF35" s="3">
        <v>0</v>
      </c>
      <c r="DG35" s="3">
        <v>1.1000000000000001</v>
      </c>
      <c r="DH35" s="3">
        <v>-1.5</v>
      </c>
      <c r="DI35" s="3">
        <v>92.2</v>
      </c>
      <c r="DJ35" s="3">
        <v>91</v>
      </c>
      <c r="DK35" s="3"/>
      <c r="DL35" s="3"/>
      <c r="DM35" s="3"/>
      <c r="DN35" s="3"/>
      <c r="DO35" s="3"/>
      <c r="DP35" s="3"/>
      <c r="DQ35" s="3"/>
      <c r="DR35" s="3"/>
      <c r="DS35" s="3"/>
      <c r="DT35" s="3"/>
      <c r="DW35" s="1">
        <v>-0.9</v>
      </c>
      <c r="DX35" s="1">
        <v>1.9</v>
      </c>
      <c r="DY35" s="1">
        <v>-3.4</v>
      </c>
    </row>
    <row r="36" spans="1:129" x14ac:dyDescent="0.2">
      <c r="A36" s="40">
        <v>34729</v>
      </c>
      <c r="B36" s="3">
        <v>30</v>
      </c>
      <c r="C36" s="3">
        <v>0.66500000000000004</v>
      </c>
      <c r="D36" s="3">
        <v>1.2070000000000001</v>
      </c>
      <c r="E36" s="3">
        <v>-0.252</v>
      </c>
      <c r="F36" s="3">
        <v>97.6</v>
      </c>
      <c r="G36" s="3">
        <v>-0.84899999999999998</v>
      </c>
      <c r="H36" s="3">
        <v>-1.296</v>
      </c>
      <c r="I36" s="3">
        <v>5.2999999999999999E-2</v>
      </c>
      <c r="J36" s="3">
        <v>-2.5099999999999998</v>
      </c>
      <c r="K36" s="3">
        <v>-1.321</v>
      </c>
      <c r="L36" s="3">
        <v>0.371</v>
      </c>
      <c r="M36" s="3">
        <v>1.0409999999999999</v>
      </c>
      <c r="N36" s="3">
        <v>1.704</v>
      </c>
      <c r="O36" s="3">
        <v>0</v>
      </c>
      <c r="P36" s="16">
        <v>1.7058333333333333</v>
      </c>
      <c r="Q36" s="3"/>
      <c r="R36" s="3">
        <v>2.0470000000000002</v>
      </c>
      <c r="S36" s="3">
        <v>1840</v>
      </c>
      <c r="T36" s="3">
        <v>104.7</v>
      </c>
      <c r="U36" s="3">
        <v>455</v>
      </c>
      <c r="V36" s="3">
        <v>1.7390000000000001</v>
      </c>
      <c r="W36" s="3">
        <v>1.962</v>
      </c>
      <c r="X36" s="3">
        <v>0.10100000000000001</v>
      </c>
      <c r="Y36" s="3">
        <v>-1.119</v>
      </c>
      <c r="Z36" s="3">
        <v>0.34799999999999998</v>
      </c>
      <c r="AA36" s="3">
        <v>0.40400000000000003</v>
      </c>
      <c r="AB36" s="3">
        <v>1.075</v>
      </c>
      <c r="AC36" s="3">
        <v>1.742</v>
      </c>
      <c r="AD36" s="16">
        <v>7.9008333333333329</v>
      </c>
      <c r="AE36" s="3">
        <v>1839</v>
      </c>
      <c r="AF36" s="3">
        <v>-4.4379999999999997</v>
      </c>
      <c r="AG36" s="3">
        <v>727</v>
      </c>
      <c r="AH36" s="3">
        <v>73.8</v>
      </c>
      <c r="AI36" s="3">
        <v>1112</v>
      </c>
      <c r="AJ36" s="3">
        <v>-6.125</v>
      </c>
      <c r="AK36" s="3">
        <v>-8.9</v>
      </c>
      <c r="AL36" s="3">
        <v>6.0000000000000001E-3</v>
      </c>
      <c r="AM36" s="3">
        <v>-5.1340000000000003</v>
      </c>
      <c r="AN36" s="3">
        <v>-5.9119999999999999</v>
      </c>
      <c r="AO36" s="3">
        <v>0.32700000000000001</v>
      </c>
      <c r="AP36" s="3">
        <v>0.98699999999999999</v>
      </c>
      <c r="AQ36" s="3">
        <v>1.653</v>
      </c>
      <c r="AR36" s="3">
        <v>0.111</v>
      </c>
      <c r="AS36" s="3">
        <v>0.21</v>
      </c>
      <c r="AT36" s="3">
        <v>9.5000000000000001E-2</v>
      </c>
      <c r="AU36" s="3">
        <v>0.05</v>
      </c>
      <c r="AV36" s="3">
        <v>0.127</v>
      </c>
      <c r="AW36" s="3">
        <v>0.27600000000000002</v>
      </c>
      <c r="AX36" s="3">
        <v>8.1000000000000003E-2</v>
      </c>
      <c r="AY36" s="3">
        <v>4.9000000000000002E-2</v>
      </c>
      <c r="AZ36" s="3">
        <v>-1.7230000000000001</v>
      </c>
      <c r="BA36" s="3">
        <v>2415</v>
      </c>
      <c r="BB36" s="3">
        <v>12.24</v>
      </c>
      <c r="BC36" s="3">
        <v>2876</v>
      </c>
      <c r="BD36" s="3"/>
      <c r="BE36" s="3"/>
      <c r="BF36" s="3">
        <f t="shared" si="25"/>
        <v>1070</v>
      </c>
      <c r="BH36" s="16">
        <v>7.14</v>
      </c>
      <c r="BI36" s="16">
        <f t="shared" si="0"/>
        <v>14.422799999999999</v>
      </c>
      <c r="BJ36" s="17">
        <f t="shared" si="1"/>
        <v>0.67</v>
      </c>
      <c r="BK36" s="17">
        <f t="shared" si="2"/>
        <v>1.3</v>
      </c>
      <c r="BM36" s="1">
        <f t="shared" si="3"/>
        <v>97.7</v>
      </c>
      <c r="BN36" s="1">
        <f t="shared" si="4"/>
        <v>91.2</v>
      </c>
      <c r="BO36" s="1">
        <f t="shared" si="5"/>
        <v>69.2</v>
      </c>
      <c r="BP36" s="62">
        <f t="shared" si="26"/>
        <v>0.49</v>
      </c>
      <c r="BQ36" s="62">
        <f t="shared" si="6"/>
        <v>0.218</v>
      </c>
      <c r="BS36" s="3">
        <v>0</v>
      </c>
      <c r="BT36" s="8"/>
      <c r="BV36" s="8"/>
      <c r="BW36" s="16">
        <f t="shared" si="36"/>
        <v>0.67</v>
      </c>
      <c r="BX36" s="16">
        <f t="shared" si="37"/>
        <v>1.3</v>
      </c>
      <c r="BY36" s="3">
        <f t="shared" si="38"/>
        <v>-0.3</v>
      </c>
      <c r="BZ36" s="3">
        <f t="shared" si="39"/>
        <v>-0.8</v>
      </c>
      <c r="CA36" s="3">
        <f t="shared" si="40"/>
        <v>-1.3</v>
      </c>
      <c r="CB36" s="3">
        <f t="shared" si="41"/>
        <v>0.1</v>
      </c>
      <c r="CC36" s="3">
        <f t="shared" si="42"/>
        <v>0.4</v>
      </c>
      <c r="CD36" s="3">
        <f t="shared" si="43"/>
        <v>1</v>
      </c>
      <c r="CE36" s="3">
        <f t="shared" si="44"/>
        <v>1.7</v>
      </c>
      <c r="CF36" s="23">
        <f t="shared" si="45"/>
        <v>91.2</v>
      </c>
      <c r="CG36" s="1">
        <f t="shared" si="46"/>
        <v>2</v>
      </c>
      <c r="CH36" s="1">
        <f t="shared" si="47"/>
        <v>1.7</v>
      </c>
      <c r="CI36" s="1">
        <f t="shared" si="48"/>
        <v>2</v>
      </c>
      <c r="CJ36" s="1">
        <f t="shared" si="49"/>
        <v>0.1</v>
      </c>
      <c r="CK36" s="1">
        <f t="shared" si="50"/>
        <v>0.4</v>
      </c>
      <c r="CL36" s="1">
        <f t="shared" si="51"/>
        <v>1.1000000000000001</v>
      </c>
      <c r="CM36" s="1">
        <f t="shared" si="52"/>
        <v>1.7</v>
      </c>
      <c r="CN36" s="2">
        <f t="shared" si="53"/>
        <v>97.7</v>
      </c>
      <c r="CO36" s="1">
        <f t="shared" si="54"/>
        <v>-4.4000000000000004</v>
      </c>
      <c r="CP36" s="1">
        <f t="shared" si="55"/>
        <v>-6.1</v>
      </c>
      <c r="CQ36" s="1">
        <f t="shared" si="56"/>
        <v>-8.9</v>
      </c>
      <c r="CR36" s="1">
        <f t="shared" si="57"/>
        <v>0</v>
      </c>
      <c r="CS36" s="1">
        <f t="shared" si="58"/>
        <v>0.3</v>
      </c>
      <c r="CT36" s="1">
        <f t="shared" si="59"/>
        <v>1</v>
      </c>
      <c r="CU36" s="1">
        <f t="shared" si="60"/>
        <v>1.7</v>
      </c>
      <c r="CV36" s="2">
        <f t="shared" si="61"/>
        <v>69.2</v>
      </c>
      <c r="CW36" s="18">
        <f t="shared" si="62"/>
        <v>1070</v>
      </c>
      <c r="CX36" s="1">
        <f>ROUND(PPTest!K36,1)</f>
        <v>1.6</v>
      </c>
      <c r="CY36" s="17">
        <f t="shared" si="63"/>
        <v>1.71</v>
      </c>
      <c r="CZ36" s="17">
        <f t="shared" si="64"/>
        <v>7.9</v>
      </c>
      <c r="DA36" s="20">
        <f t="shared" si="65"/>
        <v>0.49</v>
      </c>
      <c r="DB36" s="20">
        <f t="shared" si="66"/>
        <v>0.218</v>
      </c>
      <c r="DC36" s="16">
        <f t="shared" si="67"/>
        <v>12.24</v>
      </c>
      <c r="DF36" s="3">
        <v>1</v>
      </c>
      <c r="DG36" s="3">
        <v>3.1</v>
      </c>
      <c r="DH36" s="3">
        <v>0</v>
      </c>
      <c r="DI36" s="3">
        <v>91.8</v>
      </c>
      <c r="DJ36" s="3">
        <v>90</v>
      </c>
      <c r="DK36" s="3"/>
      <c r="DL36" s="3"/>
      <c r="DM36" s="3"/>
      <c r="DN36" s="3"/>
      <c r="DO36" s="3"/>
      <c r="DP36" s="3"/>
      <c r="DQ36" s="3"/>
      <c r="DR36" s="3"/>
      <c r="DS36" s="3"/>
      <c r="DT36" s="3"/>
      <c r="DW36" s="1">
        <v>-1.8</v>
      </c>
      <c r="DX36" s="1">
        <v>0.5</v>
      </c>
      <c r="DY36" s="1">
        <v>-4.9000000000000004</v>
      </c>
    </row>
    <row r="37" spans="1:129" x14ac:dyDescent="0.2">
      <c r="A37" s="40">
        <v>34730</v>
      </c>
      <c r="B37" s="3">
        <v>31</v>
      </c>
      <c r="C37" s="3">
        <v>0.95899999999999996</v>
      </c>
      <c r="D37" s="3">
        <v>1.948</v>
      </c>
      <c r="E37" s="3">
        <v>1.6</v>
      </c>
      <c r="F37" s="3">
        <v>94.1</v>
      </c>
      <c r="G37" s="3">
        <v>1.0720000000000001</v>
      </c>
      <c r="H37" s="3">
        <v>0.85699999999999998</v>
      </c>
      <c r="I37" s="3">
        <v>0.10100000000000001</v>
      </c>
      <c r="J37" s="3">
        <v>-1.556</v>
      </c>
      <c r="K37" s="3">
        <v>0.624</v>
      </c>
      <c r="L37" s="3">
        <v>0.38700000000000001</v>
      </c>
      <c r="M37" s="3">
        <v>1.0529999999999999</v>
      </c>
      <c r="N37" s="3">
        <v>1.714</v>
      </c>
      <c r="O37" s="3">
        <v>0</v>
      </c>
      <c r="P37" s="16">
        <v>2.1641666666666666</v>
      </c>
      <c r="Q37" s="3"/>
      <c r="R37" s="3">
        <v>3.2559999999999998</v>
      </c>
      <c r="S37" s="3">
        <v>1458</v>
      </c>
      <c r="T37" s="3">
        <v>102.6</v>
      </c>
      <c r="U37" s="3">
        <v>1009</v>
      </c>
      <c r="V37" s="3">
        <v>3.6520000000000001</v>
      </c>
      <c r="W37" s="3">
        <v>2.952</v>
      </c>
      <c r="X37" s="3">
        <v>0.13800000000000001</v>
      </c>
      <c r="Y37" s="3">
        <v>-0.97</v>
      </c>
      <c r="Z37" s="3">
        <v>3.2040000000000002</v>
      </c>
      <c r="AA37" s="3">
        <v>0.40799999999999997</v>
      </c>
      <c r="AB37" s="3">
        <v>1.0780000000000001</v>
      </c>
      <c r="AC37" s="3">
        <v>1.7370000000000001</v>
      </c>
      <c r="AD37" s="16">
        <v>6.9275000000000002</v>
      </c>
      <c r="AE37" s="3">
        <v>1721</v>
      </c>
      <c r="AF37" s="3">
        <v>-1.0999999999999999E-2</v>
      </c>
      <c r="AG37" s="3">
        <v>702</v>
      </c>
      <c r="AH37" s="3">
        <v>80.900000000000006</v>
      </c>
      <c r="AI37" s="3">
        <v>330</v>
      </c>
      <c r="AJ37" s="3">
        <v>-0.54</v>
      </c>
      <c r="AK37" s="3">
        <v>-1.103</v>
      </c>
      <c r="AL37" s="3">
        <v>6.9000000000000006E-2</v>
      </c>
      <c r="AM37" s="3">
        <v>-2.0510000000000002</v>
      </c>
      <c r="AN37" s="3">
        <v>-0.622</v>
      </c>
      <c r="AO37" s="3">
        <v>0.36899999999999999</v>
      </c>
      <c r="AP37" s="3">
        <v>1.036</v>
      </c>
      <c r="AQ37" s="3">
        <v>1.698</v>
      </c>
      <c r="AR37" s="3">
        <v>8.5000000000000006E-2</v>
      </c>
      <c r="AS37" s="3">
        <v>5.0999999999999997E-2</v>
      </c>
      <c r="AT37" s="3">
        <v>2.4E-2</v>
      </c>
      <c r="AU37" s="3">
        <v>4.4999999999999998E-2</v>
      </c>
      <c r="AV37" s="3">
        <v>0.20100000000000001</v>
      </c>
      <c r="AW37" s="3">
        <v>0.33500000000000002</v>
      </c>
      <c r="AX37" s="3">
        <v>0.16900000000000001</v>
      </c>
      <c r="AY37" s="3">
        <v>8.8999999999999996E-2</v>
      </c>
      <c r="AZ37" s="3">
        <v>-0.36299999999999999</v>
      </c>
      <c r="BA37" s="3">
        <v>2397</v>
      </c>
      <c r="BB37" s="3">
        <v>12.24</v>
      </c>
      <c r="BC37" s="3">
        <v>2876</v>
      </c>
      <c r="BD37" s="3"/>
      <c r="BE37" s="3"/>
      <c r="BF37" s="3">
        <f t="shared" si="25"/>
        <v>1088</v>
      </c>
      <c r="BH37" s="16">
        <v>7.28</v>
      </c>
      <c r="BI37" s="16">
        <f t="shared" si="0"/>
        <v>14.7056</v>
      </c>
      <c r="BJ37" s="17">
        <f t="shared" si="1"/>
        <v>0.96</v>
      </c>
      <c r="BK37" s="17">
        <f t="shared" si="2"/>
        <v>2.1</v>
      </c>
      <c r="BM37" s="1">
        <f t="shared" si="3"/>
        <v>95.8</v>
      </c>
      <c r="BN37" s="1">
        <f t="shared" si="4"/>
        <v>87.9</v>
      </c>
      <c r="BO37" s="1">
        <f t="shared" si="5"/>
        <v>75.8</v>
      </c>
      <c r="BP37" s="62">
        <f t="shared" si="26"/>
        <v>0.58499999999999996</v>
      </c>
      <c r="BQ37" s="62">
        <f t="shared" si="6"/>
        <v>0.187</v>
      </c>
      <c r="BS37" s="3">
        <v>15.5</v>
      </c>
      <c r="BT37" s="21"/>
      <c r="BV37" s="8"/>
      <c r="BW37" s="16">
        <f t="shared" si="36"/>
        <v>0.96</v>
      </c>
      <c r="BX37" s="16">
        <f t="shared" si="37"/>
        <v>2.1</v>
      </c>
      <c r="BY37" s="3">
        <f t="shared" si="38"/>
        <v>1.6</v>
      </c>
      <c r="BZ37" s="3">
        <f t="shared" si="39"/>
        <v>1.1000000000000001</v>
      </c>
      <c r="CA37" s="3">
        <f t="shared" si="40"/>
        <v>0.9</v>
      </c>
      <c r="CB37" s="3">
        <f t="shared" si="41"/>
        <v>0.1</v>
      </c>
      <c r="CC37" s="3">
        <f t="shared" si="42"/>
        <v>0.4</v>
      </c>
      <c r="CD37" s="3">
        <f t="shared" si="43"/>
        <v>1.1000000000000001</v>
      </c>
      <c r="CE37" s="3">
        <f t="shared" si="44"/>
        <v>1.7</v>
      </c>
      <c r="CF37" s="23">
        <f t="shared" si="45"/>
        <v>87.9</v>
      </c>
      <c r="CG37" s="1">
        <f t="shared" si="46"/>
        <v>3.3</v>
      </c>
      <c r="CH37" s="1">
        <f t="shared" si="47"/>
        <v>3.7</v>
      </c>
      <c r="CI37" s="1">
        <f t="shared" si="48"/>
        <v>3</v>
      </c>
      <c r="CJ37" s="1">
        <f t="shared" si="49"/>
        <v>0.1</v>
      </c>
      <c r="CK37" s="1">
        <f t="shared" si="50"/>
        <v>0.4</v>
      </c>
      <c r="CL37" s="1">
        <f t="shared" si="51"/>
        <v>1.1000000000000001</v>
      </c>
      <c r="CM37" s="1">
        <f t="shared" si="52"/>
        <v>1.7</v>
      </c>
      <c r="CN37" s="2">
        <f t="shared" si="53"/>
        <v>95.8</v>
      </c>
      <c r="CO37" s="1">
        <f t="shared" si="54"/>
        <v>0</v>
      </c>
      <c r="CP37" s="1">
        <f t="shared" si="55"/>
        <v>-0.5</v>
      </c>
      <c r="CQ37" s="1">
        <f t="shared" si="56"/>
        <v>-1.1000000000000001</v>
      </c>
      <c r="CR37" s="1">
        <f t="shared" si="57"/>
        <v>0.1</v>
      </c>
      <c r="CS37" s="1">
        <f t="shared" si="58"/>
        <v>0.4</v>
      </c>
      <c r="CT37" s="1">
        <f t="shared" si="59"/>
        <v>1</v>
      </c>
      <c r="CU37" s="1">
        <f t="shared" si="60"/>
        <v>1.7</v>
      </c>
      <c r="CV37" s="2">
        <f t="shared" si="61"/>
        <v>75.8</v>
      </c>
      <c r="CW37" s="18">
        <f t="shared" si="62"/>
        <v>1088</v>
      </c>
      <c r="CX37" s="1">
        <f>ROUND(PPTest!K37,1)</f>
        <v>2.2999999999999998</v>
      </c>
      <c r="CY37" s="17">
        <f t="shared" si="63"/>
        <v>2.16</v>
      </c>
      <c r="CZ37" s="17">
        <f t="shared" si="64"/>
        <v>6.93</v>
      </c>
      <c r="DA37" s="20">
        <f t="shared" si="65"/>
        <v>0.58499999999999996</v>
      </c>
      <c r="DB37" s="20">
        <f t="shared" si="66"/>
        <v>0.187</v>
      </c>
      <c r="DC37" s="16">
        <f t="shared" si="67"/>
        <v>12.24</v>
      </c>
      <c r="DF37" s="3">
        <v>2.8</v>
      </c>
      <c r="DG37" s="3">
        <v>5.3</v>
      </c>
      <c r="DH37" s="3">
        <v>0.8</v>
      </c>
      <c r="DI37" s="3">
        <v>83.8</v>
      </c>
      <c r="DJ37" s="3">
        <v>74</v>
      </c>
      <c r="DK37" s="3"/>
      <c r="DL37" s="3"/>
      <c r="DM37" s="3"/>
      <c r="DN37" s="3"/>
      <c r="DO37" s="3"/>
      <c r="DP37" s="3"/>
      <c r="DQ37" s="3"/>
      <c r="DR37" s="3"/>
      <c r="DS37" s="3"/>
      <c r="DT37" s="3"/>
      <c r="DW37" s="1">
        <v>0</v>
      </c>
      <c r="DX37" s="1">
        <v>2.5</v>
      </c>
      <c r="DY37" s="1">
        <v>-2.4</v>
      </c>
    </row>
    <row r="38" spans="1:129" x14ac:dyDescent="0.2">
      <c r="A38" s="40">
        <v>34731</v>
      </c>
      <c r="B38" s="3">
        <v>32</v>
      </c>
      <c r="C38" s="3">
        <v>4.2149999999999999</v>
      </c>
      <c r="D38" s="3">
        <v>8.1199999999999992</v>
      </c>
      <c r="E38" s="3">
        <v>1.377</v>
      </c>
      <c r="F38" s="3">
        <v>80.8</v>
      </c>
      <c r="G38" s="3">
        <v>0.81100000000000005</v>
      </c>
      <c r="H38" s="3">
        <v>0.629</v>
      </c>
      <c r="I38" s="3">
        <v>0.128</v>
      </c>
      <c r="J38" s="3">
        <v>-0.97599999999999998</v>
      </c>
      <c r="K38" s="3">
        <v>1.01</v>
      </c>
      <c r="L38" s="3">
        <v>0.39200000000000002</v>
      </c>
      <c r="M38" s="3">
        <v>1.054</v>
      </c>
      <c r="N38" s="3">
        <v>1.7110000000000001</v>
      </c>
      <c r="O38" s="3">
        <v>0</v>
      </c>
      <c r="P38" s="16">
        <v>3.1391666666666671</v>
      </c>
      <c r="Q38" s="3"/>
      <c r="R38" s="3">
        <v>3.121</v>
      </c>
      <c r="S38" s="3">
        <v>25</v>
      </c>
      <c r="T38" s="3">
        <v>101.4</v>
      </c>
      <c r="U38" s="3">
        <v>2357</v>
      </c>
      <c r="V38" s="3">
        <v>3.016</v>
      </c>
      <c r="W38" s="3">
        <v>2.6120000000000001</v>
      </c>
      <c r="X38" s="3">
        <v>0.158</v>
      </c>
      <c r="Y38" s="3">
        <v>-0.70299999999999996</v>
      </c>
      <c r="Z38" s="3">
        <v>5.5339999999999998</v>
      </c>
      <c r="AA38" s="3">
        <v>0.41499999999999998</v>
      </c>
      <c r="AB38" s="3">
        <v>1.0820000000000001</v>
      </c>
      <c r="AC38" s="3">
        <v>1.7310000000000001</v>
      </c>
      <c r="AD38" s="16">
        <v>6.9675000000000002</v>
      </c>
      <c r="AE38" s="3">
        <v>211</v>
      </c>
      <c r="AF38" s="3">
        <v>-0.998</v>
      </c>
      <c r="AG38" s="3">
        <v>2359</v>
      </c>
      <c r="AH38" s="3">
        <v>66.209999999999994</v>
      </c>
      <c r="AI38" s="3">
        <v>1219</v>
      </c>
      <c r="AJ38" s="3">
        <v>-1.4790000000000001</v>
      </c>
      <c r="AK38" s="3">
        <v>-1.7030000000000001</v>
      </c>
      <c r="AL38" s="3">
        <v>0.107</v>
      </c>
      <c r="AM38" s="3">
        <v>-1.3460000000000001</v>
      </c>
      <c r="AN38" s="3">
        <v>-1.1100000000000001</v>
      </c>
      <c r="AO38" s="3">
        <v>0.374</v>
      </c>
      <c r="AP38" s="3">
        <v>1.038</v>
      </c>
      <c r="AQ38" s="3">
        <v>1.6930000000000001</v>
      </c>
      <c r="AR38" s="3">
        <v>2E-3</v>
      </c>
      <c r="AS38" s="3">
        <v>1E-3</v>
      </c>
      <c r="AT38" s="3">
        <v>0</v>
      </c>
      <c r="AU38" s="3">
        <v>1.6E-2</v>
      </c>
      <c r="AV38" s="3">
        <v>0.28100000000000003</v>
      </c>
      <c r="AW38" s="3">
        <v>0.63700000000000001</v>
      </c>
      <c r="AX38" s="3">
        <v>5.6000000000000001E-2</v>
      </c>
      <c r="AY38" s="3">
        <v>5.0000000000000001E-3</v>
      </c>
      <c r="AZ38" s="3">
        <v>-0.186</v>
      </c>
      <c r="BA38" s="3">
        <v>2429</v>
      </c>
      <c r="BB38" s="3">
        <v>12.24</v>
      </c>
      <c r="BC38" s="3">
        <v>2876</v>
      </c>
      <c r="BD38" s="3"/>
      <c r="BE38" s="3"/>
      <c r="BF38" s="3">
        <f t="shared" si="25"/>
        <v>1056</v>
      </c>
      <c r="BH38" s="16">
        <v>7.43</v>
      </c>
      <c r="BI38" s="16">
        <f t="shared" si="0"/>
        <v>15.008599999999999</v>
      </c>
      <c r="BJ38" s="17">
        <f t="shared" si="1"/>
        <v>4.22</v>
      </c>
      <c r="BK38" s="17">
        <f t="shared" si="2"/>
        <v>8.77</v>
      </c>
      <c r="BM38" s="1">
        <f t="shared" si="3"/>
        <v>94.7</v>
      </c>
      <c r="BN38" s="1">
        <f t="shared" si="4"/>
        <v>75.7</v>
      </c>
      <c r="BO38" s="1">
        <f t="shared" si="5"/>
        <v>62.2</v>
      </c>
      <c r="BP38" s="62">
        <f t="shared" si="26"/>
        <v>0.47499999999999998</v>
      </c>
      <c r="BQ38" s="62">
        <f t="shared" si="6"/>
        <v>0.28899999999999998</v>
      </c>
      <c r="BS38" s="3">
        <v>19.899999999999999</v>
      </c>
      <c r="BT38" s="8"/>
      <c r="BV38" s="8"/>
      <c r="BW38" s="16">
        <f t="shared" si="36"/>
        <v>4.22</v>
      </c>
      <c r="BX38" s="16">
        <f t="shared" si="37"/>
        <v>8.77</v>
      </c>
      <c r="BY38" s="3">
        <f t="shared" si="38"/>
        <v>1.4</v>
      </c>
      <c r="BZ38" s="3">
        <f t="shared" si="39"/>
        <v>0.8</v>
      </c>
      <c r="CA38" s="3">
        <f t="shared" si="40"/>
        <v>0.6</v>
      </c>
      <c r="CB38" s="3">
        <f t="shared" si="41"/>
        <v>0.1</v>
      </c>
      <c r="CC38" s="3">
        <f t="shared" si="42"/>
        <v>0.4</v>
      </c>
      <c r="CD38" s="3">
        <f t="shared" si="43"/>
        <v>1.1000000000000001</v>
      </c>
      <c r="CE38" s="3">
        <f t="shared" si="44"/>
        <v>1.7</v>
      </c>
      <c r="CF38" s="23">
        <f t="shared" si="45"/>
        <v>75.7</v>
      </c>
      <c r="CG38" s="1">
        <f t="shared" si="46"/>
        <v>3.1</v>
      </c>
      <c r="CH38" s="1">
        <f t="shared" si="47"/>
        <v>3</v>
      </c>
      <c r="CI38" s="1">
        <f t="shared" si="48"/>
        <v>2.6</v>
      </c>
      <c r="CJ38" s="1">
        <f t="shared" si="49"/>
        <v>0.2</v>
      </c>
      <c r="CK38" s="1">
        <f t="shared" si="50"/>
        <v>0.4</v>
      </c>
      <c r="CL38" s="1">
        <f t="shared" si="51"/>
        <v>1.1000000000000001</v>
      </c>
      <c r="CM38" s="1">
        <f t="shared" si="52"/>
        <v>1.7</v>
      </c>
      <c r="CN38" s="2">
        <f t="shared" si="53"/>
        <v>94.7</v>
      </c>
      <c r="CO38" s="1">
        <f t="shared" si="54"/>
        <v>-1</v>
      </c>
      <c r="CP38" s="1">
        <f t="shared" si="55"/>
        <v>-1.5</v>
      </c>
      <c r="CQ38" s="1">
        <f t="shared" si="56"/>
        <v>-1.7</v>
      </c>
      <c r="CR38" s="1">
        <f t="shared" si="57"/>
        <v>0.1</v>
      </c>
      <c r="CS38" s="1">
        <f t="shared" si="58"/>
        <v>0.4</v>
      </c>
      <c r="CT38" s="1">
        <f t="shared" si="59"/>
        <v>1</v>
      </c>
      <c r="CU38" s="1">
        <f t="shared" si="60"/>
        <v>1.7</v>
      </c>
      <c r="CV38" s="2">
        <f t="shared" si="61"/>
        <v>62.2</v>
      </c>
      <c r="CW38" s="18">
        <f t="shared" si="62"/>
        <v>1056</v>
      </c>
      <c r="CX38" s="1">
        <f>ROUND(PPTest!K38,1)</f>
        <v>0</v>
      </c>
      <c r="CY38" s="17">
        <f t="shared" si="63"/>
        <v>3.14</v>
      </c>
      <c r="CZ38" s="17">
        <f t="shared" si="64"/>
        <v>6.97</v>
      </c>
      <c r="DA38" s="20">
        <f t="shared" si="65"/>
        <v>0.47499999999999998</v>
      </c>
      <c r="DB38" s="20">
        <f t="shared" si="66"/>
        <v>0.28899999999999998</v>
      </c>
      <c r="DC38" s="16">
        <f t="shared" si="67"/>
        <v>12.24</v>
      </c>
      <c r="DF38" s="3">
        <v>1</v>
      </c>
      <c r="DG38" s="3">
        <v>3.9</v>
      </c>
      <c r="DH38" s="3">
        <v>-1.2</v>
      </c>
      <c r="DI38" s="3">
        <v>84.8</v>
      </c>
      <c r="DJ38" s="3">
        <v>74</v>
      </c>
      <c r="DK38" s="3"/>
      <c r="DL38" s="3"/>
      <c r="DM38" s="3"/>
      <c r="DN38" s="3"/>
      <c r="DO38" s="3"/>
      <c r="DP38" s="3"/>
      <c r="DQ38" s="3"/>
      <c r="DR38" s="3"/>
      <c r="DS38" s="3"/>
      <c r="DT38" s="3"/>
      <c r="DW38" s="1">
        <v>0.2</v>
      </c>
      <c r="DX38" s="1">
        <v>4.4000000000000004</v>
      </c>
      <c r="DY38" s="1">
        <v>-2.1</v>
      </c>
    </row>
    <row r="39" spans="1:129" x14ac:dyDescent="0.2">
      <c r="A39" s="40">
        <v>34732</v>
      </c>
      <c r="B39" s="3">
        <v>33</v>
      </c>
      <c r="C39" s="3">
        <v>6.7510000000000003</v>
      </c>
      <c r="D39" s="3">
        <v>12.69</v>
      </c>
      <c r="E39" s="3">
        <v>-0.997</v>
      </c>
      <c r="F39" s="3">
        <v>84.5</v>
      </c>
      <c r="G39" s="3">
        <v>-1.639</v>
      </c>
      <c r="H39" s="3">
        <v>-2.4580000000000002</v>
      </c>
      <c r="I39" s="3">
        <v>0.14000000000000001</v>
      </c>
      <c r="J39" s="3">
        <v>-0.95599999999999996</v>
      </c>
      <c r="K39" s="3">
        <v>-1.2529999999999999</v>
      </c>
      <c r="L39" s="3">
        <v>0.38900000000000001</v>
      </c>
      <c r="M39" s="3">
        <v>1.05</v>
      </c>
      <c r="N39" s="3">
        <v>1.702</v>
      </c>
      <c r="O39" s="3">
        <v>0</v>
      </c>
      <c r="P39" s="16">
        <v>1.4391666666666667</v>
      </c>
      <c r="Q39" s="3"/>
      <c r="R39" s="3">
        <v>2.7309999999999999</v>
      </c>
      <c r="S39" s="3">
        <v>1336</v>
      </c>
      <c r="T39" s="3">
        <v>103</v>
      </c>
      <c r="U39" s="3">
        <v>104</v>
      </c>
      <c r="V39" s="3">
        <v>4.3339999999999996</v>
      </c>
      <c r="W39" s="3">
        <v>2.8439999999999999</v>
      </c>
      <c r="X39" s="3">
        <v>0.16800000000000001</v>
      </c>
      <c r="Y39" s="3">
        <v>-0.51400000000000001</v>
      </c>
      <c r="Z39" s="3">
        <v>5.88</v>
      </c>
      <c r="AA39" s="3">
        <v>0.42199999999999999</v>
      </c>
      <c r="AB39" s="3">
        <v>1.0840000000000001</v>
      </c>
      <c r="AC39" s="3">
        <v>1.74</v>
      </c>
      <c r="AD39" s="16">
        <v>5.1275000000000004</v>
      </c>
      <c r="AE39" s="3">
        <v>345</v>
      </c>
      <c r="AF39" s="3">
        <v>-5.0590000000000002</v>
      </c>
      <c r="AG39" s="3">
        <v>854</v>
      </c>
      <c r="AH39" s="3">
        <v>58.85</v>
      </c>
      <c r="AI39" s="3">
        <v>2354</v>
      </c>
      <c r="AJ39" s="3">
        <v>-6.8419999999999996</v>
      </c>
      <c r="AK39" s="3">
        <v>-11.39</v>
      </c>
      <c r="AL39" s="3">
        <v>0.114</v>
      </c>
      <c r="AM39" s="3">
        <v>-1.752</v>
      </c>
      <c r="AN39" s="3">
        <v>-7.68</v>
      </c>
      <c r="AO39" s="3">
        <v>0.35799999999999998</v>
      </c>
      <c r="AP39" s="3">
        <v>1.022</v>
      </c>
      <c r="AQ39" s="3">
        <v>1.67</v>
      </c>
      <c r="AR39" s="3">
        <v>5.0999999999999997E-2</v>
      </c>
      <c r="AS39" s="3">
        <v>0.128</v>
      </c>
      <c r="AT39" s="3">
        <v>0.13300000000000001</v>
      </c>
      <c r="AU39" s="3">
        <v>8.1000000000000003E-2</v>
      </c>
      <c r="AV39" s="3">
        <v>0.153</v>
      </c>
      <c r="AW39" s="3">
        <v>0.38600000000000001</v>
      </c>
      <c r="AX39" s="3">
        <v>4.8000000000000001E-2</v>
      </c>
      <c r="AY39" s="3">
        <v>1.9E-2</v>
      </c>
      <c r="AZ39" s="3">
        <v>-1.073</v>
      </c>
      <c r="BA39" s="3">
        <v>2413</v>
      </c>
      <c r="BB39" s="3">
        <v>12.23</v>
      </c>
      <c r="BC39" s="3">
        <v>2876</v>
      </c>
      <c r="BD39" s="3"/>
      <c r="BE39" s="3"/>
      <c r="BF39" s="3">
        <f t="shared" si="25"/>
        <v>1072</v>
      </c>
      <c r="BH39" s="16">
        <v>7.59</v>
      </c>
      <c r="BI39" s="16">
        <f t="shared" ref="BI39:BI69" si="68">BH39*$BI$1</f>
        <v>15.331799999999999</v>
      </c>
      <c r="BJ39" s="17">
        <f t="shared" si="1"/>
        <v>6.75</v>
      </c>
      <c r="BK39" s="17">
        <f t="shared" si="2"/>
        <v>13.71</v>
      </c>
      <c r="BM39" s="1">
        <f t="shared" si="3"/>
        <v>96.2</v>
      </c>
      <c r="BN39" s="1">
        <f t="shared" si="4"/>
        <v>79.099999999999994</v>
      </c>
      <c r="BO39" s="1">
        <f t="shared" si="5"/>
        <v>55.4</v>
      </c>
      <c r="BP39" s="62">
        <f t="shared" si="26"/>
        <v>0.41199999999999998</v>
      </c>
      <c r="BQ39" s="62">
        <f t="shared" si="6"/>
        <v>0.33200000000000002</v>
      </c>
      <c r="BS39" s="3">
        <v>1.4</v>
      </c>
      <c r="BT39" s="8"/>
      <c r="BV39" s="8"/>
      <c r="BW39" s="16">
        <f t="shared" si="36"/>
        <v>6.75</v>
      </c>
      <c r="BX39" s="16">
        <f t="shared" si="37"/>
        <v>13.71</v>
      </c>
      <c r="BY39" s="3">
        <f t="shared" si="38"/>
        <v>-1</v>
      </c>
      <c r="BZ39" s="3">
        <f t="shared" si="39"/>
        <v>-1.6</v>
      </c>
      <c r="CA39" s="3">
        <f t="shared" si="40"/>
        <v>-2.5</v>
      </c>
      <c r="CB39" s="3">
        <f t="shared" si="41"/>
        <v>0.1</v>
      </c>
      <c r="CC39" s="3">
        <f t="shared" si="42"/>
        <v>0.4</v>
      </c>
      <c r="CD39" s="3">
        <f t="shared" si="43"/>
        <v>1.1000000000000001</v>
      </c>
      <c r="CE39" s="3">
        <f t="shared" si="44"/>
        <v>1.7</v>
      </c>
      <c r="CF39" s="23">
        <f t="shared" si="45"/>
        <v>79.099999999999994</v>
      </c>
      <c r="CG39" s="1">
        <f t="shared" si="46"/>
        <v>2.7</v>
      </c>
      <c r="CH39" s="1">
        <f t="shared" si="47"/>
        <v>4.3</v>
      </c>
      <c r="CI39" s="1">
        <f t="shared" si="48"/>
        <v>2.8</v>
      </c>
      <c r="CJ39" s="1">
        <f t="shared" si="49"/>
        <v>0.2</v>
      </c>
      <c r="CK39" s="1">
        <f t="shared" si="50"/>
        <v>0.4</v>
      </c>
      <c r="CL39" s="1">
        <f t="shared" si="51"/>
        <v>1.1000000000000001</v>
      </c>
      <c r="CM39" s="1">
        <f t="shared" si="52"/>
        <v>1.7</v>
      </c>
      <c r="CN39" s="2">
        <f t="shared" si="53"/>
        <v>96.2</v>
      </c>
      <c r="CO39" s="1">
        <f t="shared" si="54"/>
        <v>-5.0999999999999996</v>
      </c>
      <c r="CP39" s="1">
        <f t="shared" si="55"/>
        <v>-6.8</v>
      </c>
      <c r="CQ39" s="1">
        <f t="shared" si="56"/>
        <v>-11.4</v>
      </c>
      <c r="CR39" s="1">
        <f t="shared" si="57"/>
        <v>0.1</v>
      </c>
      <c r="CS39" s="1">
        <f t="shared" si="58"/>
        <v>0.4</v>
      </c>
      <c r="CT39" s="1">
        <f t="shared" si="59"/>
        <v>1</v>
      </c>
      <c r="CU39" s="1">
        <f t="shared" si="60"/>
        <v>1.7</v>
      </c>
      <c r="CV39" s="2">
        <f t="shared" si="61"/>
        <v>55.4</v>
      </c>
      <c r="CW39" s="18">
        <f t="shared" si="62"/>
        <v>1072</v>
      </c>
      <c r="CX39" s="1">
        <f>ROUND(PPTest!K39,1)</f>
        <v>2.1</v>
      </c>
      <c r="CY39" s="17">
        <f t="shared" si="63"/>
        <v>1.44</v>
      </c>
      <c r="CZ39" s="17">
        <f t="shared" si="64"/>
        <v>5.13</v>
      </c>
      <c r="DA39" s="20">
        <f t="shared" si="65"/>
        <v>0.41199999999999998</v>
      </c>
      <c r="DB39" s="20">
        <f t="shared" si="66"/>
        <v>0.33200000000000002</v>
      </c>
      <c r="DC39" s="16">
        <f t="shared" si="67"/>
        <v>12.23</v>
      </c>
      <c r="DF39" s="3">
        <v>0.6</v>
      </c>
      <c r="DG39" s="3">
        <v>2</v>
      </c>
      <c r="DH39" s="3">
        <v>-1.7</v>
      </c>
      <c r="DI39" s="3">
        <v>86</v>
      </c>
      <c r="DJ39" s="3">
        <v>72</v>
      </c>
      <c r="DK39" s="3"/>
      <c r="DL39" s="3"/>
      <c r="DM39" s="3"/>
      <c r="DN39" s="3"/>
      <c r="DO39" s="3"/>
      <c r="DP39" s="3"/>
      <c r="DQ39" s="3"/>
      <c r="DR39" s="3"/>
      <c r="DS39" s="3"/>
      <c r="DT39" s="3"/>
      <c r="DW39" s="1">
        <v>-1</v>
      </c>
      <c r="DX39" s="1">
        <v>3.1</v>
      </c>
      <c r="DY39" s="1">
        <v>-3.7</v>
      </c>
    </row>
    <row r="40" spans="1:129" x14ac:dyDescent="0.2">
      <c r="A40" s="40">
        <v>34733</v>
      </c>
      <c r="B40" s="3">
        <v>34</v>
      </c>
      <c r="C40" s="3">
        <v>1.702</v>
      </c>
      <c r="D40" s="3">
        <v>3.5139999999999998</v>
      </c>
      <c r="E40" s="3">
        <v>-0.89600000000000002</v>
      </c>
      <c r="F40" s="3">
        <v>84.4</v>
      </c>
      <c r="G40" s="3">
        <v>-1.583</v>
      </c>
      <c r="H40" s="3">
        <v>-1.956</v>
      </c>
      <c r="I40" s="3">
        <v>0.14199999999999999</v>
      </c>
      <c r="J40" s="3">
        <v>-1.5329999999999999</v>
      </c>
      <c r="K40" s="3">
        <v>-1.669</v>
      </c>
      <c r="L40" s="3">
        <v>0.38</v>
      </c>
      <c r="M40" s="3">
        <v>1.0389999999999999</v>
      </c>
      <c r="N40" s="3">
        <v>1.6890000000000001</v>
      </c>
      <c r="O40" s="3">
        <v>0</v>
      </c>
      <c r="P40" s="16">
        <v>1.1759999999999999</v>
      </c>
      <c r="Q40" s="3"/>
      <c r="R40" s="3">
        <v>1.0940000000000001</v>
      </c>
      <c r="S40" s="3">
        <v>109</v>
      </c>
      <c r="T40" s="3">
        <v>102.8</v>
      </c>
      <c r="U40" s="3">
        <v>2221</v>
      </c>
      <c r="V40" s="3">
        <v>0.505</v>
      </c>
      <c r="W40" s="3">
        <v>0.71199999999999997</v>
      </c>
      <c r="X40" s="3">
        <v>0.17199999999999999</v>
      </c>
      <c r="Y40" s="3">
        <v>-1.0840000000000001</v>
      </c>
      <c r="Z40" s="3">
        <v>0.629</v>
      </c>
      <c r="AA40" s="3">
        <v>0.40899999999999997</v>
      </c>
      <c r="AB40" s="3">
        <v>1.0649999999999999</v>
      </c>
      <c r="AC40" s="3">
        <v>1.712</v>
      </c>
      <c r="AD40" s="16">
        <v>4.6608333333333336</v>
      </c>
      <c r="AE40" s="3">
        <v>714</v>
      </c>
      <c r="AF40" s="3">
        <v>-7.54</v>
      </c>
      <c r="AG40" s="3">
        <v>0</v>
      </c>
      <c r="AH40" s="3">
        <v>51.59</v>
      </c>
      <c r="AI40" s="3">
        <v>36</v>
      </c>
      <c r="AJ40" s="3">
        <v>-8.65</v>
      </c>
      <c r="AK40" s="3">
        <v>-10.82</v>
      </c>
      <c r="AL40" s="3">
        <v>0.115</v>
      </c>
      <c r="AM40" s="3">
        <v>-1.944</v>
      </c>
      <c r="AN40" s="3">
        <v>-9.69</v>
      </c>
      <c r="AO40" s="3">
        <v>0.35799999999999998</v>
      </c>
      <c r="AP40" s="3">
        <v>1.016</v>
      </c>
      <c r="AQ40" s="3">
        <v>1.6619999999999999</v>
      </c>
      <c r="AR40" s="3">
        <v>6.0999999999999999E-2</v>
      </c>
      <c r="AS40" s="3">
        <v>0.19500000000000001</v>
      </c>
      <c r="AT40" s="3">
        <v>0.187</v>
      </c>
      <c r="AU40" s="3">
        <v>6.9000000000000006E-2</v>
      </c>
      <c r="AV40" s="3">
        <v>0.124</v>
      </c>
      <c r="AW40" s="3">
        <v>0.222</v>
      </c>
      <c r="AX40" s="3">
        <v>0.11799999999999999</v>
      </c>
      <c r="AY40" s="3">
        <v>2.4E-2</v>
      </c>
      <c r="AZ40" s="3">
        <v>-1.504</v>
      </c>
      <c r="BA40" s="3">
        <v>2430</v>
      </c>
      <c r="BB40" s="3">
        <v>12.23</v>
      </c>
      <c r="BC40" s="3">
        <v>2876</v>
      </c>
      <c r="BD40" s="3"/>
      <c r="BE40" s="3"/>
      <c r="BF40" s="3">
        <f t="shared" si="25"/>
        <v>1055</v>
      </c>
      <c r="BH40" s="16">
        <v>7.74</v>
      </c>
      <c r="BI40" s="16">
        <f t="shared" si="68"/>
        <v>15.6348</v>
      </c>
      <c r="BJ40" s="17">
        <f t="shared" si="1"/>
        <v>1.7</v>
      </c>
      <c r="BK40" s="17">
        <f t="shared" si="2"/>
        <v>3.8</v>
      </c>
      <c r="BM40" s="1">
        <f t="shared" si="3"/>
        <v>96</v>
      </c>
      <c r="BN40" s="1">
        <f t="shared" si="4"/>
        <v>79</v>
      </c>
      <c r="BO40" s="1">
        <f t="shared" si="5"/>
        <v>48.7</v>
      </c>
      <c r="BP40" s="62">
        <f t="shared" si="26"/>
        <v>0.32200000000000001</v>
      </c>
      <c r="BQ40" s="62">
        <f t="shared" si="6"/>
        <v>0.33900000000000002</v>
      </c>
      <c r="BS40" s="3">
        <v>0.5</v>
      </c>
      <c r="BT40" s="8"/>
      <c r="BV40" s="8"/>
      <c r="BW40" s="16">
        <f t="shared" si="36"/>
        <v>1.7</v>
      </c>
      <c r="BX40" s="16">
        <f t="shared" si="37"/>
        <v>3.8</v>
      </c>
      <c r="BY40" s="3">
        <f t="shared" si="38"/>
        <v>-0.9</v>
      </c>
      <c r="BZ40" s="3">
        <f t="shared" si="39"/>
        <v>-1.6</v>
      </c>
      <c r="CA40" s="3">
        <f t="shared" si="40"/>
        <v>-2</v>
      </c>
      <c r="CB40" s="3">
        <f t="shared" si="41"/>
        <v>0.1</v>
      </c>
      <c r="CC40" s="3">
        <f t="shared" si="42"/>
        <v>0.4</v>
      </c>
      <c r="CD40" s="3">
        <f t="shared" si="43"/>
        <v>1</v>
      </c>
      <c r="CE40" s="3">
        <f t="shared" si="44"/>
        <v>1.7</v>
      </c>
      <c r="CF40" s="23">
        <f t="shared" si="45"/>
        <v>79</v>
      </c>
      <c r="CG40" s="1">
        <f t="shared" si="46"/>
        <v>1.1000000000000001</v>
      </c>
      <c r="CH40" s="1">
        <f t="shared" si="47"/>
        <v>0.5</v>
      </c>
      <c r="CI40" s="1">
        <f t="shared" si="48"/>
        <v>0.7</v>
      </c>
      <c r="CJ40" s="1">
        <f t="shared" si="49"/>
        <v>0.2</v>
      </c>
      <c r="CK40" s="1">
        <f t="shared" si="50"/>
        <v>0.4</v>
      </c>
      <c r="CL40" s="1">
        <f t="shared" si="51"/>
        <v>1.1000000000000001</v>
      </c>
      <c r="CM40" s="1">
        <f t="shared" si="52"/>
        <v>1.7</v>
      </c>
      <c r="CN40" s="2">
        <f t="shared" si="53"/>
        <v>96</v>
      </c>
      <c r="CO40" s="1">
        <f t="shared" si="54"/>
        <v>-7.5</v>
      </c>
      <c r="CP40" s="1">
        <f t="shared" si="55"/>
        <v>-8.6999999999999993</v>
      </c>
      <c r="CQ40" s="1">
        <f t="shared" si="56"/>
        <v>-10.8</v>
      </c>
      <c r="CR40" s="1">
        <f t="shared" si="57"/>
        <v>0.1</v>
      </c>
      <c r="CS40" s="1">
        <f t="shared" si="58"/>
        <v>0.4</v>
      </c>
      <c r="CT40" s="1">
        <f t="shared" si="59"/>
        <v>1</v>
      </c>
      <c r="CU40" s="1">
        <f t="shared" si="60"/>
        <v>1.7</v>
      </c>
      <c r="CV40" s="2">
        <f t="shared" si="61"/>
        <v>48.7</v>
      </c>
      <c r="CW40" s="18">
        <f t="shared" si="62"/>
        <v>1055</v>
      </c>
      <c r="CX40" s="1">
        <f>ROUND(PPTest!K40,1)</f>
        <v>0</v>
      </c>
      <c r="CY40" s="17">
        <f t="shared" si="63"/>
        <v>1.18</v>
      </c>
      <c r="CZ40" s="17">
        <f t="shared" si="64"/>
        <v>4.66</v>
      </c>
      <c r="DA40" s="20">
        <f t="shared" si="65"/>
        <v>0.32200000000000001</v>
      </c>
      <c r="DB40" s="20">
        <f t="shared" si="66"/>
        <v>0.33900000000000002</v>
      </c>
      <c r="DC40" s="16">
        <f t="shared" si="67"/>
        <v>12.23</v>
      </c>
      <c r="DF40" s="3">
        <v>-0.4</v>
      </c>
      <c r="DG40" s="3">
        <v>4.0999999999999996</v>
      </c>
      <c r="DH40" s="3">
        <v>-2.8</v>
      </c>
      <c r="DI40" s="3">
        <v>90.1</v>
      </c>
      <c r="DJ40" s="3">
        <v>78</v>
      </c>
      <c r="DK40" s="3"/>
      <c r="DL40" s="3"/>
      <c r="DM40" s="3"/>
      <c r="DN40" s="3"/>
      <c r="DO40" s="3"/>
      <c r="DP40" s="3"/>
      <c r="DQ40" s="3"/>
      <c r="DR40" s="3"/>
      <c r="DS40" s="3"/>
      <c r="DT40" s="3"/>
      <c r="DW40" s="1">
        <v>-1.7</v>
      </c>
      <c r="DX40" s="1">
        <v>1.2</v>
      </c>
      <c r="DY40" s="1">
        <v>-5.4</v>
      </c>
    </row>
    <row r="41" spans="1:129" x14ac:dyDescent="0.2">
      <c r="A41" s="40">
        <v>34734</v>
      </c>
      <c r="B41" s="3">
        <v>35</v>
      </c>
      <c r="C41" s="3">
        <v>7.32</v>
      </c>
      <c r="D41" s="3">
        <v>13.87</v>
      </c>
      <c r="E41" s="3">
        <v>-4.5039999999999996</v>
      </c>
      <c r="F41" s="3">
        <v>90.6</v>
      </c>
      <c r="G41" s="3">
        <v>-5.3920000000000003</v>
      </c>
      <c r="H41" s="3">
        <v>-6.4669999999999996</v>
      </c>
      <c r="I41" s="3">
        <v>0.114</v>
      </c>
      <c r="J41" s="3">
        <v>-2.2330000000000001</v>
      </c>
      <c r="K41" s="3">
        <v>-5.1420000000000003</v>
      </c>
      <c r="L41" s="3">
        <v>0.36099999999999999</v>
      </c>
      <c r="M41" s="3">
        <v>1.0189999999999999</v>
      </c>
      <c r="N41" s="3">
        <v>1.663</v>
      </c>
      <c r="O41" s="3">
        <v>0</v>
      </c>
      <c r="P41" s="16">
        <v>1.5575000000000001</v>
      </c>
      <c r="Q41" s="3"/>
      <c r="R41" s="3">
        <v>5.9989999999999997</v>
      </c>
      <c r="S41" s="3">
        <v>1256</v>
      </c>
      <c r="T41" s="3">
        <v>101.6</v>
      </c>
      <c r="U41" s="3">
        <v>23</v>
      </c>
      <c r="V41" s="3">
        <v>7.06</v>
      </c>
      <c r="W41" s="3">
        <v>5.5119999999999996</v>
      </c>
      <c r="X41" s="3">
        <v>0.18099999999999999</v>
      </c>
      <c r="Y41" s="3">
        <v>-1.607</v>
      </c>
      <c r="Z41" s="3">
        <v>10.92</v>
      </c>
      <c r="AA41" s="3">
        <v>0.38900000000000001</v>
      </c>
      <c r="AB41" s="3">
        <v>1.0449999999999999</v>
      </c>
      <c r="AC41" s="3">
        <v>1.69</v>
      </c>
      <c r="AD41" s="16">
        <v>2.9275000000000002</v>
      </c>
      <c r="AE41" s="3">
        <v>1600</v>
      </c>
      <c r="AF41" s="3">
        <v>-11.17</v>
      </c>
      <c r="AG41" s="3">
        <v>834</v>
      </c>
      <c r="AH41" s="3">
        <v>58.4</v>
      </c>
      <c r="AI41" s="3">
        <v>1256</v>
      </c>
      <c r="AJ41" s="3">
        <v>-12.29</v>
      </c>
      <c r="AK41" s="3">
        <v>-14.04</v>
      </c>
      <c r="AL41" s="3">
        <v>8.5999999999999993E-2</v>
      </c>
      <c r="AM41" s="3">
        <v>-2.73</v>
      </c>
      <c r="AN41" s="3">
        <v>-12.72</v>
      </c>
      <c r="AO41" s="3">
        <v>0.32900000000000001</v>
      </c>
      <c r="AP41" s="3">
        <v>0.98599999999999999</v>
      </c>
      <c r="AQ41" s="3">
        <v>1.63</v>
      </c>
      <c r="AR41" s="3">
        <v>1.4999999999999999E-2</v>
      </c>
      <c r="AS41" s="3">
        <v>0.35599999999999998</v>
      </c>
      <c r="AT41" s="3">
        <v>0.51700000000000002</v>
      </c>
      <c r="AU41" s="3">
        <v>1.4E-2</v>
      </c>
      <c r="AV41" s="3">
        <v>0.05</v>
      </c>
      <c r="AW41" s="3">
        <v>4.8000000000000001E-2</v>
      </c>
      <c r="AX41" s="3">
        <v>0</v>
      </c>
      <c r="AY41" s="3">
        <v>0</v>
      </c>
      <c r="AZ41" s="3">
        <v>-4.46</v>
      </c>
      <c r="BA41" s="3">
        <v>2436</v>
      </c>
      <c r="BB41" s="3">
        <v>12.23</v>
      </c>
      <c r="BC41" s="3">
        <v>2876</v>
      </c>
      <c r="BD41" s="3"/>
      <c r="BE41" s="3"/>
      <c r="BF41" s="3">
        <f t="shared" si="25"/>
        <v>1049</v>
      </c>
      <c r="BH41" s="16">
        <v>7.9</v>
      </c>
      <c r="BI41" s="16">
        <f t="shared" si="68"/>
        <v>15.958</v>
      </c>
      <c r="BJ41" s="17">
        <f t="shared" si="1"/>
        <v>7.32</v>
      </c>
      <c r="BK41" s="17">
        <f t="shared" si="2"/>
        <v>14.98</v>
      </c>
      <c r="BM41" s="1">
        <f t="shared" si="3"/>
        <v>94.9</v>
      </c>
      <c r="BN41" s="1">
        <f t="shared" si="4"/>
        <v>84.7</v>
      </c>
      <c r="BO41" s="1">
        <f t="shared" si="5"/>
        <v>55</v>
      </c>
      <c r="BP41" s="62">
        <f t="shared" si="26"/>
        <v>0.51400000000000001</v>
      </c>
      <c r="BQ41" s="62">
        <f t="shared" si="6"/>
        <v>0.42099999999999999</v>
      </c>
      <c r="BS41" s="3">
        <v>0</v>
      </c>
      <c r="BT41" s="8"/>
      <c r="BV41" s="8"/>
      <c r="BW41" s="16">
        <f t="shared" si="36"/>
        <v>7.32</v>
      </c>
      <c r="BX41" s="16">
        <f t="shared" si="37"/>
        <v>14.98</v>
      </c>
      <c r="BY41" s="3">
        <f t="shared" si="38"/>
        <v>-4.5</v>
      </c>
      <c r="BZ41" s="3">
        <f t="shared" si="39"/>
        <v>-5.4</v>
      </c>
      <c r="CA41" s="3">
        <f t="shared" si="40"/>
        <v>-6.5</v>
      </c>
      <c r="CB41" s="3">
        <f t="shared" si="41"/>
        <v>0.1</v>
      </c>
      <c r="CC41" s="3">
        <f t="shared" si="42"/>
        <v>0.4</v>
      </c>
      <c r="CD41" s="3">
        <f t="shared" si="43"/>
        <v>1</v>
      </c>
      <c r="CE41" s="3">
        <f t="shared" si="44"/>
        <v>1.7</v>
      </c>
      <c r="CF41" s="23">
        <f t="shared" si="45"/>
        <v>84.7</v>
      </c>
      <c r="CG41" s="1">
        <f t="shared" si="46"/>
        <v>6</v>
      </c>
      <c r="CH41" s="1">
        <f t="shared" si="47"/>
        <v>7.1</v>
      </c>
      <c r="CI41" s="1">
        <f t="shared" si="48"/>
        <v>5.5</v>
      </c>
      <c r="CJ41" s="1">
        <f t="shared" si="49"/>
        <v>0.2</v>
      </c>
      <c r="CK41" s="1">
        <f t="shared" si="50"/>
        <v>0.4</v>
      </c>
      <c r="CL41" s="1">
        <f t="shared" si="51"/>
        <v>1</v>
      </c>
      <c r="CM41" s="1">
        <f t="shared" si="52"/>
        <v>1.7</v>
      </c>
      <c r="CN41" s="2">
        <f t="shared" si="53"/>
        <v>94.9</v>
      </c>
      <c r="CO41" s="1">
        <f t="shared" si="54"/>
        <v>-11.2</v>
      </c>
      <c r="CP41" s="1">
        <f t="shared" si="55"/>
        <v>-12.3</v>
      </c>
      <c r="CQ41" s="1">
        <f t="shared" si="56"/>
        <v>-14</v>
      </c>
      <c r="CR41" s="1">
        <f t="shared" si="57"/>
        <v>0.1</v>
      </c>
      <c r="CS41" s="1">
        <f t="shared" si="58"/>
        <v>0.3</v>
      </c>
      <c r="CT41" s="1">
        <f t="shared" si="59"/>
        <v>1</v>
      </c>
      <c r="CU41" s="1">
        <f t="shared" si="60"/>
        <v>1.6</v>
      </c>
      <c r="CV41" s="2">
        <f t="shared" si="61"/>
        <v>55</v>
      </c>
      <c r="CW41" s="18">
        <f t="shared" si="62"/>
        <v>1049</v>
      </c>
      <c r="CX41" s="1">
        <f>ROUND(PPTest!K41,1)</f>
        <v>0</v>
      </c>
      <c r="CY41" s="17">
        <f t="shared" si="63"/>
        <v>1.56</v>
      </c>
      <c r="CZ41" s="17">
        <f t="shared" si="64"/>
        <v>2.93</v>
      </c>
      <c r="DA41" s="20">
        <f t="shared" si="65"/>
        <v>0.51400000000000001</v>
      </c>
      <c r="DB41" s="20">
        <f t="shared" si="66"/>
        <v>0.42099999999999999</v>
      </c>
      <c r="DC41" s="16">
        <f t="shared" si="67"/>
        <v>12.23</v>
      </c>
      <c r="DF41" s="3">
        <v>1.1000000000000001</v>
      </c>
      <c r="DG41" s="3">
        <v>5.2</v>
      </c>
      <c r="DH41" s="3">
        <v>-2.4</v>
      </c>
      <c r="DI41" s="3">
        <v>80</v>
      </c>
      <c r="DJ41" s="3">
        <v>64</v>
      </c>
      <c r="DK41" s="3"/>
      <c r="DL41" s="3"/>
      <c r="DM41" s="3"/>
      <c r="DN41" s="3"/>
      <c r="DO41" s="3"/>
      <c r="DP41" s="3"/>
      <c r="DQ41" s="3"/>
      <c r="DR41" s="3"/>
      <c r="DS41" s="3"/>
      <c r="DT41" s="3"/>
      <c r="DW41" s="1">
        <v>-2.2999999999999998</v>
      </c>
      <c r="DX41" s="1">
        <v>7.8</v>
      </c>
      <c r="DY41" s="1">
        <v>-9.1</v>
      </c>
    </row>
    <row r="42" spans="1:129" x14ac:dyDescent="0.2">
      <c r="A42" s="40">
        <v>34735</v>
      </c>
      <c r="B42" s="3">
        <v>36</v>
      </c>
      <c r="C42" s="3">
        <v>6.5730000000000004</v>
      </c>
      <c r="D42" s="3">
        <v>12.71</v>
      </c>
      <c r="E42" s="3">
        <v>-0.48799999999999999</v>
      </c>
      <c r="F42" s="3">
        <v>86.7</v>
      </c>
      <c r="G42" s="3">
        <v>-1.232</v>
      </c>
      <c r="H42" s="3">
        <v>-2.1080000000000001</v>
      </c>
      <c r="I42" s="3">
        <v>0.13400000000000001</v>
      </c>
      <c r="J42" s="3">
        <v>-2.5640000000000001</v>
      </c>
      <c r="K42" s="3">
        <v>-1.0489999999999999</v>
      </c>
      <c r="L42" s="3">
        <v>0.35899999999999999</v>
      </c>
      <c r="M42" s="3">
        <v>1.016</v>
      </c>
      <c r="N42" s="3">
        <v>1.6579999999999999</v>
      </c>
      <c r="O42" s="3">
        <v>0</v>
      </c>
      <c r="P42" s="16">
        <v>1.3076666666666665</v>
      </c>
      <c r="Q42" s="3"/>
      <c r="R42" s="3">
        <v>12.53</v>
      </c>
      <c r="S42" s="3">
        <v>1350</v>
      </c>
      <c r="T42" s="3">
        <v>103.3</v>
      </c>
      <c r="U42" s="3">
        <v>2323</v>
      </c>
      <c r="V42" s="3">
        <v>12.79</v>
      </c>
      <c r="W42" s="3">
        <v>8.7200000000000006</v>
      </c>
      <c r="X42" s="3">
        <v>0.17699999999999999</v>
      </c>
      <c r="Y42" s="3">
        <v>-1.6639999999999999</v>
      </c>
      <c r="Z42" s="3">
        <v>15.55</v>
      </c>
      <c r="AA42" s="3">
        <v>0.38800000000000001</v>
      </c>
      <c r="AB42" s="3">
        <v>1.042</v>
      </c>
      <c r="AC42" s="3">
        <v>1.6839999999999999</v>
      </c>
      <c r="AD42" s="16">
        <v>2.9941666666666671</v>
      </c>
      <c r="AE42" s="3">
        <v>1402</v>
      </c>
      <c r="AF42" s="3">
        <v>-6.5679999999999996</v>
      </c>
      <c r="AG42" s="3">
        <v>745</v>
      </c>
      <c r="AH42" s="3">
        <v>36.75</v>
      </c>
      <c r="AI42" s="3">
        <v>1351</v>
      </c>
      <c r="AJ42" s="3">
        <v>-7.61</v>
      </c>
      <c r="AK42" s="3">
        <v>-8.74</v>
      </c>
      <c r="AL42" s="3">
        <v>0.1</v>
      </c>
      <c r="AM42" s="3">
        <v>-3.1720000000000002</v>
      </c>
      <c r="AN42" s="3">
        <v>-8</v>
      </c>
      <c r="AO42" s="3">
        <v>0.32300000000000001</v>
      </c>
      <c r="AP42" s="3">
        <v>0.98099999999999998</v>
      </c>
      <c r="AQ42" s="3">
        <v>1.6240000000000001</v>
      </c>
      <c r="AR42" s="3">
        <v>2.1999999999999999E-2</v>
      </c>
      <c r="AS42" s="3">
        <v>0.313</v>
      </c>
      <c r="AT42" s="3">
        <v>0.41299999999999998</v>
      </c>
      <c r="AU42" s="3">
        <v>4.4999999999999998E-2</v>
      </c>
      <c r="AV42" s="3">
        <v>9.1999999999999998E-2</v>
      </c>
      <c r="AW42" s="3">
        <v>9.7000000000000003E-2</v>
      </c>
      <c r="AX42" s="3">
        <v>0.01</v>
      </c>
      <c r="AY42" s="3">
        <v>8.0000000000000002E-3</v>
      </c>
      <c r="AZ42" s="3">
        <v>-3.3570000000000002</v>
      </c>
      <c r="BA42" s="3">
        <v>2443</v>
      </c>
      <c r="BB42" s="3">
        <v>12.22</v>
      </c>
      <c r="BC42" s="3">
        <v>2876</v>
      </c>
      <c r="BD42" s="3"/>
      <c r="BE42" s="3"/>
      <c r="BF42" s="3">
        <f t="shared" si="25"/>
        <v>1042</v>
      </c>
      <c r="BH42" s="16">
        <v>8.06</v>
      </c>
      <c r="BI42" s="16">
        <f t="shared" si="68"/>
        <v>16.281200000000002</v>
      </c>
      <c r="BJ42" s="17">
        <f t="shared" si="1"/>
        <v>6.57</v>
      </c>
      <c r="BK42" s="17">
        <f t="shared" si="2"/>
        <v>13.73</v>
      </c>
      <c r="BM42" s="1">
        <f t="shared" si="3"/>
        <v>96.4</v>
      </c>
      <c r="BN42" s="1">
        <f t="shared" si="4"/>
        <v>81.099999999999994</v>
      </c>
      <c r="BO42" s="1">
        <f t="shared" si="5"/>
        <v>35</v>
      </c>
      <c r="BP42" s="62">
        <f t="shared" si="26"/>
        <v>0.50800000000000001</v>
      </c>
      <c r="BQ42" s="62">
        <f t="shared" si="6"/>
        <v>0.94299999999999995</v>
      </c>
      <c r="BS42" s="3">
        <v>1.1000000000000001</v>
      </c>
      <c r="BT42" s="8"/>
      <c r="BV42" s="8"/>
      <c r="BW42" s="16">
        <f t="shared" si="36"/>
        <v>6.57</v>
      </c>
      <c r="BX42" s="16">
        <f t="shared" si="37"/>
        <v>13.73</v>
      </c>
      <c r="BY42" s="3">
        <f t="shared" si="38"/>
        <v>-0.5</v>
      </c>
      <c r="BZ42" s="3">
        <f t="shared" si="39"/>
        <v>-1.2</v>
      </c>
      <c r="CA42" s="3">
        <f t="shared" si="40"/>
        <v>-2.1</v>
      </c>
      <c r="CB42" s="3">
        <f t="shared" si="41"/>
        <v>0.1</v>
      </c>
      <c r="CC42" s="3">
        <f t="shared" si="42"/>
        <v>0.4</v>
      </c>
      <c r="CD42" s="3">
        <f t="shared" si="43"/>
        <v>1</v>
      </c>
      <c r="CE42" s="3">
        <f t="shared" si="44"/>
        <v>1.7</v>
      </c>
      <c r="CF42" s="23">
        <f t="shared" si="45"/>
        <v>81.099999999999994</v>
      </c>
      <c r="CG42" s="1">
        <f t="shared" si="46"/>
        <v>12.5</v>
      </c>
      <c r="CH42" s="1">
        <f t="shared" si="47"/>
        <v>12.8</v>
      </c>
      <c r="CI42" s="1">
        <f t="shared" si="48"/>
        <v>8.6999999999999993</v>
      </c>
      <c r="CJ42" s="1">
        <f t="shared" si="49"/>
        <v>0.2</v>
      </c>
      <c r="CK42" s="1">
        <f t="shared" si="50"/>
        <v>0.4</v>
      </c>
      <c r="CL42" s="1">
        <f t="shared" si="51"/>
        <v>1</v>
      </c>
      <c r="CM42" s="1">
        <f t="shared" si="52"/>
        <v>1.7</v>
      </c>
      <c r="CN42" s="2">
        <f t="shared" si="53"/>
        <v>96.4</v>
      </c>
      <c r="CO42" s="1">
        <f t="shared" si="54"/>
        <v>-6.6</v>
      </c>
      <c r="CP42" s="1">
        <f t="shared" si="55"/>
        <v>-7.6</v>
      </c>
      <c r="CQ42" s="1">
        <f t="shared" si="56"/>
        <v>-8.6999999999999993</v>
      </c>
      <c r="CR42" s="1">
        <f t="shared" si="57"/>
        <v>0.1</v>
      </c>
      <c r="CS42" s="1">
        <f t="shared" si="58"/>
        <v>0.3</v>
      </c>
      <c r="CT42" s="1">
        <f t="shared" si="59"/>
        <v>1</v>
      </c>
      <c r="CU42" s="1">
        <f t="shared" si="60"/>
        <v>1.6</v>
      </c>
      <c r="CV42" s="2">
        <f t="shared" si="61"/>
        <v>35</v>
      </c>
      <c r="CW42" s="18">
        <f t="shared" si="62"/>
        <v>1042</v>
      </c>
      <c r="CX42" s="1">
        <f>ROUND(PPTest!K42,1)</f>
        <v>0</v>
      </c>
      <c r="CY42" s="17">
        <f t="shared" si="63"/>
        <v>1.31</v>
      </c>
      <c r="CZ42" s="17">
        <f t="shared" si="64"/>
        <v>2.99</v>
      </c>
      <c r="DA42" s="20">
        <f t="shared" si="65"/>
        <v>0.50800000000000001</v>
      </c>
      <c r="DB42" s="20">
        <f t="shared" si="66"/>
        <v>0.94299999999999995</v>
      </c>
      <c r="DC42" s="16">
        <f t="shared" si="67"/>
        <v>12.22</v>
      </c>
      <c r="DF42" s="3">
        <v>1.1000000000000001</v>
      </c>
      <c r="DG42" s="3">
        <v>3.1</v>
      </c>
      <c r="DH42" s="3">
        <v>-0.9</v>
      </c>
      <c r="DI42" s="3">
        <v>92.9</v>
      </c>
      <c r="DJ42" s="3">
        <v>92</v>
      </c>
      <c r="DK42" s="3"/>
      <c r="DL42" s="3"/>
      <c r="DM42" s="3"/>
      <c r="DN42" s="3"/>
      <c r="DO42" s="3"/>
      <c r="DP42" s="3"/>
      <c r="DQ42" s="3"/>
      <c r="DR42" s="3"/>
      <c r="DS42" s="3"/>
      <c r="DT42" s="3"/>
      <c r="DW42" s="1">
        <v>-0.1</v>
      </c>
      <c r="DX42" s="1">
        <v>6.9</v>
      </c>
      <c r="DY42" s="1">
        <v>-5</v>
      </c>
    </row>
    <row r="43" spans="1:129" x14ac:dyDescent="0.2">
      <c r="A43" s="40">
        <v>34736</v>
      </c>
      <c r="B43" s="3">
        <v>37</v>
      </c>
      <c r="C43" s="3">
        <v>2.3260000000000001</v>
      </c>
      <c r="D43" s="3">
        <v>4.8070000000000004</v>
      </c>
      <c r="E43" s="3">
        <v>0.90600000000000003</v>
      </c>
      <c r="F43" s="3">
        <v>103.8</v>
      </c>
      <c r="G43" s="3">
        <v>0.36899999999999999</v>
      </c>
      <c r="H43" s="3">
        <v>0.155</v>
      </c>
      <c r="I43" s="3">
        <v>0.17199999999999999</v>
      </c>
      <c r="J43" s="3">
        <v>-0.60199999999999998</v>
      </c>
      <c r="K43" s="3">
        <v>0.495</v>
      </c>
      <c r="L43" s="3">
        <v>0.38500000000000001</v>
      </c>
      <c r="M43" s="3">
        <v>1.038</v>
      </c>
      <c r="N43" s="3">
        <v>1.6819999999999999</v>
      </c>
      <c r="O43" s="3">
        <v>0</v>
      </c>
      <c r="P43" s="16">
        <v>0.96300000000000008</v>
      </c>
      <c r="Q43" s="3"/>
      <c r="R43" s="3">
        <v>3.9420000000000002</v>
      </c>
      <c r="S43" s="3">
        <v>1328</v>
      </c>
      <c r="T43" s="3">
        <v>105.6</v>
      </c>
      <c r="U43" s="3">
        <v>1750</v>
      </c>
      <c r="V43" s="3">
        <v>4.2939999999999996</v>
      </c>
      <c r="W43" s="3">
        <v>2.9420000000000002</v>
      </c>
      <c r="X43" s="3">
        <v>0.19500000000000001</v>
      </c>
      <c r="Y43" s="3">
        <v>-0.16300000000000001</v>
      </c>
      <c r="Z43" s="3">
        <v>4.2480000000000002</v>
      </c>
      <c r="AA43" s="3">
        <v>0.40899999999999997</v>
      </c>
      <c r="AB43" s="3">
        <v>1.06</v>
      </c>
      <c r="AC43" s="3">
        <v>1.7030000000000001</v>
      </c>
      <c r="AD43" s="16">
        <v>2.6208333333333336</v>
      </c>
      <c r="AE43" s="3">
        <v>1826</v>
      </c>
      <c r="AF43" s="3">
        <v>-1.2989999999999999</v>
      </c>
      <c r="AG43" s="3">
        <v>2358</v>
      </c>
      <c r="AH43" s="3">
        <v>95.2</v>
      </c>
      <c r="AI43" s="3">
        <v>1328</v>
      </c>
      <c r="AJ43" s="3">
        <v>-1.8320000000000001</v>
      </c>
      <c r="AK43" s="3">
        <v>-1.82</v>
      </c>
      <c r="AL43" s="3">
        <v>0.152</v>
      </c>
      <c r="AM43" s="3">
        <v>-1.6659999999999999</v>
      </c>
      <c r="AN43" s="3">
        <v>-1.716</v>
      </c>
      <c r="AO43" s="3">
        <v>0.36199999999999999</v>
      </c>
      <c r="AP43" s="3">
        <v>1.016</v>
      </c>
      <c r="AQ43" s="3">
        <v>1.659</v>
      </c>
      <c r="AR43" s="3">
        <v>3.1E-2</v>
      </c>
      <c r="AS43" s="3">
        <v>0.19600000000000001</v>
      </c>
      <c r="AT43" s="3">
        <v>0.16500000000000001</v>
      </c>
      <c r="AU43" s="3">
        <v>2.5000000000000001E-2</v>
      </c>
      <c r="AV43" s="3">
        <v>0.124</v>
      </c>
      <c r="AW43" s="3">
        <v>0.378</v>
      </c>
      <c r="AX43" s="3">
        <v>7.3999999999999996E-2</v>
      </c>
      <c r="AY43" s="3">
        <v>7.0000000000000001E-3</v>
      </c>
      <c r="AZ43" s="3">
        <v>-0.34</v>
      </c>
      <c r="BA43" s="3">
        <v>2398</v>
      </c>
      <c r="BB43" s="3">
        <v>12.22</v>
      </c>
      <c r="BC43" s="3">
        <v>2876</v>
      </c>
      <c r="BD43" s="3"/>
      <c r="BE43" s="3"/>
      <c r="BF43" s="3">
        <f t="shared" si="25"/>
        <v>1087</v>
      </c>
      <c r="BH43" s="16">
        <v>8.23</v>
      </c>
      <c r="BI43" s="16">
        <f t="shared" si="68"/>
        <v>16.624600000000001</v>
      </c>
      <c r="BJ43" s="17">
        <f t="shared" si="1"/>
        <v>2.33</v>
      </c>
      <c r="BK43" s="17">
        <f t="shared" si="2"/>
        <v>5.19</v>
      </c>
      <c r="BM43" s="1">
        <f t="shared" si="3"/>
        <v>98.6</v>
      </c>
      <c r="BN43" s="1">
        <f t="shared" si="4"/>
        <v>96.9</v>
      </c>
      <c r="BO43" s="1">
        <f t="shared" si="5"/>
        <v>89</v>
      </c>
      <c r="BP43" s="62">
        <f t="shared" si="26"/>
        <v>0.72099999999999997</v>
      </c>
      <c r="BQ43" s="62">
        <f t="shared" si="6"/>
        <v>8.8999999999999996E-2</v>
      </c>
      <c r="BS43" s="3">
        <v>6.9</v>
      </c>
      <c r="BT43" s="8"/>
      <c r="BV43" s="8"/>
      <c r="BW43" s="16">
        <f t="shared" si="36"/>
        <v>2.33</v>
      </c>
      <c r="BX43" s="16">
        <f t="shared" si="37"/>
        <v>5.19</v>
      </c>
      <c r="BY43" s="3">
        <f t="shared" si="38"/>
        <v>0.9</v>
      </c>
      <c r="BZ43" s="3">
        <f t="shared" si="39"/>
        <v>0.4</v>
      </c>
      <c r="CA43" s="3">
        <f t="shared" si="40"/>
        <v>0.2</v>
      </c>
      <c r="CB43" s="3">
        <f t="shared" si="41"/>
        <v>0.2</v>
      </c>
      <c r="CC43" s="3">
        <f t="shared" si="42"/>
        <v>0.4</v>
      </c>
      <c r="CD43" s="3">
        <f t="shared" si="43"/>
        <v>1</v>
      </c>
      <c r="CE43" s="3">
        <f t="shared" si="44"/>
        <v>1.7</v>
      </c>
      <c r="CF43" s="23">
        <f t="shared" si="45"/>
        <v>96.9</v>
      </c>
      <c r="CG43" s="1">
        <f t="shared" si="46"/>
        <v>3.9</v>
      </c>
      <c r="CH43" s="1">
        <f t="shared" si="47"/>
        <v>4.3</v>
      </c>
      <c r="CI43" s="1">
        <f t="shared" si="48"/>
        <v>2.9</v>
      </c>
      <c r="CJ43" s="1">
        <f t="shared" si="49"/>
        <v>0.2</v>
      </c>
      <c r="CK43" s="1">
        <f t="shared" si="50"/>
        <v>0.4</v>
      </c>
      <c r="CL43" s="1">
        <f t="shared" si="51"/>
        <v>1.1000000000000001</v>
      </c>
      <c r="CM43" s="1">
        <f t="shared" si="52"/>
        <v>1.7</v>
      </c>
      <c r="CN43" s="2">
        <f t="shared" si="53"/>
        <v>98.6</v>
      </c>
      <c r="CO43" s="1">
        <f t="shared" si="54"/>
        <v>-1.3</v>
      </c>
      <c r="CP43" s="1">
        <f t="shared" si="55"/>
        <v>-1.8</v>
      </c>
      <c r="CQ43" s="1">
        <f t="shared" si="56"/>
        <v>-1.8</v>
      </c>
      <c r="CR43" s="1">
        <f t="shared" si="57"/>
        <v>0.2</v>
      </c>
      <c r="CS43" s="1">
        <f t="shared" si="58"/>
        <v>0.4</v>
      </c>
      <c r="CT43" s="1">
        <f t="shared" si="59"/>
        <v>1</v>
      </c>
      <c r="CU43" s="1">
        <f t="shared" si="60"/>
        <v>1.7</v>
      </c>
      <c r="CV43" s="2">
        <f t="shared" si="61"/>
        <v>89</v>
      </c>
      <c r="CW43" s="18">
        <f t="shared" si="62"/>
        <v>1087</v>
      </c>
      <c r="CX43" s="1">
        <f>ROUND(PPTest!K43,1)</f>
        <v>5.9</v>
      </c>
      <c r="CY43" s="17">
        <f t="shared" si="63"/>
        <v>0.96</v>
      </c>
      <c r="CZ43" s="17">
        <f t="shared" si="64"/>
        <v>2.62</v>
      </c>
      <c r="DA43" s="20">
        <f t="shared" si="65"/>
        <v>0.72099999999999997</v>
      </c>
      <c r="DB43" s="20">
        <f t="shared" si="66"/>
        <v>8.8999999999999996E-2</v>
      </c>
      <c r="DC43" s="16">
        <f t="shared" si="67"/>
        <v>12.22</v>
      </c>
      <c r="DF43" s="3">
        <v>-0.6</v>
      </c>
      <c r="DG43" s="3">
        <v>1.5</v>
      </c>
      <c r="DH43" s="3">
        <v>-2.8</v>
      </c>
      <c r="DI43" s="3">
        <v>92.5</v>
      </c>
      <c r="DJ43" s="3">
        <v>91</v>
      </c>
      <c r="DK43" s="3"/>
      <c r="DL43" s="3"/>
      <c r="DM43" s="3"/>
      <c r="DN43" s="3"/>
      <c r="DO43" s="3"/>
      <c r="DP43" s="3"/>
      <c r="DQ43" s="3"/>
      <c r="DR43" s="3"/>
      <c r="DS43" s="3"/>
      <c r="DT43" s="3"/>
      <c r="DW43" s="1">
        <v>0.8</v>
      </c>
      <c r="DX43" s="1">
        <v>4.9000000000000004</v>
      </c>
      <c r="DY43" s="1">
        <v>-1.8</v>
      </c>
    </row>
    <row r="44" spans="1:129" x14ac:dyDescent="0.2">
      <c r="A44" s="40">
        <v>34737</v>
      </c>
      <c r="B44" s="3">
        <v>38</v>
      </c>
      <c r="C44" s="3">
        <v>4.8070000000000004</v>
      </c>
      <c r="D44" s="3">
        <v>6.2480000000000002</v>
      </c>
      <c r="E44" s="3">
        <v>-1.889</v>
      </c>
      <c r="F44" s="3">
        <v>99.1</v>
      </c>
      <c r="G44" s="3">
        <v>-2.617</v>
      </c>
      <c r="H44" s="3">
        <v>-4.0490000000000004</v>
      </c>
      <c r="I44" s="3">
        <v>0.14899999999999999</v>
      </c>
      <c r="J44" s="3">
        <v>-1.8240000000000001</v>
      </c>
      <c r="K44" s="3">
        <v>-2.7839999999999998</v>
      </c>
      <c r="L44" s="3">
        <v>0.38800000000000001</v>
      </c>
      <c r="M44" s="3">
        <v>1.034</v>
      </c>
      <c r="N44" s="3">
        <v>1.675</v>
      </c>
      <c r="O44" s="3">
        <v>0</v>
      </c>
      <c r="P44" s="16">
        <v>1.1016666666666666</v>
      </c>
      <c r="Q44" s="3"/>
      <c r="R44" s="3">
        <v>6.7220000000000004</v>
      </c>
      <c r="S44" s="3">
        <v>1136</v>
      </c>
      <c r="T44" s="3">
        <v>105.3</v>
      </c>
      <c r="U44" s="3">
        <v>1709</v>
      </c>
      <c r="V44" s="3">
        <v>6.7279999999999998</v>
      </c>
      <c r="W44" s="3">
        <v>3.87</v>
      </c>
      <c r="X44" s="3">
        <v>0.17599999999999999</v>
      </c>
      <c r="Y44" s="3">
        <v>-0.308</v>
      </c>
      <c r="Z44" s="3">
        <v>6.4880000000000004</v>
      </c>
      <c r="AA44" s="3">
        <v>0.41799999999999998</v>
      </c>
      <c r="AB44" s="3">
        <v>1.054</v>
      </c>
      <c r="AC44" s="3">
        <v>1.6950000000000001</v>
      </c>
      <c r="AD44" s="16">
        <v>2.9541666666666671</v>
      </c>
      <c r="AE44" s="3">
        <v>1351</v>
      </c>
      <c r="AF44" s="3">
        <v>-9.66</v>
      </c>
      <c r="AG44" s="3">
        <v>2354</v>
      </c>
      <c r="AH44" s="3">
        <v>64.38</v>
      </c>
      <c r="AI44" s="3">
        <v>1137</v>
      </c>
      <c r="AJ44" s="3">
        <v>-11.47</v>
      </c>
      <c r="AK44" s="3">
        <v>-13.56</v>
      </c>
      <c r="AL44" s="3">
        <v>0.11</v>
      </c>
      <c r="AM44" s="3">
        <v>-7.69</v>
      </c>
      <c r="AN44" s="3">
        <v>-12.14</v>
      </c>
      <c r="AO44" s="3">
        <v>0.36899999999999999</v>
      </c>
      <c r="AP44" s="3">
        <v>1.01</v>
      </c>
      <c r="AQ44" s="3">
        <v>1.64</v>
      </c>
      <c r="AR44" s="3">
        <v>2.5999999999999999E-2</v>
      </c>
      <c r="AS44" s="3">
        <v>0.193</v>
      </c>
      <c r="AT44" s="3">
        <v>0.23899999999999999</v>
      </c>
      <c r="AU44" s="3">
        <v>6.0999999999999999E-2</v>
      </c>
      <c r="AV44" s="3">
        <v>0.20599999999999999</v>
      </c>
      <c r="AW44" s="3">
        <v>0.22800000000000001</v>
      </c>
      <c r="AX44" s="3">
        <v>3.6999999999999998E-2</v>
      </c>
      <c r="AY44" s="3">
        <v>0.01</v>
      </c>
      <c r="AZ44" s="3">
        <v>-0.247</v>
      </c>
      <c r="BA44" s="3">
        <v>2400</v>
      </c>
      <c r="BB44" s="3">
        <v>12.22</v>
      </c>
      <c r="BC44" s="3">
        <v>2876</v>
      </c>
      <c r="BD44" s="3"/>
      <c r="BE44" s="3"/>
      <c r="BF44" s="3">
        <f t="shared" si="25"/>
        <v>1085</v>
      </c>
      <c r="BH44" s="16">
        <v>8.4</v>
      </c>
      <c r="BI44" s="16">
        <f t="shared" si="68"/>
        <v>16.968</v>
      </c>
      <c r="BJ44" s="17">
        <f t="shared" si="1"/>
        <v>4.8099999999999996</v>
      </c>
      <c r="BK44" s="17">
        <f t="shared" si="2"/>
        <v>6.75</v>
      </c>
      <c r="BM44" s="1">
        <f t="shared" si="3"/>
        <v>98.3</v>
      </c>
      <c r="BN44" s="1">
        <f t="shared" si="4"/>
        <v>92.6</v>
      </c>
      <c r="BO44" s="1">
        <f t="shared" si="5"/>
        <v>60.5</v>
      </c>
      <c r="BP44" s="62">
        <f t="shared" si="26"/>
        <v>0.59399999999999997</v>
      </c>
      <c r="BQ44" s="62">
        <f t="shared" si="6"/>
        <v>0.38800000000000001</v>
      </c>
      <c r="BS44" s="3">
        <v>3.4</v>
      </c>
      <c r="BT44" s="8"/>
      <c r="BV44" s="8"/>
      <c r="BW44" s="16">
        <f t="shared" si="36"/>
        <v>4.8099999999999996</v>
      </c>
      <c r="BX44" s="16">
        <f t="shared" si="37"/>
        <v>6.75</v>
      </c>
      <c r="BY44" s="3">
        <f t="shared" si="38"/>
        <v>-1.9</v>
      </c>
      <c r="BZ44" s="3">
        <f t="shared" si="39"/>
        <v>-2.6</v>
      </c>
      <c r="CA44" s="3">
        <f t="shared" si="40"/>
        <v>-4</v>
      </c>
      <c r="CB44" s="3">
        <f t="shared" si="41"/>
        <v>0.1</v>
      </c>
      <c r="CC44" s="3">
        <f t="shared" si="42"/>
        <v>0.4</v>
      </c>
      <c r="CD44" s="3">
        <f t="shared" si="43"/>
        <v>1</v>
      </c>
      <c r="CE44" s="3">
        <f t="shared" si="44"/>
        <v>1.7</v>
      </c>
      <c r="CF44" s="23">
        <f t="shared" si="45"/>
        <v>92.6</v>
      </c>
      <c r="CG44" s="1">
        <f t="shared" si="46"/>
        <v>6.7</v>
      </c>
      <c r="CH44" s="1">
        <f t="shared" si="47"/>
        <v>6.7</v>
      </c>
      <c r="CI44" s="1">
        <f t="shared" si="48"/>
        <v>3.9</v>
      </c>
      <c r="CJ44" s="1">
        <f t="shared" si="49"/>
        <v>0.2</v>
      </c>
      <c r="CK44" s="1">
        <f t="shared" si="50"/>
        <v>0.4</v>
      </c>
      <c r="CL44" s="1">
        <f t="shared" si="51"/>
        <v>1.1000000000000001</v>
      </c>
      <c r="CM44" s="1">
        <f t="shared" si="52"/>
        <v>1.7</v>
      </c>
      <c r="CN44" s="2">
        <f t="shared" si="53"/>
        <v>98.3</v>
      </c>
      <c r="CO44" s="1">
        <f t="shared" si="54"/>
        <v>-9.6999999999999993</v>
      </c>
      <c r="CP44" s="1">
        <f t="shared" si="55"/>
        <v>-11.5</v>
      </c>
      <c r="CQ44" s="1">
        <f t="shared" si="56"/>
        <v>-13.6</v>
      </c>
      <c r="CR44" s="1">
        <f t="shared" si="57"/>
        <v>0.1</v>
      </c>
      <c r="CS44" s="1">
        <f t="shared" si="58"/>
        <v>0.4</v>
      </c>
      <c r="CT44" s="1">
        <f t="shared" si="59"/>
        <v>1</v>
      </c>
      <c r="CU44" s="1">
        <f t="shared" si="60"/>
        <v>1.6</v>
      </c>
      <c r="CV44" s="2">
        <f t="shared" si="61"/>
        <v>60.5</v>
      </c>
      <c r="CW44" s="18">
        <f t="shared" si="62"/>
        <v>1085</v>
      </c>
      <c r="CX44" s="1">
        <f>ROUND(PPTest!K44,1)</f>
        <v>0</v>
      </c>
      <c r="CY44" s="17">
        <f t="shared" si="63"/>
        <v>1.1000000000000001</v>
      </c>
      <c r="CZ44" s="17">
        <f t="shared" si="64"/>
        <v>2.95</v>
      </c>
      <c r="DA44" s="20">
        <f t="shared" si="65"/>
        <v>0.59399999999999997</v>
      </c>
      <c r="DB44" s="20">
        <f t="shared" si="66"/>
        <v>0.38800000000000001</v>
      </c>
      <c r="DC44" s="16">
        <f t="shared" si="67"/>
        <v>12.22</v>
      </c>
      <c r="DF44" s="3">
        <v>-3.2</v>
      </c>
      <c r="DG44" s="3">
        <v>-1.2</v>
      </c>
      <c r="DH44" s="3">
        <v>-4.5</v>
      </c>
      <c r="DI44" s="3">
        <v>91.9</v>
      </c>
      <c r="DJ44" s="3">
        <v>89</v>
      </c>
      <c r="DK44" s="3"/>
      <c r="DL44" s="3"/>
      <c r="DM44" s="3"/>
      <c r="DN44" s="3"/>
      <c r="DO44" s="3"/>
      <c r="DP44" s="3"/>
      <c r="DQ44" s="3"/>
      <c r="DR44" s="3"/>
      <c r="DS44" s="3"/>
      <c r="DT44" s="3"/>
      <c r="DW44" s="1">
        <v>-2.2000000000000002</v>
      </c>
      <c r="DX44" s="1">
        <v>-0.9</v>
      </c>
      <c r="DY44" s="1">
        <v>-3.5</v>
      </c>
    </row>
    <row r="45" spans="1:129" x14ac:dyDescent="0.2">
      <c r="A45" s="40">
        <v>34738</v>
      </c>
      <c r="B45" s="3">
        <v>39</v>
      </c>
      <c r="C45" s="3">
        <v>3.952</v>
      </c>
      <c r="D45" s="3">
        <v>8.01</v>
      </c>
      <c r="E45" s="3">
        <v>-6.742</v>
      </c>
      <c r="F45" s="3">
        <v>100.1</v>
      </c>
      <c r="G45" s="3">
        <v>-7.22</v>
      </c>
      <c r="H45" s="3">
        <v>-7.76</v>
      </c>
      <c r="I45" s="3">
        <v>8.7999999999999995E-2</v>
      </c>
      <c r="J45" s="3">
        <v>-3.4430000000000001</v>
      </c>
      <c r="K45" s="3">
        <v>-7.18</v>
      </c>
      <c r="L45" s="3">
        <v>0.36299999999999999</v>
      </c>
      <c r="M45" s="3">
        <v>0.997</v>
      </c>
      <c r="N45" s="3">
        <v>1.6180000000000001</v>
      </c>
      <c r="O45" s="3">
        <v>0</v>
      </c>
      <c r="P45" s="16">
        <v>0.88683333333333336</v>
      </c>
      <c r="Q45" s="3"/>
      <c r="R45" s="3">
        <v>-0.83699999999999997</v>
      </c>
      <c r="S45" s="3">
        <v>1318</v>
      </c>
      <c r="T45" s="3">
        <v>105</v>
      </c>
      <c r="U45" s="3">
        <v>502</v>
      </c>
      <c r="V45" s="3">
        <v>-0.28299999999999997</v>
      </c>
      <c r="W45" s="3">
        <v>-2.6640000000000001</v>
      </c>
      <c r="X45" s="3">
        <v>0.13</v>
      </c>
      <c r="Y45" s="3">
        <v>-1.206</v>
      </c>
      <c r="Z45" s="3">
        <v>-0.98399999999999999</v>
      </c>
      <c r="AA45" s="3">
        <v>0.40100000000000002</v>
      </c>
      <c r="AB45" s="3">
        <v>1.0509999999999999</v>
      </c>
      <c r="AC45" s="3">
        <v>1.663</v>
      </c>
      <c r="AD45" s="16">
        <v>4.2074999999999996</v>
      </c>
      <c r="AE45" s="3">
        <v>1346</v>
      </c>
      <c r="AF45" s="3">
        <v>-11.19</v>
      </c>
      <c r="AG45" s="3">
        <v>2304</v>
      </c>
      <c r="AH45" s="3">
        <v>90.6</v>
      </c>
      <c r="AI45" s="3">
        <v>1327</v>
      </c>
      <c r="AJ45" s="3">
        <v>-12.33</v>
      </c>
      <c r="AK45" s="3">
        <v>-14.25</v>
      </c>
      <c r="AL45" s="3">
        <v>4.5999999999999999E-2</v>
      </c>
      <c r="AM45" s="3">
        <v>-7.53</v>
      </c>
      <c r="AN45" s="3">
        <v>-12.73</v>
      </c>
      <c r="AO45" s="3">
        <v>0.33400000000000002</v>
      </c>
      <c r="AP45" s="3">
        <v>0.96399999999999997</v>
      </c>
      <c r="AQ45" s="3">
        <v>1.569</v>
      </c>
      <c r="AR45" s="3">
        <v>0.05</v>
      </c>
      <c r="AS45" s="3">
        <v>0.26400000000000001</v>
      </c>
      <c r="AT45" s="3">
        <v>0.17199999999999999</v>
      </c>
      <c r="AU45" s="3">
        <v>5.3999999999999999E-2</v>
      </c>
      <c r="AV45" s="3">
        <v>0.13400000000000001</v>
      </c>
      <c r="AW45" s="3">
        <v>0.247</v>
      </c>
      <c r="AX45" s="3">
        <v>4.4999999999999998E-2</v>
      </c>
      <c r="AY45" s="3">
        <v>3.3000000000000002E-2</v>
      </c>
      <c r="AZ45" s="3">
        <v>-2.3460000000000001</v>
      </c>
      <c r="BA45" s="3">
        <v>2413</v>
      </c>
      <c r="BB45" s="3">
        <v>12.22</v>
      </c>
      <c r="BC45" s="3">
        <v>2876</v>
      </c>
      <c r="BD45" s="3"/>
      <c r="BE45" s="3"/>
      <c r="BF45" s="3">
        <f t="shared" si="25"/>
        <v>1072</v>
      </c>
      <c r="BH45" s="16">
        <v>8.57</v>
      </c>
      <c r="BI45" s="16">
        <f t="shared" si="68"/>
        <v>17.311399999999999</v>
      </c>
      <c r="BJ45" s="17">
        <f t="shared" si="1"/>
        <v>3.95</v>
      </c>
      <c r="BK45" s="17">
        <f t="shared" si="2"/>
        <v>8.65</v>
      </c>
      <c r="BM45" s="1">
        <f t="shared" si="3"/>
        <v>98</v>
      </c>
      <c r="BN45" s="1">
        <f t="shared" si="4"/>
        <v>93.5</v>
      </c>
      <c r="BO45" s="1">
        <f t="shared" si="5"/>
        <v>84.7</v>
      </c>
      <c r="BP45" s="62">
        <f t="shared" si="26"/>
        <v>0.48599999999999999</v>
      </c>
      <c r="BQ45" s="62">
        <f t="shared" si="6"/>
        <v>8.7999999999999995E-2</v>
      </c>
      <c r="BS45" s="3">
        <v>0.3</v>
      </c>
      <c r="BT45" s="8"/>
      <c r="BV45" s="8"/>
      <c r="BW45" s="16">
        <f t="shared" si="36"/>
        <v>3.95</v>
      </c>
      <c r="BX45" s="16">
        <f t="shared" si="37"/>
        <v>8.65</v>
      </c>
      <c r="BY45" s="3">
        <f t="shared" si="38"/>
        <v>-6.7</v>
      </c>
      <c r="BZ45" s="3">
        <f t="shared" si="39"/>
        <v>-7.2</v>
      </c>
      <c r="CA45" s="3">
        <f t="shared" si="40"/>
        <v>-7.8</v>
      </c>
      <c r="CB45" s="3">
        <f t="shared" si="41"/>
        <v>0.1</v>
      </c>
      <c r="CC45" s="3">
        <f t="shared" si="42"/>
        <v>0.4</v>
      </c>
      <c r="CD45" s="3">
        <f t="shared" si="43"/>
        <v>1</v>
      </c>
      <c r="CE45" s="3">
        <f t="shared" si="44"/>
        <v>1.6</v>
      </c>
      <c r="CF45" s="23">
        <f t="shared" si="45"/>
        <v>93.5</v>
      </c>
      <c r="CG45" s="1">
        <f t="shared" si="46"/>
        <v>-0.8</v>
      </c>
      <c r="CH45" s="1">
        <f t="shared" si="47"/>
        <v>-0.3</v>
      </c>
      <c r="CI45" s="1">
        <f t="shared" si="48"/>
        <v>-2.7</v>
      </c>
      <c r="CJ45" s="1">
        <f t="shared" si="49"/>
        <v>0.1</v>
      </c>
      <c r="CK45" s="1">
        <f t="shared" si="50"/>
        <v>0.4</v>
      </c>
      <c r="CL45" s="1">
        <f t="shared" si="51"/>
        <v>1.1000000000000001</v>
      </c>
      <c r="CM45" s="1">
        <f t="shared" si="52"/>
        <v>1.7</v>
      </c>
      <c r="CN45" s="2">
        <f t="shared" si="53"/>
        <v>98</v>
      </c>
      <c r="CO45" s="1">
        <f t="shared" si="54"/>
        <v>-11.2</v>
      </c>
      <c r="CP45" s="1">
        <f t="shared" si="55"/>
        <v>-12.3</v>
      </c>
      <c r="CQ45" s="1">
        <f t="shared" si="56"/>
        <v>-14.3</v>
      </c>
      <c r="CR45" s="1">
        <f t="shared" si="57"/>
        <v>0</v>
      </c>
      <c r="CS45" s="1">
        <f t="shared" si="58"/>
        <v>0.3</v>
      </c>
      <c r="CT45" s="1">
        <f t="shared" si="59"/>
        <v>1</v>
      </c>
      <c r="CU45" s="1">
        <f t="shared" si="60"/>
        <v>1.6</v>
      </c>
      <c r="CV45" s="2">
        <f t="shared" si="61"/>
        <v>84.7</v>
      </c>
      <c r="CW45" s="18">
        <f t="shared" si="62"/>
        <v>1072</v>
      </c>
      <c r="CX45" s="1">
        <f>ROUND(PPTest!K45,1)</f>
        <v>0</v>
      </c>
      <c r="CY45" s="17">
        <f t="shared" si="63"/>
        <v>0.89</v>
      </c>
      <c r="CZ45" s="17">
        <f t="shared" si="64"/>
        <v>4.21</v>
      </c>
      <c r="DA45" s="20">
        <f t="shared" si="65"/>
        <v>0.48599999999999999</v>
      </c>
      <c r="DB45" s="20">
        <f t="shared" si="66"/>
        <v>8.7999999999999995E-2</v>
      </c>
      <c r="DC45" s="16">
        <f t="shared" si="67"/>
        <v>12.22</v>
      </c>
      <c r="DF45" s="3">
        <v>-3</v>
      </c>
      <c r="DG45" s="3">
        <v>1.7</v>
      </c>
      <c r="DH45" s="3">
        <v>-5.2</v>
      </c>
      <c r="DI45" s="3">
        <v>89</v>
      </c>
      <c r="DJ45" s="3">
        <v>76</v>
      </c>
      <c r="DK45" s="3"/>
      <c r="DL45" s="3"/>
      <c r="DM45" s="3"/>
      <c r="DN45" s="3"/>
      <c r="DO45" s="3"/>
      <c r="DP45" s="3"/>
      <c r="DQ45" s="3"/>
      <c r="DR45" s="3"/>
      <c r="DS45" s="3"/>
      <c r="DT45" s="3"/>
      <c r="DW45" s="1">
        <v>-4.0999999999999996</v>
      </c>
      <c r="DX45" s="1">
        <v>0.9</v>
      </c>
      <c r="DY45" s="1">
        <v>-9</v>
      </c>
    </row>
    <row r="46" spans="1:129" x14ac:dyDescent="0.2">
      <c r="A46" s="40">
        <v>34739</v>
      </c>
      <c r="B46" s="3">
        <v>40</v>
      </c>
      <c r="C46" s="3">
        <v>8.85</v>
      </c>
      <c r="D46" s="3">
        <v>16.52</v>
      </c>
      <c r="E46" s="3">
        <v>-6.3440000000000003</v>
      </c>
      <c r="F46" s="3">
        <v>93.4</v>
      </c>
      <c r="G46" s="3">
        <v>-6.83</v>
      </c>
      <c r="H46" s="3">
        <v>-7.99</v>
      </c>
      <c r="I46" s="3">
        <v>5.8999999999999997E-2</v>
      </c>
      <c r="J46" s="3">
        <v>-4.4569999999999999</v>
      </c>
      <c r="K46" s="3">
        <v>-6.282</v>
      </c>
      <c r="L46" s="3">
        <v>0.33400000000000002</v>
      </c>
      <c r="M46" s="3">
        <v>0.95799999999999996</v>
      </c>
      <c r="N46" s="3">
        <v>1.55</v>
      </c>
      <c r="O46" s="3">
        <v>0</v>
      </c>
      <c r="P46" s="16">
        <v>1.1456666666666666</v>
      </c>
      <c r="Q46" s="3"/>
      <c r="R46" s="3">
        <v>0.315</v>
      </c>
      <c r="S46" s="3">
        <v>1429</v>
      </c>
      <c r="T46" s="3">
        <v>102.7</v>
      </c>
      <c r="U46" s="3">
        <v>2114</v>
      </c>
      <c r="V46" s="3">
        <v>3.1</v>
      </c>
      <c r="W46" s="3">
        <v>0.95899999999999996</v>
      </c>
      <c r="X46" s="3">
        <v>8.5000000000000006E-2</v>
      </c>
      <c r="Y46" s="3">
        <v>-2.1789999999999998</v>
      </c>
      <c r="Z46" s="3">
        <v>5.0149999999999997</v>
      </c>
      <c r="AA46" s="3">
        <v>0.36699999999999999</v>
      </c>
      <c r="AB46" s="3">
        <v>0.99199999999999999</v>
      </c>
      <c r="AC46" s="3">
        <v>1.599</v>
      </c>
      <c r="AD46" s="16">
        <v>3.5808333333333335</v>
      </c>
      <c r="AE46" s="3">
        <v>1531</v>
      </c>
      <c r="AF46" s="3">
        <v>-12.92</v>
      </c>
      <c r="AG46" s="3">
        <v>755</v>
      </c>
      <c r="AH46" s="3">
        <v>68.959999999999994</v>
      </c>
      <c r="AI46" s="3">
        <v>1428</v>
      </c>
      <c r="AJ46" s="3">
        <v>-14.4</v>
      </c>
      <c r="AK46" s="3">
        <v>-15.93</v>
      </c>
      <c r="AL46" s="3">
        <v>3.2000000000000001E-2</v>
      </c>
      <c r="AM46" s="3">
        <v>-7.95</v>
      </c>
      <c r="AN46" s="3">
        <v>-14.76</v>
      </c>
      <c r="AO46" s="3">
        <v>0.3</v>
      </c>
      <c r="AP46" s="3">
        <v>0.92200000000000004</v>
      </c>
      <c r="AQ46" s="3">
        <v>1.5089999999999999</v>
      </c>
      <c r="AR46" s="3">
        <v>4.7E-2</v>
      </c>
      <c r="AS46" s="3">
        <v>0.27300000000000002</v>
      </c>
      <c r="AT46" s="3">
        <v>0.249</v>
      </c>
      <c r="AU46" s="3">
        <v>6.7000000000000004E-2</v>
      </c>
      <c r="AV46" s="3">
        <v>0.17199999999999999</v>
      </c>
      <c r="AW46" s="3">
        <v>0.16</v>
      </c>
      <c r="AX46" s="3">
        <v>2.1999999999999999E-2</v>
      </c>
      <c r="AY46" s="3">
        <v>1.2E-2</v>
      </c>
      <c r="AZ46" s="3">
        <v>-4.1559999999999997</v>
      </c>
      <c r="BA46" s="3">
        <v>2428</v>
      </c>
      <c r="BB46" s="3">
        <v>12.21</v>
      </c>
      <c r="BC46" s="3">
        <v>2876</v>
      </c>
      <c r="BD46" s="3"/>
      <c r="BE46" s="3"/>
      <c r="BF46" s="3">
        <f t="shared" si="25"/>
        <v>1057</v>
      </c>
      <c r="BH46" s="16">
        <v>8.75</v>
      </c>
      <c r="BI46" s="16">
        <f t="shared" si="68"/>
        <v>17.675000000000001</v>
      </c>
      <c r="BJ46" s="17">
        <f t="shared" si="1"/>
        <v>8.85</v>
      </c>
      <c r="BK46" s="17">
        <f t="shared" si="2"/>
        <v>17.84</v>
      </c>
      <c r="BM46" s="1">
        <f t="shared" si="3"/>
        <v>95.9</v>
      </c>
      <c r="BN46" s="1">
        <f t="shared" si="4"/>
        <v>87.3</v>
      </c>
      <c r="BO46" s="1">
        <f t="shared" si="5"/>
        <v>64.7</v>
      </c>
      <c r="BP46" s="62">
        <f t="shared" si="26"/>
        <v>0.40400000000000003</v>
      </c>
      <c r="BQ46" s="62">
        <f t="shared" si="6"/>
        <v>0.22</v>
      </c>
      <c r="BS46" s="3">
        <v>1.1000000000000001</v>
      </c>
      <c r="BT46" s="8"/>
      <c r="BV46" s="8"/>
      <c r="BW46" s="16">
        <f t="shared" si="36"/>
        <v>8.85</v>
      </c>
      <c r="BX46" s="16">
        <f t="shared" si="37"/>
        <v>17.84</v>
      </c>
      <c r="BY46" s="3">
        <f t="shared" si="38"/>
        <v>-6.3</v>
      </c>
      <c r="BZ46" s="3">
        <f t="shared" si="39"/>
        <v>-6.8</v>
      </c>
      <c r="CA46" s="3">
        <f t="shared" si="40"/>
        <v>-8</v>
      </c>
      <c r="CB46" s="3">
        <f t="shared" si="41"/>
        <v>0.1</v>
      </c>
      <c r="CC46" s="3">
        <f t="shared" si="42"/>
        <v>0.3</v>
      </c>
      <c r="CD46" s="3">
        <f t="shared" si="43"/>
        <v>1</v>
      </c>
      <c r="CE46" s="3">
        <f t="shared" si="44"/>
        <v>1.6</v>
      </c>
      <c r="CF46" s="23">
        <f t="shared" si="45"/>
        <v>87.3</v>
      </c>
      <c r="CG46" s="1">
        <f t="shared" si="46"/>
        <v>0.3</v>
      </c>
      <c r="CH46" s="1">
        <f t="shared" si="47"/>
        <v>3.1</v>
      </c>
      <c r="CI46" s="1">
        <f t="shared" si="48"/>
        <v>1</v>
      </c>
      <c r="CJ46" s="1">
        <f t="shared" si="49"/>
        <v>0.1</v>
      </c>
      <c r="CK46" s="1">
        <f t="shared" si="50"/>
        <v>0.4</v>
      </c>
      <c r="CL46" s="1">
        <f t="shared" si="51"/>
        <v>1</v>
      </c>
      <c r="CM46" s="1">
        <f t="shared" si="52"/>
        <v>1.6</v>
      </c>
      <c r="CN46" s="2">
        <f t="shared" si="53"/>
        <v>95.9</v>
      </c>
      <c r="CO46" s="1">
        <f t="shared" si="54"/>
        <v>-12.9</v>
      </c>
      <c r="CP46" s="1">
        <f t="shared" si="55"/>
        <v>-14.4</v>
      </c>
      <c r="CQ46" s="1">
        <f t="shared" si="56"/>
        <v>-15.9</v>
      </c>
      <c r="CR46" s="1">
        <f t="shared" si="57"/>
        <v>0</v>
      </c>
      <c r="CS46" s="1">
        <f t="shared" si="58"/>
        <v>0.3</v>
      </c>
      <c r="CT46" s="1">
        <f t="shared" si="59"/>
        <v>0.9</v>
      </c>
      <c r="CU46" s="1">
        <f t="shared" si="60"/>
        <v>1.5</v>
      </c>
      <c r="CV46" s="2">
        <f t="shared" si="61"/>
        <v>64.7</v>
      </c>
      <c r="CW46" s="18">
        <f t="shared" si="62"/>
        <v>1057</v>
      </c>
      <c r="CX46" s="1">
        <f>ROUND(PPTest!K46,1)</f>
        <v>0</v>
      </c>
      <c r="CY46" s="17">
        <f t="shared" si="63"/>
        <v>1.1499999999999999</v>
      </c>
      <c r="CZ46" s="17">
        <f t="shared" si="64"/>
        <v>3.58</v>
      </c>
      <c r="DA46" s="20">
        <f t="shared" si="65"/>
        <v>0.40400000000000003</v>
      </c>
      <c r="DB46" s="20">
        <f t="shared" si="66"/>
        <v>0.22</v>
      </c>
      <c r="DC46" s="16">
        <f t="shared" si="67"/>
        <v>12.21</v>
      </c>
      <c r="DF46" s="3">
        <v>-4.0999999999999996</v>
      </c>
      <c r="DG46" s="3">
        <v>-1.4</v>
      </c>
      <c r="DH46" s="3">
        <v>-6.5</v>
      </c>
      <c r="DI46" s="3">
        <v>86.8</v>
      </c>
      <c r="DJ46" s="3">
        <v>74</v>
      </c>
      <c r="DK46" s="3"/>
      <c r="DL46" s="3"/>
      <c r="DM46" s="3"/>
      <c r="DN46" s="3"/>
      <c r="DO46" s="3"/>
      <c r="DP46" s="3"/>
      <c r="DQ46" s="3"/>
      <c r="DR46" s="3"/>
      <c r="DS46" s="3"/>
      <c r="DT46" s="3"/>
      <c r="DW46" s="1">
        <v>-1.7</v>
      </c>
      <c r="DX46" s="1">
        <v>2.7</v>
      </c>
      <c r="DY46" s="1">
        <v>-9.6</v>
      </c>
    </row>
    <row r="47" spans="1:129" x14ac:dyDescent="0.2">
      <c r="A47" s="40">
        <v>34740</v>
      </c>
      <c r="B47" s="3">
        <v>41</v>
      </c>
      <c r="C47" s="3">
        <v>6.1689999999999996</v>
      </c>
      <c r="D47" s="3">
        <v>11.74</v>
      </c>
      <c r="E47" s="3">
        <v>-6.8250000000000002</v>
      </c>
      <c r="F47" s="3">
        <v>92.1</v>
      </c>
      <c r="G47" s="3">
        <v>-7.49</v>
      </c>
      <c r="H47" s="3">
        <v>-8.2100000000000009</v>
      </c>
      <c r="I47" s="3">
        <v>6.0999999999999999E-2</v>
      </c>
      <c r="J47" s="3">
        <v>-3.28</v>
      </c>
      <c r="K47" s="3">
        <v>-7.45</v>
      </c>
      <c r="L47" s="3">
        <v>0.32</v>
      </c>
      <c r="M47" s="3">
        <v>0.92800000000000005</v>
      </c>
      <c r="N47" s="3">
        <v>1.484</v>
      </c>
      <c r="O47" s="3">
        <v>0</v>
      </c>
      <c r="P47" s="16">
        <v>1.1933333333333334</v>
      </c>
      <c r="Q47" s="3"/>
      <c r="R47" s="3">
        <v>-3.5489999999999999</v>
      </c>
      <c r="S47" s="3">
        <v>1109</v>
      </c>
      <c r="T47" s="3">
        <v>102.4</v>
      </c>
      <c r="U47" s="3">
        <v>551</v>
      </c>
      <c r="V47" s="3">
        <v>-2.657</v>
      </c>
      <c r="W47" s="3">
        <v>-3.6619999999999999</v>
      </c>
      <c r="X47" s="3">
        <v>8.5000000000000006E-2</v>
      </c>
      <c r="Y47" s="3">
        <v>-2.0779999999999998</v>
      </c>
      <c r="Z47" s="3">
        <v>-1.6819999999999999</v>
      </c>
      <c r="AA47" s="3">
        <v>0.34499999999999997</v>
      </c>
      <c r="AB47" s="3">
        <v>0.95499999999999996</v>
      </c>
      <c r="AC47" s="3">
        <v>1.53</v>
      </c>
      <c r="AD47" s="16">
        <v>4.5274999999999999</v>
      </c>
      <c r="AE47" s="3">
        <v>1206</v>
      </c>
      <c r="AF47" s="3">
        <v>-14.41</v>
      </c>
      <c r="AG47" s="3">
        <v>2308</v>
      </c>
      <c r="AH47" s="3">
        <v>71.8</v>
      </c>
      <c r="AI47" s="3">
        <v>1018</v>
      </c>
      <c r="AJ47" s="3">
        <v>-15.32</v>
      </c>
      <c r="AK47" s="3">
        <v>-17.23</v>
      </c>
      <c r="AL47" s="3">
        <v>3.9E-2</v>
      </c>
      <c r="AM47" s="3">
        <v>-8.26</v>
      </c>
      <c r="AN47" s="3">
        <v>-16.350000000000001</v>
      </c>
      <c r="AO47" s="3">
        <v>0.29499999999999998</v>
      </c>
      <c r="AP47" s="3">
        <v>0.90200000000000002</v>
      </c>
      <c r="AQ47" s="3">
        <v>1.444</v>
      </c>
      <c r="AR47" s="3">
        <v>0.04</v>
      </c>
      <c r="AS47" s="3">
        <v>0.14199999999999999</v>
      </c>
      <c r="AT47" s="3">
        <v>0.17399999999999999</v>
      </c>
      <c r="AU47" s="3">
        <v>0.10100000000000001</v>
      </c>
      <c r="AV47" s="3">
        <v>0.157</v>
      </c>
      <c r="AW47" s="3">
        <v>0.249</v>
      </c>
      <c r="AX47" s="3">
        <v>8.2000000000000003E-2</v>
      </c>
      <c r="AY47" s="3">
        <v>5.6000000000000001E-2</v>
      </c>
      <c r="AZ47" s="3">
        <v>-3.8479999999999999</v>
      </c>
      <c r="BA47" s="3">
        <v>2434</v>
      </c>
      <c r="BB47" s="3">
        <v>12.21</v>
      </c>
      <c r="BC47" s="3">
        <v>2876</v>
      </c>
      <c r="BD47" s="3"/>
      <c r="BE47" s="3"/>
      <c r="BF47" s="3">
        <f t="shared" si="25"/>
        <v>1051</v>
      </c>
      <c r="BH47" s="16">
        <v>8.93</v>
      </c>
      <c r="BI47" s="16">
        <f t="shared" si="68"/>
        <v>18.038599999999999</v>
      </c>
      <c r="BJ47" s="17">
        <f t="shared" si="1"/>
        <v>6.17</v>
      </c>
      <c r="BK47" s="17">
        <f t="shared" si="2"/>
        <v>12.68</v>
      </c>
      <c r="BM47" s="1">
        <f t="shared" si="3"/>
        <v>95.6</v>
      </c>
      <c r="BN47" s="1">
        <f t="shared" si="4"/>
        <v>86.1</v>
      </c>
      <c r="BO47" s="1">
        <f t="shared" si="5"/>
        <v>67.3</v>
      </c>
      <c r="BP47" s="62">
        <f t="shared" si="26"/>
        <v>0.316</v>
      </c>
      <c r="BQ47" s="62">
        <f t="shared" si="6"/>
        <v>0.154</v>
      </c>
      <c r="BS47" s="3">
        <v>0</v>
      </c>
      <c r="BT47" s="8"/>
      <c r="BV47" s="8"/>
      <c r="BW47" s="16">
        <f t="shared" si="36"/>
        <v>6.17</v>
      </c>
      <c r="BX47" s="16">
        <f t="shared" si="37"/>
        <v>12.68</v>
      </c>
      <c r="BY47" s="3">
        <f t="shared" si="38"/>
        <v>-6.8</v>
      </c>
      <c r="BZ47" s="3">
        <f t="shared" si="39"/>
        <v>-7.5</v>
      </c>
      <c r="CA47" s="3">
        <f t="shared" si="40"/>
        <v>-8.1999999999999993</v>
      </c>
      <c r="CB47" s="3">
        <f t="shared" si="41"/>
        <v>0.1</v>
      </c>
      <c r="CC47" s="3">
        <f t="shared" si="42"/>
        <v>0.3</v>
      </c>
      <c r="CD47" s="3">
        <f t="shared" si="43"/>
        <v>0.9</v>
      </c>
      <c r="CE47" s="3">
        <f t="shared" si="44"/>
        <v>1.5</v>
      </c>
      <c r="CF47" s="23">
        <f t="shared" si="45"/>
        <v>86.1</v>
      </c>
      <c r="CG47" s="1">
        <f t="shared" si="46"/>
        <v>-3.5</v>
      </c>
      <c r="CH47" s="1">
        <f t="shared" si="47"/>
        <v>-2.7</v>
      </c>
      <c r="CI47" s="1">
        <f t="shared" si="48"/>
        <v>-3.7</v>
      </c>
      <c r="CJ47" s="1">
        <f t="shared" si="49"/>
        <v>0.1</v>
      </c>
      <c r="CK47" s="1">
        <f t="shared" si="50"/>
        <v>0.3</v>
      </c>
      <c r="CL47" s="1">
        <f t="shared" si="51"/>
        <v>1</v>
      </c>
      <c r="CM47" s="1">
        <f t="shared" si="52"/>
        <v>1.5</v>
      </c>
      <c r="CN47" s="2">
        <f t="shared" si="53"/>
        <v>95.6</v>
      </c>
      <c r="CO47" s="1">
        <f t="shared" si="54"/>
        <v>-14.4</v>
      </c>
      <c r="CP47" s="1">
        <f t="shared" si="55"/>
        <v>-15.3</v>
      </c>
      <c r="CQ47" s="1">
        <f t="shared" si="56"/>
        <v>-17.2</v>
      </c>
      <c r="CR47" s="1">
        <f t="shared" si="57"/>
        <v>0</v>
      </c>
      <c r="CS47" s="1">
        <f t="shared" si="58"/>
        <v>0.3</v>
      </c>
      <c r="CT47" s="1">
        <f t="shared" si="59"/>
        <v>0.9</v>
      </c>
      <c r="CU47" s="1">
        <f t="shared" si="60"/>
        <v>1.4</v>
      </c>
      <c r="CV47" s="2">
        <f t="shared" si="61"/>
        <v>67.3</v>
      </c>
      <c r="CW47" s="18">
        <f t="shared" si="62"/>
        <v>1051</v>
      </c>
      <c r="CX47" s="1">
        <f>ROUND(PPTest!K47,1)</f>
        <v>0</v>
      </c>
      <c r="CY47" s="17">
        <f t="shared" si="63"/>
        <v>1.19</v>
      </c>
      <c r="CZ47" s="17">
        <f t="shared" si="64"/>
        <v>4.53</v>
      </c>
      <c r="DA47" s="20">
        <f t="shared" si="65"/>
        <v>0.316</v>
      </c>
      <c r="DB47" s="20">
        <f t="shared" si="66"/>
        <v>0.154</v>
      </c>
      <c r="DC47" s="16">
        <f t="shared" si="67"/>
        <v>12.21</v>
      </c>
      <c r="DF47" s="3">
        <v>-7.1</v>
      </c>
      <c r="DG47" s="3">
        <v>-4.7</v>
      </c>
      <c r="DH47" s="3">
        <v>-9.6999999999999993</v>
      </c>
      <c r="DI47" s="3">
        <v>63.7</v>
      </c>
      <c r="DJ47" s="3">
        <v>47</v>
      </c>
      <c r="DK47" s="3"/>
      <c r="DL47" s="3"/>
      <c r="DM47" s="3"/>
      <c r="DN47" s="3"/>
      <c r="DO47" s="3"/>
      <c r="DP47" s="3"/>
      <c r="DQ47" s="3"/>
      <c r="DR47" s="3"/>
      <c r="DS47" s="3"/>
      <c r="DT47" s="3"/>
      <c r="DW47" s="1">
        <v>-5.3</v>
      </c>
      <c r="DX47" s="1">
        <v>-2.1</v>
      </c>
      <c r="DY47" s="1">
        <v>-9.1999999999999993</v>
      </c>
    </row>
    <row r="48" spans="1:129" x14ac:dyDescent="0.2">
      <c r="A48" s="40">
        <v>34741</v>
      </c>
      <c r="B48" s="3">
        <v>42</v>
      </c>
      <c r="C48" s="3">
        <v>6.4359999999999999</v>
      </c>
      <c r="D48" s="3">
        <v>12.44</v>
      </c>
      <c r="E48" s="3">
        <v>-12.17</v>
      </c>
      <c r="F48" s="3">
        <v>74.599999999999994</v>
      </c>
      <c r="G48" s="3">
        <v>-12.78</v>
      </c>
      <c r="H48" s="3">
        <v>-13.67</v>
      </c>
      <c r="I48" s="3">
        <v>6.7000000000000004E-2</v>
      </c>
      <c r="J48" s="3">
        <v>-10.31</v>
      </c>
      <c r="K48" s="3">
        <v>-12.47</v>
      </c>
      <c r="L48" s="3">
        <v>0.32800000000000001</v>
      </c>
      <c r="M48" s="3">
        <v>0.92100000000000004</v>
      </c>
      <c r="N48" s="3">
        <v>1.4490000000000001</v>
      </c>
      <c r="O48" s="3">
        <v>0</v>
      </c>
      <c r="P48" s="16">
        <v>1.5691666666666666</v>
      </c>
      <c r="Q48" s="3"/>
      <c r="R48" s="3">
        <v>-6.38</v>
      </c>
      <c r="S48" s="3">
        <v>1359</v>
      </c>
      <c r="T48" s="3">
        <v>96.7</v>
      </c>
      <c r="U48" s="3">
        <v>303</v>
      </c>
      <c r="V48" s="3">
        <v>-4.1509999999999998</v>
      </c>
      <c r="W48" s="3">
        <v>-6.8550000000000004</v>
      </c>
      <c r="X48" s="3">
        <v>9.0999999999999998E-2</v>
      </c>
      <c r="Y48" s="3">
        <v>-8.23</v>
      </c>
      <c r="Z48" s="3">
        <v>-3.9729999999999999</v>
      </c>
      <c r="AA48" s="3">
        <v>0.35599999999999998</v>
      </c>
      <c r="AB48" s="3">
        <v>0.94599999999999995</v>
      </c>
      <c r="AC48" s="3">
        <v>1.4790000000000001</v>
      </c>
      <c r="AD48" s="16">
        <v>3.5941666666666667</v>
      </c>
      <c r="AE48" s="3">
        <v>2319</v>
      </c>
      <c r="AF48" s="3">
        <v>-18.7</v>
      </c>
      <c r="AG48" s="3">
        <v>814</v>
      </c>
      <c r="AH48" s="3">
        <v>39.83</v>
      </c>
      <c r="AI48" s="3">
        <v>1546</v>
      </c>
      <c r="AJ48" s="3">
        <v>-19.59</v>
      </c>
      <c r="AK48" s="3">
        <v>-21.47</v>
      </c>
      <c r="AL48" s="3">
        <v>3.5999999999999997E-2</v>
      </c>
      <c r="AM48" s="3">
        <v>-14.62</v>
      </c>
      <c r="AN48" s="3">
        <v>-20.190000000000001</v>
      </c>
      <c r="AO48" s="3">
        <v>0.30199999999999999</v>
      </c>
      <c r="AP48" s="3">
        <v>0.89600000000000002</v>
      </c>
      <c r="AQ48" s="3">
        <v>1.4139999999999999</v>
      </c>
      <c r="AR48" s="3">
        <v>6.4000000000000001E-2</v>
      </c>
      <c r="AS48" s="3">
        <v>0.49399999999999999</v>
      </c>
      <c r="AT48" s="3">
        <v>0.436</v>
      </c>
      <c r="AU48" s="3">
        <v>4.0000000000000001E-3</v>
      </c>
      <c r="AV48" s="3">
        <v>0</v>
      </c>
      <c r="AW48" s="3">
        <v>0</v>
      </c>
      <c r="AX48" s="3">
        <v>0</v>
      </c>
      <c r="AY48" s="3">
        <v>1E-3</v>
      </c>
      <c r="AZ48" s="3">
        <v>-8.4700000000000006</v>
      </c>
      <c r="BA48" s="3">
        <v>2448</v>
      </c>
      <c r="BB48" s="3">
        <v>12.2</v>
      </c>
      <c r="BC48" s="3">
        <v>2876</v>
      </c>
      <c r="BD48" s="3"/>
      <c r="BE48" s="3"/>
      <c r="BF48" s="3">
        <f t="shared" si="25"/>
        <v>1037</v>
      </c>
      <c r="BH48" s="16">
        <v>9.1199999999999992</v>
      </c>
      <c r="BI48" s="16">
        <f t="shared" si="68"/>
        <v>18.4224</v>
      </c>
      <c r="BJ48" s="17">
        <f t="shared" si="1"/>
        <v>6.44</v>
      </c>
      <c r="BK48" s="17">
        <f t="shared" si="2"/>
        <v>13.44</v>
      </c>
      <c r="BM48" s="1">
        <f t="shared" si="3"/>
        <v>90.4</v>
      </c>
      <c r="BN48" s="1">
        <f t="shared" si="4"/>
        <v>69.900000000000006</v>
      </c>
      <c r="BO48" s="1">
        <f t="shared" si="5"/>
        <v>37.799999999999997</v>
      </c>
      <c r="BP48" s="62">
        <f t="shared" si="26"/>
        <v>0.14299999999999999</v>
      </c>
      <c r="BQ48" s="62">
        <f t="shared" si="6"/>
        <v>0.23499999999999999</v>
      </c>
      <c r="BS48" s="3">
        <v>0</v>
      </c>
      <c r="BT48" s="8"/>
      <c r="BV48" s="8"/>
      <c r="BW48" s="16">
        <f t="shared" si="36"/>
        <v>6.44</v>
      </c>
      <c r="BX48" s="16">
        <f t="shared" si="37"/>
        <v>13.44</v>
      </c>
      <c r="BY48" s="3">
        <f t="shared" si="38"/>
        <v>-12.2</v>
      </c>
      <c r="BZ48" s="3">
        <f t="shared" si="39"/>
        <v>-12.8</v>
      </c>
      <c r="CA48" s="3">
        <f t="shared" si="40"/>
        <v>-13.7</v>
      </c>
      <c r="CB48" s="3">
        <f t="shared" si="41"/>
        <v>0.1</v>
      </c>
      <c r="CC48" s="3">
        <f t="shared" si="42"/>
        <v>0.3</v>
      </c>
      <c r="CD48" s="3">
        <f t="shared" si="43"/>
        <v>0.9</v>
      </c>
      <c r="CE48" s="3">
        <f t="shared" si="44"/>
        <v>1.4</v>
      </c>
      <c r="CF48" s="23">
        <f t="shared" si="45"/>
        <v>69.900000000000006</v>
      </c>
      <c r="CG48" s="1">
        <f t="shared" si="46"/>
        <v>-6.4</v>
      </c>
      <c r="CH48" s="1">
        <f t="shared" si="47"/>
        <v>-4.2</v>
      </c>
      <c r="CI48" s="1">
        <f t="shared" si="48"/>
        <v>-6.9</v>
      </c>
      <c r="CJ48" s="1">
        <f t="shared" si="49"/>
        <v>0.1</v>
      </c>
      <c r="CK48" s="1">
        <f t="shared" si="50"/>
        <v>0.4</v>
      </c>
      <c r="CL48" s="1">
        <f t="shared" si="51"/>
        <v>0.9</v>
      </c>
      <c r="CM48" s="1">
        <f t="shared" si="52"/>
        <v>1.5</v>
      </c>
      <c r="CN48" s="2">
        <f t="shared" si="53"/>
        <v>90.4</v>
      </c>
      <c r="CO48" s="1">
        <f t="shared" si="54"/>
        <v>-18.7</v>
      </c>
      <c r="CP48" s="1">
        <f t="shared" si="55"/>
        <v>-19.600000000000001</v>
      </c>
      <c r="CQ48" s="1">
        <f t="shared" si="56"/>
        <v>-21.5</v>
      </c>
      <c r="CR48" s="1">
        <f t="shared" si="57"/>
        <v>0</v>
      </c>
      <c r="CS48" s="1">
        <f t="shared" si="58"/>
        <v>0.3</v>
      </c>
      <c r="CT48" s="1">
        <f t="shared" si="59"/>
        <v>0.9</v>
      </c>
      <c r="CU48" s="1">
        <f t="shared" si="60"/>
        <v>1.4</v>
      </c>
      <c r="CV48" s="2">
        <f t="shared" si="61"/>
        <v>37.799999999999997</v>
      </c>
      <c r="CW48" s="18">
        <f t="shared" si="62"/>
        <v>1037</v>
      </c>
      <c r="CX48" s="1">
        <f>ROUND(PPTest!K48,1)</f>
        <v>0</v>
      </c>
      <c r="CY48" s="17">
        <f t="shared" si="63"/>
        <v>1.57</v>
      </c>
      <c r="CZ48" s="17">
        <f t="shared" si="64"/>
        <v>3.59</v>
      </c>
      <c r="DA48" s="20">
        <f t="shared" si="65"/>
        <v>0.14299999999999999</v>
      </c>
      <c r="DB48" s="20">
        <f t="shared" si="66"/>
        <v>0.23499999999999999</v>
      </c>
      <c r="DC48" s="16">
        <f t="shared" si="67"/>
        <v>12.2</v>
      </c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W48" s="1">
        <v>-8.3000000000000007</v>
      </c>
      <c r="DX48" s="1">
        <v>-6.7</v>
      </c>
      <c r="DY48" s="1">
        <v>-10.7</v>
      </c>
    </row>
    <row r="49" spans="1:129" x14ac:dyDescent="0.2">
      <c r="A49" s="40">
        <v>34742</v>
      </c>
      <c r="B49" s="3">
        <v>43</v>
      </c>
      <c r="C49" s="3">
        <v>9.7100000000000009</v>
      </c>
      <c r="D49" s="3">
        <v>18.190000000000001</v>
      </c>
      <c r="E49" s="3">
        <v>-16</v>
      </c>
      <c r="F49" s="3">
        <v>47.82</v>
      </c>
      <c r="G49" s="3">
        <v>-16.329999999999998</v>
      </c>
      <c r="H49" s="3">
        <v>-16.8</v>
      </c>
      <c r="I49" s="3">
        <v>7.3999999999999996E-2</v>
      </c>
      <c r="J49" s="3">
        <v>-15.53</v>
      </c>
      <c r="K49" s="3">
        <v>-15.95</v>
      </c>
      <c r="L49" s="3">
        <v>0.34799999999999998</v>
      </c>
      <c r="M49" s="3">
        <v>0.93700000000000006</v>
      </c>
      <c r="N49" s="3">
        <v>1.44</v>
      </c>
      <c r="O49" s="3">
        <v>0</v>
      </c>
      <c r="P49" s="16">
        <v>3.3758333333333335</v>
      </c>
      <c r="Q49" s="3"/>
      <c r="R49" s="3">
        <v>-12.82</v>
      </c>
      <c r="S49" s="3">
        <v>1</v>
      </c>
      <c r="T49" s="3">
        <v>66.56</v>
      </c>
      <c r="U49" s="3">
        <v>113</v>
      </c>
      <c r="V49" s="3">
        <v>-12.44</v>
      </c>
      <c r="W49" s="3">
        <v>-13.16</v>
      </c>
      <c r="X49" s="3">
        <v>0.11899999999999999</v>
      </c>
      <c r="Y49" s="3">
        <v>-9.6199999999999992</v>
      </c>
      <c r="Z49" s="3">
        <v>-10.5</v>
      </c>
      <c r="AA49" s="3">
        <v>0.38500000000000001</v>
      </c>
      <c r="AB49" s="3">
        <v>0.97299999999999998</v>
      </c>
      <c r="AC49" s="3">
        <v>1.4790000000000001</v>
      </c>
      <c r="AD49" s="16">
        <v>6.6208333333333336</v>
      </c>
      <c r="AE49" s="3">
        <v>2001</v>
      </c>
      <c r="AF49" s="3">
        <v>-19.63</v>
      </c>
      <c r="AG49" s="3">
        <v>0</v>
      </c>
      <c r="AH49" s="3">
        <v>32.119999999999997</v>
      </c>
      <c r="AI49" s="3">
        <v>1424</v>
      </c>
      <c r="AJ49" s="3">
        <v>-20.82</v>
      </c>
      <c r="AK49" s="3">
        <v>-23.21</v>
      </c>
      <c r="AL49" s="3">
        <v>3.5999999999999997E-2</v>
      </c>
      <c r="AM49" s="3">
        <v>-18.36</v>
      </c>
      <c r="AN49" s="3">
        <v>-22.22</v>
      </c>
      <c r="AO49" s="3">
        <v>0.314</v>
      </c>
      <c r="AP49" s="3">
        <v>0.89300000000000002</v>
      </c>
      <c r="AQ49" s="3">
        <v>1.389</v>
      </c>
      <c r="AR49" s="3">
        <v>6.5000000000000002E-2</v>
      </c>
      <c r="AS49" s="3">
        <v>0.74099999999999999</v>
      </c>
      <c r="AT49" s="3">
        <v>0.189</v>
      </c>
      <c r="AU49" s="3">
        <v>3.0000000000000001E-3</v>
      </c>
      <c r="AV49" s="3">
        <v>0</v>
      </c>
      <c r="AW49" s="3">
        <v>0</v>
      </c>
      <c r="AX49" s="3">
        <v>0</v>
      </c>
      <c r="AY49" s="3">
        <v>2E-3</v>
      </c>
      <c r="AZ49" s="3">
        <v>-13.53</v>
      </c>
      <c r="BA49" s="3">
        <v>2462</v>
      </c>
      <c r="BB49" s="3">
        <v>12.2</v>
      </c>
      <c r="BC49" s="3">
        <v>2876</v>
      </c>
      <c r="BD49" s="3"/>
      <c r="BE49" s="3"/>
      <c r="BF49" s="3">
        <f t="shared" si="25"/>
        <v>1023</v>
      </c>
      <c r="BH49" s="16">
        <v>9.31</v>
      </c>
      <c r="BI49" s="16">
        <f t="shared" si="68"/>
        <v>18.8062</v>
      </c>
      <c r="BJ49" s="17">
        <f t="shared" si="1"/>
        <v>9.7100000000000009</v>
      </c>
      <c r="BK49" s="17">
        <f t="shared" si="2"/>
        <v>19.649999999999999</v>
      </c>
      <c r="BM49" s="1">
        <f t="shared" si="3"/>
        <v>62.5</v>
      </c>
      <c r="BN49" s="1">
        <f t="shared" si="4"/>
        <v>45.2</v>
      </c>
      <c r="BO49" s="1">
        <f t="shared" si="5"/>
        <v>30.7</v>
      </c>
      <c r="BP49" s="62">
        <f t="shared" si="26"/>
        <v>7.0000000000000007E-2</v>
      </c>
      <c r="BQ49" s="62">
        <f t="shared" si="6"/>
        <v>0.158</v>
      </c>
      <c r="BS49" s="3">
        <v>0</v>
      </c>
      <c r="BT49" s="8"/>
      <c r="BV49" s="8"/>
      <c r="BW49" s="16">
        <f t="shared" si="36"/>
        <v>9.7100000000000009</v>
      </c>
      <c r="BX49" s="16">
        <f t="shared" si="37"/>
        <v>19.649999999999999</v>
      </c>
      <c r="BY49" s="3">
        <f t="shared" si="38"/>
        <v>-16</v>
      </c>
      <c r="BZ49" s="3">
        <f t="shared" si="39"/>
        <v>-16.3</v>
      </c>
      <c r="CA49" s="3">
        <f t="shared" si="40"/>
        <v>-16.8</v>
      </c>
      <c r="CB49" s="3">
        <f t="shared" si="41"/>
        <v>0.1</v>
      </c>
      <c r="CC49" s="3">
        <f t="shared" si="42"/>
        <v>0.3</v>
      </c>
      <c r="CD49" s="3">
        <f t="shared" si="43"/>
        <v>0.9</v>
      </c>
      <c r="CE49" s="3">
        <f t="shared" si="44"/>
        <v>1.4</v>
      </c>
      <c r="CF49" s="23">
        <f t="shared" si="45"/>
        <v>45.2</v>
      </c>
      <c r="CG49" s="1">
        <f t="shared" si="46"/>
        <v>-12.8</v>
      </c>
      <c r="CH49" s="1">
        <f t="shared" si="47"/>
        <v>-12.4</v>
      </c>
      <c r="CI49" s="1">
        <f t="shared" si="48"/>
        <v>-13.2</v>
      </c>
      <c r="CJ49" s="1">
        <f t="shared" si="49"/>
        <v>0.1</v>
      </c>
      <c r="CK49" s="1">
        <f t="shared" si="50"/>
        <v>0.4</v>
      </c>
      <c r="CL49" s="1">
        <f t="shared" si="51"/>
        <v>1</v>
      </c>
      <c r="CM49" s="1">
        <f t="shared" si="52"/>
        <v>1.5</v>
      </c>
      <c r="CN49" s="2">
        <f t="shared" si="53"/>
        <v>62.5</v>
      </c>
      <c r="CO49" s="1">
        <f t="shared" si="54"/>
        <v>-19.600000000000001</v>
      </c>
      <c r="CP49" s="1">
        <f t="shared" si="55"/>
        <v>-20.8</v>
      </c>
      <c r="CQ49" s="1">
        <f t="shared" si="56"/>
        <v>-23.2</v>
      </c>
      <c r="CR49" s="1">
        <f t="shared" si="57"/>
        <v>0</v>
      </c>
      <c r="CS49" s="1">
        <f t="shared" si="58"/>
        <v>0.3</v>
      </c>
      <c r="CT49" s="1">
        <f t="shared" si="59"/>
        <v>0.9</v>
      </c>
      <c r="CU49" s="1">
        <f t="shared" si="60"/>
        <v>1.4</v>
      </c>
      <c r="CV49" s="2">
        <f t="shared" si="61"/>
        <v>30.7</v>
      </c>
      <c r="CW49" s="18">
        <f t="shared" si="62"/>
        <v>1023</v>
      </c>
      <c r="CX49" s="1">
        <f>ROUND(PPTest!K49,1)</f>
        <v>0</v>
      </c>
      <c r="CY49" s="17">
        <f t="shared" si="63"/>
        <v>3.38</v>
      </c>
      <c r="CZ49" s="17">
        <f t="shared" si="64"/>
        <v>6.62</v>
      </c>
      <c r="DA49" s="20">
        <f t="shared" si="65"/>
        <v>7.0000000000000007E-2</v>
      </c>
      <c r="DB49" s="20">
        <f t="shared" si="66"/>
        <v>0.158</v>
      </c>
      <c r="DC49" s="16">
        <f t="shared" si="67"/>
        <v>12.2</v>
      </c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W49" s="1">
        <v>-15.2</v>
      </c>
      <c r="DX49" s="1">
        <v>-10.7</v>
      </c>
      <c r="DY49" s="1">
        <v>-22.8</v>
      </c>
    </row>
    <row r="50" spans="1:129" x14ac:dyDescent="0.2">
      <c r="A50" s="40">
        <v>34743</v>
      </c>
      <c r="B50" s="3">
        <v>44</v>
      </c>
      <c r="C50" s="3">
        <v>10.039999999999999</v>
      </c>
      <c r="D50" s="3">
        <v>18.75</v>
      </c>
      <c r="E50" s="3">
        <v>-20.64</v>
      </c>
      <c r="F50" s="3">
        <v>59.9</v>
      </c>
      <c r="G50" s="3">
        <v>-21.16</v>
      </c>
      <c r="H50" s="3">
        <v>-22.64</v>
      </c>
      <c r="I50" s="3">
        <v>8.0000000000000002E-3</v>
      </c>
      <c r="J50" s="3">
        <v>-8.6199999999999992</v>
      </c>
      <c r="K50" s="3">
        <v>-21.17</v>
      </c>
      <c r="L50" s="3">
        <v>0.27500000000000002</v>
      </c>
      <c r="M50" s="3">
        <v>0.84899999999999998</v>
      </c>
      <c r="N50" s="3">
        <v>1.34</v>
      </c>
      <c r="O50" s="3">
        <v>0</v>
      </c>
      <c r="P50" s="16">
        <v>1.5608333333333333</v>
      </c>
      <c r="Q50" s="3"/>
      <c r="R50" s="3">
        <v>-10.69</v>
      </c>
      <c r="S50" s="3">
        <v>1520</v>
      </c>
      <c r="T50" s="3">
        <v>83.4</v>
      </c>
      <c r="U50" s="3">
        <v>2236</v>
      </c>
      <c r="V50" s="3">
        <v>-6.8170000000000002</v>
      </c>
      <c r="W50" s="3">
        <v>-10.08</v>
      </c>
      <c r="X50" s="3">
        <v>0.375</v>
      </c>
      <c r="Y50" s="3">
        <v>-7.11</v>
      </c>
      <c r="Z50" s="3">
        <v>-6.47</v>
      </c>
      <c r="AA50" s="3">
        <v>0.35199999999999998</v>
      </c>
      <c r="AB50" s="3">
        <v>0.92400000000000004</v>
      </c>
      <c r="AC50" s="3">
        <v>1.42</v>
      </c>
      <c r="AD50" s="16">
        <v>4.4208333333333334</v>
      </c>
      <c r="AE50" s="3">
        <v>1231</v>
      </c>
      <c r="AF50" s="3">
        <v>-28.29</v>
      </c>
      <c r="AG50" s="3">
        <v>2344</v>
      </c>
      <c r="AH50" s="3">
        <v>27.51</v>
      </c>
      <c r="AI50" s="3">
        <v>1521</v>
      </c>
      <c r="AJ50" s="3">
        <v>-28.8</v>
      </c>
      <c r="AK50" s="3">
        <v>-30.98</v>
      </c>
      <c r="AL50" s="3">
        <v>-9.9000000000000005E-2</v>
      </c>
      <c r="AM50" s="3">
        <v>-12.72</v>
      </c>
      <c r="AN50" s="3">
        <v>-29.53</v>
      </c>
      <c r="AO50" s="3">
        <v>0.159</v>
      </c>
      <c r="AP50" s="3">
        <v>0.74099999999999999</v>
      </c>
      <c r="AQ50" s="3">
        <v>1.226</v>
      </c>
      <c r="AR50" s="3">
        <v>7.4999999999999997E-2</v>
      </c>
      <c r="AS50" s="3">
        <v>0.4</v>
      </c>
      <c r="AT50" s="3">
        <v>0.45100000000000001</v>
      </c>
      <c r="AU50" s="3">
        <v>1.0999999999999999E-2</v>
      </c>
      <c r="AV50" s="3">
        <v>1.2E-2</v>
      </c>
      <c r="AW50" s="3">
        <v>1.7999999999999999E-2</v>
      </c>
      <c r="AX50" s="3">
        <v>3.0000000000000001E-3</v>
      </c>
      <c r="AY50" s="3">
        <v>3.1E-2</v>
      </c>
      <c r="AZ50" s="3">
        <v>-18.440000000000001</v>
      </c>
      <c r="BA50" s="3">
        <v>2448</v>
      </c>
      <c r="BB50" s="3">
        <v>12.19</v>
      </c>
      <c r="BC50" s="3">
        <v>2876</v>
      </c>
      <c r="BD50" s="3"/>
      <c r="BE50" s="3"/>
      <c r="BF50" s="3">
        <f t="shared" si="25"/>
        <v>1037</v>
      </c>
      <c r="BH50" s="16">
        <v>9.5</v>
      </c>
      <c r="BI50" s="16">
        <f t="shared" si="68"/>
        <v>19.190000000000001</v>
      </c>
      <c r="BJ50" s="17">
        <f t="shared" si="1"/>
        <v>10.039999999999999</v>
      </c>
      <c r="BK50" s="17">
        <f t="shared" si="2"/>
        <v>20.25</v>
      </c>
      <c r="BM50" s="1">
        <f t="shared" si="3"/>
        <v>78.099999999999994</v>
      </c>
      <c r="BN50" s="1">
        <f t="shared" si="4"/>
        <v>56.3</v>
      </c>
      <c r="BO50" s="1">
        <f t="shared" si="5"/>
        <v>26.4</v>
      </c>
      <c r="BP50" s="62">
        <f t="shared" si="26"/>
        <v>7.0999999999999994E-2</v>
      </c>
      <c r="BQ50" s="62">
        <f t="shared" si="6"/>
        <v>0.19800000000000001</v>
      </c>
      <c r="BS50" s="3">
        <v>0</v>
      </c>
      <c r="BT50" s="8"/>
      <c r="BV50" s="8"/>
      <c r="BW50" s="16">
        <f t="shared" si="36"/>
        <v>10.039999999999999</v>
      </c>
      <c r="BX50" s="16">
        <f t="shared" si="37"/>
        <v>20.25</v>
      </c>
      <c r="BY50" s="3">
        <f t="shared" si="38"/>
        <v>-20.6</v>
      </c>
      <c r="BZ50" s="3">
        <f t="shared" si="39"/>
        <v>-21.2</v>
      </c>
      <c r="CA50" s="3">
        <f t="shared" si="40"/>
        <v>-22.6</v>
      </c>
      <c r="CB50" s="3">
        <f t="shared" si="41"/>
        <v>0</v>
      </c>
      <c r="CC50" s="3">
        <f t="shared" si="42"/>
        <v>0.3</v>
      </c>
      <c r="CD50" s="3">
        <f t="shared" si="43"/>
        <v>0.8</v>
      </c>
      <c r="CE50" s="3">
        <f t="shared" si="44"/>
        <v>1.3</v>
      </c>
      <c r="CF50" s="23">
        <f t="shared" si="45"/>
        <v>56.3</v>
      </c>
      <c r="CG50" s="1">
        <f t="shared" si="46"/>
        <v>-10.7</v>
      </c>
      <c r="CH50" s="1">
        <f t="shared" si="47"/>
        <v>-6.8</v>
      </c>
      <c r="CI50" s="1">
        <f t="shared" si="48"/>
        <v>-10.1</v>
      </c>
      <c r="CJ50" s="1">
        <f t="shared" si="49"/>
        <v>0.4</v>
      </c>
      <c r="CK50" s="1">
        <f t="shared" si="50"/>
        <v>0.4</v>
      </c>
      <c r="CL50" s="1">
        <f t="shared" si="51"/>
        <v>0.9</v>
      </c>
      <c r="CM50" s="1">
        <f t="shared" si="52"/>
        <v>1.4</v>
      </c>
      <c r="CN50" s="2">
        <f t="shared" si="53"/>
        <v>78.099999999999994</v>
      </c>
      <c r="CO50" s="1">
        <f t="shared" si="54"/>
        <v>-28.3</v>
      </c>
      <c r="CP50" s="1">
        <f t="shared" si="55"/>
        <v>-28.8</v>
      </c>
      <c r="CQ50" s="1">
        <f t="shared" si="56"/>
        <v>-31</v>
      </c>
      <c r="CR50" s="1">
        <f t="shared" si="57"/>
        <v>-0.1</v>
      </c>
      <c r="CS50" s="1">
        <f t="shared" si="58"/>
        <v>0.2</v>
      </c>
      <c r="CT50" s="1">
        <f t="shared" si="59"/>
        <v>0.7</v>
      </c>
      <c r="CU50" s="1">
        <f t="shared" si="60"/>
        <v>1.2</v>
      </c>
      <c r="CV50" s="2">
        <f t="shared" si="61"/>
        <v>26.4</v>
      </c>
      <c r="CW50" s="18">
        <f t="shared" si="62"/>
        <v>1037</v>
      </c>
      <c r="CX50" s="1">
        <f>ROUND(PPTest!K50,1)</f>
        <v>1.8</v>
      </c>
      <c r="CY50" s="17">
        <f t="shared" si="63"/>
        <v>1.56</v>
      </c>
      <c r="CZ50" s="17">
        <f t="shared" si="64"/>
        <v>4.42</v>
      </c>
      <c r="DA50" s="20">
        <f t="shared" si="65"/>
        <v>7.0999999999999994E-2</v>
      </c>
      <c r="DB50" s="20">
        <f t="shared" si="66"/>
        <v>0.19800000000000001</v>
      </c>
      <c r="DC50" s="16">
        <f t="shared" si="67"/>
        <v>12.19</v>
      </c>
      <c r="DW50" s="1">
        <v>-20.3</v>
      </c>
      <c r="DX50" s="1">
        <v>-13.2</v>
      </c>
      <c r="DY50" s="1">
        <v>-25.7</v>
      </c>
    </row>
    <row r="51" spans="1:129" x14ac:dyDescent="0.2">
      <c r="A51" s="40">
        <v>34744</v>
      </c>
      <c r="B51" s="3">
        <v>45</v>
      </c>
      <c r="C51" s="3">
        <v>7.49</v>
      </c>
      <c r="D51" s="3">
        <v>14.65</v>
      </c>
      <c r="E51" s="3">
        <v>-19.46</v>
      </c>
      <c r="F51" s="3">
        <v>76.599999999999994</v>
      </c>
      <c r="G51" s="3">
        <v>-19.75</v>
      </c>
      <c r="H51" s="3">
        <v>-20.21</v>
      </c>
      <c r="I51" s="3">
        <v>-0.10299999999999999</v>
      </c>
      <c r="J51" s="3">
        <v>-7.57</v>
      </c>
      <c r="K51" s="3">
        <v>-19.39</v>
      </c>
      <c r="L51" s="3">
        <v>0.221</v>
      </c>
      <c r="M51" s="3">
        <v>0.79500000000000004</v>
      </c>
      <c r="N51" s="3">
        <v>1.28</v>
      </c>
      <c r="O51" s="3">
        <v>0</v>
      </c>
      <c r="P51" s="16">
        <v>1.3080000000000001</v>
      </c>
      <c r="Q51" s="3"/>
      <c r="R51" s="3">
        <v>-11.96</v>
      </c>
      <c r="S51" s="3">
        <v>1400</v>
      </c>
      <c r="T51" s="3">
        <v>96.8</v>
      </c>
      <c r="U51" s="3">
        <v>2208</v>
      </c>
      <c r="V51" s="3">
        <v>-10.77</v>
      </c>
      <c r="W51" s="3">
        <v>-11.5</v>
      </c>
      <c r="X51" s="3">
        <v>-2.1999999999999999E-2</v>
      </c>
      <c r="Y51" s="3">
        <v>-6.3049999999999997</v>
      </c>
      <c r="Z51" s="3">
        <v>-7.78</v>
      </c>
      <c r="AA51" s="3">
        <v>0.31900000000000001</v>
      </c>
      <c r="AB51" s="3">
        <v>0.89500000000000002</v>
      </c>
      <c r="AC51" s="3">
        <v>1.38</v>
      </c>
      <c r="AD51" s="16">
        <v>3.9541666666666666</v>
      </c>
      <c r="AE51" s="3">
        <v>1408</v>
      </c>
      <c r="AF51" s="3">
        <v>-28.57</v>
      </c>
      <c r="AG51" s="3">
        <v>442</v>
      </c>
      <c r="AH51" s="3">
        <v>47.03</v>
      </c>
      <c r="AI51" s="3">
        <v>1203</v>
      </c>
      <c r="AJ51" s="3">
        <v>-29.16</v>
      </c>
      <c r="AK51" s="3">
        <v>-30.17</v>
      </c>
      <c r="AL51" s="3">
        <v>-0.19600000000000001</v>
      </c>
      <c r="AM51" s="3">
        <v>-8.34</v>
      </c>
      <c r="AN51" s="3">
        <v>-29.92</v>
      </c>
      <c r="AO51" s="3">
        <v>0.11899999999999999</v>
      </c>
      <c r="AP51" s="3">
        <v>0.68799999999999994</v>
      </c>
      <c r="AQ51" s="3">
        <v>1.173</v>
      </c>
      <c r="AR51" s="3">
        <v>3.1E-2</v>
      </c>
      <c r="AS51" s="3">
        <v>0.19400000000000001</v>
      </c>
      <c r="AT51" s="3">
        <v>0.39</v>
      </c>
      <c r="AU51" s="3">
        <v>3.1E-2</v>
      </c>
      <c r="AV51" s="3">
        <v>0.06</v>
      </c>
      <c r="AW51" s="3">
        <v>0.20300000000000001</v>
      </c>
      <c r="AX51" s="3">
        <v>6.7000000000000004E-2</v>
      </c>
      <c r="AY51" s="3">
        <v>2.5000000000000001E-2</v>
      </c>
      <c r="AZ51" s="3">
        <v>-18.55</v>
      </c>
      <c r="BA51" s="3">
        <v>2442</v>
      </c>
      <c r="BB51" s="3">
        <v>12.18</v>
      </c>
      <c r="BC51" s="3">
        <v>2876</v>
      </c>
      <c r="BD51" s="3"/>
      <c r="BE51" s="3"/>
      <c r="BF51" s="3">
        <f t="shared" si="25"/>
        <v>1043</v>
      </c>
      <c r="BH51" s="16">
        <v>9.69</v>
      </c>
      <c r="BI51" s="16">
        <f t="shared" si="68"/>
        <v>19.573799999999999</v>
      </c>
      <c r="BJ51" s="17">
        <f t="shared" si="1"/>
        <v>7.49</v>
      </c>
      <c r="BK51" s="17">
        <f t="shared" si="2"/>
        <v>15.82</v>
      </c>
      <c r="BM51" s="1">
        <f t="shared" si="3"/>
        <v>90.4</v>
      </c>
      <c r="BN51" s="1">
        <f t="shared" si="4"/>
        <v>71.8</v>
      </c>
      <c r="BO51" s="1">
        <f t="shared" si="5"/>
        <v>44.5</v>
      </c>
      <c r="BP51" s="62">
        <f t="shared" si="26"/>
        <v>0.109</v>
      </c>
      <c r="BQ51" s="62">
        <f t="shared" si="6"/>
        <v>0.13600000000000001</v>
      </c>
      <c r="BS51" s="3">
        <v>0</v>
      </c>
      <c r="BT51" s="8"/>
      <c r="BV51" s="8"/>
      <c r="BW51" s="16">
        <f t="shared" si="36"/>
        <v>7.49</v>
      </c>
      <c r="BX51" s="16">
        <f t="shared" si="37"/>
        <v>15.82</v>
      </c>
      <c r="BY51" s="3">
        <f t="shared" si="38"/>
        <v>-19.5</v>
      </c>
      <c r="BZ51" s="3">
        <f t="shared" si="39"/>
        <v>-19.8</v>
      </c>
      <c r="CA51" s="3">
        <f t="shared" si="40"/>
        <v>-20.2</v>
      </c>
      <c r="CB51" s="3">
        <f t="shared" si="41"/>
        <v>-0.1</v>
      </c>
      <c r="CC51" s="3">
        <f t="shared" si="42"/>
        <v>0.2</v>
      </c>
      <c r="CD51" s="3">
        <f t="shared" si="43"/>
        <v>0.8</v>
      </c>
      <c r="CE51" s="3">
        <f t="shared" si="44"/>
        <v>1.3</v>
      </c>
      <c r="CF51" s="23">
        <f t="shared" si="45"/>
        <v>71.8</v>
      </c>
      <c r="CG51" s="1">
        <f t="shared" si="46"/>
        <v>-12</v>
      </c>
      <c r="CH51" s="1">
        <f t="shared" si="47"/>
        <v>-10.8</v>
      </c>
      <c r="CI51" s="1">
        <f t="shared" si="48"/>
        <v>-11.5</v>
      </c>
      <c r="CJ51" s="1">
        <f t="shared" si="49"/>
        <v>0</v>
      </c>
      <c r="CK51" s="1">
        <f t="shared" si="50"/>
        <v>0.3</v>
      </c>
      <c r="CL51" s="1">
        <f t="shared" si="51"/>
        <v>0.9</v>
      </c>
      <c r="CM51" s="1">
        <f t="shared" si="52"/>
        <v>1.4</v>
      </c>
      <c r="CN51" s="2">
        <f t="shared" si="53"/>
        <v>90.4</v>
      </c>
      <c r="CO51" s="1">
        <f t="shared" si="54"/>
        <v>-28.6</v>
      </c>
      <c r="CP51" s="1">
        <f t="shared" si="55"/>
        <v>-29.2</v>
      </c>
      <c r="CQ51" s="1">
        <f t="shared" si="56"/>
        <v>-30.2</v>
      </c>
      <c r="CR51" s="1">
        <f t="shared" si="57"/>
        <v>-0.2</v>
      </c>
      <c r="CS51" s="1">
        <f t="shared" si="58"/>
        <v>0.1</v>
      </c>
      <c r="CT51" s="1">
        <f t="shared" si="59"/>
        <v>0.7</v>
      </c>
      <c r="CU51" s="1">
        <f t="shared" si="60"/>
        <v>1.2</v>
      </c>
      <c r="CV51" s="2">
        <f t="shared" si="61"/>
        <v>44.5</v>
      </c>
      <c r="CW51" s="18">
        <f t="shared" si="62"/>
        <v>1043</v>
      </c>
      <c r="CX51" s="1">
        <f>ROUND(PPTest!K51,1)</f>
        <v>0.8</v>
      </c>
      <c r="CY51" s="17">
        <f t="shared" si="63"/>
        <v>1.31</v>
      </c>
      <c r="CZ51" s="17">
        <f t="shared" si="64"/>
        <v>3.95</v>
      </c>
      <c r="DA51" s="20">
        <f t="shared" si="65"/>
        <v>0.109</v>
      </c>
      <c r="DB51" s="20">
        <f t="shared" si="66"/>
        <v>0.13600000000000001</v>
      </c>
      <c r="DC51" s="16">
        <f t="shared" si="67"/>
        <v>12.18</v>
      </c>
      <c r="DF51" s="3">
        <v>-10.1</v>
      </c>
      <c r="DG51" s="3">
        <v>-7.4</v>
      </c>
      <c r="DH51" s="3">
        <v>-12.6</v>
      </c>
      <c r="DI51" s="3">
        <v>89.8</v>
      </c>
      <c r="DJ51" s="3">
        <v>88</v>
      </c>
      <c r="DK51" s="3"/>
      <c r="DL51" s="3"/>
      <c r="DM51" s="3"/>
      <c r="DN51" s="3"/>
      <c r="DO51" s="3"/>
      <c r="DP51" s="3"/>
      <c r="DQ51" s="3"/>
      <c r="DR51" s="3"/>
      <c r="DS51" s="3"/>
      <c r="DT51" s="3"/>
      <c r="DW51" s="1">
        <v>-17.899999999999999</v>
      </c>
      <c r="DX51" s="1">
        <v>-11.4</v>
      </c>
      <c r="DY51" s="1">
        <v>-26.4</v>
      </c>
    </row>
    <row r="52" spans="1:129" x14ac:dyDescent="0.2">
      <c r="A52" s="40">
        <v>34745</v>
      </c>
      <c r="B52" s="3">
        <v>46</v>
      </c>
      <c r="C52" s="3">
        <v>2.4729999999999999</v>
      </c>
      <c r="D52" s="3">
        <v>5.6970000000000001</v>
      </c>
      <c r="E52" s="3">
        <v>-11.32</v>
      </c>
      <c r="F52" s="3">
        <v>92.2</v>
      </c>
      <c r="G52" s="3">
        <v>-11.48</v>
      </c>
      <c r="H52" s="3">
        <v>-11.74</v>
      </c>
      <c r="I52" s="3">
        <v>-0.255</v>
      </c>
      <c r="J52" s="3">
        <v>-8.26</v>
      </c>
      <c r="K52" s="3">
        <v>-11.25</v>
      </c>
      <c r="L52" s="3">
        <v>0.26900000000000002</v>
      </c>
      <c r="M52" s="3">
        <v>0.85</v>
      </c>
      <c r="N52" s="3">
        <v>1.345</v>
      </c>
      <c r="O52" s="3">
        <v>0</v>
      </c>
      <c r="P52" s="16">
        <v>1.4793333333333334</v>
      </c>
      <c r="Q52" s="3"/>
      <c r="R52" s="3">
        <v>-6.1539999999999999</v>
      </c>
      <c r="S52" s="3">
        <v>1439</v>
      </c>
      <c r="T52" s="3">
        <v>98.9</v>
      </c>
      <c r="U52" s="3">
        <v>1948</v>
      </c>
      <c r="V52" s="3">
        <v>-2.4700000000000002</v>
      </c>
      <c r="W52" s="3">
        <v>-7.24</v>
      </c>
      <c r="X52" s="3">
        <v>-0.113</v>
      </c>
      <c r="Y52" s="3">
        <v>-7.19</v>
      </c>
      <c r="Z52" s="3">
        <v>-5.0839999999999996</v>
      </c>
      <c r="AA52" s="3">
        <v>0.30199999999999999</v>
      </c>
      <c r="AB52" s="3">
        <v>0.89100000000000001</v>
      </c>
      <c r="AC52" s="3">
        <v>1.375</v>
      </c>
      <c r="AD52" s="16">
        <v>6.7541666666666664</v>
      </c>
      <c r="AE52" s="3">
        <v>2103</v>
      </c>
      <c r="AF52" s="3">
        <v>-14.03</v>
      </c>
      <c r="AG52" s="3">
        <v>124</v>
      </c>
      <c r="AH52" s="3">
        <v>79.900000000000006</v>
      </c>
      <c r="AI52" s="3">
        <v>339</v>
      </c>
      <c r="AJ52" s="3">
        <v>-14.47</v>
      </c>
      <c r="AK52" s="3">
        <v>-14.57</v>
      </c>
      <c r="AL52" s="3">
        <v>-0.378</v>
      </c>
      <c r="AM52" s="3">
        <v>-9.92</v>
      </c>
      <c r="AN52" s="3">
        <v>-14.49</v>
      </c>
      <c r="AO52" s="3">
        <v>0.21199999999999999</v>
      </c>
      <c r="AP52" s="3">
        <v>0.8</v>
      </c>
      <c r="AQ52" s="3">
        <v>1.3049999999999999</v>
      </c>
      <c r="AR52" s="3">
        <v>4.7E-2</v>
      </c>
      <c r="AS52" s="3">
        <v>0.108</v>
      </c>
      <c r="AT52" s="3">
        <v>9.9000000000000005E-2</v>
      </c>
      <c r="AU52" s="3">
        <v>7.0000000000000007E-2</v>
      </c>
      <c r="AV52" s="3">
        <v>0.17499999999999999</v>
      </c>
      <c r="AW52" s="3">
        <v>0.35099999999999998</v>
      </c>
      <c r="AX52" s="3">
        <v>0.105</v>
      </c>
      <c r="AY52" s="3">
        <v>4.7E-2</v>
      </c>
      <c r="AZ52" s="3">
        <v>-12.04</v>
      </c>
      <c r="BA52" s="3">
        <v>2375</v>
      </c>
      <c r="BB52" s="3">
        <v>12.18</v>
      </c>
      <c r="BC52" s="3">
        <v>2876</v>
      </c>
      <c r="BD52" s="3"/>
      <c r="BE52" s="3"/>
      <c r="BF52" s="3">
        <f t="shared" si="25"/>
        <v>1110</v>
      </c>
      <c r="BH52" s="16">
        <v>9.89</v>
      </c>
      <c r="BI52" s="16">
        <f t="shared" si="68"/>
        <v>19.977800000000002</v>
      </c>
      <c r="BJ52" s="17">
        <f t="shared" si="1"/>
        <v>2.4700000000000002</v>
      </c>
      <c r="BK52" s="17">
        <f t="shared" si="2"/>
        <v>6.15</v>
      </c>
      <c r="BM52" s="1">
        <f t="shared" si="3"/>
        <v>92.4</v>
      </c>
      <c r="BN52" s="1">
        <f t="shared" si="4"/>
        <v>86.2</v>
      </c>
      <c r="BO52" s="1">
        <f t="shared" si="5"/>
        <v>74.8</v>
      </c>
      <c r="BP52" s="62">
        <f t="shared" si="26"/>
        <v>0.28799999999999998</v>
      </c>
      <c r="BQ52" s="62">
        <f t="shared" si="6"/>
        <v>9.7000000000000003E-2</v>
      </c>
      <c r="BS52" s="3">
        <v>0</v>
      </c>
      <c r="BT52" s="8"/>
      <c r="BV52" s="8"/>
      <c r="BW52" s="16">
        <f t="shared" si="36"/>
        <v>2.4700000000000002</v>
      </c>
      <c r="BX52" s="16">
        <f t="shared" si="37"/>
        <v>6.15</v>
      </c>
      <c r="BY52" s="3">
        <f t="shared" si="38"/>
        <v>-11.3</v>
      </c>
      <c r="BZ52" s="3">
        <f t="shared" si="39"/>
        <v>-11.5</v>
      </c>
      <c r="CA52" s="3">
        <f t="shared" si="40"/>
        <v>-11.7</v>
      </c>
      <c r="CB52" s="3">
        <f t="shared" si="41"/>
        <v>-0.3</v>
      </c>
      <c r="CC52" s="3">
        <f t="shared" si="42"/>
        <v>0.3</v>
      </c>
      <c r="CD52" s="3">
        <f t="shared" si="43"/>
        <v>0.9</v>
      </c>
      <c r="CE52" s="3">
        <f t="shared" si="44"/>
        <v>1.3</v>
      </c>
      <c r="CF52" s="23">
        <f t="shared" si="45"/>
        <v>86.2</v>
      </c>
      <c r="CG52" s="1">
        <f t="shared" si="46"/>
        <v>-6.2</v>
      </c>
      <c r="CH52" s="1">
        <f t="shared" si="47"/>
        <v>-2.5</v>
      </c>
      <c r="CI52" s="1">
        <f t="shared" si="48"/>
        <v>-7.2</v>
      </c>
      <c r="CJ52" s="1">
        <f t="shared" si="49"/>
        <v>-0.1</v>
      </c>
      <c r="CK52" s="1">
        <f t="shared" si="50"/>
        <v>0.3</v>
      </c>
      <c r="CL52" s="1">
        <f t="shared" si="51"/>
        <v>0.9</v>
      </c>
      <c r="CM52" s="1">
        <f t="shared" si="52"/>
        <v>1.4</v>
      </c>
      <c r="CN52" s="2">
        <f t="shared" si="53"/>
        <v>92.4</v>
      </c>
      <c r="CO52" s="1">
        <f t="shared" si="54"/>
        <v>-14</v>
      </c>
      <c r="CP52" s="1">
        <f t="shared" si="55"/>
        <v>-14.5</v>
      </c>
      <c r="CQ52" s="1">
        <f t="shared" si="56"/>
        <v>-14.6</v>
      </c>
      <c r="CR52" s="1">
        <f t="shared" si="57"/>
        <v>-0.4</v>
      </c>
      <c r="CS52" s="1">
        <f t="shared" si="58"/>
        <v>0.2</v>
      </c>
      <c r="CT52" s="1">
        <f t="shared" si="59"/>
        <v>0.8</v>
      </c>
      <c r="CU52" s="1">
        <f t="shared" si="60"/>
        <v>1.3</v>
      </c>
      <c r="CV52" s="2">
        <f t="shared" si="61"/>
        <v>74.8</v>
      </c>
      <c r="CW52" s="18">
        <f t="shared" si="62"/>
        <v>1110</v>
      </c>
      <c r="CX52" s="1">
        <f>ROUND(PPTest!K52,1)</f>
        <v>8.6999999999999993</v>
      </c>
      <c r="CY52" s="17">
        <f t="shared" si="63"/>
        <v>1.48</v>
      </c>
      <c r="CZ52" s="17">
        <f t="shared" si="64"/>
        <v>6.75</v>
      </c>
      <c r="DA52" s="20">
        <f t="shared" si="65"/>
        <v>0.28799999999999998</v>
      </c>
      <c r="DB52" s="20">
        <f t="shared" si="66"/>
        <v>9.7000000000000003E-2</v>
      </c>
      <c r="DC52" s="16">
        <f t="shared" si="67"/>
        <v>12.18</v>
      </c>
      <c r="DF52" s="3">
        <v>-5.0999999999999996</v>
      </c>
      <c r="DG52" s="3">
        <v>-3.6</v>
      </c>
      <c r="DH52" s="3">
        <v>-7</v>
      </c>
      <c r="DI52" s="3">
        <v>92.3</v>
      </c>
      <c r="DJ52" s="3">
        <v>91</v>
      </c>
      <c r="DK52" s="3"/>
      <c r="DL52" s="3"/>
      <c r="DM52" s="3"/>
      <c r="DN52" s="3"/>
      <c r="DO52" s="3"/>
      <c r="DP52" s="3"/>
      <c r="DQ52" s="3"/>
      <c r="DR52" s="3"/>
      <c r="DS52" s="3"/>
      <c r="DT52" s="3"/>
      <c r="DW52" s="1">
        <v>-10.9</v>
      </c>
      <c r="DX52" s="1">
        <v>-6.6</v>
      </c>
      <c r="DY52" s="1">
        <v>-15.3</v>
      </c>
    </row>
    <row r="53" spans="1:129" x14ac:dyDescent="0.2">
      <c r="A53" s="40">
        <v>34746</v>
      </c>
      <c r="B53" s="3">
        <v>47</v>
      </c>
      <c r="C53" s="3">
        <v>2.246</v>
      </c>
      <c r="D53" s="3">
        <v>4.8040000000000003</v>
      </c>
      <c r="E53" s="3">
        <v>-5.6639999999999997</v>
      </c>
      <c r="F53" s="3">
        <v>98</v>
      </c>
      <c r="G53" s="3">
        <v>-5.9219999999999997</v>
      </c>
      <c r="H53" s="3">
        <v>-6.032</v>
      </c>
      <c r="I53" s="3">
        <v>-0.42199999999999999</v>
      </c>
      <c r="J53" s="3">
        <v>-6.56</v>
      </c>
      <c r="K53" s="3">
        <v>-5.9850000000000003</v>
      </c>
      <c r="L53" s="3">
        <v>0.193</v>
      </c>
      <c r="M53" s="3">
        <v>0.78500000000000003</v>
      </c>
      <c r="N53" s="3">
        <v>1.2989999999999999</v>
      </c>
      <c r="O53" s="3">
        <v>0</v>
      </c>
      <c r="P53" s="16">
        <v>1.969166666666667</v>
      </c>
      <c r="Q53" s="3"/>
      <c r="R53" s="3">
        <v>-2.9390000000000001</v>
      </c>
      <c r="S53" s="3">
        <v>2342</v>
      </c>
      <c r="T53" s="3">
        <v>102</v>
      </c>
      <c r="U53" s="3">
        <v>2244</v>
      </c>
      <c r="V53" s="3">
        <v>-3.0339999999999998</v>
      </c>
      <c r="W53" s="3">
        <v>-3.1259999999999999</v>
      </c>
      <c r="X53" s="3">
        <v>-0.35199999999999998</v>
      </c>
      <c r="Y53" s="3">
        <v>-6.2409999999999997</v>
      </c>
      <c r="Z53" s="3">
        <v>-3.8290000000000002</v>
      </c>
      <c r="AA53" s="3">
        <v>0.247</v>
      </c>
      <c r="AB53" s="3">
        <v>0.83399999999999996</v>
      </c>
      <c r="AC53" s="3">
        <v>1.341</v>
      </c>
      <c r="AD53" s="16">
        <v>5.1275000000000004</v>
      </c>
      <c r="AE53" s="3">
        <v>726</v>
      </c>
      <c r="AF53" s="3">
        <v>-7.44</v>
      </c>
      <c r="AG53" s="3">
        <v>17</v>
      </c>
      <c r="AH53" s="3">
        <v>88.4</v>
      </c>
      <c r="AI53" s="3">
        <v>49</v>
      </c>
      <c r="AJ53" s="3">
        <v>-8.06</v>
      </c>
      <c r="AK53" s="3">
        <v>-8.4499999999999993</v>
      </c>
      <c r="AL53" s="3">
        <v>-0.47499999999999998</v>
      </c>
      <c r="AM53" s="3">
        <v>-7.21</v>
      </c>
      <c r="AN53" s="3">
        <v>-8.44</v>
      </c>
      <c r="AO53" s="3">
        <v>0.155</v>
      </c>
      <c r="AP53" s="3">
        <v>0.754</v>
      </c>
      <c r="AQ53" s="3">
        <v>1.272</v>
      </c>
      <c r="AR53" s="3">
        <v>1.4E-2</v>
      </c>
      <c r="AS53" s="3">
        <v>6.0000000000000001E-3</v>
      </c>
      <c r="AT53" s="3">
        <v>2E-3</v>
      </c>
      <c r="AU53" s="3">
        <v>1.7000000000000001E-2</v>
      </c>
      <c r="AV53" s="3">
        <v>0.14799999999999999</v>
      </c>
      <c r="AW53" s="3">
        <v>0.55300000000000005</v>
      </c>
      <c r="AX53" s="3">
        <v>0.20100000000000001</v>
      </c>
      <c r="AY53" s="3">
        <v>0.06</v>
      </c>
      <c r="AZ53" s="3">
        <v>-7.93</v>
      </c>
      <c r="BA53" s="3">
        <v>2324</v>
      </c>
      <c r="BB53" s="3">
        <v>12.18</v>
      </c>
      <c r="BC53" s="3">
        <v>2876</v>
      </c>
      <c r="BD53" s="3"/>
      <c r="BE53" s="3"/>
      <c r="BF53" s="3">
        <f t="shared" si="25"/>
        <v>1161</v>
      </c>
      <c r="BH53" s="16">
        <v>10.09</v>
      </c>
      <c r="BI53" s="16">
        <f t="shared" si="68"/>
        <v>20.381799999999998</v>
      </c>
      <c r="BJ53" s="17">
        <f t="shared" si="1"/>
        <v>2.25</v>
      </c>
      <c r="BK53" s="17">
        <f t="shared" si="2"/>
        <v>5.19</v>
      </c>
      <c r="BM53" s="1">
        <f t="shared" si="3"/>
        <v>95.2</v>
      </c>
      <c r="BN53" s="1">
        <f t="shared" si="4"/>
        <v>91.6</v>
      </c>
      <c r="BO53" s="1">
        <f t="shared" si="5"/>
        <v>82.7</v>
      </c>
      <c r="BP53" s="62">
        <f t="shared" si="26"/>
        <v>0.40699999999999997</v>
      </c>
      <c r="BQ53" s="62">
        <f t="shared" si="6"/>
        <v>8.5000000000000006E-2</v>
      </c>
      <c r="BS53" s="3">
        <v>2.2000000000000002</v>
      </c>
      <c r="BT53" s="8"/>
      <c r="BV53" s="8"/>
      <c r="BW53" s="16">
        <f t="shared" si="36"/>
        <v>2.25</v>
      </c>
      <c r="BX53" s="16">
        <f t="shared" si="37"/>
        <v>5.19</v>
      </c>
      <c r="BY53" s="3">
        <f t="shared" si="38"/>
        <v>-5.7</v>
      </c>
      <c r="BZ53" s="3">
        <f t="shared" si="39"/>
        <v>-5.9</v>
      </c>
      <c r="CA53" s="3">
        <f t="shared" si="40"/>
        <v>-6</v>
      </c>
      <c r="CB53" s="3">
        <f t="shared" si="41"/>
        <v>-0.4</v>
      </c>
      <c r="CC53" s="3">
        <f t="shared" si="42"/>
        <v>0.2</v>
      </c>
      <c r="CD53" s="3">
        <f t="shared" si="43"/>
        <v>0.8</v>
      </c>
      <c r="CE53" s="3">
        <f t="shared" si="44"/>
        <v>1.3</v>
      </c>
      <c r="CF53" s="23">
        <f t="shared" si="45"/>
        <v>91.6</v>
      </c>
      <c r="CG53" s="1">
        <f t="shared" si="46"/>
        <v>-2.9</v>
      </c>
      <c r="CH53" s="1">
        <f t="shared" si="47"/>
        <v>-3</v>
      </c>
      <c r="CI53" s="1">
        <f t="shared" si="48"/>
        <v>-3.1</v>
      </c>
      <c r="CJ53" s="1">
        <f t="shared" si="49"/>
        <v>-0.4</v>
      </c>
      <c r="CK53" s="1">
        <f t="shared" si="50"/>
        <v>0.2</v>
      </c>
      <c r="CL53" s="1">
        <f t="shared" si="51"/>
        <v>0.8</v>
      </c>
      <c r="CM53" s="1">
        <f t="shared" si="52"/>
        <v>1.3</v>
      </c>
      <c r="CN53" s="2">
        <f t="shared" si="53"/>
        <v>95.2</v>
      </c>
      <c r="CO53" s="1">
        <f t="shared" si="54"/>
        <v>-7.4</v>
      </c>
      <c r="CP53" s="1">
        <f t="shared" si="55"/>
        <v>-8.1</v>
      </c>
      <c r="CQ53" s="1">
        <f t="shared" si="56"/>
        <v>-8.5</v>
      </c>
      <c r="CR53" s="1">
        <f t="shared" si="57"/>
        <v>-0.5</v>
      </c>
      <c r="CS53" s="1">
        <f t="shared" si="58"/>
        <v>0.2</v>
      </c>
      <c r="CT53" s="1">
        <f t="shared" si="59"/>
        <v>0.8</v>
      </c>
      <c r="CU53" s="1">
        <f t="shared" si="60"/>
        <v>1.3</v>
      </c>
      <c r="CV53" s="2">
        <f t="shared" si="61"/>
        <v>82.7</v>
      </c>
      <c r="CW53" s="18">
        <f t="shared" si="62"/>
        <v>1161</v>
      </c>
      <c r="CX53" s="1">
        <f>ROUND(PPTest!K53,1)</f>
        <v>6.6</v>
      </c>
      <c r="CY53" s="17">
        <f t="shared" si="63"/>
        <v>1.97</v>
      </c>
      <c r="CZ53" s="17">
        <f t="shared" si="64"/>
        <v>5.13</v>
      </c>
      <c r="DA53" s="20">
        <f t="shared" si="65"/>
        <v>0.40699999999999997</v>
      </c>
      <c r="DB53" s="20">
        <f t="shared" si="66"/>
        <v>8.5000000000000006E-2</v>
      </c>
      <c r="DC53" s="16">
        <f t="shared" si="67"/>
        <v>12.18</v>
      </c>
      <c r="DF53" s="3">
        <v>-0.8</v>
      </c>
      <c r="DG53" s="3">
        <v>1.1000000000000001</v>
      </c>
      <c r="DH53" s="3">
        <v>-3.3</v>
      </c>
      <c r="DI53" s="3">
        <v>91.6</v>
      </c>
      <c r="DJ53" s="3">
        <v>87</v>
      </c>
      <c r="DK53" s="3"/>
      <c r="DL53" s="3"/>
      <c r="DM53" s="3"/>
      <c r="DN53" s="3"/>
      <c r="DO53" s="3"/>
      <c r="DP53" s="3"/>
      <c r="DQ53" s="3"/>
      <c r="DR53" s="3"/>
      <c r="DS53" s="3"/>
      <c r="DT53" s="3"/>
      <c r="DW53" s="1">
        <v>-6</v>
      </c>
      <c r="DX53" s="1">
        <v>-3.2</v>
      </c>
      <c r="DY53" s="1">
        <v>-9.9</v>
      </c>
    </row>
    <row r="54" spans="1:129" x14ac:dyDescent="0.2">
      <c r="A54" s="40">
        <v>34747</v>
      </c>
      <c r="B54" s="3">
        <v>48</v>
      </c>
      <c r="C54" s="3">
        <v>2.2480000000000002</v>
      </c>
      <c r="D54" s="3">
        <v>5.665</v>
      </c>
      <c r="E54" s="3">
        <v>-0.98799999999999999</v>
      </c>
      <c r="F54" s="3">
        <v>91.9</v>
      </c>
      <c r="G54" s="3">
        <v>-1.4319999999999999</v>
      </c>
      <c r="H54" s="3">
        <v>-1.5429999999999999</v>
      </c>
      <c r="I54" s="3">
        <v>-0.47799999999999998</v>
      </c>
      <c r="J54" s="3">
        <v>-5.641</v>
      </c>
      <c r="K54" s="3">
        <v>-1.55</v>
      </c>
      <c r="L54" s="3">
        <v>0.13900000000000001</v>
      </c>
      <c r="M54" s="3">
        <v>0.73899999999999999</v>
      </c>
      <c r="N54" s="3">
        <v>1.276</v>
      </c>
      <c r="O54" s="3">
        <v>0</v>
      </c>
      <c r="P54" s="16">
        <v>3.1225000000000001</v>
      </c>
      <c r="Q54" s="3"/>
      <c r="R54" s="3">
        <v>0.47099999999999997</v>
      </c>
      <c r="S54" s="3">
        <v>1331</v>
      </c>
      <c r="T54" s="3">
        <v>100.5</v>
      </c>
      <c r="U54" s="3">
        <v>49</v>
      </c>
      <c r="V54" s="3">
        <v>1.121</v>
      </c>
      <c r="W54" s="3">
        <v>1.0980000000000001</v>
      </c>
      <c r="X54" s="3">
        <v>-0.44900000000000001</v>
      </c>
      <c r="Y54" s="3">
        <v>-5.093</v>
      </c>
      <c r="Z54" s="3">
        <v>1.089</v>
      </c>
      <c r="AA54" s="3">
        <v>0.17599999999999999</v>
      </c>
      <c r="AB54" s="3">
        <v>0.77300000000000002</v>
      </c>
      <c r="AC54" s="3">
        <v>1.3009999999999999</v>
      </c>
      <c r="AD54" s="16">
        <v>7.9275000000000002</v>
      </c>
      <c r="AE54" s="3">
        <v>1154</v>
      </c>
      <c r="AF54" s="3">
        <v>-3.351</v>
      </c>
      <c r="AG54" s="3">
        <v>44</v>
      </c>
      <c r="AH54" s="3">
        <v>82.2</v>
      </c>
      <c r="AI54" s="3">
        <v>1318</v>
      </c>
      <c r="AJ54" s="3">
        <v>-3.7810000000000001</v>
      </c>
      <c r="AK54" s="3">
        <v>-3.92</v>
      </c>
      <c r="AL54" s="3">
        <v>-0.503</v>
      </c>
      <c r="AM54" s="3">
        <v>-6.2789999999999999</v>
      </c>
      <c r="AN54" s="3">
        <v>-3.9849999999999999</v>
      </c>
      <c r="AO54" s="3">
        <v>0.104</v>
      </c>
      <c r="AP54" s="3">
        <v>0.71099999999999997</v>
      </c>
      <c r="AQ54" s="3">
        <v>1.256</v>
      </c>
      <c r="AR54" s="3">
        <v>3.0000000000000001E-3</v>
      </c>
      <c r="AS54" s="3">
        <v>6.0000000000000001E-3</v>
      </c>
      <c r="AT54" s="3">
        <v>1.4999999999999999E-2</v>
      </c>
      <c r="AU54" s="3">
        <v>0.04</v>
      </c>
      <c r="AV54" s="3">
        <v>0.23699999999999999</v>
      </c>
      <c r="AW54" s="3">
        <v>0.52</v>
      </c>
      <c r="AX54" s="3">
        <v>0.16200000000000001</v>
      </c>
      <c r="AY54" s="3">
        <v>1.7000000000000001E-2</v>
      </c>
      <c r="AZ54" s="3">
        <v>-5.3869999999999996</v>
      </c>
      <c r="BA54" s="3">
        <v>2355</v>
      </c>
      <c r="BB54" s="3">
        <v>12.19</v>
      </c>
      <c r="BC54" s="3">
        <v>2876</v>
      </c>
      <c r="BD54" s="3"/>
      <c r="BE54" s="3"/>
      <c r="BF54" s="3">
        <f t="shared" si="25"/>
        <v>1130</v>
      </c>
      <c r="BH54" s="16">
        <v>10.3</v>
      </c>
      <c r="BI54" s="16">
        <f t="shared" si="68"/>
        <v>20.806000000000001</v>
      </c>
      <c r="BJ54" s="17">
        <f t="shared" si="1"/>
        <v>2.25</v>
      </c>
      <c r="BK54" s="17">
        <f t="shared" si="2"/>
        <v>6.12</v>
      </c>
      <c r="BM54" s="1">
        <f t="shared" si="3"/>
        <v>93.9</v>
      </c>
      <c r="BN54" s="1">
        <f t="shared" si="4"/>
        <v>85.9</v>
      </c>
      <c r="BO54" s="1">
        <f t="shared" si="5"/>
        <v>77</v>
      </c>
      <c r="BP54" s="62">
        <f t="shared" si="26"/>
        <v>0.48599999999999999</v>
      </c>
      <c r="BQ54" s="62">
        <f t="shared" si="6"/>
        <v>0.14499999999999999</v>
      </c>
      <c r="BS54" s="3">
        <v>0</v>
      </c>
      <c r="BT54" s="8"/>
      <c r="BV54" s="8"/>
      <c r="BW54" s="16">
        <f t="shared" si="36"/>
        <v>2.25</v>
      </c>
      <c r="BX54" s="16">
        <f t="shared" si="37"/>
        <v>6.12</v>
      </c>
      <c r="BY54" s="3">
        <f t="shared" si="38"/>
        <v>-1</v>
      </c>
      <c r="BZ54" s="3">
        <f t="shared" si="39"/>
        <v>-1.4</v>
      </c>
      <c r="CA54" s="3">
        <f t="shared" si="40"/>
        <v>-1.5</v>
      </c>
      <c r="CB54" s="3">
        <f t="shared" si="41"/>
        <v>-0.5</v>
      </c>
      <c r="CC54" s="3">
        <f t="shared" si="42"/>
        <v>0.1</v>
      </c>
      <c r="CD54" s="3">
        <f t="shared" si="43"/>
        <v>0.7</v>
      </c>
      <c r="CE54" s="3">
        <f t="shared" si="44"/>
        <v>1.3</v>
      </c>
      <c r="CF54" s="23">
        <f t="shared" si="45"/>
        <v>85.9</v>
      </c>
      <c r="CG54" s="1">
        <f t="shared" si="46"/>
        <v>0.5</v>
      </c>
      <c r="CH54" s="1">
        <f t="shared" si="47"/>
        <v>1.1000000000000001</v>
      </c>
      <c r="CI54" s="1">
        <f t="shared" si="48"/>
        <v>1.1000000000000001</v>
      </c>
      <c r="CJ54" s="1">
        <f t="shared" si="49"/>
        <v>-0.4</v>
      </c>
      <c r="CK54" s="1">
        <f t="shared" si="50"/>
        <v>0.2</v>
      </c>
      <c r="CL54" s="1">
        <f t="shared" si="51"/>
        <v>0.8</v>
      </c>
      <c r="CM54" s="1">
        <f t="shared" si="52"/>
        <v>1.3</v>
      </c>
      <c r="CN54" s="2">
        <f t="shared" si="53"/>
        <v>93.9</v>
      </c>
      <c r="CO54" s="1">
        <f t="shared" si="54"/>
        <v>-3.4</v>
      </c>
      <c r="CP54" s="1">
        <f t="shared" si="55"/>
        <v>-3.8</v>
      </c>
      <c r="CQ54" s="1">
        <f t="shared" si="56"/>
        <v>-3.9</v>
      </c>
      <c r="CR54" s="1">
        <f t="shared" si="57"/>
        <v>-0.5</v>
      </c>
      <c r="CS54" s="1">
        <f t="shared" si="58"/>
        <v>0.1</v>
      </c>
      <c r="CT54" s="1">
        <f t="shared" si="59"/>
        <v>0.7</v>
      </c>
      <c r="CU54" s="1">
        <f t="shared" si="60"/>
        <v>1.3</v>
      </c>
      <c r="CV54" s="2">
        <f t="shared" si="61"/>
        <v>77</v>
      </c>
      <c r="CW54" s="18">
        <f t="shared" si="62"/>
        <v>1130</v>
      </c>
      <c r="CX54" s="1">
        <f>ROUND(PPTest!K54,1)</f>
        <v>0</v>
      </c>
      <c r="CY54" s="17">
        <f t="shared" si="63"/>
        <v>3.12</v>
      </c>
      <c r="CZ54" s="17">
        <f t="shared" si="64"/>
        <v>7.93</v>
      </c>
      <c r="DA54" s="20">
        <f t="shared" si="65"/>
        <v>0.48599999999999999</v>
      </c>
      <c r="DB54" s="20">
        <f t="shared" si="66"/>
        <v>0.14499999999999999</v>
      </c>
      <c r="DC54" s="16">
        <f t="shared" si="67"/>
        <v>12.19</v>
      </c>
      <c r="DF54" s="3">
        <v>-0.2</v>
      </c>
      <c r="DG54" s="3">
        <v>1.1000000000000001</v>
      </c>
      <c r="DH54" s="3">
        <v>-1.9</v>
      </c>
      <c r="DI54" s="3">
        <v>89.3</v>
      </c>
      <c r="DJ54" s="3">
        <v>83</v>
      </c>
      <c r="DK54" s="3"/>
      <c r="DL54" s="3"/>
      <c r="DM54" s="3"/>
      <c r="DN54" s="3"/>
      <c r="DO54" s="3"/>
      <c r="DP54" s="3"/>
      <c r="DQ54" s="3"/>
      <c r="DR54" s="3"/>
      <c r="DS54" s="3"/>
      <c r="DT54" s="3"/>
      <c r="DW54" s="1">
        <v>-1.1000000000000001</v>
      </c>
      <c r="DX54" s="1">
        <v>1.8</v>
      </c>
      <c r="DY54" s="1">
        <v>-3.9</v>
      </c>
    </row>
    <row r="55" spans="1:129" x14ac:dyDescent="0.2">
      <c r="A55" s="40">
        <v>34748</v>
      </c>
      <c r="B55" s="3">
        <v>49</v>
      </c>
      <c r="C55" s="3">
        <v>1.3919999999999999</v>
      </c>
      <c r="D55" s="3">
        <v>2.9929999999999999</v>
      </c>
      <c r="E55" s="3">
        <v>-0.92</v>
      </c>
      <c r="F55" s="3">
        <v>93.1</v>
      </c>
      <c r="G55" s="3">
        <v>-1.4019999999999999</v>
      </c>
      <c r="H55" s="3">
        <v>-1.5609999999999999</v>
      </c>
      <c r="I55" s="3">
        <v>-0.46899999999999997</v>
      </c>
      <c r="J55" s="3">
        <v>-4.8029999999999999</v>
      </c>
      <c r="K55" s="3">
        <v>-1.8520000000000001</v>
      </c>
      <c r="L55" s="3">
        <v>0.106</v>
      </c>
      <c r="M55" s="3">
        <v>0.71299999999999997</v>
      </c>
      <c r="N55" s="3">
        <v>1.27</v>
      </c>
      <c r="O55" s="3">
        <v>0</v>
      </c>
      <c r="P55" s="16">
        <v>2.1858333333333335</v>
      </c>
      <c r="Q55" s="3"/>
      <c r="R55" s="3">
        <v>2.3170000000000002</v>
      </c>
      <c r="S55" s="3">
        <v>2340</v>
      </c>
      <c r="T55" s="3">
        <v>105</v>
      </c>
      <c r="U55" s="3">
        <v>1936</v>
      </c>
      <c r="V55" s="3">
        <v>1.9890000000000001</v>
      </c>
      <c r="W55" s="3">
        <v>1.92</v>
      </c>
      <c r="X55" s="3">
        <v>-0.438</v>
      </c>
      <c r="Y55" s="3">
        <v>-4.4569999999999999</v>
      </c>
      <c r="Z55" s="3">
        <v>0.60699999999999998</v>
      </c>
      <c r="AA55" s="3">
        <v>0.13600000000000001</v>
      </c>
      <c r="AB55" s="3">
        <v>0.73699999999999999</v>
      </c>
      <c r="AC55" s="3">
        <v>1.288</v>
      </c>
      <c r="AD55" s="16">
        <v>6.1541666666666659</v>
      </c>
      <c r="AE55" s="3">
        <v>2121</v>
      </c>
      <c r="AF55" s="3">
        <v>-2.84</v>
      </c>
      <c r="AG55" s="3">
        <v>517</v>
      </c>
      <c r="AH55" s="3">
        <v>70.900000000000006</v>
      </c>
      <c r="AI55" s="3">
        <v>944</v>
      </c>
      <c r="AJ55" s="3">
        <v>-4.5469999999999997</v>
      </c>
      <c r="AK55" s="3">
        <v>-6.7469999999999999</v>
      </c>
      <c r="AL55" s="3">
        <v>-0.501</v>
      </c>
      <c r="AM55" s="3">
        <v>-5.1109999999999998</v>
      </c>
      <c r="AN55" s="3">
        <v>-4.3029999999999999</v>
      </c>
      <c r="AO55" s="3">
        <v>7.3999999999999996E-2</v>
      </c>
      <c r="AP55" s="3">
        <v>0.68500000000000005</v>
      </c>
      <c r="AQ55" s="3">
        <v>1.2490000000000001</v>
      </c>
      <c r="AR55" s="3">
        <v>3.5000000000000003E-2</v>
      </c>
      <c r="AS55" s="3">
        <v>2.1999999999999999E-2</v>
      </c>
      <c r="AT55" s="3">
        <v>1.9E-2</v>
      </c>
      <c r="AU55" s="3">
        <v>4.4999999999999998E-2</v>
      </c>
      <c r="AV55" s="3">
        <v>0.224</v>
      </c>
      <c r="AW55" s="3">
        <v>0.39800000000000002</v>
      </c>
      <c r="AX55" s="3">
        <v>0.20599999999999999</v>
      </c>
      <c r="AY55" s="3">
        <v>5.1999999999999998E-2</v>
      </c>
      <c r="AZ55" s="3">
        <v>-3.823</v>
      </c>
      <c r="BA55" s="3">
        <v>2281</v>
      </c>
      <c r="BB55" s="3">
        <v>12.19</v>
      </c>
      <c r="BC55" s="3">
        <v>2876</v>
      </c>
      <c r="BD55" s="3"/>
      <c r="BE55" s="3"/>
      <c r="BF55" s="3">
        <f t="shared" si="25"/>
        <v>1204</v>
      </c>
      <c r="BH55" s="16">
        <v>10.5</v>
      </c>
      <c r="BI55" s="16">
        <f t="shared" si="68"/>
        <v>21.21</v>
      </c>
      <c r="BJ55" s="17">
        <f t="shared" si="1"/>
        <v>1.39</v>
      </c>
      <c r="BK55" s="17">
        <f t="shared" si="2"/>
        <v>3.23</v>
      </c>
      <c r="BM55" s="1">
        <f t="shared" si="3"/>
        <v>98</v>
      </c>
      <c r="BN55" s="1">
        <f t="shared" si="4"/>
        <v>87</v>
      </c>
      <c r="BO55" s="1">
        <f t="shared" si="5"/>
        <v>66.5</v>
      </c>
      <c r="BP55" s="62">
        <f t="shared" si="26"/>
        <v>0.48</v>
      </c>
      <c r="BQ55" s="62">
        <f t="shared" si="6"/>
        <v>0.24199999999999999</v>
      </c>
      <c r="BS55" s="3">
        <v>13.1</v>
      </c>
      <c r="BT55" s="8"/>
      <c r="BV55" s="8"/>
      <c r="BW55" s="16">
        <f t="shared" si="36"/>
        <v>1.39</v>
      </c>
      <c r="BX55" s="16">
        <f t="shared" si="37"/>
        <v>3.23</v>
      </c>
      <c r="BY55" s="3">
        <f t="shared" si="38"/>
        <v>-0.9</v>
      </c>
      <c r="BZ55" s="3">
        <f t="shared" si="39"/>
        <v>-1.4</v>
      </c>
      <c r="CA55" s="3">
        <f t="shared" si="40"/>
        <v>-1.6</v>
      </c>
      <c r="CB55" s="3">
        <f t="shared" si="41"/>
        <v>-0.5</v>
      </c>
      <c r="CC55" s="3">
        <f t="shared" si="42"/>
        <v>0.1</v>
      </c>
      <c r="CD55" s="3">
        <f t="shared" si="43"/>
        <v>0.7</v>
      </c>
      <c r="CE55" s="3">
        <f t="shared" si="44"/>
        <v>1.3</v>
      </c>
      <c r="CF55" s="23">
        <f t="shared" si="45"/>
        <v>87</v>
      </c>
      <c r="CG55" s="1">
        <f t="shared" si="46"/>
        <v>2.2999999999999998</v>
      </c>
      <c r="CH55" s="1">
        <f t="shared" si="47"/>
        <v>2</v>
      </c>
      <c r="CI55" s="1">
        <f t="shared" si="48"/>
        <v>1.9</v>
      </c>
      <c r="CJ55" s="1">
        <f t="shared" si="49"/>
        <v>-0.4</v>
      </c>
      <c r="CK55" s="1">
        <f t="shared" si="50"/>
        <v>0.1</v>
      </c>
      <c r="CL55" s="1">
        <f t="shared" si="51"/>
        <v>0.7</v>
      </c>
      <c r="CM55" s="1">
        <f t="shared" si="52"/>
        <v>1.3</v>
      </c>
      <c r="CN55" s="2">
        <f t="shared" si="53"/>
        <v>98</v>
      </c>
      <c r="CO55" s="1">
        <f t="shared" si="54"/>
        <v>-2.8</v>
      </c>
      <c r="CP55" s="1">
        <f t="shared" si="55"/>
        <v>-4.5</v>
      </c>
      <c r="CQ55" s="1">
        <f t="shared" si="56"/>
        <v>-6.7</v>
      </c>
      <c r="CR55" s="1">
        <f t="shared" si="57"/>
        <v>-0.5</v>
      </c>
      <c r="CS55" s="1">
        <f t="shared" si="58"/>
        <v>0.1</v>
      </c>
      <c r="CT55" s="1">
        <f t="shared" si="59"/>
        <v>0.7</v>
      </c>
      <c r="CU55" s="1">
        <f t="shared" si="60"/>
        <v>1.2</v>
      </c>
      <c r="CV55" s="2">
        <f t="shared" si="61"/>
        <v>66.5</v>
      </c>
      <c r="CW55" s="18">
        <f t="shared" si="62"/>
        <v>1204</v>
      </c>
      <c r="CX55" s="1">
        <f>ROUND(PPTest!K55,1)</f>
        <v>9.6</v>
      </c>
      <c r="CY55" s="17">
        <f t="shared" si="63"/>
        <v>2.19</v>
      </c>
      <c r="CZ55" s="17">
        <f t="shared" si="64"/>
        <v>6.15</v>
      </c>
      <c r="DA55" s="20">
        <f t="shared" si="65"/>
        <v>0.48</v>
      </c>
      <c r="DB55" s="20">
        <f t="shared" si="66"/>
        <v>0.24199999999999999</v>
      </c>
      <c r="DC55" s="16">
        <f t="shared" si="67"/>
        <v>12.19</v>
      </c>
      <c r="DF55" s="3">
        <v>2.8</v>
      </c>
      <c r="DG55" s="3">
        <v>5.6</v>
      </c>
      <c r="DH55" s="3">
        <v>1.6</v>
      </c>
      <c r="DI55" s="3">
        <v>87.1</v>
      </c>
      <c r="DJ55" s="3">
        <v>79</v>
      </c>
      <c r="DK55" s="3"/>
      <c r="DL55" s="3"/>
      <c r="DM55" s="3"/>
      <c r="DN55" s="3"/>
      <c r="DO55" s="3"/>
      <c r="DP55" s="3"/>
      <c r="DQ55" s="3"/>
      <c r="DR55" s="3"/>
      <c r="DS55" s="3"/>
      <c r="DT55" s="3"/>
      <c r="DW55" s="1">
        <v>-1.7</v>
      </c>
      <c r="DX55" s="1">
        <v>0.6</v>
      </c>
      <c r="DY55" s="1">
        <v>-3.9</v>
      </c>
    </row>
    <row r="56" spans="1:129" x14ac:dyDescent="0.2">
      <c r="A56" s="40">
        <v>34749</v>
      </c>
      <c r="B56" s="3">
        <v>50</v>
      </c>
      <c r="C56" s="3">
        <v>5.4649999999999999</v>
      </c>
      <c r="D56" s="3">
        <v>10.220000000000001</v>
      </c>
      <c r="E56" s="3">
        <v>2.254</v>
      </c>
      <c r="F56" s="3">
        <v>83</v>
      </c>
      <c r="G56" s="3">
        <v>1.5349999999999999</v>
      </c>
      <c r="H56" s="3">
        <v>1.1850000000000001</v>
      </c>
      <c r="I56" s="3">
        <v>-0.39300000000000002</v>
      </c>
      <c r="J56" s="3">
        <v>-3.8260000000000001</v>
      </c>
      <c r="K56" s="3">
        <v>1.482</v>
      </c>
      <c r="L56" s="3">
        <v>0.112</v>
      </c>
      <c r="M56" s="3">
        <v>0.72</v>
      </c>
      <c r="N56" s="3">
        <v>1.2929999999999999</v>
      </c>
      <c r="O56" s="3">
        <v>0</v>
      </c>
      <c r="P56" s="16">
        <v>2.7708333333333335</v>
      </c>
      <c r="Q56" s="3"/>
      <c r="R56" s="3">
        <v>3.8519999999999999</v>
      </c>
      <c r="S56" s="3">
        <v>1345</v>
      </c>
      <c r="T56" s="3">
        <v>103.4</v>
      </c>
      <c r="U56" s="3">
        <v>321</v>
      </c>
      <c r="V56" s="3">
        <v>4.08</v>
      </c>
      <c r="W56" s="3">
        <v>3.5310000000000001</v>
      </c>
      <c r="X56" s="3">
        <v>-0.317</v>
      </c>
      <c r="Y56" s="3">
        <v>-3.0659999999999998</v>
      </c>
      <c r="Z56" s="3">
        <v>5.5890000000000004</v>
      </c>
      <c r="AA56" s="3">
        <v>0.14099999999999999</v>
      </c>
      <c r="AB56" s="3">
        <v>0.749</v>
      </c>
      <c r="AC56" s="3">
        <v>1.327</v>
      </c>
      <c r="AD56" s="16">
        <v>8.3541666666666661</v>
      </c>
      <c r="AE56" s="3">
        <v>307</v>
      </c>
      <c r="AF56" s="3">
        <v>-0.246</v>
      </c>
      <c r="AG56" s="3">
        <v>2143</v>
      </c>
      <c r="AH56" s="3">
        <v>63.37</v>
      </c>
      <c r="AI56" s="3">
        <v>1257</v>
      </c>
      <c r="AJ56" s="3">
        <v>-2.0640000000000001</v>
      </c>
      <c r="AK56" s="3">
        <v>-4.3739999999999997</v>
      </c>
      <c r="AL56" s="3">
        <v>-0.48099999999999998</v>
      </c>
      <c r="AM56" s="3">
        <v>-4.4749999999999996</v>
      </c>
      <c r="AN56" s="3">
        <v>-1.694</v>
      </c>
      <c r="AO56" s="3">
        <v>6.0999999999999999E-2</v>
      </c>
      <c r="AP56" s="3">
        <v>0.68</v>
      </c>
      <c r="AQ56" s="3">
        <v>1.2450000000000001</v>
      </c>
      <c r="AR56" s="3">
        <v>1.7999999999999999E-2</v>
      </c>
      <c r="AS56" s="3">
        <v>2.4E-2</v>
      </c>
      <c r="AT56" s="3">
        <v>5.2999999999999999E-2</v>
      </c>
      <c r="AU56" s="3">
        <v>0.127</v>
      </c>
      <c r="AV56" s="3">
        <v>0.247</v>
      </c>
      <c r="AW56" s="3">
        <v>0.45700000000000002</v>
      </c>
      <c r="AX56" s="3">
        <v>5.3999999999999999E-2</v>
      </c>
      <c r="AY56" s="3">
        <v>0.02</v>
      </c>
      <c r="AZ56" s="3">
        <v>-1.157</v>
      </c>
      <c r="BA56" s="3">
        <v>2328</v>
      </c>
      <c r="BB56" s="3">
        <v>12.18</v>
      </c>
      <c r="BC56" s="3">
        <v>2876</v>
      </c>
      <c r="BD56" s="3"/>
      <c r="BE56" s="3"/>
      <c r="BF56" s="3">
        <f t="shared" si="25"/>
        <v>1157</v>
      </c>
      <c r="BH56" s="16">
        <v>10.72</v>
      </c>
      <c r="BI56" s="16">
        <f t="shared" si="68"/>
        <v>21.654400000000003</v>
      </c>
      <c r="BJ56" s="17">
        <f t="shared" si="1"/>
        <v>5.47</v>
      </c>
      <c r="BK56" s="17">
        <f t="shared" si="2"/>
        <v>11.04</v>
      </c>
      <c r="BM56" s="1">
        <f t="shared" si="3"/>
        <v>96.5</v>
      </c>
      <c r="BN56" s="1">
        <f t="shared" si="4"/>
        <v>77.7</v>
      </c>
      <c r="BO56" s="1">
        <f t="shared" si="5"/>
        <v>59.6</v>
      </c>
      <c r="BP56" s="62">
        <f t="shared" si="26"/>
        <v>0.47899999999999998</v>
      </c>
      <c r="BQ56" s="62">
        <f t="shared" si="6"/>
        <v>0.32500000000000001</v>
      </c>
      <c r="BS56" s="3">
        <v>10.199999999999999</v>
      </c>
      <c r="BT56" s="8"/>
      <c r="BV56" s="8"/>
      <c r="BW56" s="16">
        <f t="shared" si="36"/>
        <v>5.47</v>
      </c>
      <c r="BX56" s="16">
        <f t="shared" si="37"/>
        <v>11.04</v>
      </c>
      <c r="BY56" s="3">
        <f t="shared" si="38"/>
        <v>2.2999999999999998</v>
      </c>
      <c r="BZ56" s="3">
        <f t="shared" si="39"/>
        <v>1.5</v>
      </c>
      <c r="CA56" s="3">
        <f t="shared" si="40"/>
        <v>1.2</v>
      </c>
      <c r="CB56" s="3">
        <f t="shared" si="41"/>
        <v>-0.4</v>
      </c>
      <c r="CC56" s="3">
        <f t="shared" si="42"/>
        <v>0.1</v>
      </c>
      <c r="CD56" s="3">
        <f t="shared" si="43"/>
        <v>0.7</v>
      </c>
      <c r="CE56" s="3">
        <f t="shared" si="44"/>
        <v>1.3</v>
      </c>
      <c r="CF56" s="23">
        <f t="shared" si="45"/>
        <v>77.7</v>
      </c>
      <c r="CG56" s="1">
        <f t="shared" si="46"/>
        <v>3.9</v>
      </c>
      <c r="CH56" s="1">
        <f t="shared" si="47"/>
        <v>4.0999999999999996</v>
      </c>
      <c r="CI56" s="1">
        <f t="shared" si="48"/>
        <v>3.5</v>
      </c>
      <c r="CJ56" s="1">
        <f t="shared" si="49"/>
        <v>-0.3</v>
      </c>
      <c r="CK56" s="1">
        <f t="shared" si="50"/>
        <v>0.1</v>
      </c>
      <c r="CL56" s="1">
        <f t="shared" si="51"/>
        <v>0.7</v>
      </c>
      <c r="CM56" s="1">
        <f t="shared" si="52"/>
        <v>1.3</v>
      </c>
      <c r="CN56" s="2">
        <f t="shared" si="53"/>
        <v>96.5</v>
      </c>
      <c r="CO56" s="1">
        <f t="shared" si="54"/>
        <v>-0.2</v>
      </c>
      <c r="CP56" s="1">
        <f t="shared" si="55"/>
        <v>-2.1</v>
      </c>
      <c r="CQ56" s="1">
        <f t="shared" si="56"/>
        <v>-4.4000000000000004</v>
      </c>
      <c r="CR56" s="1">
        <f t="shared" si="57"/>
        <v>-0.5</v>
      </c>
      <c r="CS56" s="1">
        <f t="shared" si="58"/>
        <v>0.1</v>
      </c>
      <c r="CT56" s="1">
        <f t="shared" si="59"/>
        <v>0.7</v>
      </c>
      <c r="CU56" s="1">
        <f t="shared" si="60"/>
        <v>1.2</v>
      </c>
      <c r="CV56" s="2">
        <f t="shared" si="61"/>
        <v>59.6</v>
      </c>
      <c r="CW56" s="18">
        <f t="shared" si="62"/>
        <v>1157</v>
      </c>
      <c r="CX56" s="1">
        <f>ROUND(PPTest!K56,1)</f>
        <v>0</v>
      </c>
      <c r="CY56" s="17">
        <f t="shared" si="63"/>
        <v>2.77</v>
      </c>
      <c r="CZ56" s="17">
        <f t="shared" si="64"/>
        <v>8.35</v>
      </c>
      <c r="DA56" s="20">
        <f t="shared" si="65"/>
        <v>0.47899999999999998</v>
      </c>
      <c r="DB56" s="20">
        <f t="shared" si="66"/>
        <v>0.32500000000000001</v>
      </c>
      <c r="DC56" s="16">
        <f t="shared" si="67"/>
        <v>12.18</v>
      </c>
      <c r="DF56" s="3">
        <v>3.6</v>
      </c>
      <c r="DG56" s="3">
        <v>5.8</v>
      </c>
      <c r="DH56" s="3">
        <v>1.7</v>
      </c>
      <c r="DI56" s="3">
        <v>91.2</v>
      </c>
      <c r="DJ56" s="3">
        <v>86</v>
      </c>
      <c r="DK56" s="3"/>
      <c r="DL56" s="3"/>
      <c r="DM56" s="3"/>
      <c r="DN56" s="3"/>
      <c r="DO56" s="3"/>
      <c r="DP56" s="3"/>
      <c r="DQ56" s="3"/>
      <c r="DR56" s="3"/>
      <c r="DS56" s="3"/>
      <c r="DT56" s="3"/>
      <c r="DW56" s="1">
        <v>2.2000000000000002</v>
      </c>
      <c r="DX56" s="1">
        <v>5</v>
      </c>
      <c r="DY56" s="1">
        <v>0.2</v>
      </c>
    </row>
    <row r="57" spans="1:129" x14ac:dyDescent="0.2">
      <c r="A57" s="40">
        <v>34750</v>
      </c>
      <c r="B57" s="3">
        <v>51</v>
      </c>
      <c r="C57" s="3">
        <v>2.4159999999999999</v>
      </c>
      <c r="D57" s="3">
        <v>4.8490000000000002</v>
      </c>
      <c r="E57" s="3">
        <v>3.9409999999999998</v>
      </c>
      <c r="F57" s="3">
        <v>85.9</v>
      </c>
      <c r="G57" s="3">
        <v>3.1859999999999999</v>
      </c>
      <c r="H57" s="3">
        <v>2.903</v>
      </c>
      <c r="I57" s="3">
        <v>-0.27700000000000002</v>
      </c>
      <c r="J57" s="3">
        <v>-1.5720000000000001</v>
      </c>
      <c r="K57" s="3">
        <v>2.694</v>
      </c>
      <c r="L57" s="3">
        <v>0.115</v>
      </c>
      <c r="M57" s="3">
        <v>0.71799999999999997</v>
      </c>
      <c r="N57" s="3">
        <v>1.3029999999999999</v>
      </c>
      <c r="O57" s="3">
        <v>0</v>
      </c>
      <c r="P57" s="16">
        <v>2.2774999999999999</v>
      </c>
      <c r="Q57" s="3"/>
      <c r="R57" s="3">
        <v>7.81</v>
      </c>
      <c r="S57" s="3">
        <v>1305</v>
      </c>
      <c r="T57" s="3">
        <v>102.9</v>
      </c>
      <c r="U57" s="3">
        <v>200</v>
      </c>
      <c r="V57" s="3">
        <v>8.02</v>
      </c>
      <c r="W57" s="3">
        <v>7.42</v>
      </c>
      <c r="X57" s="3">
        <v>-0.20699999999999999</v>
      </c>
      <c r="Y57" s="3">
        <v>-0.20699999999999999</v>
      </c>
      <c r="Z57" s="3">
        <v>8.67</v>
      </c>
      <c r="AA57" s="3">
        <v>0.13700000000000001</v>
      </c>
      <c r="AB57" s="3">
        <v>0.74399999999999999</v>
      </c>
      <c r="AC57" s="3">
        <v>1.323</v>
      </c>
      <c r="AD57" s="16">
        <v>6.8608333333333329</v>
      </c>
      <c r="AE57" s="3">
        <v>1832</v>
      </c>
      <c r="AF57" s="3">
        <v>0.53400000000000003</v>
      </c>
      <c r="AG57" s="3">
        <v>142</v>
      </c>
      <c r="AH57" s="3">
        <v>55.91</v>
      </c>
      <c r="AI57" s="3">
        <v>1307</v>
      </c>
      <c r="AJ57" s="3">
        <v>-7.1999999999999995E-2</v>
      </c>
      <c r="AK57" s="3">
        <v>-0.21</v>
      </c>
      <c r="AL57" s="3">
        <v>-0.34300000000000003</v>
      </c>
      <c r="AM57" s="3">
        <v>-3.0870000000000002</v>
      </c>
      <c r="AN57" s="3">
        <v>-0.373</v>
      </c>
      <c r="AO57" s="3">
        <v>9.4E-2</v>
      </c>
      <c r="AP57" s="3">
        <v>0.70299999999999996</v>
      </c>
      <c r="AQ57" s="3">
        <v>1.2869999999999999</v>
      </c>
      <c r="AR57" s="3">
        <v>5.2999999999999999E-2</v>
      </c>
      <c r="AS57" s="3">
        <v>5.8000000000000003E-2</v>
      </c>
      <c r="AT57" s="3">
        <v>8.5000000000000006E-2</v>
      </c>
      <c r="AU57" s="3">
        <v>6.7000000000000004E-2</v>
      </c>
      <c r="AV57" s="3">
        <v>0.217</v>
      </c>
      <c r="AW57" s="3">
        <v>0.32500000000000001</v>
      </c>
      <c r="AX57" s="3">
        <v>0.13700000000000001</v>
      </c>
      <c r="AY57" s="3">
        <v>5.8000000000000003E-2</v>
      </c>
      <c r="AZ57" s="3">
        <v>-0.27100000000000002</v>
      </c>
      <c r="BA57" s="3">
        <v>2382</v>
      </c>
      <c r="BB57" s="3">
        <v>12.19</v>
      </c>
      <c r="BC57" s="3">
        <v>2876</v>
      </c>
      <c r="BD57" s="3"/>
      <c r="BE57" s="3"/>
      <c r="BF57" s="3">
        <f t="shared" si="25"/>
        <v>1103</v>
      </c>
      <c r="BH57" s="16">
        <v>10.93</v>
      </c>
      <c r="BI57" s="16">
        <f t="shared" si="68"/>
        <v>22.078599999999998</v>
      </c>
      <c r="BJ57" s="17">
        <f t="shared" si="1"/>
        <v>2.42</v>
      </c>
      <c r="BK57" s="17">
        <f t="shared" si="2"/>
        <v>5.24</v>
      </c>
      <c r="BM57" s="1">
        <f t="shared" si="3"/>
        <v>96.1</v>
      </c>
      <c r="BN57" s="1">
        <f t="shared" si="4"/>
        <v>80.400000000000006</v>
      </c>
      <c r="BO57" s="1">
        <f t="shared" si="5"/>
        <v>52.7</v>
      </c>
      <c r="BP57" s="62">
        <f t="shared" si="26"/>
        <v>0.55800000000000005</v>
      </c>
      <c r="BQ57" s="62">
        <f t="shared" si="6"/>
        <v>0.501</v>
      </c>
      <c r="BS57" s="3">
        <v>0</v>
      </c>
      <c r="BT57" s="8"/>
      <c r="BV57" s="8"/>
      <c r="BW57" s="16">
        <f t="shared" si="36"/>
        <v>2.42</v>
      </c>
      <c r="BX57" s="16">
        <f t="shared" si="37"/>
        <v>5.24</v>
      </c>
      <c r="BY57" s="3">
        <f t="shared" si="38"/>
        <v>3.9</v>
      </c>
      <c r="BZ57" s="3">
        <f t="shared" si="39"/>
        <v>3.2</v>
      </c>
      <c r="CA57" s="3">
        <f t="shared" si="40"/>
        <v>2.9</v>
      </c>
      <c r="CB57" s="3">
        <f t="shared" si="41"/>
        <v>-0.3</v>
      </c>
      <c r="CC57" s="3">
        <f t="shared" si="42"/>
        <v>0.1</v>
      </c>
      <c r="CD57" s="3">
        <f t="shared" si="43"/>
        <v>0.7</v>
      </c>
      <c r="CE57" s="3">
        <f t="shared" si="44"/>
        <v>1.3</v>
      </c>
      <c r="CF57" s="23">
        <f t="shared" si="45"/>
        <v>80.400000000000006</v>
      </c>
      <c r="CG57" s="1">
        <f t="shared" si="46"/>
        <v>7.8</v>
      </c>
      <c r="CH57" s="1">
        <f t="shared" si="47"/>
        <v>8</v>
      </c>
      <c r="CI57" s="1">
        <f t="shared" si="48"/>
        <v>7.4</v>
      </c>
      <c r="CJ57" s="1">
        <f t="shared" si="49"/>
        <v>-0.2</v>
      </c>
      <c r="CK57" s="1">
        <f t="shared" si="50"/>
        <v>0.1</v>
      </c>
      <c r="CL57" s="1">
        <f t="shared" si="51"/>
        <v>0.7</v>
      </c>
      <c r="CM57" s="1">
        <f t="shared" si="52"/>
        <v>1.3</v>
      </c>
      <c r="CN57" s="2">
        <f t="shared" si="53"/>
        <v>96.1</v>
      </c>
      <c r="CO57" s="1">
        <f t="shared" si="54"/>
        <v>0.5</v>
      </c>
      <c r="CP57" s="1">
        <f t="shared" si="55"/>
        <v>-0.1</v>
      </c>
      <c r="CQ57" s="1">
        <f t="shared" si="56"/>
        <v>-0.2</v>
      </c>
      <c r="CR57" s="1">
        <f t="shared" si="57"/>
        <v>-0.3</v>
      </c>
      <c r="CS57" s="1">
        <f t="shared" si="58"/>
        <v>0.1</v>
      </c>
      <c r="CT57" s="1">
        <f t="shared" si="59"/>
        <v>0.7</v>
      </c>
      <c r="CU57" s="1">
        <f t="shared" si="60"/>
        <v>1.3</v>
      </c>
      <c r="CV57" s="2">
        <f t="shared" si="61"/>
        <v>52.7</v>
      </c>
      <c r="CW57" s="18">
        <f t="shared" si="62"/>
        <v>1103</v>
      </c>
      <c r="CX57" s="1">
        <f>ROUND(PPTest!K57,1)</f>
        <v>0</v>
      </c>
      <c r="CY57" s="17">
        <f t="shared" si="63"/>
        <v>2.2799999999999998</v>
      </c>
      <c r="CZ57" s="17">
        <f t="shared" si="64"/>
        <v>6.86</v>
      </c>
      <c r="DA57" s="20">
        <f t="shared" si="65"/>
        <v>0.55800000000000005</v>
      </c>
      <c r="DB57" s="20">
        <f t="shared" si="66"/>
        <v>0.501</v>
      </c>
      <c r="DC57" s="16">
        <f t="shared" si="67"/>
        <v>12.19</v>
      </c>
      <c r="DF57" s="3">
        <v>2.7</v>
      </c>
      <c r="DG57" s="3">
        <v>4.4000000000000004</v>
      </c>
      <c r="DH57" s="3">
        <v>0.1</v>
      </c>
      <c r="DI57" s="3">
        <v>68</v>
      </c>
      <c r="DJ57" s="3">
        <v>54</v>
      </c>
      <c r="DK57" s="3"/>
      <c r="DL57" s="3"/>
      <c r="DM57" s="3"/>
      <c r="DN57" s="3"/>
      <c r="DO57" s="3"/>
      <c r="DP57" s="3"/>
      <c r="DQ57" s="3"/>
      <c r="DR57" s="3"/>
      <c r="DS57" s="3"/>
      <c r="DT57" s="3"/>
      <c r="DW57" s="1">
        <v>3.1</v>
      </c>
      <c r="DX57" s="1">
        <v>7.7</v>
      </c>
      <c r="DY57" s="1">
        <v>0.8</v>
      </c>
    </row>
    <row r="58" spans="1:129" x14ac:dyDescent="0.2">
      <c r="A58" s="40">
        <v>34751</v>
      </c>
      <c r="B58" s="3">
        <v>52</v>
      </c>
      <c r="C58" s="3">
        <v>5.3029999999999999</v>
      </c>
      <c r="D58" s="3">
        <v>10.15</v>
      </c>
      <c r="E58" s="3">
        <v>-0.17399999999999999</v>
      </c>
      <c r="F58" s="3">
        <v>67.06</v>
      </c>
      <c r="G58" s="3">
        <v>-1.111</v>
      </c>
      <c r="H58" s="3">
        <v>-1.6990000000000001</v>
      </c>
      <c r="I58" s="3">
        <v>-0.20300000000000001</v>
      </c>
      <c r="J58" s="3">
        <v>-1.048</v>
      </c>
      <c r="K58" s="3">
        <v>-1.28</v>
      </c>
      <c r="L58" s="3">
        <v>0.108</v>
      </c>
      <c r="M58" s="3">
        <v>0.69699999999999995</v>
      </c>
      <c r="N58" s="3">
        <v>1.284</v>
      </c>
      <c r="O58" s="3">
        <v>0</v>
      </c>
      <c r="P58" s="16">
        <v>2.5091666666666668</v>
      </c>
      <c r="Q58" s="3"/>
      <c r="R58" s="3">
        <v>2.6960000000000002</v>
      </c>
      <c r="S58" s="3">
        <v>3</v>
      </c>
      <c r="T58" s="3">
        <v>98.4</v>
      </c>
      <c r="U58" s="3">
        <v>308</v>
      </c>
      <c r="V58" s="3">
        <v>1.9910000000000001</v>
      </c>
      <c r="W58" s="3">
        <v>2.1859999999999999</v>
      </c>
      <c r="X58" s="3">
        <v>-0.151</v>
      </c>
      <c r="Y58" s="3">
        <v>-0.66800000000000004</v>
      </c>
      <c r="Z58" s="3">
        <v>2.9670000000000001</v>
      </c>
      <c r="AA58" s="3">
        <v>0.13900000000000001</v>
      </c>
      <c r="AB58" s="3">
        <v>0.73099999999999998</v>
      </c>
      <c r="AC58" s="3">
        <v>1.3280000000000001</v>
      </c>
      <c r="AD58" s="16">
        <v>6.9008333333333329</v>
      </c>
      <c r="AE58" s="3">
        <v>1141</v>
      </c>
      <c r="AF58" s="3">
        <v>-5.7649999999999997</v>
      </c>
      <c r="AG58" s="3">
        <v>2357</v>
      </c>
      <c r="AH58" s="3">
        <v>44.68</v>
      </c>
      <c r="AI58" s="3">
        <v>1044</v>
      </c>
      <c r="AJ58" s="3">
        <v>-7.86</v>
      </c>
      <c r="AK58" s="3">
        <v>-10.69</v>
      </c>
      <c r="AL58" s="3">
        <v>-0.249</v>
      </c>
      <c r="AM58" s="3">
        <v>-1.74</v>
      </c>
      <c r="AN58" s="3">
        <v>-9.08</v>
      </c>
      <c r="AO58" s="3">
        <v>8.1000000000000003E-2</v>
      </c>
      <c r="AP58" s="3">
        <v>0.65400000000000003</v>
      </c>
      <c r="AQ58" s="3">
        <v>1.2430000000000001</v>
      </c>
      <c r="AR58" s="3">
        <v>2.4E-2</v>
      </c>
      <c r="AS58" s="3">
        <v>9.1999999999999998E-2</v>
      </c>
      <c r="AT58" s="3">
        <v>0.04</v>
      </c>
      <c r="AU58" s="3">
        <v>4.3999999999999997E-2</v>
      </c>
      <c r="AV58" s="3">
        <v>0.30399999999999999</v>
      </c>
      <c r="AW58" s="3">
        <v>0.434</v>
      </c>
      <c r="AX58" s="3">
        <v>5.3999999999999999E-2</v>
      </c>
      <c r="AY58" s="3">
        <v>8.0000000000000002E-3</v>
      </c>
      <c r="AZ58" s="3">
        <v>-1.649</v>
      </c>
      <c r="BA58" s="3">
        <v>2399</v>
      </c>
      <c r="BB58" s="3">
        <v>12.19</v>
      </c>
      <c r="BC58" s="3">
        <v>2876</v>
      </c>
      <c r="BD58" s="3"/>
      <c r="BE58" s="3"/>
      <c r="BF58" s="3">
        <f t="shared" si="25"/>
        <v>1086</v>
      </c>
      <c r="BH58" s="16">
        <v>11.14</v>
      </c>
      <c r="BI58" s="16">
        <f t="shared" si="68"/>
        <v>22.502800000000001</v>
      </c>
      <c r="BJ58" s="17">
        <f t="shared" si="1"/>
        <v>5.3</v>
      </c>
      <c r="BK58" s="17">
        <f t="shared" si="2"/>
        <v>10.96</v>
      </c>
      <c r="BM58" s="1">
        <f t="shared" si="3"/>
        <v>91.9</v>
      </c>
      <c r="BN58" s="1">
        <f t="shared" si="4"/>
        <v>63</v>
      </c>
      <c r="BO58" s="1">
        <f t="shared" si="5"/>
        <v>42.3</v>
      </c>
      <c r="BP58" s="62">
        <f t="shared" si="26"/>
        <v>0.314</v>
      </c>
      <c r="BQ58" s="62">
        <f t="shared" si="6"/>
        <v>0.42799999999999999</v>
      </c>
      <c r="BS58" s="3">
        <v>0</v>
      </c>
      <c r="BT58" s="8"/>
      <c r="BV58" s="8"/>
      <c r="BW58" s="16">
        <f t="shared" si="36"/>
        <v>5.3</v>
      </c>
      <c r="BX58" s="16">
        <f t="shared" si="37"/>
        <v>10.96</v>
      </c>
      <c r="BY58" s="3">
        <f t="shared" si="38"/>
        <v>-0.2</v>
      </c>
      <c r="BZ58" s="3">
        <f t="shared" si="39"/>
        <v>-1.1000000000000001</v>
      </c>
      <c r="CA58" s="3">
        <f t="shared" si="40"/>
        <v>-1.7</v>
      </c>
      <c r="CB58" s="3">
        <f t="shared" si="41"/>
        <v>-0.2</v>
      </c>
      <c r="CC58" s="3">
        <f t="shared" si="42"/>
        <v>0.1</v>
      </c>
      <c r="CD58" s="3">
        <f t="shared" si="43"/>
        <v>0.7</v>
      </c>
      <c r="CE58" s="3">
        <f t="shared" si="44"/>
        <v>1.3</v>
      </c>
      <c r="CF58" s="23">
        <f t="shared" si="45"/>
        <v>63</v>
      </c>
      <c r="CG58" s="1">
        <f t="shared" si="46"/>
        <v>2.7</v>
      </c>
      <c r="CH58" s="1">
        <f t="shared" si="47"/>
        <v>2</v>
      </c>
      <c r="CI58" s="1">
        <f t="shared" si="48"/>
        <v>2.2000000000000002</v>
      </c>
      <c r="CJ58" s="1">
        <f t="shared" si="49"/>
        <v>-0.2</v>
      </c>
      <c r="CK58" s="1">
        <f t="shared" si="50"/>
        <v>0.1</v>
      </c>
      <c r="CL58" s="1">
        <f t="shared" si="51"/>
        <v>0.7</v>
      </c>
      <c r="CM58" s="1">
        <f t="shared" si="52"/>
        <v>1.3</v>
      </c>
      <c r="CN58" s="2">
        <f t="shared" si="53"/>
        <v>91.9</v>
      </c>
      <c r="CO58" s="1">
        <f t="shared" si="54"/>
        <v>-5.8</v>
      </c>
      <c r="CP58" s="1">
        <f t="shared" si="55"/>
        <v>-7.9</v>
      </c>
      <c r="CQ58" s="1">
        <f t="shared" si="56"/>
        <v>-10.7</v>
      </c>
      <c r="CR58" s="1">
        <f t="shared" si="57"/>
        <v>-0.2</v>
      </c>
      <c r="CS58" s="1">
        <f t="shared" si="58"/>
        <v>0.1</v>
      </c>
      <c r="CT58" s="1">
        <f t="shared" si="59"/>
        <v>0.7</v>
      </c>
      <c r="CU58" s="1">
        <f t="shared" si="60"/>
        <v>1.2</v>
      </c>
      <c r="CV58" s="2">
        <f t="shared" si="61"/>
        <v>42.3</v>
      </c>
      <c r="CW58" s="18">
        <f t="shared" si="62"/>
        <v>1086</v>
      </c>
      <c r="CX58" s="1">
        <f>ROUND(PPTest!K58,1)</f>
        <v>0</v>
      </c>
      <c r="CY58" s="17">
        <f t="shared" si="63"/>
        <v>2.5099999999999998</v>
      </c>
      <c r="CZ58" s="17">
        <f t="shared" si="64"/>
        <v>6.9</v>
      </c>
      <c r="DA58" s="20">
        <f t="shared" si="65"/>
        <v>0.314</v>
      </c>
      <c r="DB58" s="20">
        <f t="shared" si="66"/>
        <v>0.42799999999999999</v>
      </c>
      <c r="DC58" s="16">
        <f t="shared" si="67"/>
        <v>12.19</v>
      </c>
      <c r="DF58" s="3">
        <v>0.6</v>
      </c>
      <c r="DG58" s="3">
        <v>6.1</v>
      </c>
      <c r="DH58" s="3">
        <v>-2.1</v>
      </c>
      <c r="DI58" s="3">
        <v>68.900000000000006</v>
      </c>
      <c r="DJ58" s="3">
        <v>54</v>
      </c>
      <c r="DK58" s="3"/>
      <c r="DL58" s="3"/>
      <c r="DM58" s="3"/>
      <c r="DN58" s="3"/>
      <c r="DO58" s="3"/>
      <c r="DP58" s="3"/>
      <c r="DQ58" s="3"/>
      <c r="DR58" s="3"/>
      <c r="DS58" s="3"/>
      <c r="DT58" s="3"/>
      <c r="DW58" s="1">
        <v>1.2</v>
      </c>
      <c r="DX58" s="1">
        <v>5.4</v>
      </c>
      <c r="DY58" s="1">
        <v>-1.8</v>
      </c>
    </row>
    <row r="59" spans="1:129" x14ac:dyDescent="0.2">
      <c r="A59" s="40">
        <v>34752</v>
      </c>
      <c r="B59" s="3">
        <v>53</v>
      </c>
      <c r="C59" s="3">
        <v>11.21</v>
      </c>
      <c r="D59" s="3">
        <v>20.86</v>
      </c>
      <c r="E59" s="3">
        <v>-5.0090000000000003</v>
      </c>
      <c r="F59" s="3">
        <v>79.8</v>
      </c>
      <c r="G59" s="3">
        <v>-5.7290000000000001</v>
      </c>
      <c r="H59" s="3">
        <v>-7.02</v>
      </c>
      <c r="I59" s="3">
        <v>-0.17399999999999999</v>
      </c>
      <c r="J59" s="3">
        <v>-2.718</v>
      </c>
      <c r="K59" s="3">
        <v>-5.63</v>
      </c>
      <c r="L59" s="3">
        <v>8.5999999999999993E-2</v>
      </c>
      <c r="M59" s="3">
        <v>0.64900000000000002</v>
      </c>
      <c r="N59" s="3">
        <v>1.226</v>
      </c>
      <c r="O59" s="3">
        <v>0</v>
      </c>
      <c r="P59" s="16">
        <v>1.6441666666666668</v>
      </c>
      <c r="Q59" s="3"/>
      <c r="R59" s="3">
        <v>2.0110000000000001</v>
      </c>
      <c r="S59" s="3">
        <v>1523</v>
      </c>
      <c r="T59" s="3">
        <v>97.9</v>
      </c>
      <c r="U59" s="3">
        <v>655</v>
      </c>
      <c r="V59" s="3">
        <v>3.907</v>
      </c>
      <c r="W59" s="3">
        <v>2.5790000000000002</v>
      </c>
      <c r="X59" s="3">
        <v>-0.124</v>
      </c>
      <c r="Y59" s="3">
        <v>-1.7390000000000001</v>
      </c>
      <c r="Z59" s="3">
        <v>5.7969999999999997</v>
      </c>
      <c r="AA59" s="3">
        <v>0.122</v>
      </c>
      <c r="AB59" s="3">
        <v>0.68500000000000005</v>
      </c>
      <c r="AC59" s="3">
        <v>1.2629999999999999</v>
      </c>
      <c r="AD59" s="16">
        <v>3.6875</v>
      </c>
      <c r="AE59" s="3">
        <v>1642</v>
      </c>
      <c r="AF59" s="3">
        <v>-10.77</v>
      </c>
      <c r="AG59" s="3">
        <v>2336</v>
      </c>
      <c r="AH59" s="3">
        <v>45.78</v>
      </c>
      <c r="AI59" s="3">
        <v>1417</v>
      </c>
      <c r="AJ59" s="3">
        <v>-11.91</v>
      </c>
      <c r="AK59" s="3">
        <v>-13.05</v>
      </c>
      <c r="AL59" s="3">
        <v>-0.224</v>
      </c>
      <c r="AM59" s="3">
        <v>-3.7850000000000001</v>
      </c>
      <c r="AN59" s="3">
        <v>-12.67</v>
      </c>
      <c r="AO59" s="3">
        <v>3.2000000000000001E-2</v>
      </c>
      <c r="AP59" s="3">
        <v>0.58799999999999997</v>
      </c>
      <c r="AQ59" s="3">
        <v>1.165</v>
      </c>
      <c r="AR59" s="3">
        <v>6.0000000000000001E-3</v>
      </c>
      <c r="AS59" s="3">
        <v>0.28199999999999997</v>
      </c>
      <c r="AT59" s="3">
        <v>0.39900000000000002</v>
      </c>
      <c r="AU59" s="3">
        <v>1.4999999999999999E-2</v>
      </c>
      <c r="AV59" s="3">
        <v>4.7E-2</v>
      </c>
      <c r="AW59" s="3">
        <v>0.13900000000000001</v>
      </c>
      <c r="AX59" s="3">
        <v>9.9000000000000005E-2</v>
      </c>
      <c r="AY59" s="3">
        <v>1.4999999999999999E-2</v>
      </c>
      <c r="AZ59" s="3">
        <v>-6.4720000000000004</v>
      </c>
      <c r="BA59" s="3">
        <v>2398</v>
      </c>
      <c r="BB59" s="3">
        <v>12.18</v>
      </c>
      <c r="BC59" s="3">
        <v>2876</v>
      </c>
      <c r="BD59" s="3"/>
      <c r="BE59" s="3"/>
      <c r="BF59" s="3">
        <f t="shared" si="25"/>
        <v>1087</v>
      </c>
      <c r="BH59" s="16">
        <v>11.37</v>
      </c>
      <c r="BI59" s="16">
        <f t="shared" si="68"/>
        <v>22.967399999999998</v>
      </c>
      <c r="BJ59" s="17">
        <f t="shared" si="1"/>
        <v>11.21</v>
      </c>
      <c r="BK59" s="17">
        <f t="shared" si="2"/>
        <v>22.53</v>
      </c>
      <c r="BM59" s="1">
        <f t="shared" si="3"/>
        <v>91.5</v>
      </c>
      <c r="BN59" s="1">
        <f t="shared" si="4"/>
        <v>74.7</v>
      </c>
      <c r="BO59" s="1">
        <f t="shared" si="5"/>
        <v>43.3</v>
      </c>
      <c r="BP59" s="62">
        <f t="shared" si="26"/>
        <v>0.30599999999999999</v>
      </c>
      <c r="BQ59" s="62">
        <f t="shared" si="6"/>
        <v>0.40100000000000002</v>
      </c>
      <c r="BS59" s="3">
        <v>0</v>
      </c>
      <c r="BT59" s="8"/>
      <c r="BV59" s="8"/>
      <c r="BW59" s="16">
        <f t="shared" si="36"/>
        <v>11.21</v>
      </c>
      <c r="BX59" s="16">
        <f t="shared" si="37"/>
        <v>22.53</v>
      </c>
      <c r="BY59" s="3">
        <f t="shared" si="38"/>
        <v>-5</v>
      </c>
      <c r="BZ59" s="3">
        <f t="shared" si="39"/>
        <v>-5.7</v>
      </c>
      <c r="CA59" s="3">
        <f t="shared" si="40"/>
        <v>-7</v>
      </c>
      <c r="CB59" s="3">
        <f t="shared" si="41"/>
        <v>-0.2</v>
      </c>
      <c r="CC59" s="3">
        <f t="shared" si="42"/>
        <v>0.1</v>
      </c>
      <c r="CD59" s="3">
        <f t="shared" si="43"/>
        <v>0.6</v>
      </c>
      <c r="CE59" s="3">
        <f t="shared" si="44"/>
        <v>1.2</v>
      </c>
      <c r="CF59" s="23">
        <f t="shared" si="45"/>
        <v>74.7</v>
      </c>
      <c r="CG59" s="1">
        <f t="shared" si="46"/>
        <v>2</v>
      </c>
      <c r="CH59" s="1">
        <f t="shared" si="47"/>
        <v>3.9</v>
      </c>
      <c r="CI59" s="1">
        <f t="shared" si="48"/>
        <v>2.6</v>
      </c>
      <c r="CJ59" s="1">
        <f t="shared" si="49"/>
        <v>-0.1</v>
      </c>
      <c r="CK59" s="1">
        <f t="shared" si="50"/>
        <v>0.1</v>
      </c>
      <c r="CL59" s="1">
        <f t="shared" si="51"/>
        <v>0.7</v>
      </c>
      <c r="CM59" s="1">
        <f t="shared" si="52"/>
        <v>1.3</v>
      </c>
      <c r="CN59" s="2">
        <f t="shared" si="53"/>
        <v>91.5</v>
      </c>
      <c r="CO59" s="1">
        <f t="shared" si="54"/>
        <v>-10.8</v>
      </c>
      <c r="CP59" s="1">
        <f t="shared" si="55"/>
        <v>-11.9</v>
      </c>
      <c r="CQ59" s="1">
        <f t="shared" si="56"/>
        <v>-13.1</v>
      </c>
      <c r="CR59" s="1">
        <f t="shared" si="57"/>
        <v>-0.2</v>
      </c>
      <c r="CS59" s="1">
        <f t="shared" si="58"/>
        <v>0</v>
      </c>
      <c r="CT59" s="1">
        <f t="shared" si="59"/>
        <v>0.6</v>
      </c>
      <c r="CU59" s="1">
        <f t="shared" si="60"/>
        <v>1.2</v>
      </c>
      <c r="CV59" s="2">
        <f t="shared" si="61"/>
        <v>43.3</v>
      </c>
      <c r="CW59" s="18">
        <f t="shared" si="62"/>
        <v>1087</v>
      </c>
      <c r="CX59" s="1">
        <f>ROUND(PPTest!K59,1)</f>
        <v>0.1</v>
      </c>
      <c r="CY59" s="17">
        <f t="shared" si="63"/>
        <v>1.64</v>
      </c>
      <c r="CZ59" s="17">
        <f t="shared" si="64"/>
        <v>3.69</v>
      </c>
      <c r="DA59" s="20">
        <f t="shared" si="65"/>
        <v>0.30599999999999999</v>
      </c>
      <c r="DB59" s="20">
        <f t="shared" si="66"/>
        <v>0.40100000000000002</v>
      </c>
      <c r="DC59" s="16">
        <f t="shared" si="67"/>
        <v>12.18</v>
      </c>
      <c r="DF59" s="3">
        <v>0.9</v>
      </c>
      <c r="DG59" s="3">
        <v>2.6</v>
      </c>
      <c r="DH59" s="3">
        <v>-1.3</v>
      </c>
      <c r="DI59" s="3">
        <v>66</v>
      </c>
      <c r="DJ59" s="3">
        <v>63</v>
      </c>
      <c r="DK59" s="3"/>
      <c r="DL59" s="3"/>
      <c r="DM59" s="3"/>
      <c r="DN59" s="3"/>
      <c r="DO59" s="3"/>
      <c r="DP59" s="3"/>
      <c r="DQ59" s="3"/>
      <c r="DR59" s="3"/>
      <c r="DS59" s="3"/>
      <c r="DT59" s="3"/>
      <c r="DW59" s="1">
        <v>-1.9</v>
      </c>
      <c r="DX59" s="1">
        <v>5.5</v>
      </c>
      <c r="DY59" s="1">
        <v>-6.9</v>
      </c>
    </row>
    <row r="60" spans="1:129" x14ac:dyDescent="0.2">
      <c r="A60" s="40">
        <v>34753</v>
      </c>
      <c r="B60" s="3">
        <v>54</v>
      </c>
      <c r="C60" s="3">
        <v>3.21</v>
      </c>
      <c r="D60" s="3">
        <v>6.1719999999999997</v>
      </c>
      <c r="E60" s="3">
        <v>-2.3159999999999998</v>
      </c>
      <c r="F60" s="3">
        <v>76.599999999999994</v>
      </c>
      <c r="G60" s="3">
        <v>-3.1760000000000002</v>
      </c>
      <c r="H60" s="3">
        <v>-3.7290000000000001</v>
      </c>
      <c r="I60" s="3">
        <v>-0.112</v>
      </c>
      <c r="J60" s="3">
        <v>-4.2080000000000002</v>
      </c>
      <c r="K60" s="3">
        <v>-3.524</v>
      </c>
      <c r="L60" s="3">
        <v>8.3000000000000004E-2</v>
      </c>
      <c r="M60" s="3">
        <v>0.626</v>
      </c>
      <c r="N60" s="3">
        <v>1.181</v>
      </c>
      <c r="O60" s="3">
        <v>0</v>
      </c>
      <c r="P60" s="16">
        <v>1.3403333333333334</v>
      </c>
      <c r="Q60" s="3"/>
      <c r="R60" s="3">
        <v>4.5110000000000001</v>
      </c>
      <c r="S60" s="3">
        <v>1716</v>
      </c>
      <c r="T60" s="3">
        <v>97.6</v>
      </c>
      <c r="U60" s="3">
        <v>22</v>
      </c>
      <c r="V60" s="3">
        <v>4.4779999999999998</v>
      </c>
      <c r="W60" s="3">
        <v>3.8730000000000002</v>
      </c>
      <c r="X60" s="3">
        <v>-5.8999999999999997E-2</v>
      </c>
      <c r="Y60" s="3">
        <v>-3.3239999999999998</v>
      </c>
      <c r="Z60" s="3">
        <v>5.2069999999999999</v>
      </c>
      <c r="AA60" s="3">
        <v>0.11899999999999999</v>
      </c>
      <c r="AB60" s="3">
        <v>0.67900000000000005</v>
      </c>
      <c r="AC60" s="3">
        <v>1.2549999999999999</v>
      </c>
      <c r="AD60" s="16">
        <v>5.0741666666666667</v>
      </c>
      <c r="AE60" s="3">
        <v>1721</v>
      </c>
      <c r="AF60" s="3">
        <v>-11.1</v>
      </c>
      <c r="AG60" s="3">
        <v>12</v>
      </c>
      <c r="AH60" s="3">
        <v>49.84</v>
      </c>
      <c r="AI60" s="3">
        <v>1634</v>
      </c>
      <c r="AJ60" s="3">
        <v>-12.06</v>
      </c>
      <c r="AK60" s="3">
        <v>-12.66</v>
      </c>
      <c r="AL60" s="3">
        <v>-0.15</v>
      </c>
      <c r="AM60" s="3">
        <v>-5.359</v>
      </c>
      <c r="AN60" s="3">
        <v>-12.46</v>
      </c>
      <c r="AO60" s="3">
        <v>4.8000000000000001E-2</v>
      </c>
      <c r="AP60" s="3">
        <v>0.59399999999999997</v>
      </c>
      <c r="AQ60" s="3">
        <v>1.1419999999999999</v>
      </c>
      <c r="AR60" s="3">
        <v>0.08</v>
      </c>
      <c r="AS60" s="3">
        <v>0.41399999999999998</v>
      </c>
      <c r="AT60" s="3">
        <v>0.26100000000000001</v>
      </c>
      <c r="AU60" s="3">
        <v>2.8000000000000001E-2</v>
      </c>
      <c r="AV60" s="3">
        <v>2.8000000000000001E-2</v>
      </c>
      <c r="AW60" s="3">
        <v>0.11600000000000001</v>
      </c>
      <c r="AX60" s="3">
        <v>4.5999999999999999E-2</v>
      </c>
      <c r="AY60" s="3">
        <v>2.5999999999999999E-2</v>
      </c>
      <c r="AZ60" s="3">
        <v>-5.8410000000000002</v>
      </c>
      <c r="BA60" s="3">
        <v>2398</v>
      </c>
      <c r="BB60" s="3">
        <v>12.18</v>
      </c>
      <c r="BC60" s="3">
        <v>2876</v>
      </c>
      <c r="BD60" s="3"/>
      <c r="BE60" s="3"/>
      <c r="BF60" s="3">
        <f t="shared" si="25"/>
        <v>1087</v>
      </c>
      <c r="BH60" s="16">
        <v>11.59</v>
      </c>
      <c r="BI60" s="16">
        <f t="shared" si="68"/>
        <v>23.411799999999999</v>
      </c>
      <c r="BJ60" s="17">
        <f t="shared" si="1"/>
        <v>3.21</v>
      </c>
      <c r="BK60" s="17">
        <f t="shared" si="2"/>
        <v>6.67</v>
      </c>
      <c r="BM60" s="1">
        <f t="shared" si="3"/>
        <v>91.2</v>
      </c>
      <c r="BN60" s="1">
        <f t="shared" si="4"/>
        <v>71.8</v>
      </c>
      <c r="BO60" s="1">
        <f t="shared" si="5"/>
        <v>47.1</v>
      </c>
      <c r="BP60" s="62">
        <f t="shared" si="26"/>
        <v>0.39700000000000002</v>
      </c>
      <c r="BQ60" s="62">
        <f t="shared" si="6"/>
        <v>0.44600000000000001</v>
      </c>
      <c r="BS60" s="3">
        <v>0.3</v>
      </c>
      <c r="BT60" s="8"/>
      <c r="BV60" s="8"/>
      <c r="BW60" s="16">
        <f t="shared" si="36"/>
        <v>3.21</v>
      </c>
      <c r="BX60" s="16">
        <f t="shared" si="37"/>
        <v>6.67</v>
      </c>
      <c r="BY60" s="3">
        <f t="shared" si="38"/>
        <v>-2.2999999999999998</v>
      </c>
      <c r="BZ60" s="3">
        <f t="shared" si="39"/>
        <v>-3.2</v>
      </c>
      <c r="CA60" s="3">
        <f t="shared" si="40"/>
        <v>-3.7</v>
      </c>
      <c r="CB60" s="3">
        <f t="shared" si="41"/>
        <v>-0.1</v>
      </c>
      <c r="CC60" s="3">
        <f t="shared" si="42"/>
        <v>0.1</v>
      </c>
      <c r="CD60" s="3">
        <f t="shared" si="43"/>
        <v>0.6</v>
      </c>
      <c r="CE60" s="3">
        <f t="shared" si="44"/>
        <v>1.2</v>
      </c>
      <c r="CF60" s="23">
        <f t="shared" si="45"/>
        <v>71.8</v>
      </c>
      <c r="CG60" s="1">
        <f t="shared" si="46"/>
        <v>4.5</v>
      </c>
      <c r="CH60" s="1">
        <f t="shared" si="47"/>
        <v>4.5</v>
      </c>
      <c r="CI60" s="1">
        <f t="shared" si="48"/>
        <v>3.9</v>
      </c>
      <c r="CJ60" s="1">
        <f t="shared" si="49"/>
        <v>-0.1</v>
      </c>
      <c r="CK60" s="1">
        <f t="shared" si="50"/>
        <v>0.1</v>
      </c>
      <c r="CL60" s="1">
        <f t="shared" si="51"/>
        <v>0.7</v>
      </c>
      <c r="CM60" s="1">
        <f t="shared" si="52"/>
        <v>1.3</v>
      </c>
      <c r="CN60" s="2">
        <f t="shared" si="53"/>
        <v>91.2</v>
      </c>
      <c r="CO60" s="1">
        <f t="shared" si="54"/>
        <v>-11.1</v>
      </c>
      <c r="CP60" s="1">
        <f t="shared" si="55"/>
        <v>-12.1</v>
      </c>
      <c r="CQ60" s="1">
        <f t="shared" si="56"/>
        <v>-12.7</v>
      </c>
      <c r="CR60" s="1">
        <f t="shared" si="57"/>
        <v>-0.2</v>
      </c>
      <c r="CS60" s="1">
        <f t="shared" si="58"/>
        <v>0</v>
      </c>
      <c r="CT60" s="1">
        <f t="shared" si="59"/>
        <v>0.6</v>
      </c>
      <c r="CU60" s="1">
        <f t="shared" si="60"/>
        <v>1.1000000000000001</v>
      </c>
      <c r="CV60" s="2">
        <f t="shared" si="61"/>
        <v>47.1</v>
      </c>
      <c r="CW60" s="18">
        <f t="shared" si="62"/>
        <v>1087</v>
      </c>
      <c r="CX60" s="1">
        <f>ROUND(PPTest!K60,1)</f>
        <v>0</v>
      </c>
      <c r="CY60" s="17">
        <f t="shared" si="63"/>
        <v>1.34</v>
      </c>
      <c r="CZ60" s="17">
        <f t="shared" si="64"/>
        <v>5.07</v>
      </c>
      <c r="DA60" s="20">
        <f t="shared" si="65"/>
        <v>0.39700000000000002</v>
      </c>
      <c r="DB60" s="20">
        <f t="shared" si="66"/>
        <v>0.44600000000000001</v>
      </c>
      <c r="DC60" s="16">
        <f t="shared" si="67"/>
        <v>12.18</v>
      </c>
      <c r="DF60" s="3">
        <v>2.7</v>
      </c>
      <c r="DG60" s="3">
        <v>3.6</v>
      </c>
      <c r="DH60" s="3">
        <v>2</v>
      </c>
      <c r="DI60" s="3">
        <v>74</v>
      </c>
      <c r="DJ60" s="3">
        <v>64</v>
      </c>
      <c r="DK60" s="3"/>
      <c r="DL60" s="3"/>
      <c r="DM60" s="3"/>
      <c r="DN60" s="3"/>
      <c r="DO60" s="3"/>
      <c r="DP60" s="3"/>
      <c r="DQ60" s="3"/>
      <c r="DR60" s="3"/>
      <c r="DS60" s="3"/>
      <c r="DT60" s="3"/>
      <c r="DW60" s="1">
        <v>-0.7</v>
      </c>
      <c r="DX60" s="1">
        <v>6</v>
      </c>
      <c r="DY60" s="1">
        <v>-6.3</v>
      </c>
    </row>
    <row r="61" spans="1:129" x14ac:dyDescent="0.2">
      <c r="A61" s="40">
        <v>34754</v>
      </c>
      <c r="B61" s="3">
        <v>55</v>
      </c>
      <c r="C61" s="3">
        <v>1.915</v>
      </c>
      <c r="D61" s="3">
        <v>3.9689999999999999</v>
      </c>
      <c r="E61" s="3">
        <v>1.927</v>
      </c>
      <c r="F61" s="3">
        <v>79.8</v>
      </c>
      <c r="G61" s="3">
        <v>1.1299999999999999</v>
      </c>
      <c r="H61" s="3">
        <v>0.83199999999999996</v>
      </c>
      <c r="I61" s="3">
        <v>-2.7E-2</v>
      </c>
      <c r="J61" s="3">
        <v>-2.4990000000000001</v>
      </c>
      <c r="K61" s="3">
        <v>0.53600000000000003</v>
      </c>
      <c r="L61" s="3">
        <v>0.11</v>
      </c>
      <c r="M61" s="3">
        <v>0.63500000000000001</v>
      </c>
      <c r="N61" s="3">
        <v>1.163</v>
      </c>
      <c r="O61" s="3">
        <v>0</v>
      </c>
      <c r="P61" s="16">
        <v>2.6958333333333333</v>
      </c>
      <c r="Q61" s="3"/>
      <c r="R61" s="3">
        <v>4.8099999999999996</v>
      </c>
      <c r="S61" s="3">
        <v>621</v>
      </c>
      <c r="T61" s="3">
        <v>93.6</v>
      </c>
      <c r="U61" s="3">
        <v>1400</v>
      </c>
      <c r="V61" s="3">
        <v>4.0469999999999997</v>
      </c>
      <c r="W61" s="3">
        <v>4.0919999999999996</v>
      </c>
      <c r="X61" s="3">
        <v>0.02</v>
      </c>
      <c r="Y61" s="3">
        <v>-1.35</v>
      </c>
      <c r="Z61" s="3">
        <v>3.2360000000000002</v>
      </c>
      <c r="AA61" s="3">
        <v>0.152</v>
      </c>
      <c r="AB61" s="3">
        <v>0.67600000000000005</v>
      </c>
      <c r="AC61" s="3">
        <v>1.1930000000000001</v>
      </c>
      <c r="AD61" s="16">
        <v>7.0075000000000003</v>
      </c>
      <c r="AE61" s="3">
        <v>1351</v>
      </c>
      <c r="AF61" s="3">
        <v>-1.1100000000000001</v>
      </c>
      <c r="AG61" s="3">
        <v>300</v>
      </c>
      <c r="AH61" s="3">
        <v>65.69</v>
      </c>
      <c r="AI61" s="3">
        <v>608</v>
      </c>
      <c r="AJ61" s="3">
        <v>-2.2309999999999999</v>
      </c>
      <c r="AK61" s="3">
        <v>-2.9660000000000002</v>
      </c>
      <c r="AL61" s="3">
        <v>-8.5999999999999993E-2</v>
      </c>
      <c r="AM61" s="3">
        <v>-3.569</v>
      </c>
      <c r="AN61" s="3">
        <v>-2.4849999999999999</v>
      </c>
      <c r="AO61" s="3">
        <v>6.4000000000000001E-2</v>
      </c>
      <c r="AP61" s="3">
        <v>0.59299999999999997</v>
      </c>
      <c r="AQ61" s="3">
        <v>1.123</v>
      </c>
      <c r="AR61" s="3">
        <v>1.9E-2</v>
      </c>
      <c r="AS61" s="3">
        <v>9.8000000000000004E-2</v>
      </c>
      <c r="AT61" s="3">
        <v>6.0999999999999999E-2</v>
      </c>
      <c r="AU61" s="3">
        <v>0.04</v>
      </c>
      <c r="AV61" s="3">
        <v>0.247</v>
      </c>
      <c r="AW61" s="3">
        <v>0.45600000000000002</v>
      </c>
      <c r="AX61" s="3">
        <v>6.5000000000000002E-2</v>
      </c>
      <c r="AY61" s="3">
        <v>1.4E-2</v>
      </c>
      <c r="AZ61" s="3">
        <v>-1.274</v>
      </c>
      <c r="BA61" s="3">
        <v>2399</v>
      </c>
      <c r="BB61" s="3">
        <v>12.18</v>
      </c>
      <c r="BC61" s="3">
        <v>2876</v>
      </c>
      <c r="BD61" s="3"/>
      <c r="BE61" s="3"/>
      <c r="BF61" s="3">
        <f t="shared" si="25"/>
        <v>1086</v>
      </c>
      <c r="BH61" s="16">
        <v>11.82</v>
      </c>
      <c r="BI61" s="16">
        <f t="shared" si="68"/>
        <v>23.8764</v>
      </c>
      <c r="BJ61" s="17">
        <f t="shared" si="1"/>
        <v>1.92</v>
      </c>
      <c r="BK61" s="17">
        <f t="shared" si="2"/>
        <v>4.29</v>
      </c>
      <c r="BM61" s="1">
        <f t="shared" si="3"/>
        <v>87.5</v>
      </c>
      <c r="BN61" s="1">
        <f t="shared" si="4"/>
        <v>74.7</v>
      </c>
      <c r="BO61" s="1">
        <f t="shared" si="5"/>
        <v>61.7</v>
      </c>
      <c r="BP61" s="62">
        <f t="shared" si="26"/>
        <v>0.53100000000000003</v>
      </c>
      <c r="BQ61" s="62">
        <f t="shared" si="6"/>
        <v>0.33</v>
      </c>
      <c r="BS61" s="3">
        <v>0</v>
      </c>
      <c r="BT61" s="8"/>
      <c r="BV61" s="8"/>
      <c r="BW61" s="16">
        <f t="shared" si="36"/>
        <v>1.92</v>
      </c>
      <c r="BX61" s="16">
        <f t="shared" si="37"/>
        <v>4.29</v>
      </c>
      <c r="BY61" s="3">
        <f t="shared" si="38"/>
        <v>1.9</v>
      </c>
      <c r="BZ61" s="3">
        <f t="shared" si="39"/>
        <v>1.1000000000000001</v>
      </c>
      <c r="CA61" s="3">
        <f t="shared" si="40"/>
        <v>0.8</v>
      </c>
      <c r="CB61" s="3">
        <f t="shared" si="41"/>
        <v>0</v>
      </c>
      <c r="CC61" s="3">
        <f t="shared" si="42"/>
        <v>0.1</v>
      </c>
      <c r="CD61" s="3">
        <f t="shared" si="43"/>
        <v>0.6</v>
      </c>
      <c r="CE61" s="3">
        <f t="shared" si="44"/>
        <v>1.2</v>
      </c>
      <c r="CF61" s="23">
        <f t="shared" si="45"/>
        <v>74.7</v>
      </c>
      <c r="CG61" s="1">
        <f t="shared" si="46"/>
        <v>4.8</v>
      </c>
      <c r="CH61" s="1">
        <f t="shared" si="47"/>
        <v>4</v>
      </c>
      <c r="CI61" s="1">
        <f t="shared" si="48"/>
        <v>4.0999999999999996</v>
      </c>
      <c r="CJ61" s="1">
        <f t="shared" si="49"/>
        <v>0</v>
      </c>
      <c r="CK61" s="1">
        <f t="shared" si="50"/>
        <v>0.2</v>
      </c>
      <c r="CL61" s="1">
        <f t="shared" si="51"/>
        <v>0.7</v>
      </c>
      <c r="CM61" s="1">
        <f t="shared" si="52"/>
        <v>1.2</v>
      </c>
      <c r="CN61" s="2">
        <f t="shared" si="53"/>
        <v>87.5</v>
      </c>
      <c r="CO61" s="1">
        <f t="shared" si="54"/>
        <v>-1.1000000000000001</v>
      </c>
      <c r="CP61" s="1">
        <f t="shared" si="55"/>
        <v>-2.2000000000000002</v>
      </c>
      <c r="CQ61" s="1">
        <f t="shared" si="56"/>
        <v>-3</v>
      </c>
      <c r="CR61" s="1">
        <f t="shared" si="57"/>
        <v>-0.1</v>
      </c>
      <c r="CS61" s="1">
        <f t="shared" si="58"/>
        <v>0.1</v>
      </c>
      <c r="CT61" s="1">
        <f t="shared" si="59"/>
        <v>0.6</v>
      </c>
      <c r="CU61" s="1">
        <f t="shared" si="60"/>
        <v>1.1000000000000001</v>
      </c>
      <c r="CV61" s="2">
        <f t="shared" si="61"/>
        <v>61.7</v>
      </c>
      <c r="CW61" s="18">
        <f t="shared" si="62"/>
        <v>1086</v>
      </c>
      <c r="CX61" s="1">
        <f>ROUND(PPTest!K61,1)</f>
        <v>0</v>
      </c>
      <c r="CY61" s="17">
        <f t="shared" si="63"/>
        <v>2.7</v>
      </c>
      <c r="CZ61" s="17">
        <f t="shared" si="64"/>
        <v>7.01</v>
      </c>
      <c r="DA61" s="20">
        <f t="shared" si="65"/>
        <v>0.53100000000000003</v>
      </c>
      <c r="DB61" s="20">
        <f t="shared" si="66"/>
        <v>0.33</v>
      </c>
      <c r="DC61" s="16">
        <f t="shared" si="67"/>
        <v>12.18</v>
      </c>
      <c r="DF61" s="3">
        <v>-0.6</v>
      </c>
      <c r="DG61" s="3">
        <v>2.2000000000000002</v>
      </c>
      <c r="DH61" s="3">
        <v>-4.8</v>
      </c>
      <c r="DI61" s="3">
        <v>59.6</v>
      </c>
      <c r="DJ61" s="3">
        <v>44</v>
      </c>
      <c r="DK61" s="3"/>
      <c r="DL61" s="3"/>
      <c r="DM61" s="3"/>
      <c r="DN61" s="3"/>
      <c r="DO61" s="3"/>
      <c r="DP61" s="3"/>
      <c r="DQ61" s="3"/>
      <c r="DR61" s="3"/>
      <c r="DS61" s="3"/>
      <c r="DT61" s="3"/>
      <c r="DW61" s="1">
        <v>0</v>
      </c>
      <c r="DX61" s="1">
        <v>3.5</v>
      </c>
      <c r="DY61" s="1">
        <v>-4.9000000000000004</v>
      </c>
    </row>
    <row r="62" spans="1:129" x14ac:dyDescent="0.2">
      <c r="A62" s="40">
        <v>34755</v>
      </c>
      <c r="B62" s="3">
        <v>56</v>
      </c>
      <c r="C62" s="3">
        <v>7.56</v>
      </c>
      <c r="D62" s="3">
        <v>14.36</v>
      </c>
      <c r="E62" s="3">
        <v>-3.0089999999999999</v>
      </c>
      <c r="F62" s="3">
        <v>68.760000000000005</v>
      </c>
      <c r="G62" s="3">
        <v>-3.6419999999999999</v>
      </c>
      <c r="H62" s="3">
        <v>-4.3630000000000004</v>
      </c>
      <c r="I62" s="3">
        <v>-1.2999999999999999E-2</v>
      </c>
      <c r="J62" s="3">
        <v>-1.177</v>
      </c>
      <c r="K62" s="3">
        <v>-3.4049999999999998</v>
      </c>
      <c r="L62" s="3">
        <v>0.123</v>
      </c>
      <c r="M62" s="3">
        <v>0.63900000000000001</v>
      </c>
      <c r="N62" s="3">
        <v>1.139</v>
      </c>
      <c r="O62" s="3">
        <v>0</v>
      </c>
      <c r="P62" s="16">
        <v>1.9558333333333335</v>
      </c>
      <c r="Q62" s="3"/>
      <c r="R62" s="3">
        <v>0.54300000000000004</v>
      </c>
      <c r="S62" s="3">
        <v>2</v>
      </c>
      <c r="T62" s="3">
        <v>99.3</v>
      </c>
      <c r="U62" s="3">
        <v>558</v>
      </c>
      <c r="V62" s="3">
        <v>1.1359999999999999</v>
      </c>
      <c r="W62" s="3">
        <v>0.35499999999999998</v>
      </c>
      <c r="X62" s="3">
        <v>0.02</v>
      </c>
      <c r="Y62" s="3">
        <v>-0.30399999999999999</v>
      </c>
      <c r="Z62" s="3">
        <v>2.492</v>
      </c>
      <c r="AA62" s="3">
        <v>0.159</v>
      </c>
      <c r="AB62" s="3">
        <v>0.67200000000000004</v>
      </c>
      <c r="AC62" s="3">
        <v>1.1819999999999999</v>
      </c>
      <c r="AD62" s="16">
        <v>5.0208333333333339</v>
      </c>
      <c r="AE62" s="3">
        <v>148</v>
      </c>
      <c r="AF62" s="3">
        <v>-10.36</v>
      </c>
      <c r="AG62" s="3">
        <v>0</v>
      </c>
      <c r="AH62" s="3">
        <v>42.78</v>
      </c>
      <c r="AI62" s="3">
        <v>1019</v>
      </c>
      <c r="AJ62" s="3">
        <v>-12.45</v>
      </c>
      <c r="AK62" s="3">
        <v>-16.899999999999999</v>
      </c>
      <c r="AL62" s="3">
        <v>-4.3999999999999997E-2</v>
      </c>
      <c r="AM62" s="3">
        <v>-2.629</v>
      </c>
      <c r="AN62" s="3">
        <v>-14.89</v>
      </c>
      <c r="AO62" s="3">
        <v>8.5000000000000006E-2</v>
      </c>
      <c r="AP62" s="3">
        <v>0.60899999999999999</v>
      </c>
      <c r="AQ62" s="3">
        <v>1.103</v>
      </c>
      <c r="AR62" s="3">
        <v>1.4999999999999999E-2</v>
      </c>
      <c r="AS62" s="3">
        <v>7.0000000000000007E-2</v>
      </c>
      <c r="AT62" s="3">
        <v>7.8E-2</v>
      </c>
      <c r="AU62" s="3">
        <v>0.03</v>
      </c>
      <c r="AV62" s="3">
        <v>0.16800000000000001</v>
      </c>
      <c r="AW62" s="3">
        <v>0.49399999999999999</v>
      </c>
      <c r="AX62" s="3">
        <v>0.11700000000000001</v>
      </c>
      <c r="AY62" s="3">
        <v>2.9000000000000001E-2</v>
      </c>
      <c r="AZ62" s="3">
        <v>-2.9729999999999999</v>
      </c>
      <c r="BA62" s="3">
        <v>2412</v>
      </c>
      <c r="BB62" s="3">
        <v>12.17</v>
      </c>
      <c r="BC62" s="3">
        <v>2876</v>
      </c>
      <c r="BD62" s="3"/>
      <c r="BE62" s="3"/>
      <c r="BF62" s="3">
        <f t="shared" si="25"/>
        <v>1073</v>
      </c>
      <c r="BH62" s="16">
        <v>12.04</v>
      </c>
      <c r="BI62" s="16">
        <f t="shared" si="68"/>
        <v>24.320799999999998</v>
      </c>
      <c r="BJ62" s="17">
        <f t="shared" si="1"/>
        <v>7.56</v>
      </c>
      <c r="BK62" s="17">
        <f t="shared" si="2"/>
        <v>15.51</v>
      </c>
      <c r="BM62" s="1">
        <f t="shared" si="3"/>
        <v>92.8</v>
      </c>
      <c r="BN62" s="1">
        <f t="shared" si="4"/>
        <v>64.5</v>
      </c>
      <c r="BO62" s="1">
        <f t="shared" si="5"/>
        <v>40.5</v>
      </c>
      <c r="BP62" s="62">
        <f t="shared" si="26"/>
        <v>0.25700000000000001</v>
      </c>
      <c r="BQ62" s="62">
        <f t="shared" si="6"/>
        <v>0.378</v>
      </c>
      <c r="BS62" s="3">
        <v>0</v>
      </c>
      <c r="BT62" s="8"/>
      <c r="BV62" s="8"/>
      <c r="BW62" s="16">
        <f t="shared" si="36"/>
        <v>7.56</v>
      </c>
      <c r="BX62" s="16">
        <f t="shared" si="37"/>
        <v>15.51</v>
      </c>
      <c r="BY62" s="3">
        <f t="shared" si="38"/>
        <v>-3</v>
      </c>
      <c r="BZ62" s="3">
        <f t="shared" si="39"/>
        <v>-3.6</v>
      </c>
      <c r="CA62" s="3">
        <f t="shared" si="40"/>
        <v>-4.4000000000000004</v>
      </c>
      <c r="CB62" s="3">
        <f t="shared" si="41"/>
        <v>0</v>
      </c>
      <c r="CC62" s="3">
        <f t="shared" si="42"/>
        <v>0.1</v>
      </c>
      <c r="CD62" s="3">
        <f t="shared" si="43"/>
        <v>0.6</v>
      </c>
      <c r="CE62" s="3">
        <f t="shared" si="44"/>
        <v>1.1000000000000001</v>
      </c>
      <c r="CF62" s="23">
        <f t="shared" si="45"/>
        <v>64.5</v>
      </c>
      <c r="CG62" s="1">
        <f t="shared" si="46"/>
        <v>0.5</v>
      </c>
      <c r="CH62" s="1">
        <f t="shared" si="47"/>
        <v>1.1000000000000001</v>
      </c>
      <c r="CI62" s="1">
        <f t="shared" si="48"/>
        <v>0.4</v>
      </c>
      <c r="CJ62" s="1">
        <f t="shared" si="49"/>
        <v>0</v>
      </c>
      <c r="CK62" s="1">
        <f t="shared" si="50"/>
        <v>0.2</v>
      </c>
      <c r="CL62" s="1">
        <f t="shared" si="51"/>
        <v>0.7</v>
      </c>
      <c r="CM62" s="1">
        <f t="shared" si="52"/>
        <v>1.2</v>
      </c>
      <c r="CN62" s="2">
        <f t="shared" si="53"/>
        <v>92.8</v>
      </c>
      <c r="CO62" s="1">
        <f t="shared" si="54"/>
        <v>-10.4</v>
      </c>
      <c r="CP62" s="1">
        <f t="shared" si="55"/>
        <v>-12.5</v>
      </c>
      <c r="CQ62" s="1">
        <f t="shared" si="56"/>
        <v>-16.899999999999999</v>
      </c>
      <c r="CR62" s="1">
        <f t="shared" si="57"/>
        <v>0</v>
      </c>
      <c r="CS62" s="1">
        <f t="shared" si="58"/>
        <v>0.1</v>
      </c>
      <c r="CT62" s="1">
        <f t="shared" si="59"/>
        <v>0.6</v>
      </c>
      <c r="CU62" s="1">
        <f t="shared" si="60"/>
        <v>1.1000000000000001</v>
      </c>
      <c r="CV62" s="2">
        <f t="shared" si="61"/>
        <v>40.5</v>
      </c>
      <c r="CW62" s="18">
        <f t="shared" si="62"/>
        <v>1073</v>
      </c>
      <c r="CX62" s="1">
        <f>ROUND(PPTest!K62,1)</f>
        <v>0</v>
      </c>
      <c r="CY62" s="17">
        <f t="shared" si="63"/>
        <v>1.96</v>
      </c>
      <c r="CZ62" s="17">
        <f t="shared" si="64"/>
        <v>5.0199999999999996</v>
      </c>
      <c r="DA62" s="20">
        <f t="shared" si="65"/>
        <v>0.25700000000000001</v>
      </c>
      <c r="DB62" s="20">
        <f t="shared" si="66"/>
        <v>0.378</v>
      </c>
      <c r="DC62" s="16">
        <f t="shared" si="67"/>
        <v>12.17</v>
      </c>
      <c r="DF62" s="3">
        <v>-6.7</v>
      </c>
      <c r="DG62" s="3">
        <v>-4.2</v>
      </c>
      <c r="DH62" s="3">
        <v>-9.3000000000000007</v>
      </c>
      <c r="DI62" s="3">
        <v>50.9</v>
      </c>
      <c r="DJ62" s="3">
        <v>43</v>
      </c>
      <c r="DK62" s="3"/>
      <c r="DL62" s="3"/>
      <c r="DM62" s="3"/>
      <c r="DN62" s="3"/>
      <c r="DO62" s="3"/>
      <c r="DP62" s="3"/>
      <c r="DQ62" s="3"/>
      <c r="DR62" s="3"/>
      <c r="DS62" s="3"/>
      <c r="DT62" s="3"/>
      <c r="DW62" s="1">
        <v>-1.6</v>
      </c>
      <c r="DX62" s="1">
        <v>2.2999999999999998</v>
      </c>
      <c r="DY62" s="1">
        <v>-6.1</v>
      </c>
    </row>
    <row r="63" spans="1:129" x14ac:dyDescent="0.2">
      <c r="A63" s="40">
        <v>34756</v>
      </c>
      <c r="B63" s="3">
        <v>57</v>
      </c>
      <c r="C63" s="3">
        <v>10.67</v>
      </c>
      <c r="D63" s="3">
        <v>19.829999999999998</v>
      </c>
      <c r="E63" s="3">
        <v>-11.87</v>
      </c>
      <c r="F63" s="3">
        <v>63.93</v>
      </c>
      <c r="G63" s="3">
        <v>-12.58</v>
      </c>
      <c r="H63" s="3">
        <v>-13.6</v>
      </c>
      <c r="I63" s="3">
        <v>4.0000000000000001E-3</v>
      </c>
      <c r="J63" s="3">
        <v>-3.8260000000000001</v>
      </c>
      <c r="K63" s="3">
        <v>-12.86</v>
      </c>
      <c r="L63" s="3">
        <v>0.13100000000000001</v>
      </c>
      <c r="M63" s="3">
        <v>0.63500000000000001</v>
      </c>
      <c r="N63" s="3">
        <v>1.1120000000000001</v>
      </c>
      <c r="O63" s="3">
        <v>0</v>
      </c>
      <c r="P63" s="16">
        <v>1.7891666666666668</v>
      </c>
      <c r="Q63" s="3"/>
      <c r="R63" s="3">
        <v>-7.18</v>
      </c>
      <c r="S63" s="3">
        <v>1547</v>
      </c>
      <c r="T63" s="3">
        <v>94.6</v>
      </c>
      <c r="U63" s="3">
        <v>659</v>
      </c>
      <c r="V63" s="3">
        <v>-5.8529999999999998</v>
      </c>
      <c r="W63" s="3">
        <v>-6.2279999999999998</v>
      </c>
      <c r="X63" s="3">
        <v>4.5999999999999999E-2</v>
      </c>
      <c r="Y63" s="3">
        <v>-2.226</v>
      </c>
      <c r="Z63" s="3">
        <v>-4.2160000000000002</v>
      </c>
      <c r="AA63" s="3">
        <v>0.182</v>
      </c>
      <c r="AB63" s="3">
        <v>0.68100000000000005</v>
      </c>
      <c r="AC63" s="3">
        <v>1.157</v>
      </c>
      <c r="AD63" s="16">
        <v>5.5541666666666671</v>
      </c>
      <c r="AE63" s="3">
        <v>1314</v>
      </c>
      <c r="AF63" s="3">
        <v>-19.309999999999999</v>
      </c>
      <c r="AG63" s="3">
        <v>2216</v>
      </c>
      <c r="AH63" s="3">
        <v>39.9</v>
      </c>
      <c r="AI63" s="3">
        <v>1644</v>
      </c>
      <c r="AJ63" s="3">
        <v>-20.420000000000002</v>
      </c>
      <c r="AK63" s="3">
        <v>-21.5</v>
      </c>
      <c r="AL63" s="3">
        <v>-2.4E-2</v>
      </c>
      <c r="AM63" s="3">
        <v>-7.77</v>
      </c>
      <c r="AN63" s="3">
        <v>-21.21</v>
      </c>
      <c r="AO63" s="3">
        <v>7.0999999999999994E-2</v>
      </c>
      <c r="AP63" s="3">
        <v>0.58599999999999997</v>
      </c>
      <c r="AQ63" s="3">
        <v>1.054</v>
      </c>
      <c r="AR63" s="3">
        <v>6.3E-2</v>
      </c>
      <c r="AS63" s="3">
        <v>0.19500000000000001</v>
      </c>
      <c r="AT63" s="3">
        <v>0.185</v>
      </c>
      <c r="AU63" s="3">
        <v>4.4999999999999998E-2</v>
      </c>
      <c r="AV63" s="3">
        <v>0.10299999999999999</v>
      </c>
      <c r="AW63" s="3">
        <v>0.251</v>
      </c>
      <c r="AX63" s="3">
        <v>0.10299999999999999</v>
      </c>
      <c r="AY63" s="3">
        <v>5.3999999999999999E-2</v>
      </c>
      <c r="AZ63" s="3">
        <v>-12.1</v>
      </c>
      <c r="BA63" s="3">
        <v>2417</v>
      </c>
      <c r="BB63" s="3">
        <v>12.16</v>
      </c>
      <c r="BC63" s="3">
        <v>2876</v>
      </c>
      <c r="BD63" s="3"/>
      <c r="BE63" s="3"/>
      <c r="BF63" s="3">
        <f t="shared" si="25"/>
        <v>1068</v>
      </c>
      <c r="BH63" s="16">
        <v>12.27</v>
      </c>
      <c r="BI63" s="16">
        <f t="shared" si="68"/>
        <v>24.785399999999999</v>
      </c>
      <c r="BJ63" s="17">
        <f t="shared" si="1"/>
        <v>10.67</v>
      </c>
      <c r="BK63" s="17">
        <f t="shared" si="2"/>
        <v>21.42</v>
      </c>
      <c r="BM63" s="1">
        <f t="shared" si="3"/>
        <v>88.4</v>
      </c>
      <c r="BN63" s="1">
        <f t="shared" si="4"/>
        <v>60.1</v>
      </c>
      <c r="BO63" s="1">
        <f t="shared" si="5"/>
        <v>37.9</v>
      </c>
      <c r="BP63" s="62">
        <f t="shared" si="26"/>
        <v>0.13500000000000001</v>
      </c>
      <c r="BQ63" s="62">
        <f t="shared" si="6"/>
        <v>0.221</v>
      </c>
      <c r="BS63" s="3">
        <v>0</v>
      </c>
      <c r="BT63" s="8"/>
      <c r="BV63" s="8"/>
      <c r="BW63" s="16">
        <f t="shared" si="36"/>
        <v>10.67</v>
      </c>
      <c r="BX63" s="16">
        <f t="shared" si="37"/>
        <v>21.42</v>
      </c>
      <c r="BY63" s="3">
        <f t="shared" si="38"/>
        <v>-11.9</v>
      </c>
      <c r="BZ63" s="3">
        <f t="shared" si="39"/>
        <v>-12.6</v>
      </c>
      <c r="CA63" s="3">
        <f t="shared" si="40"/>
        <v>-13.6</v>
      </c>
      <c r="CB63" s="3">
        <f t="shared" si="41"/>
        <v>0</v>
      </c>
      <c r="CC63" s="3">
        <f t="shared" si="42"/>
        <v>0.1</v>
      </c>
      <c r="CD63" s="3">
        <f t="shared" si="43"/>
        <v>0.6</v>
      </c>
      <c r="CE63" s="3">
        <f t="shared" si="44"/>
        <v>1.1000000000000001</v>
      </c>
      <c r="CF63" s="23">
        <f t="shared" si="45"/>
        <v>60.1</v>
      </c>
      <c r="CG63" s="1">
        <f t="shared" si="46"/>
        <v>-7.2</v>
      </c>
      <c r="CH63" s="1">
        <f t="shared" si="47"/>
        <v>-5.9</v>
      </c>
      <c r="CI63" s="1">
        <f t="shared" si="48"/>
        <v>-6.2</v>
      </c>
      <c r="CJ63" s="1">
        <f t="shared" si="49"/>
        <v>0</v>
      </c>
      <c r="CK63" s="1">
        <f t="shared" si="50"/>
        <v>0.2</v>
      </c>
      <c r="CL63" s="1">
        <f t="shared" si="51"/>
        <v>0.7</v>
      </c>
      <c r="CM63" s="1">
        <f t="shared" si="52"/>
        <v>1.2</v>
      </c>
      <c r="CN63" s="2">
        <f t="shared" si="53"/>
        <v>88.4</v>
      </c>
      <c r="CO63" s="1">
        <f t="shared" si="54"/>
        <v>-19.3</v>
      </c>
      <c r="CP63" s="1">
        <f t="shared" si="55"/>
        <v>-20.399999999999999</v>
      </c>
      <c r="CQ63" s="1">
        <f t="shared" si="56"/>
        <v>-21.5</v>
      </c>
      <c r="CR63" s="1">
        <f t="shared" si="57"/>
        <v>0</v>
      </c>
      <c r="CS63" s="1">
        <f t="shared" si="58"/>
        <v>0.1</v>
      </c>
      <c r="CT63" s="1">
        <f t="shared" si="59"/>
        <v>0.6</v>
      </c>
      <c r="CU63" s="1">
        <f t="shared" si="60"/>
        <v>1.1000000000000001</v>
      </c>
      <c r="CV63" s="2">
        <f t="shared" si="61"/>
        <v>37.9</v>
      </c>
      <c r="CW63" s="18">
        <f t="shared" si="62"/>
        <v>1068</v>
      </c>
      <c r="CX63" s="1">
        <f>ROUND(PPTest!K63,1)</f>
        <v>0</v>
      </c>
      <c r="CY63" s="17">
        <f t="shared" si="63"/>
        <v>1.79</v>
      </c>
      <c r="CZ63" s="17">
        <f t="shared" si="64"/>
        <v>5.55</v>
      </c>
      <c r="DA63" s="20">
        <f t="shared" si="65"/>
        <v>0.13500000000000001</v>
      </c>
      <c r="DB63" s="20">
        <f t="shared" si="66"/>
        <v>0.221</v>
      </c>
      <c r="DC63" s="16">
        <f t="shared" si="67"/>
        <v>12.16</v>
      </c>
      <c r="DF63" s="3">
        <v>-10.1</v>
      </c>
      <c r="DG63" s="3">
        <v>-6.3</v>
      </c>
      <c r="DH63" s="3">
        <v>-13.3</v>
      </c>
      <c r="DI63" s="3">
        <v>58.7</v>
      </c>
      <c r="DJ63" s="3">
        <v>46</v>
      </c>
      <c r="DK63" s="3"/>
      <c r="DL63" s="3"/>
      <c r="DM63" s="3"/>
      <c r="DN63" s="3"/>
      <c r="DO63" s="3"/>
      <c r="DP63" s="3"/>
      <c r="DQ63" s="3"/>
      <c r="DR63" s="3"/>
      <c r="DS63" s="3"/>
      <c r="DT63" s="3"/>
      <c r="DW63" s="1">
        <v>-9.1</v>
      </c>
      <c r="DX63" s="1">
        <v>-4</v>
      </c>
      <c r="DY63" s="1">
        <v>-17.8</v>
      </c>
    </row>
    <row r="64" spans="1:129" x14ac:dyDescent="0.2">
      <c r="A64" s="40">
        <v>34757</v>
      </c>
      <c r="B64" s="3">
        <v>58</v>
      </c>
      <c r="C64" s="3">
        <v>13.12</v>
      </c>
      <c r="D64" s="3">
        <v>24.43</v>
      </c>
      <c r="E64" s="3">
        <v>-16.27</v>
      </c>
      <c r="F64" s="3">
        <v>64.819999999999993</v>
      </c>
      <c r="G64" s="3">
        <v>-16.72</v>
      </c>
      <c r="H64" s="3">
        <v>-17.97</v>
      </c>
      <c r="I64" s="3">
        <v>-5.1999999999999998E-2</v>
      </c>
      <c r="J64" s="3">
        <v>-6.984</v>
      </c>
      <c r="K64" s="3">
        <v>-16.46</v>
      </c>
      <c r="L64" s="3">
        <v>6.4000000000000001E-2</v>
      </c>
      <c r="M64" s="3">
        <v>0.56799999999999995</v>
      </c>
      <c r="N64" s="3">
        <v>1.0289999999999999</v>
      </c>
      <c r="O64" s="3">
        <v>0</v>
      </c>
      <c r="P64" s="16">
        <v>1.5441666666666667</v>
      </c>
      <c r="Q64" s="3"/>
      <c r="R64" s="3">
        <v>-7.22</v>
      </c>
      <c r="S64" s="3">
        <v>1607</v>
      </c>
      <c r="T64" s="3">
        <v>88.6</v>
      </c>
      <c r="U64" s="3">
        <v>655</v>
      </c>
      <c r="V64" s="3">
        <v>-4.6849999999999996</v>
      </c>
      <c r="W64" s="3">
        <v>-6.0229999999999997</v>
      </c>
      <c r="X64" s="3">
        <v>4.7E-2</v>
      </c>
      <c r="Y64" s="3">
        <v>-4.173</v>
      </c>
      <c r="Z64" s="3">
        <v>-3.1890000000000001</v>
      </c>
      <c r="AA64" s="3">
        <v>0.185</v>
      </c>
      <c r="AB64" s="3">
        <v>0.68</v>
      </c>
      <c r="AC64" s="3">
        <v>1.1419999999999999</v>
      </c>
      <c r="AD64" s="16">
        <v>4.020833333333333</v>
      </c>
      <c r="AE64" s="3">
        <v>1333</v>
      </c>
      <c r="AF64" s="3">
        <v>-25.03</v>
      </c>
      <c r="AG64" s="3">
        <v>724</v>
      </c>
      <c r="AH64" s="3">
        <v>36.39</v>
      </c>
      <c r="AI64" s="3">
        <v>1328</v>
      </c>
      <c r="AJ64" s="3">
        <v>-25.89</v>
      </c>
      <c r="AK64" s="3">
        <v>-27.06</v>
      </c>
      <c r="AL64" s="3">
        <v>-0.23400000000000001</v>
      </c>
      <c r="AM64" s="3">
        <v>-10.72</v>
      </c>
      <c r="AN64" s="3">
        <v>-26.65</v>
      </c>
      <c r="AO64" s="3">
        <v>-0.11</v>
      </c>
      <c r="AP64" s="3">
        <v>0.39800000000000002</v>
      </c>
      <c r="AQ64" s="3">
        <v>0.85199999999999998</v>
      </c>
      <c r="AR64" s="3">
        <v>4.4999999999999998E-2</v>
      </c>
      <c r="AS64" s="3">
        <v>0.28999999999999998</v>
      </c>
      <c r="AT64" s="3">
        <v>0.311</v>
      </c>
      <c r="AU64" s="3">
        <v>3.6999999999999998E-2</v>
      </c>
      <c r="AV64" s="3">
        <v>4.9000000000000002E-2</v>
      </c>
      <c r="AW64" s="3">
        <v>0.13700000000000001</v>
      </c>
      <c r="AX64" s="3">
        <v>8.5000000000000006E-2</v>
      </c>
      <c r="AY64" s="3">
        <v>4.4999999999999998E-2</v>
      </c>
      <c r="AZ64" s="3">
        <v>-17.2</v>
      </c>
      <c r="BA64" s="3">
        <v>2412</v>
      </c>
      <c r="BB64" s="3">
        <v>12.15</v>
      </c>
      <c r="BC64" s="3">
        <v>2876</v>
      </c>
      <c r="BD64" s="3"/>
      <c r="BE64" s="3"/>
      <c r="BF64" s="3">
        <f t="shared" si="25"/>
        <v>1073</v>
      </c>
      <c r="BH64" s="16">
        <v>12.51</v>
      </c>
      <c r="BI64" s="16">
        <f t="shared" si="68"/>
        <v>25.270199999999999</v>
      </c>
      <c r="BJ64" s="17">
        <f t="shared" si="1"/>
        <v>13.12</v>
      </c>
      <c r="BK64" s="17">
        <f t="shared" si="2"/>
        <v>26.38</v>
      </c>
      <c r="BM64" s="1">
        <f t="shared" si="3"/>
        <v>82.9</v>
      </c>
      <c r="BN64" s="1">
        <f t="shared" si="4"/>
        <v>60.9</v>
      </c>
      <c r="BO64" s="1">
        <f t="shared" si="5"/>
        <v>34.6</v>
      </c>
      <c r="BP64" s="62">
        <f t="shared" si="26"/>
        <v>0.123</v>
      </c>
      <c r="BQ64" s="62">
        <f t="shared" si="6"/>
        <v>0.23200000000000001</v>
      </c>
      <c r="BS64" s="3">
        <v>0</v>
      </c>
      <c r="BT64" s="8"/>
      <c r="BV64" s="8"/>
      <c r="BW64" s="16">
        <f t="shared" si="36"/>
        <v>13.12</v>
      </c>
      <c r="BX64" s="16">
        <f t="shared" si="37"/>
        <v>26.38</v>
      </c>
      <c r="BY64" s="3">
        <f t="shared" si="38"/>
        <v>-16.3</v>
      </c>
      <c r="BZ64" s="3">
        <f t="shared" si="39"/>
        <v>-16.7</v>
      </c>
      <c r="CA64" s="3">
        <f t="shared" si="40"/>
        <v>-18</v>
      </c>
      <c r="CB64" s="3">
        <f t="shared" si="41"/>
        <v>-0.1</v>
      </c>
      <c r="CC64" s="3">
        <f t="shared" si="42"/>
        <v>0.1</v>
      </c>
      <c r="CD64" s="3">
        <f t="shared" si="43"/>
        <v>0.6</v>
      </c>
      <c r="CE64" s="3">
        <f t="shared" si="44"/>
        <v>1</v>
      </c>
      <c r="CF64" s="23">
        <f t="shared" si="45"/>
        <v>60.9</v>
      </c>
      <c r="CG64" s="1">
        <f t="shared" si="46"/>
        <v>-7.2</v>
      </c>
      <c r="CH64" s="1">
        <f t="shared" si="47"/>
        <v>-4.7</v>
      </c>
      <c r="CI64" s="1">
        <f t="shared" si="48"/>
        <v>-6</v>
      </c>
      <c r="CJ64" s="1">
        <f t="shared" si="49"/>
        <v>0</v>
      </c>
      <c r="CK64" s="1">
        <f t="shared" si="50"/>
        <v>0.2</v>
      </c>
      <c r="CL64" s="1">
        <f t="shared" si="51"/>
        <v>0.7</v>
      </c>
      <c r="CM64" s="1">
        <f t="shared" si="52"/>
        <v>1.1000000000000001</v>
      </c>
      <c r="CN64" s="2">
        <f t="shared" si="53"/>
        <v>82.9</v>
      </c>
      <c r="CO64" s="1">
        <f t="shared" si="54"/>
        <v>-25</v>
      </c>
      <c r="CP64" s="1">
        <f t="shared" si="55"/>
        <v>-25.9</v>
      </c>
      <c r="CQ64" s="1">
        <f t="shared" si="56"/>
        <v>-27.1</v>
      </c>
      <c r="CR64" s="1">
        <f t="shared" si="57"/>
        <v>-0.2</v>
      </c>
      <c r="CS64" s="1">
        <f t="shared" si="58"/>
        <v>-0.1</v>
      </c>
      <c r="CT64" s="1">
        <f t="shared" si="59"/>
        <v>0.4</v>
      </c>
      <c r="CU64" s="1">
        <f t="shared" si="60"/>
        <v>0.9</v>
      </c>
      <c r="CV64" s="2">
        <f t="shared" si="61"/>
        <v>34.6</v>
      </c>
      <c r="CW64" s="18">
        <f t="shared" si="62"/>
        <v>1073</v>
      </c>
      <c r="CX64" s="1">
        <f>ROUND(PPTest!K64,1)</f>
        <v>0.7</v>
      </c>
      <c r="CY64" s="17">
        <f t="shared" si="63"/>
        <v>1.54</v>
      </c>
      <c r="CZ64" s="17">
        <f t="shared" si="64"/>
        <v>4.0199999999999996</v>
      </c>
      <c r="DA64" s="20">
        <f t="shared" si="65"/>
        <v>0.123</v>
      </c>
      <c r="DB64" s="20">
        <f t="shared" si="66"/>
        <v>0.23200000000000001</v>
      </c>
      <c r="DC64" s="16">
        <f t="shared" si="67"/>
        <v>12.15</v>
      </c>
      <c r="DF64" s="3">
        <v>-9.4</v>
      </c>
      <c r="DG64" s="3">
        <v>-5.2</v>
      </c>
      <c r="DH64" s="3">
        <v>-13.2</v>
      </c>
      <c r="DI64" s="3">
        <v>51.1</v>
      </c>
      <c r="DJ64" s="3">
        <v>40</v>
      </c>
      <c r="DK64" s="3"/>
      <c r="DL64" s="3"/>
      <c r="DM64" s="3"/>
      <c r="DN64" s="3"/>
      <c r="DO64" s="3"/>
      <c r="DP64" s="3"/>
      <c r="DQ64" s="3"/>
      <c r="DR64" s="3"/>
      <c r="DS64" s="3"/>
      <c r="DT64" s="3"/>
      <c r="DW64" s="1">
        <v>-14</v>
      </c>
      <c r="DX64" s="1">
        <v>-7.2</v>
      </c>
      <c r="DY64" s="1">
        <v>-21.9</v>
      </c>
    </row>
    <row r="65" spans="1:129" x14ac:dyDescent="0.2">
      <c r="A65" s="40">
        <v>34758</v>
      </c>
      <c r="B65" s="3">
        <v>59</v>
      </c>
      <c r="C65" s="3">
        <v>12.47</v>
      </c>
      <c r="D65" s="3">
        <v>23.29</v>
      </c>
      <c r="E65" s="3">
        <v>-16.89</v>
      </c>
      <c r="F65" s="3">
        <v>63.16</v>
      </c>
      <c r="G65" s="3">
        <v>-17.309999999999999</v>
      </c>
      <c r="H65" s="3">
        <v>-18.39</v>
      </c>
      <c r="I65" s="3">
        <v>-0.127</v>
      </c>
      <c r="J65" s="3">
        <v>-10.09</v>
      </c>
      <c r="K65" s="3">
        <v>-16.989999999999998</v>
      </c>
      <c r="L65" s="3">
        <v>2E-3</v>
      </c>
      <c r="M65" s="3">
        <v>0.51900000000000002</v>
      </c>
      <c r="N65" s="3">
        <v>0.96799999999999997</v>
      </c>
      <c r="O65" s="3">
        <v>0</v>
      </c>
      <c r="P65" s="16">
        <v>1.8058333333333334</v>
      </c>
      <c r="Q65" s="3"/>
      <c r="R65" s="3">
        <v>-5.1760000000000002</v>
      </c>
      <c r="S65" s="3">
        <v>1512</v>
      </c>
      <c r="T65" s="3">
        <v>88.5</v>
      </c>
      <c r="U65" s="3">
        <v>349</v>
      </c>
      <c r="V65" s="3">
        <v>-3.4780000000000002</v>
      </c>
      <c r="W65" s="3">
        <v>-4.6900000000000004</v>
      </c>
      <c r="X65" s="3">
        <v>1.4E-2</v>
      </c>
      <c r="Y65" s="3">
        <v>-5.2439999999999998</v>
      </c>
      <c r="Z65" s="3">
        <v>-2.577</v>
      </c>
      <c r="AA65" s="3">
        <v>0.17399999999999999</v>
      </c>
      <c r="AB65" s="3">
        <v>0.69399999999999995</v>
      </c>
      <c r="AC65" s="3">
        <v>1.1439999999999999</v>
      </c>
      <c r="AD65" s="16">
        <v>3.7008333333333332</v>
      </c>
      <c r="AE65" s="3">
        <v>1237</v>
      </c>
      <c r="AF65" s="3">
        <v>-25.43</v>
      </c>
      <c r="AG65" s="3">
        <v>628</v>
      </c>
      <c r="AH65" s="3">
        <v>21.45</v>
      </c>
      <c r="AI65" s="3">
        <v>1519</v>
      </c>
      <c r="AJ65" s="3">
        <v>-26.25</v>
      </c>
      <c r="AK65" s="3">
        <v>-27.28</v>
      </c>
      <c r="AL65" s="3">
        <v>-0.32</v>
      </c>
      <c r="AM65" s="3">
        <v>-14.5</v>
      </c>
      <c r="AN65" s="3">
        <v>-26.91</v>
      </c>
      <c r="AO65" s="3">
        <v>-0.17499999999999999</v>
      </c>
      <c r="AP65" s="3">
        <v>0.33500000000000002</v>
      </c>
      <c r="AQ65" s="3">
        <v>0.79</v>
      </c>
      <c r="AR65" s="3">
        <v>1.4999999999999999E-2</v>
      </c>
      <c r="AS65" s="3">
        <v>0.29699999999999999</v>
      </c>
      <c r="AT65" s="3">
        <v>0.44600000000000001</v>
      </c>
      <c r="AU65" s="3">
        <v>1.4999999999999999E-2</v>
      </c>
      <c r="AV65" s="3">
        <v>0.11</v>
      </c>
      <c r="AW65" s="3">
        <v>0.113</v>
      </c>
      <c r="AX65" s="3">
        <v>3.0000000000000001E-3</v>
      </c>
      <c r="AY65" s="3">
        <v>1E-3</v>
      </c>
      <c r="AZ65" s="3">
        <v>-18.829999999999998</v>
      </c>
      <c r="BA65" s="3">
        <v>2415</v>
      </c>
      <c r="BB65" s="3">
        <v>12.14</v>
      </c>
      <c r="BC65" s="3">
        <v>2876</v>
      </c>
      <c r="BD65" s="3"/>
      <c r="BE65" s="3"/>
      <c r="BF65" s="3">
        <f t="shared" si="25"/>
        <v>1070</v>
      </c>
      <c r="BH65" s="16">
        <v>12.75</v>
      </c>
      <c r="BI65" s="16">
        <f t="shared" si="68"/>
        <v>25.754999999999999</v>
      </c>
      <c r="BJ65" s="17">
        <f t="shared" si="1"/>
        <v>12.47</v>
      </c>
      <c r="BK65" s="17">
        <f t="shared" si="2"/>
        <v>25.15</v>
      </c>
      <c r="BM65" s="1">
        <f t="shared" si="3"/>
        <v>82.8</v>
      </c>
      <c r="BN65" s="1">
        <f t="shared" si="4"/>
        <v>59.4</v>
      </c>
      <c r="BO65" s="1">
        <f t="shared" si="5"/>
        <v>20.8</v>
      </c>
      <c r="BP65" s="62">
        <f t="shared" si="26"/>
        <v>8.5999999999999993E-2</v>
      </c>
      <c r="BQ65" s="62">
        <f t="shared" si="6"/>
        <v>0.32700000000000001</v>
      </c>
      <c r="BS65" s="3">
        <v>0</v>
      </c>
      <c r="BT65" s="8"/>
      <c r="BV65" s="8"/>
      <c r="BW65" s="16">
        <f t="shared" si="36"/>
        <v>12.47</v>
      </c>
      <c r="BX65" s="16">
        <f t="shared" si="37"/>
        <v>25.15</v>
      </c>
      <c r="BY65" s="3">
        <f t="shared" si="38"/>
        <v>-16.899999999999999</v>
      </c>
      <c r="BZ65" s="3">
        <f t="shared" si="39"/>
        <v>-17.3</v>
      </c>
      <c r="CA65" s="3">
        <f t="shared" si="40"/>
        <v>-18.399999999999999</v>
      </c>
      <c r="CB65" s="3">
        <f t="shared" si="41"/>
        <v>-0.1</v>
      </c>
      <c r="CC65" s="3">
        <f t="shared" si="42"/>
        <v>0</v>
      </c>
      <c r="CD65" s="3">
        <f t="shared" si="43"/>
        <v>0.5</v>
      </c>
      <c r="CE65" s="3">
        <f t="shared" si="44"/>
        <v>1</v>
      </c>
      <c r="CF65" s="23">
        <f t="shared" si="45"/>
        <v>59.4</v>
      </c>
      <c r="CG65" s="1">
        <f t="shared" si="46"/>
        <v>-5.2</v>
      </c>
      <c r="CH65" s="1">
        <f t="shared" si="47"/>
        <v>-3.5</v>
      </c>
      <c r="CI65" s="1">
        <f t="shared" si="48"/>
        <v>-4.7</v>
      </c>
      <c r="CJ65" s="1">
        <f t="shared" si="49"/>
        <v>0</v>
      </c>
      <c r="CK65" s="1">
        <f t="shared" si="50"/>
        <v>0.2</v>
      </c>
      <c r="CL65" s="1">
        <f t="shared" si="51"/>
        <v>0.7</v>
      </c>
      <c r="CM65" s="1">
        <f t="shared" si="52"/>
        <v>1.1000000000000001</v>
      </c>
      <c r="CN65" s="2">
        <f t="shared" si="53"/>
        <v>82.8</v>
      </c>
      <c r="CO65" s="1">
        <f t="shared" si="54"/>
        <v>-25.4</v>
      </c>
      <c r="CP65" s="1">
        <f t="shared" si="55"/>
        <v>-26.3</v>
      </c>
      <c r="CQ65" s="1">
        <f t="shared" si="56"/>
        <v>-27.3</v>
      </c>
      <c r="CR65" s="1">
        <f t="shared" si="57"/>
        <v>-0.3</v>
      </c>
      <c r="CS65" s="1">
        <f t="shared" si="58"/>
        <v>-0.2</v>
      </c>
      <c r="CT65" s="1">
        <f t="shared" si="59"/>
        <v>0.3</v>
      </c>
      <c r="CU65" s="1">
        <f t="shared" si="60"/>
        <v>0.8</v>
      </c>
      <c r="CV65" s="2">
        <f t="shared" si="61"/>
        <v>20.8</v>
      </c>
      <c r="CW65" s="18">
        <f t="shared" si="62"/>
        <v>1070</v>
      </c>
      <c r="CX65" s="1">
        <f>ROUND(PPTest!K65,1)</f>
        <v>0</v>
      </c>
      <c r="CY65" s="17">
        <f t="shared" si="63"/>
        <v>1.81</v>
      </c>
      <c r="CZ65" s="17">
        <f t="shared" si="64"/>
        <v>3.7</v>
      </c>
      <c r="DA65" s="20">
        <f t="shared" si="65"/>
        <v>8.5999999999999993E-2</v>
      </c>
      <c r="DB65" s="20">
        <f t="shared" si="66"/>
        <v>0.32700000000000001</v>
      </c>
      <c r="DC65" s="16">
        <f t="shared" si="67"/>
        <v>12.14</v>
      </c>
      <c r="DF65" s="3">
        <v>-9.5</v>
      </c>
      <c r="DG65" s="3">
        <v>-4.8</v>
      </c>
      <c r="DH65" s="3">
        <v>-13.4</v>
      </c>
      <c r="DI65" s="3">
        <v>51.2</v>
      </c>
      <c r="DJ65" s="3">
        <v>42</v>
      </c>
      <c r="DK65" s="3"/>
      <c r="DL65" s="3"/>
      <c r="DM65" s="3"/>
      <c r="DN65" s="3"/>
      <c r="DO65" s="3"/>
      <c r="DP65" s="3"/>
      <c r="DQ65" s="3"/>
      <c r="DR65" s="3"/>
      <c r="DS65" s="3"/>
      <c r="DT65" s="3"/>
      <c r="DW65" s="1">
        <v>-10.5</v>
      </c>
      <c r="DX65" s="1">
        <v>-5.8</v>
      </c>
      <c r="DY65" s="1">
        <v>-14.6</v>
      </c>
    </row>
    <row r="66" spans="1:129" x14ac:dyDescent="0.2">
      <c r="A66" s="40">
        <v>34759</v>
      </c>
      <c r="B66" s="3">
        <v>60</v>
      </c>
      <c r="C66" s="3">
        <v>13.79</v>
      </c>
      <c r="D66" s="3">
        <v>25.37</v>
      </c>
      <c r="E66" s="3">
        <v>-16.059999999999999</v>
      </c>
      <c r="F66" s="3">
        <v>57.43</v>
      </c>
      <c r="G66" s="3">
        <v>-16.54</v>
      </c>
      <c r="H66" s="3">
        <v>-17.8</v>
      </c>
      <c r="I66" s="3">
        <v>-0.26100000000000001</v>
      </c>
      <c r="J66" s="3">
        <v>-12.8</v>
      </c>
      <c r="K66" s="3">
        <v>-16.04</v>
      </c>
      <c r="L66" s="3">
        <v>-1.7000000000000001E-2</v>
      </c>
      <c r="M66" s="3">
        <v>0.51200000000000001</v>
      </c>
      <c r="N66" s="3">
        <v>0.96</v>
      </c>
      <c r="O66" s="3">
        <v>0</v>
      </c>
      <c r="P66" s="16">
        <v>1.7424999999999999</v>
      </c>
      <c r="Q66" s="3"/>
      <c r="R66" s="3">
        <v>-3.5259999999999998</v>
      </c>
      <c r="S66" s="3">
        <v>1552</v>
      </c>
      <c r="T66" s="3">
        <v>87.5</v>
      </c>
      <c r="U66" s="3">
        <v>629</v>
      </c>
      <c r="V66" s="3">
        <v>-0.106</v>
      </c>
      <c r="W66" s="3">
        <v>-2.7730000000000001</v>
      </c>
      <c r="X66" s="3">
        <v>-0.124</v>
      </c>
      <c r="Y66" s="3">
        <v>-7.1</v>
      </c>
      <c r="Z66" s="3">
        <v>0.73199999999999998</v>
      </c>
      <c r="AA66" s="3">
        <v>0.14199999999999999</v>
      </c>
      <c r="AB66" s="3">
        <v>0.69299999999999995</v>
      </c>
      <c r="AC66" s="3">
        <v>1.151</v>
      </c>
      <c r="AD66" s="16">
        <v>3.2875000000000001</v>
      </c>
      <c r="AE66" s="3">
        <v>1234</v>
      </c>
      <c r="AF66" s="3">
        <v>-26.18</v>
      </c>
      <c r="AG66" s="3">
        <v>705</v>
      </c>
      <c r="AH66" s="3">
        <v>16.98</v>
      </c>
      <c r="AI66" s="3">
        <v>1405</v>
      </c>
      <c r="AJ66" s="3">
        <v>-27.08</v>
      </c>
      <c r="AK66" s="3">
        <v>-28.26</v>
      </c>
      <c r="AL66" s="3">
        <v>-0.45300000000000001</v>
      </c>
      <c r="AM66" s="3">
        <v>-19.489999999999998</v>
      </c>
      <c r="AN66" s="3">
        <v>-28.05</v>
      </c>
      <c r="AO66" s="3">
        <v>-0.21</v>
      </c>
      <c r="AP66" s="3">
        <v>0.314</v>
      </c>
      <c r="AQ66" s="3">
        <v>0.76100000000000001</v>
      </c>
      <c r="AR66" s="3">
        <v>2.8000000000000001E-2</v>
      </c>
      <c r="AS66" s="3">
        <v>0.29899999999999999</v>
      </c>
      <c r="AT66" s="3">
        <v>0.49399999999999999</v>
      </c>
      <c r="AU66" s="3">
        <v>2.5999999999999999E-2</v>
      </c>
      <c r="AV66" s="3">
        <v>5.3999999999999999E-2</v>
      </c>
      <c r="AW66" s="3">
        <v>8.6999999999999994E-2</v>
      </c>
      <c r="AX66" s="3">
        <v>3.0000000000000001E-3</v>
      </c>
      <c r="AY66" s="3">
        <v>8.0000000000000002E-3</v>
      </c>
      <c r="AZ66" s="3">
        <v>-18.940000000000001</v>
      </c>
      <c r="BA66" s="3">
        <v>2418</v>
      </c>
      <c r="BB66" s="3">
        <v>12.14</v>
      </c>
      <c r="BC66" s="3">
        <v>2876</v>
      </c>
      <c r="BD66" s="3"/>
      <c r="BE66" s="3"/>
      <c r="BF66" s="3">
        <f t="shared" si="25"/>
        <v>1067</v>
      </c>
      <c r="BH66" s="16">
        <v>12.98</v>
      </c>
      <c r="BI66" s="16">
        <f t="shared" si="68"/>
        <v>26.2196</v>
      </c>
      <c r="BJ66" s="17">
        <f t="shared" si="1"/>
        <v>13.79</v>
      </c>
      <c r="BK66" s="17">
        <f t="shared" si="2"/>
        <v>27.4</v>
      </c>
      <c r="BM66" s="1">
        <f t="shared" si="3"/>
        <v>81.900000000000006</v>
      </c>
      <c r="BN66" s="1">
        <f t="shared" si="4"/>
        <v>54.1</v>
      </c>
      <c r="BO66" s="1">
        <f t="shared" si="5"/>
        <v>16.7</v>
      </c>
      <c r="BP66" s="62">
        <f t="shared" si="26"/>
        <v>7.9000000000000001E-2</v>
      </c>
      <c r="BQ66" s="62">
        <f t="shared" si="6"/>
        <v>0.39400000000000002</v>
      </c>
      <c r="BS66" s="3">
        <v>0</v>
      </c>
      <c r="BT66" s="8"/>
      <c r="BV66" s="8"/>
      <c r="BW66" s="16">
        <f t="shared" si="36"/>
        <v>13.79</v>
      </c>
      <c r="BX66" s="16">
        <f t="shared" si="37"/>
        <v>27.4</v>
      </c>
      <c r="BY66" s="3">
        <f t="shared" si="38"/>
        <v>-16.100000000000001</v>
      </c>
      <c r="BZ66" s="3">
        <f t="shared" si="39"/>
        <v>-16.5</v>
      </c>
      <c r="CA66" s="3">
        <f t="shared" si="40"/>
        <v>-17.8</v>
      </c>
      <c r="CB66" s="3">
        <f t="shared" si="41"/>
        <v>-0.3</v>
      </c>
      <c r="CC66" s="3">
        <f t="shared" si="42"/>
        <v>0</v>
      </c>
      <c r="CD66" s="3">
        <f t="shared" si="43"/>
        <v>0.5</v>
      </c>
      <c r="CE66" s="3">
        <f t="shared" si="44"/>
        <v>1</v>
      </c>
      <c r="CF66" s="23">
        <f t="shared" si="45"/>
        <v>54.1</v>
      </c>
      <c r="CG66" s="1">
        <f t="shared" si="46"/>
        <v>-3.5</v>
      </c>
      <c r="CH66" s="1">
        <f t="shared" si="47"/>
        <v>-0.1</v>
      </c>
      <c r="CI66" s="1">
        <f t="shared" si="48"/>
        <v>-2.8</v>
      </c>
      <c r="CJ66" s="1">
        <f t="shared" si="49"/>
        <v>-0.1</v>
      </c>
      <c r="CK66" s="1">
        <f t="shared" si="50"/>
        <v>0.1</v>
      </c>
      <c r="CL66" s="1">
        <f t="shared" si="51"/>
        <v>0.7</v>
      </c>
      <c r="CM66" s="1">
        <f t="shared" si="52"/>
        <v>1.2</v>
      </c>
      <c r="CN66" s="2">
        <f t="shared" si="53"/>
        <v>81.900000000000006</v>
      </c>
      <c r="CO66" s="1">
        <f t="shared" si="54"/>
        <v>-26.2</v>
      </c>
      <c r="CP66" s="1">
        <f t="shared" si="55"/>
        <v>-27.1</v>
      </c>
      <c r="CQ66" s="1">
        <f t="shared" si="56"/>
        <v>-28.3</v>
      </c>
      <c r="CR66" s="1">
        <f t="shared" si="57"/>
        <v>-0.5</v>
      </c>
      <c r="CS66" s="1">
        <f t="shared" si="58"/>
        <v>-0.2</v>
      </c>
      <c r="CT66" s="1">
        <f t="shared" si="59"/>
        <v>0.3</v>
      </c>
      <c r="CU66" s="1">
        <f t="shared" si="60"/>
        <v>0.8</v>
      </c>
      <c r="CV66" s="2">
        <f t="shared" si="61"/>
        <v>16.7</v>
      </c>
      <c r="CW66" s="18">
        <f t="shared" si="62"/>
        <v>1067</v>
      </c>
      <c r="CX66" s="1">
        <f>ROUND(PPTest!K66,1)</f>
        <v>0</v>
      </c>
      <c r="CY66" s="17">
        <f t="shared" si="63"/>
        <v>1.74</v>
      </c>
      <c r="CZ66" s="17">
        <f t="shared" si="64"/>
        <v>3.29</v>
      </c>
      <c r="DA66" s="20">
        <f t="shared" si="65"/>
        <v>7.9000000000000001E-2</v>
      </c>
      <c r="DB66" s="20">
        <f t="shared" si="66"/>
        <v>0.39400000000000002</v>
      </c>
      <c r="DC66" s="16">
        <f t="shared" si="67"/>
        <v>12.14</v>
      </c>
      <c r="DF66" s="3">
        <v>-6.8</v>
      </c>
      <c r="DG66" s="3">
        <v>0</v>
      </c>
      <c r="DH66" s="3">
        <v>-11.5</v>
      </c>
      <c r="DI66" s="3">
        <v>50.8</v>
      </c>
      <c r="DJ66" s="3">
        <v>37</v>
      </c>
      <c r="DK66" s="3"/>
      <c r="DL66" s="3"/>
      <c r="DM66" s="3"/>
      <c r="DN66" s="3"/>
      <c r="DO66" s="3"/>
      <c r="DP66" s="3"/>
      <c r="DQ66" s="3"/>
      <c r="DR66" s="3"/>
      <c r="DS66" s="3"/>
      <c r="DT66" s="3"/>
      <c r="DW66" s="1">
        <v>-10.5</v>
      </c>
      <c r="DX66" s="1">
        <v>-6.4</v>
      </c>
      <c r="DY66" s="1">
        <v>-16.2</v>
      </c>
    </row>
    <row r="67" spans="1:129" x14ac:dyDescent="0.2">
      <c r="A67" s="40">
        <v>34760</v>
      </c>
      <c r="B67" s="3">
        <v>61</v>
      </c>
      <c r="C67" s="3">
        <v>13.8</v>
      </c>
      <c r="D67" s="3">
        <v>25.66</v>
      </c>
      <c r="E67" s="3">
        <v>-13.12</v>
      </c>
      <c r="F67" s="3">
        <v>60.95</v>
      </c>
      <c r="G67" s="3">
        <v>-13.63</v>
      </c>
      <c r="H67" s="3">
        <v>-14.84</v>
      </c>
      <c r="I67" s="3">
        <v>-0.44800000000000001</v>
      </c>
      <c r="J67" s="3">
        <v>-13.33</v>
      </c>
      <c r="K67" s="3">
        <v>-13.31</v>
      </c>
      <c r="L67" s="3">
        <v>-5.0000000000000001E-3</v>
      </c>
      <c r="M67" s="3">
        <v>0.54</v>
      </c>
      <c r="N67" s="3">
        <v>0.999</v>
      </c>
      <c r="O67" s="3">
        <v>0</v>
      </c>
      <c r="P67" s="16">
        <v>1.9775</v>
      </c>
      <c r="Q67" s="3"/>
      <c r="R67" s="3">
        <v>-2.2959999999999998</v>
      </c>
      <c r="S67" s="3">
        <v>1508</v>
      </c>
      <c r="T67" s="3">
        <v>86.8</v>
      </c>
      <c r="U67" s="3">
        <v>710</v>
      </c>
      <c r="V67" s="3">
        <v>-0.54</v>
      </c>
      <c r="W67" s="3">
        <v>-2.121</v>
      </c>
      <c r="X67" s="3">
        <v>-0.35599999999999998</v>
      </c>
      <c r="Y67" s="3">
        <v>-6.5730000000000004</v>
      </c>
      <c r="Z67" s="3">
        <v>1.587</v>
      </c>
      <c r="AA67" s="3">
        <v>0.105</v>
      </c>
      <c r="AB67" s="3">
        <v>0.66600000000000004</v>
      </c>
      <c r="AC67" s="3">
        <v>1.1379999999999999</v>
      </c>
      <c r="AD67" s="16">
        <v>3.8208333333333337</v>
      </c>
      <c r="AE67" s="3">
        <v>1244</v>
      </c>
      <c r="AF67" s="3">
        <v>-23.26</v>
      </c>
      <c r="AG67" s="3">
        <v>656</v>
      </c>
      <c r="AH67" s="3">
        <v>31.22</v>
      </c>
      <c r="AI67" s="3">
        <v>1459</v>
      </c>
      <c r="AJ67" s="3">
        <v>-24.13</v>
      </c>
      <c r="AK67" s="3">
        <v>-24.76</v>
      </c>
      <c r="AL67" s="3">
        <v>-0.59799999999999998</v>
      </c>
      <c r="AM67" s="3">
        <v>-20.77</v>
      </c>
      <c r="AN67" s="3">
        <v>-24.58</v>
      </c>
      <c r="AO67" s="3">
        <v>-0.13500000000000001</v>
      </c>
      <c r="AP67" s="3">
        <v>0.41299999999999998</v>
      </c>
      <c r="AQ67" s="3">
        <v>0.872</v>
      </c>
      <c r="AR67" s="3">
        <v>0</v>
      </c>
      <c r="AS67" s="3">
        <v>0.16300000000000001</v>
      </c>
      <c r="AT67" s="3">
        <v>0.503</v>
      </c>
      <c r="AU67" s="3">
        <v>2.1999999999999999E-2</v>
      </c>
      <c r="AV67" s="3">
        <v>9.9000000000000005E-2</v>
      </c>
      <c r="AW67" s="3">
        <v>0.21199999999999999</v>
      </c>
      <c r="AX67" s="3">
        <v>0</v>
      </c>
      <c r="AY67" s="3">
        <v>0</v>
      </c>
      <c r="AZ67" s="3">
        <v>-16.46</v>
      </c>
      <c r="BA67" s="3">
        <v>2422</v>
      </c>
      <c r="BB67" s="3">
        <v>12.14</v>
      </c>
      <c r="BC67" s="3">
        <v>2876</v>
      </c>
      <c r="BD67" s="3"/>
      <c r="BE67" s="3"/>
      <c r="BF67" s="3">
        <f t="shared" si="25"/>
        <v>1063</v>
      </c>
      <c r="BH67" s="16">
        <v>13.23</v>
      </c>
      <c r="BI67" s="16">
        <f t="shared" si="68"/>
        <v>26.724600000000002</v>
      </c>
      <c r="BJ67" s="17">
        <f t="shared" si="1"/>
        <v>13.8</v>
      </c>
      <c r="BK67" s="17">
        <f t="shared" si="2"/>
        <v>27.71</v>
      </c>
      <c r="BM67" s="1">
        <f t="shared" si="3"/>
        <v>81.2</v>
      </c>
      <c r="BN67" s="1">
        <f t="shared" si="4"/>
        <v>57.3</v>
      </c>
      <c r="BO67" s="1">
        <f t="shared" si="5"/>
        <v>29.8</v>
      </c>
      <c r="BP67" s="62">
        <f t="shared" si="26"/>
        <v>0.154</v>
      </c>
      <c r="BQ67" s="62">
        <f t="shared" si="6"/>
        <v>0.36299999999999999</v>
      </c>
      <c r="BS67" s="3">
        <v>0</v>
      </c>
      <c r="BT67" s="8"/>
      <c r="BU67" s="18"/>
      <c r="BV67" s="64"/>
      <c r="BW67" s="16">
        <f t="shared" si="36"/>
        <v>13.8</v>
      </c>
      <c r="BX67" s="16">
        <f t="shared" si="37"/>
        <v>27.71</v>
      </c>
      <c r="BY67" s="3">
        <f t="shared" si="38"/>
        <v>-13.1</v>
      </c>
      <c r="BZ67" s="3">
        <f t="shared" si="39"/>
        <v>-13.6</v>
      </c>
      <c r="CA67" s="3">
        <f t="shared" si="40"/>
        <v>-14.8</v>
      </c>
      <c r="CB67" s="3">
        <f t="shared" si="41"/>
        <v>-0.4</v>
      </c>
      <c r="CC67" s="3">
        <f t="shared" si="42"/>
        <v>0</v>
      </c>
      <c r="CD67" s="3">
        <f t="shared" si="43"/>
        <v>0.5</v>
      </c>
      <c r="CE67" s="3">
        <f t="shared" si="44"/>
        <v>1</v>
      </c>
      <c r="CF67" s="23">
        <f t="shared" si="45"/>
        <v>57.3</v>
      </c>
      <c r="CG67" s="1">
        <f t="shared" si="46"/>
        <v>-2.2999999999999998</v>
      </c>
      <c r="CH67" s="1">
        <f t="shared" si="47"/>
        <v>-0.5</v>
      </c>
      <c r="CI67" s="1">
        <f t="shared" si="48"/>
        <v>-2.1</v>
      </c>
      <c r="CJ67" s="1">
        <f t="shared" si="49"/>
        <v>-0.4</v>
      </c>
      <c r="CK67" s="1">
        <f t="shared" si="50"/>
        <v>0.1</v>
      </c>
      <c r="CL67" s="1">
        <f t="shared" si="51"/>
        <v>0.7</v>
      </c>
      <c r="CM67" s="1">
        <f t="shared" si="52"/>
        <v>1.1000000000000001</v>
      </c>
      <c r="CN67" s="2">
        <f t="shared" si="53"/>
        <v>81.2</v>
      </c>
      <c r="CO67" s="1">
        <f t="shared" si="54"/>
        <v>-23.3</v>
      </c>
      <c r="CP67" s="1">
        <f t="shared" si="55"/>
        <v>-24.1</v>
      </c>
      <c r="CQ67" s="1">
        <f t="shared" si="56"/>
        <v>-24.8</v>
      </c>
      <c r="CR67" s="1">
        <f t="shared" si="57"/>
        <v>-0.6</v>
      </c>
      <c r="CS67" s="1">
        <f t="shared" si="58"/>
        <v>-0.1</v>
      </c>
      <c r="CT67" s="1">
        <f t="shared" si="59"/>
        <v>0.4</v>
      </c>
      <c r="CU67" s="1">
        <f t="shared" si="60"/>
        <v>0.9</v>
      </c>
      <c r="CV67" s="2">
        <f t="shared" si="61"/>
        <v>29.8</v>
      </c>
      <c r="CW67" s="18">
        <f t="shared" si="62"/>
        <v>1063</v>
      </c>
      <c r="CX67" s="1">
        <f>ROUND(PPTest!K67,1)</f>
        <v>0</v>
      </c>
      <c r="CY67" s="17">
        <f t="shared" si="63"/>
        <v>1.98</v>
      </c>
      <c r="CZ67" s="17">
        <f t="shared" si="64"/>
        <v>3.82</v>
      </c>
      <c r="DA67" s="20">
        <f t="shared" si="65"/>
        <v>0.154</v>
      </c>
      <c r="DB67" s="20">
        <f t="shared" si="66"/>
        <v>0.36299999999999999</v>
      </c>
      <c r="DC67" s="16">
        <f t="shared" si="67"/>
        <v>12.14</v>
      </c>
      <c r="DW67" s="1">
        <v>-9.5</v>
      </c>
      <c r="DX67" s="1">
        <v>1.3</v>
      </c>
      <c r="DY67" s="1">
        <v>-18.7</v>
      </c>
    </row>
    <row r="68" spans="1:129" x14ac:dyDescent="0.2">
      <c r="A68" s="40">
        <v>34761</v>
      </c>
      <c r="B68" s="3">
        <v>62</v>
      </c>
      <c r="C68" s="3">
        <v>12.55</v>
      </c>
      <c r="D68" s="3">
        <v>23.37</v>
      </c>
      <c r="E68" s="3">
        <v>-9.5399999999999991</v>
      </c>
      <c r="F68" s="3">
        <v>56.24</v>
      </c>
      <c r="G68" s="3">
        <v>-10.15</v>
      </c>
      <c r="H68" s="3">
        <v>-11.29</v>
      </c>
      <c r="I68" s="3">
        <v>-0.53200000000000003</v>
      </c>
      <c r="J68" s="3">
        <v>-12.25</v>
      </c>
      <c r="K68" s="3">
        <v>-9.91</v>
      </c>
      <c r="L68" s="3">
        <v>8.9999999999999993E-3</v>
      </c>
      <c r="M68" s="3">
        <v>0.56999999999999995</v>
      </c>
      <c r="N68" s="3">
        <v>1.054</v>
      </c>
      <c r="O68" s="3">
        <v>0</v>
      </c>
      <c r="P68" s="16">
        <v>1.7524999999999999</v>
      </c>
      <c r="Q68" s="3"/>
      <c r="R68" s="3">
        <v>1.5660000000000001</v>
      </c>
      <c r="S68" s="3">
        <v>1627</v>
      </c>
      <c r="T68" s="3">
        <v>91.5</v>
      </c>
      <c r="U68" s="3">
        <v>456</v>
      </c>
      <c r="V68" s="3">
        <v>3.5209999999999999</v>
      </c>
      <c r="W68" s="3">
        <v>1.6</v>
      </c>
      <c r="X68" s="3">
        <v>-0.45100000000000001</v>
      </c>
      <c r="Y68" s="3">
        <v>-6.5670000000000002</v>
      </c>
      <c r="Z68" s="3">
        <v>6.7770000000000001</v>
      </c>
      <c r="AA68" s="3">
        <v>6.7000000000000004E-2</v>
      </c>
      <c r="AB68" s="3">
        <v>0.63900000000000001</v>
      </c>
      <c r="AC68" s="3">
        <v>1.1399999999999999</v>
      </c>
      <c r="AD68" s="16">
        <v>4.9275000000000002</v>
      </c>
      <c r="AE68" s="3">
        <v>1241</v>
      </c>
      <c r="AF68" s="3">
        <v>-18.91</v>
      </c>
      <c r="AG68" s="3">
        <v>707</v>
      </c>
      <c r="AH68" s="3">
        <v>15.81</v>
      </c>
      <c r="AI68" s="3">
        <v>1357</v>
      </c>
      <c r="AJ68" s="3">
        <v>-20.03</v>
      </c>
      <c r="AK68" s="3">
        <v>-21</v>
      </c>
      <c r="AL68" s="3">
        <v>-0.59899999999999998</v>
      </c>
      <c r="AM68" s="3">
        <v>-17.7</v>
      </c>
      <c r="AN68" s="3">
        <v>-20.6</v>
      </c>
      <c r="AO68" s="3">
        <v>-5.0999999999999997E-2</v>
      </c>
      <c r="AP68" s="3">
        <v>0.49199999999999999</v>
      </c>
      <c r="AQ68" s="3">
        <v>0.97299999999999998</v>
      </c>
      <c r="AR68" s="3">
        <v>2.1999999999999999E-2</v>
      </c>
      <c r="AS68" s="3">
        <v>0.26</v>
      </c>
      <c r="AT68" s="3">
        <v>0.42399999999999999</v>
      </c>
      <c r="AU68" s="3">
        <v>7.5999999999999998E-2</v>
      </c>
      <c r="AV68" s="3">
        <v>7.4999999999999997E-2</v>
      </c>
      <c r="AW68" s="3">
        <v>9.7000000000000003E-2</v>
      </c>
      <c r="AX68" s="3">
        <v>3.6999999999999998E-2</v>
      </c>
      <c r="AY68" s="3">
        <v>8.0000000000000002E-3</v>
      </c>
      <c r="AZ68" s="3">
        <v>-13.3</v>
      </c>
      <c r="BA68" s="3">
        <v>2424</v>
      </c>
      <c r="BB68" s="3">
        <v>12.14</v>
      </c>
      <c r="BC68" s="3">
        <v>2876</v>
      </c>
      <c r="BD68" s="3"/>
      <c r="BE68" s="3"/>
      <c r="BF68" s="3">
        <f t="shared" si="25"/>
        <v>1061</v>
      </c>
      <c r="BH68" s="16">
        <v>13.47</v>
      </c>
      <c r="BI68" s="16">
        <f t="shared" si="68"/>
        <v>27.209400000000002</v>
      </c>
      <c r="BJ68" s="17">
        <f t="shared" si="1"/>
        <v>12.55</v>
      </c>
      <c r="BK68" s="17">
        <f t="shared" si="2"/>
        <v>25.24</v>
      </c>
      <c r="BM68" s="1">
        <f t="shared" si="3"/>
        <v>85.5</v>
      </c>
      <c r="BN68" s="1">
        <f t="shared" si="4"/>
        <v>53</v>
      </c>
      <c r="BO68" s="1">
        <f t="shared" si="5"/>
        <v>15.6</v>
      </c>
      <c r="BP68" s="62">
        <f t="shared" si="26"/>
        <v>0.107</v>
      </c>
      <c r="BQ68" s="62">
        <f t="shared" si="6"/>
        <v>0.57899999999999996</v>
      </c>
      <c r="BS68" s="39"/>
      <c r="BT68" s="8"/>
      <c r="BV68" s="8"/>
      <c r="BW68" s="16">
        <f t="shared" si="36"/>
        <v>12.55</v>
      </c>
      <c r="BX68" s="16">
        <f t="shared" si="37"/>
        <v>25.24</v>
      </c>
      <c r="BY68" s="3">
        <f t="shared" si="38"/>
        <v>-9.5</v>
      </c>
      <c r="BZ68" s="3">
        <f t="shared" si="39"/>
        <v>-10.199999999999999</v>
      </c>
      <c r="CA68" s="3">
        <f t="shared" si="40"/>
        <v>-11.3</v>
      </c>
      <c r="CB68" s="3">
        <f t="shared" si="41"/>
        <v>-0.5</v>
      </c>
      <c r="CC68" s="3">
        <f t="shared" si="42"/>
        <v>0</v>
      </c>
      <c r="CD68" s="3">
        <f t="shared" si="43"/>
        <v>0.6</v>
      </c>
      <c r="CE68" s="3">
        <f t="shared" si="44"/>
        <v>1.1000000000000001</v>
      </c>
      <c r="CF68" s="23">
        <f t="shared" si="45"/>
        <v>53</v>
      </c>
      <c r="CG68" s="1">
        <f t="shared" si="46"/>
        <v>1.6</v>
      </c>
      <c r="CH68" s="1">
        <f t="shared" si="47"/>
        <v>3.5</v>
      </c>
      <c r="CI68" s="1">
        <f t="shared" si="48"/>
        <v>1.6</v>
      </c>
      <c r="CJ68" s="1">
        <f t="shared" si="49"/>
        <v>-0.5</v>
      </c>
      <c r="CK68" s="1">
        <f t="shared" si="50"/>
        <v>0.1</v>
      </c>
      <c r="CL68" s="1">
        <f t="shared" si="51"/>
        <v>0.6</v>
      </c>
      <c r="CM68" s="1">
        <f t="shared" si="52"/>
        <v>1.1000000000000001</v>
      </c>
      <c r="CN68" s="2">
        <f t="shared" si="53"/>
        <v>85.5</v>
      </c>
      <c r="CO68" s="1">
        <f t="shared" si="54"/>
        <v>-18.899999999999999</v>
      </c>
      <c r="CP68" s="1">
        <f t="shared" si="55"/>
        <v>-20</v>
      </c>
      <c r="CQ68" s="1">
        <f t="shared" si="56"/>
        <v>-21</v>
      </c>
      <c r="CR68" s="1">
        <f t="shared" si="57"/>
        <v>-0.6</v>
      </c>
      <c r="CS68" s="1">
        <f t="shared" si="58"/>
        <v>-0.1</v>
      </c>
      <c r="CT68" s="1">
        <f t="shared" si="59"/>
        <v>0.5</v>
      </c>
      <c r="CU68" s="1">
        <f t="shared" si="60"/>
        <v>1</v>
      </c>
      <c r="CV68" s="2">
        <f t="shared" si="61"/>
        <v>15.6</v>
      </c>
      <c r="CW68" s="18">
        <f t="shared" si="62"/>
        <v>1061</v>
      </c>
      <c r="CX68" s="1">
        <f>ROUND(PPTest!K68,1)</f>
        <v>0</v>
      </c>
      <c r="CY68" s="17">
        <f t="shared" si="63"/>
        <v>1.75</v>
      </c>
      <c r="CZ68" s="17">
        <f t="shared" si="64"/>
        <v>4.93</v>
      </c>
      <c r="DA68" s="20">
        <f t="shared" si="65"/>
        <v>0.107</v>
      </c>
      <c r="DB68" s="20">
        <f t="shared" si="66"/>
        <v>0.57899999999999996</v>
      </c>
      <c r="DC68" s="16">
        <f t="shared" si="67"/>
        <v>12.14</v>
      </c>
      <c r="DW68" s="1">
        <v>-8.1</v>
      </c>
      <c r="DX68" s="1">
        <v>1</v>
      </c>
      <c r="DY68" s="1">
        <v>-16.5</v>
      </c>
    </row>
    <row r="69" spans="1:129" x14ac:dyDescent="0.2">
      <c r="A69" s="40">
        <v>34762</v>
      </c>
      <c r="B69" s="3">
        <v>63</v>
      </c>
      <c r="C69" s="3">
        <v>8.01</v>
      </c>
      <c r="D69" s="3">
        <v>15.64</v>
      </c>
      <c r="E69" s="3">
        <v>-10.81</v>
      </c>
      <c r="F69" s="3">
        <v>86.7</v>
      </c>
      <c r="G69" s="3">
        <v>-11.13</v>
      </c>
      <c r="H69" s="3">
        <v>-11.54</v>
      </c>
      <c r="I69" s="3">
        <v>-0.56599999999999995</v>
      </c>
      <c r="J69" s="3">
        <v>-9</v>
      </c>
      <c r="K69" s="3">
        <v>-10.6</v>
      </c>
      <c r="L69" s="3">
        <v>-3.0000000000000001E-3</v>
      </c>
      <c r="M69" s="3">
        <v>0.56799999999999995</v>
      </c>
      <c r="N69" s="3">
        <v>1.0780000000000001</v>
      </c>
      <c r="O69" s="3">
        <v>0</v>
      </c>
      <c r="P69" s="16">
        <v>1.5121666666666667</v>
      </c>
      <c r="Q69" s="3"/>
      <c r="R69" s="3">
        <v>-5.9359999999999999</v>
      </c>
      <c r="S69" s="3">
        <v>1041</v>
      </c>
      <c r="T69" s="3">
        <v>98.5</v>
      </c>
      <c r="U69" s="3">
        <v>1745</v>
      </c>
      <c r="V69" s="3">
        <v>-4.7389999999999999</v>
      </c>
      <c r="W69" s="3">
        <v>-5.8449999999999998</v>
      </c>
      <c r="X69" s="3">
        <v>-0.53</v>
      </c>
      <c r="Y69" s="3">
        <v>-6.3410000000000002</v>
      </c>
      <c r="Z69" s="3">
        <v>-3.762</v>
      </c>
      <c r="AA69" s="3">
        <v>4.4999999999999998E-2</v>
      </c>
      <c r="AB69" s="3">
        <v>0.60499999999999998</v>
      </c>
      <c r="AC69" s="3">
        <v>1.127</v>
      </c>
      <c r="AD69" s="16">
        <v>3.5408333333333339</v>
      </c>
      <c r="AE69" s="3">
        <v>1307</v>
      </c>
      <c r="AF69" s="3">
        <v>-14.7</v>
      </c>
      <c r="AG69" s="3">
        <v>0</v>
      </c>
      <c r="AH69" s="3">
        <v>66.83</v>
      </c>
      <c r="AI69" s="3">
        <v>36</v>
      </c>
      <c r="AJ69" s="3">
        <v>-15.12</v>
      </c>
      <c r="AK69" s="3">
        <v>-15.6</v>
      </c>
      <c r="AL69" s="3">
        <v>-0.61599999999999999</v>
      </c>
      <c r="AM69" s="3">
        <v>-13.3</v>
      </c>
      <c r="AN69" s="3">
        <v>-15.03</v>
      </c>
      <c r="AO69" s="3">
        <v>-7.2999999999999995E-2</v>
      </c>
      <c r="AP69" s="3">
        <v>0.504</v>
      </c>
      <c r="AQ69" s="3">
        <v>1.0249999999999999</v>
      </c>
      <c r="AR69" s="3">
        <v>8.0000000000000002E-3</v>
      </c>
      <c r="AS69" s="3">
        <v>0.23300000000000001</v>
      </c>
      <c r="AT69" s="3">
        <v>8.3000000000000004E-2</v>
      </c>
      <c r="AU69" s="3">
        <v>4.0000000000000001E-3</v>
      </c>
      <c r="AV69" s="3">
        <v>0.128</v>
      </c>
      <c r="AW69" s="3">
        <v>0.503</v>
      </c>
      <c r="AX69" s="3">
        <v>0.04</v>
      </c>
      <c r="AY69" s="3">
        <v>0</v>
      </c>
      <c r="AZ69" s="3">
        <v>-10.68</v>
      </c>
      <c r="BA69" s="3">
        <v>2410</v>
      </c>
      <c r="BB69" s="3">
        <v>12.15</v>
      </c>
      <c r="BC69" s="3">
        <v>2876</v>
      </c>
      <c r="BD69" s="3"/>
      <c r="BE69" s="3"/>
      <c r="BF69" s="3">
        <f t="shared" si="25"/>
        <v>1075</v>
      </c>
      <c r="BH69" s="16">
        <v>13.71</v>
      </c>
      <c r="BI69" s="16">
        <f t="shared" si="68"/>
        <v>27.694200000000002</v>
      </c>
      <c r="BJ69" s="17">
        <f t="shared" si="1"/>
        <v>8.01</v>
      </c>
      <c r="BK69" s="17">
        <f t="shared" si="2"/>
        <v>16.89</v>
      </c>
      <c r="BM69" s="1">
        <f t="shared" si="3"/>
        <v>92</v>
      </c>
      <c r="BN69" s="1">
        <f t="shared" si="4"/>
        <v>81.099999999999994</v>
      </c>
      <c r="BO69" s="1">
        <f t="shared" si="5"/>
        <v>62.8</v>
      </c>
      <c r="BP69" s="62">
        <f t="shared" si="26"/>
        <v>0.246</v>
      </c>
      <c r="BQ69" s="62">
        <f t="shared" si="6"/>
        <v>0.14599999999999999</v>
      </c>
      <c r="BS69" s="39"/>
      <c r="BT69" s="8"/>
      <c r="BV69" s="8"/>
      <c r="BW69" s="16">
        <f t="shared" si="36"/>
        <v>8.01</v>
      </c>
      <c r="BX69" s="16">
        <f t="shared" si="37"/>
        <v>16.89</v>
      </c>
      <c r="BY69" s="3">
        <f t="shared" si="38"/>
        <v>-10.8</v>
      </c>
      <c r="BZ69" s="3">
        <f t="shared" si="39"/>
        <v>-11.1</v>
      </c>
      <c r="CA69" s="3">
        <f t="shared" si="40"/>
        <v>-11.5</v>
      </c>
      <c r="CB69" s="3">
        <f t="shared" si="41"/>
        <v>-0.6</v>
      </c>
      <c r="CC69" s="3">
        <f t="shared" si="42"/>
        <v>0</v>
      </c>
      <c r="CD69" s="3">
        <f t="shared" si="43"/>
        <v>0.6</v>
      </c>
      <c r="CE69" s="3">
        <f t="shared" si="44"/>
        <v>1.1000000000000001</v>
      </c>
      <c r="CF69" s="23">
        <f t="shared" si="45"/>
        <v>81.099999999999994</v>
      </c>
      <c r="CG69" s="1">
        <f t="shared" si="46"/>
        <v>-5.9</v>
      </c>
      <c r="CH69" s="1">
        <f t="shared" si="47"/>
        <v>-4.7</v>
      </c>
      <c r="CI69" s="1">
        <f t="shared" si="48"/>
        <v>-5.8</v>
      </c>
      <c r="CJ69" s="1">
        <f t="shared" si="49"/>
        <v>-0.5</v>
      </c>
      <c r="CK69" s="1">
        <f t="shared" si="50"/>
        <v>0</v>
      </c>
      <c r="CL69" s="1">
        <f t="shared" si="51"/>
        <v>0.6</v>
      </c>
      <c r="CM69" s="1">
        <f t="shared" si="52"/>
        <v>1.1000000000000001</v>
      </c>
      <c r="CN69" s="2">
        <f t="shared" si="53"/>
        <v>92</v>
      </c>
      <c r="CO69" s="1">
        <f t="shared" si="54"/>
        <v>-14.7</v>
      </c>
      <c r="CP69" s="1">
        <f t="shared" si="55"/>
        <v>-15.1</v>
      </c>
      <c r="CQ69" s="1">
        <f t="shared" si="56"/>
        <v>-15.6</v>
      </c>
      <c r="CR69" s="1">
        <f t="shared" si="57"/>
        <v>-0.6</v>
      </c>
      <c r="CS69" s="1">
        <f t="shared" si="58"/>
        <v>-0.1</v>
      </c>
      <c r="CT69" s="1">
        <f t="shared" si="59"/>
        <v>0.5</v>
      </c>
      <c r="CU69" s="1">
        <f t="shared" si="60"/>
        <v>1</v>
      </c>
      <c r="CV69" s="2">
        <f t="shared" si="61"/>
        <v>62.8</v>
      </c>
      <c r="CW69" s="18">
        <f t="shared" si="62"/>
        <v>1075</v>
      </c>
      <c r="CX69" s="1">
        <f>ROUND(PPTest!K69,1)</f>
        <v>1.8</v>
      </c>
      <c r="CY69" s="17">
        <f t="shared" si="63"/>
        <v>1.51</v>
      </c>
      <c r="CZ69" s="17">
        <f t="shared" si="64"/>
        <v>3.54</v>
      </c>
      <c r="DA69" s="20">
        <f t="shared" si="65"/>
        <v>0.246</v>
      </c>
      <c r="DB69" s="20">
        <f t="shared" si="66"/>
        <v>0.14599999999999999</v>
      </c>
      <c r="DC69" s="16">
        <f t="shared" si="67"/>
        <v>12.15</v>
      </c>
      <c r="DW69" s="1">
        <v>-8.9</v>
      </c>
      <c r="DX69" s="1">
        <v>-3.6</v>
      </c>
      <c r="DY69" s="1">
        <v>-14.7</v>
      </c>
    </row>
    <row r="70" spans="1:129" x14ac:dyDescent="0.2">
      <c r="A70" s="40">
        <v>34763</v>
      </c>
      <c r="B70" s="3">
        <v>64</v>
      </c>
      <c r="C70" s="3">
        <v>10.7</v>
      </c>
      <c r="D70" s="3">
        <v>19.16</v>
      </c>
      <c r="E70" s="3">
        <v>-16.93</v>
      </c>
      <c r="F70" s="3">
        <v>88.3</v>
      </c>
      <c r="G70" s="3">
        <v>-17.27</v>
      </c>
      <c r="H70" s="3">
        <v>-17.95</v>
      </c>
      <c r="I70" s="3">
        <v>-0.59299999999999997</v>
      </c>
      <c r="J70" s="3">
        <v>-6.1539999999999999</v>
      </c>
      <c r="K70" s="3">
        <v>-16.489999999999998</v>
      </c>
      <c r="L70" s="3">
        <v>-6.0000000000000001E-3</v>
      </c>
      <c r="M70" s="3">
        <v>0.56100000000000005</v>
      </c>
      <c r="N70" s="3">
        <v>1.0960000000000001</v>
      </c>
      <c r="O70" s="3">
        <v>0</v>
      </c>
      <c r="P70" s="16">
        <v>1.4218333333333333</v>
      </c>
      <c r="Q70" s="3"/>
      <c r="R70" s="3">
        <v>-10.92</v>
      </c>
      <c r="S70" s="3">
        <v>1458</v>
      </c>
      <c r="T70" s="3">
        <v>93.7</v>
      </c>
      <c r="U70" s="3">
        <v>1</v>
      </c>
      <c r="V70" s="3">
        <v>-9.32</v>
      </c>
      <c r="W70" s="3">
        <v>-12.1</v>
      </c>
      <c r="X70" s="3">
        <v>-0.54800000000000004</v>
      </c>
      <c r="Y70" s="3">
        <v>-4.9260000000000002</v>
      </c>
      <c r="Z70" s="3">
        <v>-7.2</v>
      </c>
      <c r="AA70" s="3">
        <v>4.2000000000000003E-2</v>
      </c>
      <c r="AB70" s="3">
        <v>0.60299999999999998</v>
      </c>
      <c r="AC70" s="3">
        <v>1.137</v>
      </c>
      <c r="AD70" s="16">
        <v>3.5008333333333335</v>
      </c>
      <c r="AE70" s="3">
        <v>1150</v>
      </c>
      <c r="AF70" s="3">
        <v>-24.61</v>
      </c>
      <c r="AG70" s="3">
        <v>0</v>
      </c>
      <c r="AH70" s="3">
        <v>66.599999999999994</v>
      </c>
      <c r="AI70" s="3">
        <v>1500</v>
      </c>
      <c r="AJ70" s="3">
        <v>-25.32</v>
      </c>
      <c r="AK70" s="3">
        <v>-26.78</v>
      </c>
      <c r="AL70" s="3">
        <v>-0.72399999999999998</v>
      </c>
      <c r="AM70" s="3">
        <v>-7.67</v>
      </c>
      <c r="AN70" s="3">
        <v>-26.18</v>
      </c>
      <c r="AO70" s="3">
        <v>-7.6999999999999999E-2</v>
      </c>
      <c r="AP70" s="3">
        <v>0.47099999999999997</v>
      </c>
      <c r="AQ70" s="3">
        <v>1.0309999999999999</v>
      </c>
      <c r="AR70" s="3">
        <v>3.0000000000000001E-3</v>
      </c>
      <c r="AS70" s="3">
        <v>9.2999999999999999E-2</v>
      </c>
      <c r="AT70" s="3">
        <v>0.14699999999999999</v>
      </c>
      <c r="AU70" s="3">
        <v>0.01</v>
      </c>
      <c r="AV70" s="3">
        <v>0.11700000000000001</v>
      </c>
      <c r="AW70" s="3">
        <v>0.51</v>
      </c>
      <c r="AX70" s="3">
        <v>0.108</v>
      </c>
      <c r="AY70" s="3">
        <v>1.2999999999999999E-2</v>
      </c>
      <c r="AZ70" s="3">
        <v>-12.94</v>
      </c>
      <c r="BA70" s="3">
        <v>2406</v>
      </c>
      <c r="BB70" s="3">
        <v>12.14</v>
      </c>
      <c r="BC70" s="3">
        <v>2876</v>
      </c>
      <c r="BD70" s="3"/>
      <c r="BE70" s="3"/>
      <c r="BF70" s="3">
        <f t="shared" si="25"/>
        <v>1079</v>
      </c>
      <c r="BH70" s="16">
        <v>13.95</v>
      </c>
      <c r="BI70" s="16">
        <f t="shared" ref="BI70:BI133" si="69">BH70*$BI$1</f>
        <v>28.178999999999998</v>
      </c>
      <c r="BJ70" s="17">
        <f t="shared" si="1"/>
        <v>10.7</v>
      </c>
      <c r="BK70" s="17">
        <f t="shared" si="2"/>
        <v>20.69</v>
      </c>
      <c r="BM70" s="1">
        <f t="shared" si="3"/>
        <v>87.6</v>
      </c>
      <c r="BN70" s="1">
        <f t="shared" si="4"/>
        <v>82.6</v>
      </c>
      <c r="BO70" s="1">
        <f t="shared" si="5"/>
        <v>62.5</v>
      </c>
      <c r="BP70" s="62">
        <f t="shared" si="26"/>
        <v>0.16600000000000001</v>
      </c>
      <c r="BQ70" s="62">
        <f t="shared" si="6"/>
        <v>0.1</v>
      </c>
      <c r="BS70" s="39"/>
      <c r="BT70" s="8"/>
      <c r="BV70" s="8"/>
      <c r="BW70" s="16">
        <f t="shared" si="36"/>
        <v>10.7</v>
      </c>
      <c r="BX70" s="16">
        <f t="shared" si="37"/>
        <v>20.69</v>
      </c>
      <c r="BY70" s="3">
        <f t="shared" si="38"/>
        <v>-16.899999999999999</v>
      </c>
      <c r="BZ70" s="3">
        <f t="shared" si="39"/>
        <v>-17.3</v>
      </c>
      <c r="CA70" s="3">
        <f t="shared" si="40"/>
        <v>-18</v>
      </c>
      <c r="CB70" s="3">
        <f t="shared" si="41"/>
        <v>-0.6</v>
      </c>
      <c r="CC70" s="3">
        <f t="shared" si="42"/>
        <v>0</v>
      </c>
      <c r="CD70" s="3">
        <f t="shared" si="43"/>
        <v>0.6</v>
      </c>
      <c r="CE70" s="3">
        <f t="shared" si="44"/>
        <v>1.1000000000000001</v>
      </c>
      <c r="CF70" s="23">
        <f t="shared" si="45"/>
        <v>82.6</v>
      </c>
      <c r="CG70" s="1">
        <f t="shared" si="46"/>
        <v>-10.9</v>
      </c>
      <c r="CH70" s="1">
        <f t="shared" si="47"/>
        <v>-9.3000000000000007</v>
      </c>
      <c r="CI70" s="1">
        <f t="shared" si="48"/>
        <v>-12.1</v>
      </c>
      <c r="CJ70" s="1">
        <f t="shared" si="49"/>
        <v>-0.5</v>
      </c>
      <c r="CK70" s="1">
        <f t="shared" si="50"/>
        <v>0</v>
      </c>
      <c r="CL70" s="1">
        <f t="shared" si="51"/>
        <v>0.6</v>
      </c>
      <c r="CM70" s="1">
        <f t="shared" si="52"/>
        <v>1.1000000000000001</v>
      </c>
      <c r="CN70" s="2">
        <f t="shared" si="53"/>
        <v>87.6</v>
      </c>
      <c r="CO70" s="1">
        <f t="shared" si="54"/>
        <v>-24.6</v>
      </c>
      <c r="CP70" s="1">
        <f t="shared" si="55"/>
        <v>-25.3</v>
      </c>
      <c r="CQ70" s="1">
        <f t="shared" si="56"/>
        <v>-26.8</v>
      </c>
      <c r="CR70" s="1">
        <f t="shared" si="57"/>
        <v>-0.7</v>
      </c>
      <c r="CS70" s="1">
        <f t="shared" si="58"/>
        <v>-0.1</v>
      </c>
      <c r="CT70" s="1">
        <f t="shared" si="59"/>
        <v>0.5</v>
      </c>
      <c r="CU70" s="1">
        <f t="shared" si="60"/>
        <v>1</v>
      </c>
      <c r="CV70" s="2">
        <f t="shared" si="61"/>
        <v>62.5</v>
      </c>
      <c r="CW70" s="18">
        <f t="shared" si="62"/>
        <v>1079</v>
      </c>
      <c r="CX70" s="1">
        <f>ROUND(PPTest!K70,1)</f>
        <v>0.5</v>
      </c>
      <c r="CY70" s="17">
        <f t="shared" si="63"/>
        <v>1.42</v>
      </c>
      <c r="CZ70" s="17">
        <f t="shared" si="64"/>
        <v>3.5</v>
      </c>
      <c r="DA70" s="20">
        <f t="shared" si="65"/>
        <v>0.16600000000000001</v>
      </c>
      <c r="DB70" s="20">
        <f t="shared" si="66"/>
        <v>0.1</v>
      </c>
      <c r="DC70" s="16">
        <f t="shared" si="67"/>
        <v>12.14</v>
      </c>
      <c r="DW70" s="1">
        <v>-14.7</v>
      </c>
      <c r="DX70" s="1">
        <v>-8.8000000000000007</v>
      </c>
      <c r="DY70" s="1">
        <v>-17.899999999999999</v>
      </c>
    </row>
    <row r="71" spans="1:129" x14ac:dyDescent="0.2">
      <c r="A71" s="40">
        <v>34764</v>
      </c>
      <c r="B71" s="3">
        <v>65</v>
      </c>
      <c r="C71" s="3">
        <v>14.6</v>
      </c>
      <c r="D71" s="3">
        <v>28.06</v>
      </c>
      <c r="E71" s="3">
        <v>-18.899999999999999</v>
      </c>
      <c r="F71" s="3">
        <v>77.2</v>
      </c>
      <c r="G71" s="3">
        <v>-19.059999999999999</v>
      </c>
      <c r="H71" s="3">
        <v>-20.13</v>
      </c>
      <c r="I71" s="3">
        <v>-0.75800000000000001</v>
      </c>
      <c r="J71" s="3">
        <v>-8.3699999999999992</v>
      </c>
      <c r="K71" s="3">
        <v>-18.399999999999999</v>
      </c>
      <c r="L71" s="3">
        <v>-0.154</v>
      </c>
      <c r="M71" s="3">
        <v>0.41799999999999998</v>
      </c>
      <c r="N71" s="3">
        <v>0.97699999999999998</v>
      </c>
      <c r="O71" s="3">
        <v>0</v>
      </c>
      <c r="P71" s="16">
        <v>1.6091666666666666</v>
      </c>
      <c r="Q71" s="3"/>
      <c r="R71" s="3">
        <v>-9.48</v>
      </c>
      <c r="S71" s="3">
        <v>1311</v>
      </c>
      <c r="T71" s="3">
        <v>90.8</v>
      </c>
      <c r="U71" s="3">
        <v>2321</v>
      </c>
      <c r="V71" s="3">
        <v>-6.4379999999999997</v>
      </c>
      <c r="W71" s="3">
        <v>-9.6199999999999992</v>
      </c>
      <c r="X71" s="3">
        <v>-0.6</v>
      </c>
      <c r="Y71" s="3">
        <v>-5.4589999999999996</v>
      </c>
      <c r="Z71" s="3">
        <v>-5.1740000000000004</v>
      </c>
      <c r="AA71" s="3">
        <v>-1.4999999999999999E-2</v>
      </c>
      <c r="AB71" s="3">
        <v>0.55800000000000005</v>
      </c>
      <c r="AC71" s="3">
        <v>1.1240000000000001</v>
      </c>
      <c r="AD71" s="16">
        <v>3.8475000000000001</v>
      </c>
      <c r="AE71" s="3">
        <v>1358</v>
      </c>
      <c r="AF71" s="3">
        <v>-27.55</v>
      </c>
      <c r="AG71" s="3">
        <v>634</v>
      </c>
      <c r="AH71" s="3">
        <v>55.81</v>
      </c>
      <c r="AI71" s="3">
        <v>1537</v>
      </c>
      <c r="AJ71" s="3">
        <v>-28.18</v>
      </c>
      <c r="AK71" s="3">
        <v>-29.02</v>
      </c>
      <c r="AL71" s="3">
        <v>-0.97799999999999998</v>
      </c>
      <c r="AM71" s="3">
        <v>-11.74</v>
      </c>
      <c r="AN71" s="3">
        <v>-28.71</v>
      </c>
      <c r="AO71" s="3">
        <v>-0.34100000000000003</v>
      </c>
      <c r="AP71" s="3">
        <v>0.23100000000000001</v>
      </c>
      <c r="AQ71" s="3">
        <v>0.79100000000000004</v>
      </c>
      <c r="AR71" s="3">
        <v>0</v>
      </c>
      <c r="AS71" s="3">
        <v>0.17100000000000001</v>
      </c>
      <c r="AT71" s="3">
        <v>0.47799999999999998</v>
      </c>
      <c r="AU71" s="3">
        <v>1.7000000000000001E-2</v>
      </c>
      <c r="AV71" s="3">
        <v>0.104</v>
      </c>
      <c r="AW71" s="3">
        <v>0.17499999999999999</v>
      </c>
      <c r="AX71" s="3">
        <v>4.9000000000000002E-2</v>
      </c>
      <c r="AY71" s="3">
        <v>6.0000000000000001E-3</v>
      </c>
      <c r="AZ71" s="3">
        <v>-18.59</v>
      </c>
      <c r="BA71" s="3">
        <v>2407</v>
      </c>
      <c r="BB71" s="3">
        <v>12.13</v>
      </c>
      <c r="BC71" s="3">
        <v>2876</v>
      </c>
      <c r="BD71" s="3"/>
      <c r="BE71" s="3"/>
      <c r="BF71" s="3">
        <f t="shared" si="25"/>
        <v>1078</v>
      </c>
      <c r="BH71" s="16">
        <v>14.21</v>
      </c>
      <c r="BI71" s="16">
        <f t="shared" si="69"/>
        <v>28.704200000000004</v>
      </c>
      <c r="BJ71" s="17">
        <f t="shared" ref="BJ71:BJ134" si="70">ROUND(C71*BJ$2,2)</f>
        <v>14.6</v>
      </c>
      <c r="BK71" s="17">
        <f t="shared" ref="BK71:BK134" si="71">ROUND(D71*BK$2,2)</f>
        <v>30.3</v>
      </c>
      <c r="BM71" s="1">
        <f t="shared" ref="BM71:BM134" si="72">ROUND(T71*BM$3+BM$4,1)</f>
        <v>84.9</v>
      </c>
      <c r="BN71" s="1">
        <f t="shared" ref="BN71:BN134" si="73">ROUND(F71*BM$3+BM$4,1)</f>
        <v>72.3</v>
      </c>
      <c r="BO71" s="1">
        <f t="shared" ref="BO71:BO134" si="74">ROUND(AH71*BM$3+BM$4,1)</f>
        <v>52.6</v>
      </c>
      <c r="BP71" s="62">
        <f t="shared" si="26"/>
        <v>0.157</v>
      </c>
      <c r="BQ71" s="62">
        <f t="shared" ref="BQ71:BQ134" si="75">ROUND((100-BO71)*BP71/BO71,3)</f>
        <v>0.14099999999999999</v>
      </c>
      <c r="BS71" s="39"/>
      <c r="BT71" s="8"/>
      <c r="BV71" s="8"/>
      <c r="BW71" s="16">
        <f t="shared" si="36"/>
        <v>14.6</v>
      </c>
      <c r="BX71" s="16">
        <f t="shared" si="37"/>
        <v>30.3</v>
      </c>
      <c r="BY71" s="3">
        <f t="shared" si="38"/>
        <v>-18.899999999999999</v>
      </c>
      <c r="BZ71" s="3">
        <f t="shared" si="39"/>
        <v>-19.100000000000001</v>
      </c>
      <c r="CA71" s="3">
        <f t="shared" si="40"/>
        <v>-20.100000000000001</v>
      </c>
      <c r="CB71" s="3">
        <f t="shared" si="41"/>
        <v>-0.8</v>
      </c>
      <c r="CC71" s="3">
        <f t="shared" si="42"/>
        <v>-0.2</v>
      </c>
      <c r="CD71" s="3">
        <f t="shared" si="43"/>
        <v>0.4</v>
      </c>
      <c r="CE71" s="3">
        <f t="shared" si="44"/>
        <v>1</v>
      </c>
      <c r="CF71" s="23">
        <f t="shared" si="45"/>
        <v>72.3</v>
      </c>
      <c r="CG71" s="1">
        <f t="shared" si="46"/>
        <v>-9.5</v>
      </c>
      <c r="CH71" s="1">
        <f t="shared" si="47"/>
        <v>-6.4</v>
      </c>
      <c r="CI71" s="1">
        <f t="shared" si="48"/>
        <v>-9.6</v>
      </c>
      <c r="CJ71" s="1">
        <f t="shared" si="49"/>
        <v>-0.6</v>
      </c>
      <c r="CK71" s="1">
        <f t="shared" si="50"/>
        <v>0</v>
      </c>
      <c r="CL71" s="1">
        <f t="shared" si="51"/>
        <v>0.6</v>
      </c>
      <c r="CM71" s="1">
        <f t="shared" si="52"/>
        <v>1.1000000000000001</v>
      </c>
      <c r="CN71" s="2">
        <f t="shared" si="53"/>
        <v>84.9</v>
      </c>
      <c r="CO71" s="1">
        <f t="shared" si="54"/>
        <v>-27.6</v>
      </c>
      <c r="CP71" s="1">
        <f t="shared" si="55"/>
        <v>-28.2</v>
      </c>
      <c r="CQ71" s="1">
        <f t="shared" si="56"/>
        <v>-29</v>
      </c>
      <c r="CR71" s="1">
        <f t="shared" si="57"/>
        <v>-1</v>
      </c>
      <c r="CS71" s="1">
        <f t="shared" si="58"/>
        <v>-0.3</v>
      </c>
      <c r="CT71" s="1">
        <f t="shared" si="59"/>
        <v>0.2</v>
      </c>
      <c r="CU71" s="1">
        <f t="shared" si="60"/>
        <v>0.8</v>
      </c>
      <c r="CV71" s="2">
        <f t="shared" si="61"/>
        <v>52.6</v>
      </c>
      <c r="CW71" s="18">
        <f t="shared" si="62"/>
        <v>1078</v>
      </c>
      <c r="CX71" s="1">
        <f>ROUND(PPTest!K71,1)</f>
        <v>0</v>
      </c>
      <c r="CY71" s="17">
        <f t="shared" si="63"/>
        <v>1.61</v>
      </c>
      <c r="CZ71" s="17">
        <f t="shared" si="64"/>
        <v>3.85</v>
      </c>
      <c r="DA71" s="20">
        <f t="shared" si="65"/>
        <v>0.157</v>
      </c>
      <c r="DB71" s="20">
        <f t="shared" si="66"/>
        <v>0.14099999999999999</v>
      </c>
      <c r="DC71" s="16">
        <f t="shared" si="67"/>
        <v>12.13</v>
      </c>
      <c r="DW71" s="1">
        <v>-12.6</v>
      </c>
      <c r="DX71" s="1">
        <v>-5.9</v>
      </c>
      <c r="DY71" s="1">
        <v>-21.7</v>
      </c>
    </row>
    <row r="72" spans="1:129" x14ac:dyDescent="0.2">
      <c r="A72" s="40">
        <v>34765</v>
      </c>
      <c r="B72" s="3">
        <v>66</v>
      </c>
      <c r="C72" s="3">
        <v>8.41</v>
      </c>
      <c r="D72" s="3">
        <v>16.760000000000002</v>
      </c>
      <c r="E72" s="3">
        <v>-10.95</v>
      </c>
      <c r="F72" s="3">
        <v>74.8</v>
      </c>
      <c r="G72" s="3">
        <v>-11.21</v>
      </c>
      <c r="H72" s="3">
        <v>-11.79</v>
      </c>
      <c r="I72" s="3">
        <v>-0.70499999999999996</v>
      </c>
      <c r="J72" s="3">
        <v>-10.039999999999999</v>
      </c>
      <c r="K72" s="3">
        <v>-10.7</v>
      </c>
      <c r="L72" s="3">
        <v>-0.125</v>
      </c>
      <c r="M72" s="3">
        <v>0.47499999999999998</v>
      </c>
      <c r="N72" s="3">
        <v>1.0489999999999999</v>
      </c>
      <c r="O72" s="3">
        <v>0</v>
      </c>
      <c r="P72" s="16">
        <v>1.4458333333333333</v>
      </c>
      <c r="Q72" s="3"/>
      <c r="R72" s="3">
        <v>-4.4969999999999999</v>
      </c>
      <c r="S72" s="3">
        <v>1347</v>
      </c>
      <c r="T72" s="3">
        <v>92.3</v>
      </c>
      <c r="U72" s="3">
        <v>643</v>
      </c>
      <c r="V72" s="3">
        <v>-3.0379999999999998</v>
      </c>
      <c r="W72" s="3">
        <v>-4.8959999999999999</v>
      </c>
      <c r="X72" s="3">
        <v>-0.63400000000000001</v>
      </c>
      <c r="Y72" s="3">
        <v>-6.827</v>
      </c>
      <c r="Z72" s="3">
        <v>-2.0590000000000002</v>
      </c>
      <c r="AA72" s="3">
        <v>-8.2000000000000003E-2</v>
      </c>
      <c r="AB72" s="3">
        <v>0.51800000000000002</v>
      </c>
      <c r="AC72" s="3">
        <v>1.105</v>
      </c>
      <c r="AD72" s="16">
        <v>3.6475</v>
      </c>
      <c r="AE72" s="3">
        <v>2028</v>
      </c>
      <c r="AF72" s="3">
        <v>-22.54</v>
      </c>
      <c r="AG72" s="3">
        <v>42</v>
      </c>
      <c r="AH72" s="3">
        <v>49.79</v>
      </c>
      <c r="AI72" s="3">
        <v>1047</v>
      </c>
      <c r="AJ72" s="3">
        <v>-23.28</v>
      </c>
      <c r="AK72" s="3">
        <v>-24.47</v>
      </c>
      <c r="AL72" s="3">
        <v>-0.82699999999999996</v>
      </c>
      <c r="AM72" s="3">
        <v>-15.02</v>
      </c>
      <c r="AN72" s="3">
        <v>-24.06</v>
      </c>
      <c r="AO72" s="3">
        <v>-0.191</v>
      </c>
      <c r="AP72" s="3">
        <v>0.40100000000000002</v>
      </c>
      <c r="AQ72" s="3">
        <v>0.97199999999999998</v>
      </c>
      <c r="AR72" s="3">
        <v>2.1000000000000001E-2</v>
      </c>
      <c r="AS72" s="3">
        <v>0.19</v>
      </c>
      <c r="AT72" s="3">
        <v>0.36199999999999999</v>
      </c>
      <c r="AU72" s="3">
        <v>8.1000000000000003E-2</v>
      </c>
      <c r="AV72" s="3">
        <v>0.11899999999999999</v>
      </c>
      <c r="AW72" s="3">
        <v>0.17299999999999999</v>
      </c>
      <c r="AX72" s="3">
        <v>3.5000000000000003E-2</v>
      </c>
      <c r="AY72" s="3">
        <v>1.9E-2</v>
      </c>
      <c r="AZ72" s="3">
        <v>-13.72</v>
      </c>
      <c r="BA72" s="3">
        <v>2407</v>
      </c>
      <c r="BB72" s="3">
        <v>12.13</v>
      </c>
      <c r="BC72" s="3">
        <v>2876</v>
      </c>
      <c r="BD72" s="3"/>
      <c r="BE72" s="3"/>
      <c r="BF72" s="3">
        <f t="shared" ref="BF72:BF135" si="76">BF$1-BA72</f>
        <v>1078</v>
      </c>
      <c r="BH72" s="16">
        <v>14.45</v>
      </c>
      <c r="BI72" s="16">
        <f t="shared" si="69"/>
        <v>29.189</v>
      </c>
      <c r="BJ72" s="17">
        <f t="shared" si="70"/>
        <v>8.41</v>
      </c>
      <c r="BK72" s="17">
        <f t="shared" si="71"/>
        <v>18.100000000000001</v>
      </c>
      <c r="BM72" s="1">
        <f t="shared" si="72"/>
        <v>86.3</v>
      </c>
      <c r="BN72" s="1">
        <f t="shared" si="73"/>
        <v>70.099999999999994</v>
      </c>
      <c r="BO72" s="1">
        <f t="shared" si="74"/>
        <v>47</v>
      </c>
      <c r="BP72" s="62">
        <f t="shared" ref="BP72:BP135" si="77">ROUND(0.6105*(EXP((17.273*R72)/(R72+237.3)))*BO72/100, 3)</f>
        <v>0.20599999999999999</v>
      </c>
      <c r="BQ72" s="62">
        <f t="shared" si="75"/>
        <v>0.23200000000000001</v>
      </c>
      <c r="BS72" s="39"/>
      <c r="BT72" s="8"/>
      <c r="BV72" s="8"/>
      <c r="BW72" s="16">
        <f t="shared" si="36"/>
        <v>8.41</v>
      </c>
      <c r="BX72" s="16">
        <f t="shared" si="37"/>
        <v>18.100000000000001</v>
      </c>
      <c r="BY72" s="3">
        <f t="shared" si="38"/>
        <v>-11</v>
      </c>
      <c r="BZ72" s="3">
        <f t="shared" si="39"/>
        <v>-11.2</v>
      </c>
      <c r="CA72" s="3">
        <f t="shared" si="40"/>
        <v>-11.8</v>
      </c>
      <c r="CB72" s="3">
        <f t="shared" si="41"/>
        <v>-0.7</v>
      </c>
      <c r="CC72" s="3">
        <f t="shared" si="42"/>
        <v>-0.1</v>
      </c>
      <c r="CD72" s="3">
        <f t="shared" si="43"/>
        <v>0.5</v>
      </c>
      <c r="CE72" s="3">
        <f t="shared" si="44"/>
        <v>1</v>
      </c>
      <c r="CF72" s="23">
        <f t="shared" si="45"/>
        <v>70.099999999999994</v>
      </c>
      <c r="CG72" s="1">
        <f t="shared" si="46"/>
        <v>-4.5</v>
      </c>
      <c r="CH72" s="1">
        <f t="shared" si="47"/>
        <v>-3</v>
      </c>
      <c r="CI72" s="1">
        <f t="shared" si="48"/>
        <v>-4.9000000000000004</v>
      </c>
      <c r="CJ72" s="1">
        <f t="shared" si="49"/>
        <v>-0.6</v>
      </c>
      <c r="CK72" s="1">
        <f t="shared" si="50"/>
        <v>-0.1</v>
      </c>
      <c r="CL72" s="1">
        <f t="shared" si="51"/>
        <v>0.5</v>
      </c>
      <c r="CM72" s="1">
        <f t="shared" si="52"/>
        <v>1.1000000000000001</v>
      </c>
      <c r="CN72" s="2">
        <f t="shared" si="53"/>
        <v>86.3</v>
      </c>
      <c r="CO72" s="1">
        <f t="shared" si="54"/>
        <v>-22.5</v>
      </c>
      <c r="CP72" s="1">
        <f t="shared" si="55"/>
        <v>-23.3</v>
      </c>
      <c r="CQ72" s="1">
        <f t="shared" si="56"/>
        <v>-24.5</v>
      </c>
      <c r="CR72" s="1">
        <f t="shared" si="57"/>
        <v>-0.8</v>
      </c>
      <c r="CS72" s="1">
        <f t="shared" si="58"/>
        <v>-0.2</v>
      </c>
      <c r="CT72" s="1">
        <f t="shared" si="59"/>
        <v>0.4</v>
      </c>
      <c r="CU72" s="1">
        <f t="shared" si="60"/>
        <v>1</v>
      </c>
      <c r="CV72" s="2">
        <f t="shared" si="61"/>
        <v>47</v>
      </c>
      <c r="CW72" s="18">
        <f t="shared" si="62"/>
        <v>1078</v>
      </c>
      <c r="CX72" s="1">
        <f>ROUND(PPTest!K72,1)</f>
        <v>0</v>
      </c>
      <c r="CY72" s="17">
        <f t="shared" si="63"/>
        <v>1.45</v>
      </c>
      <c r="CZ72" s="17">
        <f t="shared" si="64"/>
        <v>3.65</v>
      </c>
      <c r="DA72" s="20">
        <f t="shared" si="65"/>
        <v>0.20599999999999999</v>
      </c>
      <c r="DB72" s="20">
        <f t="shared" si="66"/>
        <v>0.23200000000000001</v>
      </c>
      <c r="DC72" s="16">
        <f t="shared" si="67"/>
        <v>12.13</v>
      </c>
      <c r="DW72" s="1">
        <v>-7.6</v>
      </c>
      <c r="DX72" s="1">
        <v>-1.6</v>
      </c>
      <c r="DY72" s="1">
        <v>-11.8</v>
      </c>
    </row>
    <row r="73" spans="1:129" x14ac:dyDescent="0.2">
      <c r="A73" s="40">
        <v>34766</v>
      </c>
      <c r="B73" s="3">
        <v>67</v>
      </c>
      <c r="C73" s="3">
        <v>3.0430000000000001</v>
      </c>
      <c r="D73" s="3">
        <v>6.5179999999999998</v>
      </c>
      <c r="E73" s="3">
        <v>-4.7300000000000004</v>
      </c>
      <c r="F73" s="3">
        <v>93</v>
      </c>
      <c r="G73" s="3">
        <v>-5.1669999999999998</v>
      </c>
      <c r="H73" s="3">
        <v>-5.4560000000000004</v>
      </c>
      <c r="I73" s="3">
        <v>-0.69899999999999995</v>
      </c>
      <c r="J73" s="3">
        <v>-7.26</v>
      </c>
      <c r="K73" s="3">
        <v>-5.4119999999999999</v>
      </c>
      <c r="L73" s="3">
        <v>-0.154</v>
      </c>
      <c r="M73" s="3">
        <v>0.46300000000000002</v>
      </c>
      <c r="N73" s="3">
        <v>1.0569999999999999</v>
      </c>
      <c r="O73" s="3">
        <v>0</v>
      </c>
      <c r="P73" s="16">
        <v>1.4141666666666666</v>
      </c>
      <c r="Q73" s="3"/>
      <c r="R73" s="3">
        <v>-1.9950000000000001</v>
      </c>
      <c r="S73" s="3">
        <v>0</v>
      </c>
      <c r="T73" s="3">
        <v>102.3</v>
      </c>
      <c r="U73" s="3">
        <v>2339</v>
      </c>
      <c r="V73" s="3">
        <v>-1.9850000000000001</v>
      </c>
      <c r="W73" s="3">
        <v>-1.774</v>
      </c>
      <c r="X73" s="3">
        <v>-0.66100000000000003</v>
      </c>
      <c r="Y73" s="3">
        <v>-6.1989999999999998</v>
      </c>
      <c r="Z73" s="3">
        <v>-2.5209999999999999</v>
      </c>
      <c r="AA73" s="3">
        <v>-0.10299999999999999</v>
      </c>
      <c r="AB73" s="3">
        <v>0.50800000000000001</v>
      </c>
      <c r="AC73" s="3">
        <v>1.093</v>
      </c>
      <c r="AD73" s="16">
        <v>4.0475000000000003</v>
      </c>
      <c r="AE73" s="3">
        <v>800</v>
      </c>
      <c r="AF73" s="3">
        <v>-8.7100000000000009</v>
      </c>
      <c r="AG73" s="3">
        <v>101</v>
      </c>
      <c r="AH73" s="3">
        <v>72.2</v>
      </c>
      <c r="AI73" s="3">
        <v>750</v>
      </c>
      <c r="AJ73" s="3">
        <v>-10.01</v>
      </c>
      <c r="AK73" s="3">
        <v>-12.96</v>
      </c>
      <c r="AL73" s="3">
        <v>-0.73599999999999999</v>
      </c>
      <c r="AM73" s="3">
        <v>-8.59</v>
      </c>
      <c r="AN73" s="3">
        <v>-10.7</v>
      </c>
      <c r="AO73" s="3">
        <v>-0.191</v>
      </c>
      <c r="AP73" s="3">
        <v>0.42899999999999999</v>
      </c>
      <c r="AQ73" s="3">
        <v>1.026</v>
      </c>
      <c r="AR73" s="3">
        <v>6.5000000000000002E-2</v>
      </c>
      <c r="AS73" s="3">
        <v>0.14399999999999999</v>
      </c>
      <c r="AT73" s="3">
        <v>6.5000000000000002E-2</v>
      </c>
      <c r="AU73" s="3">
        <v>6.9000000000000006E-2</v>
      </c>
      <c r="AV73" s="3">
        <v>0.09</v>
      </c>
      <c r="AW73" s="3">
        <v>0.27200000000000002</v>
      </c>
      <c r="AX73" s="3">
        <v>0.216</v>
      </c>
      <c r="AY73" s="3">
        <v>7.8E-2</v>
      </c>
      <c r="AZ73" s="3">
        <v>-7.34</v>
      </c>
      <c r="BA73" s="3">
        <v>2329</v>
      </c>
      <c r="BB73" s="3">
        <v>12.14</v>
      </c>
      <c r="BC73" s="3">
        <v>2876</v>
      </c>
      <c r="BD73" s="3"/>
      <c r="BE73" s="3"/>
      <c r="BF73" s="3">
        <f t="shared" si="76"/>
        <v>1156</v>
      </c>
      <c r="BH73" s="16">
        <v>14.7</v>
      </c>
      <c r="BI73" s="16">
        <f t="shared" si="69"/>
        <v>29.693999999999999</v>
      </c>
      <c r="BJ73" s="17">
        <f t="shared" si="70"/>
        <v>3.04</v>
      </c>
      <c r="BK73" s="17">
        <f t="shared" si="71"/>
        <v>7.04</v>
      </c>
      <c r="BM73" s="1">
        <f t="shared" si="72"/>
        <v>95.5</v>
      </c>
      <c r="BN73" s="1">
        <f t="shared" si="73"/>
        <v>86.9</v>
      </c>
      <c r="BO73" s="1">
        <f t="shared" si="74"/>
        <v>67.7</v>
      </c>
      <c r="BP73" s="62">
        <f t="shared" si="77"/>
        <v>0.35699999999999998</v>
      </c>
      <c r="BQ73" s="62">
        <f t="shared" si="75"/>
        <v>0.17</v>
      </c>
      <c r="BS73" s="39"/>
      <c r="BT73" s="8"/>
      <c r="BV73" s="8"/>
      <c r="BW73" s="16">
        <f t="shared" si="36"/>
        <v>3.04</v>
      </c>
      <c r="BX73" s="16">
        <f t="shared" si="37"/>
        <v>7.04</v>
      </c>
      <c r="BY73" s="3">
        <f t="shared" si="38"/>
        <v>-4.7</v>
      </c>
      <c r="BZ73" s="3">
        <f t="shared" si="39"/>
        <v>-5.2</v>
      </c>
      <c r="CA73" s="3">
        <f t="shared" si="40"/>
        <v>-5.5</v>
      </c>
      <c r="CB73" s="3">
        <f t="shared" si="41"/>
        <v>-0.7</v>
      </c>
      <c r="CC73" s="3">
        <f t="shared" si="42"/>
        <v>-0.2</v>
      </c>
      <c r="CD73" s="3">
        <f t="shared" si="43"/>
        <v>0.5</v>
      </c>
      <c r="CE73" s="3">
        <f t="shared" si="44"/>
        <v>1.1000000000000001</v>
      </c>
      <c r="CF73" s="23">
        <f t="shared" si="45"/>
        <v>86.9</v>
      </c>
      <c r="CG73" s="1">
        <f t="shared" si="46"/>
        <v>-2</v>
      </c>
      <c r="CH73" s="1">
        <f t="shared" si="47"/>
        <v>-2</v>
      </c>
      <c r="CI73" s="1">
        <f t="shared" si="48"/>
        <v>-1.8</v>
      </c>
      <c r="CJ73" s="1">
        <f t="shared" si="49"/>
        <v>-0.7</v>
      </c>
      <c r="CK73" s="1">
        <f t="shared" si="50"/>
        <v>-0.1</v>
      </c>
      <c r="CL73" s="1">
        <f t="shared" si="51"/>
        <v>0.5</v>
      </c>
      <c r="CM73" s="1">
        <f t="shared" si="52"/>
        <v>1.1000000000000001</v>
      </c>
      <c r="CN73" s="2">
        <f t="shared" si="53"/>
        <v>95.5</v>
      </c>
      <c r="CO73" s="1">
        <f t="shared" si="54"/>
        <v>-8.6999999999999993</v>
      </c>
      <c r="CP73" s="1">
        <f t="shared" si="55"/>
        <v>-10</v>
      </c>
      <c r="CQ73" s="1">
        <f t="shared" si="56"/>
        <v>-13</v>
      </c>
      <c r="CR73" s="1">
        <f t="shared" si="57"/>
        <v>-0.7</v>
      </c>
      <c r="CS73" s="1">
        <f t="shared" si="58"/>
        <v>-0.2</v>
      </c>
      <c r="CT73" s="1">
        <f t="shared" si="59"/>
        <v>0.4</v>
      </c>
      <c r="CU73" s="1">
        <f t="shared" si="60"/>
        <v>1</v>
      </c>
      <c r="CV73" s="2">
        <f t="shared" si="61"/>
        <v>67.7</v>
      </c>
      <c r="CW73" s="18">
        <f t="shared" si="62"/>
        <v>1156</v>
      </c>
      <c r="CX73" s="1">
        <f>ROUND(PPTest!K73,1)</f>
        <v>10.1</v>
      </c>
      <c r="CY73" s="17">
        <f t="shared" si="63"/>
        <v>1.41</v>
      </c>
      <c r="CZ73" s="17">
        <f t="shared" si="64"/>
        <v>4.05</v>
      </c>
      <c r="DA73" s="20">
        <f t="shared" si="65"/>
        <v>0.35699999999999998</v>
      </c>
      <c r="DB73" s="20">
        <f t="shared" si="66"/>
        <v>0.17</v>
      </c>
      <c r="DC73" s="16">
        <f t="shared" si="67"/>
        <v>12.14</v>
      </c>
      <c r="DW73" s="1">
        <v>-4.7</v>
      </c>
      <c r="DX73" s="1">
        <v>-2.2999999999999998</v>
      </c>
      <c r="DY73" s="1">
        <v>-7.3</v>
      </c>
    </row>
    <row r="74" spans="1:129" x14ac:dyDescent="0.2">
      <c r="A74" s="40">
        <v>34767</v>
      </c>
      <c r="B74" s="3">
        <v>68</v>
      </c>
      <c r="C74" s="3">
        <v>3.468</v>
      </c>
      <c r="D74" s="3">
        <v>7.39</v>
      </c>
      <c r="E74" s="3">
        <v>1.2090000000000001</v>
      </c>
      <c r="F74" s="3">
        <v>96.6</v>
      </c>
      <c r="G74" s="3">
        <v>0.86799999999999999</v>
      </c>
      <c r="H74" s="3">
        <v>0.433</v>
      </c>
      <c r="I74" s="3">
        <v>-0.65900000000000003</v>
      </c>
      <c r="J74" s="3">
        <v>-4.4189999999999996</v>
      </c>
      <c r="K74" s="3">
        <v>0.108</v>
      </c>
      <c r="L74" s="3">
        <v>-0.16900000000000001</v>
      </c>
      <c r="M74" s="3">
        <v>0.45500000000000002</v>
      </c>
      <c r="N74" s="3">
        <v>1.0680000000000001</v>
      </c>
      <c r="O74" s="3">
        <v>0</v>
      </c>
      <c r="P74" s="16">
        <v>2.0425</v>
      </c>
      <c r="Q74" s="3"/>
      <c r="R74" s="3">
        <v>4.05</v>
      </c>
      <c r="S74" s="3">
        <v>2145</v>
      </c>
      <c r="T74" s="3">
        <v>104.2</v>
      </c>
      <c r="U74" s="3">
        <v>516</v>
      </c>
      <c r="V74" s="3">
        <v>3.5659999999999998</v>
      </c>
      <c r="W74" s="3">
        <v>3.718</v>
      </c>
      <c r="X74" s="3">
        <v>-0.53</v>
      </c>
      <c r="Y74" s="3">
        <v>-1.6859999999999999</v>
      </c>
      <c r="Z74" s="3">
        <v>2.6059999999999999</v>
      </c>
      <c r="AA74" s="3">
        <v>-0.11899999999999999</v>
      </c>
      <c r="AB74" s="3">
        <v>0.495</v>
      </c>
      <c r="AC74" s="3">
        <v>1.117</v>
      </c>
      <c r="AD74" s="16">
        <v>8.6074999999999999</v>
      </c>
      <c r="AE74" s="3">
        <v>2124</v>
      </c>
      <c r="AF74" s="3">
        <v>-1.9570000000000001</v>
      </c>
      <c r="AG74" s="3">
        <v>1</v>
      </c>
      <c r="AH74" s="3">
        <v>75.2</v>
      </c>
      <c r="AI74" s="3">
        <v>2356</v>
      </c>
      <c r="AJ74" s="3">
        <v>-2.52</v>
      </c>
      <c r="AK74" s="3">
        <v>-2.6930000000000001</v>
      </c>
      <c r="AL74" s="3">
        <v>-0.73599999999999999</v>
      </c>
      <c r="AM74" s="3">
        <v>-6.2009999999999996</v>
      </c>
      <c r="AN74" s="3">
        <v>-2.911</v>
      </c>
      <c r="AO74" s="3">
        <v>-0.223</v>
      </c>
      <c r="AP74" s="3">
        <v>0.41</v>
      </c>
      <c r="AQ74" s="3">
        <v>1.0209999999999999</v>
      </c>
      <c r="AR74" s="3">
        <v>0.152</v>
      </c>
      <c r="AS74" s="3">
        <v>0.161</v>
      </c>
      <c r="AT74" s="3">
        <v>9.1999999999999998E-2</v>
      </c>
      <c r="AU74" s="3">
        <v>9.1999999999999998E-2</v>
      </c>
      <c r="AV74" s="3">
        <v>0.126</v>
      </c>
      <c r="AW74" s="3">
        <v>0.158</v>
      </c>
      <c r="AX74" s="3">
        <v>9.6000000000000002E-2</v>
      </c>
      <c r="AY74" s="3">
        <v>0.124</v>
      </c>
      <c r="AZ74" s="3">
        <v>-2.5339999999999998</v>
      </c>
      <c r="BA74" s="3">
        <v>2339</v>
      </c>
      <c r="BB74" s="3">
        <v>12.15</v>
      </c>
      <c r="BC74" s="3">
        <v>2876</v>
      </c>
      <c r="BD74" s="3"/>
      <c r="BE74" s="3"/>
      <c r="BF74" s="3">
        <f t="shared" si="76"/>
        <v>1146</v>
      </c>
      <c r="BH74" s="16">
        <v>14.96</v>
      </c>
      <c r="BI74" s="16">
        <f t="shared" si="69"/>
        <v>30.219200000000001</v>
      </c>
      <c r="BJ74" s="17">
        <f t="shared" si="70"/>
        <v>3.47</v>
      </c>
      <c r="BK74" s="17">
        <f t="shared" si="71"/>
        <v>7.98</v>
      </c>
      <c r="BM74" s="1">
        <f t="shared" si="72"/>
        <v>97.3</v>
      </c>
      <c r="BN74" s="1">
        <f t="shared" si="73"/>
        <v>90.3</v>
      </c>
      <c r="BO74" s="1">
        <f t="shared" si="74"/>
        <v>70.5</v>
      </c>
      <c r="BP74" s="62">
        <f t="shared" si="77"/>
        <v>0.57499999999999996</v>
      </c>
      <c r="BQ74" s="62">
        <f t="shared" si="75"/>
        <v>0.24099999999999999</v>
      </c>
      <c r="BS74" s="39"/>
      <c r="BT74" s="8"/>
      <c r="BV74" s="8"/>
      <c r="BW74" s="16">
        <f t="shared" si="36"/>
        <v>3.47</v>
      </c>
      <c r="BX74" s="16">
        <f t="shared" si="37"/>
        <v>7.98</v>
      </c>
      <c r="BY74" s="3">
        <f t="shared" si="38"/>
        <v>1.2</v>
      </c>
      <c r="BZ74" s="3">
        <f t="shared" si="39"/>
        <v>0.9</v>
      </c>
      <c r="CA74" s="3">
        <f t="shared" si="40"/>
        <v>0.4</v>
      </c>
      <c r="CB74" s="3">
        <f t="shared" si="41"/>
        <v>-0.7</v>
      </c>
      <c r="CC74" s="3">
        <f t="shared" si="42"/>
        <v>-0.2</v>
      </c>
      <c r="CD74" s="3">
        <f t="shared" si="43"/>
        <v>0.5</v>
      </c>
      <c r="CE74" s="3">
        <f t="shared" si="44"/>
        <v>1.1000000000000001</v>
      </c>
      <c r="CF74" s="23">
        <f t="shared" si="45"/>
        <v>90.3</v>
      </c>
      <c r="CG74" s="1">
        <f t="shared" si="46"/>
        <v>4.0999999999999996</v>
      </c>
      <c r="CH74" s="1">
        <f t="shared" si="47"/>
        <v>3.6</v>
      </c>
      <c r="CI74" s="1">
        <f t="shared" si="48"/>
        <v>3.7</v>
      </c>
      <c r="CJ74" s="1">
        <f t="shared" si="49"/>
        <v>-0.5</v>
      </c>
      <c r="CK74" s="1">
        <f t="shared" si="50"/>
        <v>-0.1</v>
      </c>
      <c r="CL74" s="1">
        <f t="shared" si="51"/>
        <v>0.5</v>
      </c>
      <c r="CM74" s="1">
        <f t="shared" si="52"/>
        <v>1.1000000000000001</v>
      </c>
      <c r="CN74" s="2">
        <f t="shared" si="53"/>
        <v>97.3</v>
      </c>
      <c r="CO74" s="1">
        <f t="shared" si="54"/>
        <v>-2</v>
      </c>
      <c r="CP74" s="1">
        <f t="shared" si="55"/>
        <v>-2.5</v>
      </c>
      <c r="CQ74" s="1">
        <f t="shared" si="56"/>
        <v>-2.7</v>
      </c>
      <c r="CR74" s="1">
        <f t="shared" si="57"/>
        <v>-0.7</v>
      </c>
      <c r="CS74" s="1">
        <f t="shared" si="58"/>
        <v>-0.2</v>
      </c>
      <c r="CT74" s="1">
        <f t="shared" si="59"/>
        <v>0.4</v>
      </c>
      <c r="CU74" s="1">
        <f t="shared" si="60"/>
        <v>1</v>
      </c>
      <c r="CV74" s="2">
        <f t="shared" si="61"/>
        <v>70.5</v>
      </c>
      <c r="CW74" s="18">
        <f t="shared" si="62"/>
        <v>1146</v>
      </c>
      <c r="CX74" s="1">
        <f>ROUND(PPTest!K74,1)</f>
        <v>0</v>
      </c>
      <c r="CY74" s="17">
        <f t="shared" si="63"/>
        <v>2.04</v>
      </c>
      <c r="CZ74" s="17">
        <f t="shared" si="64"/>
        <v>8.61</v>
      </c>
      <c r="DA74" s="20">
        <f t="shared" si="65"/>
        <v>0.57499999999999996</v>
      </c>
      <c r="DB74" s="20">
        <f t="shared" si="66"/>
        <v>0.24099999999999999</v>
      </c>
      <c r="DC74" s="16">
        <f t="shared" si="67"/>
        <v>12.15</v>
      </c>
      <c r="DW74" s="1">
        <v>1.1000000000000001</v>
      </c>
      <c r="DX74" s="1">
        <v>3.8</v>
      </c>
      <c r="DY74" s="1">
        <v>-2.6</v>
      </c>
    </row>
    <row r="75" spans="1:129" x14ac:dyDescent="0.2">
      <c r="A75" s="40">
        <v>34768</v>
      </c>
      <c r="B75" s="3">
        <v>69</v>
      </c>
      <c r="C75" s="3">
        <v>7.57</v>
      </c>
      <c r="D75" s="3">
        <v>15.05</v>
      </c>
      <c r="E75" s="3">
        <v>2.2909999999999999</v>
      </c>
      <c r="F75" s="3">
        <v>85.9</v>
      </c>
      <c r="G75" s="3">
        <v>1.7949999999999999</v>
      </c>
      <c r="H75" s="3">
        <v>1.304</v>
      </c>
      <c r="I75" s="3">
        <v>-0.46200000000000002</v>
      </c>
      <c r="J75" s="3">
        <v>-1.2290000000000001</v>
      </c>
      <c r="K75" s="3">
        <v>1.681</v>
      </c>
      <c r="L75" s="3">
        <v>-0.14699999999999999</v>
      </c>
      <c r="M75" s="3">
        <v>0.47199999999999998</v>
      </c>
      <c r="N75" s="3">
        <v>1.1000000000000001</v>
      </c>
      <c r="O75" s="3">
        <v>0</v>
      </c>
      <c r="P75" s="16">
        <v>2.3075000000000001</v>
      </c>
      <c r="Q75" s="3"/>
      <c r="R75" s="3">
        <v>4.827</v>
      </c>
      <c r="S75" s="3">
        <v>1149</v>
      </c>
      <c r="T75" s="3">
        <v>100.6</v>
      </c>
      <c r="U75" s="3">
        <v>1740</v>
      </c>
      <c r="V75" s="3">
        <v>6.0209999999999999</v>
      </c>
      <c r="W75" s="3">
        <v>4.9850000000000003</v>
      </c>
      <c r="X75" s="3">
        <v>-0.38300000000000001</v>
      </c>
      <c r="Y75" s="3">
        <v>-0.19800000000000001</v>
      </c>
      <c r="Z75" s="3">
        <v>7.73</v>
      </c>
      <c r="AA75" s="3">
        <v>-0.11799999999999999</v>
      </c>
      <c r="AB75" s="3">
        <v>0.504</v>
      </c>
      <c r="AC75" s="3">
        <v>1.125</v>
      </c>
      <c r="AD75" s="16">
        <v>7.9275000000000002</v>
      </c>
      <c r="AE75" s="3">
        <v>50</v>
      </c>
      <c r="AF75" s="3">
        <v>0.60499999999999998</v>
      </c>
      <c r="AG75" s="3">
        <v>544</v>
      </c>
      <c r="AH75" s="3">
        <v>68.72</v>
      </c>
      <c r="AI75" s="3">
        <v>1146</v>
      </c>
      <c r="AJ75" s="3">
        <v>-1.3160000000000001</v>
      </c>
      <c r="AK75" s="3">
        <v>-3.226</v>
      </c>
      <c r="AL75" s="3">
        <v>-0.55500000000000005</v>
      </c>
      <c r="AM75" s="3">
        <v>-2.2989999999999999</v>
      </c>
      <c r="AN75" s="3">
        <v>-1.4139999999999999</v>
      </c>
      <c r="AO75" s="3">
        <v>-0.16400000000000001</v>
      </c>
      <c r="AP75" s="3">
        <v>0.45500000000000002</v>
      </c>
      <c r="AQ75" s="3">
        <v>1.0840000000000001</v>
      </c>
      <c r="AR75" s="3">
        <v>0.14899999999999999</v>
      </c>
      <c r="AS75" s="3">
        <v>0.21099999999999999</v>
      </c>
      <c r="AT75" s="3">
        <v>0.115</v>
      </c>
      <c r="AU75" s="3">
        <v>8.3000000000000004E-2</v>
      </c>
      <c r="AV75" s="3">
        <v>0.17100000000000001</v>
      </c>
      <c r="AW75" s="3">
        <v>0.16900000000000001</v>
      </c>
      <c r="AX75" s="3">
        <v>0.05</v>
      </c>
      <c r="AY75" s="3">
        <v>5.1999999999999998E-2</v>
      </c>
      <c r="AZ75" s="3">
        <v>-0.14399999999999999</v>
      </c>
      <c r="BA75" s="3">
        <v>2365</v>
      </c>
      <c r="BB75" s="3">
        <v>12.15</v>
      </c>
      <c r="BC75" s="3">
        <v>2876</v>
      </c>
      <c r="BD75" s="3"/>
      <c r="BE75" s="3"/>
      <c r="BF75" s="3">
        <f t="shared" si="76"/>
        <v>1120</v>
      </c>
      <c r="BH75" s="16">
        <v>15.22</v>
      </c>
      <c r="BI75" s="16">
        <f t="shared" si="69"/>
        <v>30.744400000000002</v>
      </c>
      <c r="BJ75" s="17">
        <f t="shared" si="70"/>
        <v>7.57</v>
      </c>
      <c r="BK75" s="17">
        <f t="shared" si="71"/>
        <v>16.25</v>
      </c>
      <c r="BM75" s="1">
        <f t="shared" si="72"/>
        <v>94</v>
      </c>
      <c r="BN75" s="1">
        <f t="shared" si="73"/>
        <v>80.400000000000006</v>
      </c>
      <c r="BO75" s="1">
        <f t="shared" si="74"/>
        <v>64.5</v>
      </c>
      <c r="BP75" s="62">
        <f t="shared" si="77"/>
        <v>0.55600000000000005</v>
      </c>
      <c r="BQ75" s="62">
        <f t="shared" si="75"/>
        <v>0.30599999999999999</v>
      </c>
      <c r="BS75" s="3">
        <v>2.1</v>
      </c>
      <c r="BT75" s="8"/>
      <c r="BV75" s="8"/>
      <c r="BW75" s="16">
        <f t="shared" si="36"/>
        <v>7.57</v>
      </c>
      <c r="BX75" s="16">
        <f t="shared" si="37"/>
        <v>16.25</v>
      </c>
      <c r="BY75" s="3">
        <f t="shared" si="38"/>
        <v>2.2999999999999998</v>
      </c>
      <c r="BZ75" s="3">
        <f t="shared" si="39"/>
        <v>1.8</v>
      </c>
      <c r="CA75" s="3">
        <f t="shared" si="40"/>
        <v>1.3</v>
      </c>
      <c r="CB75" s="3">
        <f t="shared" si="41"/>
        <v>-0.5</v>
      </c>
      <c r="CC75" s="3">
        <f t="shared" si="42"/>
        <v>-0.1</v>
      </c>
      <c r="CD75" s="3">
        <f t="shared" si="43"/>
        <v>0.5</v>
      </c>
      <c r="CE75" s="3">
        <f t="shared" si="44"/>
        <v>1.1000000000000001</v>
      </c>
      <c r="CF75" s="23">
        <f t="shared" si="45"/>
        <v>80.400000000000006</v>
      </c>
      <c r="CG75" s="1">
        <f t="shared" si="46"/>
        <v>4.8</v>
      </c>
      <c r="CH75" s="1">
        <f t="shared" si="47"/>
        <v>6</v>
      </c>
      <c r="CI75" s="1">
        <f t="shared" si="48"/>
        <v>5</v>
      </c>
      <c r="CJ75" s="1">
        <f t="shared" si="49"/>
        <v>-0.4</v>
      </c>
      <c r="CK75" s="1">
        <f t="shared" si="50"/>
        <v>-0.1</v>
      </c>
      <c r="CL75" s="1">
        <f t="shared" si="51"/>
        <v>0.5</v>
      </c>
      <c r="CM75" s="1">
        <f t="shared" si="52"/>
        <v>1.1000000000000001</v>
      </c>
      <c r="CN75" s="2">
        <f t="shared" si="53"/>
        <v>94</v>
      </c>
      <c r="CO75" s="1">
        <f t="shared" si="54"/>
        <v>0.6</v>
      </c>
      <c r="CP75" s="1">
        <f t="shared" si="55"/>
        <v>-1.3</v>
      </c>
      <c r="CQ75" s="1">
        <f t="shared" si="56"/>
        <v>-3.2</v>
      </c>
      <c r="CR75" s="1">
        <f t="shared" si="57"/>
        <v>-0.6</v>
      </c>
      <c r="CS75" s="1">
        <f t="shared" si="58"/>
        <v>-0.2</v>
      </c>
      <c r="CT75" s="1">
        <f t="shared" si="59"/>
        <v>0.5</v>
      </c>
      <c r="CU75" s="1">
        <f t="shared" si="60"/>
        <v>1.1000000000000001</v>
      </c>
      <c r="CV75" s="2">
        <f t="shared" si="61"/>
        <v>64.5</v>
      </c>
      <c r="CW75" s="18">
        <f t="shared" si="62"/>
        <v>1120</v>
      </c>
      <c r="CX75" s="1">
        <f>ROUND(PPTest!K75,1)</f>
        <v>0</v>
      </c>
      <c r="CY75" s="17">
        <f t="shared" si="63"/>
        <v>2.31</v>
      </c>
      <c r="CZ75" s="17">
        <f t="shared" si="64"/>
        <v>7.93</v>
      </c>
      <c r="DA75" s="20">
        <f t="shared" si="65"/>
        <v>0.55600000000000005</v>
      </c>
      <c r="DB75" s="20">
        <f t="shared" si="66"/>
        <v>0.30599999999999999</v>
      </c>
      <c r="DC75" s="16">
        <f t="shared" si="67"/>
        <v>12.15</v>
      </c>
      <c r="DW75" s="1">
        <v>1.4</v>
      </c>
      <c r="DX75" s="1">
        <v>3.5</v>
      </c>
      <c r="DY75" s="1">
        <v>-1.8</v>
      </c>
    </row>
    <row r="76" spans="1:129" x14ac:dyDescent="0.2">
      <c r="A76" s="40">
        <v>34769</v>
      </c>
      <c r="B76" s="3">
        <v>70</v>
      </c>
      <c r="C76" s="3">
        <v>9</v>
      </c>
      <c r="D76" s="3">
        <v>17.579999999999998</v>
      </c>
      <c r="E76" s="3">
        <v>1.9510000000000001</v>
      </c>
      <c r="F76" s="3">
        <v>92.7</v>
      </c>
      <c r="G76" s="3">
        <v>1.5940000000000001</v>
      </c>
      <c r="H76" s="3">
        <v>1.194</v>
      </c>
      <c r="I76" s="3">
        <v>-0.33600000000000002</v>
      </c>
      <c r="J76" s="3">
        <v>-0.19700000000000001</v>
      </c>
      <c r="K76" s="3">
        <v>1.7869999999999999</v>
      </c>
      <c r="L76" s="3">
        <v>-0.14599999999999999</v>
      </c>
      <c r="M76" s="3">
        <v>0.46100000000000002</v>
      </c>
      <c r="N76" s="3">
        <v>1.087</v>
      </c>
      <c r="O76" s="3">
        <v>0</v>
      </c>
      <c r="P76" s="16">
        <v>1.8591666666666669</v>
      </c>
      <c r="Q76" s="3"/>
      <c r="R76" s="3">
        <v>5.4279999999999999</v>
      </c>
      <c r="S76" s="3">
        <v>1244</v>
      </c>
      <c r="T76" s="3">
        <v>105.9</v>
      </c>
      <c r="U76" s="3">
        <v>2129</v>
      </c>
      <c r="V76" s="3">
        <v>7.79</v>
      </c>
      <c r="W76" s="3">
        <v>6.8410000000000002</v>
      </c>
      <c r="X76" s="3">
        <v>-0.28599999999999998</v>
      </c>
      <c r="Y76" s="3">
        <v>-0.11</v>
      </c>
      <c r="Z76" s="3">
        <v>10.08</v>
      </c>
      <c r="AA76" s="3">
        <v>-0.121</v>
      </c>
      <c r="AB76" s="3">
        <v>0.48899999999999999</v>
      </c>
      <c r="AC76" s="3">
        <v>1.1100000000000001</v>
      </c>
      <c r="AD76" s="16">
        <v>6.4474999999999998</v>
      </c>
      <c r="AE76" s="3">
        <v>2308</v>
      </c>
      <c r="AF76" s="3">
        <v>8.6999999999999994E-2</v>
      </c>
      <c r="AG76" s="3">
        <v>2117</v>
      </c>
      <c r="AH76" s="3">
        <v>61.2</v>
      </c>
      <c r="AI76" s="3">
        <v>1254</v>
      </c>
      <c r="AJ76" s="3">
        <v>-0.47099999999999997</v>
      </c>
      <c r="AK76" s="3">
        <v>-0.54</v>
      </c>
      <c r="AL76" s="3">
        <v>-0.40500000000000003</v>
      </c>
      <c r="AM76" s="3">
        <v>-0.23100000000000001</v>
      </c>
      <c r="AN76" s="3">
        <v>-0.24</v>
      </c>
      <c r="AO76" s="3">
        <v>-0.16400000000000001</v>
      </c>
      <c r="AP76" s="3">
        <v>0.437</v>
      </c>
      <c r="AQ76" s="3">
        <v>1.06</v>
      </c>
      <c r="AR76" s="3">
        <v>5.3999999999999999E-2</v>
      </c>
      <c r="AS76" s="3">
        <v>1.7999999999999999E-2</v>
      </c>
      <c r="AT76" s="3">
        <v>2.3E-2</v>
      </c>
      <c r="AU76" s="3">
        <v>0.06</v>
      </c>
      <c r="AV76" s="3">
        <v>0.27800000000000002</v>
      </c>
      <c r="AW76" s="3">
        <v>0.41799999999999998</v>
      </c>
      <c r="AX76" s="3">
        <v>0.107</v>
      </c>
      <c r="AY76" s="3">
        <v>4.2000000000000003E-2</v>
      </c>
      <c r="AZ76" s="3">
        <v>8.0000000000000002E-3</v>
      </c>
      <c r="BA76" s="3">
        <v>2353</v>
      </c>
      <c r="BB76" s="3">
        <v>12.15</v>
      </c>
      <c r="BC76" s="3">
        <v>2876</v>
      </c>
      <c r="BD76" s="3"/>
      <c r="BE76" s="3"/>
      <c r="BF76" s="3">
        <f t="shared" si="76"/>
        <v>1132</v>
      </c>
      <c r="BH76" s="16">
        <v>15.48</v>
      </c>
      <c r="BI76" s="16">
        <f t="shared" si="69"/>
        <v>31.269600000000001</v>
      </c>
      <c r="BJ76" s="17">
        <f t="shared" si="70"/>
        <v>9</v>
      </c>
      <c r="BK76" s="17">
        <f t="shared" si="71"/>
        <v>18.989999999999998</v>
      </c>
      <c r="BM76" s="1">
        <f t="shared" si="72"/>
        <v>98.9</v>
      </c>
      <c r="BN76" s="1">
        <f t="shared" si="73"/>
        <v>86.7</v>
      </c>
      <c r="BO76" s="1">
        <f t="shared" si="74"/>
        <v>57.5</v>
      </c>
      <c r="BP76" s="62">
        <f t="shared" si="77"/>
        <v>0.51700000000000002</v>
      </c>
      <c r="BQ76" s="62">
        <f t="shared" si="75"/>
        <v>0.38200000000000001</v>
      </c>
      <c r="BS76" s="3">
        <v>22.9</v>
      </c>
      <c r="BT76" s="8"/>
      <c r="BV76" s="8"/>
      <c r="BW76" s="16">
        <f t="shared" si="36"/>
        <v>9</v>
      </c>
      <c r="BX76" s="16">
        <f t="shared" si="37"/>
        <v>18.989999999999998</v>
      </c>
      <c r="BY76" s="3">
        <f t="shared" si="38"/>
        <v>2</v>
      </c>
      <c r="BZ76" s="3">
        <f t="shared" si="39"/>
        <v>1.6</v>
      </c>
      <c r="CA76" s="3">
        <f t="shared" si="40"/>
        <v>1.2</v>
      </c>
      <c r="CB76" s="3">
        <f t="shared" si="41"/>
        <v>-0.3</v>
      </c>
      <c r="CC76" s="3">
        <f t="shared" si="42"/>
        <v>-0.1</v>
      </c>
      <c r="CD76" s="3">
        <f t="shared" si="43"/>
        <v>0.5</v>
      </c>
      <c r="CE76" s="3">
        <f t="shared" si="44"/>
        <v>1.1000000000000001</v>
      </c>
      <c r="CF76" s="23">
        <f t="shared" si="45"/>
        <v>86.7</v>
      </c>
      <c r="CG76" s="1">
        <f t="shared" si="46"/>
        <v>5.4</v>
      </c>
      <c r="CH76" s="1">
        <f t="shared" si="47"/>
        <v>7.8</v>
      </c>
      <c r="CI76" s="1">
        <f t="shared" si="48"/>
        <v>6.8</v>
      </c>
      <c r="CJ76" s="1">
        <f t="shared" si="49"/>
        <v>-0.3</v>
      </c>
      <c r="CK76" s="1">
        <f t="shared" si="50"/>
        <v>-0.1</v>
      </c>
      <c r="CL76" s="1">
        <f t="shared" si="51"/>
        <v>0.5</v>
      </c>
      <c r="CM76" s="1">
        <f t="shared" si="52"/>
        <v>1.1000000000000001</v>
      </c>
      <c r="CN76" s="2">
        <f t="shared" si="53"/>
        <v>98.9</v>
      </c>
      <c r="CO76" s="1">
        <f t="shared" si="54"/>
        <v>0.1</v>
      </c>
      <c r="CP76" s="1">
        <f t="shared" si="55"/>
        <v>-0.5</v>
      </c>
      <c r="CQ76" s="1">
        <f t="shared" si="56"/>
        <v>-0.5</v>
      </c>
      <c r="CR76" s="1">
        <f t="shared" si="57"/>
        <v>-0.4</v>
      </c>
      <c r="CS76" s="1">
        <f t="shared" si="58"/>
        <v>-0.2</v>
      </c>
      <c r="CT76" s="1">
        <f t="shared" si="59"/>
        <v>0.4</v>
      </c>
      <c r="CU76" s="1">
        <f t="shared" si="60"/>
        <v>1.1000000000000001</v>
      </c>
      <c r="CV76" s="2">
        <f t="shared" si="61"/>
        <v>57.5</v>
      </c>
      <c r="CW76" s="18">
        <f t="shared" si="62"/>
        <v>1132</v>
      </c>
      <c r="CX76" s="1">
        <f>ROUND(PPTest!K76,1)</f>
        <v>1.6</v>
      </c>
      <c r="CY76" s="17">
        <f t="shared" si="63"/>
        <v>1.86</v>
      </c>
      <c r="CZ76" s="17">
        <f t="shared" si="64"/>
        <v>6.45</v>
      </c>
      <c r="DA76" s="20">
        <f t="shared" si="65"/>
        <v>0.51700000000000002</v>
      </c>
      <c r="DB76" s="20">
        <f t="shared" si="66"/>
        <v>0.38200000000000001</v>
      </c>
      <c r="DC76" s="16">
        <f t="shared" si="67"/>
        <v>12.15</v>
      </c>
      <c r="DF76" s="1">
        <v>2.8</v>
      </c>
      <c r="DG76" s="1">
        <v>5.5</v>
      </c>
      <c r="DH76" s="1">
        <v>0.8</v>
      </c>
      <c r="DI76" s="1">
        <v>90.5</v>
      </c>
      <c r="DJ76" s="1">
        <v>79</v>
      </c>
      <c r="DW76" s="1">
        <v>1.4</v>
      </c>
      <c r="DX76" s="1">
        <v>4.0999999999999996</v>
      </c>
      <c r="DY76" s="1">
        <v>-1.4</v>
      </c>
    </row>
    <row r="77" spans="1:129" x14ac:dyDescent="0.2">
      <c r="A77" s="40">
        <v>34770</v>
      </c>
      <c r="B77" s="3">
        <v>71</v>
      </c>
      <c r="C77" s="3">
        <v>6.8739999999999997</v>
      </c>
      <c r="D77" s="3">
        <v>14.1</v>
      </c>
      <c r="E77" s="3">
        <v>-1.024</v>
      </c>
      <c r="F77" s="3">
        <v>88.3</v>
      </c>
      <c r="G77" s="3">
        <v>-1.516</v>
      </c>
      <c r="H77" s="3">
        <v>-1.9970000000000001</v>
      </c>
      <c r="I77" s="3">
        <v>-0.27900000000000003</v>
      </c>
      <c r="J77" s="3">
        <v>-0.31900000000000001</v>
      </c>
      <c r="K77" s="3">
        <v>-1.337</v>
      </c>
      <c r="L77" s="3">
        <v>-0.13</v>
      </c>
      <c r="M77" s="3">
        <v>0.43099999999999999</v>
      </c>
      <c r="N77" s="3">
        <v>1.0369999999999999</v>
      </c>
      <c r="O77" s="3">
        <v>0</v>
      </c>
      <c r="P77" s="16">
        <v>1.7491666666666668</v>
      </c>
      <c r="Q77" s="3"/>
      <c r="R77" s="3">
        <v>1.9339999999999999</v>
      </c>
      <c r="S77" s="3">
        <v>16</v>
      </c>
      <c r="T77" s="3">
        <v>103.6</v>
      </c>
      <c r="U77" s="3">
        <v>710</v>
      </c>
      <c r="V77" s="3">
        <v>2.0670000000000002</v>
      </c>
      <c r="W77" s="3">
        <v>1.8140000000000001</v>
      </c>
      <c r="X77" s="3">
        <v>-0.247</v>
      </c>
      <c r="Y77" s="3">
        <v>-0.14499999999999999</v>
      </c>
      <c r="Z77" s="3">
        <v>4.1310000000000002</v>
      </c>
      <c r="AA77" s="3">
        <v>-8.7999999999999995E-2</v>
      </c>
      <c r="AB77" s="3">
        <v>0.46200000000000002</v>
      </c>
      <c r="AC77" s="3">
        <v>1.075</v>
      </c>
      <c r="AD77" s="16">
        <v>4.980833333333333</v>
      </c>
      <c r="AE77" s="3">
        <v>755</v>
      </c>
      <c r="AF77" s="3">
        <v>-9.17</v>
      </c>
      <c r="AG77" s="3">
        <v>0</v>
      </c>
      <c r="AH77" s="3">
        <v>55.98</v>
      </c>
      <c r="AI77" s="3">
        <v>1316</v>
      </c>
      <c r="AJ77" s="3">
        <v>-10.34</v>
      </c>
      <c r="AK77" s="3">
        <v>-11.78</v>
      </c>
      <c r="AL77" s="3">
        <v>-0.309</v>
      </c>
      <c r="AM77" s="3">
        <v>-1.671</v>
      </c>
      <c r="AN77" s="3">
        <v>-11.36</v>
      </c>
      <c r="AO77" s="3">
        <v>-0.158</v>
      </c>
      <c r="AP77" s="3">
        <v>0.376</v>
      </c>
      <c r="AQ77" s="3">
        <v>0.97499999999999998</v>
      </c>
      <c r="AR77" s="3">
        <v>6.0000000000000001E-3</v>
      </c>
      <c r="AS77" s="3">
        <v>0.11</v>
      </c>
      <c r="AT77" s="3">
        <v>9.8000000000000004E-2</v>
      </c>
      <c r="AU77" s="3">
        <v>5.8000000000000003E-2</v>
      </c>
      <c r="AV77" s="3">
        <v>0.215</v>
      </c>
      <c r="AW77" s="3">
        <v>0.43099999999999999</v>
      </c>
      <c r="AX77" s="3">
        <v>7.3999999999999996E-2</v>
      </c>
      <c r="AY77" s="3">
        <v>8.0000000000000002E-3</v>
      </c>
      <c r="AZ77" s="3">
        <v>-0.52500000000000002</v>
      </c>
      <c r="BA77" s="3">
        <v>2351</v>
      </c>
      <c r="BB77" s="3">
        <v>12.15</v>
      </c>
      <c r="BC77" s="3">
        <v>2876</v>
      </c>
      <c r="BD77" s="3"/>
      <c r="BE77" s="3"/>
      <c r="BF77" s="3">
        <f t="shared" si="76"/>
        <v>1134</v>
      </c>
      <c r="BH77" s="16">
        <v>15.73</v>
      </c>
      <c r="BI77" s="16">
        <f t="shared" si="69"/>
        <v>31.7746</v>
      </c>
      <c r="BJ77" s="17">
        <f t="shared" si="70"/>
        <v>6.87</v>
      </c>
      <c r="BK77" s="17">
        <f t="shared" si="71"/>
        <v>15.23</v>
      </c>
      <c r="BM77" s="1">
        <f t="shared" si="72"/>
        <v>96.7</v>
      </c>
      <c r="BN77" s="1">
        <f t="shared" si="73"/>
        <v>82.6</v>
      </c>
      <c r="BO77" s="1">
        <f t="shared" si="74"/>
        <v>52.7</v>
      </c>
      <c r="BP77" s="62">
        <f t="shared" si="77"/>
        <v>0.37</v>
      </c>
      <c r="BQ77" s="62">
        <f t="shared" si="75"/>
        <v>0.33200000000000002</v>
      </c>
      <c r="BS77" s="3">
        <v>1.1000000000000001</v>
      </c>
      <c r="BT77" s="8"/>
      <c r="BV77" s="8"/>
      <c r="BW77" s="16">
        <f t="shared" si="36"/>
        <v>6.87</v>
      </c>
      <c r="BX77" s="16">
        <f t="shared" si="37"/>
        <v>15.23</v>
      </c>
      <c r="BY77" s="3">
        <f t="shared" si="38"/>
        <v>-1</v>
      </c>
      <c r="BZ77" s="3">
        <f t="shared" si="39"/>
        <v>-1.5</v>
      </c>
      <c r="CA77" s="3">
        <f t="shared" si="40"/>
        <v>-2</v>
      </c>
      <c r="CB77" s="3">
        <f t="shared" si="41"/>
        <v>-0.3</v>
      </c>
      <c r="CC77" s="3">
        <f t="shared" si="42"/>
        <v>-0.1</v>
      </c>
      <c r="CD77" s="3">
        <f t="shared" si="43"/>
        <v>0.4</v>
      </c>
      <c r="CE77" s="3">
        <f t="shared" si="44"/>
        <v>1</v>
      </c>
      <c r="CF77" s="23">
        <f t="shared" si="45"/>
        <v>82.6</v>
      </c>
      <c r="CG77" s="1">
        <f t="shared" si="46"/>
        <v>1.9</v>
      </c>
      <c r="CH77" s="1">
        <f t="shared" si="47"/>
        <v>2.1</v>
      </c>
      <c r="CI77" s="1">
        <f t="shared" si="48"/>
        <v>1.8</v>
      </c>
      <c r="CJ77" s="1">
        <f t="shared" si="49"/>
        <v>-0.2</v>
      </c>
      <c r="CK77" s="1">
        <f t="shared" si="50"/>
        <v>-0.1</v>
      </c>
      <c r="CL77" s="1">
        <f t="shared" si="51"/>
        <v>0.5</v>
      </c>
      <c r="CM77" s="1">
        <f t="shared" si="52"/>
        <v>1.1000000000000001</v>
      </c>
      <c r="CN77" s="2">
        <f t="shared" si="53"/>
        <v>96.7</v>
      </c>
      <c r="CO77" s="1">
        <f t="shared" si="54"/>
        <v>-9.1999999999999993</v>
      </c>
      <c r="CP77" s="1">
        <f t="shared" si="55"/>
        <v>-10.3</v>
      </c>
      <c r="CQ77" s="1">
        <f t="shared" si="56"/>
        <v>-11.8</v>
      </c>
      <c r="CR77" s="1">
        <f t="shared" si="57"/>
        <v>-0.3</v>
      </c>
      <c r="CS77" s="1">
        <f t="shared" si="58"/>
        <v>-0.2</v>
      </c>
      <c r="CT77" s="1">
        <f t="shared" si="59"/>
        <v>0.4</v>
      </c>
      <c r="CU77" s="1">
        <f t="shared" si="60"/>
        <v>1</v>
      </c>
      <c r="CV77" s="2">
        <f t="shared" si="61"/>
        <v>52.7</v>
      </c>
      <c r="CW77" s="18">
        <f t="shared" si="62"/>
        <v>1134</v>
      </c>
      <c r="CX77" s="1">
        <f>ROUND(PPTest!K77,1)</f>
        <v>0.3</v>
      </c>
      <c r="CY77" s="17">
        <f t="shared" si="63"/>
        <v>1.75</v>
      </c>
      <c r="CZ77" s="17">
        <f t="shared" si="64"/>
        <v>4.9800000000000004</v>
      </c>
      <c r="DA77" s="20">
        <f t="shared" si="65"/>
        <v>0.37</v>
      </c>
      <c r="DB77" s="20">
        <f t="shared" si="66"/>
        <v>0.33200000000000002</v>
      </c>
      <c r="DC77" s="16">
        <f t="shared" si="67"/>
        <v>12.15</v>
      </c>
      <c r="DF77" s="1">
        <v>1.6</v>
      </c>
      <c r="DG77" s="1">
        <v>3.8</v>
      </c>
      <c r="DH77" s="1">
        <v>-1.3</v>
      </c>
      <c r="DI77" s="1">
        <v>84.5</v>
      </c>
      <c r="DJ77" s="1">
        <v>67</v>
      </c>
      <c r="DW77" s="1">
        <v>-2.2999999999999998</v>
      </c>
      <c r="DX77" s="1">
        <v>0.4</v>
      </c>
      <c r="DY77" s="1">
        <v>-6.3</v>
      </c>
    </row>
    <row r="78" spans="1:129" x14ac:dyDescent="0.2">
      <c r="A78" s="40">
        <v>34771</v>
      </c>
      <c r="B78" s="3">
        <v>72</v>
      </c>
      <c r="C78" s="3">
        <v>7.15</v>
      </c>
      <c r="D78" s="3">
        <v>14.22</v>
      </c>
      <c r="E78" s="3">
        <v>-2.4159999999999999</v>
      </c>
      <c r="F78" s="3">
        <v>86.8</v>
      </c>
      <c r="G78" s="3">
        <v>-3</v>
      </c>
      <c r="H78" s="3">
        <v>-3.532</v>
      </c>
      <c r="I78" s="3">
        <v>-0.28100000000000003</v>
      </c>
      <c r="J78" s="3">
        <v>-2.4950000000000001</v>
      </c>
      <c r="K78" s="3">
        <v>-3.18</v>
      </c>
      <c r="L78" s="3">
        <v>-0.156</v>
      </c>
      <c r="M78" s="3">
        <v>0.378</v>
      </c>
      <c r="N78" s="3">
        <v>0.95299999999999996</v>
      </c>
      <c r="O78" s="3">
        <v>0</v>
      </c>
      <c r="P78" s="16">
        <v>1.6791666666666667</v>
      </c>
      <c r="Q78" s="3"/>
      <c r="R78" s="3">
        <v>1.6339999999999999</v>
      </c>
      <c r="S78" s="3">
        <v>1427</v>
      </c>
      <c r="T78" s="3">
        <v>105</v>
      </c>
      <c r="U78" s="3">
        <v>102</v>
      </c>
      <c r="V78" s="3">
        <v>2.6379999999999999</v>
      </c>
      <c r="W78" s="3">
        <v>1.546</v>
      </c>
      <c r="X78" s="3">
        <v>-0.23100000000000001</v>
      </c>
      <c r="Y78" s="3">
        <v>-0.81299999999999994</v>
      </c>
      <c r="Z78" s="3">
        <v>4.5510000000000002</v>
      </c>
      <c r="AA78" s="3">
        <v>-0.11700000000000001</v>
      </c>
      <c r="AB78" s="3">
        <v>0.41399999999999998</v>
      </c>
      <c r="AC78" s="3">
        <v>0.999</v>
      </c>
      <c r="AD78" s="16">
        <v>4.9941666666666666</v>
      </c>
      <c r="AE78" s="3">
        <v>1503</v>
      </c>
      <c r="AF78" s="3">
        <v>-9.81</v>
      </c>
      <c r="AG78" s="3">
        <v>59</v>
      </c>
      <c r="AH78" s="3">
        <v>68.790000000000006</v>
      </c>
      <c r="AI78" s="3">
        <v>809</v>
      </c>
      <c r="AJ78" s="3">
        <v>-11.07</v>
      </c>
      <c r="AK78" s="3">
        <v>-13.08</v>
      </c>
      <c r="AL78" s="3">
        <v>-0.32900000000000001</v>
      </c>
      <c r="AM78" s="3">
        <v>-5.1859999999999999</v>
      </c>
      <c r="AN78" s="3">
        <v>-12.2</v>
      </c>
      <c r="AO78" s="3">
        <v>-0.20599999999999999</v>
      </c>
      <c r="AP78" s="3">
        <v>0.33600000000000002</v>
      </c>
      <c r="AQ78" s="3">
        <v>0.90200000000000002</v>
      </c>
      <c r="AR78" s="3">
        <v>8.5000000000000006E-2</v>
      </c>
      <c r="AS78" s="3">
        <v>0.27800000000000002</v>
      </c>
      <c r="AT78" s="3">
        <v>0.18099999999999999</v>
      </c>
      <c r="AU78" s="3">
        <v>7.8E-2</v>
      </c>
      <c r="AV78" s="3">
        <v>9.9000000000000005E-2</v>
      </c>
      <c r="AW78" s="3">
        <v>0.128</v>
      </c>
      <c r="AX78" s="3">
        <v>8.6999999999999994E-2</v>
      </c>
      <c r="AY78" s="3">
        <v>6.2E-2</v>
      </c>
      <c r="AZ78" s="3">
        <v>-3.6930000000000001</v>
      </c>
      <c r="BA78" s="3">
        <v>2353</v>
      </c>
      <c r="BB78" s="3">
        <v>12.15</v>
      </c>
      <c r="BC78" s="3">
        <v>2876</v>
      </c>
      <c r="BD78" s="3"/>
      <c r="BE78" s="3"/>
      <c r="BF78" s="3">
        <f t="shared" si="76"/>
        <v>1132</v>
      </c>
      <c r="BH78" s="16">
        <v>15.98</v>
      </c>
      <c r="BI78" s="16">
        <f t="shared" si="69"/>
        <v>32.279600000000002</v>
      </c>
      <c r="BJ78" s="17">
        <f t="shared" si="70"/>
        <v>7.15</v>
      </c>
      <c r="BK78" s="17">
        <f t="shared" si="71"/>
        <v>15.36</v>
      </c>
      <c r="BM78" s="1">
        <f t="shared" si="72"/>
        <v>98</v>
      </c>
      <c r="BN78" s="1">
        <f t="shared" si="73"/>
        <v>81.2</v>
      </c>
      <c r="BO78" s="1">
        <f t="shared" si="74"/>
        <v>64.599999999999994</v>
      </c>
      <c r="BP78" s="62">
        <f t="shared" si="77"/>
        <v>0.44400000000000001</v>
      </c>
      <c r="BQ78" s="62">
        <f t="shared" si="75"/>
        <v>0.24299999999999999</v>
      </c>
      <c r="BS78" s="3">
        <v>0</v>
      </c>
      <c r="BT78" s="8"/>
      <c r="BV78" s="8"/>
      <c r="BW78" s="16">
        <f t="shared" si="36"/>
        <v>7.15</v>
      </c>
      <c r="BX78" s="16">
        <f t="shared" si="37"/>
        <v>15.36</v>
      </c>
      <c r="BY78" s="3">
        <f t="shared" si="38"/>
        <v>-2.4</v>
      </c>
      <c r="BZ78" s="3">
        <f t="shared" si="39"/>
        <v>-3</v>
      </c>
      <c r="CA78" s="3">
        <f t="shared" si="40"/>
        <v>-3.5</v>
      </c>
      <c r="CB78" s="3">
        <f t="shared" si="41"/>
        <v>-0.3</v>
      </c>
      <c r="CC78" s="3">
        <f t="shared" si="42"/>
        <v>-0.2</v>
      </c>
      <c r="CD78" s="3">
        <f t="shared" si="43"/>
        <v>0.4</v>
      </c>
      <c r="CE78" s="3">
        <f t="shared" si="44"/>
        <v>1</v>
      </c>
      <c r="CF78" s="23">
        <f t="shared" si="45"/>
        <v>81.2</v>
      </c>
      <c r="CG78" s="1">
        <f t="shared" si="46"/>
        <v>1.6</v>
      </c>
      <c r="CH78" s="1">
        <f t="shared" si="47"/>
        <v>2.6</v>
      </c>
      <c r="CI78" s="1">
        <f t="shared" si="48"/>
        <v>1.5</v>
      </c>
      <c r="CJ78" s="1">
        <f t="shared" si="49"/>
        <v>-0.2</v>
      </c>
      <c r="CK78" s="1">
        <f t="shared" si="50"/>
        <v>-0.1</v>
      </c>
      <c r="CL78" s="1">
        <f t="shared" si="51"/>
        <v>0.4</v>
      </c>
      <c r="CM78" s="1">
        <f t="shared" si="52"/>
        <v>1</v>
      </c>
      <c r="CN78" s="2">
        <f t="shared" si="53"/>
        <v>98</v>
      </c>
      <c r="CO78" s="1">
        <f t="shared" si="54"/>
        <v>-9.8000000000000007</v>
      </c>
      <c r="CP78" s="1">
        <f t="shared" si="55"/>
        <v>-11.1</v>
      </c>
      <c r="CQ78" s="1">
        <f t="shared" si="56"/>
        <v>-13.1</v>
      </c>
      <c r="CR78" s="1">
        <f t="shared" si="57"/>
        <v>-0.3</v>
      </c>
      <c r="CS78" s="1">
        <f t="shared" si="58"/>
        <v>-0.2</v>
      </c>
      <c r="CT78" s="1">
        <f t="shared" si="59"/>
        <v>0.3</v>
      </c>
      <c r="CU78" s="1">
        <f t="shared" si="60"/>
        <v>0.9</v>
      </c>
      <c r="CV78" s="2">
        <f t="shared" si="61"/>
        <v>64.599999999999994</v>
      </c>
      <c r="CW78" s="18">
        <f t="shared" si="62"/>
        <v>1132</v>
      </c>
      <c r="CX78" s="1">
        <f>ROUND(PPTest!K78,1)</f>
        <v>0</v>
      </c>
      <c r="CY78" s="17">
        <f t="shared" si="63"/>
        <v>1.68</v>
      </c>
      <c r="CZ78" s="17">
        <f t="shared" si="64"/>
        <v>4.99</v>
      </c>
      <c r="DA78" s="20">
        <f t="shared" si="65"/>
        <v>0.44400000000000001</v>
      </c>
      <c r="DB78" s="20">
        <f t="shared" si="66"/>
        <v>0.24299999999999999</v>
      </c>
      <c r="DC78" s="16">
        <f t="shared" si="67"/>
        <v>12.15</v>
      </c>
      <c r="DF78" s="1">
        <v>0.5</v>
      </c>
      <c r="DG78" s="1">
        <v>2.8</v>
      </c>
      <c r="DH78" s="1">
        <v>-2.4</v>
      </c>
      <c r="DI78" s="1">
        <v>80.8</v>
      </c>
      <c r="DJ78" s="1">
        <v>70</v>
      </c>
      <c r="DW78" s="1">
        <v>-2.1</v>
      </c>
      <c r="DX78" s="1">
        <v>0.5</v>
      </c>
      <c r="DY78" s="1">
        <v>-5.8</v>
      </c>
    </row>
    <row r="79" spans="1:129" x14ac:dyDescent="0.2">
      <c r="A79" s="40">
        <v>34772</v>
      </c>
      <c r="B79" s="3">
        <v>73</v>
      </c>
      <c r="C79" s="3">
        <v>7.43</v>
      </c>
      <c r="D79" s="3">
        <v>14.65</v>
      </c>
      <c r="E79" s="3">
        <v>1.5980000000000001</v>
      </c>
      <c r="F79" s="3">
        <v>87.4</v>
      </c>
      <c r="G79" s="3">
        <v>1.079</v>
      </c>
      <c r="H79" s="3">
        <v>0.61599999999999999</v>
      </c>
      <c r="I79" s="3">
        <v>-0.22800000000000001</v>
      </c>
      <c r="J79" s="3">
        <v>-0.99099999999999999</v>
      </c>
      <c r="K79" s="3">
        <v>0.878</v>
      </c>
      <c r="L79" s="3">
        <v>-0.123</v>
      </c>
      <c r="M79" s="3">
        <v>0.38300000000000001</v>
      </c>
      <c r="N79" s="3">
        <v>0.93</v>
      </c>
      <c r="O79" s="3">
        <v>0</v>
      </c>
      <c r="P79" s="16">
        <v>1.7791666666666666</v>
      </c>
      <c r="Q79" s="3"/>
      <c r="R79" s="3">
        <v>6.24</v>
      </c>
      <c r="S79" s="3">
        <v>1523</v>
      </c>
      <c r="T79" s="3">
        <v>103.1</v>
      </c>
      <c r="U79" s="3">
        <v>2018</v>
      </c>
      <c r="V79" s="3">
        <v>7.74</v>
      </c>
      <c r="W79" s="3">
        <v>6.0039999999999996</v>
      </c>
      <c r="X79" s="3">
        <v>-0.17699999999999999</v>
      </c>
      <c r="Y79" s="3">
        <v>6.5000000000000002E-2</v>
      </c>
      <c r="Z79" s="3">
        <v>9.93</v>
      </c>
      <c r="AA79" s="3">
        <v>-7.2999999999999995E-2</v>
      </c>
      <c r="AB79" s="3">
        <v>0.42699999999999999</v>
      </c>
      <c r="AC79" s="3">
        <v>0.98</v>
      </c>
      <c r="AD79" s="16">
        <v>5.0608333333333331</v>
      </c>
      <c r="AE79" s="3">
        <v>1514</v>
      </c>
      <c r="AF79" s="3">
        <v>-1.3740000000000001</v>
      </c>
      <c r="AG79" s="3">
        <v>631</v>
      </c>
      <c r="AH79" s="3">
        <v>67.430000000000007</v>
      </c>
      <c r="AI79" s="3">
        <v>1523</v>
      </c>
      <c r="AJ79" s="3">
        <v>-2.653</v>
      </c>
      <c r="AK79" s="3">
        <v>-4.7160000000000002</v>
      </c>
      <c r="AL79" s="3">
        <v>-0.28299999999999997</v>
      </c>
      <c r="AM79" s="3">
        <v>-2.738</v>
      </c>
      <c r="AN79" s="3">
        <v>-2.4670000000000001</v>
      </c>
      <c r="AO79" s="3">
        <v>-0.17299999999999999</v>
      </c>
      <c r="AP79" s="3">
        <v>0.34300000000000003</v>
      </c>
      <c r="AQ79" s="3">
        <v>0.89100000000000001</v>
      </c>
      <c r="AR79" s="3">
        <v>0.14899999999999999</v>
      </c>
      <c r="AS79" s="3">
        <v>0.222</v>
      </c>
      <c r="AT79" s="3">
        <v>0.153</v>
      </c>
      <c r="AU79" s="3">
        <v>8.3000000000000004E-2</v>
      </c>
      <c r="AV79" s="3">
        <v>9.7000000000000003E-2</v>
      </c>
      <c r="AW79" s="3">
        <v>0.104</v>
      </c>
      <c r="AX79" s="3">
        <v>9.7000000000000003E-2</v>
      </c>
      <c r="AY79" s="3">
        <v>9.6000000000000002E-2</v>
      </c>
      <c r="AZ79" s="3">
        <v>-0.93700000000000006</v>
      </c>
      <c r="BA79" s="3">
        <v>2369</v>
      </c>
      <c r="BB79" s="3">
        <v>12.14</v>
      </c>
      <c r="BC79" s="3">
        <v>2876</v>
      </c>
      <c r="BD79" s="3"/>
      <c r="BE79" s="3"/>
      <c r="BF79" s="3">
        <f t="shared" si="76"/>
        <v>1116</v>
      </c>
      <c r="BH79" s="16">
        <v>16.25</v>
      </c>
      <c r="BI79" s="16">
        <f t="shared" si="69"/>
        <v>32.825000000000003</v>
      </c>
      <c r="BJ79" s="17">
        <f t="shared" si="70"/>
        <v>7.43</v>
      </c>
      <c r="BK79" s="17">
        <f t="shared" si="71"/>
        <v>15.82</v>
      </c>
      <c r="BM79" s="1">
        <f t="shared" si="72"/>
        <v>96.3</v>
      </c>
      <c r="BN79" s="1">
        <f t="shared" si="73"/>
        <v>81.8</v>
      </c>
      <c r="BO79" s="1">
        <f t="shared" si="74"/>
        <v>63.3</v>
      </c>
      <c r="BP79" s="62">
        <f t="shared" si="77"/>
        <v>0.60199999999999998</v>
      </c>
      <c r="BQ79" s="62">
        <f t="shared" si="75"/>
        <v>0.34899999999999998</v>
      </c>
      <c r="BS79" s="3">
        <v>1.6</v>
      </c>
      <c r="BT79" s="8"/>
      <c r="BV79" s="8"/>
      <c r="BW79" s="16">
        <f t="shared" si="36"/>
        <v>7.43</v>
      </c>
      <c r="BX79" s="16">
        <f t="shared" si="37"/>
        <v>15.82</v>
      </c>
      <c r="BY79" s="3">
        <f t="shared" si="38"/>
        <v>1.6</v>
      </c>
      <c r="BZ79" s="3">
        <f t="shared" si="39"/>
        <v>1.1000000000000001</v>
      </c>
      <c r="CA79" s="3">
        <f t="shared" si="40"/>
        <v>0.6</v>
      </c>
      <c r="CB79" s="3">
        <f t="shared" si="41"/>
        <v>-0.2</v>
      </c>
      <c r="CC79" s="3">
        <f t="shared" si="42"/>
        <v>-0.1</v>
      </c>
      <c r="CD79" s="3">
        <f t="shared" si="43"/>
        <v>0.4</v>
      </c>
      <c r="CE79" s="3">
        <f t="shared" si="44"/>
        <v>0.9</v>
      </c>
      <c r="CF79" s="23">
        <f t="shared" si="45"/>
        <v>81.8</v>
      </c>
      <c r="CG79" s="1">
        <f t="shared" si="46"/>
        <v>6.2</v>
      </c>
      <c r="CH79" s="1">
        <f t="shared" si="47"/>
        <v>7.7</v>
      </c>
      <c r="CI79" s="1">
        <f t="shared" si="48"/>
        <v>6</v>
      </c>
      <c r="CJ79" s="1">
        <f t="shared" si="49"/>
        <v>-0.2</v>
      </c>
      <c r="CK79" s="1">
        <f t="shared" si="50"/>
        <v>-0.1</v>
      </c>
      <c r="CL79" s="1">
        <f t="shared" si="51"/>
        <v>0.4</v>
      </c>
      <c r="CM79" s="1">
        <f t="shared" si="52"/>
        <v>1</v>
      </c>
      <c r="CN79" s="2">
        <f t="shared" si="53"/>
        <v>96.3</v>
      </c>
      <c r="CO79" s="1">
        <f t="shared" si="54"/>
        <v>-1.4</v>
      </c>
      <c r="CP79" s="1">
        <f t="shared" si="55"/>
        <v>-2.7</v>
      </c>
      <c r="CQ79" s="1">
        <f t="shared" si="56"/>
        <v>-4.7</v>
      </c>
      <c r="CR79" s="1">
        <f t="shared" si="57"/>
        <v>-0.3</v>
      </c>
      <c r="CS79" s="1">
        <f t="shared" si="58"/>
        <v>-0.2</v>
      </c>
      <c r="CT79" s="1">
        <f t="shared" si="59"/>
        <v>0.3</v>
      </c>
      <c r="CU79" s="1">
        <f t="shared" si="60"/>
        <v>0.9</v>
      </c>
      <c r="CV79" s="2">
        <f t="shared" si="61"/>
        <v>63.3</v>
      </c>
      <c r="CW79" s="18">
        <f t="shared" si="62"/>
        <v>1116</v>
      </c>
      <c r="CX79" s="1">
        <f>ROUND(PPTest!K79,1)</f>
        <v>0</v>
      </c>
      <c r="CY79" s="17">
        <f t="shared" si="63"/>
        <v>1.78</v>
      </c>
      <c r="CZ79" s="17">
        <f t="shared" si="64"/>
        <v>5.0599999999999996</v>
      </c>
      <c r="DA79" s="20">
        <f t="shared" si="65"/>
        <v>0.60199999999999998</v>
      </c>
      <c r="DB79" s="20">
        <f t="shared" si="66"/>
        <v>0.34899999999999998</v>
      </c>
      <c r="DC79" s="16">
        <f t="shared" si="67"/>
        <v>12.14</v>
      </c>
      <c r="DF79" s="1">
        <v>3.4</v>
      </c>
      <c r="DG79" s="1">
        <v>6.5</v>
      </c>
      <c r="DH79" s="1">
        <v>1.5</v>
      </c>
      <c r="DI79" s="1">
        <v>81.400000000000006</v>
      </c>
      <c r="DJ79" s="1">
        <v>67</v>
      </c>
      <c r="DW79" s="1">
        <v>0.5</v>
      </c>
      <c r="DX79" s="1">
        <v>3.1</v>
      </c>
      <c r="DY79" s="1">
        <v>-3.1</v>
      </c>
    </row>
    <row r="80" spans="1:129" x14ac:dyDescent="0.2">
      <c r="A80" s="40">
        <v>34773</v>
      </c>
      <c r="B80" s="3">
        <v>74</v>
      </c>
      <c r="C80" s="3">
        <v>7.65</v>
      </c>
      <c r="D80" s="3">
        <v>14.86</v>
      </c>
      <c r="E80" s="3">
        <v>-1.026</v>
      </c>
      <c r="F80" s="3">
        <v>90.2</v>
      </c>
      <c r="G80" s="3">
        <v>-1.5720000000000001</v>
      </c>
      <c r="H80" s="3">
        <v>-2.0419999999999998</v>
      </c>
      <c r="I80" s="3">
        <v>-0.158</v>
      </c>
      <c r="J80" s="3">
        <v>-1.0620000000000001</v>
      </c>
      <c r="K80" s="3">
        <v>-1.2150000000000001</v>
      </c>
      <c r="L80" s="3">
        <v>-0.126</v>
      </c>
      <c r="M80" s="3">
        <v>0.36799999999999999</v>
      </c>
      <c r="N80" s="3">
        <v>0.88800000000000001</v>
      </c>
      <c r="O80" s="3">
        <v>0</v>
      </c>
      <c r="P80" s="16">
        <v>1.2998333333333334</v>
      </c>
      <c r="Q80" s="3"/>
      <c r="R80" s="3">
        <v>2.7650000000000001</v>
      </c>
      <c r="S80" s="3">
        <v>909</v>
      </c>
      <c r="T80" s="3">
        <v>103.8</v>
      </c>
      <c r="U80" s="3">
        <v>130</v>
      </c>
      <c r="V80" s="3">
        <v>3.1859999999999999</v>
      </c>
      <c r="W80" s="3">
        <v>1.41</v>
      </c>
      <c r="X80" s="3">
        <v>-8.3000000000000004E-2</v>
      </c>
      <c r="Y80" s="3">
        <v>-0.14299999999999999</v>
      </c>
      <c r="Z80" s="3">
        <v>3.1120000000000001</v>
      </c>
      <c r="AA80" s="3">
        <v>-0.06</v>
      </c>
      <c r="AB80" s="3">
        <v>0.42399999999999999</v>
      </c>
      <c r="AC80" s="3">
        <v>0.94399999999999995</v>
      </c>
      <c r="AD80" s="16">
        <v>4.4208333333333334</v>
      </c>
      <c r="AE80" s="3">
        <v>1356</v>
      </c>
      <c r="AF80" s="3">
        <v>-4.8529999999999998</v>
      </c>
      <c r="AG80" s="3">
        <v>657</v>
      </c>
      <c r="AH80" s="3">
        <v>63.89</v>
      </c>
      <c r="AI80" s="3">
        <v>910</v>
      </c>
      <c r="AJ80" s="3">
        <v>-5.8879999999999999</v>
      </c>
      <c r="AK80" s="3">
        <v>-7.39</v>
      </c>
      <c r="AL80" s="3">
        <v>-0.22600000000000001</v>
      </c>
      <c r="AM80" s="3">
        <v>-2.9889999999999999</v>
      </c>
      <c r="AN80" s="3">
        <v>-6.4889999999999999</v>
      </c>
      <c r="AO80" s="3">
        <v>-0.182</v>
      </c>
      <c r="AP80" s="3">
        <v>0.314</v>
      </c>
      <c r="AQ80" s="3">
        <v>0.83399999999999996</v>
      </c>
      <c r="AR80" s="3">
        <v>2.5999999999999999E-2</v>
      </c>
      <c r="AS80" s="3">
        <v>0.19700000000000001</v>
      </c>
      <c r="AT80" s="3">
        <v>0.19</v>
      </c>
      <c r="AU80" s="3">
        <v>3.4000000000000002E-2</v>
      </c>
      <c r="AV80" s="3">
        <v>0.115</v>
      </c>
      <c r="AW80" s="3">
        <v>0.31</v>
      </c>
      <c r="AX80" s="3">
        <v>0.108</v>
      </c>
      <c r="AY80" s="3">
        <v>1.9E-2</v>
      </c>
      <c r="AZ80" s="3">
        <v>-1.4790000000000001</v>
      </c>
      <c r="BA80" s="3">
        <v>2370</v>
      </c>
      <c r="BB80" s="3">
        <v>12.14</v>
      </c>
      <c r="BC80" s="3">
        <v>2876</v>
      </c>
      <c r="BD80" s="3"/>
      <c r="BE80" s="3"/>
      <c r="BF80" s="3">
        <f t="shared" si="76"/>
        <v>1115</v>
      </c>
      <c r="BH80" s="16">
        <v>16.510000000000002</v>
      </c>
      <c r="BI80" s="16">
        <f t="shared" si="69"/>
        <v>33.350200000000001</v>
      </c>
      <c r="BJ80" s="17">
        <f t="shared" si="70"/>
        <v>7.65</v>
      </c>
      <c r="BK80" s="17">
        <f t="shared" si="71"/>
        <v>16.05</v>
      </c>
      <c r="BM80" s="1">
        <f t="shared" si="72"/>
        <v>96.9</v>
      </c>
      <c r="BN80" s="1">
        <f t="shared" si="73"/>
        <v>84.3</v>
      </c>
      <c r="BO80" s="1">
        <f t="shared" si="74"/>
        <v>60</v>
      </c>
      <c r="BP80" s="62">
        <f t="shared" si="77"/>
        <v>0.44700000000000001</v>
      </c>
      <c r="BQ80" s="62">
        <f t="shared" si="75"/>
        <v>0.29799999999999999</v>
      </c>
      <c r="BS80" s="3">
        <v>0</v>
      </c>
      <c r="BT80" s="8"/>
      <c r="BV80" s="8"/>
      <c r="BW80" s="16">
        <f t="shared" si="36"/>
        <v>7.65</v>
      </c>
      <c r="BX80" s="16">
        <f t="shared" si="37"/>
        <v>16.05</v>
      </c>
      <c r="BY80" s="3">
        <f t="shared" si="38"/>
        <v>-1</v>
      </c>
      <c r="BZ80" s="3">
        <f t="shared" si="39"/>
        <v>-1.6</v>
      </c>
      <c r="CA80" s="3">
        <f t="shared" si="40"/>
        <v>-2</v>
      </c>
      <c r="CB80" s="3">
        <f t="shared" si="41"/>
        <v>-0.2</v>
      </c>
      <c r="CC80" s="3">
        <f t="shared" si="42"/>
        <v>-0.1</v>
      </c>
      <c r="CD80" s="3">
        <f t="shared" si="43"/>
        <v>0.4</v>
      </c>
      <c r="CE80" s="3">
        <f t="shared" si="44"/>
        <v>0.9</v>
      </c>
      <c r="CF80" s="23">
        <f t="shared" si="45"/>
        <v>84.3</v>
      </c>
      <c r="CG80" s="1">
        <f t="shared" si="46"/>
        <v>2.8</v>
      </c>
      <c r="CH80" s="1">
        <f t="shared" si="47"/>
        <v>3.2</v>
      </c>
      <c r="CI80" s="1">
        <f t="shared" si="48"/>
        <v>1.4</v>
      </c>
      <c r="CJ80" s="1">
        <f t="shared" si="49"/>
        <v>-0.1</v>
      </c>
      <c r="CK80" s="1">
        <f t="shared" si="50"/>
        <v>-0.1</v>
      </c>
      <c r="CL80" s="1">
        <f t="shared" si="51"/>
        <v>0.4</v>
      </c>
      <c r="CM80" s="1">
        <f t="shared" si="52"/>
        <v>0.9</v>
      </c>
      <c r="CN80" s="2">
        <f t="shared" si="53"/>
        <v>96.9</v>
      </c>
      <c r="CO80" s="1">
        <f t="shared" si="54"/>
        <v>-4.9000000000000004</v>
      </c>
      <c r="CP80" s="1">
        <f t="shared" si="55"/>
        <v>-5.9</v>
      </c>
      <c r="CQ80" s="1">
        <f t="shared" si="56"/>
        <v>-7.4</v>
      </c>
      <c r="CR80" s="1">
        <f t="shared" si="57"/>
        <v>-0.2</v>
      </c>
      <c r="CS80" s="1">
        <f t="shared" si="58"/>
        <v>-0.2</v>
      </c>
      <c r="CT80" s="1">
        <f t="shared" si="59"/>
        <v>0.3</v>
      </c>
      <c r="CU80" s="1">
        <f t="shared" si="60"/>
        <v>0.8</v>
      </c>
      <c r="CV80" s="2">
        <f t="shared" si="61"/>
        <v>60</v>
      </c>
      <c r="CW80" s="18">
        <f t="shared" si="62"/>
        <v>1115</v>
      </c>
      <c r="CX80" s="1">
        <f>ROUND(PPTest!K80,1)</f>
        <v>0</v>
      </c>
      <c r="CY80" s="17">
        <f t="shared" si="63"/>
        <v>1.3</v>
      </c>
      <c r="CZ80" s="17">
        <f t="shared" si="64"/>
        <v>4.42</v>
      </c>
      <c r="DA80" s="20">
        <f t="shared" si="65"/>
        <v>0.44700000000000001</v>
      </c>
      <c r="DB80" s="20">
        <f t="shared" si="66"/>
        <v>0.29799999999999999</v>
      </c>
      <c r="DC80" s="16">
        <f t="shared" si="67"/>
        <v>12.14</v>
      </c>
      <c r="DF80" s="1">
        <v>1.7</v>
      </c>
      <c r="DG80" s="1">
        <v>3.6</v>
      </c>
      <c r="DH80" s="1">
        <v>-0.5</v>
      </c>
      <c r="DI80" s="1">
        <v>82.4</v>
      </c>
      <c r="DJ80" s="1">
        <v>66</v>
      </c>
      <c r="DW80" s="1">
        <v>-1.8</v>
      </c>
      <c r="DX80" s="1">
        <v>1</v>
      </c>
      <c r="DY80" s="1">
        <v>-7.7</v>
      </c>
    </row>
    <row r="81" spans="1:129" x14ac:dyDescent="0.2">
      <c r="A81" s="40">
        <v>34774</v>
      </c>
      <c r="B81" s="3">
        <v>75</v>
      </c>
      <c r="C81" s="3">
        <v>13.67</v>
      </c>
      <c r="D81" s="3">
        <v>25.69</v>
      </c>
      <c r="E81" s="3">
        <v>-1.609</v>
      </c>
      <c r="F81" s="3">
        <v>77.5</v>
      </c>
      <c r="G81" s="3">
        <v>-2.1829999999999998</v>
      </c>
      <c r="H81" s="3">
        <v>-3.3610000000000002</v>
      </c>
      <c r="I81" s="3">
        <v>-0.109</v>
      </c>
      <c r="J81" s="3">
        <v>-3.3050000000000002</v>
      </c>
      <c r="K81" s="3">
        <v>-1.821</v>
      </c>
      <c r="L81" s="3">
        <v>-0.13300000000000001</v>
      </c>
      <c r="M81" s="3">
        <v>0.35</v>
      </c>
      <c r="N81" s="3">
        <v>0.84499999999999997</v>
      </c>
      <c r="O81" s="3">
        <v>0</v>
      </c>
      <c r="P81" s="16">
        <v>1.32</v>
      </c>
      <c r="Q81" s="3"/>
      <c r="R81" s="3">
        <v>5.4160000000000004</v>
      </c>
      <c r="S81" s="3">
        <v>1510</v>
      </c>
      <c r="T81" s="3">
        <v>103.2</v>
      </c>
      <c r="U81" s="3">
        <v>550</v>
      </c>
      <c r="V81" s="3">
        <v>7.01</v>
      </c>
      <c r="W81" s="3">
        <v>5.3769999999999998</v>
      </c>
      <c r="X81" s="3">
        <v>-4.1000000000000002E-2</v>
      </c>
      <c r="Y81" s="3">
        <v>-0.63100000000000001</v>
      </c>
      <c r="Z81" s="3">
        <v>10.27</v>
      </c>
      <c r="AA81" s="3">
        <v>-7.5999999999999998E-2</v>
      </c>
      <c r="AB81" s="3">
        <v>0.40100000000000002</v>
      </c>
      <c r="AC81" s="3">
        <v>0.89500000000000002</v>
      </c>
      <c r="AD81" s="16">
        <v>4.8208333333333337</v>
      </c>
      <c r="AE81" s="3">
        <v>1258</v>
      </c>
      <c r="AF81" s="3">
        <v>-9.0500000000000007</v>
      </c>
      <c r="AG81" s="3">
        <v>652</v>
      </c>
      <c r="AH81" s="3">
        <v>41.27</v>
      </c>
      <c r="AI81" s="3">
        <v>1438</v>
      </c>
      <c r="AJ81" s="3">
        <v>-9.93</v>
      </c>
      <c r="AK81" s="3">
        <v>-10.96</v>
      </c>
      <c r="AL81" s="3">
        <v>-0.16700000000000001</v>
      </c>
      <c r="AM81" s="3">
        <v>-7.98</v>
      </c>
      <c r="AN81" s="3">
        <v>-10.55</v>
      </c>
      <c r="AO81" s="3">
        <v>-0.21099999999999999</v>
      </c>
      <c r="AP81" s="3">
        <v>0.25</v>
      </c>
      <c r="AQ81" s="3">
        <v>0.73399999999999999</v>
      </c>
      <c r="AR81" s="3">
        <v>4.2999999999999997E-2</v>
      </c>
      <c r="AS81" s="3">
        <v>0.251</v>
      </c>
      <c r="AT81" s="3">
        <v>0.33300000000000002</v>
      </c>
      <c r="AU81" s="3">
        <v>0.104</v>
      </c>
      <c r="AV81" s="3">
        <v>0.128</v>
      </c>
      <c r="AW81" s="3">
        <v>9.2999999999999999E-2</v>
      </c>
      <c r="AX81" s="3">
        <v>2.8000000000000001E-2</v>
      </c>
      <c r="AY81" s="3">
        <v>1.9E-2</v>
      </c>
      <c r="AZ81" s="3">
        <v>-3.669</v>
      </c>
      <c r="BA81" s="3">
        <v>2381</v>
      </c>
      <c r="BB81" s="3">
        <v>12.14</v>
      </c>
      <c r="BC81" s="3">
        <v>2876</v>
      </c>
      <c r="BD81" s="3"/>
      <c r="BE81" s="3"/>
      <c r="BF81" s="3">
        <f t="shared" si="76"/>
        <v>1104</v>
      </c>
      <c r="BH81" s="16">
        <v>16.77</v>
      </c>
      <c r="BI81" s="16">
        <f t="shared" si="69"/>
        <v>33.875399999999999</v>
      </c>
      <c r="BJ81" s="17">
        <f t="shared" si="70"/>
        <v>13.67</v>
      </c>
      <c r="BK81" s="17">
        <f t="shared" si="71"/>
        <v>27.75</v>
      </c>
      <c r="BM81" s="1">
        <f t="shared" si="72"/>
        <v>96.4</v>
      </c>
      <c r="BN81" s="1">
        <f t="shared" si="73"/>
        <v>72.599999999999994</v>
      </c>
      <c r="BO81" s="1">
        <f t="shared" si="74"/>
        <v>39.1</v>
      </c>
      <c r="BP81" s="62">
        <f t="shared" si="77"/>
        <v>0.35099999999999998</v>
      </c>
      <c r="BQ81" s="62">
        <f t="shared" si="75"/>
        <v>0.54700000000000004</v>
      </c>
      <c r="BS81" s="3">
        <v>0</v>
      </c>
      <c r="BT81" s="8"/>
      <c r="BV81" s="8"/>
      <c r="BW81" s="16">
        <f t="shared" si="36"/>
        <v>13.67</v>
      </c>
      <c r="BX81" s="16">
        <f t="shared" si="37"/>
        <v>27.75</v>
      </c>
      <c r="BY81" s="3">
        <f t="shared" si="38"/>
        <v>-1.6</v>
      </c>
      <c r="BZ81" s="3">
        <f t="shared" si="39"/>
        <v>-2.2000000000000002</v>
      </c>
      <c r="CA81" s="3">
        <f t="shared" si="40"/>
        <v>-3.4</v>
      </c>
      <c r="CB81" s="3">
        <f t="shared" si="41"/>
        <v>-0.1</v>
      </c>
      <c r="CC81" s="3">
        <f t="shared" si="42"/>
        <v>-0.1</v>
      </c>
      <c r="CD81" s="3">
        <f t="shared" si="43"/>
        <v>0.4</v>
      </c>
      <c r="CE81" s="3">
        <f t="shared" si="44"/>
        <v>0.8</v>
      </c>
      <c r="CF81" s="23">
        <f t="shared" si="45"/>
        <v>72.599999999999994</v>
      </c>
      <c r="CG81" s="1">
        <f t="shared" si="46"/>
        <v>5.4</v>
      </c>
      <c r="CH81" s="1">
        <f t="shared" si="47"/>
        <v>7</v>
      </c>
      <c r="CI81" s="1">
        <f t="shared" si="48"/>
        <v>5.4</v>
      </c>
      <c r="CJ81" s="1">
        <f t="shared" si="49"/>
        <v>0</v>
      </c>
      <c r="CK81" s="1">
        <f t="shared" si="50"/>
        <v>-0.1</v>
      </c>
      <c r="CL81" s="1">
        <f t="shared" si="51"/>
        <v>0.4</v>
      </c>
      <c r="CM81" s="1">
        <f t="shared" si="52"/>
        <v>0.9</v>
      </c>
      <c r="CN81" s="2">
        <f t="shared" si="53"/>
        <v>96.4</v>
      </c>
      <c r="CO81" s="1">
        <f t="shared" si="54"/>
        <v>-9.1</v>
      </c>
      <c r="CP81" s="1">
        <f t="shared" si="55"/>
        <v>-9.9</v>
      </c>
      <c r="CQ81" s="1">
        <f t="shared" si="56"/>
        <v>-11</v>
      </c>
      <c r="CR81" s="1">
        <f t="shared" si="57"/>
        <v>-0.2</v>
      </c>
      <c r="CS81" s="1">
        <f t="shared" si="58"/>
        <v>-0.2</v>
      </c>
      <c r="CT81" s="1">
        <f t="shared" si="59"/>
        <v>0.3</v>
      </c>
      <c r="CU81" s="1">
        <f t="shared" si="60"/>
        <v>0.7</v>
      </c>
      <c r="CV81" s="2">
        <f t="shared" si="61"/>
        <v>39.1</v>
      </c>
      <c r="CW81" s="18">
        <f t="shared" si="62"/>
        <v>1104</v>
      </c>
      <c r="CX81" s="1">
        <f>ROUND(PPTest!K81,1)</f>
        <v>0</v>
      </c>
      <c r="CY81" s="17">
        <f t="shared" si="63"/>
        <v>1.32</v>
      </c>
      <c r="CZ81" s="17">
        <f t="shared" si="64"/>
        <v>4.82</v>
      </c>
      <c r="DA81" s="20">
        <f t="shared" si="65"/>
        <v>0.35099999999999998</v>
      </c>
      <c r="DB81" s="20">
        <f t="shared" si="66"/>
        <v>0.54700000000000004</v>
      </c>
      <c r="DC81" s="16">
        <f t="shared" si="67"/>
        <v>12.14</v>
      </c>
      <c r="DF81" s="1">
        <v>2</v>
      </c>
      <c r="DG81" s="1">
        <v>7.2</v>
      </c>
      <c r="DH81" s="1">
        <v>-1</v>
      </c>
      <c r="DI81" s="1">
        <v>69.2</v>
      </c>
      <c r="DJ81" s="1">
        <v>55</v>
      </c>
      <c r="DW81" s="1">
        <v>-3.3</v>
      </c>
      <c r="DX81" s="1">
        <v>3.5</v>
      </c>
      <c r="DY81" s="1">
        <v>-9.9</v>
      </c>
    </row>
    <row r="82" spans="1:129" x14ac:dyDescent="0.2">
      <c r="A82" s="40">
        <v>34775</v>
      </c>
      <c r="B82" s="3">
        <v>76</v>
      </c>
      <c r="C82" s="3">
        <v>12.01</v>
      </c>
      <c r="D82" s="3">
        <v>22.89</v>
      </c>
      <c r="E82" s="3">
        <v>0.91300000000000003</v>
      </c>
      <c r="F82" s="3">
        <v>63.74</v>
      </c>
      <c r="G82" s="3">
        <v>0.33500000000000002</v>
      </c>
      <c r="H82" s="3">
        <v>-0.21299999999999999</v>
      </c>
      <c r="I82" s="3">
        <v>-5.8000000000000003E-2</v>
      </c>
      <c r="J82" s="3">
        <v>-3.1589999999999998</v>
      </c>
      <c r="K82" s="3">
        <v>0.58699999999999997</v>
      </c>
      <c r="L82" s="3">
        <v>-0.113</v>
      </c>
      <c r="M82" s="3">
        <v>0.36</v>
      </c>
      <c r="N82" s="3">
        <v>0.83199999999999996</v>
      </c>
      <c r="O82" s="3">
        <v>0</v>
      </c>
      <c r="P82" s="16">
        <v>1.6641666666666668</v>
      </c>
      <c r="Q82" s="3"/>
      <c r="R82" s="3">
        <v>5.226</v>
      </c>
      <c r="S82" s="3">
        <v>1235</v>
      </c>
      <c r="T82" s="3">
        <v>87.8</v>
      </c>
      <c r="U82" s="3">
        <v>507</v>
      </c>
      <c r="V82" s="3">
        <v>6.915</v>
      </c>
      <c r="W82" s="3">
        <v>4.7709999999999999</v>
      </c>
      <c r="X82" s="3">
        <v>8.9999999999999993E-3</v>
      </c>
      <c r="Y82" s="3">
        <v>-8.3000000000000004E-2</v>
      </c>
      <c r="Z82" s="3">
        <v>9.27</v>
      </c>
      <c r="AA82" s="3">
        <v>-4.8000000000000001E-2</v>
      </c>
      <c r="AB82" s="3">
        <v>0.41899999999999998</v>
      </c>
      <c r="AC82" s="3">
        <v>0.88100000000000001</v>
      </c>
      <c r="AD82" s="16">
        <v>4.5541666666666671</v>
      </c>
      <c r="AE82" s="3">
        <v>936</v>
      </c>
      <c r="AF82" s="3">
        <v>-5.1219999999999999</v>
      </c>
      <c r="AG82" s="3">
        <v>513</v>
      </c>
      <c r="AH82" s="3">
        <v>45.27</v>
      </c>
      <c r="AI82" s="3">
        <v>1236</v>
      </c>
      <c r="AJ82" s="3">
        <v>-7.28</v>
      </c>
      <c r="AK82" s="3">
        <v>-9.7200000000000006</v>
      </c>
      <c r="AL82" s="3">
        <v>-0.125</v>
      </c>
      <c r="AM82" s="3">
        <v>-7.13</v>
      </c>
      <c r="AN82" s="3">
        <v>-7.87</v>
      </c>
      <c r="AO82" s="3">
        <v>-0.18099999999999999</v>
      </c>
      <c r="AP82" s="3">
        <v>0.28000000000000003</v>
      </c>
      <c r="AQ82" s="3">
        <v>0.752</v>
      </c>
      <c r="AR82" s="3">
        <v>6.3E-2</v>
      </c>
      <c r="AS82" s="3">
        <v>0.192</v>
      </c>
      <c r="AT82" s="3">
        <v>0.21199999999999999</v>
      </c>
      <c r="AU82" s="3">
        <v>0.222</v>
      </c>
      <c r="AV82" s="3">
        <v>0.13</v>
      </c>
      <c r="AW82" s="3">
        <v>0.11799999999999999</v>
      </c>
      <c r="AX82" s="3">
        <v>3.5000000000000003E-2</v>
      </c>
      <c r="AY82" s="3">
        <v>2.8000000000000001E-2</v>
      </c>
      <c r="AZ82" s="3">
        <v>-2.6669999999999998</v>
      </c>
      <c r="BA82" s="3">
        <v>2378</v>
      </c>
      <c r="BB82" s="3">
        <v>12.14</v>
      </c>
      <c r="BC82" s="3">
        <v>2876</v>
      </c>
      <c r="BD82" s="3"/>
      <c r="BE82" s="3"/>
      <c r="BF82" s="3">
        <f t="shared" si="76"/>
        <v>1107</v>
      </c>
      <c r="BH82" s="16">
        <v>17.03</v>
      </c>
      <c r="BI82" s="16">
        <f t="shared" si="69"/>
        <v>34.400600000000004</v>
      </c>
      <c r="BJ82" s="17">
        <f t="shared" si="70"/>
        <v>12.01</v>
      </c>
      <c r="BK82" s="17">
        <f t="shared" si="71"/>
        <v>24.72</v>
      </c>
      <c r="BM82" s="1">
        <f t="shared" si="72"/>
        <v>82.1</v>
      </c>
      <c r="BN82" s="1">
        <f t="shared" si="73"/>
        <v>59.9</v>
      </c>
      <c r="BO82" s="1">
        <f t="shared" si="74"/>
        <v>42.8</v>
      </c>
      <c r="BP82" s="62">
        <f t="shared" si="77"/>
        <v>0.379</v>
      </c>
      <c r="BQ82" s="62">
        <f t="shared" si="75"/>
        <v>0.50700000000000001</v>
      </c>
      <c r="BS82" s="3">
        <v>0</v>
      </c>
      <c r="BT82" s="8"/>
      <c r="BV82" s="8"/>
      <c r="BW82" s="16">
        <f t="shared" si="36"/>
        <v>12.01</v>
      </c>
      <c r="BX82" s="16">
        <f t="shared" si="37"/>
        <v>24.72</v>
      </c>
      <c r="BY82" s="3">
        <f t="shared" si="38"/>
        <v>0.9</v>
      </c>
      <c r="BZ82" s="3">
        <f t="shared" si="39"/>
        <v>0.3</v>
      </c>
      <c r="CA82" s="3">
        <f t="shared" si="40"/>
        <v>-0.2</v>
      </c>
      <c r="CB82" s="3">
        <f t="shared" si="41"/>
        <v>-0.1</v>
      </c>
      <c r="CC82" s="3">
        <f t="shared" si="42"/>
        <v>-0.1</v>
      </c>
      <c r="CD82" s="3">
        <f t="shared" si="43"/>
        <v>0.4</v>
      </c>
      <c r="CE82" s="3">
        <f t="shared" si="44"/>
        <v>0.8</v>
      </c>
      <c r="CF82" s="23">
        <f t="shared" si="45"/>
        <v>59.9</v>
      </c>
      <c r="CG82" s="1">
        <f t="shared" si="46"/>
        <v>5.2</v>
      </c>
      <c r="CH82" s="1">
        <f t="shared" si="47"/>
        <v>6.9</v>
      </c>
      <c r="CI82" s="1">
        <f t="shared" si="48"/>
        <v>4.8</v>
      </c>
      <c r="CJ82" s="1">
        <f t="shared" si="49"/>
        <v>0</v>
      </c>
      <c r="CK82" s="1">
        <f t="shared" si="50"/>
        <v>0</v>
      </c>
      <c r="CL82" s="1">
        <f t="shared" si="51"/>
        <v>0.4</v>
      </c>
      <c r="CM82" s="1">
        <f t="shared" si="52"/>
        <v>0.9</v>
      </c>
      <c r="CN82" s="2">
        <f t="shared" si="53"/>
        <v>82.1</v>
      </c>
      <c r="CO82" s="1">
        <f t="shared" si="54"/>
        <v>-5.0999999999999996</v>
      </c>
      <c r="CP82" s="1">
        <f t="shared" si="55"/>
        <v>-7.3</v>
      </c>
      <c r="CQ82" s="1">
        <f t="shared" si="56"/>
        <v>-9.6999999999999993</v>
      </c>
      <c r="CR82" s="1">
        <f t="shared" si="57"/>
        <v>-0.1</v>
      </c>
      <c r="CS82" s="1">
        <f t="shared" si="58"/>
        <v>-0.2</v>
      </c>
      <c r="CT82" s="1">
        <f t="shared" si="59"/>
        <v>0.3</v>
      </c>
      <c r="CU82" s="1">
        <f t="shared" si="60"/>
        <v>0.8</v>
      </c>
      <c r="CV82" s="2">
        <f t="shared" si="61"/>
        <v>42.8</v>
      </c>
      <c r="CW82" s="18">
        <f t="shared" si="62"/>
        <v>1107</v>
      </c>
      <c r="CX82" s="1">
        <f>ROUND(PPTest!K82,1)</f>
        <v>0.4</v>
      </c>
      <c r="CY82" s="17">
        <f t="shared" si="63"/>
        <v>1.66</v>
      </c>
      <c r="CZ82" s="17">
        <f t="shared" si="64"/>
        <v>4.55</v>
      </c>
      <c r="DA82" s="20">
        <f t="shared" si="65"/>
        <v>0.379</v>
      </c>
      <c r="DB82" s="20">
        <f t="shared" si="66"/>
        <v>0.50700000000000001</v>
      </c>
      <c r="DC82" s="16">
        <f t="shared" si="67"/>
        <v>12.14</v>
      </c>
      <c r="DF82" s="1">
        <v>2.9</v>
      </c>
      <c r="DG82" s="1">
        <v>6</v>
      </c>
      <c r="DH82" s="1">
        <v>-1.4</v>
      </c>
      <c r="DI82" s="1">
        <v>59.1</v>
      </c>
      <c r="DJ82" s="1">
        <v>51</v>
      </c>
      <c r="DW82" s="1">
        <v>-0.5</v>
      </c>
      <c r="DX82" s="1">
        <v>4.9000000000000004</v>
      </c>
      <c r="DY82" s="1">
        <v>-7.4</v>
      </c>
    </row>
    <row r="83" spans="1:129" x14ac:dyDescent="0.2">
      <c r="A83" s="40">
        <v>34776</v>
      </c>
      <c r="B83" s="3">
        <v>77</v>
      </c>
      <c r="C83" s="3">
        <v>4.6779999999999999</v>
      </c>
      <c r="D83" s="3">
        <v>9.4</v>
      </c>
      <c r="E83" s="3">
        <v>1.0469999999999999</v>
      </c>
      <c r="F83" s="3">
        <v>92</v>
      </c>
      <c r="G83" s="3">
        <v>0.52300000000000002</v>
      </c>
      <c r="H83" s="3">
        <v>0.26600000000000001</v>
      </c>
      <c r="I83" s="3">
        <v>-7.0000000000000001E-3</v>
      </c>
      <c r="J83" s="3">
        <v>-1.1839999999999999</v>
      </c>
      <c r="K83" s="3">
        <v>0.58499999999999996</v>
      </c>
      <c r="L83" s="3">
        <v>-8.1000000000000003E-2</v>
      </c>
      <c r="M83" s="3">
        <v>0.38700000000000001</v>
      </c>
      <c r="N83" s="3">
        <v>0.83899999999999997</v>
      </c>
      <c r="O83" s="3">
        <v>0</v>
      </c>
      <c r="P83" s="16">
        <v>1.2293333333333334</v>
      </c>
      <c r="Q83" s="3"/>
      <c r="R83" s="3">
        <v>3.0070000000000001</v>
      </c>
      <c r="S83" s="3">
        <v>1705</v>
      </c>
      <c r="T83" s="3">
        <v>105.4</v>
      </c>
      <c r="U83" s="3">
        <v>1907</v>
      </c>
      <c r="V83" s="3">
        <v>3.24</v>
      </c>
      <c r="W83" s="3">
        <v>2.85</v>
      </c>
      <c r="X83" s="3">
        <v>9.6000000000000002E-2</v>
      </c>
      <c r="Y83" s="3">
        <v>-6.5000000000000002E-2</v>
      </c>
      <c r="Z83" s="3">
        <v>4.1310000000000002</v>
      </c>
      <c r="AA83" s="3">
        <v>-4.2999999999999997E-2</v>
      </c>
      <c r="AB83" s="3">
        <v>0.42899999999999999</v>
      </c>
      <c r="AC83" s="3">
        <v>0.873</v>
      </c>
      <c r="AD83" s="16">
        <v>3.8341666666666669</v>
      </c>
      <c r="AE83" s="3">
        <v>14</v>
      </c>
      <c r="AF83" s="3">
        <v>-0.79</v>
      </c>
      <c r="AG83" s="3">
        <v>236</v>
      </c>
      <c r="AH83" s="3">
        <v>63.53</v>
      </c>
      <c r="AI83" s="3">
        <v>10</v>
      </c>
      <c r="AJ83" s="3">
        <v>-2.4420000000000002</v>
      </c>
      <c r="AK83" s="3">
        <v>-3.5649999999999999</v>
      </c>
      <c r="AL83" s="3">
        <v>-7.2999999999999995E-2</v>
      </c>
      <c r="AM83" s="3">
        <v>-2.6509999999999998</v>
      </c>
      <c r="AN83" s="3">
        <v>-1.647</v>
      </c>
      <c r="AO83" s="3">
        <v>-0.13300000000000001</v>
      </c>
      <c r="AP83" s="3">
        <v>0.34</v>
      </c>
      <c r="AQ83" s="3">
        <v>0.79700000000000004</v>
      </c>
      <c r="AR83" s="3">
        <v>5.2999999999999999E-2</v>
      </c>
      <c r="AS83" s="3">
        <v>9.0999999999999998E-2</v>
      </c>
      <c r="AT83" s="3">
        <v>7.9000000000000001E-2</v>
      </c>
      <c r="AU83" s="3">
        <v>4.3999999999999997E-2</v>
      </c>
      <c r="AV83" s="3">
        <v>0.154</v>
      </c>
      <c r="AW83" s="3">
        <v>0.36899999999999999</v>
      </c>
      <c r="AX83" s="3">
        <v>0.16700000000000001</v>
      </c>
      <c r="AY83" s="3">
        <v>4.2000000000000003E-2</v>
      </c>
      <c r="AZ83" s="3">
        <v>-0.80400000000000005</v>
      </c>
      <c r="BA83" s="3">
        <v>2377</v>
      </c>
      <c r="BB83" s="3">
        <v>12.14</v>
      </c>
      <c r="BC83" s="3">
        <v>2876</v>
      </c>
      <c r="BD83" s="3"/>
      <c r="BE83" s="3"/>
      <c r="BF83" s="3">
        <f t="shared" si="76"/>
        <v>1108</v>
      </c>
      <c r="BH83" s="16">
        <v>17.3</v>
      </c>
      <c r="BI83" s="16">
        <f t="shared" si="69"/>
        <v>34.946000000000005</v>
      </c>
      <c r="BJ83" s="17">
        <f t="shared" si="70"/>
        <v>4.68</v>
      </c>
      <c r="BK83" s="17">
        <f t="shared" si="71"/>
        <v>10.15</v>
      </c>
      <c r="BM83" s="1">
        <f t="shared" si="72"/>
        <v>98.4</v>
      </c>
      <c r="BN83" s="1">
        <f t="shared" si="73"/>
        <v>86</v>
      </c>
      <c r="BO83" s="1">
        <f t="shared" si="74"/>
        <v>59.7</v>
      </c>
      <c r="BP83" s="62">
        <f t="shared" si="77"/>
        <v>0.45200000000000001</v>
      </c>
      <c r="BQ83" s="62">
        <f t="shared" si="75"/>
        <v>0.30499999999999999</v>
      </c>
      <c r="BS83" s="3">
        <v>1.1000000000000001</v>
      </c>
      <c r="BT83" s="8"/>
      <c r="BV83" s="8"/>
      <c r="BW83" s="16">
        <f t="shared" si="36"/>
        <v>4.68</v>
      </c>
      <c r="BX83" s="16">
        <f t="shared" si="37"/>
        <v>10.15</v>
      </c>
      <c r="BY83" s="3">
        <f t="shared" si="38"/>
        <v>1</v>
      </c>
      <c r="BZ83" s="3">
        <f t="shared" si="39"/>
        <v>0.5</v>
      </c>
      <c r="CA83" s="3">
        <f t="shared" si="40"/>
        <v>0.3</v>
      </c>
      <c r="CB83" s="3">
        <f t="shared" si="41"/>
        <v>0</v>
      </c>
      <c r="CC83" s="3">
        <f t="shared" si="42"/>
        <v>-0.1</v>
      </c>
      <c r="CD83" s="3">
        <f t="shared" si="43"/>
        <v>0.4</v>
      </c>
      <c r="CE83" s="3">
        <f t="shared" si="44"/>
        <v>0.8</v>
      </c>
      <c r="CF83" s="23">
        <f t="shared" si="45"/>
        <v>86</v>
      </c>
      <c r="CG83" s="1">
        <f t="shared" si="46"/>
        <v>3</v>
      </c>
      <c r="CH83" s="1">
        <f t="shared" si="47"/>
        <v>3.2</v>
      </c>
      <c r="CI83" s="1">
        <f t="shared" si="48"/>
        <v>2.9</v>
      </c>
      <c r="CJ83" s="1">
        <f t="shared" si="49"/>
        <v>0.1</v>
      </c>
      <c r="CK83" s="1">
        <f t="shared" si="50"/>
        <v>0</v>
      </c>
      <c r="CL83" s="1">
        <f t="shared" si="51"/>
        <v>0.4</v>
      </c>
      <c r="CM83" s="1">
        <f t="shared" si="52"/>
        <v>0.9</v>
      </c>
      <c r="CN83" s="2">
        <f t="shared" si="53"/>
        <v>98.4</v>
      </c>
      <c r="CO83" s="1">
        <f t="shared" si="54"/>
        <v>-0.8</v>
      </c>
      <c r="CP83" s="1">
        <f t="shared" si="55"/>
        <v>-2.4</v>
      </c>
      <c r="CQ83" s="1">
        <f t="shared" si="56"/>
        <v>-3.6</v>
      </c>
      <c r="CR83" s="1">
        <f t="shared" si="57"/>
        <v>-0.1</v>
      </c>
      <c r="CS83" s="1">
        <f t="shared" si="58"/>
        <v>-0.1</v>
      </c>
      <c r="CT83" s="1">
        <f t="shared" si="59"/>
        <v>0.3</v>
      </c>
      <c r="CU83" s="1">
        <f t="shared" si="60"/>
        <v>0.8</v>
      </c>
      <c r="CV83" s="2">
        <f t="shared" si="61"/>
        <v>59.7</v>
      </c>
      <c r="CW83" s="18">
        <f t="shared" si="62"/>
        <v>1108</v>
      </c>
      <c r="CX83" s="1">
        <f>ROUND(PPTest!K83,1)</f>
        <v>0.1</v>
      </c>
      <c r="CY83" s="17">
        <f t="shared" si="63"/>
        <v>1.23</v>
      </c>
      <c r="CZ83" s="17">
        <f t="shared" si="64"/>
        <v>3.83</v>
      </c>
      <c r="DA83" s="20">
        <f t="shared" si="65"/>
        <v>0.45200000000000001</v>
      </c>
      <c r="DB83" s="20">
        <f t="shared" si="66"/>
        <v>0.30499999999999999</v>
      </c>
      <c r="DC83" s="16">
        <f t="shared" si="67"/>
        <v>12.14</v>
      </c>
      <c r="DF83" s="1">
        <v>2.5</v>
      </c>
      <c r="DG83" s="1">
        <v>4</v>
      </c>
      <c r="DH83" s="1">
        <v>1.1000000000000001</v>
      </c>
      <c r="DI83" s="1">
        <v>85</v>
      </c>
      <c r="DJ83" s="1">
        <v>58</v>
      </c>
      <c r="DW83" s="1">
        <v>0.6</v>
      </c>
      <c r="DX83" s="1">
        <v>4.5999999999999996</v>
      </c>
      <c r="DY83" s="1">
        <v>-1.4</v>
      </c>
    </row>
    <row r="84" spans="1:129" x14ac:dyDescent="0.2">
      <c r="A84" s="40">
        <v>34777</v>
      </c>
      <c r="B84" s="3">
        <v>78</v>
      </c>
      <c r="C84" s="3">
        <v>5.6159999999999997</v>
      </c>
      <c r="D84" s="3">
        <v>11.22</v>
      </c>
      <c r="E84" s="3">
        <v>0.42499999999999999</v>
      </c>
      <c r="F84" s="3">
        <v>83.6</v>
      </c>
      <c r="G84" s="3">
        <v>-0.124</v>
      </c>
      <c r="H84" s="3">
        <v>-0.437</v>
      </c>
      <c r="I84" s="3">
        <v>-1E-3</v>
      </c>
      <c r="J84" s="3">
        <v>-0.93100000000000005</v>
      </c>
      <c r="K84" s="3">
        <v>8.7999999999999995E-2</v>
      </c>
      <c r="L84" s="3">
        <v>-7.0000000000000007E-2</v>
      </c>
      <c r="M84" s="3">
        <v>0.39700000000000002</v>
      </c>
      <c r="N84" s="3">
        <v>0.83299999999999996</v>
      </c>
      <c r="O84" s="3">
        <v>0</v>
      </c>
      <c r="P84" s="16">
        <v>1.6408333333333334</v>
      </c>
      <c r="Q84" s="3"/>
      <c r="R84" s="3">
        <v>4.3659999999999997</v>
      </c>
      <c r="S84" s="3">
        <v>1600</v>
      </c>
      <c r="T84" s="3">
        <v>101.2</v>
      </c>
      <c r="U84" s="3">
        <v>739</v>
      </c>
      <c r="V84" s="3">
        <v>6.0220000000000002</v>
      </c>
      <c r="W84" s="3">
        <v>4.5880000000000001</v>
      </c>
      <c r="X84" s="3">
        <v>4.2000000000000003E-2</v>
      </c>
      <c r="Y84" s="3">
        <v>0</v>
      </c>
      <c r="Z84" s="3">
        <v>8.19</v>
      </c>
      <c r="AA84" s="3">
        <v>-2.7E-2</v>
      </c>
      <c r="AB84" s="3">
        <v>0.44400000000000001</v>
      </c>
      <c r="AC84" s="3">
        <v>0.874</v>
      </c>
      <c r="AD84" s="16">
        <v>4.4874999999999998</v>
      </c>
      <c r="AE84" s="3">
        <v>1206</v>
      </c>
      <c r="AF84" s="3">
        <v>-2.9670000000000001</v>
      </c>
      <c r="AG84" s="3">
        <v>458</v>
      </c>
      <c r="AH84" s="3">
        <v>53.68</v>
      </c>
      <c r="AI84" s="3">
        <v>1603</v>
      </c>
      <c r="AJ84" s="3">
        <v>-4.149</v>
      </c>
      <c r="AK84" s="3">
        <v>-5.8380000000000001</v>
      </c>
      <c r="AL84" s="3">
        <v>-4.9000000000000002E-2</v>
      </c>
      <c r="AM84" s="3">
        <v>-2.0169999999999999</v>
      </c>
      <c r="AN84" s="3">
        <v>-3.2530000000000001</v>
      </c>
      <c r="AO84" s="3">
        <v>-0.112</v>
      </c>
      <c r="AP84" s="3">
        <v>0.35299999999999998</v>
      </c>
      <c r="AQ84" s="3">
        <v>0.79300000000000004</v>
      </c>
      <c r="AR84" s="3">
        <v>1.9E-2</v>
      </c>
      <c r="AS84" s="3">
        <v>0.156</v>
      </c>
      <c r="AT84" s="3">
        <v>0.17799999999999999</v>
      </c>
      <c r="AU84" s="3">
        <v>9.9000000000000005E-2</v>
      </c>
      <c r="AV84" s="3">
        <v>0.14399999999999999</v>
      </c>
      <c r="AW84" s="3">
        <v>0.33</v>
      </c>
      <c r="AX84" s="3">
        <v>5.8000000000000003E-2</v>
      </c>
      <c r="AY84" s="3">
        <v>1.7000000000000001E-2</v>
      </c>
      <c r="AZ84" s="3">
        <v>-0.96199999999999997</v>
      </c>
      <c r="BA84" s="3">
        <v>2376</v>
      </c>
      <c r="BB84" s="3">
        <v>12.14</v>
      </c>
      <c r="BC84" s="3">
        <v>2876</v>
      </c>
      <c r="BD84" s="3"/>
      <c r="BE84" s="3"/>
      <c r="BF84" s="3">
        <f t="shared" si="76"/>
        <v>1109</v>
      </c>
      <c r="BH84" s="16">
        <v>17.559999999999999</v>
      </c>
      <c r="BI84" s="16">
        <f t="shared" si="69"/>
        <v>35.471199999999996</v>
      </c>
      <c r="BJ84" s="17">
        <f t="shared" si="70"/>
        <v>5.62</v>
      </c>
      <c r="BK84" s="17">
        <f t="shared" si="71"/>
        <v>12.12</v>
      </c>
      <c r="BM84" s="1">
        <f t="shared" si="72"/>
        <v>94.5</v>
      </c>
      <c r="BN84" s="1">
        <f t="shared" si="73"/>
        <v>78.2</v>
      </c>
      <c r="BO84" s="1">
        <f t="shared" si="74"/>
        <v>50.6</v>
      </c>
      <c r="BP84" s="62">
        <f t="shared" si="77"/>
        <v>0.42199999999999999</v>
      </c>
      <c r="BQ84" s="62">
        <f t="shared" si="75"/>
        <v>0.41199999999999998</v>
      </c>
      <c r="BS84" s="3">
        <v>0.6</v>
      </c>
      <c r="BT84" s="8"/>
      <c r="BV84" s="8"/>
      <c r="BW84" s="16">
        <f t="shared" si="36"/>
        <v>5.62</v>
      </c>
      <c r="BX84" s="16">
        <f t="shared" si="37"/>
        <v>12.12</v>
      </c>
      <c r="BY84" s="3">
        <f t="shared" si="38"/>
        <v>0.4</v>
      </c>
      <c r="BZ84" s="3">
        <f t="shared" si="39"/>
        <v>-0.1</v>
      </c>
      <c r="CA84" s="3">
        <f t="shared" si="40"/>
        <v>-0.4</v>
      </c>
      <c r="CB84" s="3">
        <f t="shared" si="41"/>
        <v>0</v>
      </c>
      <c r="CC84" s="3">
        <f t="shared" si="42"/>
        <v>-0.1</v>
      </c>
      <c r="CD84" s="3">
        <f t="shared" si="43"/>
        <v>0.4</v>
      </c>
      <c r="CE84" s="3">
        <f t="shared" si="44"/>
        <v>0.8</v>
      </c>
      <c r="CF84" s="23">
        <f t="shared" si="45"/>
        <v>78.2</v>
      </c>
      <c r="CG84" s="1">
        <f t="shared" si="46"/>
        <v>4.4000000000000004</v>
      </c>
      <c r="CH84" s="1">
        <f t="shared" si="47"/>
        <v>6</v>
      </c>
      <c r="CI84" s="1">
        <f t="shared" si="48"/>
        <v>4.5999999999999996</v>
      </c>
      <c r="CJ84" s="1">
        <f t="shared" si="49"/>
        <v>0</v>
      </c>
      <c r="CK84" s="1">
        <f t="shared" si="50"/>
        <v>0</v>
      </c>
      <c r="CL84" s="1">
        <f t="shared" si="51"/>
        <v>0.4</v>
      </c>
      <c r="CM84" s="1">
        <f t="shared" si="52"/>
        <v>0.9</v>
      </c>
      <c r="CN84" s="2">
        <f t="shared" si="53"/>
        <v>94.5</v>
      </c>
      <c r="CO84" s="1">
        <f t="shared" si="54"/>
        <v>-3</v>
      </c>
      <c r="CP84" s="1">
        <f t="shared" si="55"/>
        <v>-4.0999999999999996</v>
      </c>
      <c r="CQ84" s="1">
        <f t="shared" si="56"/>
        <v>-5.8</v>
      </c>
      <c r="CR84" s="1">
        <f t="shared" si="57"/>
        <v>0</v>
      </c>
      <c r="CS84" s="1">
        <f t="shared" si="58"/>
        <v>-0.1</v>
      </c>
      <c r="CT84" s="1">
        <f t="shared" si="59"/>
        <v>0.4</v>
      </c>
      <c r="CU84" s="1">
        <f t="shared" si="60"/>
        <v>0.8</v>
      </c>
      <c r="CV84" s="2">
        <f t="shared" si="61"/>
        <v>50.6</v>
      </c>
      <c r="CW84" s="18">
        <f t="shared" si="62"/>
        <v>1109</v>
      </c>
      <c r="CX84" s="1">
        <f>ROUND(PPTest!K84,1)</f>
        <v>0.1</v>
      </c>
      <c r="CY84" s="17">
        <f t="shared" si="63"/>
        <v>1.64</v>
      </c>
      <c r="CZ84" s="17">
        <f t="shared" si="64"/>
        <v>4.49</v>
      </c>
      <c r="DA84" s="20">
        <f t="shared" si="65"/>
        <v>0.42199999999999999</v>
      </c>
      <c r="DB84" s="20">
        <f t="shared" si="66"/>
        <v>0.41199999999999998</v>
      </c>
      <c r="DC84" s="16">
        <f t="shared" si="67"/>
        <v>12.14</v>
      </c>
      <c r="DF84" s="1">
        <v>2.7</v>
      </c>
      <c r="DG84" s="1">
        <v>5.8</v>
      </c>
      <c r="DH84" s="1">
        <v>1.2</v>
      </c>
      <c r="DI84" s="1">
        <v>82.1</v>
      </c>
      <c r="DJ84" s="1">
        <v>63</v>
      </c>
      <c r="DW84" s="1">
        <v>0.2</v>
      </c>
      <c r="DX84" s="1">
        <v>4.8</v>
      </c>
      <c r="DY84" s="1">
        <v>-2.2999999999999998</v>
      </c>
    </row>
    <row r="85" spans="1:129" x14ac:dyDescent="0.2">
      <c r="A85" s="40">
        <v>34778</v>
      </c>
      <c r="B85" s="3">
        <v>79</v>
      </c>
      <c r="C85" s="3">
        <v>8.34</v>
      </c>
      <c r="D85" s="3">
        <v>16.38</v>
      </c>
      <c r="E85" s="3">
        <v>-0.85</v>
      </c>
      <c r="F85" s="3">
        <v>94</v>
      </c>
      <c r="G85" s="3">
        <v>-1.069</v>
      </c>
      <c r="H85" s="3">
        <v>-1.2689999999999999</v>
      </c>
      <c r="I85" s="3">
        <v>1.0999999999999999E-2</v>
      </c>
      <c r="J85" s="3">
        <v>-1.7609999999999999</v>
      </c>
      <c r="K85" s="3">
        <v>-0.95499999999999996</v>
      </c>
      <c r="L85" s="3">
        <v>-6.0999999999999999E-2</v>
      </c>
      <c r="M85" s="3">
        <v>0.40200000000000002</v>
      </c>
      <c r="N85" s="3">
        <v>0.82699999999999996</v>
      </c>
      <c r="O85" s="3">
        <v>0</v>
      </c>
      <c r="P85" s="16">
        <v>2.2741666666666669</v>
      </c>
      <c r="Q85" s="3"/>
      <c r="R85" s="3">
        <v>2.899</v>
      </c>
      <c r="S85" s="3">
        <v>1258</v>
      </c>
      <c r="T85" s="3">
        <v>104.9</v>
      </c>
      <c r="U85" s="3">
        <v>2003</v>
      </c>
      <c r="V85" s="3">
        <v>5.3220000000000001</v>
      </c>
      <c r="W85" s="3">
        <v>3.956</v>
      </c>
      <c r="X85" s="3">
        <v>0.14199999999999999</v>
      </c>
      <c r="Y85" s="3">
        <v>-0.51100000000000001</v>
      </c>
      <c r="Z85" s="3">
        <v>6.3339999999999996</v>
      </c>
      <c r="AA85" s="3">
        <v>-1.0999999999999999E-2</v>
      </c>
      <c r="AB85" s="3">
        <v>0.46</v>
      </c>
      <c r="AC85" s="3">
        <v>0.874</v>
      </c>
      <c r="AD85" s="16">
        <v>7.1808333333333332</v>
      </c>
      <c r="AE85" s="3">
        <v>2031</v>
      </c>
      <c r="AF85" s="3">
        <v>-3.4359999999999999</v>
      </c>
      <c r="AG85" s="3">
        <v>2356</v>
      </c>
      <c r="AH85" s="3">
        <v>68.61</v>
      </c>
      <c r="AI85" s="3">
        <v>341</v>
      </c>
      <c r="AJ85" s="3">
        <v>-4.24</v>
      </c>
      <c r="AK85" s="3">
        <v>-6.9749999999999996</v>
      </c>
      <c r="AL85" s="3">
        <v>-4.5999999999999999E-2</v>
      </c>
      <c r="AM85" s="3">
        <v>-3.03</v>
      </c>
      <c r="AN85" s="3">
        <v>-4.5730000000000004</v>
      </c>
      <c r="AO85" s="3">
        <v>-0.104</v>
      </c>
      <c r="AP85" s="3">
        <v>0.36399999999999999</v>
      </c>
      <c r="AQ85" s="3">
        <v>0.78500000000000003</v>
      </c>
      <c r="AR85" s="3">
        <v>0.21299999999999999</v>
      </c>
      <c r="AS85" s="3">
        <v>0.30499999999999999</v>
      </c>
      <c r="AT85" s="3">
        <v>0.124</v>
      </c>
      <c r="AU85" s="3">
        <v>5.5E-2</v>
      </c>
      <c r="AV85" s="3">
        <v>7.3999999999999996E-2</v>
      </c>
      <c r="AW85" s="3">
        <v>0.14899999999999999</v>
      </c>
      <c r="AX85" s="3">
        <v>0.03</v>
      </c>
      <c r="AY85" s="3">
        <v>0.05</v>
      </c>
      <c r="AZ85" s="3">
        <v>-1.365</v>
      </c>
      <c r="BA85" s="3">
        <v>2311</v>
      </c>
      <c r="BB85" s="3">
        <v>12.13</v>
      </c>
      <c r="BC85" s="3">
        <v>2876</v>
      </c>
      <c r="BD85" s="3"/>
      <c r="BE85" s="3"/>
      <c r="BF85" s="3">
        <f t="shared" si="76"/>
        <v>1174</v>
      </c>
      <c r="BH85" s="16">
        <v>17.829999999999998</v>
      </c>
      <c r="BI85" s="16">
        <f t="shared" si="69"/>
        <v>36.016599999999997</v>
      </c>
      <c r="BJ85" s="17">
        <f t="shared" si="70"/>
        <v>8.34</v>
      </c>
      <c r="BK85" s="17">
        <f t="shared" si="71"/>
        <v>17.690000000000001</v>
      </c>
      <c r="BM85" s="1">
        <f t="shared" si="72"/>
        <v>97.9</v>
      </c>
      <c r="BN85" s="1">
        <f t="shared" si="73"/>
        <v>87.9</v>
      </c>
      <c r="BO85" s="1">
        <f t="shared" si="74"/>
        <v>64.400000000000006</v>
      </c>
      <c r="BP85" s="62">
        <f t="shared" si="77"/>
        <v>0.48399999999999999</v>
      </c>
      <c r="BQ85" s="62">
        <f t="shared" si="75"/>
        <v>0.26800000000000002</v>
      </c>
      <c r="BS85" s="3">
        <v>2</v>
      </c>
      <c r="BT85" s="8"/>
      <c r="BV85" s="8"/>
      <c r="BW85" s="16">
        <f t="shared" si="36"/>
        <v>8.34</v>
      </c>
      <c r="BX85" s="16">
        <f t="shared" si="37"/>
        <v>17.690000000000001</v>
      </c>
      <c r="BY85" s="3">
        <f t="shared" si="38"/>
        <v>-0.9</v>
      </c>
      <c r="BZ85" s="3">
        <f t="shared" si="39"/>
        <v>-1.1000000000000001</v>
      </c>
      <c r="CA85" s="3">
        <f t="shared" si="40"/>
        <v>-1.3</v>
      </c>
      <c r="CB85" s="3">
        <f t="shared" si="41"/>
        <v>0</v>
      </c>
      <c r="CC85" s="3">
        <f t="shared" si="42"/>
        <v>-0.1</v>
      </c>
      <c r="CD85" s="3">
        <f t="shared" si="43"/>
        <v>0.4</v>
      </c>
      <c r="CE85" s="3">
        <f t="shared" si="44"/>
        <v>0.8</v>
      </c>
      <c r="CF85" s="23">
        <f t="shared" si="45"/>
        <v>87.9</v>
      </c>
      <c r="CG85" s="1">
        <f t="shared" si="46"/>
        <v>2.9</v>
      </c>
      <c r="CH85" s="1">
        <f t="shared" si="47"/>
        <v>5.3</v>
      </c>
      <c r="CI85" s="1">
        <f t="shared" si="48"/>
        <v>4</v>
      </c>
      <c r="CJ85" s="1">
        <f t="shared" si="49"/>
        <v>0.1</v>
      </c>
      <c r="CK85" s="1">
        <f t="shared" si="50"/>
        <v>0</v>
      </c>
      <c r="CL85" s="1">
        <f t="shared" si="51"/>
        <v>0.5</v>
      </c>
      <c r="CM85" s="1">
        <f t="shared" si="52"/>
        <v>0.9</v>
      </c>
      <c r="CN85" s="2">
        <f t="shared" si="53"/>
        <v>97.9</v>
      </c>
      <c r="CO85" s="1">
        <f t="shared" si="54"/>
        <v>-3.4</v>
      </c>
      <c r="CP85" s="1">
        <f t="shared" si="55"/>
        <v>-4.2</v>
      </c>
      <c r="CQ85" s="1">
        <f t="shared" si="56"/>
        <v>-7</v>
      </c>
      <c r="CR85" s="1">
        <f t="shared" si="57"/>
        <v>0</v>
      </c>
      <c r="CS85" s="1">
        <f t="shared" si="58"/>
        <v>-0.1</v>
      </c>
      <c r="CT85" s="1">
        <f t="shared" si="59"/>
        <v>0.4</v>
      </c>
      <c r="CU85" s="1">
        <f t="shared" si="60"/>
        <v>0.8</v>
      </c>
      <c r="CV85" s="2">
        <f t="shared" si="61"/>
        <v>64.400000000000006</v>
      </c>
      <c r="CW85" s="18">
        <f t="shared" si="62"/>
        <v>1174</v>
      </c>
      <c r="CX85" s="1">
        <f>ROUND(PPTest!K85,1)</f>
        <v>8.5</v>
      </c>
      <c r="CY85" s="17">
        <f t="shared" si="63"/>
        <v>2.27</v>
      </c>
      <c r="CZ85" s="17">
        <f t="shared" si="64"/>
        <v>7.18</v>
      </c>
      <c r="DA85" s="20">
        <f t="shared" si="65"/>
        <v>0.48399999999999999</v>
      </c>
      <c r="DB85" s="20">
        <f t="shared" si="66"/>
        <v>0.26800000000000002</v>
      </c>
      <c r="DC85" s="16">
        <f t="shared" si="67"/>
        <v>12.13</v>
      </c>
      <c r="DF85" s="1">
        <v>0.6</v>
      </c>
      <c r="DG85" s="1">
        <v>2.7</v>
      </c>
      <c r="DH85" s="1">
        <v>-1.9</v>
      </c>
      <c r="DI85" s="1">
        <v>84.9</v>
      </c>
      <c r="DJ85" s="1">
        <v>66</v>
      </c>
      <c r="DW85" s="1">
        <v>-1.7</v>
      </c>
      <c r="DX85" s="1">
        <v>1</v>
      </c>
      <c r="DY85" s="1">
        <v>-3.5</v>
      </c>
    </row>
    <row r="86" spans="1:129" x14ac:dyDescent="0.2">
      <c r="A86" s="40">
        <v>34779</v>
      </c>
      <c r="B86" s="3">
        <v>80</v>
      </c>
      <c r="C86" s="3">
        <v>10.75</v>
      </c>
      <c r="D86" s="3">
        <v>20.420000000000002</v>
      </c>
      <c r="E86" s="3">
        <v>-2.8380000000000001</v>
      </c>
      <c r="F86" s="3">
        <v>90.2</v>
      </c>
      <c r="G86" s="3">
        <v>-2.8809999999999998</v>
      </c>
      <c r="H86" s="3">
        <v>-3.3780000000000001</v>
      </c>
      <c r="I86" s="3">
        <v>7.0000000000000001E-3</v>
      </c>
      <c r="J86" s="3">
        <v>-0.311</v>
      </c>
      <c r="K86" s="3">
        <v>-2.7930000000000001</v>
      </c>
      <c r="L86" s="3">
        <v>-4.9000000000000002E-2</v>
      </c>
      <c r="M86" s="3">
        <v>0.41499999999999998</v>
      </c>
      <c r="N86" s="3">
        <v>0.83199999999999996</v>
      </c>
      <c r="O86" s="3">
        <v>0</v>
      </c>
      <c r="P86" s="16">
        <v>1.6908333333333334</v>
      </c>
      <c r="Q86" s="3"/>
      <c r="R86" s="3">
        <v>0.89200000000000002</v>
      </c>
      <c r="S86" s="3">
        <v>1412</v>
      </c>
      <c r="T86" s="3">
        <v>102.5</v>
      </c>
      <c r="U86" s="3">
        <v>23</v>
      </c>
      <c r="V86" s="3">
        <v>3.6520000000000001</v>
      </c>
      <c r="W86" s="3">
        <v>1.7929999999999999</v>
      </c>
      <c r="X86" s="3">
        <v>3.9E-2</v>
      </c>
      <c r="Y86" s="3">
        <v>-0.2</v>
      </c>
      <c r="Z86" s="3">
        <v>4.8029999999999999</v>
      </c>
      <c r="AA86" s="3">
        <v>-1.7000000000000001E-2</v>
      </c>
      <c r="AB86" s="3">
        <v>0.44400000000000001</v>
      </c>
      <c r="AC86" s="3">
        <v>0.86</v>
      </c>
      <c r="AD86" s="16">
        <v>5.9008333333333329</v>
      </c>
      <c r="AE86" s="3">
        <v>1610</v>
      </c>
      <c r="AF86" s="3">
        <v>-6.2910000000000004</v>
      </c>
      <c r="AG86" s="3">
        <v>2133</v>
      </c>
      <c r="AH86" s="3">
        <v>63.18</v>
      </c>
      <c r="AI86" s="3">
        <v>1706</v>
      </c>
      <c r="AJ86" s="3">
        <v>-7.72</v>
      </c>
      <c r="AK86" s="3">
        <v>-10.71</v>
      </c>
      <c r="AL86" s="3">
        <v>-1.9E-2</v>
      </c>
      <c r="AM86" s="3">
        <v>-0.53200000000000003</v>
      </c>
      <c r="AN86" s="3">
        <v>-8.9499999999999993</v>
      </c>
      <c r="AO86" s="3">
        <v>-7.4999999999999997E-2</v>
      </c>
      <c r="AP86" s="3">
        <v>0.38600000000000001</v>
      </c>
      <c r="AQ86" s="3">
        <v>0.80600000000000005</v>
      </c>
      <c r="AR86" s="3">
        <v>4.2999999999999997E-2</v>
      </c>
      <c r="AS86" s="3">
        <v>0.105</v>
      </c>
      <c r="AT86" s="3">
        <v>0.13700000000000001</v>
      </c>
      <c r="AU86" s="3">
        <v>0.14399999999999999</v>
      </c>
      <c r="AV86" s="3">
        <v>0.185</v>
      </c>
      <c r="AW86" s="3">
        <v>0.23200000000000001</v>
      </c>
      <c r="AX86" s="3">
        <v>9.1999999999999998E-2</v>
      </c>
      <c r="AY86" s="3">
        <v>6.2E-2</v>
      </c>
      <c r="AZ86" s="3">
        <v>-1.57</v>
      </c>
      <c r="BA86" s="3">
        <v>2324</v>
      </c>
      <c r="BB86" s="3">
        <v>12.13</v>
      </c>
      <c r="BC86" s="3">
        <v>2876</v>
      </c>
      <c r="BD86" s="3"/>
      <c r="BE86" s="3"/>
      <c r="BF86" s="3">
        <f t="shared" si="76"/>
        <v>1161</v>
      </c>
      <c r="BH86" s="16">
        <v>18.100000000000001</v>
      </c>
      <c r="BI86" s="16">
        <f t="shared" si="69"/>
        <v>36.562000000000005</v>
      </c>
      <c r="BJ86" s="17">
        <f t="shared" si="70"/>
        <v>10.75</v>
      </c>
      <c r="BK86" s="17">
        <f t="shared" si="71"/>
        <v>22.05</v>
      </c>
      <c r="BM86" s="1">
        <f t="shared" si="72"/>
        <v>95.7</v>
      </c>
      <c r="BN86" s="1">
        <f t="shared" si="73"/>
        <v>84.3</v>
      </c>
      <c r="BO86" s="1">
        <f t="shared" si="74"/>
        <v>59.4</v>
      </c>
      <c r="BP86" s="62">
        <f t="shared" si="77"/>
        <v>0.38700000000000001</v>
      </c>
      <c r="BQ86" s="62">
        <f t="shared" si="75"/>
        <v>0.26500000000000001</v>
      </c>
      <c r="BS86" s="3">
        <v>6.9</v>
      </c>
      <c r="BT86" s="8"/>
      <c r="BV86" s="8"/>
      <c r="BW86" s="16">
        <f t="shared" si="36"/>
        <v>10.75</v>
      </c>
      <c r="BX86" s="16">
        <f t="shared" si="37"/>
        <v>22.05</v>
      </c>
      <c r="BY86" s="3">
        <f t="shared" si="38"/>
        <v>-2.8</v>
      </c>
      <c r="BZ86" s="3">
        <f t="shared" si="39"/>
        <v>-2.9</v>
      </c>
      <c r="CA86" s="3">
        <f t="shared" si="40"/>
        <v>-3.4</v>
      </c>
      <c r="CB86" s="3">
        <f t="shared" si="41"/>
        <v>0</v>
      </c>
      <c r="CC86" s="3">
        <f t="shared" si="42"/>
        <v>0</v>
      </c>
      <c r="CD86" s="3">
        <f t="shared" si="43"/>
        <v>0.4</v>
      </c>
      <c r="CE86" s="3">
        <f t="shared" si="44"/>
        <v>0.8</v>
      </c>
      <c r="CF86" s="23">
        <f t="shared" si="45"/>
        <v>84.3</v>
      </c>
      <c r="CG86" s="1">
        <f t="shared" si="46"/>
        <v>0.9</v>
      </c>
      <c r="CH86" s="1">
        <f t="shared" si="47"/>
        <v>3.7</v>
      </c>
      <c r="CI86" s="1">
        <f t="shared" si="48"/>
        <v>1.8</v>
      </c>
      <c r="CJ86" s="1">
        <f t="shared" si="49"/>
        <v>0</v>
      </c>
      <c r="CK86" s="1">
        <f t="shared" si="50"/>
        <v>0</v>
      </c>
      <c r="CL86" s="1">
        <f t="shared" si="51"/>
        <v>0.4</v>
      </c>
      <c r="CM86" s="1">
        <f t="shared" si="52"/>
        <v>0.9</v>
      </c>
      <c r="CN86" s="2">
        <f t="shared" si="53"/>
        <v>95.7</v>
      </c>
      <c r="CO86" s="1">
        <f t="shared" si="54"/>
        <v>-6.3</v>
      </c>
      <c r="CP86" s="1">
        <f t="shared" si="55"/>
        <v>-7.7</v>
      </c>
      <c r="CQ86" s="1">
        <f t="shared" si="56"/>
        <v>-10.7</v>
      </c>
      <c r="CR86" s="1">
        <f t="shared" si="57"/>
        <v>0</v>
      </c>
      <c r="CS86" s="1">
        <f t="shared" si="58"/>
        <v>-0.1</v>
      </c>
      <c r="CT86" s="1">
        <f t="shared" si="59"/>
        <v>0.4</v>
      </c>
      <c r="CU86" s="1">
        <f t="shared" si="60"/>
        <v>0.8</v>
      </c>
      <c r="CV86" s="2">
        <f t="shared" si="61"/>
        <v>59.4</v>
      </c>
      <c r="CW86" s="18">
        <f t="shared" si="62"/>
        <v>1161</v>
      </c>
      <c r="CX86" s="1">
        <f>ROUND(PPTest!K86,1)</f>
        <v>0</v>
      </c>
      <c r="CY86" s="17">
        <f t="shared" si="63"/>
        <v>1.69</v>
      </c>
      <c r="CZ86" s="17">
        <f t="shared" si="64"/>
        <v>5.9</v>
      </c>
      <c r="DA86" s="20">
        <f t="shared" si="65"/>
        <v>0.38700000000000001</v>
      </c>
      <c r="DB86" s="20">
        <f t="shared" si="66"/>
        <v>0.26500000000000001</v>
      </c>
      <c r="DC86" s="16">
        <f t="shared" si="67"/>
        <v>12.13</v>
      </c>
      <c r="DF86" s="1">
        <v>-0.6</v>
      </c>
      <c r="DG86" s="1">
        <v>3.8</v>
      </c>
      <c r="DH86" s="1">
        <v>-2.2999999999999998</v>
      </c>
      <c r="DI86" s="1">
        <v>88.7</v>
      </c>
      <c r="DJ86" s="1">
        <v>78</v>
      </c>
      <c r="DW86" s="1">
        <v>-3.5</v>
      </c>
      <c r="DX86" s="1">
        <v>-0.6</v>
      </c>
      <c r="DY86" s="1">
        <v>-7.7</v>
      </c>
    </row>
    <row r="87" spans="1:129" x14ac:dyDescent="0.2">
      <c r="A87" s="40">
        <v>34780</v>
      </c>
      <c r="B87" s="3">
        <v>81</v>
      </c>
      <c r="C87" s="3">
        <v>16.29</v>
      </c>
      <c r="D87" s="3">
        <v>30.49</v>
      </c>
      <c r="E87" s="3">
        <v>-2.9809999999999999</v>
      </c>
      <c r="F87" s="3">
        <v>80</v>
      </c>
      <c r="G87" s="3">
        <v>-3.4289999999999998</v>
      </c>
      <c r="H87" s="3">
        <v>-4.2060000000000004</v>
      </c>
      <c r="I87" s="3">
        <v>-4.0000000000000001E-3</v>
      </c>
      <c r="J87" s="3">
        <v>-0.70499999999999996</v>
      </c>
      <c r="K87" s="3">
        <v>-2.7559999999999998</v>
      </c>
      <c r="L87" s="3">
        <v>-0.05</v>
      </c>
      <c r="M87" s="3">
        <v>0.40899999999999997</v>
      </c>
      <c r="N87" s="3">
        <v>0.81899999999999995</v>
      </c>
      <c r="O87" s="3">
        <v>0</v>
      </c>
      <c r="P87" s="16">
        <v>1.6591666666666667</v>
      </c>
      <c r="Q87" s="3"/>
      <c r="R87" s="3">
        <v>2.472</v>
      </c>
      <c r="S87" s="3">
        <v>1339</v>
      </c>
      <c r="T87" s="3">
        <v>100.9</v>
      </c>
      <c r="U87" s="3">
        <v>545</v>
      </c>
      <c r="V87" s="3">
        <v>4.2460000000000004</v>
      </c>
      <c r="W87" s="3">
        <v>3.327</v>
      </c>
      <c r="X87" s="3">
        <v>3.2000000000000001E-2</v>
      </c>
      <c r="Y87" s="3">
        <v>-0.23300000000000001</v>
      </c>
      <c r="Z87" s="3">
        <v>8.99</v>
      </c>
      <c r="AA87" s="3">
        <v>-1.7000000000000001E-2</v>
      </c>
      <c r="AB87" s="3">
        <v>0.443</v>
      </c>
      <c r="AC87" s="3">
        <v>0.85199999999999998</v>
      </c>
      <c r="AD87" s="16">
        <v>4.9408333333333339</v>
      </c>
      <c r="AE87" s="3">
        <v>1121</v>
      </c>
      <c r="AF87" s="3">
        <v>-8.01</v>
      </c>
      <c r="AG87" s="3">
        <v>631</v>
      </c>
      <c r="AH87" s="3">
        <v>46.03</v>
      </c>
      <c r="AI87" s="3">
        <v>1314</v>
      </c>
      <c r="AJ87" s="3">
        <v>-9.66</v>
      </c>
      <c r="AK87" s="3">
        <v>-12.52</v>
      </c>
      <c r="AL87" s="3">
        <v>-3.5999999999999997E-2</v>
      </c>
      <c r="AM87" s="3">
        <v>-0.92600000000000005</v>
      </c>
      <c r="AN87" s="3">
        <v>-10.59</v>
      </c>
      <c r="AO87" s="3">
        <v>-8.3000000000000004E-2</v>
      </c>
      <c r="AP87" s="3">
        <v>0.378</v>
      </c>
      <c r="AQ87" s="3">
        <v>0.78600000000000003</v>
      </c>
      <c r="AR87" s="3">
        <v>0.13100000000000001</v>
      </c>
      <c r="AS87" s="3">
        <v>0.36699999999999999</v>
      </c>
      <c r="AT87" s="3">
        <v>0.315</v>
      </c>
      <c r="AU87" s="3">
        <v>0.08</v>
      </c>
      <c r="AV87" s="3">
        <v>2.1999999999999999E-2</v>
      </c>
      <c r="AW87" s="3">
        <v>2.5999999999999999E-2</v>
      </c>
      <c r="AX87" s="3">
        <v>0.02</v>
      </c>
      <c r="AY87" s="3">
        <v>0.04</v>
      </c>
      <c r="AZ87" s="3">
        <v>-2.5310000000000001</v>
      </c>
      <c r="BA87" s="3">
        <v>2329</v>
      </c>
      <c r="BB87" s="3">
        <v>12.13</v>
      </c>
      <c r="BC87" s="3">
        <v>2876</v>
      </c>
      <c r="BD87" s="3"/>
      <c r="BE87" s="3"/>
      <c r="BF87" s="3">
        <f t="shared" si="76"/>
        <v>1156</v>
      </c>
      <c r="BH87" s="16">
        <v>18.36</v>
      </c>
      <c r="BI87" s="16">
        <f t="shared" si="69"/>
        <v>37.087199999999996</v>
      </c>
      <c r="BJ87" s="17">
        <f t="shared" si="70"/>
        <v>16.29</v>
      </c>
      <c r="BK87" s="17">
        <f t="shared" si="71"/>
        <v>32.93</v>
      </c>
      <c r="BM87" s="1">
        <f t="shared" si="72"/>
        <v>94.2</v>
      </c>
      <c r="BN87" s="1">
        <f t="shared" si="73"/>
        <v>74.900000000000006</v>
      </c>
      <c r="BO87" s="1">
        <f t="shared" si="74"/>
        <v>43.5</v>
      </c>
      <c r="BP87" s="62">
        <f t="shared" si="77"/>
        <v>0.317</v>
      </c>
      <c r="BQ87" s="62">
        <f t="shared" si="75"/>
        <v>0.41199999999999998</v>
      </c>
      <c r="BS87" s="3">
        <v>0.6</v>
      </c>
      <c r="BT87" s="8"/>
      <c r="BV87" s="8"/>
      <c r="BW87" s="16">
        <f t="shared" si="36"/>
        <v>16.29</v>
      </c>
      <c r="BX87" s="16">
        <f t="shared" si="37"/>
        <v>32.93</v>
      </c>
      <c r="BY87" s="3">
        <f t="shared" si="38"/>
        <v>-3</v>
      </c>
      <c r="BZ87" s="3">
        <f t="shared" si="39"/>
        <v>-3.4</v>
      </c>
      <c r="CA87" s="3">
        <f t="shared" si="40"/>
        <v>-4.2</v>
      </c>
      <c r="CB87" s="3">
        <f t="shared" si="41"/>
        <v>0</v>
      </c>
      <c r="CC87" s="3">
        <f t="shared" si="42"/>
        <v>-0.1</v>
      </c>
      <c r="CD87" s="3">
        <f t="shared" si="43"/>
        <v>0.4</v>
      </c>
      <c r="CE87" s="3">
        <f t="shared" si="44"/>
        <v>0.8</v>
      </c>
      <c r="CF87" s="23">
        <f t="shared" si="45"/>
        <v>74.900000000000006</v>
      </c>
      <c r="CG87" s="1">
        <f t="shared" si="46"/>
        <v>2.5</v>
      </c>
      <c r="CH87" s="1">
        <f t="shared" si="47"/>
        <v>4.2</v>
      </c>
      <c r="CI87" s="1">
        <f t="shared" si="48"/>
        <v>3.3</v>
      </c>
      <c r="CJ87" s="1">
        <f t="shared" si="49"/>
        <v>0</v>
      </c>
      <c r="CK87" s="1">
        <f t="shared" si="50"/>
        <v>0</v>
      </c>
      <c r="CL87" s="1">
        <f t="shared" si="51"/>
        <v>0.4</v>
      </c>
      <c r="CM87" s="1">
        <f t="shared" si="52"/>
        <v>0.9</v>
      </c>
      <c r="CN87" s="2">
        <f t="shared" si="53"/>
        <v>94.2</v>
      </c>
      <c r="CO87" s="1">
        <f t="shared" si="54"/>
        <v>-8</v>
      </c>
      <c r="CP87" s="1">
        <f t="shared" si="55"/>
        <v>-9.6999999999999993</v>
      </c>
      <c r="CQ87" s="1">
        <f t="shared" si="56"/>
        <v>-12.5</v>
      </c>
      <c r="CR87" s="1">
        <f t="shared" si="57"/>
        <v>0</v>
      </c>
      <c r="CS87" s="1">
        <f t="shared" si="58"/>
        <v>-0.1</v>
      </c>
      <c r="CT87" s="1">
        <f t="shared" si="59"/>
        <v>0.4</v>
      </c>
      <c r="CU87" s="1">
        <f t="shared" si="60"/>
        <v>0.8</v>
      </c>
      <c r="CV87" s="2">
        <f t="shared" si="61"/>
        <v>43.5</v>
      </c>
      <c r="CW87" s="18">
        <f t="shared" si="62"/>
        <v>1156</v>
      </c>
      <c r="CX87" s="1">
        <f>ROUND(PPTest!K87,1)</f>
        <v>0</v>
      </c>
      <c r="CY87" s="17">
        <f t="shared" si="63"/>
        <v>1.66</v>
      </c>
      <c r="CZ87" s="17">
        <f t="shared" si="64"/>
        <v>4.9400000000000004</v>
      </c>
      <c r="DA87" s="20">
        <f t="shared" si="65"/>
        <v>0.317</v>
      </c>
      <c r="DB87" s="20">
        <f t="shared" si="66"/>
        <v>0.41199999999999998</v>
      </c>
      <c r="DC87" s="16">
        <f t="shared" si="67"/>
        <v>12.13</v>
      </c>
      <c r="DF87" s="1">
        <v>0.5</v>
      </c>
      <c r="DG87" s="1">
        <v>4.3</v>
      </c>
      <c r="DH87" s="1">
        <v>-3.9</v>
      </c>
      <c r="DI87" s="1">
        <v>69.099999999999994</v>
      </c>
      <c r="DJ87" s="1">
        <v>51</v>
      </c>
      <c r="DW87" s="1">
        <v>-3.7</v>
      </c>
      <c r="DX87" s="1">
        <v>-1.3</v>
      </c>
      <c r="DY87" s="1">
        <v>-7.4</v>
      </c>
    </row>
    <row r="88" spans="1:129" x14ac:dyDescent="0.2">
      <c r="A88" s="40">
        <v>34781</v>
      </c>
      <c r="B88" s="3">
        <v>82</v>
      </c>
      <c r="C88" s="3">
        <v>4.6719999999999997</v>
      </c>
      <c r="D88" s="3">
        <v>9.0500000000000007</v>
      </c>
      <c r="E88" s="3">
        <v>-2.165</v>
      </c>
      <c r="F88" s="3">
        <v>95.8</v>
      </c>
      <c r="G88" s="3">
        <v>-2.5310000000000001</v>
      </c>
      <c r="H88" s="3">
        <v>-2.86</v>
      </c>
      <c r="I88" s="3">
        <v>8.0000000000000002E-3</v>
      </c>
      <c r="J88" s="3">
        <v>-1.0669999999999999</v>
      </c>
      <c r="K88" s="3">
        <v>-2.3420000000000001</v>
      </c>
      <c r="L88" s="3">
        <v>-3.3000000000000002E-2</v>
      </c>
      <c r="M88" s="3">
        <v>0.42699999999999999</v>
      </c>
      <c r="N88" s="3">
        <v>0.82799999999999996</v>
      </c>
      <c r="O88" s="3">
        <v>0</v>
      </c>
      <c r="P88" s="16">
        <v>1.4716666666666667</v>
      </c>
      <c r="Q88" s="3"/>
      <c r="R88" s="3">
        <v>1.3620000000000001</v>
      </c>
      <c r="S88" s="3">
        <v>1023</v>
      </c>
      <c r="T88" s="3">
        <v>104.6</v>
      </c>
      <c r="U88" s="3">
        <v>1815</v>
      </c>
      <c r="V88" s="3">
        <v>2.4940000000000002</v>
      </c>
      <c r="W88" s="3">
        <v>1.5169999999999999</v>
      </c>
      <c r="X88" s="3">
        <v>3.4000000000000002E-2</v>
      </c>
      <c r="Y88" s="3">
        <v>-0.84299999999999997</v>
      </c>
      <c r="Z88" s="3">
        <v>2.8130000000000002</v>
      </c>
      <c r="AA88" s="3">
        <v>-5.0000000000000001E-3</v>
      </c>
      <c r="AB88" s="3">
        <v>0.45500000000000002</v>
      </c>
      <c r="AC88" s="3">
        <v>0.85699999999999998</v>
      </c>
      <c r="AD88" s="16">
        <v>4.0341666666666667</v>
      </c>
      <c r="AE88" s="3">
        <v>326</v>
      </c>
      <c r="AF88" s="3">
        <v>-5.2939999999999996</v>
      </c>
      <c r="AG88" s="3">
        <v>46</v>
      </c>
      <c r="AH88" s="3">
        <v>75</v>
      </c>
      <c r="AI88" s="3">
        <v>1013</v>
      </c>
      <c r="AJ88" s="3">
        <v>-6.2279999999999998</v>
      </c>
      <c r="AK88" s="3">
        <v>-9.23</v>
      </c>
      <c r="AL88" s="3">
        <v>-2.3E-2</v>
      </c>
      <c r="AM88" s="3">
        <v>-1.1559999999999999</v>
      </c>
      <c r="AN88" s="3">
        <v>-6.7729999999999997</v>
      </c>
      <c r="AO88" s="3">
        <v>-0.06</v>
      </c>
      <c r="AP88" s="3">
        <v>0.40100000000000002</v>
      </c>
      <c r="AQ88" s="3">
        <v>0.80400000000000005</v>
      </c>
      <c r="AR88" s="3">
        <v>0.221</v>
      </c>
      <c r="AS88" s="3">
        <v>0.35599999999999998</v>
      </c>
      <c r="AT88" s="3">
        <v>0.13600000000000001</v>
      </c>
      <c r="AU88" s="3">
        <v>4.1000000000000002E-2</v>
      </c>
      <c r="AV88" s="3">
        <v>3.4000000000000002E-2</v>
      </c>
      <c r="AW88" s="3">
        <v>0.11700000000000001</v>
      </c>
      <c r="AX88" s="3">
        <v>5.5E-2</v>
      </c>
      <c r="AY88" s="3">
        <v>0.04</v>
      </c>
      <c r="AZ88" s="3">
        <v>-2.2629999999999999</v>
      </c>
      <c r="BA88" s="3">
        <v>2215</v>
      </c>
      <c r="BB88" s="3">
        <v>12.12</v>
      </c>
      <c r="BC88" s="3">
        <v>2876</v>
      </c>
      <c r="BD88" s="3"/>
      <c r="BE88" s="3"/>
      <c r="BF88" s="3">
        <f t="shared" si="76"/>
        <v>1270</v>
      </c>
      <c r="BH88" s="16">
        <v>18.63</v>
      </c>
      <c r="BI88" s="16">
        <f t="shared" si="69"/>
        <v>37.632599999999996</v>
      </c>
      <c r="BJ88" s="17">
        <f t="shared" si="70"/>
        <v>4.67</v>
      </c>
      <c r="BK88" s="17">
        <f t="shared" si="71"/>
        <v>9.77</v>
      </c>
      <c r="BM88" s="1">
        <f t="shared" si="72"/>
        <v>97.7</v>
      </c>
      <c r="BN88" s="1">
        <f t="shared" si="73"/>
        <v>89.5</v>
      </c>
      <c r="BO88" s="1">
        <f t="shared" si="74"/>
        <v>70.3</v>
      </c>
      <c r="BP88" s="62">
        <f t="shared" si="77"/>
        <v>0.47399999999999998</v>
      </c>
      <c r="BQ88" s="62">
        <f t="shared" si="75"/>
        <v>0.2</v>
      </c>
      <c r="BS88" s="3">
        <v>1.2</v>
      </c>
      <c r="BT88" s="8"/>
      <c r="BV88" s="8"/>
      <c r="BW88" s="16">
        <f t="shared" si="36"/>
        <v>4.67</v>
      </c>
      <c r="BX88" s="16">
        <f t="shared" si="37"/>
        <v>9.77</v>
      </c>
      <c r="BY88" s="3">
        <f t="shared" si="38"/>
        <v>-2.2000000000000002</v>
      </c>
      <c r="BZ88" s="3">
        <f t="shared" si="39"/>
        <v>-2.5</v>
      </c>
      <c r="CA88" s="3">
        <f t="shared" si="40"/>
        <v>-2.9</v>
      </c>
      <c r="CB88" s="3">
        <f t="shared" si="41"/>
        <v>0</v>
      </c>
      <c r="CC88" s="3">
        <f t="shared" si="42"/>
        <v>0</v>
      </c>
      <c r="CD88" s="3">
        <f t="shared" si="43"/>
        <v>0.4</v>
      </c>
      <c r="CE88" s="3">
        <f t="shared" si="44"/>
        <v>0.8</v>
      </c>
      <c r="CF88" s="23">
        <f t="shared" si="45"/>
        <v>89.5</v>
      </c>
      <c r="CG88" s="1">
        <f t="shared" si="46"/>
        <v>1.4</v>
      </c>
      <c r="CH88" s="1">
        <f t="shared" si="47"/>
        <v>2.5</v>
      </c>
      <c r="CI88" s="1">
        <f t="shared" si="48"/>
        <v>1.5</v>
      </c>
      <c r="CJ88" s="1">
        <f t="shared" si="49"/>
        <v>0</v>
      </c>
      <c r="CK88" s="1">
        <f t="shared" si="50"/>
        <v>0</v>
      </c>
      <c r="CL88" s="1">
        <f t="shared" si="51"/>
        <v>0.5</v>
      </c>
      <c r="CM88" s="1">
        <f t="shared" si="52"/>
        <v>0.9</v>
      </c>
      <c r="CN88" s="2">
        <f t="shared" si="53"/>
        <v>97.7</v>
      </c>
      <c r="CO88" s="1">
        <f t="shared" si="54"/>
        <v>-5.3</v>
      </c>
      <c r="CP88" s="1">
        <f t="shared" si="55"/>
        <v>-6.2</v>
      </c>
      <c r="CQ88" s="1">
        <f t="shared" si="56"/>
        <v>-9.1999999999999993</v>
      </c>
      <c r="CR88" s="1">
        <f t="shared" si="57"/>
        <v>0</v>
      </c>
      <c r="CS88" s="1">
        <f t="shared" si="58"/>
        <v>-0.1</v>
      </c>
      <c r="CT88" s="1">
        <f t="shared" si="59"/>
        <v>0.4</v>
      </c>
      <c r="CU88" s="1">
        <f t="shared" si="60"/>
        <v>0.8</v>
      </c>
      <c r="CV88" s="2">
        <f t="shared" si="61"/>
        <v>70.3</v>
      </c>
      <c r="CW88" s="18">
        <f t="shared" si="62"/>
        <v>1270</v>
      </c>
      <c r="CX88" s="1">
        <f>ROUND(PPTest!K88,1)</f>
        <v>14.8</v>
      </c>
      <c r="CY88" s="17">
        <f t="shared" si="63"/>
        <v>1.47</v>
      </c>
      <c r="CZ88" s="17">
        <f t="shared" si="64"/>
        <v>4.03</v>
      </c>
      <c r="DA88" s="20">
        <f t="shared" si="65"/>
        <v>0.47399999999999998</v>
      </c>
      <c r="DB88" s="20">
        <f t="shared" si="66"/>
        <v>0.2</v>
      </c>
      <c r="DC88" s="16">
        <f t="shared" si="67"/>
        <v>12.12</v>
      </c>
      <c r="DF88" s="1">
        <v>-0.2</v>
      </c>
      <c r="DG88" s="1">
        <v>1.5</v>
      </c>
      <c r="DH88" s="1">
        <v>-1.9</v>
      </c>
      <c r="DI88" s="1">
        <v>84.6</v>
      </c>
      <c r="DJ88" s="1">
        <v>60</v>
      </c>
      <c r="DW88" s="1">
        <v>-2.7</v>
      </c>
      <c r="DX88" s="1">
        <v>0.6</v>
      </c>
      <c r="DY88" s="1">
        <v>-5.5</v>
      </c>
    </row>
    <row r="89" spans="1:129" x14ac:dyDescent="0.2">
      <c r="A89" s="40">
        <v>34782</v>
      </c>
      <c r="B89" s="3">
        <v>83</v>
      </c>
      <c r="C89" s="3">
        <v>9.06</v>
      </c>
      <c r="D89" s="3">
        <v>14.5</v>
      </c>
      <c r="E89" s="3">
        <v>-4.0030000000000001</v>
      </c>
      <c r="F89" s="3">
        <v>94.6</v>
      </c>
      <c r="G89" s="3">
        <v>-4.1239999999999997</v>
      </c>
      <c r="H89" s="3">
        <v>-4.5229999999999997</v>
      </c>
      <c r="I89" s="3">
        <v>2.7E-2</v>
      </c>
      <c r="J89" s="3">
        <v>-0.95799999999999996</v>
      </c>
      <c r="K89" s="3">
        <v>-3.4670000000000001</v>
      </c>
      <c r="L89" s="3">
        <v>-1.0999999999999999E-2</v>
      </c>
      <c r="M89" s="3">
        <v>0.44900000000000001</v>
      </c>
      <c r="N89" s="3">
        <v>0.84499999999999997</v>
      </c>
      <c r="O89" s="3">
        <v>0</v>
      </c>
      <c r="P89" s="16">
        <v>1.6725000000000001</v>
      </c>
      <c r="Q89" s="3"/>
      <c r="R89" s="3">
        <v>-3.9E-2</v>
      </c>
      <c r="S89" s="3">
        <v>1332</v>
      </c>
      <c r="T89" s="3">
        <v>104.5</v>
      </c>
      <c r="U89" s="3">
        <v>1710</v>
      </c>
      <c r="V89" s="3">
        <v>2.5619999999999998</v>
      </c>
      <c r="W89" s="3">
        <v>0.47699999999999998</v>
      </c>
      <c r="X89" s="3">
        <v>6.2E-2</v>
      </c>
      <c r="Y89" s="3">
        <v>-0.75800000000000001</v>
      </c>
      <c r="Z89" s="3">
        <v>4.4290000000000003</v>
      </c>
      <c r="AA89" s="3">
        <v>2.8000000000000001E-2</v>
      </c>
      <c r="AB89" s="3">
        <v>0.48799999999999999</v>
      </c>
      <c r="AC89" s="3">
        <v>0.879</v>
      </c>
      <c r="AD89" s="16">
        <v>4.5408333333333335</v>
      </c>
      <c r="AE89" s="3">
        <v>1717</v>
      </c>
      <c r="AF89" s="3">
        <v>-7.07</v>
      </c>
      <c r="AG89" s="3">
        <v>2358</v>
      </c>
      <c r="AH89" s="3">
        <v>63.51</v>
      </c>
      <c r="AI89" s="3">
        <v>1349</v>
      </c>
      <c r="AJ89" s="3">
        <v>-8.06</v>
      </c>
      <c r="AK89" s="3">
        <v>-11.54</v>
      </c>
      <c r="AL89" s="3">
        <v>-1E-3</v>
      </c>
      <c r="AM89" s="3">
        <v>-1.153</v>
      </c>
      <c r="AN89" s="3">
        <v>-8.76</v>
      </c>
      <c r="AO89" s="3">
        <v>-3.5999999999999997E-2</v>
      </c>
      <c r="AP89" s="3">
        <v>0.42199999999999999</v>
      </c>
      <c r="AQ89" s="3">
        <v>0.81799999999999995</v>
      </c>
      <c r="AR89" s="3">
        <v>4.0000000000000001E-3</v>
      </c>
      <c r="AS89" s="3">
        <v>1.4999999999999999E-2</v>
      </c>
      <c r="AT89" s="3">
        <v>2.4E-2</v>
      </c>
      <c r="AU89" s="3">
        <v>2.5999999999999999E-2</v>
      </c>
      <c r="AV89" s="3">
        <v>0.188</v>
      </c>
      <c r="AW89" s="3">
        <v>0.59399999999999997</v>
      </c>
      <c r="AX89" s="3">
        <v>0.13600000000000001</v>
      </c>
      <c r="AY89" s="3">
        <v>1.0999999999999999E-2</v>
      </c>
      <c r="AZ89" s="3">
        <v>-1.2989999999999999</v>
      </c>
      <c r="BA89" s="3">
        <v>2213</v>
      </c>
      <c r="BB89" s="3">
        <v>12.12</v>
      </c>
      <c r="BC89" s="3">
        <v>2876</v>
      </c>
      <c r="BD89" s="3"/>
      <c r="BE89" s="3"/>
      <c r="BF89" s="3">
        <f t="shared" si="76"/>
        <v>1272</v>
      </c>
      <c r="BH89" s="16">
        <v>18.899999999999999</v>
      </c>
      <c r="BI89" s="16">
        <f t="shared" si="69"/>
        <v>38.177999999999997</v>
      </c>
      <c r="BJ89" s="17">
        <f t="shared" si="70"/>
        <v>9.06</v>
      </c>
      <c r="BK89" s="17">
        <f t="shared" si="71"/>
        <v>15.66</v>
      </c>
      <c r="BM89" s="1">
        <f t="shared" si="72"/>
        <v>97.6</v>
      </c>
      <c r="BN89" s="1">
        <f t="shared" si="73"/>
        <v>88.4</v>
      </c>
      <c r="BO89" s="1">
        <f t="shared" si="74"/>
        <v>59.7</v>
      </c>
      <c r="BP89" s="62">
        <f t="shared" si="77"/>
        <v>0.36299999999999999</v>
      </c>
      <c r="BQ89" s="62">
        <f t="shared" si="75"/>
        <v>0.245</v>
      </c>
      <c r="BS89" s="3">
        <v>7.7</v>
      </c>
      <c r="BT89" s="8"/>
      <c r="BV89" s="8"/>
      <c r="BW89" s="16">
        <f t="shared" ref="BW89:BW152" si="78">BJ89</f>
        <v>9.06</v>
      </c>
      <c r="BX89" s="16">
        <f t="shared" ref="BX89:BX152" si="79">BK89</f>
        <v>15.66</v>
      </c>
      <c r="BY89" s="3">
        <f t="shared" ref="BY89:BY152" si="80">ROUND(E89,1)</f>
        <v>-4</v>
      </c>
      <c r="BZ89" s="3">
        <f t="shared" ref="BZ89:BZ152" si="81">ROUND(G89,1)</f>
        <v>-4.0999999999999996</v>
      </c>
      <c r="CA89" s="3">
        <f t="shared" ref="CA89:CA152" si="82">ROUND(H89,1)</f>
        <v>-4.5</v>
      </c>
      <c r="CB89" s="3">
        <f t="shared" ref="CB89:CB152" si="83">ROUND(I89,1)</f>
        <v>0</v>
      </c>
      <c r="CC89" s="3">
        <f t="shared" ref="CC89:CC152" si="84">ROUND(L89,1)</f>
        <v>0</v>
      </c>
      <c r="CD89" s="3">
        <f t="shared" ref="CD89:CD152" si="85">ROUND(M89,1)</f>
        <v>0.4</v>
      </c>
      <c r="CE89" s="3">
        <f t="shared" ref="CE89:CE152" si="86">ROUND(N89,1)</f>
        <v>0.8</v>
      </c>
      <c r="CF89" s="23">
        <f t="shared" ref="CF89:CF152" si="87">ROUND(BN89,1)</f>
        <v>88.4</v>
      </c>
      <c r="CG89" s="1">
        <f t="shared" ref="CG89:CG152" si="88">ROUND(R89,1)</f>
        <v>0</v>
      </c>
      <c r="CH89" s="1">
        <f t="shared" ref="CH89:CH152" si="89">ROUND(V89,1)</f>
        <v>2.6</v>
      </c>
      <c r="CI89" s="1">
        <f t="shared" ref="CI89:CI152" si="90">ROUND(W89,1)</f>
        <v>0.5</v>
      </c>
      <c r="CJ89" s="1">
        <f t="shared" ref="CJ89:CJ152" si="91">ROUND(X89,1)</f>
        <v>0.1</v>
      </c>
      <c r="CK89" s="1">
        <f t="shared" ref="CK89:CK152" si="92">ROUND(AA89,1)</f>
        <v>0</v>
      </c>
      <c r="CL89" s="1">
        <f t="shared" ref="CL89:CL152" si="93">ROUND(AB89,1)</f>
        <v>0.5</v>
      </c>
      <c r="CM89" s="1">
        <f t="shared" ref="CM89:CM152" si="94">ROUND(AC89,1)</f>
        <v>0.9</v>
      </c>
      <c r="CN89" s="2">
        <f t="shared" ref="CN89:CN152" si="95">ROUND(BM89,1)</f>
        <v>97.6</v>
      </c>
      <c r="CO89" s="1">
        <f t="shared" ref="CO89:CO152" si="96">ROUND(AF89,1)</f>
        <v>-7.1</v>
      </c>
      <c r="CP89" s="1">
        <f t="shared" ref="CP89:CP152" si="97">ROUND(AJ89,1)</f>
        <v>-8.1</v>
      </c>
      <c r="CQ89" s="1">
        <f t="shared" ref="CQ89:CQ152" si="98">ROUND(AK89,1)</f>
        <v>-11.5</v>
      </c>
      <c r="CR89" s="1">
        <f t="shared" ref="CR89:CR152" si="99">ROUND(AL89,1)</f>
        <v>0</v>
      </c>
      <c r="CS89" s="1">
        <f t="shared" ref="CS89:CS152" si="100">ROUND(AO89,1)</f>
        <v>0</v>
      </c>
      <c r="CT89" s="1">
        <f t="shared" ref="CT89:CT152" si="101">ROUND(AP89,1)</f>
        <v>0.4</v>
      </c>
      <c r="CU89" s="1">
        <f t="shared" ref="CU89:CU152" si="102">ROUND(AQ89,1)</f>
        <v>0.8</v>
      </c>
      <c r="CV89" s="2">
        <f t="shared" ref="CV89:CV152" si="103">ROUND(BO89,1)</f>
        <v>59.7</v>
      </c>
      <c r="CW89" s="18">
        <f t="shared" ref="CW89:CW152" si="104">BF89</f>
        <v>1272</v>
      </c>
      <c r="CX89" s="1">
        <f>ROUND(PPTest!K89,1)</f>
        <v>0.3</v>
      </c>
      <c r="CY89" s="17">
        <f t="shared" ref="CY89:CY152" si="105">ROUND(P89,2)</f>
        <v>1.67</v>
      </c>
      <c r="CZ89" s="17">
        <f t="shared" ref="CZ89:CZ152" si="106">ROUND(AD89,2)</f>
        <v>4.54</v>
      </c>
      <c r="DA89" s="20">
        <f t="shared" ref="DA89:DA152" si="107">BP89</f>
        <v>0.36299999999999999</v>
      </c>
      <c r="DB89" s="20">
        <f t="shared" ref="DB89:DB152" si="108">BQ89</f>
        <v>0.245</v>
      </c>
      <c r="DC89" s="16">
        <f t="shared" ref="DC89:DC152" si="109">BB89</f>
        <v>12.12</v>
      </c>
      <c r="DF89" s="1">
        <v>-1.6</v>
      </c>
      <c r="DG89" s="1">
        <v>3.3</v>
      </c>
      <c r="DH89" s="1">
        <v>-3.9</v>
      </c>
      <c r="DI89" s="1">
        <v>88</v>
      </c>
      <c r="DJ89" s="1">
        <v>70</v>
      </c>
      <c r="DW89" s="1">
        <v>-6.2</v>
      </c>
      <c r="DX89" s="1">
        <v>-0.1</v>
      </c>
      <c r="DY89" s="1">
        <v>-12.2</v>
      </c>
    </row>
    <row r="90" spans="1:129" x14ac:dyDescent="0.2">
      <c r="A90" s="40">
        <v>34783</v>
      </c>
      <c r="B90" s="3">
        <v>84</v>
      </c>
      <c r="C90" s="3">
        <v>19.600000000000001</v>
      </c>
      <c r="D90" s="3">
        <v>36.299999999999997</v>
      </c>
      <c r="E90" s="3">
        <v>-7.9</v>
      </c>
      <c r="F90" s="3">
        <v>86.4</v>
      </c>
      <c r="G90" s="3">
        <v>-7.82</v>
      </c>
      <c r="H90" s="3">
        <v>-10.050000000000001</v>
      </c>
      <c r="I90" s="3">
        <v>2.7E-2</v>
      </c>
      <c r="J90" s="3">
        <v>-0.755</v>
      </c>
      <c r="K90" s="3">
        <v>-7.47</v>
      </c>
      <c r="L90" s="3">
        <v>-1E-3</v>
      </c>
      <c r="M90" s="3">
        <v>0.45700000000000002</v>
      </c>
      <c r="N90" s="3">
        <v>0.84799999999999998</v>
      </c>
      <c r="O90" s="3">
        <v>0</v>
      </c>
      <c r="P90" s="16">
        <v>1.3665</v>
      </c>
      <c r="Q90" s="3"/>
      <c r="R90" s="3">
        <v>1.149</v>
      </c>
      <c r="S90" s="3">
        <v>1628</v>
      </c>
      <c r="T90" s="3">
        <v>101.7</v>
      </c>
      <c r="U90" s="3">
        <v>108</v>
      </c>
      <c r="V90" s="3">
        <v>5.617</v>
      </c>
      <c r="W90" s="3">
        <v>0.68899999999999995</v>
      </c>
      <c r="X90" s="3">
        <v>5.2999999999999999E-2</v>
      </c>
      <c r="Y90" s="3">
        <v>-0.65400000000000003</v>
      </c>
      <c r="Z90" s="3">
        <v>9.33</v>
      </c>
      <c r="AA90" s="3">
        <v>2.4E-2</v>
      </c>
      <c r="AB90" s="3">
        <v>0.48199999999999998</v>
      </c>
      <c r="AC90" s="3">
        <v>0.873</v>
      </c>
      <c r="AD90" s="16">
        <v>3.4208333333333334</v>
      </c>
      <c r="AE90" s="3">
        <v>1105</v>
      </c>
      <c r="AF90" s="3">
        <v>-16.7</v>
      </c>
      <c r="AG90" s="3">
        <v>626</v>
      </c>
      <c r="AH90" s="3">
        <v>44.33</v>
      </c>
      <c r="AI90" s="3">
        <v>1643</v>
      </c>
      <c r="AJ90" s="3">
        <v>-18</v>
      </c>
      <c r="AK90" s="3">
        <v>-20.67</v>
      </c>
      <c r="AL90" s="3">
        <v>2E-3</v>
      </c>
      <c r="AM90" s="3">
        <v>-0.84</v>
      </c>
      <c r="AN90" s="3">
        <v>-18.79</v>
      </c>
      <c r="AO90" s="3">
        <v>-2.5999999999999999E-2</v>
      </c>
      <c r="AP90" s="3">
        <v>0.435</v>
      </c>
      <c r="AQ90" s="3">
        <v>0.82399999999999995</v>
      </c>
      <c r="AR90" s="3">
        <v>4.5999999999999999E-2</v>
      </c>
      <c r="AS90" s="3">
        <v>0.246</v>
      </c>
      <c r="AT90" s="3">
        <v>0.28499999999999998</v>
      </c>
      <c r="AU90" s="3">
        <v>6.5000000000000002E-2</v>
      </c>
      <c r="AV90" s="3">
        <v>9.6000000000000002E-2</v>
      </c>
      <c r="AW90" s="3">
        <v>0.13600000000000001</v>
      </c>
      <c r="AX90" s="3">
        <v>6.7000000000000004E-2</v>
      </c>
      <c r="AY90" s="3">
        <v>0.06</v>
      </c>
      <c r="AZ90" s="3">
        <v>-1.2609999999999999</v>
      </c>
      <c r="BA90" s="3">
        <v>2246</v>
      </c>
      <c r="BB90" s="3">
        <v>12.12</v>
      </c>
      <c r="BC90" s="3">
        <v>2876</v>
      </c>
      <c r="BD90" s="3"/>
      <c r="BE90" s="3"/>
      <c r="BF90" s="3">
        <f t="shared" si="76"/>
        <v>1239</v>
      </c>
      <c r="BH90" s="16">
        <v>19.16</v>
      </c>
      <c r="BI90" s="16">
        <f t="shared" si="69"/>
        <v>38.703200000000002</v>
      </c>
      <c r="BJ90" s="17">
        <f t="shared" si="70"/>
        <v>19.600000000000001</v>
      </c>
      <c r="BK90" s="17">
        <f t="shared" si="71"/>
        <v>39.200000000000003</v>
      </c>
      <c r="BM90" s="1">
        <f t="shared" si="72"/>
        <v>95</v>
      </c>
      <c r="BN90" s="1">
        <f t="shared" si="73"/>
        <v>80.8</v>
      </c>
      <c r="BO90" s="1">
        <f t="shared" si="74"/>
        <v>42</v>
      </c>
      <c r="BP90" s="62">
        <f t="shared" si="77"/>
        <v>0.27900000000000003</v>
      </c>
      <c r="BQ90" s="62">
        <f t="shared" si="75"/>
        <v>0.38500000000000001</v>
      </c>
      <c r="BS90" s="3">
        <v>0.6</v>
      </c>
      <c r="BT90" s="8"/>
      <c r="BV90" s="8"/>
      <c r="BW90" s="16">
        <f t="shared" si="78"/>
        <v>19.600000000000001</v>
      </c>
      <c r="BX90" s="16">
        <f t="shared" si="79"/>
        <v>39.200000000000003</v>
      </c>
      <c r="BY90" s="3">
        <f t="shared" si="80"/>
        <v>-7.9</v>
      </c>
      <c r="BZ90" s="3">
        <f t="shared" si="81"/>
        <v>-7.8</v>
      </c>
      <c r="CA90" s="3">
        <f t="shared" si="82"/>
        <v>-10.1</v>
      </c>
      <c r="CB90" s="3">
        <f t="shared" si="83"/>
        <v>0</v>
      </c>
      <c r="CC90" s="3">
        <f t="shared" si="84"/>
        <v>0</v>
      </c>
      <c r="CD90" s="3">
        <f t="shared" si="85"/>
        <v>0.5</v>
      </c>
      <c r="CE90" s="3">
        <f t="shared" si="86"/>
        <v>0.8</v>
      </c>
      <c r="CF90" s="23">
        <f t="shared" si="87"/>
        <v>80.8</v>
      </c>
      <c r="CG90" s="1">
        <f t="shared" si="88"/>
        <v>1.1000000000000001</v>
      </c>
      <c r="CH90" s="1">
        <f t="shared" si="89"/>
        <v>5.6</v>
      </c>
      <c r="CI90" s="1">
        <f t="shared" si="90"/>
        <v>0.7</v>
      </c>
      <c r="CJ90" s="1">
        <f t="shared" si="91"/>
        <v>0.1</v>
      </c>
      <c r="CK90" s="1">
        <f t="shared" si="92"/>
        <v>0</v>
      </c>
      <c r="CL90" s="1">
        <f t="shared" si="93"/>
        <v>0.5</v>
      </c>
      <c r="CM90" s="1">
        <f t="shared" si="94"/>
        <v>0.9</v>
      </c>
      <c r="CN90" s="2">
        <f t="shared" si="95"/>
        <v>95</v>
      </c>
      <c r="CO90" s="1">
        <f t="shared" si="96"/>
        <v>-16.7</v>
      </c>
      <c r="CP90" s="1">
        <f t="shared" si="97"/>
        <v>-18</v>
      </c>
      <c r="CQ90" s="1">
        <f t="shared" si="98"/>
        <v>-20.7</v>
      </c>
      <c r="CR90" s="1">
        <f t="shared" si="99"/>
        <v>0</v>
      </c>
      <c r="CS90" s="1">
        <f t="shared" si="100"/>
        <v>0</v>
      </c>
      <c r="CT90" s="1">
        <f t="shared" si="101"/>
        <v>0.4</v>
      </c>
      <c r="CU90" s="1">
        <f t="shared" si="102"/>
        <v>0.8</v>
      </c>
      <c r="CV90" s="2">
        <f t="shared" si="103"/>
        <v>42</v>
      </c>
      <c r="CW90" s="18">
        <f t="shared" si="104"/>
        <v>1239</v>
      </c>
      <c r="CX90" s="1">
        <f>ROUND(PPTest!K90,1)</f>
        <v>0</v>
      </c>
      <c r="CY90" s="17">
        <f t="shared" si="105"/>
        <v>1.37</v>
      </c>
      <c r="CZ90" s="17">
        <f t="shared" si="106"/>
        <v>3.42</v>
      </c>
      <c r="DA90" s="20">
        <f t="shared" si="107"/>
        <v>0.27900000000000003</v>
      </c>
      <c r="DB90" s="20">
        <f t="shared" si="108"/>
        <v>0.38500000000000001</v>
      </c>
      <c r="DC90" s="16">
        <f t="shared" si="109"/>
        <v>12.12</v>
      </c>
      <c r="DF90" s="1">
        <v>-3</v>
      </c>
      <c r="DG90" s="1">
        <v>0.8</v>
      </c>
      <c r="DH90" s="1">
        <v>-6.9</v>
      </c>
      <c r="DI90" s="1">
        <v>72.400000000000006</v>
      </c>
      <c r="DJ90" s="1">
        <v>50</v>
      </c>
      <c r="DW90" s="1">
        <v>-7.1</v>
      </c>
      <c r="DX90" s="1">
        <v>0.5</v>
      </c>
      <c r="DY90" s="1">
        <v>-13.9</v>
      </c>
    </row>
    <row r="91" spans="1:129" x14ac:dyDescent="0.2">
      <c r="A91" s="40">
        <v>34784</v>
      </c>
      <c r="B91" s="3">
        <v>85</v>
      </c>
      <c r="C91" s="3">
        <v>18.510000000000002</v>
      </c>
      <c r="D91" s="3">
        <v>34.82</v>
      </c>
      <c r="E91" s="3">
        <v>-6.72</v>
      </c>
      <c r="F91" s="3">
        <v>75.3</v>
      </c>
      <c r="G91" s="3">
        <v>-7.1</v>
      </c>
      <c r="H91" s="3">
        <v>-8.64</v>
      </c>
      <c r="I91" s="3">
        <v>1.7000000000000001E-2</v>
      </c>
      <c r="J91" s="3">
        <v>-1.177</v>
      </c>
      <c r="K91" s="3">
        <v>-6.6870000000000003</v>
      </c>
      <c r="L91" s="3">
        <v>0</v>
      </c>
      <c r="M91" s="3">
        <v>0.45800000000000002</v>
      </c>
      <c r="N91" s="3">
        <v>0.84499999999999997</v>
      </c>
      <c r="O91" s="3">
        <v>0</v>
      </c>
      <c r="P91" s="16">
        <v>1.7575000000000001</v>
      </c>
      <c r="Q91" s="3"/>
      <c r="R91" s="3">
        <v>3.004</v>
      </c>
      <c r="S91" s="3">
        <v>1733</v>
      </c>
      <c r="T91" s="3">
        <v>98.2</v>
      </c>
      <c r="U91" s="3">
        <v>48</v>
      </c>
      <c r="V91" s="3">
        <v>5.2649999999999997</v>
      </c>
      <c r="W91" s="3">
        <v>2.798</v>
      </c>
      <c r="X91" s="3">
        <v>4.5999999999999999E-2</v>
      </c>
      <c r="Y91" s="3">
        <v>-0.81699999999999995</v>
      </c>
      <c r="Z91" s="3">
        <v>8.1300000000000008</v>
      </c>
      <c r="AA91" s="3">
        <v>2.7E-2</v>
      </c>
      <c r="AB91" s="3">
        <v>0.48499999999999999</v>
      </c>
      <c r="AC91" s="3">
        <v>0.872</v>
      </c>
      <c r="AD91" s="16">
        <v>4.0741666666666667</v>
      </c>
      <c r="AE91" s="3">
        <v>1350</v>
      </c>
      <c r="AF91" s="3">
        <v>-17.149999999999999</v>
      </c>
      <c r="AG91" s="3">
        <v>601</v>
      </c>
      <c r="AH91" s="3">
        <v>40.07</v>
      </c>
      <c r="AI91" s="3">
        <v>1248</v>
      </c>
      <c r="AJ91" s="3">
        <v>-17.97</v>
      </c>
      <c r="AK91" s="3">
        <v>-19.27</v>
      </c>
      <c r="AL91" s="3">
        <v>-1.4999999999999999E-2</v>
      </c>
      <c r="AM91" s="3">
        <v>-1.54</v>
      </c>
      <c r="AN91" s="3">
        <v>-18.79</v>
      </c>
      <c r="AO91" s="3">
        <v>-4.1000000000000002E-2</v>
      </c>
      <c r="AP91" s="3">
        <v>0.42</v>
      </c>
      <c r="AQ91" s="3">
        <v>0.81200000000000006</v>
      </c>
      <c r="AR91" s="3">
        <v>7.0000000000000001E-3</v>
      </c>
      <c r="AS91" s="3">
        <v>0.246</v>
      </c>
      <c r="AT91" s="3">
        <v>0.39</v>
      </c>
      <c r="AU91" s="3">
        <v>1.4999999999999999E-2</v>
      </c>
      <c r="AV91" s="3">
        <v>0.109</v>
      </c>
      <c r="AW91" s="3">
        <v>0.189</v>
      </c>
      <c r="AX91" s="3">
        <v>3.1E-2</v>
      </c>
      <c r="AY91" s="3">
        <v>1.4E-2</v>
      </c>
      <c r="AZ91" s="3">
        <v>-2.1059999999999999</v>
      </c>
      <c r="BA91" s="3">
        <v>2264</v>
      </c>
      <c r="BB91" s="3">
        <v>12.12</v>
      </c>
      <c r="BC91" s="3">
        <v>2876</v>
      </c>
      <c r="BD91" s="3"/>
      <c r="BE91" s="3"/>
      <c r="BF91" s="3">
        <f t="shared" si="76"/>
        <v>1221</v>
      </c>
      <c r="BH91" s="16">
        <v>19.440000000000001</v>
      </c>
      <c r="BI91" s="16">
        <f t="shared" si="69"/>
        <v>39.268800000000006</v>
      </c>
      <c r="BJ91" s="17">
        <f t="shared" si="70"/>
        <v>18.510000000000002</v>
      </c>
      <c r="BK91" s="17">
        <f t="shared" si="71"/>
        <v>37.61</v>
      </c>
      <c r="BM91" s="1">
        <f t="shared" si="72"/>
        <v>91.7</v>
      </c>
      <c r="BN91" s="1">
        <f t="shared" si="73"/>
        <v>70.599999999999994</v>
      </c>
      <c r="BO91" s="1">
        <f t="shared" si="74"/>
        <v>38</v>
      </c>
      <c r="BP91" s="62">
        <f t="shared" si="77"/>
        <v>0.28799999999999998</v>
      </c>
      <c r="BQ91" s="62">
        <f t="shared" si="75"/>
        <v>0.47</v>
      </c>
      <c r="BS91" s="3">
        <v>0</v>
      </c>
      <c r="BT91" s="8"/>
      <c r="BV91" s="8"/>
      <c r="BW91" s="16">
        <f t="shared" si="78"/>
        <v>18.510000000000002</v>
      </c>
      <c r="BX91" s="16">
        <f t="shared" si="79"/>
        <v>37.61</v>
      </c>
      <c r="BY91" s="3">
        <f t="shared" si="80"/>
        <v>-6.7</v>
      </c>
      <c r="BZ91" s="3">
        <f t="shared" si="81"/>
        <v>-7.1</v>
      </c>
      <c r="CA91" s="3">
        <f t="shared" si="82"/>
        <v>-8.6</v>
      </c>
      <c r="CB91" s="3">
        <f t="shared" si="83"/>
        <v>0</v>
      </c>
      <c r="CC91" s="3">
        <f t="shared" si="84"/>
        <v>0</v>
      </c>
      <c r="CD91" s="3">
        <f t="shared" si="85"/>
        <v>0.5</v>
      </c>
      <c r="CE91" s="3">
        <f t="shared" si="86"/>
        <v>0.8</v>
      </c>
      <c r="CF91" s="23">
        <f t="shared" si="87"/>
        <v>70.599999999999994</v>
      </c>
      <c r="CG91" s="1">
        <f t="shared" si="88"/>
        <v>3</v>
      </c>
      <c r="CH91" s="1">
        <f t="shared" si="89"/>
        <v>5.3</v>
      </c>
      <c r="CI91" s="1">
        <f t="shared" si="90"/>
        <v>2.8</v>
      </c>
      <c r="CJ91" s="1">
        <f t="shared" si="91"/>
        <v>0</v>
      </c>
      <c r="CK91" s="1">
        <f t="shared" si="92"/>
        <v>0</v>
      </c>
      <c r="CL91" s="1">
        <f t="shared" si="93"/>
        <v>0.5</v>
      </c>
      <c r="CM91" s="1">
        <f t="shared" si="94"/>
        <v>0.9</v>
      </c>
      <c r="CN91" s="2">
        <f t="shared" si="95"/>
        <v>91.7</v>
      </c>
      <c r="CO91" s="1">
        <f t="shared" si="96"/>
        <v>-17.2</v>
      </c>
      <c r="CP91" s="1">
        <f t="shared" si="97"/>
        <v>-18</v>
      </c>
      <c r="CQ91" s="1">
        <f t="shared" si="98"/>
        <v>-19.3</v>
      </c>
      <c r="CR91" s="1">
        <f t="shared" si="99"/>
        <v>0</v>
      </c>
      <c r="CS91" s="1">
        <f t="shared" si="100"/>
        <v>0</v>
      </c>
      <c r="CT91" s="1">
        <f t="shared" si="101"/>
        <v>0.4</v>
      </c>
      <c r="CU91" s="1">
        <f t="shared" si="102"/>
        <v>0.8</v>
      </c>
      <c r="CV91" s="2">
        <f t="shared" si="103"/>
        <v>38</v>
      </c>
      <c r="CW91" s="18">
        <f t="shared" si="104"/>
        <v>1221</v>
      </c>
      <c r="CX91" s="1">
        <f>ROUND(PPTest!K91,1)</f>
        <v>0</v>
      </c>
      <c r="CY91" s="17">
        <f t="shared" si="105"/>
        <v>1.76</v>
      </c>
      <c r="CZ91" s="17">
        <f t="shared" si="106"/>
        <v>4.07</v>
      </c>
      <c r="DA91" s="20">
        <f t="shared" si="107"/>
        <v>0.28799999999999998</v>
      </c>
      <c r="DB91" s="20">
        <f t="shared" si="108"/>
        <v>0.47</v>
      </c>
      <c r="DC91" s="16">
        <f t="shared" si="109"/>
        <v>12.12</v>
      </c>
      <c r="DF91" s="1">
        <v>-0.6</v>
      </c>
      <c r="DG91" s="1">
        <v>4.3</v>
      </c>
      <c r="DH91" s="1">
        <v>-6.5</v>
      </c>
      <c r="DI91" s="1">
        <v>61.3</v>
      </c>
      <c r="DJ91" s="1">
        <v>46</v>
      </c>
      <c r="DW91" s="1">
        <v>-4.3</v>
      </c>
      <c r="DX91" s="1">
        <v>3.5</v>
      </c>
      <c r="DY91" s="1">
        <v>-13.2</v>
      </c>
    </row>
    <row r="92" spans="1:129" x14ac:dyDescent="0.2">
      <c r="A92" s="40">
        <v>34785</v>
      </c>
      <c r="B92" s="3">
        <v>86</v>
      </c>
      <c r="C92" s="3">
        <v>19.62</v>
      </c>
      <c r="D92" s="3">
        <v>36.369999999999997</v>
      </c>
      <c r="E92" s="3">
        <v>-3.39</v>
      </c>
      <c r="F92" s="3">
        <v>72.900000000000006</v>
      </c>
      <c r="G92" s="3">
        <v>-3.8519999999999999</v>
      </c>
      <c r="H92" s="3">
        <v>-5.33</v>
      </c>
      <c r="I92" s="3">
        <v>1.2999999999999999E-2</v>
      </c>
      <c r="J92" s="3">
        <v>-1.877</v>
      </c>
      <c r="K92" s="3">
        <v>-3.165</v>
      </c>
      <c r="L92" s="3">
        <v>0</v>
      </c>
      <c r="M92" s="3">
        <v>0.45600000000000002</v>
      </c>
      <c r="N92" s="3">
        <v>0.84</v>
      </c>
      <c r="O92" s="3">
        <v>0</v>
      </c>
      <c r="P92" s="16">
        <v>1.7658333333333334</v>
      </c>
      <c r="Q92" s="3"/>
      <c r="R92" s="3">
        <v>7.94</v>
      </c>
      <c r="S92" s="3">
        <v>1220</v>
      </c>
      <c r="T92" s="3">
        <v>99.9</v>
      </c>
      <c r="U92" s="3">
        <v>326</v>
      </c>
      <c r="V92" s="3">
        <v>10.1</v>
      </c>
      <c r="W92" s="3">
        <v>8.44</v>
      </c>
      <c r="X92" s="3">
        <v>7.2999999999999995E-2</v>
      </c>
      <c r="Y92" s="3">
        <v>-1.516</v>
      </c>
      <c r="Z92" s="3">
        <v>13.36</v>
      </c>
      <c r="AA92" s="3">
        <v>4.9000000000000002E-2</v>
      </c>
      <c r="AB92" s="3">
        <v>0.50600000000000001</v>
      </c>
      <c r="AC92" s="3">
        <v>0.88900000000000001</v>
      </c>
      <c r="AD92" s="16">
        <v>3.8875000000000002</v>
      </c>
      <c r="AE92" s="3">
        <v>1116</v>
      </c>
      <c r="AF92" s="3">
        <v>-14.04</v>
      </c>
      <c r="AG92" s="3">
        <v>544</v>
      </c>
      <c r="AH92" s="3">
        <v>33.22</v>
      </c>
      <c r="AI92" s="3">
        <v>1451</v>
      </c>
      <c r="AJ92" s="3">
        <v>-15.04</v>
      </c>
      <c r="AK92" s="3">
        <v>-16.36</v>
      </c>
      <c r="AL92" s="3">
        <v>-0.03</v>
      </c>
      <c r="AM92" s="3">
        <v>-2.044</v>
      </c>
      <c r="AN92" s="3">
        <v>-15.84</v>
      </c>
      <c r="AO92" s="3">
        <v>-3.3000000000000002E-2</v>
      </c>
      <c r="AP92" s="3">
        <v>0.42199999999999999</v>
      </c>
      <c r="AQ92" s="3">
        <v>0.8</v>
      </c>
      <c r="AR92" s="3">
        <v>8.3000000000000004E-2</v>
      </c>
      <c r="AS92" s="3">
        <v>0.28999999999999998</v>
      </c>
      <c r="AT92" s="3">
        <v>0.40300000000000002</v>
      </c>
      <c r="AU92" s="3">
        <v>2.1999999999999999E-2</v>
      </c>
      <c r="AV92" s="3">
        <v>7.0000000000000007E-2</v>
      </c>
      <c r="AW92" s="3">
        <v>9.4E-2</v>
      </c>
      <c r="AX92" s="3">
        <v>4.0000000000000001E-3</v>
      </c>
      <c r="AY92" s="3">
        <v>3.3000000000000002E-2</v>
      </c>
      <c r="AZ92" s="3">
        <v>-2.5249999999999999</v>
      </c>
      <c r="BA92" s="3">
        <v>2291</v>
      </c>
      <c r="BB92" s="3">
        <v>12.12</v>
      </c>
      <c r="BC92" s="3">
        <v>2876</v>
      </c>
      <c r="BD92" s="3"/>
      <c r="BE92" s="3"/>
      <c r="BF92" s="3">
        <f t="shared" si="76"/>
        <v>1194</v>
      </c>
      <c r="BH92" s="16">
        <v>19.7</v>
      </c>
      <c r="BI92" s="16">
        <f t="shared" si="69"/>
        <v>39.793999999999997</v>
      </c>
      <c r="BJ92" s="17">
        <f t="shared" si="70"/>
        <v>19.62</v>
      </c>
      <c r="BK92" s="17">
        <f t="shared" si="71"/>
        <v>39.28</v>
      </c>
      <c r="BM92" s="1">
        <f t="shared" si="72"/>
        <v>93.3</v>
      </c>
      <c r="BN92" s="1">
        <f t="shared" si="73"/>
        <v>68.400000000000006</v>
      </c>
      <c r="BO92" s="1">
        <f t="shared" si="74"/>
        <v>31.7</v>
      </c>
      <c r="BP92" s="62">
        <f t="shared" si="77"/>
        <v>0.33900000000000002</v>
      </c>
      <c r="BQ92" s="62">
        <f t="shared" si="75"/>
        <v>0.73</v>
      </c>
      <c r="BS92" s="3">
        <v>0</v>
      </c>
      <c r="BT92" s="8"/>
      <c r="BV92" s="8"/>
      <c r="BW92" s="16">
        <f t="shared" si="78"/>
        <v>19.62</v>
      </c>
      <c r="BX92" s="16">
        <f t="shared" si="79"/>
        <v>39.28</v>
      </c>
      <c r="BY92" s="3">
        <f t="shared" si="80"/>
        <v>-3.4</v>
      </c>
      <c r="BZ92" s="3">
        <f t="shared" si="81"/>
        <v>-3.9</v>
      </c>
      <c r="CA92" s="3">
        <f t="shared" si="82"/>
        <v>-5.3</v>
      </c>
      <c r="CB92" s="3">
        <f t="shared" si="83"/>
        <v>0</v>
      </c>
      <c r="CC92" s="3">
        <f t="shared" si="84"/>
        <v>0</v>
      </c>
      <c r="CD92" s="3">
        <f t="shared" si="85"/>
        <v>0.5</v>
      </c>
      <c r="CE92" s="3">
        <f t="shared" si="86"/>
        <v>0.8</v>
      </c>
      <c r="CF92" s="23">
        <f t="shared" si="87"/>
        <v>68.400000000000006</v>
      </c>
      <c r="CG92" s="1">
        <f t="shared" si="88"/>
        <v>7.9</v>
      </c>
      <c r="CH92" s="1">
        <f t="shared" si="89"/>
        <v>10.1</v>
      </c>
      <c r="CI92" s="1">
        <f t="shared" si="90"/>
        <v>8.4</v>
      </c>
      <c r="CJ92" s="1">
        <f t="shared" si="91"/>
        <v>0.1</v>
      </c>
      <c r="CK92" s="1">
        <f t="shared" si="92"/>
        <v>0</v>
      </c>
      <c r="CL92" s="1">
        <f t="shared" si="93"/>
        <v>0.5</v>
      </c>
      <c r="CM92" s="1">
        <f t="shared" si="94"/>
        <v>0.9</v>
      </c>
      <c r="CN92" s="2">
        <f t="shared" si="95"/>
        <v>93.3</v>
      </c>
      <c r="CO92" s="1">
        <f t="shared" si="96"/>
        <v>-14</v>
      </c>
      <c r="CP92" s="1">
        <f t="shared" si="97"/>
        <v>-15</v>
      </c>
      <c r="CQ92" s="1">
        <f t="shared" si="98"/>
        <v>-16.399999999999999</v>
      </c>
      <c r="CR92" s="1">
        <f t="shared" si="99"/>
        <v>0</v>
      </c>
      <c r="CS92" s="1">
        <f t="shared" si="100"/>
        <v>0</v>
      </c>
      <c r="CT92" s="1">
        <f t="shared" si="101"/>
        <v>0.4</v>
      </c>
      <c r="CU92" s="1">
        <f t="shared" si="102"/>
        <v>0.8</v>
      </c>
      <c r="CV92" s="2">
        <f t="shared" si="103"/>
        <v>31.7</v>
      </c>
      <c r="CW92" s="18">
        <f t="shared" si="104"/>
        <v>1194</v>
      </c>
      <c r="CX92" s="1">
        <f>ROUND(PPTest!K92,1)</f>
        <v>0</v>
      </c>
      <c r="CY92" s="17">
        <f t="shared" si="105"/>
        <v>1.77</v>
      </c>
      <c r="CZ92" s="17">
        <f t="shared" si="106"/>
        <v>3.89</v>
      </c>
      <c r="DA92" s="20">
        <f t="shared" si="107"/>
        <v>0.33900000000000002</v>
      </c>
      <c r="DB92" s="20">
        <f t="shared" si="108"/>
        <v>0.73</v>
      </c>
      <c r="DC92" s="16">
        <f t="shared" si="109"/>
        <v>12.12</v>
      </c>
      <c r="DF92" s="1">
        <v>2.8</v>
      </c>
      <c r="DG92" s="1">
        <v>8.6</v>
      </c>
      <c r="DH92" s="1">
        <v>-2.8</v>
      </c>
      <c r="DI92" s="1">
        <v>52.4</v>
      </c>
      <c r="DJ92" s="1">
        <v>36</v>
      </c>
      <c r="DW92" s="1">
        <v>-0.4</v>
      </c>
      <c r="DX92" s="1">
        <v>8</v>
      </c>
      <c r="DY92" s="1">
        <v>-8.1999999999999993</v>
      </c>
    </row>
    <row r="93" spans="1:129" x14ac:dyDescent="0.2">
      <c r="A93" s="40">
        <v>34786</v>
      </c>
      <c r="B93" s="3">
        <v>87</v>
      </c>
      <c r="C93" s="3">
        <v>19.61</v>
      </c>
      <c r="D93" s="3">
        <v>36.58</v>
      </c>
      <c r="E93" s="3">
        <v>-1.5069999999999999</v>
      </c>
      <c r="F93" s="3">
        <v>68.489999999999995</v>
      </c>
      <c r="G93" s="3">
        <v>-2.181</v>
      </c>
      <c r="H93" s="3">
        <v>-3.4649999999999999</v>
      </c>
      <c r="I93" s="3">
        <v>1.7000000000000001E-2</v>
      </c>
      <c r="J93" s="3">
        <v>-1.655</v>
      </c>
      <c r="K93" s="3">
        <v>-1.504</v>
      </c>
      <c r="L93" s="3">
        <v>6.0000000000000001E-3</v>
      </c>
      <c r="M93" s="3">
        <v>0.45900000000000002</v>
      </c>
      <c r="N93" s="3">
        <v>0.84199999999999997</v>
      </c>
      <c r="O93" s="3">
        <v>0</v>
      </c>
      <c r="P93" s="16">
        <v>1.8391666666666671</v>
      </c>
      <c r="Q93" s="3"/>
      <c r="R93" s="3">
        <v>8.9700000000000006</v>
      </c>
      <c r="S93" s="3">
        <v>1553</v>
      </c>
      <c r="T93" s="3">
        <v>100.8</v>
      </c>
      <c r="U93" s="3">
        <v>410</v>
      </c>
      <c r="V93" s="3">
        <v>10.72</v>
      </c>
      <c r="W93" s="3">
        <v>8.17</v>
      </c>
      <c r="X93" s="3">
        <v>0.184</v>
      </c>
      <c r="Y93" s="3">
        <v>-0.63600000000000001</v>
      </c>
      <c r="Z93" s="3">
        <v>15.14</v>
      </c>
      <c r="AA93" s="3">
        <v>6.5000000000000002E-2</v>
      </c>
      <c r="AB93" s="3">
        <v>0.50600000000000001</v>
      </c>
      <c r="AC93" s="3">
        <v>0.89400000000000002</v>
      </c>
      <c r="AD93" s="16">
        <v>3.6341666666666668</v>
      </c>
      <c r="AE93" s="3">
        <v>1203</v>
      </c>
      <c r="AF93" s="3">
        <v>-11.71</v>
      </c>
      <c r="AG93" s="3">
        <v>554</v>
      </c>
      <c r="AH93" s="3">
        <v>30.57</v>
      </c>
      <c r="AI93" s="3">
        <v>1553</v>
      </c>
      <c r="AJ93" s="3">
        <v>-12.63</v>
      </c>
      <c r="AK93" s="3">
        <v>-13.68</v>
      </c>
      <c r="AL93" s="3">
        <v>-3.5000000000000003E-2</v>
      </c>
      <c r="AM93" s="3">
        <v>-2.3239999999999998</v>
      </c>
      <c r="AN93" s="3">
        <v>-13.58</v>
      </c>
      <c r="AO93" s="3">
        <v>-3.5999999999999997E-2</v>
      </c>
      <c r="AP93" s="3">
        <v>0.41699999999999998</v>
      </c>
      <c r="AQ93" s="3">
        <v>0.79700000000000004</v>
      </c>
      <c r="AR93" s="3">
        <v>0.111</v>
      </c>
      <c r="AS93" s="3">
        <v>0.41899999999999998</v>
      </c>
      <c r="AT93" s="3">
        <v>0.38600000000000001</v>
      </c>
      <c r="AU93" s="3">
        <v>6.0000000000000001E-3</v>
      </c>
      <c r="AV93" s="3">
        <v>3.0000000000000001E-3</v>
      </c>
      <c r="AW93" s="3">
        <v>6.0000000000000001E-3</v>
      </c>
      <c r="AX93" s="3">
        <v>1.6E-2</v>
      </c>
      <c r="AY93" s="3">
        <v>5.1999999999999998E-2</v>
      </c>
      <c r="AZ93" s="3">
        <v>-2.5830000000000002</v>
      </c>
      <c r="BA93" s="3">
        <v>2313</v>
      </c>
      <c r="BB93" s="3">
        <v>12.12</v>
      </c>
      <c r="BC93" s="3">
        <v>2876</v>
      </c>
      <c r="BD93" s="3"/>
      <c r="BE93" s="3"/>
      <c r="BF93" s="3">
        <f t="shared" si="76"/>
        <v>1172</v>
      </c>
      <c r="BH93" s="16">
        <v>19.97</v>
      </c>
      <c r="BI93" s="16">
        <f t="shared" si="69"/>
        <v>40.339399999999998</v>
      </c>
      <c r="BJ93" s="17">
        <f t="shared" si="70"/>
        <v>19.61</v>
      </c>
      <c r="BK93" s="17">
        <f t="shared" si="71"/>
        <v>39.51</v>
      </c>
      <c r="BM93" s="1">
        <f t="shared" si="72"/>
        <v>94.1</v>
      </c>
      <c r="BN93" s="1">
        <f t="shared" si="73"/>
        <v>64.3</v>
      </c>
      <c r="BO93" s="1">
        <f t="shared" si="74"/>
        <v>29.2</v>
      </c>
      <c r="BP93" s="62">
        <f t="shared" si="77"/>
        <v>0.33400000000000002</v>
      </c>
      <c r="BQ93" s="62">
        <f t="shared" si="75"/>
        <v>0.81</v>
      </c>
      <c r="BS93" s="3">
        <v>0</v>
      </c>
      <c r="BT93" s="8"/>
      <c r="BV93" s="8"/>
      <c r="BW93" s="16">
        <f t="shared" si="78"/>
        <v>19.61</v>
      </c>
      <c r="BX93" s="16">
        <f t="shared" si="79"/>
        <v>39.51</v>
      </c>
      <c r="BY93" s="3">
        <f t="shared" si="80"/>
        <v>-1.5</v>
      </c>
      <c r="BZ93" s="3">
        <f t="shared" si="81"/>
        <v>-2.2000000000000002</v>
      </c>
      <c r="CA93" s="3">
        <f t="shared" si="82"/>
        <v>-3.5</v>
      </c>
      <c r="CB93" s="3">
        <f t="shared" si="83"/>
        <v>0</v>
      </c>
      <c r="CC93" s="3">
        <f t="shared" si="84"/>
        <v>0</v>
      </c>
      <c r="CD93" s="3">
        <f t="shared" si="85"/>
        <v>0.5</v>
      </c>
      <c r="CE93" s="3">
        <f t="shared" si="86"/>
        <v>0.8</v>
      </c>
      <c r="CF93" s="23">
        <f t="shared" si="87"/>
        <v>64.3</v>
      </c>
      <c r="CG93" s="1">
        <f t="shared" si="88"/>
        <v>9</v>
      </c>
      <c r="CH93" s="1">
        <f t="shared" si="89"/>
        <v>10.7</v>
      </c>
      <c r="CI93" s="1">
        <f t="shared" si="90"/>
        <v>8.1999999999999993</v>
      </c>
      <c r="CJ93" s="1">
        <f t="shared" si="91"/>
        <v>0.2</v>
      </c>
      <c r="CK93" s="1">
        <f t="shared" si="92"/>
        <v>0.1</v>
      </c>
      <c r="CL93" s="1">
        <f t="shared" si="93"/>
        <v>0.5</v>
      </c>
      <c r="CM93" s="1">
        <f t="shared" si="94"/>
        <v>0.9</v>
      </c>
      <c r="CN93" s="2">
        <f t="shared" si="95"/>
        <v>94.1</v>
      </c>
      <c r="CO93" s="1">
        <f t="shared" si="96"/>
        <v>-11.7</v>
      </c>
      <c r="CP93" s="1">
        <f t="shared" si="97"/>
        <v>-12.6</v>
      </c>
      <c r="CQ93" s="1">
        <f t="shared" si="98"/>
        <v>-13.7</v>
      </c>
      <c r="CR93" s="1">
        <f t="shared" si="99"/>
        <v>0</v>
      </c>
      <c r="CS93" s="1">
        <f t="shared" si="100"/>
        <v>0</v>
      </c>
      <c r="CT93" s="1">
        <f t="shared" si="101"/>
        <v>0.4</v>
      </c>
      <c r="CU93" s="1">
        <f t="shared" si="102"/>
        <v>0.8</v>
      </c>
      <c r="CV93" s="2">
        <f t="shared" si="103"/>
        <v>29.2</v>
      </c>
      <c r="CW93" s="18">
        <f t="shared" si="104"/>
        <v>1172</v>
      </c>
      <c r="CX93" s="1">
        <f>ROUND(PPTest!K93,1)</f>
        <v>0</v>
      </c>
      <c r="CY93" s="17">
        <f t="shared" si="105"/>
        <v>1.84</v>
      </c>
      <c r="CZ93" s="17">
        <f t="shared" si="106"/>
        <v>3.63</v>
      </c>
      <c r="DA93" s="20">
        <f t="shared" si="107"/>
        <v>0.33400000000000002</v>
      </c>
      <c r="DB93" s="20">
        <f t="shared" si="108"/>
        <v>0.81</v>
      </c>
      <c r="DC93" s="16">
        <f t="shared" si="109"/>
        <v>12.12</v>
      </c>
      <c r="DF93" s="1">
        <v>4.5999999999999996</v>
      </c>
      <c r="DG93" s="1">
        <v>10.7</v>
      </c>
      <c r="DH93" s="1">
        <v>-0.2</v>
      </c>
      <c r="DI93" s="1">
        <v>45</v>
      </c>
      <c r="DJ93" s="1">
        <v>31</v>
      </c>
      <c r="DW93" s="1">
        <v>-0.1</v>
      </c>
      <c r="DX93" s="1">
        <v>8.3000000000000007</v>
      </c>
      <c r="DY93" s="1">
        <v>-7.2</v>
      </c>
    </row>
    <row r="94" spans="1:129" x14ac:dyDescent="0.2">
      <c r="A94" s="40">
        <v>34787</v>
      </c>
      <c r="B94" s="3">
        <v>88</v>
      </c>
      <c r="C94" s="3">
        <v>20.2</v>
      </c>
      <c r="D94" s="3">
        <v>37.81</v>
      </c>
      <c r="E94" s="3">
        <v>-4.5999999999999999E-2</v>
      </c>
      <c r="F94" s="3">
        <v>66.09</v>
      </c>
      <c r="G94" s="3">
        <v>-0.60199999999999998</v>
      </c>
      <c r="H94" s="3">
        <v>-1.6579999999999999</v>
      </c>
      <c r="I94" s="3">
        <v>2.5999999999999999E-2</v>
      </c>
      <c r="J94" s="3">
        <v>-0.89</v>
      </c>
      <c r="K94" s="3">
        <v>7.3999999999999996E-2</v>
      </c>
      <c r="L94" s="3">
        <v>1.4999999999999999E-2</v>
      </c>
      <c r="M94" s="3">
        <v>0.46800000000000003</v>
      </c>
      <c r="N94" s="3">
        <v>0.85099999999999998</v>
      </c>
      <c r="O94" s="3">
        <v>0</v>
      </c>
      <c r="P94" s="16">
        <v>1.9291666666666669</v>
      </c>
      <c r="Q94" s="3"/>
      <c r="R94" s="3">
        <v>9.5299999999999994</v>
      </c>
      <c r="S94" s="3">
        <v>1653</v>
      </c>
      <c r="T94" s="3">
        <v>97.6</v>
      </c>
      <c r="U94" s="3">
        <v>420</v>
      </c>
      <c r="V94" s="3">
        <v>11.17</v>
      </c>
      <c r="W94" s="3">
        <v>9.5500000000000007</v>
      </c>
      <c r="X94" s="3">
        <v>8.5000000000000006E-2</v>
      </c>
      <c r="Y94" s="3">
        <v>-0.46800000000000003</v>
      </c>
      <c r="Z94" s="3">
        <v>14.08</v>
      </c>
      <c r="AA94" s="3">
        <v>6.6000000000000003E-2</v>
      </c>
      <c r="AB94" s="3">
        <v>0.52</v>
      </c>
      <c r="AC94" s="3">
        <v>0.90200000000000002</v>
      </c>
      <c r="AD94" s="16">
        <v>4.2341666666666669</v>
      </c>
      <c r="AE94" s="3">
        <v>1402</v>
      </c>
      <c r="AF94" s="3">
        <v>-8.5399999999999991</v>
      </c>
      <c r="AG94" s="3">
        <v>526</v>
      </c>
      <c r="AH94" s="3">
        <v>25.48</v>
      </c>
      <c r="AI94" s="3">
        <v>1719</v>
      </c>
      <c r="AJ94" s="3">
        <v>-9.6</v>
      </c>
      <c r="AK94" s="3">
        <v>-10.64</v>
      </c>
      <c r="AL94" s="3">
        <v>-0.03</v>
      </c>
      <c r="AM94" s="3">
        <v>-1.615</v>
      </c>
      <c r="AN94" s="3">
        <v>-10.56</v>
      </c>
      <c r="AO94" s="3">
        <v>-3.3000000000000002E-2</v>
      </c>
      <c r="AP94" s="3">
        <v>0.41599999999999998</v>
      </c>
      <c r="AQ94" s="3">
        <v>0.79600000000000004</v>
      </c>
      <c r="AR94" s="3">
        <v>7.0000000000000001E-3</v>
      </c>
      <c r="AS94" s="3">
        <v>0.22</v>
      </c>
      <c r="AT94" s="3">
        <v>0.39300000000000002</v>
      </c>
      <c r="AU94" s="3">
        <v>3.0000000000000001E-3</v>
      </c>
      <c r="AV94" s="3">
        <v>7.0999999999999994E-2</v>
      </c>
      <c r="AW94" s="3">
        <v>0.21</v>
      </c>
      <c r="AX94" s="3">
        <v>0.08</v>
      </c>
      <c r="AY94" s="3">
        <v>1.6E-2</v>
      </c>
      <c r="AZ94" s="3">
        <v>-2.0680000000000001</v>
      </c>
      <c r="BA94" s="3">
        <v>2342</v>
      </c>
      <c r="BB94" s="3">
        <v>12.12</v>
      </c>
      <c r="BC94" s="3">
        <v>2876</v>
      </c>
      <c r="BD94" s="3"/>
      <c r="BE94" s="3"/>
      <c r="BF94" s="3">
        <f t="shared" si="76"/>
        <v>1143</v>
      </c>
      <c r="BH94" s="16">
        <v>20.239999999999998</v>
      </c>
      <c r="BI94" s="16">
        <f t="shared" si="69"/>
        <v>40.884799999999998</v>
      </c>
      <c r="BJ94" s="17">
        <f t="shared" si="70"/>
        <v>20.2</v>
      </c>
      <c r="BK94" s="17">
        <f t="shared" si="71"/>
        <v>40.83</v>
      </c>
      <c r="BM94" s="1">
        <f t="shared" si="72"/>
        <v>91.2</v>
      </c>
      <c r="BN94" s="1">
        <f t="shared" si="73"/>
        <v>62.1</v>
      </c>
      <c r="BO94" s="1">
        <f t="shared" si="74"/>
        <v>24.5</v>
      </c>
      <c r="BP94" s="62">
        <f t="shared" si="77"/>
        <v>0.29099999999999998</v>
      </c>
      <c r="BQ94" s="62">
        <f t="shared" si="75"/>
        <v>0.89700000000000002</v>
      </c>
      <c r="BS94" s="3">
        <v>0</v>
      </c>
      <c r="BT94" s="8"/>
      <c r="BV94" s="8"/>
      <c r="BW94" s="16">
        <f t="shared" si="78"/>
        <v>20.2</v>
      </c>
      <c r="BX94" s="16">
        <f t="shared" si="79"/>
        <v>40.83</v>
      </c>
      <c r="BY94" s="3">
        <f t="shared" si="80"/>
        <v>0</v>
      </c>
      <c r="BZ94" s="3">
        <f t="shared" si="81"/>
        <v>-0.6</v>
      </c>
      <c r="CA94" s="3">
        <f t="shared" si="82"/>
        <v>-1.7</v>
      </c>
      <c r="CB94" s="3">
        <f t="shared" si="83"/>
        <v>0</v>
      </c>
      <c r="CC94" s="3">
        <f t="shared" si="84"/>
        <v>0</v>
      </c>
      <c r="CD94" s="3">
        <f t="shared" si="85"/>
        <v>0.5</v>
      </c>
      <c r="CE94" s="3">
        <f t="shared" si="86"/>
        <v>0.9</v>
      </c>
      <c r="CF94" s="23">
        <f t="shared" si="87"/>
        <v>62.1</v>
      </c>
      <c r="CG94" s="1">
        <f t="shared" si="88"/>
        <v>9.5</v>
      </c>
      <c r="CH94" s="1">
        <f t="shared" si="89"/>
        <v>11.2</v>
      </c>
      <c r="CI94" s="1">
        <f t="shared" si="90"/>
        <v>9.6</v>
      </c>
      <c r="CJ94" s="1">
        <f t="shared" si="91"/>
        <v>0.1</v>
      </c>
      <c r="CK94" s="1">
        <f t="shared" si="92"/>
        <v>0.1</v>
      </c>
      <c r="CL94" s="1">
        <f t="shared" si="93"/>
        <v>0.5</v>
      </c>
      <c r="CM94" s="1">
        <f t="shared" si="94"/>
        <v>0.9</v>
      </c>
      <c r="CN94" s="2">
        <f t="shared" si="95"/>
        <v>91.2</v>
      </c>
      <c r="CO94" s="1">
        <f t="shared" si="96"/>
        <v>-8.5</v>
      </c>
      <c r="CP94" s="1">
        <f t="shared" si="97"/>
        <v>-9.6</v>
      </c>
      <c r="CQ94" s="1">
        <f t="shared" si="98"/>
        <v>-10.6</v>
      </c>
      <c r="CR94" s="1">
        <f t="shared" si="99"/>
        <v>0</v>
      </c>
      <c r="CS94" s="1">
        <f t="shared" si="100"/>
        <v>0</v>
      </c>
      <c r="CT94" s="1">
        <f t="shared" si="101"/>
        <v>0.4</v>
      </c>
      <c r="CU94" s="1">
        <f t="shared" si="102"/>
        <v>0.8</v>
      </c>
      <c r="CV94" s="2">
        <f t="shared" si="103"/>
        <v>24.5</v>
      </c>
      <c r="CW94" s="18">
        <f t="shared" si="104"/>
        <v>1143</v>
      </c>
      <c r="CX94" s="1">
        <f>ROUND(PPTest!K94,1)</f>
        <v>0</v>
      </c>
      <c r="CY94" s="17">
        <f t="shared" si="105"/>
        <v>1.93</v>
      </c>
      <c r="CZ94" s="17">
        <f t="shared" si="106"/>
        <v>4.2300000000000004</v>
      </c>
      <c r="DA94" s="20">
        <f t="shared" si="107"/>
        <v>0.29099999999999998</v>
      </c>
      <c r="DB94" s="20">
        <f t="shared" si="108"/>
        <v>0.89700000000000002</v>
      </c>
      <c r="DC94" s="16">
        <f t="shared" si="109"/>
        <v>12.12</v>
      </c>
      <c r="DF94" s="1">
        <v>6</v>
      </c>
      <c r="DG94" s="1">
        <v>13</v>
      </c>
      <c r="DH94" s="1">
        <v>0.6</v>
      </c>
      <c r="DI94" s="1">
        <v>45.3</v>
      </c>
      <c r="DJ94" s="1">
        <v>32</v>
      </c>
      <c r="DW94" s="1">
        <v>1.3</v>
      </c>
      <c r="DX94" s="1">
        <v>9.8000000000000007</v>
      </c>
      <c r="DY94" s="1">
        <v>-6.1</v>
      </c>
    </row>
    <row r="95" spans="1:129" x14ac:dyDescent="0.2">
      <c r="A95" s="40">
        <v>34788</v>
      </c>
      <c r="B95" s="3">
        <v>89</v>
      </c>
      <c r="C95" s="3">
        <v>19.71</v>
      </c>
      <c r="D95" s="3">
        <v>36.81</v>
      </c>
      <c r="E95" s="3">
        <v>1.456</v>
      </c>
      <c r="F95" s="3">
        <v>64.83</v>
      </c>
      <c r="G95" s="3">
        <v>0.91900000000000004</v>
      </c>
      <c r="H95" s="3">
        <v>-0.29799999999999999</v>
      </c>
      <c r="I95" s="3">
        <v>3.4000000000000002E-2</v>
      </c>
      <c r="J95" s="3">
        <v>-0.747</v>
      </c>
      <c r="K95" s="3">
        <v>1.607</v>
      </c>
      <c r="L95" s="3">
        <v>2.4E-2</v>
      </c>
      <c r="M95" s="3">
        <v>0.47699999999999998</v>
      </c>
      <c r="N95" s="3">
        <v>0.86099999999999999</v>
      </c>
      <c r="O95" s="3">
        <v>0</v>
      </c>
      <c r="P95" s="16">
        <v>1.6808333333333334</v>
      </c>
      <c r="Q95" s="3"/>
      <c r="R95" s="3">
        <v>11.35</v>
      </c>
      <c r="S95" s="3">
        <v>1515</v>
      </c>
      <c r="T95" s="3">
        <v>95</v>
      </c>
      <c r="U95" s="3">
        <v>612</v>
      </c>
      <c r="V95" s="3">
        <v>13.9</v>
      </c>
      <c r="W95" s="3">
        <v>11.05</v>
      </c>
      <c r="X95" s="3">
        <v>9.0999999999999998E-2</v>
      </c>
      <c r="Y95" s="3">
        <v>-0.20100000000000001</v>
      </c>
      <c r="Z95" s="3">
        <v>15.68</v>
      </c>
      <c r="AA95" s="3">
        <v>7.1999999999999995E-2</v>
      </c>
      <c r="AB95" s="3">
        <v>0.52500000000000002</v>
      </c>
      <c r="AC95" s="3">
        <v>0.91300000000000003</v>
      </c>
      <c r="AD95" s="16">
        <v>3.8341666666666669</v>
      </c>
      <c r="AE95" s="3">
        <v>1527</v>
      </c>
      <c r="AF95" s="3">
        <v>-6.2380000000000004</v>
      </c>
      <c r="AG95" s="3">
        <v>611</v>
      </c>
      <c r="AH95" s="3">
        <v>25.21</v>
      </c>
      <c r="AI95" s="3">
        <v>1623</v>
      </c>
      <c r="AJ95" s="3">
        <v>-7.21</v>
      </c>
      <c r="AK95" s="3">
        <v>-7.95</v>
      </c>
      <c r="AL95" s="3">
        <v>-2.5000000000000001E-2</v>
      </c>
      <c r="AM95" s="3">
        <v>-1.905</v>
      </c>
      <c r="AN95" s="3">
        <v>-7.75</v>
      </c>
      <c r="AO95" s="3">
        <v>-2.1000000000000001E-2</v>
      </c>
      <c r="AP95" s="3">
        <v>0.42099999999999999</v>
      </c>
      <c r="AQ95" s="3">
        <v>0.80100000000000005</v>
      </c>
      <c r="AR95" s="3">
        <v>5.1999999999999998E-2</v>
      </c>
      <c r="AS95" s="3">
        <v>0.308</v>
      </c>
      <c r="AT95" s="3">
        <v>0.35899999999999999</v>
      </c>
      <c r="AU95" s="3">
        <v>3.3000000000000002E-2</v>
      </c>
      <c r="AV95" s="3">
        <v>5.8999999999999997E-2</v>
      </c>
      <c r="AW95" s="3">
        <v>9.5000000000000001E-2</v>
      </c>
      <c r="AX95" s="3">
        <v>5.5E-2</v>
      </c>
      <c r="AY95" s="3">
        <v>0.04</v>
      </c>
      <c r="AZ95" s="3">
        <v>-1.7669999999999999</v>
      </c>
      <c r="BA95" s="3">
        <v>2373</v>
      </c>
      <c r="BB95" s="3">
        <v>12.11</v>
      </c>
      <c r="BC95" s="3">
        <v>2876</v>
      </c>
      <c r="BD95" s="3"/>
      <c r="BE95" s="3"/>
      <c r="BF95" s="3">
        <f t="shared" si="76"/>
        <v>1112</v>
      </c>
      <c r="BH95" s="16">
        <v>20.5</v>
      </c>
      <c r="BI95" s="16">
        <f t="shared" si="69"/>
        <v>41.410000000000004</v>
      </c>
      <c r="BJ95" s="17">
        <f t="shared" si="70"/>
        <v>19.71</v>
      </c>
      <c r="BK95" s="17">
        <f t="shared" si="71"/>
        <v>39.75</v>
      </c>
      <c r="BM95" s="1">
        <f t="shared" si="72"/>
        <v>88.8</v>
      </c>
      <c r="BN95" s="1">
        <f t="shared" si="73"/>
        <v>60.9</v>
      </c>
      <c r="BO95" s="1">
        <f t="shared" si="74"/>
        <v>24.3</v>
      </c>
      <c r="BP95" s="62">
        <f t="shared" si="77"/>
        <v>0.32600000000000001</v>
      </c>
      <c r="BQ95" s="62">
        <f t="shared" si="75"/>
        <v>1.016</v>
      </c>
      <c r="BS95" s="3">
        <v>0</v>
      </c>
      <c r="BT95" s="8"/>
      <c r="BV95" s="8"/>
      <c r="BW95" s="16">
        <f t="shared" si="78"/>
        <v>19.71</v>
      </c>
      <c r="BX95" s="16">
        <f t="shared" si="79"/>
        <v>39.75</v>
      </c>
      <c r="BY95" s="3">
        <f t="shared" si="80"/>
        <v>1.5</v>
      </c>
      <c r="BZ95" s="3">
        <f t="shared" si="81"/>
        <v>0.9</v>
      </c>
      <c r="CA95" s="3">
        <f t="shared" si="82"/>
        <v>-0.3</v>
      </c>
      <c r="CB95" s="3">
        <f t="shared" si="83"/>
        <v>0</v>
      </c>
      <c r="CC95" s="3">
        <f t="shared" si="84"/>
        <v>0</v>
      </c>
      <c r="CD95" s="3">
        <f t="shared" si="85"/>
        <v>0.5</v>
      </c>
      <c r="CE95" s="3">
        <f t="shared" si="86"/>
        <v>0.9</v>
      </c>
      <c r="CF95" s="23">
        <f t="shared" si="87"/>
        <v>60.9</v>
      </c>
      <c r="CG95" s="1">
        <f t="shared" si="88"/>
        <v>11.4</v>
      </c>
      <c r="CH95" s="1">
        <f t="shared" si="89"/>
        <v>13.9</v>
      </c>
      <c r="CI95" s="1">
        <f t="shared" si="90"/>
        <v>11.1</v>
      </c>
      <c r="CJ95" s="1">
        <f t="shared" si="91"/>
        <v>0.1</v>
      </c>
      <c r="CK95" s="1">
        <f t="shared" si="92"/>
        <v>0.1</v>
      </c>
      <c r="CL95" s="1">
        <f t="shared" si="93"/>
        <v>0.5</v>
      </c>
      <c r="CM95" s="1">
        <f t="shared" si="94"/>
        <v>0.9</v>
      </c>
      <c r="CN95" s="2">
        <f t="shared" si="95"/>
        <v>88.8</v>
      </c>
      <c r="CO95" s="1">
        <f t="shared" si="96"/>
        <v>-6.2</v>
      </c>
      <c r="CP95" s="1">
        <f t="shared" si="97"/>
        <v>-7.2</v>
      </c>
      <c r="CQ95" s="1">
        <f t="shared" si="98"/>
        <v>-8</v>
      </c>
      <c r="CR95" s="1">
        <f t="shared" si="99"/>
        <v>0</v>
      </c>
      <c r="CS95" s="1">
        <f t="shared" si="100"/>
        <v>0</v>
      </c>
      <c r="CT95" s="1">
        <f t="shared" si="101"/>
        <v>0.4</v>
      </c>
      <c r="CU95" s="1">
        <f t="shared" si="102"/>
        <v>0.8</v>
      </c>
      <c r="CV95" s="2">
        <f t="shared" si="103"/>
        <v>24.3</v>
      </c>
      <c r="CW95" s="18">
        <f t="shared" si="104"/>
        <v>1112</v>
      </c>
      <c r="CX95" s="1">
        <f>ROUND(PPTest!K95,1)</f>
        <v>0</v>
      </c>
      <c r="CY95" s="17">
        <f t="shared" si="105"/>
        <v>1.68</v>
      </c>
      <c r="CZ95" s="17">
        <f t="shared" si="106"/>
        <v>3.83</v>
      </c>
      <c r="DA95" s="20">
        <f t="shared" si="107"/>
        <v>0.32600000000000001</v>
      </c>
      <c r="DB95" s="20">
        <f t="shared" si="108"/>
        <v>1.016</v>
      </c>
      <c r="DC95" s="16">
        <f t="shared" si="109"/>
        <v>12.11</v>
      </c>
      <c r="DF95" s="1">
        <v>7.1</v>
      </c>
      <c r="DG95" s="1">
        <v>14</v>
      </c>
      <c r="DH95" s="1">
        <v>2.5</v>
      </c>
      <c r="DI95" s="1">
        <v>42.8</v>
      </c>
      <c r="DJ95" s="1">
        <v>29</v>
      </c>
      <c r="DW95" s="1">
        <v>2.6</v>
      </c>
      <c r="DX95" s="1">
        <v>11.7</v>
      </c>
      <c r="DY95" s="1">
        <v>-4.3</v>
      </c>
    </row>
    <row r="96" spans="1:129" x14ac:dyDescent="0.2">
      <c r="A96" s="40">
        <v>34789</v>
      </c>
      <c r="B96" s="3">
        <v>90</v>
      </c>
      <c r="C96" s="3">
        <v>16.649999999999999</v>
      </c>
      <c r="D96" s="3">
        <v>31.04</v>
      </c>
      <c r="E96" s="3">
        <v>3.3879999999999999</v>
      </c>
      <c r="F96" s="3">
        <v>58.52</v>
      </c>
      <c r="G96" s="3">
        <v>2.6720000000000002</v>
      </c>
      <c r="H96" s="3">
        <v>1.833</v>
      </c>
      <c r="I96" s="3">
        <v>2.9000000000000001E-2</v>
      </c>
      <c r="J96" s="3">
        <v>-0.98399999999999999</v>
      </c>
      <c r="K96" s="3">
        <v>2.984</v>
      </c>
      <c r="L96" s="3">
        <v>3.1E-2</v>
      </c>
      <c r="M96" s="3">
        <v>0.48199999999999998</v>
      </c>
      <c r="N96" s="3">
        <v>0.86199999999999999</v>
      </c>
      <c r="O96" s="3">
        <v>0</v>
      </c>
      <c r="P96" s="16">
        <v>2.0158333333333331</v>
      </c>
      <c r="Q96" s="3"/>
      <c r="R96" s="3">
        <v>11.33</v>
      </c>
      <c r="S96" s="3">
        <v>1627</v>
      </c>
      <c r="T96" s="3">
        <v>96</v>
      </c>
      <c r="U96" s="3">
        <v>508</v>
      </c>
      <c r="V96" s="3">
        <v>12.33</v>
      </c>
      <c r="W96" s="3">
        <v>11.4</v>
      </c>
      <c r="X96" s="3">
        <v>8.4000000000000005E-2</v>
      </c>
      <c r="Y96" s="3">
        <v>-0.19600000000000001</v>
      </c>
      <c r="Z96" s="3">
        <v>15.3</v>
      </c>
      <c r="AA96" s="3">
        <v>0.08</v>
      </c>
      <c r="AB96" s="3">
        <v>0.53800000000000003</v>
      </c>
      <c r="AC96" s="3">
        <v>0.91300000000000003</v>
      </c>
      <c r="AD96" s="16">
        <v>5.5274999999999999</v>
      </c>
      <c r="AE96" s="3">
        <v>1352</v>
      </c>
      <c r="AF96" s="3">
        <v>-7.34</v>
      </c>
      <c r="AG96" s="3">
        <v>505</v>
      </c>
      <c r="AH96" s="3">
        <v>26.91</v>
      </c>
      <c r="AI96" s="3">
        <v>1259</v>
      </c>
      <c r="AJ96" s="3">
        <v>-8.4600000000000009</v>
      </c>
      <c r="AK96" s="3">
        <v>-9.42</v>
      </c>
      <c r="AL96" s="3">
        <v>-2.9000000000000001E-2</v>
      </c>
      <c r="AM96" s="3">
        <v>-2.9169999999999998</v>
      </c>
      <c r="AN96" s="3">
        <v>-9.35</v>
      </c>
      <c r="AO96" s="3">
        <v>-3.5999999999999997E-2</v>
      </c>
      <c r="AP96" s="3">
        <v>0.40200000000000002</v>
      </c>
      <c r="AQ96" s="3">
        <v>0.77400000000000002</v>
      </c>
      <c r="AR96" s="3">
        <v>1.4E-2</v>
      </c>
      <c r="AS96" s="3">
        <v>0.192</v>
      </c>
      <c r="AT96" s="3">
        <v>0.223</v>
      </c>
      <c r="AU96" s="3">
        <v>6.7000000000000004E-2</v>
      </c>
      <c r="AV96" s="3">
        <v>0.16500000000000001</v>
      </c>
      <c r="AW96" s="3">
        <v>0.27600000000000002</v>
      </c>
      <c r="AX96" s="3">
        <v>4.9000000000000002E-2</v>
      </c>
      <c r="AY96" s="3">
        <v>1.4999999999999999E-2</v>
      </c>
      <c r="AZ96" s="3">
        <v>-2.1080000000000001</v>
      </c>
      <c r="BA96" s="3">
        <v>2399</v>
      </c>
      <c r="BB96" s="3">
        <v>12.11</v>
      </c>
      <c r="BC96" s="3">
        <v>2876</v>
      </c>
      <c r="BD96" s="3"/>
      <c r="BE96" s="3"/>
      <c r="BF96" s="3">
        <f t="shared" si="76"/>
        <v>1086</v>
      </c>
      <c r="BH96" s="16">
        <v>20.77</v>
      </c>
      <c r="BI96" s="16">
        <f t="shared" si="69"/>
        <v>41.955399999999997</v>
      </c>
      <c r="BJ96" s="17">
        <f t="shared" si="70"/>
        <v>16.649999999999999</v>
      </c>
      <c r="BK96" s="17">
        <f t="shared" si="71"/>
        <v>33.520000000000003</v>
      </c>
      <c r="BM96" s="1">
        <f t="shared" si="72"/>
        <v>89.7</v>
      </c>
      <c r="BN96" s="1">
        <f t="shared" si="73"/>
        <v>55.1</v>
      </c>
      <c r="BO96" s="1">
        <f t="shared" si="74"/>
        <v>25.9</v>
      </c>
      <c r="BP96" s="62">
        <f t="shared" si="77"/>
        <v>0.34699999999999998</v>
      </c>
      <c r="BQ96" s="62">
        <f t="shared" si="75"/>
        <v>0.99299999999999999</v>
      </c>
      <c r="BS96" s="3">
        <v>0</v>
      </c>
      <c r="BT96" s="8"/>
      <c r="BV96" s="8"/>
      <c r="BW96" s="16">
        <f t="shared" si="78"/>
        <v>16.649999999999999</v>
      </c>
      <c r="BX96" s="16">
        <f t="shared" si="79"/>
        <v>33.520000000000003</v>
      </c>
      <c r="BY96" s="3">
        <f t="shared" si="80"/>
        <v>3.4</v>
      </c>
      <c r="BZ96" s="3">
        <f t="shared" si="81"/>
        <v>2.7</v>
      </c>
      <c r="CA96" s="3">
        <f t="shared" si="82"/>
        <v>1.8</v>
      </c>
      <c r="CB96" s="3">
        <f t="shared" si="83"/>
        <v>0</v>
      </c>
      <c r="CC96" s="3">
        <f t="shared" si="84"/>
        <v>0</v>
      </c>
      <c r="CD96" s="3">
        <f t="shared" si="85"/>
        <v>0.5</v>
      </c>
      <c r="CE96" s="3">
        <f t="shared" si="86"/>
        <v>0.9</v>
      </c>
      <c r="CF96" s="23">
        <f t="shared" si="87"/>
        <v>55.1</v>
      </c>
      <c r="CG96" s="1">
        <f t="shared" si="88"/>
        <v>11.3</v>
      </c>
      <c r="CH96" s="1">
        <f t="shared" si="89"/>
        <v>12.3</v>
      </c>
      <c r="CI96" s="1">
        <f t="shared" si="90"/>
        <v>11.4</v>
      </c>
      <c r="CJ96" s="1">
        <f t="shared" si="91"/>
        <v>0.1</v>
      </c>
      <c r="CK96" s="1">
        <f t="shared" si="92"/>
        <v>0.1</v>
      </c>
      <c r="CL96" s="1">
        <f t="shared" si="93"/>
        <v>0.5</v>
      </c>
      <c r="CM96" s="1">
        <f t="shared" si="94"/>
        <v>0.9</v>
      </c>
      <c r="CN96" s="2">
        <f t="shared" si="95"/>
        <v>89.7</v>
      </c>
      <c r="CO96" s="1">
        <f t="shared" si="96"/>
        <v>-7.3</v>
      </c>
      <c r="CP96" s="1">
        <f t="shared" si="97"/>
        <v>-8.5</v>
      </c>
      <c r="CQ96" s="1">
        <f t="shared" si="98"/>
        <v>-9.4</v>
      </c>
      <c r="CR96" s="1">
        <f t="shared" si="99"/>
        <v>0</v>
      </c>
      <c r="CS96" s="1">
        <f t="shared" si="100"/>
        <v>0</v>
      </c>
      <c r="CT96" s="1">
        <f t="shared" si="101"/>
        <v>0.4</v>
      </c>
      <c r="CU96" s="1">
        <f t="shared" si="102"/>
        <v>0.8</v>
      </c>
      <c r="CV96" s="2">
        <f t="shared" si="103"/>
        <v>25.9</v>
      </c>
      <c r="CW96" s="18">
        <f t="shared" si="104"/>
        <v>1086</v>
      </c>
      <c r="CX96" s="1">
        <f>ROUND(PPTest!K96,1)</f>
        <v>0</v>
      </c>
      <c r="CY96" s="17">
        <f t="shared" si="105"/>
        <v>2.02</v>
      </c>
      <c r="CZ96" s="17">
        <f t="shared" si="106"/>
        <v>5.53</v>
      </c>
      <c r="DA96" s="20">
        <f t="shared" si="107"/>
        <v>0.34699999999999998</v>
      </c>
      <c r="DB96" s="20">
        <f t="shared" si="108"/>
        <v>0.99299999999999999</v>
      </c>
      <c r="DC96" s="16">
        <f t="shared" si="109"/>
        <v>12.11</v>
      </c>
      <c r="DF96" s="1">
        <v>7.7</v>
      </c>
      <c r="DG96" s="1">
        <v>12.7</v>
      </c>
      <c r="DH96" s="1">
        <v>2.4</v>
      </c>
      <c r="DI96" s="1">
        <v>45.9</v>
      </c>
      <c r="DJ96" s="1">
        <v>33</v>
      </c>
      <c r="DW96" s="1">
        <v>3.8</v>
      </c>
      <c r="DX96" s="1">
        <v>10.5</v>
      </c>
      <c r="DY96" s="1">
        <v>-4.7</v>
      </c>
    </row>
    <row r="97" spans="1:152" x14ac:dyDescent="0.2">
      <c r="A97" s="40">
        <v>34790</v>
      </c>
      <c r="B97" s="3">
        <v>91</v>
      </c>
      <c r="C97" s="3">
        <v>7.89</v>
      </c>
      <c r="D97" s="3">
        <v>15.28</v>
      </c>
      <c r="E97" s="3">
        <v>0.36399999999999999</v>
      </c>
      <c r="F97" s="3">
        <v>93.4</v>
      </c>
      <c r="G97" s="3">
        <v>-0.114</v>
      </c>
      <c r="H97" s="3">
        <v>-0.53600000000000003</v>
      </c>
      <c r="I97" s="3">
        <v>4.1000000000000002E-2</v>
      </c>
      <c r="J97" s="3">
        <v>-0.20699999999999999</v>
      </c>
      <c r="K97" s="3">
        <v>0.15</v>
      </c>
      <c r="L97" s="3">
        <v>6.0999999999999999E-2</v>
      </c>
      <c r="M97" s="3">
        <v>0.50600000000000001</v>
      </c>
      <c r="N97" s="3">
        <v>0.88500000000000001</v>
      </c>
      <c r="O97" s="3">
        <v>0</v>
      </c>
      <c r="P97" s="16">
        <v>1.8091666666666668</v>
      </c>
      <c r="Q97" s="3"/>
      <c r="R97" s="3">
        <v>4.359</v>
      </c>
      <c r="S97" s="3">
        <v>1221</v>
      </c>
      <c r="T97" s="3">
        <v>106.1</v>
      </c>
      <c r="U97" s="3">
        <v>452</v>
      </c>
      <c r="V97" s="3">
        <v>5.5309999999999997</v>
      </c>
      <c r="W97" s="3">
        <v>2.5299999999999998</v>
      </c>
      <c r="X97" s="3">
        <v>7.0000000000000007E-2</v>
      </c>
      <c r="Y97" s="3">
        <v>-0.185</v>
      </c>
      <c r="Z97" s="3">
        <v>4.5999999999999996</v>
      </c>
      <c r="AA97" s="3">
        <v>8.1000000000000003E-2</v>
      </c>
      <c r="AB97" s="3">
        <v>0.52400000000000002</v>
      </c>
      <c r="AC97" s="3">
        <v>0.90700000000000003</v>
      </c>
      <c r="AD97" s="16">
        <v>5.2874999999999996</v>
      </c>
      <c r="AE97" s="3">
        <v>1457</v>
      </c>
      <c r="AF97" s="3">
        <v>-2.391</v>
      </c>
      <c r="AG97" s="3">
        <v>0</v>
      </c>
      <c r="AH97" s="3">
        <v>64.72</v>
      </c>
      <c r="AI97" s="3">
        <v>1527</v>
      </c>
      <c r="AJ97" s="3">
        <v>-3.2549999999999999</v>
      </c>
      <c r="AK97" s="3">
        <v>-4.2640000000000002</v>
      </c>
      <c r="AL97" s="3">
        <v>2.1000000000000001E-2</v>
      </c>
      <c r="AM97" s="3">
        <v>-0.222</v>
      </c>
      <c r="AN97" s="3">
        <v>-3.2370000000000001</v>
      </c>
      <c r="AO97" s="3">
        <v>4.7E-2</v>
      </c>
      <c r="AP97" s="3">
        <v>0.48899999999999999</v>
      </c>
      <c r="AQ97" s="3">
        <v>0.86499999999999999</v>
      </c>
      <c r="AR97" s="3">
        <v>2.1000000000000001E-2</v>
      </c>
      <c r="AS97" s="3">
        <v>3.5000000000000003E-2</v>
      </c>
      <c r="AT97" s="3">
        <v>3.5000000000000003E-2</v>
      </c>
      <c r="AU97" s="3">
        <v>1.2E-2</v>
      </c>
      <c r="AV97" s="3">
        <v>0.16</v>
      </c>
      <c r="AW97" s="3">
        <v>0.626</v>
      </c>
      <c r="AX97" s="3">
        <v>0.10100000000000001</v>
      </c>
      <c r="AY97" s="3">
        <v>0.01</v>
      </c>
      <c r="AZ97" s="3">
        <v>-0.113</v>
      </c>
      <c r="BA97" s="3">
        <v>2381</v>
      </c>
      <c r="BB97" s="3">
        <v>12.11</v>
      </c>
      <c r="BC97" s="3">
        <v>2876</v>
      </c>
      <c r="BD97" s="3"/>
      <c r="BE97" s="3"/>
      <c r="BF97" s="3">
        <f t="shared" si="76"/>
        <v>1104</v>
      </c>
      <c r="BH97" s="16">
        <v>21.03</v>
      </c>
      <c r="BI97" s="16">
        <f t="shared" si="69"/>
        <v>42.480600000000003</v>
      </c>
      <c r="BJ97" s="17">
        <f t="shared" si="70"/>
        <v>7.89</v>
      </c>
      <c r="BK97" s="17">
        <f t="shared" si="71"/>
        <v>16.5</v>
      </c>
      <c r="BM97" s="1">
        <f t="shared" si="72"/>
        <v>99</v>
      </c>
      <c r="BN97" s="1">
        <f t="shared" si="73"/>
        <v>87.3</v>
      </c>
      <c r="BO97" s="1">
        <f t="shared" si="74"/>
        <v>60.8</v>
      </c>
      <c r="BP97" s="62">
        <f t="shared" si="77"/>
        <v>0.50700000000000001</v>
      </c>
      <c r="BQ97" s="62">
        <f t="shared" si="75"/>
        <v>0.32700000000000001</v>
      </c>
      <c r="BR97" s="2"/>
      <c r="BS97" s="3">
        <v>4.3</v>
      </c>
      <c r="BT97" s="8"/>
      <c r="BV97" s="8"/>
      <c r="BW97" s="16">
        <f t="shared" si="78"/>
        <v>7.89</v>
      </c>
      <c r="BX97" s="16">
        <f t="shared" si="79"/>
        <v>16.5</v>
      </c>
      <c r="BY97" s="3">
        <f t="shared" si="80"/>
        <v>0.4</v>
      </c>
      <c r="BZ97" s="3">
        <f t="shared" si="81"/>
        <v>-0.1</v>
      </c>
      <c r="CA97" s="3">
        <f t="shared" si="82"/>
        <v>-0.5</v>
      </c>
      <c r="CB97" s="3">
        <f t="shared" si="83"/>
        <v>0</v>
      </c>
      <c r="CC97" s="3">
        <f t="shared" si="84"/>
        <v>0.1</v>
      </c>
      <c r="CD97" s="3">
        <f t="shared" si="85"/>
        <v>0.5</v>
      </c>
      <c r="CE97" s="3">
        <f t="shared" si="86"/>
        <v>0.9</v>
      </c>
      <c r="CF97" s="23">
        <f t="shared" si="87"/>
        <v>87.3</v>
      </c>
      <c r="CG97" s="1">
        <f t="shared" si="88"/>
        <v>4.4000000000000004</v>
      </c>
      <c r="CH97" s="1">
        <f t="shared" si="89"/>
        <v>5.5</v>
      </c>
      <c r="CI97" s="1">
        <f t="shared" si="90"/>
        <v>2.5</v>
      </c>
      <c r="CJ97" s="1">
        <f t="shared" si="91"/>
        <v>0.1</v>
      </c>
      <c r="CK97" s="1">
        <f t="shared" si="92"/>
        <v>0.1</v>
      </c>
      <c r="CL97" s="1">
        <f t="shared" si="93"/>
        <v>0.5</v>
      </c>
      <c r="CM97" s="1">
        <f t="shared" si="94"/>
        <v>0.9</v>
      </c>
      <c r="CN97" s="2">
        <f t="shared" si="95"/>
        <v>99</v>
      </c>
      <c r="CO97" s="1">
        <f t="shared" si="96"/>
        <v>-2.4</v>
      </c>
      <c r="CP97" s="1">
        <f t="shared" si="97"/>
        <v>-3.3</v>
      </c>
      <c r="CQ97" s="1">
        <f t="shared" si="98"/>
        <v>-4.3</v>
      </c>
      <c r="CR97" s="1">
        <f t="shared" si="99"/>
        <v>0</v>
      </c>
      <c r="CS97" s="1">
        <f t="shared" si="100"/>
        <v>0</v>
      </c>
      <c r="CT97" s="1">
        <f t="shared" si="101"/>
        <v>0.5</v>
      </c>
      <c r="CU97" s="1">
        <f t="shared" si="102"/>
        <v>0.9</v>
      </c>
      <c r="CV97" s="2">
        <f t="shared" si="103"/>
        <v>60.8</v>
      </c>
      <c r="CW97" s="18">
        <f t="shared" si="104"/>
        <v>1104</v>
      </c>
      <c r="CX97" s="1">
        <f>ROUND(PPTest!K97,1)</f>
        <v>2.2999999999999998</v>
      </c>
      <c r="CY97" s="17">
        <f t="shared" si="105"/>
        <v>1.81</v>
      </c>
      <c r="CZ97" s="17">
        <f t="shared" si="106"/>
        <v>5.29</v>
      </c>
      <c r="DA97" s="20">
        <f t="shared" si="107"/>
        <v>0.50700000000000001</v>
      </c>
      <c r="DB97" s="20">
        <f t="shared" si="108"/>
        <v>0.32700000000000001</v>
      </c>
      <c r="DC97" s="16">
        <f t="shared" si="109"/>
        <v>12.11</v>
      </c>
      <c r="DF97" s="1">
        <v>3</v>
      </c>
      <c r="DG97" s="1">
        <v>5.8</v>
      </c>
      <c r="DH97" s="1">
        <v>1</v>
      </c>
      <c r="DI97" s="1">
        <v>74.599999999999994</v>
      </c>
      <c r="DJ97" s="1">
        <v>54</v>
      </c>
      <c r="DW97" s="1">
        <v>0.3</v>
      </c>
      <c r="DX97" s="1">
        <v>3.7</v>
      </c>
      <c r="DY97" s="1">
        <v>-3.4</v>
      </c>
    </row>
    <row r="98" spans="1:152" x14ac:dyDescent="0.2">
      <c r="A98" s="40">
        <v>34791</v>
      </c>
      <c r="B98" s="3">
        <v>92</v>
      </c>
      <c r="C98" s="3">
        <v>6.8159999999999998</v>
      </c>
      <c r="D98" s="3">
        <v>13.83</v>
      </c>
      <c r="E98" s="3">
        <v>-1.321</v>
      </c>
      <c r="F98" s="3">
        <v>96.8</v>
      </c>
      <c r="G98" s="3">
        <v>-1.7330000000000001</v>
      </c>
      <c r="H98" s="3">
        <v>-1.97</v>
      </c>
      <c r="I98" s="3">
        <v>2.1999999999999999E-2</v>
      </c>
      <c r="J98" s="3">
        <v>-0.217</v>
      </c>
      <c r="K98" s="3">
        <v>-1.5740000000000001</v>
      </c>
      <c r="L98" s="3">
        <v>5.3999999999999999E-2</v>
      </c>
      <c r="M98" s="3">
        <v>0.49</v>
      </c>
      <c r="N98" s="3">
        <v>0.86299999999999999</v>
      </c>
      <c r="O98" s="3">
        <v>0</v>
      </c>
      <c r="P98" s="16">
        <v>1.6341666666666668</v>
      </c>
      <c r="Q98" s="3"/>
      <c r="R98" s="3">
        <v>0.60399999999999998</v>
      </c>
      <c r="S98" s="3">
        <v>1306</v>
      </c>
      <c r="T98" s="3">
        <v>104.8</v>
      </c>
      <c r="U98" s="3">
        <v>1541</v>
      </c>
      <c r="V98" s="3">
        <v>0.91700000000000004</v>
      </c>
      <c r="W98" s="3">
        <v>0.89300000000000002</v>
      </c>
      <c r="X98" s="3">
        <v>5.5E-2</v>
      </c>
      <c r="Y98" s="3">
        <v>-0.182</v>
      </c>
      <c r="Z98" s="3">
        <v>2.456</v>
      </c>
      <c r="AA98" s="3">
        <v>8.3000000000000004E-2</v>
      </c>
      <c r="AB98" s="3">
        <v>0.52200000000000002</v>
      </c>
      <c r="AC98" s="3">
        <v>0.89400000000000002</v>
      </c>
      <c r="AD98" s="16">
        <v>5.3808333333333334</v>
      </c>
      <c r="AE98" s="3">
        <v>1319</v>
      </c>
      <c r="AF98" s="3">
        <v>-4.2619999999999996</v>
      </c>
      <c r="AG98" s="3">
        <v>509</v>
      </c>
      <c r="AH98" s="3">
        <v>85.6</v>
      </c>
      <c r="AI98" s="3">
        <v>949</v>
      </c>
      <c r="AJ98" s="3">
        <v>-5.4960000000000004</v>
      </c>
      <c r="AK98" s="3">
        <v>-6.4980000000000002</v>
      </c>
      <c r="AL98" s="3">
        <v>-1.4E-2</v>
      </c>
      <c r="AM98" s="3">
        <v>-0.25800000000000001</v>
      </c>
      <c r="AN98" s="3">
        <v>-5.8330000000000002</v>
      </c>
      <c r="AO98" s="3">
        <v>1.9E-2</v>
      </c>
      <c r="AP98" s="3">
        <v>0.45500000000000002</v>
      </c>
      <c r="AQ98" s="3">
        <v>0.82899999999999996</v>
      </c>
      <c r="AR98" s="3">
        <v>1.9E-2</v>
      </c>
      <c r="AS98" s="3">
        <v>0.18099999999999999</v>
      </c>
      <c r="AT98" s="3">
        <v>0.16</v>
      </c>
      <c r="AU98" s="3">
        <v>4.2000000000000003E-2</v>
      </c>
      <c r="AV98" s="3">
        <v>0.10299999999999999</v>
      </c>
      <c r="AW98" s="3">
        <v>0.42499999999999999</v>
      </c>
      <c r="AX98" s="3">
        <v>5.8000000000000003E-2</v>
      </c>
      <c r="AY98" s="3">
        <v>1.2E-2</v>
      </c>
      <c r="AZ98" s="3">
        <v>-0.65800000000000003</v>
      </c>
      <c r="BA98" s="3">
        <v>2374</v>
      </c>
      <c r="BB98" s="3">
        <v>12.11</v>
      </c>
      <c r="BC98" s="3">
        <v>2876</v>
      </c>
      <c r="BD98" s="3"/>
      <c r="BE98" s="3"/>
      <c r="BF98" s="3">
        <f t="shared" si="76"/>
        <v>1111</v>
      </c>
      <c r="BH98" s="16">
        <v>21.3</v>
      </c>
      <c r="BI98" s="16">
        <f t="shared" si="69"/>
        <v>43.026000000000003</v>
      </c>
      <c r="BJ98" s="17">
        <f t="shared" si="70"/>
        <v>6.82</v>
      </c>
      <c r="BK98" s="17">
        <f t="shared" si="71"/>
        <v>14.94</v>
      </c>
      <c r="BM98" s="1">
        <f t="shared" si="72"/>
        <v>97.8</v>
      </c>
      <c r="BN98" s="1">
        <f t="shared" si="73"/>
        <v>90.4</v>
      </c>
      <c r="BO98" s="1">
        <f t="shared" si="74"/>
        <v>80.099999999999994</v>
      </c>
      <c r="BP98" s="62">
        <f t="shared" si="77"/>
        <v>0.51100000000000001</v>
      </c>
      <c r="BQ98" s="62">
        <f t="shared" si="75"/>
        <v>0.127</v>
      </c>
      <c r="BR98" s="2"/>
      <c r="BS98" s="3">
        <v>1.6</v>
      </c>
      <c r="BT98" s="8"/>
      <c r="BV98" s="8"/>
      <c r="BW98" s="16">
        <f t="shared" si="78"/>
        <v>6.82</v>
      </c>
      <c r="BX98" s="16">
        <f t="shared" si="79"/>
        <v>14.94</v>
      </c>
      <c r="BY98" s="3">
        <f t="shared" si="80"/>
        <v>-1.3</v>
      </c>
      <c r="BZ98" s="3">
        <f t="shared" si="81"/>
        <v>-1.7</v>
      </c>
      <c r="CA98" s="3">
        <f t="shared" si="82"/>
        <v>-2</v>
      </c>
      <c r="CB98" s="3">
        <f t="shared" si="83"/>
        <v>0</v>
      </c>
      <c r="CC98" s="3">
        <f t="shared" si="84"/>
        <v>0.1</v>
      </c>
      <c r="CD98" s="3">
        <f t="shared" si="85"/>
        <v>0.5</v>
      </c>
      <c r="CE98" s="3">
        <f t="shared" si="86"/>
        <v>0.9</v>
      </c>
      <c r="CF98" s="23">
        <f t="shared" si="87"/>
        <v>90.4</v>
      </c>
      <c r="CG98" s="1">
        <f t="shared" si="88"/>
        <v>0.6</v>
      </c>
      <c r="CH98" s="1">
        <f t="shared" si="89"/>
        <v>0.9</v>
      </c>
      <c r="CI98" s="1">
        <f t="shared" si="90"/>
        <v>0.9</v>
      </c>
      <c r="CJ98" s="1">
        <f t="shared" si="91"/>
        <v>0.1</v>
      </c>
      <c r="CK98" s="1">
        <f t="shared" si="92"/>
        <v>0.1</v>
      </c>
      <c r="CL98" s="1">
        <f t="shared" si="93"/>
        <v>0.5</v>
      </c>
      <c r="CM98" s="1">
        <f t="shared" si="94"/>
        <v>0.9</v>
      </c>
      <c r="CN98" s="2">
        <f t="shared" si="95"/>
        <v>97.8</v>
      </c>
      <c r="CO98" s="1">
        <f t="shared" si="96"/>
        <v>-4.3</v>
      </c>
      <c r="CP98" s="1">
        <f t="shared" si="97"/>
        <v>-5.5</v>
      </c>
      <c r="CQ98" s="1">
        <f t="shared" si="98"/>
        <v>-6.5</v>
      </c>
      <c r="CR98" s="1">
        <f t="shared" si="99"/>
        <v>0</v>
      </c>
      <c r="CS98" s="1">
        <f t="shared" si="100"/>
        <v>0</v>
      </c>
      <c r="CT98" s="1">
        <f t="shared" si="101"/>
        <v>0.5</v>
      </c>
      <c r="CU98" s="1">
        <f t="shared" si="102"/>
        <v>0.8</v>
      </c>
      <c r="CV98" s="2">
        <f t="shared" si="103"/>
        <v>80.099999999999994</v>
      </c>
      <c r="CW98" s="18">
        <f t="shared" si="104"/>
        <v>1111</v>
      </c>
      <c r="CX98" s="1">
        <f>ROUND(PPTest!K98,1)</f>
        <v>0.9</v>
      </c>
      <c r="CY98" s="17">
        <f t="shared" si="105"/>
        <v>1.63</v>
      </c>
      <c r="CZ98" s="17">
        <f t="shared" si="106"/>
        <v>5.38</v>
      </c>
      <c r="DA98" s="20">
        <f t="shared" si="107"/>
        <v>0.51100000000000001</v>
      </c>
      <c r="DB98" s="20">
        <f t="shared" si="108"/>
        <v>0.127</v>
      </c>
      <c r="DC98" s="16">
        <f t="shared" si="109"/>
        <v>12.11</v>
      </c>
      <c r="DF98" s="1">
        <v>1.8</v>
      </c>
      <c r="DG98" s="1">
        <v>3.4</v>
      </c>
      <c r="DH98" s="1">
        <v>0.6</v>
      </c>
      <c r="DI98" s="1">
        <v>79.2</v>
      </c>
      <c r="DJ98" s="1">
        <v>67</v>
      </c>
      <c r="DL98" s="1" t="s">
        <v>173</v>
      </c>
      <c r="DW98" s="1">
        <v>-0.5</v>
      </c>
      <c r="DX98" s="1">
        <v>1.8</v>
      </c>
      <c r="DY98" s="1">
        <v>-2.9</v>
      </c>
      <c r="EB98" s="1" t="s">
        <v>173</v>
      </c>
      <c r="EV98" s="1" t="s">
        <v>181</v>
      </c>
    </row>
    <row r="99" spans="1:152" x14ac:dyDescent="0.2">
      <c r="A99" s="40">
        <v>34792</v>
      </c>
      <c r="B99" s="3">
        <v>93</v>
      </c>
      <c r="C99" s="3">
        <v>13.28</v>
      </c>
      <c r="D99" s="3">
        <v>25.86</v>
      </c>
      <c r="E99" s="3">
        <v>2.645</v>
      </c>
      <c r="F99" s="3">
        <v>87.4</v>
      </c>
      <c r="G99" s="3">
        <v>2.3330000000000002</v>
      </c>
      <c r="H99" s="3">
        <v>1.6779999999999999</v>
      </c>
      <c r="I99" s="3">
        <v>0.04</v>
      </c>
      <c r="J99" s="3">
        <v>-0.184</v>
      </c>
      <c r="K99" s="3">
        <v>2.976</v>
      </c>
      <c r="L99" s="3">
        <v>6.5000000000000002E-2</v>
      </c>
      <c r="M99" s="3">
        <v>0.49299999999999999</v>
      </c>
      <c r="N99" s="3">
        <v>0.85899999999999999</v>
      </c>
      <c r="O99" s="3">
        <v>0</v>
      </c>
      <c r="P99" s="16">
        <v>1.0345</v>
      </c>
      <c r="Q99" s="3"/>
      <c r="R99" s="3">
        <v>9.2200000000000006</v>
      </c>
      <c r="S99" s="3">
        <v>1425</v>
      </c>
      <c r="T99" s="3">
        <v>104.3</v>
      </c>
      <c r="U99" s="3">
        <v>427</v>
      </c>
      <c r="V99" s="3">
        <v>10.87</v>
      </c>
      <c r="W99" s="3">
        <v>8.4600000000000009</v>
      </c>
      <c r="X99" s="3">
        <v>7.0999999999999994E-2</v>
      </c>
      <c r="Y99" s="3">
        <v>0.128</v>
      </c>
      <c r="Z99" s="3">
        <v>13.47</v>
      </c>
      <c r="AA99" s="3">
        <v>9.6000000000000002E-2</v>
      </c>
      <c r="AB99" s="3">
        <v>0.51800000000000002</v>
      </c>
      <c r="AC99" s="3">
        <v>0.88</v>
      </c>
      <c r="AD99" s="16">
        <v>3.3008333333333337</v>
      </c>
      <c r="AE99" s="3">
        <v>959</v>
      </c>
      <c r="AF99" s="3">
        <v>-1.464</v>
      </c>
      <c r="AG99" s="3">
        <v>1</v>
      </c>
      <c r="AH99" s="3">
        <v>57.88</v>
      </c>
      <c r="AI99" s="3">
        <v>1424</v>
      </c>
      <c r="AJ99" s="3">
        <v>-2.081</v>
      </c>
      <c r="AK99" s="3">
        <v>-2.3929999999999998</v>
      </c>
      <c r="AL99" s="3">
        <v>1.4999999999999999E-2</v>
      </c>
      <c r="AM99" s="3">
        <v>-0.503</v>
      </c>
      <c r="AN99" s="3">
        <v>-2.2650000000000001</v>
      </c>
      <c r="AO99" s="3">
        <v>4.2000000000000003E-2</v>
      </c>
      <c r="AP99" s="3">
        <v>0.46899999999999997</v>
      </c>
      <c r="AQ99" s="3">
        <v>0.83499999999999996</v>
      </c>
      <c r="AR99" s="3">
        <v>6.0999999999999999E-2</v>
      </c>
      <c r="AS99" s="3">
        <v>0.36199999999999999</v>
      </c>
      <c r="AT99" s="3">
        <v>0.19800000000000001</v>
      </c>
      <c r="AU99" s="3">
        <v>0.03</v>
      </c>
      <c r="AV99" s="3">
        <v>0.09</v>
      </c>
      <c r="AW99" s="3">
        <v>0.152</v>
      </c>
      <c r="AX99" s="3">
        <v>8.5000000000000006E-2</v>
      </c>
      <c r="AY99" s="3">
        <v>2.1000000000000001E-2</v>
      </c>
      <c r="AZ99" s="3">
        <v>-0.17299999999999999</v>
      </c>
      <c r="BA99" s="3">
        <v>2402</v>
      </c>
      <c r="BB99" s="3">
        <v>12.11</v>
      </c>
      <c r="BC99" s="3">
        <v>2876</v>
      </c>
      <c r="BD99" s="3"/>
      <c r="BE99" s="3"/>
      <c r="BF99" s="3">
        <f t="shared" si="76"/>
        <v>1083</v>
      </c>
      <c r="BH99" s="16">
        <v>21.56</v>
      </c>
      <c r="BI99" s="16">
        <f t="shared" si="69"/>
        <v>43.551199999999994</v>
      </c>
      <c r="BJ99" s="17">
        <f t="shared" si="70"/>
        <v>13.28</v>
      </c>
      <c r="BK99" s="17">
        <f t="shared" si="71"/>
        <v>27.93</v>
      </c>
      <c r="BM99" s="1">
        <f t="shared" si="72"/>
        <v>97.4</v>
      </c>
      <c r="BN99" s="1">
        <f t="shared" si="73"/>
        <v>81.8</v>
      </c>
      <c r="BO99" s="1">
        <f t="shared" si="74"/>
        <v>54.5</v>
      </c>
      <c r="BP99" s="62">
        <f t="shared" si="77"/>
        <v>0.63500000000000001</v>
      </c>
      <c r="BQ99" s="62">
        <f t="shared" si="75"/>
        <v>0.53</v>
      </c>
      <c r="BR99" s="2"/>
      <c r="BS99" s="3">
        <v>0</v>
      </c>
      <c r="BT99" s="8"/>
      <c r="BV99" s="8"/>
      <c r="BW99" s="16">
        <f t="shared" si="78"/>
        <v>13.28</v>
      </c>
      <c r="BX99" s="16">
        <f t="shared" si="79"/>
        <v>27.93</v>
      </c>
      <c r="BY99" s="3">
        <f t="shared" si="80"/>
        <v>2.6</v>
      </c>
      <c r="BZ99" s="3">
        <f t="shared" si="81"/>
        <v>2.2999999999999998</v>
      </c>
      <c r="CA99" s="3">
        <f t="shared" si="82"/>
        <v>1.7</v>
      </c>
      <c r="CB99" s="3">
        <f t="shared" si="83"/>
        <v>0</v>
      </c>
      <c r="CC99" s="3">
        <f t="shared" si="84"/>
        <v>0.1</v>
      </c>
      <c r="CD99" s="3">
        <f t="shared" si="85"/>
        <v>0.5</v>
      </c>
      <c r="CE99" s="3">
        <f t="shared" si="86"/>
        <v>0.9</v>
      </c>
      <c r="CF99" s="23">
        <f t="shared" si="87"/>
        <v>81.8</v>
      </c>
      <c r="CG99" s="1">
        <f t="shared" si="88"/>
        <v>9.1999999999999993</v>
      </c>
      <c r="CH99" s="1">
        <f t="shared" si="89"/>
        <v>10.9</v>
      </c>
      <c r="CI99" s="1">
        <f t="shared" si="90"/>
        <v>8.5</v>
      </c>
      <c r="CJ99" s="1">
        <f t="shared" si="91"/>
        <v>0.1</v>
      </c>
      <c r="CK99" s="1">
        <f t="shared" si="92"/>
        <v>0.1</v>
      </c>
      <c r="CL99" s="1">
        <f t="shared" si="93"/>
        <v>0.5</v>
      </c>
      <c r="CM99" s="1">
        <f t="shared" si="94"/>
        <v>0.9</v>
      </c>
      <c r="CN99" s="2">
        <f t="shared" si="95"/>
        <v>97.4</v>
      </c>
      <c r="CO99" s="1">
        <f t="shared" si="96"/>
        <v>-1.5</v>
      </c>
      <c r="CP99" s="1">
        <f t="shared" si="97"/>
        <v>-2.1</v>
      </c>
      <c r="CQ99" s="1">
        <f t="shared" si="98"/>
        <v>-2.4</v>
      </c>
      <c r="CR99" s="1">
        <f t="shared" si="99"/>
        <v>0</v>
      </c>
      <c r="CS99" s="1">
        <f t="shared" si="100"/>
        <v>0</v>
      </c>
      <c r="CT99" s="1">
        <f t="shared" si="101"/>
        <v>0.5</v>
      </c>
      <c r="CU99" s="1">
        <f t="shared" si="102"/>
        <v>0.8</v>
      </c>
      <c r="CV99" s="2">
        <f t="shared" si="103"/>
        <v>54.5</v>
      </c>
      <c r="CW99" s="18">
        <f t="shared" si="104"/>
        <v>1083</v>
      </c>
      <c r="CX99" s="1">
        <f>ROUND(PPTest!K99,1)</f>
        <v>0</v>
      </c>
      <c r="CY99" s="17">
        <f t="shared" si="105"/>
        <v>1.03</v>
      </c>
      <c r="CZ99" s="17">
        <f t="shared" si="106"/>
        <v>3.3</v>
      </c>
      <c r="DA99" s="20">
        <f t="shared" si="107"/>
        <v>0.63500000000000001</v>
      </c>
      <c r="DB99" s="20">
        <f t="shared" si="108"/>
        <v>0.53</v>
      </c>
      <c r="DC99" s="16">
        <f t="shared" si="109"/>
        <v>12.11</v>
      </c>
      <c r="DF99" s="1">
        <v>5.2</v>
      </c>
      <c r="DG99" s="1">
        <v>9.1999999999999993</v>
      </c>
      <c r="DH99" s="1">
        <v>1.5</v>
      </c>
      <c r="DI99" s="1">
        <v>77.099999999999994</v>
      </c>
      <c r="DJ99" s="1">
        <v>68</v>
      </c>
      <c r="DW99" s="1">
        <v>3.3</v>
      </c>
      <c r="DX99" s="1">
        <v>11.3</v>
      </c>
      <c r="DY99" s="1">
        <v>-3.4</v>
      </c>
    </row>
    <row r="100" spans="1:152" x14ac:dyDescent="0.2">
      <c r="A100" s="40">
        <v>34793</v>
      </c>
      <c r="B100" s="3">
        <v>94</v>
      </c>
      <c r="C100" s="3">
        <v>7.83</v>
      </c>
      <c r="D100" s="3">
        <v>15.3</v>
      </c>
      <c r="E100" s="3">
        <v>1.0840000000000001</v>
      </c>
      <c r="F100" s="3">
        <v>85.6</v>
      </c>
      <c r="G100" s="3">
        <v>0.41799999999999998</v>
      </c>
      <c r="H100" s="3">
        <v>0.11799999999999999</v>
      </c>
      <c r="I100" s="3">
        <v>3.5999999999999997E-2</v>
      </c>
      <c r="J100" s="3">
        <v>-0.187</v>
      </c>
      <c r="K100" s="3">
        <v>0.47</v>
      </c>
      <c r="L100" s="3">
        <v>7.0000000000000007E-2</v>
      </c>
      <c r="M100" s="3">
        <v>0.49099999999999999</v>
      </c>
      <c r="N100" s="3">
        <v>0.85199999999999998</v>
      </c>
      <c r="O100" s="3">
        <v>1E-3</v>
      </c>
      <c r="P100" s="16">
        <v>2.5541666666666667</v>
      </c>
      <c r="Q100" s="3"/>
      <c r="R100" s="3">
        <v>5.3819999999999997</v>
      </c>
      <c r="S100" s="3">
        <v>706</v>
      </c>
      <c r="T100" s="3">
        <v>104.3</v>
      </c>
      <c r="U100" s="3">
        <v>1710</v>
      </c>
      <c r="V100" s="3">
        <v>5.4960000000000004</v>
      </c>
      <c r="W100" s="3">
        <v>5.1189999999999998</v>
      </c>
      <c r="X100" s="3">
        <v>7.0000000000000007E-2</v>
      </c>
      <c r="Y100" s="3">
        <v>0.192</v>
      </c>
      <c r="Z100" s="3">
        <v>7.54</v>
      </c>
      <c r="AA100" s="3">
        <v>0.1</v>
      </c>
      <c r="AB100" s="3">
        <v>0.52200000000000002</v>
      </c>
      <c r="AC100" s="3">
        <v>0.89</v>
      </c>
      <c r="AD100" s="16">
        <v>9.1408333333333314</v>
      </c>
      <c r="AE100" s="3">
        <v>1634</v>
      </c>
      <c r="AF100" s="3">
        <v>-7.95</v>
      </c>
      <c r="AG100" s="3">
        <v>0</v>
      </c>
      <c r="AH100" s="3">
        <v>58.89</v>
      </c>
      <c r="AI100" s="3">
        <v>1148</v>
      </c>
      <c r="AJ100" s="3">
        <v>-8.75</v>
      </c>
      <c r="AK100" s="3">
        <v>-9.9</v>
      </c>
      <c r="AL100" s="3">
        <v>-1.9E-2</v>
      </c>
      <c r="AM100" s="3">
        <v>-0.54300000000000004</v>
      </c>
      <c r="AN100" s="3">
        <v>-9.67</v>
      </c>
      <c r="AO100" s="3">
        <v>0.02</v>
      </c>
      <c r="AP100" s="3">
        <v>0.44800000000000001</v>
      </c>
      <c r="AQ100" s="3">
        <v>0.81100000000000005</v>
      </c>
      <c r="AR100" s="3">
        <v>2.7E-2</v>
      </c>
      <c r="AS100" s="3">
        <v>0.11799999999999999</v>
      </c>
      <c r="AT100" s="3">
        <v>9.0999999999999998E-2</v>
      </c>
      <c r="AU100" s="3">
        <v>4.2999999999999997E-2</v>
      </c>
      <c r="AV100" s="3">
        <v>0.14799999999999999</v>
      </c>
      <c r="AW100" s="3">
        <v>0.49199999999999999</v>
      </c>
      <c r="AX100" s="3">
        <v>6.8000000000000005E-2</v>
      </c>
      <c r="AY100" s="3">
        <v>1.2E-2</v>
      </c>
      <c r="AZ100" s="3">
        <v>-0.44800000000000001</v>
      </c>
      <c r="BA100" s="3">
        <v>2431</v>
      </c>
      <c r="BB100" s="3">
        <v>12.1</v>
      </c>
      <c r="BC100" s="3">
        <v>2876</v>
      </c>
      <c r="BD100" s="3"/>
      <c r="BE100" s="3"/>
      <c r="BF100" s="3">
        <f t="shared" si="76"/>
        <v>1054</v>
      </c>
      <c r="BH100" s="16">
        <v>21.82</v>
      </c>
      <c r="BI100" s="16">
        <f t="shared" si="69"/>
        <v>44.0764</v>
      </c>
      <c r="BJ100" s="17">
        <f t="shared" si="70"/>
        <v>7.83</v>
      </c>
      <c r="BK100" s="17">
        <f t="shared" si="71"/>
        <v>16.52</v>
      </c>
      <c r="BM100" s="1">
        <f t="shared" si="72"/>
        <v>97.4</v>
      </c>
      <c r="BN100" s="1">
        <f t="shared" si="73"/>
        <v>80.099999999999994</v>
      </c>
      <c r="BO100" s="1">
        <f t="shared" si="74"/>
        <v>55.4</v>
      </c>
      <c r="BP100" s="62">
        <f t="shared" si="77"/>
        <v>0.496</v>
      </c>
      <c r="BQ100" s="62">
        <f t="shared" si="75"/>
        <v>0.39900000000000002</v>
      </c>
      <c r="BR100" s="2"/>
      <c r="BS100" s="3">
        <v>2.2999999999999998</v>
      </c>
      <c r="BT100" s="8"/>
      <c r="BV100" s="8"/>
      <c r="BW100" s="16">
        <f t="shared" si="78"/>
        <v>7.83</v>
      </c>
      <c r="BX100" s="16">
        <f t="shared" si="79"/>
        <v>16.52</v>
      </c>
      <c r="BY100" s="3">
        <f t="shared" si="80"/>
        <v>1.1000000000000001</v>
      </c>
      <c r="BZ100" s="3">
        <f t="shared" si="81"/>
        <v>0.4</v>
      </c>
      <c r="CA100" s="3">
        <f t="shared" si="82"/>
        <v>0.1</v>
      </c>
      <c r="CB100" s="3">
        <f t="shared" si="83"/>
        <v>0</v>
      </c>
      <c r="CC100" s="3">
        <f t="shared" si="84"/>
        <v>0.1</v>
      </c>
      <c r="CD100" s="3">
        <f t="shared" si="85"/>
        <v>0.5</v>
      </c>
      <c r="CE100" s="3">
        <f t="shared" si="86"/>
        <v>0.9</v>
      </c>
      <c r="CF100" s="23">
        <f t="shared" si="87"/>
        <v>80.099999999999994</v>
      </c>
      <c r="CG100" s="1">
        <f t="shared" si="88"/>
        <v>5.4</v>
      </c>
      <c r="CH100" s="1">
        <f t="shared" si="89"/>
        <v>5.5</v>
      </c>
      <c r="CI100" s="1">
        <f t="shared" si="90"/>
        <v>5.0999999999999996</v>
      </c>
      <c r="CJ100" s="1">
        <f t="shared" si="91"/>
        <v>0.1</v>
      </c>
      <c r="CK100" s="1">
        <f t="shared" si="92"/>
        <v>0.1</v>
      </c>
      <c r="CL100" s="1">
        <f t="shared" si="93"/>
        <v>0.5</v>
      </c>
      <c r="CM100" s="1">
        <f t="shared" si="94"/>
        <v>0.9</v>
      </c>
      <c r="CN100" s="2">
        <f t="shared" si="95"/>
        <v>97.4</v>
      </c>
      <c r="CO100" s="1">
        <f t="shared" si="96"/>
        <v>-8</v>
      </c>
      <c r="CP100" s="1">
        <f t="shared" si="97"/>
        <v>-8.8000000000000007</v>
      </c>
      <c r="CQ100" s="1">
        <f t="shared" si="98"/>
        <v>-9.9</v>
      </c>
      <c r="CR100" s="1">
        <f t="shared" si="99"/>
        <v>0</v>
      </c>
      <c r="CS100" s="1">
        <f t="shared" si="100"/>
        <v>0</v>
      </c>
      <c r="CT100" s="1">
        <f t="shared" si="101"/>
        <v>0.4</v>
      </c>
      <c r="CU100" s="1">
        <f t="shared" si="102"/>
        <v>0.8</v>
      </c>
      <c r="CV100" s="2">
        <f t="shared" si="103"/>
        <v>55.4</v>
      </c>
      <c r="CW100" s="18">
        <f t="shared" si="104"/>
        <v>1054</v>
      </c>
      <c r="CX100" s="1">
        <f>ROUND(PPTest!K100,1)</f>
        <v>0</v>
      </c>
      <c r="CY100" s="17">
        <f t="shared" si="105"/>
        <v>2.5499999999999998</v>
      </c>
      <c r="CZ100" s="17">
        <f t="shared" si="106"/>
        <v>9.14</v>
      </c>
      <c r="DA100" s="20">
        <f t="shared" si="107"/>
        <v>0.496</v>
      </c>
      <c r="DB100" s="20">
        <f t="shared" si="108"/>
        <v>0.39900000000000002</v>
      </c>
      <c r="DC100" s="16">
        <f t="shared" si="109"/>
        <v>12.1</v>
      </c>
      <c r="DF100" s="1">
        <v>3.2</v>
      </c>
      <c r="DG100" s="1">
        <v>7.3</v>
      </c>
      <c r="DH100" s="1">
        <v>-3.4</v>
      </c>
      <c r="DI100" s="1">
        <v>78</v>
      </c>
      <c r="DJ100" s="1">
        <v>62</v>
      </c>
      <c r="DW100" s="1">
        <v>0.5</v>
      </c>
      <c r="DX100" s="1">
        <v>6.4</v>
      </c>
      <c r="DY100" s="1">
        <v>-3.8</v>
      </c>
    </row>
    <row r="101" spans="1:152" x14ac:dyDescent="0.2">
      <c r="A101" s="40">
        <v>34794</v>
      </c>
      <c r="B101" s="3">
        <v>95</v>
      </c>
      <c r="C101" s="3">
        <v>13.16</v>
      </c>
      <c r="D101" s="3">
        <v>25.12</v>
      </c>
      <c r="E101" s="3">
        <v>-2.0209999999999999</v>
      </c>
      <c r="F101" s="3">
        <v>75.3</v>
      </c>
      <c r="G101" s="3">
        <v>-2.3439999999999999</v>
      </c>
      <c r="H101" s="3">
        <v>-2.8130000000000002</v>
      </c>
      <c r="I101" s="3">
        <v>-7.0000000000000001E-3</v>
      </c>
      <c r="J101" s="3">
        <v>-0.85199999999999998</v>
      </c>
      <c r="K101" s="3">
        <v>-1.7210000000000001</v>
      </c>
      <c r="L101" s="3">
        <v>2.7E-2</v>
      </c>
      <c r="M101" s="3">
        <v>0.438</v>
      </c>
      <c r="N101" s="3">
        <v>0.79500000000000004</v>
      </c>
      <c r="O101" s="3">
        <v>0</v>
      </c>
      <c r="P101" s="16">
        <v>1.202</v>
      </c>
      <c r="Q101" s="3"/>
      <c r="R101" s="3">
        <v>3.2530000000000001</v>
      </c>
      <c r="S101" s="3">
        <v>1533</v>
      </c>
      <c r="T101" s="3">
        <v>100.6</v>
      </c>
      <c r="U101" s="3">
        <v>2</v>
      </c>
      <c r="V101" s="3">
        <v>4.758</v>
      </c>
      <c r="W101" s="3">
        <v>3.9860000000000002</v>
      </c>
      <c r="X101" s="3">
        <v>4.8000000000000001E-2</v>
      </c>
      <c r="Y101" s="3">
        <v>-0.32600000000000001</v>
      </c>
      <c r="Z101" s="3">
        <v>7.11</v>
      </c>
      <c r="AA101" s="3">
        <v>7.0999999999999994E-2</v>
      </c>
      <c r="AB101" s="3">
        <v>0.48</v>
      </c>
      <c r="AC101" s="3">
        <v>0.84099999999999997</v>
      </c>
      <c r="AD101" s="16">
        <v>4.7808333333333337</v>
      </c>
      <c r="AE101" s="3">
        <v>1433</v>
      </c>
      <c r="AF101" s="3">
        <v>-8.6300000000000008</v>
      </c>
      <c r="AG101" s="3">
        <v>211</v>
      </c>
      <c r="AH101" s="3">
        <v>35.590000000000003</v>
      </c>
      <c r="AI101" s="3">
        <v>1409</v>
      </c>
      <c r="AJ101" s="3">
        <v>-9.42</v>
      </c>
      <c r="AK101" s="3">
        <v>-10.16</v>
      </c>
      <c r="AL101" s="3">
        <v>-4.8000000000000001E-2</v>
      </c>
      <c r="AM101" s="3">
        <v>-1.948</v>
      </c>
      <c r="AN101" s="3">
        <v>-10.050000000000001</v>
      </c>
      <c r="AO101" s="3">
        <v>-0.02</v>
      </c>
      <c r="AP101" s="3">
        <v>0.372</v>
      </c>
      <c r="AQ101" s="3">
        <v>0.72899999999999998</v>
      </c>
      <c r="AR101" s="3">
        <v>5.2999999999999999E-2</v>
      </c>
      <c r="AS101" s="3">
        <v>0.313</v>
      </c>
      <c r="AT101" s="3">
        <v>0.249</v>
      </c>
      <c r="AU101" s="3">
        <v>7.8E-2</v>
      </c>
      <c r="AV101" s="3">
        <v>9.4E-2</v>
      </c>
      <c r="AW101" s="3">
        <v>0.152</v>
      </c>
      <c r="AX101" s="3">
        <v>3.7999999999999999E-2</v>
      </c>
      <c r="AY101" s="3">
        <v>2.3E-2</v>
      </c>
      <c r="AZ101" s="3">
        <v>-3.5179999999999998</v>
      </c>
      <c r="BA101" s="3">
        <v>2428</v>
      </c>
      <c r="BB101" s="3">
        <v>12.1</v>
      </c>
      <c r="BC101" s="3">
        <v>2876</v>
      </c>
      <c r="BD101" s="3"/>
      <c r="BE101" s="3"/>
      <c r="BF101" s="3">
        <f t="shared" si="76"/>
        <v>1057</v>
      </c>
      <c r="BH101" s="16">
        <v>22.08</v>
      </c>
      <c r="BI101" s="16">
        <f t="shared" si="69"/>
        <v>44.601599999999998</v>
      </c>
      <c r="BJ101" s="17">
        <f t="shared" si="70"/>
        <v>13.16</v>
      </c>
      <c r="BK101" s="17">
        <f t="shared" si="71"/>
        <v>27.13</v>
      </c>
      <c r="BM101" s="1">
        <f t="shared" si="72"/>
        <v>94</v>
      </c>
      <c r="BN101" s="1">
        <f t="shared" si="73"/>
        <v>70.599999999999994</v>
      </c>
      <c r="BO101" s="1">
        <f t="shared" si="74"/>
        <v>33.9</v>
      </c>
      <c r="BP101" s="62">
        <f t="shared" si="77"/>
        <v>0.26100000000000001</v>
      </c>
      <c r="BQ101" s="62">
        <f t="shared" si="75"/>
        <v>0.50900000000000001</v>
      </c>
      <c r="BR101" s="2"/>
      <c r="BS101" s="3">
        <v>0</v>
      </c>
      <c r="BT101" s="8"/>
      <c r="BV101" s="8"/>
      <c r="BW101" s="16">
        <f t="shared" si="78"/>
        <v>13.16</v>
      </c>
      <c r="BX101" s="16">
        <f t="shared" si="79"/>
        <v>27.13</v>
      </c>
      <c r="BY101" s="3">
        <f t="shared" si="80"/>
        <v>-2</v>
      </c>
      <c r="BZ101" s="3">
        <f t="shared" si="81"/>
        <v>-2.2999999999999998</v>
      </c>
      <c r="CA101" s="3">
        <f t="shared" si="82"/>
        <v>-2.8</v>
      </c>
      <c r="CB101" s="3">
        <f t="shared" si="83"/>
        <v>0</v>
      </c>
      <c r="CC101" s="3">
        <f t="shared" si="84"/>
        <v>0</v>
      </c>
      <c r="CD101" s="3">
        <f t="shared" si="85"/>
        <v>0.4</v>
      </c>
      <c r="CE101" s="3">
        <f t="shared" si="86"/>
        <v>0.8</v>
      </c>
      <c r="CF101" s="23">
        <f t="shared" si="87"/>
        <v>70.599999999999994</v>
      </c>
      <c r="CG101" s="1">
        <f t="shared" si="88"/>
        <v>3.3</v>
      </c>
      <c r="CH101" s="1">
        <f t="shared" si="89"/>
        <v>4.8</v>
      </c>
      <c r="CI101" s="1">
        <f t="shared" si="90"/>
        <v>4</v>
      </c>
      <c r="CJ101" s="1">
        <f t="shared" si="91"/>
        <v>0</v>
      </c>
      <c r="CK101" s="1">
        <f t="shared" si="92"/>
        <v>0.1</v>
      </c>
      <c r="CL101" s="1">
        <f t="shared" si="93"/>
        <v>0.5</v>
      </c>
      <c r="CM101" s="1">
        <f t="shared" si="94"/>
        <v>0.8</v>
      </c>
      <c r="CN101" s="2">
        <f t="shared" si="95"/>
        <v>94</v>
      </c>
      <c r="CO101" s="1">
        <f t="shared" si="96"/>
        <v>-8.6</v>
      </c>
      <c r="CP101" s="1">
        <f t="shared" si="97"/>
        <v>-9.4</v>
      </c>
      <c r="CQ101" s="1">
        <f t="shared" si="98"/>
        <v>-10.199999999999999</v>
      </c>
      <c r="CR101" s="1">
        <f t="shared" si="99"/>
        <v>0</v>
      </c>
      <c r="CS101" s="1">
        <f t="shared" si="100"/>
        <v>0</v>
      </c>
      <c r="CT101" s="1">
        <f t="shared" si="101"/>
        <v>0.4</v>
      </c>
      <c r="CU101" s="1">
        <f t="shared" si="102"/>
        <v>0.7</v>
      </c>
      <c r="CV101" s="2">
        <f t="shared" si="103"/>
        <v>33.9</v>
      </c>
      <c r="CW101" s="18">
        <f t="shared" si="104"/>
        <v>1057</v>
      </c>
      <c r="CX101" s="1">
        <f>ROUND(PPTest!K101,1)</f>
        <v>0.4</v>
      </c>
      <c r="CY101" s="17">
        <f t="shared" si="105"/>
        <v>1.2</v>
      </c>
      <c r="CZ101" s="17">
        <f t="shared" si="106"/>
        <v>4.78</v>
      </c>
      <c r="DA101" s="20">
        <f t="shared" si="107"/>
        <v>0.26100000000000001</v>
      </c>
      <c r="DB101" s="20">
        <f t="shared" si="108"/>
        <v>0.50900000000000001</v>
      </c>
      <c r="DC101" s="16">
        <f t="shared" si="109"/>
        <v>12.1</v>
      </c>
      <c r="DF101" s="1">
        <v>1.1000000000000001</v>
      </c>
      <c r="DG101" s="1">
        <v>4.7</v>
      </c>
      <c r="DH101" s="1">
        <v>-3.2</v>
      </c>
      <c r="DI101" s="1">
        <v>72.3</v>
      </c>
      <c r="DJ101" s="1">
        <v>56</v>
      </c>
      <c r="DW101" s="1">
        <v>-1.8</v>
      </c>
      <c r="DX101" s="1">
        <v>3.5</v>
      </c>
      <c r="DY101" s="1">
        <v>-8.1</v>
      </c>
    </row>
    <row r="102" spans="1:152" x14ac:dyDescent="0.2">
      <c r="A102" s="40">
        <v>34795</v>
      </c>
      <c r="B102" s="3">
        <v>96</v>
      </c>
      <c r="C102" s="3">
        <v>19.91</v>
      </c>
      <c r="D102" s="3">
        <v>37.43</v>
      </c>
      <c r="E102" s="3">
        <v>1.2130000000000001</v>
      </c>
      <c r="F102" s="3">
        <v>65.319999999999993</v>
      </c>
      <c r="G102" s="3">
        <v>0.93500000000000005</v>
      </c>
      <c r="H102" s="3">
        <v>0.442</v>
      </c>
      <c r="I102" s="3">
        <v>1.7999999999999999E-2</v>
      </c>
      <c r="J102" s="3">
        <v>-0.505</v>
      </c>
      <c r="K102" s="3">
        <v>1.661</v>
      </c>
      <c r="L102" s="3">
        <v>4.9000000000000002E-2</v>
      </c>
      <c r="M102" s="3">
        <v>0.44800000000000001</v>
      </c>
      <c r="N102" s="3">
        <v>0.80700000000000005</v>
      </c>
      <c r="O102" s="3">
        <v>1E-3</v>
      </c>
      <c r="P102" s="16">
        <v>1.5575000000000001</v>
      </c>
      <c r="Q102" s="3"/>
      <c r="R102" s="3">
        <v>6.4539999999999997</v>
      </c>
      <c r="S102" s="3">
        <v>1453</v>
      </c>
      <c r="T102" s="3">
        <v>96</v>
      </c>
      <c r="U102" s="3">
        <v>435</v>
      </c>
      <c r="V102" s="3">
        <v>8.76</v>
      </c>
      <c r="W102" s="3">
        <v>7.63</v>
      </c>
      <c r="X102" s="3">
        <v>0.11799999999999999</v>
      </c>
      <c r="Y102" s="3">
        <v>1.31</v>
      </c>
      <c r="Z102" s="3">
        <v>11.12</v>
      </c>
      <c r="AA102" s="3">
        <v>0.129</v>
      </c>
      <c r="AB102" s="3">
        <v>0.53</v>
      </c>
      <c r="AC102" s="3">
        <v>0.89800000000000002</v>
      </c>
      <c r="AD102" s="16">
        <v>5.7008333333333336</v>
      </c>
      <c r="AE102" s="3">
        <v>1530</v>
      </c>
      <c r="AF102" s="3">
        <v>-5.0789999999999997</v>
      </c>
      <c r="AG102" s="3">
        <v>454</v>
      </c>
      <c r="AH102" s="3">
        <v>37.33</v>
      </c>
      <c r="AI102" s="3">
        <v>1422</v>
      </c>
      <c r="AJ102" s="3">
        <v>-6.0279999999999996</v>
      </c>
      <c r="AK102" s="3">
        <v>-7.66</v>
      </c>
      <c r="AL102" s="3">
        <v>-4.8000000000000001E-2</v>
      </c>
      <c r="AM102" s="3">
        <v>-1.9750000000000001</v>
      </c>
      <c r="AN102" s="3">
        <v>-6.7359999999999998</v>
      </c>
      <c r="AO102" s="3">
        <v>-2.1000000000000001E-2</v>
      </c>
      <c r="AP102" s="3">
        <v>0.36399999999999999</v>
      </c>
      <c r="AQ102" s="3">
        <v>0.71799999999999997</v>
      </c>
      <c r="AR102" s="3">
        <v>3.1E-2</v>
      </c>
      <c r="AS102" s="3">
        <v>0.182</v>
      </c>
      <c r="AT102" s="3">
        <v>0.17199999999999999</v>
      </c>
      <c r="AU102" s="3">
        <v>0.17199999999999999</v>
      </c>
      <c r="AV102" s="3">
        <v>0.17599999999999999</v>
      </c>
      <c r="AW102" s="3">
        <v>0.16200000000000001</v>
      </c>
      <c r="AX102" s="3">
        <v>6.3E-2</v>
      </c>
      <c r="AY102" s="3">
        <v>4.2000000000000003E-2</v>
      </c>
      <c r="AZ102" s="3">
        <v>-1.288</v>
      </c>
      <c r="BA102" s="3">
        <v>2450</v>
      </c>
      <c r="BB102" s="3">
        <v>12.1</v>
      </c>
      <c r="BC102" s="3">
        <v>2876</v>
      </c>
      <c r="BD102" s="3"/>
      <c r="BE102" s="3"/>
      <c r="BF102" s="3">
        <f t="shared" si="76"/>
        <v>1035</v>
      </c>
      <c r="BH102" s="16">
        <v>22.34</v>
      </c>
      <c r="BI102" s="16">
        <f t="shared" si="69"/>
        <v>45.126800000000003</v>
      </c>
      <c r="BJ102" s="17">
        <f t="shared" si="70"/>
        <v>19.91</v>
      </c>
      <c r="BK102" s="17">
        <f t="shared" si="71"/>
        <v>40.42</v>
      </c>
      <c r="BM102" s="1">
        <f t="shared" si="72"/>
        <v>89.7</v>
      </c>
      <c r="BN102" s="1">
        <f t="shared" si="73"/>
        <v>61.4</v>
      </c>
      <c r="BO102" s="1">
        <f t="shared" si="74"/>
        <v>35.5</v>
      </c>
      <c r="BP102" s="62">
        <f t="shared" si="77"/>
        <v>0.34200000000000003</v>
      </c>
      <c r="BQ102" s="62">
        <f t="shared" si="75"/>
        <v>0.621</v>
      </c>
      <c r="BR102" s="2"/>
      <c r="BS102" s="3">
        <v>0</v>
      </c>
      <c r="BT102" s="8"/>
      <c r="BV102" s="8"/>
      <c r="BW102" s="16">
        <f t="shared" si="78"/>
        <v>19.91</v>
      </c>
      <c r="BX102" s="16">
        <f t="shared" si="79"/>
        <v>40.42</v>
      </c>
      <c r="BY102" s="3">
        <f t="shared" si="80"/>
        <v>1.2</v>
      </c>
      <c r="BZ102" s="3">
        <f t="shared" si="81"/>
        <v>0.9</v>
      </c>
      <c r="CA102" s="3">
        <f t="shared" si="82"/>
        <v>0.4</v>
      </c>
      <c r="CB102" s="3">
        <f t="shared" si="83"/>
        <v>0</v>
      </c>
      <c r="CC102" s="3">
        <f t="shared" si="84"/>
        <v>0</v>
      </c>
      <c r="CD102" s="3">
        <f t="shared" si="85"/>
        <v>0.4</v>
      </c>
      <c r="CE102" s="3">
        <f t="shared" si="86"/>
        <v>0.8</v>
      </c>
      <c r="CF102" s="23">
        <f t="shared" si="87"/>
        <v>61.4</v>
      </c>
      <c r="CG102" s="1">
        <f t="shared" si="88"/>
        <v>6.5</v>
      </c>
      <c r="CH102" s="1">
        <f t="shared" si="89"/>
        <v>8.8000000000000007</v>
      </c>
      <c r="CI102" s="1">
        <f t="shared" si="90"/>
        <v>7.6</v>
      </c>
      <c r="CJ102" s="1">
        <f t="shared" si="91"/>
        <v>0.1</v>
      </c>
      <c r="CK102" s="1">
        <f t="shared" si="92"/>
        <v>0.1</v>
      </c>
      <c r="CL102" s="1">
        <f t="shared" si="93"/>
        <v>0.5</v>
      </c>
      <c r="CM102" s="1">
        <f t="shared" si="94"/>
        <v>0.9</v>
      </c>
      <c r="CN102" s="2">
        <f t="shared" si="95"/>
        <v>89.7</v>
      </c>
      <c r="CO102" s="1">
        <f t="shared" si="96"/>
        <v>-5.0999999999999996</v>
      </c>
      <c r="CP102" s="1">
        <f t="shared" si="97"/>
        <v>-6</v>
      </c>
      <c r="CQ102" s="1">
        <f t="shared" si="98"/>
        <v>-7.7</v>
      </c>
      <c r="CR102" s="1">
        <f t="shared" si="99"/>
        <v>0</v>
      </c>
      <c r="CS102" s="1">
        <f t="shared" si="100"/>
        <v>0</v>
      </c>
      <c r="CT102" s="1">
        <f t="shared" si="101"/>
        <v>0.4</v>
      </c>
      <c r="CU102" s="1">
        <f t="shared" si="102"/>
        <v>0.7</v>
      </c>
      <c r="CV102" s="2">
        <f t="shared" si="103"/>
        <v>35.5</v>
      </c>
      <c r="CW102" s="18">
        <f t="shared" si="104"/>
        <v>1035</v>
      </c>
      <c r="CX102" s="1">
        <f>ROUND(PPTest!K102,1)</f>
        <v>0</v>
      </c>
      <c r="CY102" s="17">
        <f t="shared" si="105"/>
        <v>1.56</v>
      </c>
      <c r="CZ102" s="17">
        <f t="shared" si="106"/>
        <v>5.7</v>
      </c>
      <c r="DA102" s="20">
        <f t="shared" si="107"/>
        <v>0.34200000000000003</v>
      </c>
      <c r="DB102" s="20">
        <f t="shared" si="108"/>
        <v>0.621</v>
      </c>
      <c r="DC102" s="16">
        <f t="shared" si="109"/>
        <v>12.1</v>
      </c>
      <c r="DF102" s="1">
        <v>3.6</v>
      </c>
      <c r="DG102" s="1">
        <v>9.1999999999999993</v>
      </c>
      <c r="DH102" s="1">
        <v>-1.3</v>
      </c>
      <c r="DI102" s="1">
        <v>62.4</v>
      </c>
      <c r="DJ102" s="1">
        <v>42</v>
      </c>
      <c r="DW102" s="1">
        <v>-0.6</v>
      </c>
      <c r="DX102" s="1">
        <v>4.0999999999999996</v>
      </c>
      <c r="DY102" s="1">
        <v>-7.7</v>
      </c>
    </row>
    <row r="103" spans="1:152" x14ac:dyDescent="0.2">
      <c r="A103" s="40">
        <v>34796</v>
      </c>
      <c r="B103" s="3">
        <v>97</v>
      </c>
      <c r="C103" s="3">
        <v>10.93</v>
      </c>
      <c r="D103" s="3">
        <v>21.38</v>
      </c>
      <c r="E103" s="3">
        <v>1.357</v>
      </c>
      <c r="F103" s="3">
        <v>79.3</v>
      </c>
      <c r="G103" s="3">
        <v>0.89500000000000002</v>
      </c>
      <c r="H103" s="3">
        <v>0.54400000000000004</v>
      </c>
      <c r="I103" s="3">
        <v>1.9E-2</v>
      </c>
      <c r="J103" s="3">
        <v>-0.53900000000000003</v>
      </c>
      <c r="K103" s="3">
        <v>1.2210000000000001</v>
      </c>
      <c r="L103" s="3">
        <v>5.7000000000000002E-2</v>
      </c>
      <c r="M103" s="3">
        <v>0.44600000000000001</v>
      </c>
      <c r="N103" s="3">
        <v>0.80300000000000005</v>
      </c>
      <c r="O103" s="3">
        <v>1E-3</v>
      </c>
      <c r="P103" s="16">
        <v>1.7641666666666667</v>
      </c>
      <c r="Q103" s="3"/>
      <c r="R103" s="3">
        <v>5.27</v>
      </c>
      <c r="S103" s="3">
        <v>1450</v>
      </c>
      <c r="T103" s="3">
        <v>105.9</v>
      </c>
      <c r="U103" s="3">
        <v>2313</v>
      </c>
      <c r="V103" s="3">
        <v>6.6470000000000002</v>
      </c>
      <c r="W103" s="3">
        <v>5.665</v>
      </c>
      <c r="X103" s="3">
        <v>8.8999999999999996E-2</v>
      </c>
      <c r="Y103" s="3">
        <v>2.9729999999999999</v>
      </c>
      <c r="Z103" s="3">
        <v>8.77</v>
      </c>
      <c r="AA103" s="3">
        <v>0.12</v>
      </c>
      <c r="AB103" s="3">
        <v>0.51100000000000001</v>
      </c>
      <c r="AC103" s="3">
        <v>0.88</v>
      </c>
      <c r="AD103" s="16">
        <v>5.8608333333333329</v>
      </c>
      <c r="AE103" s="3">
        <v>1049</v>
      </c>
      <c r="AF103" s="3">
        <v>-1.67</v>
      </c>
      <c r="AG103" s="3">
        <v>215</v>
      </c>
      <c r="AH103" s="3">
        <v>54.91</v>
      </c>
      <c r="AI103" s="3">
        <v>915</v>
      </c>
      <c r="AJ103" s="3">
        <v>-3.2160000000000002</v>
      </c>
      <c r="AK103" s="3">
        <v>-4.1050000000000004</v>
      </c>
      <c r="AL103" s="3">
        <v>-4.8000000000000001E-2</v>
      </c>
      <c r="AM103" s="3">
        <v>-3.125</v>
      </c>
      <c r="AN103" s="3">
        <v>-2.9180000000000001</v>
      </c>
      <c r="AO103" s="3">
        <v>-6.0000000000000001E-3</v>
      </c>
      <c r="AP103" s="3">
        <v>0.374</v>
      </c>
      <c r="AQ103" s="3">
        <v>0.72099999999999997</v>
      </c>
      <c r="AR103" s="3">
        <v>0.17</v>
      </c>
      <c r="AS103" s="3">
        <v>0.248</v>
      </c>
      <c r="AT103" s="3">
        <v>0.18</v>
      </c>
      <c r="AU103" s="3">
        <v>9.4E-2</v>
      </c>
      <c r="AV103" s="3">
        <v>7.4999999999999997E-2</v>
      </c>
      <c r="AW103" s="3">
        <v>0.13700000000000001</v>
      </c>
      <c r="AX103" s="3">
        <v>5.6000000000000001E-2</v>
      </c>
      <c r="AY103" s="3">
        <v>0.04</v>
      </c>
      <c r="AZ103" s="3">
        <v>-0.82</v>
      </c>
      <c r="BA103" s="3">
        <v>2231</v>
      </c>
      <c r="BB103" s="3">
        <v>12.1</v>
      </c>
      <c r="BC103" s="3">
        <v>2876</v>
      </c>
      <c r="BD103" s="3"/>
      <c r="BE103" s="3"/>
      <c r="BF103" s="3">
        <f t="shared" si="76"/>
        <v>1254</v>
      </c>
      <c r="BH103" s="16">
        <v>22.6</v>
      </c>
      <c r="BI103" s="16">
        <f t="shared" si="69"/>
        <v>45.652000000000001</v>
      </c>
      <c r="BJ103" s="17">
        <f t="shared" si="70"/>
        <v>10.93</v>
      </c>
      <c r="BK103" s="17">
        <f t="shared" si="71"/>
        <v>23.09</v>
      </c>
      <c r="BM103" s="1">
        <f t="shared" si="72"/>
        <v>98.9</v>
      </c>
      <c r="BN103" s="1">
        <f t="shared" si="73"/>
        <v>74.3</v>
      </c>
      <c r="BO103" s="1">
        <f t="shared" si="74"/>
        <v>51.7</v>
      </c>
      <c r="BP103" s="62">
        <f t="shared" si="77"/>
        <v>0.45900000000000002</v>
      </c>
      <c r="BQ103" s="62">
        <f t="shared" si="75"/>
        <v>0.42899999999999999</v>
      </c>
      <c r="BR103" s="2"/>
      <c r="BS103" s="3">
        <v>5.9</v>
      </c>
      <c r="BT103" s="8"/>
      <c r="BV103" s="8"/>
      <c r="BW103" s="16">
        <f t="shared" si="78"/>
        <v>10.93</v>
      </c>
      <c r="BX103" s="16">
        <f t="shared" si="79"/>
        <v>23.09</v>
      </c>
      <c r="BY103" s="3">
        <f t="shared" si="80"/>
        <v>1.4</v>
      </c>
      <c r="BZ103" s="3">
        <f t="shared" si="81"/>
        <v>0.9</v>
      </c>
      <c r="CA103" s="3">
        <f t="shared" si="82"/>
        <v>0.5</v>
      </c>
      <c r="CB103" s="3">
        <f t="shared" si="83"/>
        <v>0</v>
      </c>
      <c r="CC103" s="3">
        <f t="shared" si="84"/>
        <v>0.1</v>
      </c>
      <c r="CD103" s="3">
        <f t="shared" si="85"/>
        <v>0.4</v>
      </c>
      <c r="CE103" s="3">
        <f t="shared" si="86"/>
        <v>0.8</v>
      </c>
      <c r="CF103" s="23">
        <f t="shared" si="87"/>
        <v>74.3</v>
      </c>
      <c r="CG103" s="1">
        <f t="shared" si="88"/>
        <v>5.3</v>
      </c>
      <c r="CH103" s="1">
        <f t="shared" si="89"/>
        <v>6.6</v>
      </c>
      <c r="CI103" s="1">
        <f t="shared" si="90"/>
        <v>5.7</v>
      </c>
      <c r="CJ103" s="1">
        <f t="shared" si="91"/>
        <v>0.1</v>
      </c>
      <c r="CK103" s="1">
        <f t="shared" si="92"/>
        <v>0.1</v>
      </c>
      <c r="CL103" s="1">
        <f t="shared" si="93"/>
        <v>0.5</v>
      </c>
      <c r="CM103" s="1">
        <f t="shared" si="94"/>
        <v>0.9</v>
      </c>
      <c r="CN103" s="2">
        <f t="shared" si="95"/>
        <v>98.9</v>
      </c>
      <c r="CO103" s="1">
        <f t="shared" si="96"/>
        <v>-1.7</v>
      </c>
      <c r="CP103" s="1">
        <f t="shared" si="97"/>
        <v>-3.2</v>
      </c>
      <c r="CQ103" s="1">
        <f t="shared" si="98"/>
        <v>-4.0999999999999996</v>
      </c>
      <c r="CR103" s="1">
        <f t="shared" si="99"/>
        <v>0</v>
      </c>
      <c r="CS103" s="1">
        <f t="shared" si="100"/>
        <v>0</v>
      </c>
      <c r="CT103" s="1">
        <f t="shared" si="101"/>
        <v>0.4</v>
      </c>
      <c r="CU103" s="1">
        <f t="shared" si="102"/>
        <v>0.7</v>
      </c>
      <c r="CV103" s="2">
        <f t="shared" si="103"/>
        <v>51.7</v>
      </c>
      <c r="CW103" s="18">
        <f t="shared" si="104"/>
        <v>1254</v>
      </c>
      <c r="CX103" s="1">
        <f>ROUND(PPTest!K103,1)</f>
        <v>28.5</v>
      </c>
      <c r="CY103" s="17">
        <f t="shared" si="105"/>
        <v>1.76</v>
      </c>
      <c r="CZ103" s="17">
        <f t="shared" si="106"/>
        <v>5.86</v>
      </c>
      <c r="DA103" s="20">
        <f t="shared" si="107"/>
        <v>0.45900000000000002</v>
      </c>
      <c r="DB103" s="20">
        <f t="shared" si="108"/>
        <v>0.42899999999999999</v>
      </c>
      <c r="DC103" s="16">
        <f t="shared" si="109"/>
        <v>12.1</v>
      </c>
      <c r="DF103" s="1">
        <v>3</v>
      </c>
      <c r="DG103" s="1">
        <v>6.6</v>
      </c>
      <c r="DH103" s="1">
        <v>0.3</v>
      </c>
      <c r="DI103" s="1">
        <v>71.5</v>
      </c>
      <c r="DJ103" s="1">
        <v>53</v>
      </c>
      <c r="DW103" s="1">
        <v>0.6</v>
      </c>
      <c r="DX103" s="1">
        <v>4.8</v>
      </c>
      <c r="DY103" s="1">
        <v>-2</v>
      </c>
    </row>
    <row r="104" spans="1:152" x14ac:dyDescent="0.2">
      <c r="A104" s="40">
        <v>34797</v>
      </c>
      <c r="B104" s="3">
        <v>98</v>
      </c>
      <c r="C104" s="3">
        <v>3.556</v>
      </c>
      <c r="D104" s="3">
        <v>4.7160000000000002</v>
      </c>
      <c r="E104" s="3">
        <v>-1.0009999999999999</v>
      </c>
      <c r="F104" s="3">
        <v>102.2</v>
      </c>
      <c r="G104" s="3">
        <v>-1.498</v>
      </c>
      <c r="H104" s="3">
        <v>-1.8640000000000001</v>
      </c>
      <c r="I104" s="3">
        <v>2.7E-2</v>
      </c>
      <c r="J104" s="3">
        <v>-0.20100000000000001</v>
      </c>
      <c r="K104" s="3">
        <v>-0.76100000000000001</v>
      </c>
      <c r="L104" s="3">
        <v>6.8000000000000005E-2</v>
      </c>
      <c r="M104" s="3">
        <v>0.45</v>
      </c>
      <c r="N104" s="3">
        <v>0.80500000000000005</v>
      </c>
      <c r="O104" s="3">
        <v>1E-3</v>
      </c>
      <c r="P104" s="16">
        <v>1.4663333333333333</v>
      </c>
      <c r="Q104" s="3"/>
      <c r="R104" s="3">
        <v>1.1739999999999999</v>
      </c>
      <c r="S104" s="3">
        <v>1537</v>
      </c>
      <c r="T104" s="3">
        <v>105.9</v>
      </c>
      <c r="U104" s="3">
        <v>136</v>
      </c>
      <c r="V104" s="3">
        <v>1.3009999999999999</v>
      </c>
      <c r="W104" s="3">
        <v>0.312</v>
      </c>
      <c r="X104" s="3">
        <v>7.0000000000000007E-2</v>
      </c>
      <c r="Y104" s="3">
        <v>-0.184</v>
      </c>
      <c r="Z104" s="3">
        <v>3.4830000000000001</v>
      </c>
      <c r="AA104" s="3">
        <v>8.4000000000000005E-2</v>
      </c>
      <c r="AB104" s="3">
        <v>0.47199999999999998</v>
      </c>
      <c r="AC104" s="3">
        <v>0.82099999999999995</v>
      </c>
      <c r="AD104" s="16">
        <v>5.4208333333333334</v>
      </c>
      <c r="AE104" s="3">
        <v>1916</v>
      </c>
      <c r="AF104" s="3">
        <v>-3.3690000000000002</v>
      </c>
      <c r="AG104" s="3">
        <v>435</v>
      </c>
      <c r="AH104" s="3">
        <v>94.7</v>
      </c>
      <c r="AI104" s="3">
        <v>1234</v>
      </c>
      <c r="AJ104" s="3">
        <v>-4.3639999999999999</v>
      </c>
      <c r="AK104" s="3">
        <v>-6.4119999999999999</v>
      </c>
      <c r="AL104" s="3">
        <v>1.2E-2</v>
      </c>
      <c r="AM104" s="3">
        <v>-0.217</v>
      </c>
      <c r="AN104" s="3">
        <v>-3.3010000000000002</v>
      </c>
      <c r="AO104" s="3">
        <v>5.0999999999999997E-2</v>
      </c>
      <c r="AP104" s="3">
        <v>0.42799999999999999</v>
      </c>
      <c r="AQ104" s="3">
        <v>0.78500000000000003</v>
      </c>
      <c r="AR104" s="3">
        <v>0.26900000000000002</v>
      </c>
      <c r="AS104" s="3">
        <v>0</v>
      </c>
      <c r="AT104" s="3">
        <v>3.0000000000000001E-3</v>
      </c>
      <c r="AU104" s="3">
        <v>6.0000000000000001E-3</v>
      </c>
      <c r="AV104" s="3">
        <v>9.0999999999999998E-2</v>
      </c>
      <c r="AW104" s="3">
        <v>0.52</v>
      </c>
      <c r="AX104" s="3">
        <v>0.10299999999999999</v>
      </c>
      <c r="AY104" s="3">
        <v>8.0000000000000002E-3</v>
      </c>
      <c r="AZ104" s="3">
        <v>-0.16900000000000001</v>
      </c>
      <c r="BA104" s="3">
        <v>2230</v>
      </c>
      <c r="BB104" s="3">
        <v>12.1</v>
      </c>
      <c r="BC104" s="3">
        <v>2876</v>
      </c>
      <c r="BD104" s="3"/>
      <c r="BE104" s="3"/>
      <c r="BF104" s="3">
        <f t="shared" si="76"/>
        <v>1255</v>
      </c>
      <c r="BH104" s="16">
        <v>22.86</v>
      </c>
      <c r="BI104" s="16">
        <f t="shared" si="69"/>
        <v>46.177199999999999</v>
      </c>
      <c r="BJ104" s="17">
        <f t="shared" si="70"/>
        <v>3.56</v>
      </c>
      <c r="BK104" s="17">
        <f t="shared" si="71"/>
        <v>5.09</v>
      </c>
      <c r="BM104" s="1">
        <f t="shared" si="72"/>
        <v>98.9</v>
      </c>
      <c r="BN104" s="1">
        <f t="shared" si="73"/>
        <v>95.4</v>
      </c>
      <c r="BO104" s="1">
        <f t="shared" si="74"/>
        <v>88.5</v>
      </c>
      <c r="BP104" s="62">
        <f t="shared" si="77"/>
        <v>0.58799999999999997</v>
      </c>
      <c r="BQ104" s="62">
        <f t="shared" si="75"/>
        <v>7.5999999999999998E-2</v>
      </c>
      <c r="BR104" s="2"/>
      <c r="BS104" s="3">
        <v>15.7</v>
      </c>
      <c r="BT104" s="8"/>
      <c r="BV104" s="8"/>
      <c r="BW104" s="16">
        <f t="shared" si="78"/>
        <v>3.56</v>
      </c>
      <c r="BX104" s="16">
        <f t="shared" si="79"/>
        <v>5.09</v>
      </c>
      <c r="BY104" s="3">
        <f t="shared" si="80"/>
        <v>-1</v>
      </c>
      <c r="BZ104" s="3">
        <f t="shared" si="81"/>
        <v>-1.5</v>
      </c>
      <c r="CA104" s="3">
        <f t="shared" si="82"/>
        <v>-1.9</v>
      </c>
      <c r="CB104" s="3">
        <f t="shared" si="83"/>
        <v>0</v>
      </c>
      <c r="CC104" s="3">
        <f t="shared" si="84"/>
        <v>0.1</v>
      </c>
      <c r="CD104" s="3">
        <f t="shared" si="85"/>
        <v>0.5</v>
      </c>
      <c r="CE104" s="3">
        <f t="shared" si="86"/>
        <v>0.8</v>
      </c>
      <c r="CF104" s="23">
        <f t="shared" si="87"/>
        <v>95.4</v>
      </c>
      <c r="CG104" s="1">
        <f t="shared" si="88"/>
        <v>1.2</v>
      </c>
      <c r="CH104" s="1">
        <f t="shared" si="89"/>
        <v>1.3</v>
      </c>
      <c r="CI104" s="1">
        <f t="shared" si="90"/>
        <v>0.3</v>
      </c>
      <c r="CJ104" s="1">
        <f t="shared" si="91"/>
        <v>0.1</v>
      </c>
      <c r="CK104" s="1">
        <f t="shared" si="92"/>
        <v>0.1</v>
      </c>
      <c r="CL104" s="1">
        <f t="shared" si="93"/>
        <v>0.5</v>
      </c>
      <c r="CM104" s="1">
        <f t="shared" si="94"/>
        <v>0.8</v>
      </c>
      <c r="CN104" s="2">
        <f t="shared" si="95"/>
        <v>98.9</v>
      </c>
      <c r="CO104" s="1">
        <f t="shared" si="96"/>
        <v>-3.4</v>
      </c>
      <c r="CP104" s="1">
        <f t="shared" si="97"/>
        <v>-4.4000000000000004</v>
      </c>
      <c r="CQ104" s="1">
        <f t="shared" si="98"/>
        <v>-6.4</v>
      </c>
      <c r="CR104" s="1">
        <f t="shared" si="99"/>
        <v>0</v>
      </c>
      <c r="CS104" s="1">
        <f t="shared" si="100"/>
        <v>0.1</v>
      </c>
      <c r="CT104" s="1">
        <f t="shared" si="101"/>
        <v>0.4</v>
      </c>
      <c r="CU104" s="1">
        <f t="shared" si="102"/>
        <v>0.8</v>
      </c>
      <c r="CV104" s="2">
        <f t="shared" si="103"/>
        <v>88.5</v>
      </c>
      <c r="CW104" s="18">
        <f t="shared" si="104"/>
        <v>1255</v>
      </c>
      <c r="CX104" s="1">
        <f>ROUND(PPTest!K104,1)</f>
        <v>0.1</v>
      </c>
      <c r="CY104" s="17">
        <f t="shared" si="105"/>
        <v>1.47</v>
      </c>
      <c r="CZ104" s="17">
        <f t="shared" si="106"/>
        <v>5.42</v>
      </c>
      <c r="DA104" s="20">
        <f t="shared" si="107"/>
        <v>0.58799999999999997</v>
      </c>
      <c r="DB104" s="20">
        <f t="shared" si="108"/>
        <v>7.5999999999999998E-2</v>
      </c>
      <c r="DC104" s="16">
        <f t="shared" si="109"/>
        <v>12.1</v>
      </c>
      <c r="DF104" s="1">
        <v>1</v>
      </c>
      <c r="DG104" s="1">
        <v>3.1</v>
      </c>
      <c r="DH104" s="1">
        <v>0.1</v>
      </c>
      <c r="DI104" s="1">
        <v>90</v>
      </c>
      <c r="DJ104" s="1">
        <v>85</v>
      </c>
      <c r="DW104" s="1">
        <v>-1.5</v>
      </c>
      <c r="DX104" s="1">
        <v>1.3</v>
      </c>
      <c r="DY104" s="1">
        <v>-4.3</v>
      </c>
    </row>
    <row r="105" spans="1:152" x14ac:dyDescent="0.2">
      <c r="A105" s="40">
        <v>34798</v>
      </c>
      <c r="B105" s="3">
        <v>99</v>
      </c>
      <c r="C105" s="3">
        <v>10.93</v>
      </c>
      <c r="D105" s="3">
        <v>14.39</v>
      </c>
      <c r="E105" s="3">
        <v>-0.85499999999999998</v>
      </c>
      <c r="F105" s="3">
        <v>98.1</v>
      </c>
      <c r="G105" s="3">
        <v>-1.0980000000000001</v>
      </c>
      <c r="H105" s="3">
        <v>-1.633</v>
      </c>
      <c r="I105" s="3">
        <v>2.5999999999999999E-2</v>
      </c>
      <c r="J105" s="3">
        <v>-0.19600000000000001</v>
      </c>
      <c r="K105" s="3">
        <v>-0.39100000000000001</v>
      </c>
      <c r="L105" s="3">
        <v>6.8000000000000005E-2</v>
      </c>
      <c r="M105" s="3">
        <v>0.44600000000000001</v>
      </c>
      <c r="N105" s="3">
        <v>0.79800000000000004</v>
      </c>
      <c r="O105" s="3">
        <v>2E-3</v>
      </c>
      <c r="P105" s="16">
        <v>1.8308333333333335</v>
      </c>
      <c r="Q105" s="3"/>
      <c r="R105" s="3">
        <v>4.05</v>
      </c>
      <c r="S105" s="3">
        <v>1648</v>
      </c>
      <c r="T105" s="3">
        <v>105.3</v>
      </c>
      <c r="U105" s="3">
        <v>335</v>
      </c>
      <c r="V105" s="3">
        <v>7.24</v>
      </c>
      <c r="W105" s="3">
        <v>4.4539999999999997</v>
      </c>
      <c r="X105" s="3">
        <v>5.7000000000000002E-2</v>
      </c>
      <c r="Y105" s="3">
        <v>-0.16200000000000001</v>
      </c>
      <c r="Z105" s="3">
        <v>9.65</v>
      </c>
      <c r="AA105" s="3">
        <v>0.10299999999999999</v>
      </c>
      <c r="AB105" s="3">
        <v>0.48299999999999998</v>
      </c>
      <c r="AC105" s="3">
        <v>0.82899999999999996</v>
      </c>
      <c r="AD105" s="16">
        <v>4.020833333333333</v>
      </c>
      <c r="AE105" s="3">
        <v>1052</v>
      </c>
      <c r="AF105" s="3">
        <v>-3.246</v>
      </c>
      <c r="AG105" s="3">
        <v>2341</v>
      </c>
      <c r="AH105" s="3">
        <v>60.18</v>
      </c>
      <c r="AI105" s="3">
        <v>1652</v>
      </c>
      <c r="AJ105" s="3">
        <v>-4.2990000000000004</v>
      </c>
      <c r="AK105" s="3">
        <v>-7.62</v>
      </c>
      <c r="AL105" s="3">
        <v>1.0999999999999999E-2</v>
      </c>
      <c r="AM105" s="3">
        <v>-0.217</v>
      </c>
      <c r="AN105" s="3">
        <v>-4.3680000000000003</v>
      </c>
      <c r="AO105" s="3">
        <v>5.7000000000000002E-2</v>
      </c>
      <c r="AP105" s="3">
        <v>0.436</v>
      </c>
      <c r="AQ105" s="3">
        <v>0.78300000000000003</v>
      </c>
      <c r="AR105" s="3">
        <v>2.3E-2</v>
      </c>
      <c r="AS105" s="3">
        <v>7.1999999999999995E-2</v>
      </c>
      <c r="AT105" s="3">
        <v>5.1999999999999998E-2</v>
      </c>
      <c r="AU105" s="3">
        <v>1.4E-2</v>
      </c>
      <c r="AV105" s="3">
        <v>0.12</v>
      </c>
      <c r="AW105" s="3">
        <v>0.57599999999999996</v>
      </c>
      <c r="AX105" s="3">
        <v>0.11899999999999999</v>
      </c>
      <c r="AY105" s="3">
        <v>2.5000000000000001E-2</v>
      </c>
      <c r="AZ105" s="3">
        <v>-0.128</v>
      </c>
      <c r="BA105" s="3">
        <v>2221</v>
      </c>
      <c r="BB105" s="3">
        <v>12.09</v>
      </c>
      <c r="BC105" s="3">
        <v>2876</v>
      </c>
      <c r="BD105" s="3"/>
      <c r="BE105" s="3"/>
      <c r="BF105" s="3">
        <f t="shared" si="76"/>
        <v>1264</v>
      </c>
      <c r="BH105" s="16">
        <v>23.11</v>
      </c>
      <c r="BI105" s="16">
        <f t="shared" si="69"/>
        <v>46.682200000000002</v>
      </c>
      <c r="BJ105" s="17">
        <f t="shared" si="70"/>
        <v>10.93</v>
      </c>
      <c r="BK105" s="17">
        <f t="shared" si="71"/>
        <v>15.54</v>
      </c>
      <c r="BM105" s="1">
        <f t="shared" si="72"/>
        <v>98.3</v>
      </c>
      <c r="BN105" s="1">
        <f t="shared" si="73"/>
        <v>91.6</v>
      </c>
      <c r="BO105" s="1">
        <f t="shared" si="74"/>
        <v>56.6</v>
      </c>
      <c r="BP105" s="62">
        <f t="shared" si="77"/>
        <v>0.46200000000000002</v>
      </c>
      <c r="BQ105" s="62">
        <f t="shared" si="75"/>
        <v>0.35399999999999998</v>
      </c>
      <c r="BR105" s="2"/>
      <c r="BS105" s="3">
        <v>1</v>
      </c>
      <c r="BT105" s="8"/>
      <c r="BV105" s="8"/>
      <c r="BW105" s="16">
        <f t="shared" si="78"/>
        <v>10.93</v>
      </c>
      <c r="BX105" s="16">
        <f t="shared" si="79"/>
        <v>15.54</v>
      </c>
      <c r="BY105" s="3">
        <f t="shared" si="80"/>
        <v>-0.9</v>
      </c>
      <c r="BZ105" s="3">
        <f t="shared" si="81"/>
        <v>-1.1000000000000001</v>
      </c>
      <c r="CA105" s="3">
        <f t="shared" si="82"/>
        <v>-1.6</v>
      </c>
      <c r="CB105" s="3">
        <f t="shared" si="83"/>
        <v>0</v>
      </c>
      <c r="CC105" s="3">
        <f t="shared" si="84"/>
        <v>0.1</v>
      </c>
      <c r="CD105" s="3">
        <f t="shared" si="85"/>
        <v>0.4</v>
      </c>
      <c r="CE105" s="3">
        <f t="shared" si="86"/>
        <v>0.8</v>
      </c>
      <c r="CF105" s="23">
        <f t="shared" si="87"/>
        <v>91.6</v>
      </c>
      <c r="CG105" s="1">
        <f t="shared" si="88"/>
        <v>4.0999999999999996</v>
      </c>
      <c r="CH105" s="1">
        <f t="shared" si="89"/>
        <v>7.2</v>
      </c>
      <c r="CI105" s="1">
        <f t="shared" si="90"/>
        <v>4.5</v>
      </c>
      <c r="CJ105" s="1">
        <f t="shared" si="91"/>
        <v>0.1</v>
      </c>
      <c r="CK105" s="1">
        <f t="shared" si="92"/>
        <v>0.1</v>
      </c>
      <c r="CL105" s="1">
        <f t="shared" si="93"/>
        <v>0.5</v>
      </c>
      <c r="CM105" s="1">
        <f t="shared" si="94"/>
        <v>0.8</v>
      </c>
      <c r="CN105" s="2">
        <f t="shared" si="95"/>
        <v>98.3</v>
      </c>
      <c r="CO105" s="1">
        <f t="shared" si="96"/>
        <v>-3.2</v>
      </c>
      <c r="CP105" s="1">
        <f t="shared" si="97"/>
        <v>-4.3</v>
      </c>
      <c r="CQ105" s="1">
        <f t="shared" si="98"/>
        <v>-7.6</v>
      </c>
      <c r="CR105" s="1">
        <f t="shared" si="99"/>
        <v>0</v>
      </c>
      <c r="CS105" s="1">
        <f t="shared" si="100"/>
        <v>0.1</v>
      </c>
      <c r="CT105" s="1">
        <f t="shared" si="101"/>
        <v>0.4</v>
      </c>
      <c r="CU105" s="1">
        <f t="shared" si="102"/>
        <v>0.8</v>
      </c>
      <c r="CV105" s="2">
        <f t="shared" si="103"/>
        <v>56.6</v>
      </c>
      <c r="CW105" s="18">
        <f t="shared" si="104"/>
        <v>1264</v>
      </c>
      <c r="CX105" s="1">
        <f>ROUND(PPTest!K105,1)</f>
        <v>1.2</v>
      </c>
      <c r="CY105" s="17">
        <f t="shared" si="105"/>
        <v>1.83</v>
      </c>
      <c r="CZ105" s="17">
        <f t="shared" si="106"/>
        <v>4.0199999999999996</v>
      </c>
      <c r="DA105" s="20">
        <f t="shared" si="107"/>
        <v>0.46200000000000002</v>
      </c>
      <c r="DB105" s="20">
        <f t="shared" si="108"/>
        <v>0.35399999999999998</v>
      </c>
      <c r="DC105" s="16">
        <f t="shared" si="109"/>
        <v>12.09</v>
      </c>
      <c r="DF105" s="1">
        <v>1.8</v>
      </c>
      <c r="DG105" s="1">
        <v>5.7</v>
      </c>
      <c r="DH105" s="1">
        <v>-0.6</v>
      </c>
      <c r="DI105" s="1">
        <v>83.3</v>
      </c>
      <c r="DJ105" s="1">
        <v>61</v>
      </c>
      <c r="DW105" s="1">
        <v>-1.8</v>
      </c>
      <c r="DX105" s="1">
        <v>4.5</v>
      </c>
      <c r="DY105" s="1">
        <v>-8.1</v>
      </c>
    </row>
    <row r="106" spans="1:152" x14ac:dyDescent="0.2">
      <c r="A106" s="40">
        <v>34799</v>
      </c>
      <c r="B106" s="3">
        <v>100</v>
      </c>
      <c r="C106" s="3">
        <v>13.56</v>
      </c>
      <c r="D106" s="3">
        <v>26.06</v>
      </c>
      <c r="E106" s="3">
        <v>-1.8859999999999999</v>
      </c>
      <c r="F106" s="3">
        <v>88.7</v>
      </c>
      <c r="G106" s="3">
        <v>-2.052</v>
      </c>
      <c r="H106" s="3">
        <v>-3.2519999999999998</v>
      </c>
      <c r="I106" s="3">
        <v>1.6E-2</v>
      </c>
      <c r="J106" s="3">
        <v>-0.19800000000000001</v>
      </c>
      <c r="K106" s="3">
        <v>-1.9379999999999999</v>
      </c>
      <c r="L106" s="3">
        <v>6.2E-2</v>
      </c>
      <c r="M106" s="3">
        <v>0.433</v>
      </c>
      <c r="N106" s="3">
        <v>0.78900000000000003</v>
      </c>
      <c r="O106" s="3">
        <v>1E-3</v>
      </c>
      <c r="P106" s="16">
        <v>1.6408333333333334</v>
      </c>
      <c r="Q106" s="3"/>
      <c r="R106" s="3">
        <v>3.2759999999999998</v>
      </c>
      <c r="S106" s="3">
        <v>1309</v>
      </c>
      <c r="T106" s="3">
        <v>104.7</v>
      </c>
      <c r="U106" s="3">
        <v>3</v>
      </c>
      <c r="V106" s="3">
        <v>5.1829999999999998</v>
      </c>
      <c r="W106" s="3">
        <v>3.8570000000000002</v>
      </c>
      <c r="X106" s="3">
        <v>5.8999999999999997E-2</v>
      </c>
      <c r="Y106" s="3">
        <v>-0.16</v>
      </c>
      <c r="Z106" s="3">
        <v>7.6</v>
      </c>
      <c r="AA106" s="3">
        <v>9.4E-2</v>
      </c>
      <c r="AB106" s="3">
        <v>0.46200000000000002</v>
      </c>
      <c r="AC106" s="3">
        <v>0.83</v>
      </c>
      <c r="AD106" s="16">
        <v>4.7808333333333337</v>
      </c>
      <c r="AE106" s="3">
        <v>1302</v>
      </c>
      <c r="AF106" s="3">
        <v>-7.97</v>
      </c>
      <c r="AG106" s="3">
        <v>613</v>
      </c>
      <c r="AH106" s="3">
        <v>46.7</v>
      </c>
      <c r="AI106" s="3">
        <v>1239</v>
      </c>
      <c r="AJ106" s="3">
        <v>-9.4499999999999993</v>
      </c>
      <c r="AK106" s="3">
        <v>-13.37</v>
      </c>
      <c r="AL106" s="3">
        <v>-1.2E-2</v>
      </c>
      <c r="AM106" s="3">
        <v>-0.22900000000000001</v>
      </c>
      <c r="AN106" s="3">
        <v>-11.31</v>
      </c>
      <c r="AO106" s="3">
        <v>2.5000000000000001E-2</v>
      </c>
      <c r="AP106" s="3">
        <v>0.39300000000000002</v>
      </c>
      <c r="AQ106" s="3">
        <v>0.76200000000000001</v>
      </c>
      <c r="AR106" s="3">
        <v>2.8000000000000001E-2</v>
      </c>
      <c r="AS106" s="3">
        <v>0.129</v>
      </c>
      <c r="AT106" s="3">
        <v>0.223</v>
      </c>
      <c r="AU106" s="3">
        <v>0.09</v>
      </c>
      <c r="AV106" s="3">
        <v>0.159</v>
      </c>
      <c r="AW106" s="3">
        <v>0.22800000000000001</v>
      </c>
      <c r="AX106" s="3">
        <v>0.11700000000000001</v>
      </c>
      <c r="AY106" s="3">
        <v>2.5000000000000001E-2</v>
      </c>
      <c r="AZ106" s="3">
        <v>-0.28399999999999997</v>
      </c>
      <c r="BA106" s="3">
        <v>2260</v>
      </c>
      <c r="BB106" s="3">
        <v>12.09</v>
      </c>
      <c r="BC106" s="3">
        <v>2876</v>
      </c>
      <c r="BD106" s="3"/>
      <c r="BE106" s="3"/>
      <c r="BF106" s="3">
        <f t="shared" si="76"/>
        <v>1225</v>
      </c>
      <c r="BH106" s="16">
        <v>23.37</v>
      </c>
      <c r="BI106" s="16">
        <f t="shared" si="69"/>
        <v>47.2074</v>
      </c>
      <c r="BJ106" s="17">
        <f t="shared" si="70"/>
        <v>13.56</v>
      </c>
      <c r="BK106" s="17">
        <f t="shared" si="71"/>
        <v>28.14</v>
      </c>
      <c r="BM106" s="1">
        <f t="shared" si="72"/>
        <v>97.7</v>
      </c>
      <c r="BN106" s="1">
        <f t="shared" si="73"/>
        <v>83</v>
      </c>
      <c r="BO106" s="1">
        <f t="shared" si="74"/>
        <v>44.2</v>
      </c>
      <c r="BP106" s="62">
        <f t="shared" si="77"/>
        <v>0.34100000000000003</v>
      </c>
      <c r="BQ106" s="62">
        <f t="shared" si="75"/>
        <v>0.43</v>
      </c>
      <c r="BR106" s="2"/>
      <c r="BS106" s="3">
        <v>0.6</v>
      </c>
      <c r="BT106" s="8"/>
      <c r="BV106" s="8"/>
      <c r="BW106" s="16">
        <f t="shared" si="78"/>
        <v>13.56</v>
      </c>
      <c r="BX106" s="16">
        <f t="shared" si="79"/>
        <v>28.14</v>
      </c>
      <c r="BY106" s="3">
        <f t="shared" si="80"/>
        <v>-1.9</v>
      </c>
      <c r="BZ106" s="3">
        <f t="shared" si="81"/>
        <v>-2.1</v>
      </c>
      <c r="CA106" s="3">
        <f t="shared" si="82"/>
        <v>-3.3</v>
      </c>
      <c r="CB106" s="3">
        <f t="shared" si="83"/>
        <v>0</v>
      </c>
      <c r="CC106" s="3">
        <f t="shared" si="84"/>
        <v>0.1</v>
      </c>
      <c r="CD106" s="3">
        <f t="shared" si="85"/>
        <v>0.4</v>
      </c>
      <c r="CE106" s="3">
        <f t="shared" si="86"/>
        <v>0.8</v>
      </c>
      <c r="CF106" s="23">
        <f t="shared" si="87"/>
        <v>83</v>
      </c>
      <c r="CG106" s="1">
        <f t="shared" si="88"/>
        <v>3.3</v>
      </c>
      <c r="CH106" s="1">
        <f t="shared" si="89"/>
        <v>5.2</v>
      </c>
      <c r="CI106" s="1">
        <f t="shared" si="90"/>
        <v>3.9</v>
      </c>
      <c r="CJ106" s="1">
        <f t="shared" si="91"/>
        <v>0.1</v>
      </c>
      <c r="CK106" s="1">
        <f t="shared" si="92"/>
        <v>0.1</v>
      </c>
      <c r="CL106" s="1">
        <f t="shared" si="93"/>
        <v>0.5</v>
      </c>
      <c r="CM106" s="1">
        <f t="shared" si="94"/>
        <v>0.8</v>
      </c>
      <c r="CN106" s="2">
        <f t="shared" si="95"/>
        <v>97.7</v>
      </c>
      <c r="CO106" s="1">
        <f t="shared" si="96"/>
        <v>-8</v>
      </c>
      <c r="CP106" s="1">
        <f t="shared" si="97"/>
        <v>-9.5</v>
      </c>
      <c r="CQ106" s="1">
        <f t="shared" si="98"/>
        <v>-13.4</v>
      </c>
      <c r="CR106" s="1">
        <f t="shared" si="99"/>
        <v>0</v>
      </c>
      <c r="CS106" s="1">
        <f t="shared" si="100"/>
        <v>0</v>
      </c>
      <c r="CT106" s="1">
        <f t="shared" si="101"/>
        <v>0.4</v>
      </c>
      <c r="CU106" s="1">
        <f t="shared" si="102"/>
        <v>0.8</v>
      </c>
      <c r="CV106" s="2">
        <f t="shared" si="103"/>
        <v>44.2</v>
      </c>
      <c r="CW106" s="18">
        <f t="shared" si="104"/>
        <v>1225</v>
      </c>
      <c r="CX106" s="1">
        <f>ROUND(PPTest!K106,1)</f>
        <v>0</v>
      </c>
      <c r="CY106" s="17">
        <f t="shared" si="105"/>
        <v>1.64</v>
      </c>
      <c r="CZ106" s="17">
        <f t="shared" si="106"/>
        <v>4.78</v>
      </c>
      <c r="DA106" s="20">
        <f t="shared" si="107"/>
        <v>0.34100000000000003</v>
      </c>
      <c r="DB106" s="20">
        <f t="shared" si="108"/>
        <v>0.43</v>
      </c>
      <c r="DC106" s="16">
        <f t="shared" si="109"/>
        <v>12.09</v>
      </c>
      <c r="DF106" s="1">
        <v>0.6</v>
      </c>
      <c r="DG106" s="1">
        <v>5.9</v>
      </c>
      <c r="DH106" s="1">
        <v>-2.4</v>
      </c>
      <c r="DI106" s="1">
        <v>81.5</v>
      </c>
      <c r="DJ106" s="1">
        <v>56</v>
      </c>
      <c r="DW106" s="1">
        <v>-3.3</v>
      </c>
      <c r="DX106" s="1">
        <v>1.4</v>
      </c>
      <c r="DY106" s="1">
        <v>-10.7</v>
      </c>
    </row>
    <row r="107" spans="1:152" x14ac:dyDescent="0.2">
      <c r="A107" s="40">
        <v>34800</v>
      </c>
      <c r="B107" s="3">
        <v>101</v>
      </c>
      <c r="C107" s="3">
        <v>17.739999999999998</v>
      </c>
      <c r="D107" s="3">
        <v>33.39</v>
      </c>
      <c r="E107" s="3">
        <v>-3.2080000000000002</v>
      </c>
      <c r="F107" s="3">
        <v>79</v>
      </c>
      <c r="G107" s="3">
        <v>-3.3620000000000001</v>
      </c>
      <c r="H107" s="3">
        <v>-4.3499999999999996</v>
      </c>
      <c r="I107" s="3">
        <v>2.3E-2</v>
      </c>
      <c r="J107" s="3">
        <v>-0.191</v>
      </c>
      <c r="K107" s="3">
        <v>-2.5089999999999999</v>
      </c>
      <c r="L107" s="3">
        <v>6.4000000000000001E-2</v>
      </c>
      <c r="M107" s="3">
        <v>0.42899999999999999</v>
      </c>
      <c r="N107" s="3">
        <v>0.78500000000000003</v>
      </c>
      <c r="O107" s="3">
        <v>2E-3</v>
      </c>
      <c r="P107" s="16">
        <v>2.3424999999999998</v>
      </c>
      <c r="Q107" s="3"/>
      <c r="R107" s="3">
        <v>2.9369999999999998</v>
      </c>
      <c r="S107" s="3">
        <v>1654</v>
      </c>
      <c r="T107" s="3">
        <v>104.8</v>
      </c>
      <c r="U107" s="3">
        <v>402</v>
      </c>
      <c r="V107" s="3">
        <v>7.09</v>
      </c>
      <c r="W107" s="3">
        <v>2.9420000000000002</v>
      </c>
      <c r="X107" s="3">
        <v>4.5999999999999999E-2</v>
      </c>
      <c r="Y107" s="3">
        <v>-0.16</v>
      </c>
      <c r="Z107" s="3">
        <v>7.83</v>
      </c>
      <c r="AA107" s="3">
        <v>8.6999999999999994E-2</v>
      </c>
      <c r="AB107" s="3">
        <v>0.45</v>
      </c>
      <c r="AC107" s="3">
        <v>0.80700000000000005</v>
      </c>
      <c r="AD107" s="16">
        <v>7.0341666666666658</v>
      </c>
      <c r="AE107" s="3">
        <v>535</v>
      </c>
      <c r="AF107" s="3">
        <v>-12.25</v>
      </c>
      <c r="AG107" s="3">
        <v>2359</v>
      </c>
      <c r="AH107" s="3">
        <v>37.950000000000003</v>
      </c>
      <c r="AI107" s="3">
        <v>1616</v>
      </c>
      <c r="AJ107" s="3">
        <v>-13.38</v>
      </c>
      <c r="AK107" s="3">
        <v>-15.22</v>
      </c>
      <c r="AL107" s="3">
        <v>-3.1E-2</v>
      </c>
      <c r="AM107" s="3">
        <v>-0.24199999999999999</v>
      </c>
      <c r="AN107" s="3">
        <v>-14.9</v>
      </c>
      <c r="AO107" s="3">
        <v>1.4999999999999999E-2</v>
      </c>
      <c r="AP107" s="3">
        <v>0.36699999999999999</v>
      </c>
      <c r="AQ107" s="3">
        <v>0.71799999999999997</v>
      </c>
      <c r="AR107" s="3">
        <v>1.2999999999999999E-2</v>
      </c>
      <c r="AS107" s="3">
        <v>0.15</v>
      </c>
      <c r="AT107" s="3">
        <v>8.1000000000000003E-2</v>
      </c>
      <c r="AU107" s="3">
        <v>8.9999999999999993E-3</v>
      </c>
      <c r="AV107" s="3">
        <v>9.9000000000000005E-2</v>
      </c>
      <c r="AW107" s="3">
        <v>0.42499999999999999</v>
      </c>
      <c r="AX107" s="3">
        <v>0.159</v>
      </c>
      <c r="AY107" s="3">
        <v>6.4000000000000001E-2</v>
      </c>
      <c r="AZ107" s="3">
        <v>-0.371</v>
      </c>
      <c r="BA107" s="3">
        <v>2267</v>
      </c>
      <c r="BB107" s="3">
        <v>12.09</v>
      </c>
      <c r="BC107" s="3">
        <v>2876</v>
      </c>
      <c r="BD107" s="3"/>
      <c r="BE107" s="3"/>
      <c r="BF107" s="3">
        <f t="shared" si="76"/>
        <v>1218</v>
      </c>
      <c r="BH107" s="16">
        <v>23.61</v>
      </c>
      <c r="BI107" s="16">
        <f t="shared" si="69"/>
        <v>47.6922</v>
      </c>
      <c r="BJ107" s="17">
        <f t="shared" si="70"/>
        <v>17.739999999999998</v>
      </c>
      <c r="BK107" s="17">
        <f t="shared" si="71"/>
        <v>36.06</v>
      </c>
      <c r="BM107" s="1">
        <f t="shared" si="72"/>
        <v>97.8</v>
      </c>
      <c r="BN107" s="1">
        <f t="shared" si="73"/>
        <v>74</v>
      </c>
      <c r="BO107" s="1">
        <f t="shared" si="74"/>
        <v>36.1</v>
      </c>
      <c r="BP107" s="62">
        <f t="shared" si="77"/>
        <v>0.27200000000000002</v>
      </c>
      <c r="BQ107" s="62">
        <f t="shared" si="75"/>
        <v>0.48099999999999998</v>
      </c>
      <c r="BR107" s="2"/>
      <c r="BS107" s="3">
        <v>3.1</v>
      </c>
      <c r="BT107" s="8"/>
      <c r="BV107" s="8"/>
      <c r="BW107" s="16">
        <f t="shared" si="78"/>
        <v>17.739999999999998</v>
      </c>
      <c r="BX107" s="16">
        <f t="shared" si="79"/>
        <v>36.06</v>
      </c>
      <c r="BY107" s="3">
        <f t="shared" si="80"/>
        <v>-3.2</v>
      </c>
      <c r="BZ107" s="3">
        <f t="shared" si="81"/>
        <v>-3.4</v>
      </c>
      <c r="CA107" s="3">
        <f t="shared" si="82"/>
        <v>-4.4000000000000004</v>
      </c>
      <c r="CB107" s="3">
        <f t="shared" si="83"/>
        <v>0</v>
      </c>
      <c r="CC107" s="3">
        <f t="shared" si="84"/>
        <v>0.1</v>
      </c>
      <c r="CD107" s="3">
        <f t="shared" si="85"/>
        <v>0.4</v>
      </c>
      <c r="CE107" s="3">
        <f t="shared" si="86"/>
        <v>0.8</v>
      </c>
      <c r="CF107" s="23">
        <f t="shared" si="87"/>
        <v>74</v>
      </c>
      <c r="CG107" s="1">
        <f t="shared" si="88"/>
        <v>2.9</v>
      </c>
      <c r="CH107" s="1">
        <f t="shared" si="89"/>
        <v>7.1</v>
      </c>
      <c r="CI107" s="1">
        <f t="shared" si="90"/>
        <v>2.9</v>
      </c>
      <c r="CJ107" s="1">
        <f t="shared" si="91"/>
        <v>0</v>
      </c>
      <c r="CK107" s="1">
        <f t="shared" si="92"/>
        <v>0.1</v>
      </c>
      <c r="CL107" s="1">
        <f t="shared" si="93"/>
        <v>0.5</v>
      </c>
      <c r="CM107" s="1">
        <f t="shared" si="94"/>
        <v>0.8</v>
      </c>
      <c r="CN107" s="2">
        <f t="shared" si="95"/>
        <v>97.8</v>
      </c>
      <c r="CO107" s="1">
        <f t="shared" si="96"/>
        <v>-12.3</v>
      </c>
      <c r="CP107" s="1">
        <f t="shared" si="97"/>
        <v>-13.4</v>
      </c>
      <c r="CQ107" s="1">
        <f t="shared" si="98"/>
        <v>-15.2</v>
      </c>
      <c r="CR107" s="1">
        <f t="shared" si="99"/>
        <v>0</v>
      </c>
      <c r="CS107" s="1">
        <f t="shared" si="100"/>
        <v>0</v>
      </c>
      <c r="CT107" s="1">
        <f t="shared" si="101"/>
        <v>0.4</v>
      </c>
      <c r="CU107" s="1">
        <f t="shared" si="102"/>
        <v>0.7</v>
      </c>
      <c r="CV107" s="2">
        <f t="shared" si="103"/>
        <v>36.1</v>
      </c>
      <c r="CW107" s="18">
        <f t="shared" si="104"/>
        <v>1218</v>
      </c>
      <c r="CX107" s="1">
        <f>ROUND(PPTest!K107,1)</f>
        <v>0</v>
      </c>
      <c r="CY107" s="17">
        <f t="shared" si="105"/>
        <v>2.34</v>
      </c>
      <c r="CZ107" s="17">
        <f t="shared" si="106"/>
        <v>7.03</v>
      </c>
      <c r="DA107" s="20">
        <f t="shared" si="107"/>
        <v>0.27200000000000002</v>
      </c>
      <c r="DB107" s="20">
        <f t="shared" si="108"/>
        <v>0.48099999999999998</v>
      </c>
      <c r="DC107" s="16">
        <f t="shared" si="109"/>
        <v>12.09</v>
      </c>
      <c r="DF107" s="1">
        <v>0.3</v>
      </c>
      <c r="DG107" s="1">
        <v>4.2</v>
      </c>
      <c r="DH107" s="1">
        <v>-2.4</v>
      </c>
      <c r="DI107" s="1">
        <v>69.099999999999994</v>
      </c>
      <c r="DJ107" s="1">
        <v>41</v>
      </c>
      <c r="DW107" s="1">
        <v>-2</v>
      </c>
      <c r="DX107" s="1">
        <v>3.7</v>
      </c>
      <c r="DY107" s="1">
        <v>-6.7</v>
      </c>
    </row>
    <row r="108" spans="1:152" x14ac:dyDescent="0.2">
      <c r="A108" s="40">
        <v>34801</v>
      </c>
      <c r="B108" s="3">
        <v>102</v>
      </c>
      <c r="C108" s="3">
        <v>13.76</v>
      </c>
      <c r="D108" s="3">
        <v>26.15</v>
      </c>
      <c r="E108" s="3">
        <v>-2.7869999999999999</v>
      </c>
      <c r="F108" s="3">
        <v>60.65</v>
      </c>
      <c r="G108" s="3">
        <v>-3.298</v>
      </c>
      <c r="H108" s="3">
        <v>-3.9940000000000002</v>
      </c>
      <c r="I108" s="3">
        <v>-3.3000000000000002E-2</v>
      </c>
      <c r="J108" s="3">
        <v>-0.23599999999999999</v>
      </c>
      <c r="K108" s="3">
        <v>-3.004</v>
      </c>
      <c r="L108" s="3">
        <v>1.0999999999999999E-2</v>
      </c>
      <c r="M108" s="3">
        <v>0.374</v>
      </c>
      <c r="N108" s="3">
        <v>0.71899999999999997</v>
      </c>
      <c r="O108" s="3">
        <v>0</v>
      </c>
      <c r="P108" s="16">
        <v>2.2524999999999999</v>
      </c>
      <c r="Q108" s="3"/>
      <c r="R108" s="3">
        <v>3.5609999999999999</v>
      </c>
      <c r="S108" s="3">
        <v>1301</v>
      </c>
      <c r="T108" s="3">
        <v>98.6</v>
      </c>
      <c r="U108" s="3">
        <v>241</v>
      </c>
      <c r="V108" s="3">
        <v>5.266</v>
      </c>
      <c r="W108" s="3">
        <v>4.3479999999999999</v>
      </c>
      <c r="X108" s="3">
        <v>-2E-3</v>
      </c>
      <c r="Y108" s="3">
        <v>-0.19800000000000001</v>
      </c>
      <c r="Z108" s="3">
        <v>7.76</v>
      </c>
      <c r="AA108" s="3">
        <v>3.9E-2</v>
      </c>
      <c r="AB108" s="3">
        <v>0.40799999999999997</v>
      </c>
      <c r="AC108" s="3">
        <v>0.748</v>
      </c>
      <c r="AD108" s="16">
        <v>5.0341666666666667</v>
      </c>
      <c r="AE108" s="3">
        <v>1338</v>
      </c>
      <c r="AF108" s="3">
        <v>-13.51</v>
      </c>
      <c r="AG108" s="3">
        <v>237</v>
      </c>
      <c r="AH108" s="3">
        <v>24.89</v>
      </c>
      <c r="AI108" s="3">
        <v>1031</v>
      </c>
      <c r="AJ108" s="3">
        <v>-14.5</v>
      </c>
      <c r="AK108" s="3">
        <v>-16.18</v>
      </c>
      <c r="AL108" s="3">
        <v>-5.8999999999999997E-2</v>
      </c>
      <c r="AM108" s="3">
        <v>-0.26400000000000001</v>
      </c>
      <c r="AN108" s="3">
        <v>-15.59</v>
      </c>
      <c r="AO108" s="3">
        <v>-2.3E-2</v>
      </c>
      <c r="AP108" s="3">
        <v>0.34</v>
      </c>
      <c r="AQ108" s="3">
        <v>0.68899999999999995</v>
      </c>
      <c r="AR108" s="3">
        <v>8.4000000000000005E-2</v>
      </c>
      <c r="AS108" s="3">
        <v>0.622</v>
      </c>
      <c r="AT108" s="3">
        <v>0.253</v>
      </c>
      <c r="AU108" s="3">
        <v>2.8000000000000001E-2</v>
      </c>
      <c r="AV108" s="3">
        <v>5.0000000000000001E-3</v>
      </c>
      <c r="AW108" s="3">
        <v>3.0000000000000001E-3</v>
      </c>
      <c r="AX108" s="3">
        <v>2E-3</v>
      </c>
      <c r="AY108" s="3">
        <v>3.0000000000000001E-3</v>
      </c>
      <c r="AZ108" s="3">
        <v>-3.9350000000000001</v>
      </c>
      <c r="BA108" s="3">
        <v>2284</v>
      </c>
      <c r="BB108" s="3">
        <v>12.09</v>
      </c>
      <c r="BC108" s="3">
        <v>2876</v>
      </c>
      <c r="BD108" s="3"/>
      <c r="BE108" s="3"/>
      <c r="BF108" s="3">
        <f t="shared" si="76"/>
        <v>1201</v>
      </c>
      <c r="BH108" s="16">
        <v>23.88</v>
      </c>
      <c r="BI108" s="16">
        <f t="shared" si="69"/>
        <v>48.2376</v>
      </c>
      <c r="BJ108" s="17">
        <f t="shared" si="70"/>
        <v>13.76</v>
      </c>
      <c r="BK108" s="17">
        <f t="shared" si="71"/>
        <v>28.24</v>
      </c>
      <c r="BM108" s="1">
        <f t="shared" si="72"/>
        <v>92.1</v>
      </c>
      <c r="BN108" s="1">
        <f t="shared" si="73"/>
        <v>57</v>
      </c>
      <c r="BO108" s="1">
        <f t="shared" si="74"/>
        <v>24</v>
      </c>
      <c r="BP108" s="62">
        <f t="shared" si="77"/>
        <v>0.189</v>
      </c>
      <c r="BQ108" s="62">
        <f t="shared" si="75"/>
        <v>0.59899999999999998</v>
      </c>
      <c r="BR108" s="2"/>
      <c r="BS108" s="3">
        <v>0</v>
      </c>
      <c r="BT108" s="8"/>
      <c r="BV108" s="8"/>
      <c r="BW108" s="16">
        <f t="shared" si="78"/>
        <v>13.76</v>
      </c>
      <c r="BX108" s="16">
        <f t="shared" si="79"/>
        <v>28.24</v>
      </c>
      <c r="BY108" s="3">
        <f t="shared" si="80"/>
        <v>-2.8</v>
      </c>
      <c r="BZ108" s="3">
        <f t="shared" si="81"/>
        <v>-3.3</v>
      </c>
      <c r="CA108" s="3">
        <f t="shared" si="82"/>
        <v>-4</v>
      </c>
      <c r="CB108" s="3">
        <f t="shared" si="83"/>
        <v>0</v>
      </c>
      <c r="CC108" s="3">
        <f t="shared" si="84"/>
        <v>0</v>
      </c>
      <c r="CD108" s="3">
        <f t="shared" si="85"/>
        <v>0.4</v>
      </c>
      <c r="CE108" s="3">
        <f t="shared" si="86"/>
        <v>0.7</v>
      </c>
      <c r="CF108" s="23">
        <f t="shared" si="87"/>
        <v>57</v>
      </c>
      <c r="CG108" s="1">
        <f t="shared" si="88"/>
        <v>3.6</v>
      </c>
      <c r="CH108" s="1">
        <f t="shared" si="89"/>
        <v>5.3</v>
      </c>
      <c r="CI108" s="1">
        <f t="shared" si="90"/>
        <v>4.3</v>
      </c>
      <c r="CJ108" s="1">
        <f t="shared" si="91"/>
        <v>0</v>
      </c>
      <c r="CK108" s="1">
        <f t="shared" si="92"/>
        <v>0</v>
      </c>
      <c r="CL108" s="1">
        <f t="shared" si="93"/>
        <v>0.4</v>
      </c>
      <c r="CM108" s="1">
        <f t="shared" si="94"/>
        <v>0.7</v>
      </c>
      <c r="CN108" s="2">
        <f t="shared" si="95"/>
        <v>92.1</v>
      </c>
      <c r="CO108" s="1">
        <f t="shared" si="96"/>
        <v>-13.5</v>
      </c>
      <c r="CP108" s="1">
        <f t="shared" si="97"/>
        <v>-14.5</v>
      </c>
      <c r="CQ108" s="1">
        <f t="shared" si="98"/>
        <v>-16.2</v>
      </c>
      <c r="CR108" s="1">
        <f t="shared" si="99"/>
        <v>-0.1</v>
      </c>
      <c r="CS108" s="1">
        <f t="shared" si="100"/>
        <v>0</v>
      </c>
      <c r="CT108" s="1">
        <f t="shared" si="101"/>
        <v>0.3</v>
      </c>
      <c r="CU108" s="1">
        <f t="shared" si="102"/>
        <v>0.7</v>
      </c>
      <c r="CV108" s="2">
        <f t="shared" si="103"/>
        <v>24</v>
      </c>
      <c r="CW108" s="18">
        <f t="shared" si="104"/>
        <v>1201</v>
      </c>
      <c r="CX108" s="1">
        <f>ROUND(PPTest!K108,1)</f>
        <v>0</v>
      </c>
      <c r="CY108" s="17">
        <f t="shared" si="105"/>
        <v>2.25</v>
      </c>
      <c r="CZ108" s="17">
        <f t="shared" si="106"/>
        <v>5.03</v>
      </c>
      <c r="DA108" s="20">
        <f t="shared" si="107"/>
        <v>0.189</v>
      </c>
      <c r="DB108" s="20">
        <f t="shared" si="108"/>
        <v>0.59899999999999998</v>
      </c>
      <c r="DC108" s="16">
        <f t="shared" si="109"/>
        <v>12.09</v>
      </c>
      <c r="DF108" s="1">
        <v>1.9</v>
      </c>
      <c r="DG108" s="1">
        <v>5.3</v>
      </c>
      <c r="DH108" s="1">
        <v>-2.7</v>
      </c>
      <c r="DI108" s="1">
        <v>50.7</v>
      </c>
      <c r="DJ108" s="1">
        <v>32</v>
      </c>
      <c r="DW108" s="1">
        <v>-1</v>
      </c>
      <c r="DX108" s="1">
        <v>2.9</v>
      </c>
      <c r="DY108" s="1">
        <v>-6.9</v>
      </c>
    </row>
    <row r="109" spans="1:152" x14ac:dyDescent="0.2">
      <c r="A109" s="40">
        <v>34802</v>
      </c>
      <c r="B109" s="3">
        <v>103</v>
      </c>
      <c r="C109" s="3">
        <v>7.63</v>
      </c>
      <c r="D109" s="3">
        <v>14.52</v>
      </c>
      <c r="E109" s="3">
        <v>-0.57299999999999995</v>
      </c>
      <c r="F109" s="3">
        <v>91.3</v>
      </c>
      <c r="G109" s="3">
        <v>-0.69</v>
      </c>
      <c r="H109" s="3">
        <v>-1.054</v>
      </c>
      <c r="I109" s="3">
        <v>3.0000000000000001E-3</v>
      </c>
      <c r="J109" s="3">
        <v>-0.214</v>
      </c>
      <c r="K109" s="3">
        <v>-0.20699999999999999</v>
      </c>
      <c r="L109" s="3">
        <v>3.9E-2</v>
      </c>
      <c r="M109" s="3">
        <v>0.41</v>
      </c>
      <c r="N109" s="3">
        <v>0.75</v>
      </c>
      <c r="O109" s="3">
        <v>0</v>
      </c>
      <c r="P109" s="16">
        <v>2.2574999999999998</v>
      </c>
      <c r="Q109" s="3"/>
      <c r="R109" s="3">
        <v>2.044</v>
      </c>
      <c r="S109" s="3">
        <v>1644</v>
      </c>
      <c r="T109" s="3">
        <v>105.9</v>
      </c>
      <c r="U109" s="3">
        <v>610</v>
      </c>
      <c r="V109" s="3">
        <v>3.7069999999999999</v>
      </c>
      <c r="W109" s="3">
        <v>2.9329999999999998</v>
      </c>
      <c r="X109" s="3">
        <v>3.5000000000000003E-2</v>
      </c>
      <c r="Y109" s="3">
        <v>-0.16600000000000001</v>
      </c>
      <c r="Z109" s="3">
        <v>6.9640000000000004</v>
      </c>
      <c r="AA109" s="3">
        <v>7.0999999999999994E-2</v>
      </c>
      <c r="AB109" s="3">
        <v>0.439</v>
      </c>
      <c r="AC109" s="3">
        <v>0.78</v>
      </c>
      <c r="AD109" s="16">
        <v>6.1141666666666667</v>
      </c>
      <c r="AE109" s="3">
        <v>1530</v>
      </c>
      <c r="AF109" s="3">
        <v>-3.0190000000000001</v>
      </c>
      <c r="AG109" s="3">
        <v>2329</v>
      </c>
      <c r="AH109" s="3">
        <v>63.72</v>
      </c>
      <c r="AI109" s="3">
        <v>1423</v>
      </c>
      <c r="AJ109" s="3">
        <v>-3.6589999999999998</v>
      </c>
      <c r="AK109" s="3">
        <v>-4.5810000000000004</v>
      </c>
      <c r="AL109" s="3">
        <v>-4.2000000000000003E-2</v>
      </c>
      <c r="AM109" s="3">
        <v>-0.251</v>
      </c>
      <c r="AN109" s="3">
        <v>-3.9710000000000001</v>
      </c>
      <c r="AO109" s="3">
        <v>4.0000000000000001E-3</v>
      </c>
      <c r="AP109" s="3">
        <v>0.377</v>
      </c>
      <c r="AQ109" s="3">
        <v>0.71799999999999997</v>
      </c>
      <c r="AR109" s="3">
        <v>0.04</v>
      </c>
      <c r="AS109" s="3">
        <v>0.18</v>
      </c>
      <c r="AT109" s="3">
        <v>5.3999999999999999E-2</v>
      </c>
      <c r="AU109" s="3">
        <v>2.8000000000000001E-2</v>
      </c>
      <c r="AV109" s="3">
        <v>0.219</v>
      </c>
      <c r="AW109" s="3">
        <v>0.41899999999999998</v>
      </c>
      <c r="AX109" s="3">
        <v>5.6000000000000001E-2</v>
      </c>
      <c r="AY109" s="3">
        <v>4.0000000000000001E-3</v>
      </c>
      <c r="AZ109" s="3">
        <v>-1.3460000000000001</v>
      </c>
      <c r="BA109" s="3">
        <v>2244</v>
      </c>
      <c r="BB109" s="3">
        <v>12.09</v>
      </c>
      <c r="BC109" s="3">
        <v>2876</v>
      </c>
      <c r="BD109" s="3"/>
      <c r="BE109" s="3"/>
      <c r="BF109" s="3">
        <f t="shared" si="76"/>
        <v>1241</v>
      </c>
      <c r="BH109" s="16">
        <v>24.12</v>
      </c>
      <c r="BI109" s="16">
        <f t="shared" si="69"/>
        <v>48.7224</v>
      </c>
      <c r="BJ109" s="17">
        <f t="shared" si="70"/>
        <v>7.63</v>
      </c>
      <c r="BK109" s="17">
        <f t="shared" si="71"/>
        <v>15.68</v>
      </c>
      <c r="BM109" s="1">
        <f t="shared" si="72"/>
        <v>98.9</v>
      </c>
      <c r="BN109" s="1">
        <f t="shared" si="73"/>
        <v>85.4</v>
      </c>
      <c r="BO109" s="1">
        <f t="shared" si="74"/>
        <v>59.9</v>
      </c>
      <c r="BP109" s="62">
        <f t="shared" si="77"/>
        <v>0.42399999999999999</v>
      </c>
      <c r="BQ109" s="62">
        <f t="shared" si="75"/>
        <v>0.28399999999999997</v>
      </c>
      <c r="BR109" s="2"/>
      <c r="BS109" s="3">
        <v>10.7</v>
      </c>
      <c r="BT109" s="8"/>
      <c r="BV109" s="8"/>
      <c r="BW109" s="16">
        <f t="shared" si="78"/>
        <v>7.63</v>
      </c>
      <c r="BX109" s="16">
        <f t="shared" si="79"/>
        <v>15.68</v>
      </c>
      <c r="BY109" s="3">
        <f t="shared" si="80"/>
        <v>-0.6</v>
      </c>
      <c r="BZ109" s="3">
        <f t="shared" si="81"/>
        <v>-0.7</v>
      </c>
      <c r="CA109" s="3">
        <f t="shared" si="82"/>
        <v>-1.1000000000000001</v>
      </c>
      <c r="CB109" s="3">
        <f t="shared" si="83"/>
        <v>0</v>
      </c>
      <c r="CC109" s="3">
        <f t="shared" si="84"/>
        <v>0</v>
      </c>
      <c r="CD109" s="3">
        <f t="shared" si="85"/>
        <v>0.4</v>
      </c>
      <c r="CE109" s="3">
        <f t="shared" si="86"/>
        <v>0.8</v>
      </c>
      <c r="CF109" s="23">
        <f t="shared" si="87"/>
        <v>85.4</v>
      </c>
      <c r="CG109" s="1">
        <f t="shared" si="88"/>
        <v>2</v>
      </c>
      <c r="CH109" s="1">
        <f t="shared" si="89"/>
        <v>3.7</v>
      </c>
      <c r="CI109" s="1">
        <f t="shared" si="90"/>
        <v>2.9</v>
      </c>
      <c r="CJ109" s="1">
        <f t="shared" si="91"/>
        <v>0</v>
      </c>
      <c r="CK109" s="1">
        <f t="shared" si="92"/>
        <v>0.1</v>
      </c>
      <c r="CL109" s="1">
        <f t="shared" si="93"/>
        <v>0.4</v>
      </c>
      <c r="CM109" s="1">
        <f t="shared" si="94"/>
        <v>0.8</v>
      </c>
      <c r="CN109" s="2">
        <f t="shared" si="95"/>
        <v>98.9</v>
      </c>
      <c r="CO109" s="1">
        <f t="shared" si="96"/>
        <v>-3</v>
      </c>
      <c r="CP109" s="1">
        <f t="shared" si="97"/>
        <v>-3.7</v>
      </c>
      <c r="CQ109" s="1">
        <f t="shared" si="98"/>
        <v>-4.5999999999999996</v>
      </c>
      <c r="CR109" s="1">
        <f t="shared" si="99"/>
        <v>0</v>
      </c>
      <c r="CS109" s="1">
        <f t="shared" si="100"/>
        <v>0</v>
      </c>
      <c r="CT109" s="1">
        <f t="shared" si="101"/>
        <v>0.4</v>
      </c>
      <c r="CU109" s="1">
        <f t="shared" si="102"/>
        <v>0.7</v>
      </c>
      <c r="CV109" s="2">
        <f t="shared" si="103"/>
        <v>59.9</v>
      </c>
      <c r="CW109" s="18">
        <f t="shared" si="104"/>
        <v>1241</v>
      </c>
      <c r="CX109" s="1">
        <f>ROUND(PPTest!K109,1)</f>
        <v>5.2</v>
      </c>
      <c r="CY109" s="17">
        <f t="shared" si="105"/>
        <v>2.2599999999999998</v>
      </c>
      <c r="CZ109" s="17">
        <f t="shared" si="106"/>
        <v>6.11</v>
      </c>
      <c r="DA109" s="20">
        <f t="shared" si="107"/>
        <v>0.42399999999999999</v>
      </c>
      <c r="DB109" s="20">
        <f t="shared" si="108"/>
        <v>0.28399999999999997</v>
      </c>
      <c r="DC109" s="16">
        <f t="shared" si="109"/>
        <v>12.09</v>
      </c>
      <c r="DF109" s="1">
        <v>1</v>
      </c>
      <c r="DG109" s="1">
        <v>3.9</v>
      </c>
      <c r="DH109" s="1">
        <v>-1.1000000000000001</v>
      </c>
      <c r="DI109" s="1">
        <v>81.900000000000006</v>
      </c>
      <c r="DJ109" s="1">
        <v>66</v>
      </c>
      <c r="DW109" s="1">
        <v>-1</v>
      </c>
      <c r="DX109" s="1">
        <v>2.8</v>
      </c>
      <c r="DY109" s="1">
        <v>-4</v>
      </c>
    </row>
    <row r="110" spans="1:152" x14ac:dyDescent="0.2">
      <c r="A110" s="40">
        <v>34803</v>
      </c>
      <c r="B110" s="3">
        <v>104</v>
      </c>
      <c r="C110" s="3">
        <v>10</v>
      </c>
      <c r="D110" s="3">
        <v>19.600000000000001</v>
      </c>
      <c r="E110" s="3">
        <v>-3.105</v>
      </c>
      <c r="F110" s="3">
        <v>92.8</v>
      </c>
      <c r="G110" s="3">
        <v>-3.286</v>
      </c>
      <c r="H110" s="3">
        <v>-3.5350000000000001</v>
      </c>
      <c r="I110" s="3">
        <v>1E-3</v>
      </c>
      <c r="J110" s="3">
        <v>-0.217</v>
      </c>
      <c r="K110" s="3">
        <v>-2.6309999999999998</v>
      </c>
      <c r="L110" s="3">
        <v>3.4000000000000002E-2</v>
      </c>
      <c r="M110" s="3">
        <v>0.40500000000000003</v>
      </c>
      <c r="N110" s="3">
        <v>0.74</v>
      </c>
      <c r="O110" s="3">
        <v>0</v>
      </c>
      <c r="P110" s="16">
        <v>2.1625000000000001</v>
      </c>
      <c r="Q110" s="3"/>
      <c r="R110" s="3">
        <v>-0.30199999999999999</v>
      </c>
      <c r="S110" s="3">
        <v>1601</v>
      </c>
      <c r="T110" s="3">
        <v>103.5</v>
      </c>
      <c r="U110" s="3">
        <v>1718</v>
      </c>
      <c r="V110" s="3">
        <v>1.4810000000000001</v>
      </c>
      <c r="W110" s="3">
        <v>1.1819999999999999</v>
      </c>
      <c r="X110" s="3">
        <v>2.5999999999999999E-2</v>
      </c>
      <c r="Y110" s="3">
        <v>-0.17899999999999999</v>
      </c>
      <c r="Z110" s="3">
        <v>4.28</v>
      </c>
      <c r="AA110" s="3">
        <v>5.8999999999999997E-2</v>
      </c>
      <c r="AB110" s="3">
        <v>0.42899999999999999</v>
      </c>
      <c r="AC110" s="3">
        <v>0.76300000000000001</v>
      </c>
      <c r="AD110" s="16">
        <v>4.434166666666667</v>
      </c>
      <c r="AE110" s="3">
        <v>1122</v>
      </c>
      <c r="AF110" s="3">
        <v>-4.0860000000000003</v>
      </c>
      <c r="AG110" s="3">
        <v>342</v>
      </c>
      <c r="AH110" s="3">
        <v>71</v>
      </c>
      <c r="AI110" s="3">
        <v>1601</v>
      </c>
      <c r="AJ110" s="3">
        <v>-4.7380000000000004</v>
      </c>
      <c r="AK110" s="3">
        <v>-5.32</v>
      </c>
      <c r="AL110" s="3">
        <v>-2.3E-2</v>
      </c>
      <c r="AM110" s="3">
        <v>-0.247</v>
      </c>
      <c r="AN110" s="3">
        <v>-5.1689999999999996</v>
      </c>
      <c r="AO110" s="3">
        <v>8.9999999999999993E-3</v>
      </c>
      <c r="AP110" s="3">
        <v>0.38</v>
      </c>
      <c r="AQ110" s="3">
        <v>0.71699999999999997</v>
      </c>
      <c r="AR110" s="3">
        <v>0</v>
      </c>
      <c r="AS110" s="3">
        <v>0</v>
      </c>
      <c r="AT110" s="3">
        <v>0</v>
      </c>
      <c r="AU110" s="3">
        <v>6.0000000000000001E-3</v>
      </c>
      <c r="AV110" s="3">
        <v>0.14899999999999999</v>
      </c>
      <c r="AW110" s="3">
        <v>0.73799999999999999</v>
      </c>
      <c r="AX110" s="3">
        <v>0.10299999999999999</v>
      </c>
      <c r="AY110" s="3">
        <v>3.0000000000000001E-3</v>
      </c>
      <c r="AZ110" s="3">
        <v>-1.9770000000000001</v>
      </c>
      <c r="BA110" s="3">
        <v>2238</v>
      </c>
      <c r="BB110" s="3">
        <v>12.08</v>
      </c>
      <c r="BC110" s="3">
        <v>2876</v>
      </c>
      <c r="BD110" s="3"/>
      <c r="BE110" s="3"/>
      <c r="BF110" s="3">
        <f t="shared" si="76"/>
        <v>1247</v>
      </c>
      <c r="BH110" s="16">
        <v>24.37</v>
      </c>
      <c r="BI110" s="16">
        <f t="shared" si="69"/>
        <v>49.227400000000003</v>
      </c>
      <c r="BJ110" s="17">
        <f t="shared" si="70"/>
        <v>10</v>
      </c>
      <c r="BK110" s="17">
        <f t="shared" si="71"/>
        <v>21.17</v>
      </c>
      <c r="BM110" s="1">
        <f t="shared" si="72"/>
        <v>96.6</v>
      </c>
      <c r="BN110" s="1">
        <f t="shared" si="73"/>
        <v>86.7</v>
      </c>
      <c r="BO110" s="1">
        <f t="shared" si="74"/>
        <v>66.599999999999994</v>
      </c>
      <c r="BP110" s="62">
        <f t="shared" si="77"/>
        <v>0.39800000000000002</v>
      </c>
      <c r="BQ110" s="62">
        <f t="shared" si="75"/>
        <v>0.2</v>
      </c>
      <c r="BR110" s="2"/>
      <c r="BS110" s="3">
        <v>0.3</v>
      </c>
      <c r="BT110" s="8"/>
      <c r="BV110" s="8"/>
      <c r="BW110" s="16">
        <f t="shared" si="78"/>
        <v>10</v>
      </c>
      <c r="BX110" s="16">
        <f t="shared" si="79"/>
        <v>21.17</v>
      </c>
      <c r="BY110" s="3">
        <f t="shared" si="80"/>
        <v>-3.1</v>
      </c>
      <c r="BZ110" s="3">
        <f t="shared" si="81"/>
        <v>-3.3</v>
      </c>
      <c r="CA110" s="3">
        <f t="shared" si="82"/>
        <v>-3.5</v>
      </c>
      <c r="CB110" s="3">
        <f t="shared" si="83"/>
        <v>0</v>
      </c>
      <c r="CC110" s="3">
        <f t="shared" si="84"/>
        <v>0</v>
      </c>
      <c r="CD110" s="3">
        <f t="shared" si="85"/>
        <v>0.4</v>
      </c>
      <c r="CE110" s="3">
        <f t="shared" si="86"/>
        <v>0.7</v>
      </c>
      <c r="CF110" s="23">
        <f t="shared" si="87"/>
        <v>86.7</v>
      </c>
      <c r="CG110" s="1">
        <f t="shared" si="88"/>
        <v>-0.3</v>
      </c>
      <c r="CH110" s="1">
        <f t="shared" si="89"/>
        <v>1.5</v>
      </c>
      <c r="CI110" s="1">
        <f t="shared" si="90"/>
        <v>1.2</v>
      </c>
      <c r="CJ110" s="1">
        <f t="shared" si="91"/>
        <v>0</v>
      </c>
      <c r="CK110" s="1">
        <f t="shared" si="92"/>
        <v>0.1</v>
      </c>
      <c r="CL110" s="1">
        <f t="shared" si="93"/>
        <v>0.4</v>
      </c>
      <c r="CM110" s="1">
        <f t="shared" si="94"/>
        <v>0.8</v>
      </c>
      <c r="CN110" s="2">
        <f t="shared" si="95"/>
        <v>96.6</v>
      </c>
      <c r="CO110" s="1">
        <f t="shared" si="96"/>
        <v>-4.0999999999999996</v>
      </c>
      <c r="CP110" s="1">
        <f t="shared" si="97"/>
        <v>-4.7</v>
      </c>
      <c r="CQ110" s="1">
        <f t="shared" si="98"/>
        <v>-5.3</v>
      </c>
      <c r="CR110" s="1">
        <f t="shared" si="99"/>
        <v>0</v>
      </c>
      <c r="CS110" s="1">
        <f t="shared" si="100"/>
        <v>0</v>
      </c>
      <c r="CT110" s="1">
        <f t="shared" si="101"/>
        <v>0.4</v>
      </c>
      <c r="CU110" s="1">
        <f t="shared" si="102"/>
        <v>0.7</v>
      </c>
      <c r="CV110" s="2">
        <f t="shared" si="103"/>
        <v>66.599999999999994</v>
      </c>
      <c r="CW110" s="18">
        <f t="shared" si="104"/>
        <v>1247</v>
      </c>
      <c r="CX110" s="1">
        <f>ROUND(PPTest!K110,1)</f>
        <v>0.8</v>
      </c>
      <c r="CY110" s="17">
        <f t="shared" si="105"/>
        <v>2.16</v>
      </c>
      <c r="CZ110" s="17">
        <f t="shared" si="106"/>
        <v>4.43</v>
      </c>
      <c r="DA110" s="20">
        <f t="shared" si="107"/>
        <v>0.39800000000000002</v>
      </c>
      <c r="DB110" s="20">
        <f t="shared" si="108"/>
        <v>0.2</v>
      </c>
      <c r="DC110" s="16">
        <f t="shared" si="109"/>
        <v>12.08</v>
      </c>
      <c r="DF110" s="1">
        <v>-0.6</v>
      </c>
      <c r="DG110" s="1">
        <v>2.2000000000000002</v>
      </c>
      <c r="DH110" s="1">
        <v>-1.9</v>
      </c>
      <c r="DI110" s="1">
        <v>84.9</v>
      </c>
      <c r="DJ110" s="1">
        <v>77</v>
      </c>
      <c r="DW110" s="1">
        <v>-4.5999999999999996</v>
      </c>
      <c r="DX110" s="1">
        <v>-0.7</v>
      </c>
      <c r="DY110" s="1">
        <v>-12</v>
      </c>
    </row>
    <row r="111" spans="1:152" x14ac:dyDescent="0.2">
      <c r="A111" s="40">
        <v>34804</v>
      </c>
      <c r="B111" s="3">
        <v>105</v>
      </c>
      <c r="C111" s="3">
        <v>12.44</v>
      </c>
      <c r="D111" s="3">
        <v>24.36</v>
      </c>
      <c r="E111" s="3">
        <v>-3.3940000000000001</v>
      </c>
      <c r="F111" s="3">
        <v>85.2</v>
      </c>
      <c r="G111" s="3">
        <v>-3.665</v>
      </c>
      <c r="H111" s="3">
        <v>-4.8840000000000003</v>
      </c>
      <c r="I111" s="3">
        <v>-1E-3</v>
      </c>
      <c r="J111" s="3">
        <v>-0.21099999999999999</v>
      </c>
      <c r="K111" s="3">
        <v>-3.1</v>
      </c>
      <c r="L111" s="3">
        <v>3.6999999999999998E-2</v>
      </c>
      <c r="M111" s="3">
        <v>0.40799999999999997</v>
      </c>
      <c r="N111" s="3">
        <v>0.74</v>
      </c>
      <c r="O111" s="3">
        <v>0</v>
      </c>
      <c r="P111" s="16">
        <v>1.2603333333333333</v>
      </c>
      <c r="Q111" s="3"/>
      <c r="R111" s="3">
        <v>2.41</v>
      </c>
      <c r="S111" s="3">
        <v>1748</v>
      </c>
      <c r="T111" s="3">
        <v>103.3</v>
      </c>
      <c r="U111" s="3">
        <v>453</v>
      </c>
      <c r="V111" s="3">
        <v>5.3319999999999999</v>
      </c>
      <c r="W111" s="3">
        <v>1.917</v>
      </c>
      <c r="X111" s="3">
        <v>0.02</v>
      </c>
      <c r="Y111" s="3">
        <v>-0.16700000000000001</v>
      </c>
      <c r="Z111" s="3">
        <v>5.6239999999999997</v>
      </c>
      <c r="AA111" s="3">
        <v>6.6000000000000003E-2</v>
      </c>
      <c r="AB111" s="3">
        <v>0.434</v>
      </c>
      <c r="AC111" s="3">
        <v>0.76300000000000001</v>
      </c>
      <c r="AD111" s="16">
        <v>3.3141666666666665</v>
      </c>
      <c r="AE111" s="3">
        <v>1119</v>
      </c>
      <c r="AF111" s="3">
        <v>-11.04</v>
      </c>
      <c r="AG111" s="3">
        <v>2359</v>
      </c>
      <c r="AH111" s="3">
        <v>51.12</v>
      </c>
      <c r="AI111" s="3">
        <v>1732</v>
      </c>
      <c r="AJ111" s="3">
        <v>-12.17</v>
      </c>
      <c r="AK111" s="3">
        <v>-14.53</v>
      </c>
      <c r="AL111" s="3">
        <v>-3.3000000000000002E-2</v>
      </c>
      <c r="AM111" s="3">
        <v>-0.247</v>
      </c>
      <c r="AN111" s="3">
        <v>-13.98</v>
      </c>
      <c r="AO111" s="3">
        <v>1.2999999999999999E-2</v>
      </c>
      <c r="AP111" s="3">
        <v>0.376</v>
      </c>
      <c r="AQ111" s="3">
        <v>0.71299999999999997</v>
      </c>
      <c r="AR111" s="3">
        <v>6.7000000000000004E-2</v>
      </c>
      <c r="AS111" s="3">
        <v>0.17100000000000001</v>
      </c>
      <c r="AT111" s="3">
        <v>0.16400000000000001</v>
      </c>
      <c r="AU111" s="3">
        <v>5.2999999999999999E-2</v>
      </c>
      <c r="AV111" s="3">
        <v>0.112</v>
      </c>
      <c r="AW111" s="3">
        <v>0.24</v>
      </c>
      <c r="AX111" s="3">
        <v>0.108</v>
      </c>
      <c r="AY111" s="3">
        <v>8.5000000000000006E-2</v>
      </c>
      <c r="AZ111" s="3">
        <v>-1.843</v>
      </c>
      <c r="BA111" s="3">
        <v>2259</v>
      </c>
      <c r="BB111" s="3">
        <v>12.09</v>
      </c>
      <c r="BC111" s="3">
        <v>2876</v>
      </c>
      <c r="BD111" s="3"/>
      <c r="BE111" s="3"/>
      <c r="BF111" s="3">
        <f t="shared" si="76"/>
        <v>1226</v>
      </c>
      <c r="BH111" s="16">
        <v>24.61</v>
      </c>
      <c r="BI111" s="16">
        <f t="shared" si="69"/>
        <v>49.712200000000003</v>
      </c>
      <c r="BJ111" s="17">
        <f t="shared" si="70"/>
        <v>12.44</v>
      </c>
      <c r="BK111" s="17">
        <f t="shared" si="71"/>
        <v>26.31</v>
      </c>
      <c r="BM111" s="1">
        <f t="shared" si="72"/>
        <v>96.4</v>
      </c>
      <c r="BN111" s="1">
        <f t="shared" si="73"/>
        <v>79.7</v>
      </c>
      <c r="BO111" s="1">
        <f t="shared" si="74"/>
        <v>48.2</v>
      </c>
      <c r="BP111" s="62">
        <f t="shared" si="77"/>
        <v>0.35</v>
      </c>
      <c r="BQ111" s="62">
        <f t="shared" si="75"/>
        <v>0.376</v>
      </c>
      <c r="BR111" s="2"/>
      <c r="BS111" s="3">
        <v>0.6</v>
      </c>
      <c r="BT111" s="8"/>
      <c r="BV111" s="8"/>
      <c r="BW111" s="16">
        <f t="shared" si="78"/>
        <v>12.44</v>
      </c>
      <c r="BX111" s="16">
        <f t="shared" si="79"/>
        <v>26.31</v>
      </c>
      <c r="BY111" s="3">
        <f t="shared" si="80"/>
        <v>-3.4</v>
      </c>
      <c r="BZ111" s="3">
        <f t="shared" si="81"/>
        <v>-3.7</v>
      </c>
      <c r="CA111" s="3">
        <f t="shared" si="82"/>
        <v>-4.9000000000000004</v>
      </c>
      <c r="CB111" s="3">
        <f t="shared" si="83"/>
        <v>0</v>
      </c>
      <c r="CC111" s="3">
        <f t="shared" si="84"/>
        <v>0</v>
      </c>
      <c r="CD111" s="3">
        <f t="shared" si="85"/>
        <v>0.4</v>
      </c>
      <c r="CE111" s="3">
        <f t="shared" si="86"/>
        <v>0.7</v>
      </c>
      <c r="CF111" s="23">
        <f t="shared" si="87"/>
        <v>79.7</v>
      </c>
      <c r="CG111" s="1">
        <f t="shared" si="88"/>
        <v>2.4</v>
      </c>
      <c r="CH111" s="1">
        <f t="shared" si="89"/>
        <v>5.3</v>
      </c>
      <c r="CI111" s="1">
        <f t="shared" si="90"/>
        <v>1.9</v>
      </c>
      <c r="CJ111" s="1">
        <f t="shared" si="91"/>
        <v>0</v>
      </c>
      <c r="CK111" s="1">
        <f t="shared" si="92"/>
        <v>0.1</v>
      </c>
      <c r="CL111" s="1">
        <f t="shared" si="93"/>
        <v>0.4</v>
      </c>
      <c r="CM111" s="1">
        <f t="shared" si="94"/>
        <v>0.8</v>
      </c>
      <c r="CN111" s="2">
        <f t="shared" si="95"/>
        <v>96.4</v>
      </c>
      <c r="CO111" s="1">
        <f t="shared" si="96"/>
        <v>-11</v>
      </c>
      <c r="CP111" s="1">
        <f t="shared" si="97"/>
        <v>-12.2</v>
      </c>
      <c r="CQ111" s="1">
        <f t="shared" si="98"/>
        <v>-14.5</v>
      </c>
      <c r="CR111" s="1">
        <f t="shared" si="99"/>
        <v>0</v>
      </c>
      <c r="CS111" s="1">
        <f t="shared" si="100"/>
        <v>0</v>
      </c>
      <c r="CT111" s="1">
        <f t="shared" si="101"/>
        <v>0.4</v>
      </c>
      <c r="CU111" s="1">
        <f t="shared" si="102"/>
        <v>0.7</v>
      </c>
      <c r="CV111" s="2">
        <f t="shared" si="103"/>
        <v>48.2</v>
      </c>
      <c r="CW111" s="18">
        <f t="shared" si="104"/>
        <v>1226</v>
      </c>
      <c r="CX111" s="1">
        <f>ROUND(PPTest!K111,1)</f>
        <v>0</v>
      </c>
      <c r="CY111" s="17">
        <f t="shared" si="105"/>
        <v>1.26</v>
      </c>
      <c r="CZ111" s="17">
        <f t="shared" si="106"/>
        <v>3.31</v>
      </c>
      <c r="DA111" s="20">
        <f t="shared" si="107"/>
        <v>0.35</v>
      </c>
      <c r="DB111" s="20">
        <f t="shared" si="108"/>
        <v>0.376</v>
      </c>
      <c r="DC111" s="16">
        <f t="shared" si="109"/>
        <v>12.09</v>
      </c>
      <c r="DF111" s="1">
        <v>-0.2</v>
      </c>
      <c r="DG111" s="1">
        <v>4</v>
      </c>
      <c r="DH111" s="1">
        <v>-2.8</v>
      </c>
      <c r="DI111" s="1">
        <v>78</v>
      </c>
      <c r="DJ111" s="1">
        <v>60</v>
      </c>
      <c r="DW111" s="1">
        <v>-5.6</v>
      </c>
      <c r="DX111" s="1">
        <v>2.2000000000000002</v>
      </c>
      <c r="DY111" s="1">
        <v>-14.5</v>
      </c>
    </row>
    <row r="112" spans="1:152" x14ac:dyDescent="0.2">
      <c r="A112" s="40">
        <v>34805</v>
      </c>
      <c r="B112" s="3">
        <v>106</v>
      </c>
      <c r="C112" s="3">
        <v>21.12</v>
      </c>
      <c r="D112" s="3">
        <v>39.44</v>
      </c>
      <c r="E112" s="3">
        <v>-3.6230000000000002</v>
      </c>
      <c r="F112" s="3">
        <v>68.62</v>
      </c>
      <c r="G112" s="3">
        <v>-4.0019999999999998</v>
      </c>
      <c r="H112" s="3">
        <v>-5.5350000000000001</v>
      </c>
      <c r="I112" s="3">
        <v>-2.8000000000000001E-2</v>
      </c>
      <c r="J112" s="3">
        <v>-0.219</v>
      </c>
      <c r="K112" s="3">
        <v>-3.1360000000000001</v>
      </c>
      <c r="L112" s="3">
        <v>1.2999999999999999E-2</v>
      </c>
      <c r="M112" s="3">
        <v>0.38100000000000001</v>
      </c>
      <c r="N112" s="3">
        <v>0.71299999999999997</v>
      </c>
      <c r="O112" s="3">
        <v>0</v>
      </c>
      <c r="P112" s="16">
        <v>1.4398333333333333</v>
      </c>
      <c r="Q112" s="3"/>
      <c r="R112" s="3">
        <v>5.4640000000000004</v>
      </c>
      <c r="S112" s="3">
        <v>1759</v>
      </c>
      <c r="T112" s="3">
        <v>99</v>
      </c>
      <c r="U112" s="3">
        <v>230</v>
      </c>
      <c r="V112" s="3">
        <v>7.82</v>
      </c>
      <c r="W112" s="3">
        <v>5.6689999999999996</v>
      </c>
      <c r="X112" s="3">
        <v>6.0000000000000001E-3</v>
      </c>
      <c r="Y112" s="3">
        <v>-0.14299999999999999</v>
      </c>
      <c r="Z112" s="3">
        <v>11.17</v>
      </c>
      <c r="AA112" s="3">
        <v>4.5999999999999999E-2</v>
      </c>
      <c r="AB112" s="3">
        <v>0.42</v>
      </c>
      <c r="AC112" s="3">
        <v>0.75</v>
      </c>
      <c r="AD112" s="16">
        <v>5.0875000000000004</v>
      </c>
      <c r="AE112" s="3">
        <v>1026</v>
      </c>
      <c r="AF112" s="3">
        <v>-14.68</v>
      </c>
      <c r="AG112" s="3">
        <v>532</v>
      </c>
      <c r="AH112" s="3">
        <v>27.59</v>
      </c>
      <c r="AI112" s="3">
        <v>1759</v>
      </c>
      <c r="AJ112" s="3">
        <v>-15.55</v>
      </c>
      <c r="AK112" s="3">
        <v>-16.940000000000001</v>
      </c>
      <c r="AL112" s="3">
        <v>-5.5E-2</v>
      </c>
      <c r="AM112" s="3">
        <v>-0.26200000000000001</v>
      </c>
      <c r="AN112" s="3">
        <v>-16.55</v>
      </c>
      <c r="AO112" s="3">
        <v>-0.02</v>
      </c>
      <c r="AP112" s="3">
        <v>0.34599999999999997</v>
      </c>
      <c r="AQ112" s="3">
        <v>0.68300000000000005</v>
      </c>
      <c r="AR112" s="3">
        <v>8.1000000000000003E-2</v>
      </c>
      <c r="AS112" s="3">
        <v>0.29899999999999999</v>
      </c>
      <c r="AT112" s="3">
        <v>0.36299999999999999</v>
      </c>
      <c r="AU112" s="3">
        <v>4.9000000000000002E-2</v>
      </c>
      <c r="AV112" s="3">
        <v>6.3E-2</v>
      </c>
      <c r="AW112" s="3">
        <v>6.6000000000000003E-2</v>
      </c>
      <c r="AX112" s="3">
        <v>2.4E-2</v>
      </c>
      <c r="AY112" s="3">
        <v>5.3999999999999999E-2</v>
      </c>
      <c r="AZ112" s="3">
        <v>-3.8149999999999999</v>
      </c>
      <c r="BA112" s="3">
        <v>2305</v>
      </c>
      <c r="BB112" s="3">
        <v>12.08</v>
      </c>
      <c r="BC112" s="3">
        <v>2876</v>
      </c>
      <c r="BD112" s="3"/>
      <c r="BE112" s="3"/>
      <c r="BF112" s="3">
        <f t="shared" si="76"/>
        <v>1180</v>
      </c>
      <c r="BH112" s="16">
        <v>24.86</v>
      </c>
      <c r="BI112" s="16">
        <f t="shared" si="69"/>
        <v>50.217199999999998</v>
      </c>
      <c r="BJ112" s="17">
        <f t="shared" si="70"/>
        <v>21.12</v>
      </c>
      <c r="BK112" s="17">
        <f t="shared" si="71"/>
        <v>42.6</v>
      </c>
      <c r="BM112" s="1">
        <f t="shared" si="72"/>
        <v>92.5</v>
      </c>
      <c r="BN112" s="1">
        <f t="shared" si="73"/>
        <v>64.400000000000006</v>
      </c>
      <c r="BO112" s="1">
        <f t="shared" si="74"/>
        <v>26.5</v>
      </c>
      <c r="BP112" s="62">
        <f t="shared" si="77"/>
        <v>0.23899999999999999</v>
      </c>
      <c r="BQ112" s="62">
        <f t="shared" si="75"/>
        <v>0.66300000000000003</v>
      </c>
      <c r="BR112" s="2"/>
      <c r="BS112" s="3">
        <v>0</v>
      </c>
      <c r="BT112" s="8"/>
      <c r="BV112" s="8"/>
      <c r="BW112" s="16">
        <f t="shared" si="78"/>
        <v>21.12</v>
      </c>
      <c r="BX112" s="16">
        <f t="shared" si="79"/>
        <v>42.6</v>
      </c>
      <c r="BY112" s="3">
        <f t="shared" si="80"/>
        <v>-3.6</v>
      </c>
      <c r="BZ112" s="3">
        <f t="shared" si="81"/>
        <v>-4</v>
      </c>
      <c r="CA112" s="3">
        <f t="shared" si="82"/>
        <v>-5.5</v>
      </c>
      <c r="CB112" s="3">
        <f t="shared" si="83"/>
        <v>0</v>
      </c>
      <c r="CC112" s="3">
        <f t="shared" si="84"/>
        <v>0</v>
      </c>
      <c r="CD112" s="3">
        <f t="shared" si="85"/>
        <v>0.4</v>
      </c>
      <c r="CE112" s="3">
        <f t="shared" si="86"/>
        <v>0.7</v>
      </c>
      <c r="CF112" s="23">
        <f t="shared" si="87"/>
        <v>64.400000000000006</v>
      </c>
      <c r="CG112" s="1">
        <f t="shared" si="88"/>
        <v>5.5</v>
      </c>
      <c r="CH112" s="1">
        <f t="shared" si="89"/>
        <v>7.8</v>
      </c>
      <c r="CI112" s="1">
        <f t="shared" si="90"/>
        <v>5.7</v>
      </c>
      <c r="CJ112" s="1">
        <f t="shared" si="91"/>
        <v>0</v>
      </c>
      <c r="CK112" s="1">
        <f t="shared" si="92"/>
        <v>0</v>
      </c>
      <c r="CL112" s="1">
        <f t="shared" si="93"/>
        <v>0.4</v>
      </c>
      <c r="CM112" s="1">
        <f t="shared" si="94"/>
        <v>0.8</v>
      </c>
      <c r="CN112" s="2">
        <f t="shared" si="95"/>
        <v>92.5</v>
      </c>
      <c r="CO112" s="1">
        <f t="shared" si="96"/>
        <v>-14.7</v>
      </c>
      <c r="CP112" s="1">
        <f t="shared" si="97"/>
        <v>-15.6</v>
      </c>
      <c r="CQ112" s="1">
        <f t="shared" si="98"/>
        <v>-16.899999999999999</v>
      </c>
      <c r="CR112" s="1">
        <f t="shared" si="99"/>
        <v>-0.1</v>
      </c>
      <c r="CS112" s="1">
        <f t="shared" si="100"/>
        <v>0</v>
      </c>
      <c r="CT112" s="1">
        <f t="shared" si="101"/>
        <v>0.3</v>
      </c>
      <c r="CU112" s="1">
        <f t="shared" si="102"/>
        <v>0.7</v>
      </c>
      <c r="CV112" s="2">
        <f t="shared" si="103"/>
        <v>26.5</v>
      </c>
      <c r="CW112" s="18">
        <f t="shared" si="104"/>
        <v>1180</v>
      </c>
      <c r="CX112" s="1">
        <f>ROUND(PPTest!K112,1)</f>
        <v>0</v>
      </c>
      <c r="CY112" s="17">
        <f t="shared" si="105"/>
        <v>1.44</v>
      </c>
      <c r="CZ112" s="17">
        <f t="shared" si="106"/>
        <v>5.09</v>
      </c>
      <c r="DA112" s="20">
        <f t="shared" si="107"/>
        <v>0.23899999999999999</v>
      </c>
      <c r="DB112" s="20">
        <f t="shared" si="108"/>
        <v>0.66300000000000003</v>
      </c>
      <c r="DC112" s="16">
        <f t="shared" si="109"/>
        <v>12.08</v>
      </c>
      <c r="DF112" s="1">
        <v>2</v>
      </c>
      <c r="DG112" s="1">
        <v>7.7</v>
      </c>
      <c r="DH112" s="1">
        <v>-3.3</v>
      </c>
      <c r="DI112" s="1">
        <v>60.5</v>
      </c>
      <c r="DJ112" s="1">
        <v>33</v>
      </c>
      <c r="DW112" s="1">
        <v>-2.5</v>
      </c>
      <c r="DX112" s="1">
        <v>6.2</v>
      </c>
      <c r="DY112" s="1">
        <v>-12.2</v>
      </c>
    </row>
    <row r="113" spans="1:129" x14ac:dyDescent="0.2">
      <c r="A113" s="40">
        <v>34806</v>
      </c>
      <c r="B113" s="3">
        <v>107</v>
      </c>
      <c r="C113" s="3">
        <v>9</v>
      </c>
      <c r="D113" s="3">
        <v>17.25</v>
      </c>
      <c r="E113" s="3">
        <v>-0.48099999999999998</v>
      </c>
      <c r="F113" s="3">
        <v>66.38</v>
      </c>
      <c r="G113" s="3">
        <v>-1.246</v>
      </c>
      <c r="H113" s="3">
        <v>-2.238</v>
      </c>
      <c r="I113" s="3">
        <v>-1.4E-2</v>
      </c>
      <c r="J113" s="3">
        <v>-0.223</v>
      </c>
      <c r="K113" s="3">
        <v>-1.3109999999999999</v>
      </c>
      <c r="L113" s="3">
        <v>2.3E-2</v>
      </c>
      <c r="M113" s="3">
        <v>0.39900000000000002</v>
      </c>
      <c r="N113" s="3">
        <v>0.72799999999999998</v>
      </c>
      <c r="O113" s="3">
        <v>0</v>
      </c>
      <c r="P113" s="16">
        <v>1.5441666666666667</v>
      </c>
      <c r="Q113" s="3"/>
      <c r="R113" s="3">
        <v>3.1040000000000001</v>
      </c>
      <c r="S113" s="3">
        <v>1458</v>
      </c>
      <c r="T113" s="3">
        <v>95.7</v>
      </c>
      <c r="U113" s="3">
        <v>2348</v>
      </c>
      <c r="V113" s="3">
        <v>4.2069999999999999</v>
      </c>
      <c r="W113" s="3">
        <v>2.887</v>
      </c>
      <c r="X113" s="3">
        <v>1.6E-2</v>
      </c>
      <c r="Y113" s="3">
        <v>-0.17199999999999999</v>
      </c>
      <c r="Z113" s="3">
        <v>6.8019999999999996</v>
      </c>
      <c r="AA113" s="3">
        <v>7.6999999999999999E-2</v>
      </c>
      <c r="AB113" s="3">
        <v>0.45700000000000002</v>
      </c>
      <c r="AC113" s="3">
        <v>0.78</v>
      </c>
      <c r="AD113" s="16">
        <v>4.1141666666666667</v>
      </c>
      <c r="AE113" s="3">
        <v>1553</v>
      </c>
      <c r="AF113" s="3">
        <v>-5.375</v>
      </c>
      <c r="AG113" s="3">
        <v>2345</v>
      </c>
      <c r="AH113" s="3">
        <v>43.8</v>
      </c>
      <c r="AI113" s="3">
        <v>932</v>
      </c>
      <c r="AJ113" s="3">
        <v>-6.2789999999999999</v>
      </c>
      <c r="AK113" s="3">
        <v>-9.32</v>
      </c>
      <c r="AL113" s="3">
        <v>-5.0999999999999997E-2</v>
      </c>
      <c r="AM113" s="3">
        <v>-0.26700000000000002</v>
      </c>
      <c r="AN113" s="3">
        <v>-8.11</v>
      </c>
      <c r="AO113" s="3">
        <v>-8.9999999999999993E-3</v>
      </c>
      <c r="AP113" s="3">
        <v>0.36499999999999999</v>
      </c>
      <c r="AQ113" s="3">
        <v>0.69399999999999995</v>
      </c>
      <c r="AR113" s="3">
        <v>3.4000000000000002E-2</v>
      </c>
      <c r="AS113" s="3">
        <v>0.32200000000000001</v>
      </c>
      <c r="AT113" s="3">
        <v>0.21</v>
      </c>
      <c r="AU113" s="3">
        <v>5.8000000000000003E-2</v>
      </c>
      <c r="AV113" s="3">
        <v>5.5E-2</v>
      </c>
      <c r="AW113" s="3">
        <v>0.17399999999999999</v>
      </c>
      <c r="AX113" s="3">
        <v>0.128</v>
      </c>
      <c r="AY113" s="3">
        <v>1.7999999999999999E-2</v>
      </c>
      <c r="AZ113" s="3">
        <v>-2.7959999999999998</v>
      </c>
      <c r="BA113" s="3">
        <v>2315</v>
      </c>
      <c r="BB113" s="3">
        <v>12.08</v>
      </c>
      <c r="BC113" s="3">
        <v>2876</v>
      </c>
      <c r="BD113" s="3"/>
      <c r="BE113" s="3"/>
      <c r="BF113" s="3">
        <f t="shared" si="76"/>
        <v>1170</v>
      </c>
      <c r="BH113" s="16">
        <v>25.1</v>
      </c>
      <c r="BI113" s="16">
        <f t="shared" si="69"/>
        <v>50.702000000000005</v>
      </c>
      <c r="BJ113" s="17">
        <f t="shared" si="70"/>
        <v>9</v>
      </c>
      <c r="BK113" s="17">
        <f t="shared" si="71"/>
        <v>18.63</v>
      </c>
      <c r="BM113" s="1">
        <f t="shared" si="72"/>
        <v>89.4</v>
      </c>
      <c r="BN113" s="1">
        <f t="shared" si="73"/>
        <v>62.3</v>
      </c>
      <c r="BO113" s="1">
        <f t="shared" si="74"/>
        <v>41.5</v>
      </c>
      <c r="BP113" s="62">
        <f t="shared" si="77"/>
        <v>0.317</v>
      </c>
      <c r="BQ113" s="62">
        <f t="shared" si="75"/>
        <v>0.44700000000000001</v>
      </c>
      <c r="BR113" s="2"/>
      <c r="BS113" s="3">
        <v>0</v>
      </c>
      <c r="BT113" s="8"/>
      <c r="BV113" s="8"/>
      <c r="BW113" s="16">
        <f t="shared" si="78"/>
        <v>9</v>
      </c>
      <c r="BX113" s="16">
        <f t="shared" si="79"/>
        <v>18.63</v>
      </c>
      <c r="BY113" s="3">
        <f t="shared" si="80"/>
        <v>-0.5</v>
      </c>
      <c r="BZ113" s="3">
        <f t="shared" si="81"/>
        <v>-1.2</v>
      </c>
      <c r="CA113" s="3">
        <f t="shared" si="82"/>
        <v>-2.2000000000000002</v>
      </c>
      <c r="CB113" s="3">
        <f t="shared" si="83"/>
        <v>0</v>
      </c>
      <c r="CC113" s="3">
        <f t="shared" si="84"/>
        <v>0</v>
      </c>
      <c r="CD113" s="3">
        <f t="shared" si="85"/>
        <v>0.4</v>
      </c>
      <c r="CE113" s="3">
        <f t="shared" si="86"/>
        <v>0.7</v>
      </c>
      <c r="CF113" s="23">
        <f t="shared" si="87"/>
        <v>62.3</v>
      </c>
      <c r="CG113" s="1">
        <f t="shared" si="88"/>
        <v>3.1</v>
      </c>
      <c r="CH113" s="1">
        <f t="shared" si="89"/>
        <v>4.2</v>
      </c>
      <c r="CI113" s="1">
        <f t="shared" si="90"/>
        <v>2.9</v>
      </c>
      <c r="CJ113" s="1">
        <f t="shared" si="91"/>
        <v>0</v>
      </c>
      <c r="CK113" s="1">
        <f t="shared" si="92"/>
        <v>0.1</v>
      </c>
      <c r="CL113" s="1">
        <f t="shared" si="93"/>
        <v>0.5</v>
      </c>
      <c r="CM113" s="1">
        <f t="shared" si="94"/>
        <v>0.8</v>
      </c>
      <c r="CN113" s="2">
        <f t="shared" si="95"/>
        <v>89.4</v>
      </c>
      <c r="CO113" s="1">
        <f t="shared" si="96"/>
        <v>-5.4</v>
      </c>
      <c r="CP113" s="1">
        <f t="shared" si="97"/>
        <v>-6.3</v>
      </c>
      <c r="CQ113" s="1">
        <f t="shared" si="98"/>
        <v>-9.3000000000000007</v>
      </c>
      <c r="CR113" s="1">
        <f t="shared" si="99"/>
        <v>-0.1</v>
      </c>
      <c r="CS113" s="1">
        <f t="shared" si="100"/>
        <v>0</v>
      </c>
      <c r="CT113" s="1">
        <f t="shared" si="101"/>
        <v>0.4</v>
      </c>
      <c r="CU113" s="1">
        <f t="shared" si="102"/>
        <v>0.7</v>
      </c>
      <c r="CV113" s="2">
        <f t="shared" si="103"/>
        <v>41.5</v>
      </c>
      <c r="CW113" s="18">
        <f t="shared" si="104"/>
        <v>1170</v>
      </c>
      <c r="CX113" s="1">
        <f>ROUND(PPTest!K113,1)</f>
        <v>0</v>
      </c>
      <c r="CY113" s="17">
        <f t="shared" si="105"/>
        <v>1.54</v>
      </c>
      <c r="CZ113" s="17">
        <f t="shared" si="106"/>
        <v>4.1100000000000003</v>
      </c>
      <c r="DA113" s="20">
        <f t="shared" si="107"/>
        <v>0.317</v>
      </c>
      <c r="DB113" s="20">
        <f t="shared" si="108"/>
        <v>0.44700000000000001</v>
      </c>
      <c r="DC113" s="16">
        <f t="shared" si="109"/>
        <v>12.08</v>
      </c>
      <c r="DF113" s="1">
        <v>3.6</v>
      </c>
      <c r="DG113" s="1">
        <v>7.5</v>
      </c>
      <c r="DH113" s="1">
        <v>0</v>
      </c>
      <c r="DI113" s="1">
        <v>50.3</v>
      </c>
      <c r="DJ113" s="1">
        <v>42</v>
      </c>
      <c r="DW113" s="1">
        <v>-1.3</v>
      </c>
      <c r="DX113" s="1">
        <v>3.4</v>
      </c>
      <c r="DY113" s="1">
        <v>-7</v>
      </c>
    </row>
    <row r="114" spans="1:129" x14ac:dyDescent="0.2">
      <c r="A114" s="40">
        <v>34807</v>
      </c>
      <c r="B114" s="3">
        <v>108</v>
      </c>
      <c r="C114" s="3">
        <v>11.34</v>
      </c>
      <c r="D114" s="3">
        <v>21.88</v>
      </c>
      <c r="E114" s="3">
        <v>-0.64200000000000002</v>
      </c>
      <c r="F114" s="3">
        <v>87.1</v>
      </c>
      <c r="G114" s="3">
        <v>-0.92300000000000004</v>
      </c>
      <c r="H114" s="3">
        <v>-1.4450000000000001</v>
      </c>
      <c r="I114" s="3">
        <v>2E-3</v>
      </c>
      <c r="J114" s="3">
        <v>-0.22</v>
      </c>
      <c r="K114" s="3">
        <v>-0.32500000000000001</v>
      </c>
      <c r="L114" s="3">
        <v>3.5000000000000003E-2</v>
      </c>
      <c r="M114" s="3">
        <v>0.41699999999999998</v>
      </c>
      <c r="N114" s="3">
        <v>0.745</v>
      </c>
      <c r="O114" s="3">
        <v>0</v>
      </c>
      <c r="P114" s="16">
        <v>1.2086666666666668</v>
      </c>
      <c r="Q114" s="3"/>
      <c r="R114" s="3">
        <v>4.9989999999999997</v>
      </c>
      <c r="S114" s="3">
        <v>1312</v>
      </c>
      <c r="T114" s="3">
        <v>102.8</v>
      </c>
      <c r="U114" s="3">
        <v>2356</v>
      </c>
      <c r="V114" s="3">
        <v>8.4600000000000009</v>
      </c>
      <c r="W114" s="3">
        <v>4.8380000000000001</v>
      </c>
      <c r="X114" s="3">
        <v>3.7999999999999999E-2</v>
      </c>
      <c r="Y114" s="3">
        <v>-0.13200000000000001</v>
      </c>
      <c r="Z114" s="3">
        <v>10.31</v>
      </c>
      <c r="AA114" s="3">
        <v>7.0999999999999994E-2</v>
      </c>
      <c r="AB114" s="3">
        <v>0.45500000000000002</v>
      </c>
      <c r="AC114" s="3">
        <v>0.78500000000000003</v>
      </c>
      <c r="AD114" s="16">
        <v>2.8341666666666669</v>
      </c>
      <c r="AE114" s="3">
        <v>1615</v>
      </c>
      <c r="AF114" s="3">
        <v>-4.9349999999999996</v>
      </c>
      <c r="AG114" s="3">
        <v>9</v>
      </c>
      <c r="AH114" s="3">
        <v>64.88</v>
      </c>
      <c r="AI114" s="3">
        <v>1310</v>
      </c>
      <c r="AJ114" s="3">
        <v>-5.7220000000000004</v>
      </c>
      <c r="AK114" s="3">
        <v>-6.33</v>
      </c>
      <c r="AL114" s="3">
        <v>-2.7E-2</v>
      </c>
      <c r="AM114" s="3">
        <v>-0.27</v>
      </c>
      <c r="AN114" s="3">
        <v>-6.891</v>
      </c>
      <c r="AO114" s="3">
        <v>0.01</v>
      </c>
      <c r="AP114" s="3">
        <v>0.38900000000000001</v>
      </c>
      <c r="AQ114" s="3">
        <v>0.71299999999999997</v>
      </c>
      <c r="AR114" s="3">
        <v>9.1999999999999998E-2</v>
      </c>
      <c r="AS114" s="3">
        <v>0.443</v>
      </c>
      <c r="AT114" s="3">
        <v>0.29799999999999999</v>
      </c>
      <c r="AU114" s="3">
        <v>0.02</v>
      </c>
      <c r="AV114" s="3">
        <v>0.02</v>
      </c>
      <c r="AW114" s="3">
        <v>3.1E-2</v>
      </c>
      <c r="AX114" s="3">
        <v>2.8000000000000001E-2</v>
      </c>
      <c r="AY114" s="3">
        <v>6.8000000000000005E-2</v>
      </c>
      <c r="AZ114" s="3">
        <v>-1.9870000000000001</v>
      </c>
      <c r="BA114" s="3">
        <v>2335</v>
      </c>
      <c r="BB114" s="3">
        <v>12.08</v>
      </c>
      <c r="BC114" s="3">
        <v>2876</v>
      </c>
      <c r="BD114" s="3"/>
      <c r="BE114" s="3"/>
      <c r="BF114" s="3">
        <f t="shared" si="76"/>
        <v>1150</v>
      </c>
      <c r="BH114" s="16">
        <v>25.34</v>
      </c>
      <c r="BI114" s="16">
        <f t="shared" si="69"/>
        <v>51.186799999999998</v>
      </c>
      <c r="BJ114" s="17">
        <f t="shared" si="70"/>
        <v>11.34</v>
      </c>
      <c r="BK114" s="17">
        <f t="shared" si="71"/>
        <v>23.63</v>
      </c>
      <c r="BM114" s="1">
        <f t="shared" si="72"/>
        <v>96</v>
      </c>
      <c r="BN114" s="1">
        <f t="shared" si="73"/>
        <v>81.5</v>
      </c>
      <c r="BO114" s="1">
        <f t="shared" si="74"/>
        <v>60.9</v>
      </c>
      <c r="BP114" s="62">
        <f t="shared" si="77"/>
        <v>0.53100000000000003</v>
      </c>
      <c r="BQ114" s="62">
        <f t="shared" si="75"/>
        <v>0.34100000000000003</v>
      </c>
      <c r="BR114" s="2"/>
      <c r="BS114" s="3">
        <v>0</v>
      </c>
      <c r="BT114" s="8"/>
      <c r="BV114" s="8"/>
      <c r="BW114" s="16">
        <f t="shared" si="78"/>
        <v>11.34</v>
      </c>
      <c r="BX114" s="16">
        <f t="shared" si="79"/>
        <v>23.63</v>
      </c>
      <c r="BY114" s="3">
        <f t="shared" si="80"/>
        <v>-0.6</v>
      </c>
      <c r="BZ114" s="3">
        <f t="shared" si="81"/>
        <v>-0.9</v>
      </c>
      <c r="CA114" s="3">
        <f t="shared" si="82"/>
        <v>-1.4</v>
      </c>
      <c r="CB114" s="3">
        <f t="shared" si="83"/>
        <v>0</v>
      </c>
      <c r="CC114" s="3">
        <f t="shared" si="84"/>
        <v>0</v>
      </c>
      <c r="CD114" s="3">
        <f t="shared" si="85"/>
        <v>0.4</v>
      </c>
      <c r="CE114" s="3">
        <f t="shared" si="86"/>
        <v>0.7</v>
      </c>
      <c r="CF114" s="23">
        <f t="shared" si="87"/>
        <v>81.5</v>
      </c>
      <c r="CG114" s="1">
        <f t="shared" si="88"/>
        <v>5</v>
      </c>
      <c r="CH114" s="1">
        <f t="shared" si="89"/>
        <v>8.5</v>
      </c>
      <c r="CI114" s="1">
        <f t="shared" si="90"/>
        <v>4.8</v>
      </c>
      <c r="CJ114" s="1">
        <f t="shared" si="91"/>
        <v>0</v>
      </c>
      <c r="CK114" s="1">
        <f t="shared" si="92"/>
        <v>0.1</v>
      </c>
      <c r="CL114" s="1">
        <f t="shared" si="93"/>
        <v>0.5</v>
      </c>
      <c r="CM114" s="1">
        <f t="shared" si="94"/>
        <v>0.8</v>
      </c>
      <c r="CN114" s="2">
        <f t="shared" si="95"/>
        <v>96</v>
      </c>
      <c r="CO114" s="1">
        <f t="shared" si="96"/>
        <v>-4.9000000000000004</v>
      </c>
      <c r="CP114" s="1">
        <f t="shared" si="97"/>
        <v>-5.7</v>
      </c>
      <c r="CQ114" s="1">
        <f t="shared" si="98"/>
        <v>-6.3</v>
      </c>
      <c r="CR114" s="1">
        <f t="shared" si="99"/>
        <v>0</v>
      </c>
      <c r="CS114" s="1">
        <f t="shared" si="100"/>
        <v>0</v>
      </c>
      <c r="CT114" s="1">
        <f t="shared" si="101"/>
        <v>0.4</v>
      </c>
      <c r="CU114" s="1">
        <f t="shared" si="102"/>
        <v>0.7</v>
      </c>
      <c r="CV114" s="2">
        <f t="shared" si="103"/>
        <v>60.9</v>
      </c>
      <c r="CW114" s="18">
        <f t="shared" si="104"/>
        <v>1150</v>
      </c>
      <c r="CX114" s="1">
        <f>ROUND(PPTest!K114,1)</f>
        <v>0</v>
      </c>
      <c r="CY114" s="17">
        <f t="shared" si="105"/>
        <v>1.21</v>
      </c>
      <c r="CZ114" s="17">
        <f t="shared" si="106"/>
        <v>2.83</v>
      </c>
      <c r="DA114" s="20">
        <f t="shared" si="107"/>
        <v>0.53100000000000003</v>
      </c>
      <c r="DB114" s="20">
        <f t="shared" si="108"/>
        <v>0.34100000000000003</v>
      </c>
      <c r="DC114" s="16">
        <f t="shared" si="109"/>
        <v>12.08</v>
      </c>
      <c r="DF114" s="1">
        <v>3.4</v>
      </c>
      <c r="DG114" s="1">
        <v>6.9</v>
      </c>
      <c r="DH114" s="1">
        <v>1.1000000000000001</v>
      </c>
      <c r="DI114" s="1">
        <v>71.8</v>
      </c>
      <c r="DJ114" s="1">
        <v>60</v>
      </c>
      <c r="DW114" s="1">
        <v>-1.1000000000000001</v>
      </c>
      <c r="DX114" s="1">
        <v>3</v>
      </c>
      <c r="DY114" s="1">
        <v>-5.7</v>
      </c>
    </row>
    <row r="115" spans="1:129" x14ac:dyDescent="0.2">
      <c r="A115" s="40">
        <v>34808</v>
      </c>
      <c r="B115" s="3">
        <v>109</v>
      </c>
      <c r="C115" s="3">
        <v>8.17</v>
      </c>
      <c r="D115" s="3">
        <v>16.41</v>
      </c>
      <c r="E115" s="3">
        <v>-1.7969999999999999</v>
      </c>
      <c r="F115" s="3">
        <v>103.8</v>
      </c>
      <c r="G115" s="3">
        <v>-2.093</v>
      </c>
      <c r="H115" s="3">
        <v>-2.7320000000000002</v>
      </c>
      <c r="I115" s="3">
        <v>2.1999999999999999E-2</v>
      </c>
      <c r="J115" s="3">
        <v>-0.19500000000000001</v>
      </c>
      <c r="K115" s="3">
        <v>-1.7529999999999999</v>
      </c>
      <c r="L115" s="3">
        <v>5.5E-2</v>
      </c>
      <c r="M115" s="3">
        <v>0.442</v>
      </c>
      <c r="N115" s="3">
        <v>0.77</v>
      </c>
      <c r="O115" s="3">
        <v>0</v>
      </c>
      <c r="P115" s="16">
        <v>1.3343333333333334</v>
      </c>
      <c r="Q115" s="3"/>
      <c r="R115" s="3">
        <v>0.52100000000000002</v>
      </c>
      <c r="S115" s="3">
        <v>1826</v>
      </c>
      <c r="T115" s="3">
        <v>106.3</v>
      </c>
      <c r="U115" s="3">
        <v>1919</v>
      </c>
      <c r="V115" s="3">
        <v>2.2709999999999999</v>
      </c>
      <c r="W115" s="3">
        <v>0.96499999999999997</v>
      </c>
      <c r="X115" s="3">
        <v>5.8999999999999997E-2</v>
      </c>
      <c r="Y115" s="3">
        <v>-0.14799999999999999</v>
      </c>
      <c r="Z115" s="3">
        <v>3.077</v>
      </c>
      <c r="AA115" s="3">
        <v>8.3000000000000004E-2</v>
      </c>
      <c r="AB115" s="3">
        <v>0.47299999999999998</v>
      </c>
      <c r="AC115" s="3">
        <v>0.79800000000000004</v>
      </c>
      <c r="AD115" s="16">
        <v>4.3008333333333333</v>
      </c>
      <c r="AE115" s="3">
        <v>1259</v>
      </c>
      <c r="AF115" s="3">
        <v>-6.1159999999999997</v>
      </c>
      <c r="AG115" s="3">
        <v>2326</v>
      </c>
      <c r="AH115" s="3">
        <v>97.2</v>
      </c>
      <c r="AI115" s="3">
        <v>643</v>
      </c>
      <c r="AJ115" s="3">
        <v>-7.02</v>
      </c>
      <c r="AK115" s="3">
        <v>-10.73</v>
      </c>
      <c r="AL115" s="3">
        <v>-3.0000000000000001E-3</v>
      </c>
      <c r="AM115" s="3">
        <v>-0.23699999999999999</v>
      </c>
      <c r="AN115" s="3">
        <v>-8.32</v>
      </c>
      <c r="AO115" s="3">
        <v>3.1E-2</v>
      </c>
      <c r="AP115" s="3">
        <v>0.41299999999999998</v>
      </c>
      <c r="AQ115" s="3">
        <v>0.74299999999999999</v>
      </c>
      <c r="AR115" s="3">
        <v>3.1E-2</v>
      </c>
      <c r="AS115" s="3">
        <v>0.28399999999999997</v>
      </c>
      <c r="AT115" s="3">
        <v>0.21099999999999999</v>
      </c>
      <c r="AU115" s="3">
        <v>1.9E-2</v>
      </c>
      <c r="AV115" s="3">
        <v>5.0999999999999997E-2</v>
      </c>
      <c r="AW115" s="3">
        <v>0.28599999999999998</v>
      </c>
      <c r="AX115" s="3">
        <v>9.1999999999999998E-2</v>
      </c>
      <c r="AY115" s="3">
        <v>2.5999999999999999E-2</v>
      </c>
      <c r="AZ115" s="3">
        <v>-0.73299999999999998</v>
      </c>
      <c r="BA115" s="3">
        <v>2270</v>
      </c>
      <c r="BB115" s="3">
        <v>12.08</v>
      </c>
      <c r="BC115" s="3">
        <v>2876</v>
      </c>
      <c r="BD115" s="3"/>
      <c r="BE115" s="3"/>
      <c r="BF115" s="3">
        <f t="shared" si="76"/>
        <v>1215</v>
      </c>
      <c r="BH115" s="16">
        <v>25.58</v>
      </c>
      <c r="BI115" s="16">
        <f t="shared" si="69"/>
        <v>51.671599999999998</v>
      </c>
      <c r="BJ115" s="17">
        <f t="shared" si="70"/>
        <v>8.17</v>
      </c>
      <c r="BK115" s="17">
        <f t="shared" si="71"/>
        <v>17.72</v>
      </c>
      <c r="BM115" s="1">
        <f t="shared" si="72"/>
        <v>99.2</v>
      </c>
      <c r="BN115" s="1">
        <f t="shared" si="73"/>
        <v>96.9</v>
      </c>
      <c r="BO115" s="1">
        <f t="shared" si="74"/>
        <v>90.8</v>
      </c>
      <c r="BP115" s="62">
        <f t="shared" si="77"/>
        <v>0.57599999999999996</v>
      </c>
      <c r="BQ115" s="62">
        <f t="shared" si="75"/>
        <v>5.8000000000000003E-2</v>
      </c>
      <c r="BR115" s="2"/>
      <c r="BS115" s="3">
        <v>5.6</v>
      </c>
      <c r="BT115" s="8"/>
      <c r="BV115" s="8"/>
      <c r="BW115" s="16">
        <f t="shared" si="78"/>
        <v>8.17</v>
      </c>
      <c r="BX115" s="16">
        <f t="shared" si="79"/>
        <v>17.72</v>
      </c>
      <c r="BY115" s="3">
        <f t="shared" si="80"/>
        <v>-1.8</v>
      </c>
      <c r="BZ115" s="3">
        <f t="shared" si="81"/>
        <v>-2.1</v>
      </c>
      <c r="CA115" s="3">
        <f t="shared" si="82"/>
        <v>-2.7</v>
      </c>
      <c r="CB115" s="3">
        <f t="shared" si="83"/>
        <v>0</v>
      </c>
      <c r="CC115" s="3">
        <f t="shared" si="84"/>
        <v>0.1</v>
      </c>
      <c r="CD115" s="3">
        <f t="shared" si="85"/>
        <v>0.4</v>
      </c>
      <c r="CE115" s="3">
        <f t="shared" si="86"/>
        <v>0.8</v>
      </c>
      <c r="CF115" s="23">
        <f t="shared" si="87"/>
        <v>96.9</v>
      </c>
      <c r="CG115" s="1">
        <f t="shared" si="88"/>
        <v>0.5</v>
      </c>
      <c r="CH115" s="1">
        <f t="shared" si="89"/>
        <v>2.2999999999999998</v>
      </c>
      <c r="CI115" s="1">
        <f t="shared" si="90"/>
        <v>1</v>
      </c>
      <c r="CJ115" s="1">
        <f t="shared" si="91"/>
        <v>0.1</v>
      </c>
      <c r="CK115" s="1">
        <f t="shared" si="92"/>
        <v>0.1</v>
      </c>
      <c r="CL115" s="1">
        <f t="shared" si="93"/>
        <v>0.5</v>
      </c>
      <c r="CM115" s="1">
        <f t="shared" si="94"/>
        <v>0.8</v>
      </c>
      <c r="CN115" s="2">
        <f t="shared" si="95"/>
        <v>99.2</v>
      </c>
      <c r="CO115" s="1">
        <f t="shared" si="96"/>
        <v>-6.1</v>
      </c>
      <c r="CP115" s="1">
        <f t="shared" si="97"/>
        <v>-7</v>
      </c>
      <c r="CQ115" s="1">
        <f t="shared" si="98"/>
        <v>-10.7</v>
      </c>
      <c r="CR115" s="1">
        <f t="shared" si="99"/>
        <v>0</v>
      </c>
      <c r="CS115" s="1">
        <f t="shared" si="100"/>
        <v>0</v>
      </c>
      <c r="CT115" s="1">
        <f t="shared" si="101"/>
        <v>0.4</v>
      </c>
      <c r="CU115" s="1">
        <f t="shared" si="102"/>
        <v>0.7</v>
      </c>
      <c r="CV115" s="2">
        <f t="shared" si="103"/>
        <v>90.8</v>
      </c>
      <c r="CW115" s="18">
        <f t="shared" si="104"/>
        <v>1215</v>
      </c>
      <c r="CX115" s="1">
        <f>ROUND(PPTest!K115,1)</f>
        <v>8.5</v>
      </c>
      <c r="CY115" s="17">
        <f t="shared" si="105"/>
        <v>1.33</v>
      </c>
      <c r="CZ115" s="17">
        <f t="shared" si="106"/>
        <v>4.3</v>
      </c>
      <c r="DA115" s="20">
        <f t="shared" si="107"/>
        <v>0.57599999999999996</v>
      </c>
      <c r="DB115" s="20">
        <f t="shared" si="108"/>
        <v>5.8000000000000003E-2</v>
      </c>
      <c r="DC115" s="16">
        <f t="shared" si="109"/>
        <v>12.08</v>
      </c>
      <c r="DF115" s="1">
        <v>0.9</v>
      </c>
      <c r="DG115" s="1">
        <v>3.5</v>
      </c>
      <c r="DH115" s="1">
        <v>-0.5</v>
      </c>
      <c r="DI115" s="1">
        <v>89.1</v>
      </c>
      <c r="DJ115" s="1">
        <v>85</v>
      </c>
      <c r="DW115" s="1">
        <v>-2.2000000000000002</v>
      </c>
      <c r="DX115" s="1">
        <v>3</v>
      </c>
      <c r="DY115" s="1">
        <v>-6.8</v>
      </c>
    </row>
    <row r="116" spans="1:129" x14ac:dyDescent="0.2">
      <c r="A116" s="40">
        <v>34809</v>
      </c>
      <c r="B116" s="3">
        <v>110</v>
      </c>
      <c r="C116" s="3">
        <v>15.09</v>
      </c>
      <c r="D116" s="3">
        <v>28.41</v>
      </c>
      <c r="E116" s="3">
        <v>-1.766</v>
      </c>
      <c r="F116" s="3">
        <v>88.2</v>
      </c>
      <c r="G116" s="3">
        <v>-1.7689999999999999</v>
      </c>
      <c r="H116" s="3">
        <v>-3.0219999999999998</v>
      </c>
      <c r="I116" s="3">
        <v>1.2E-2</v>
      </c>
      <c r="J116" s="3">
        <v>-0.188</v>
      </c>
      <c r="K116" s="3">
        <v>-1.4379999999999999</v>
      </c>
      <c r="L116" s="3">
        <v>4.9000000000000002E-2</v>
      </c>
      <c r="M116" s="3">
        <v>0.436</v>
      </c>
      <c r="N116" s="3">
        <v>0.76400000000000001</v>
      </c>
      <c r="O116" s="3">
        <v>0</v>
      </c>
      <c r="P116" s="16">
        <v>1.3193333333333332</v>
      </c>
      <c r="Q116" s="3"/>
      <c r="R116" s="3">
        <v>5.59</v>
      </c>
      <c r="S116" s="3">
        <v>1648</v>
      </c>
      <c r="T116" s="3">
        <v>103.4</v>
      </c>
      <c r="U116" s="3">
        <v>109</v>
      </c>
      <c r="V116" s="3">
        <v>7.87</v>
      </c>
      <c r="W116" s="3">
        <v>5.6980000000000004</v>
      </c>
      <c r="X116" s="3">
        <v>3.9E-2</v>
      </c>
      <c r="Y116" s="3">
        <v>-0.108</v>
      </c>
      <c r="Z116" s="3">
        <v>10.59</v>
      </c>
      <c r="AA116" s="3">
        <v>7.5999999999999998E-2</v>
      </c>
      <c r="AB116" s="3">
        <v>0.46600000000000003</v>
      </c>
      <c r="AC116" s="3">
        <v>0.79700000000000004</v>
      </c>
      <c r="AD116" s="16">
        <v>3.7275</v>
      </c>
      <c r="AE116" s="3">
        <v>1209</v>
      </c>
      <c r="AF116" s="3">
        <v>-7.64</v>
      </c>
      <c r="AG116" s="3">
        <v>619</v>
      </c>
      <c r="AH116" s="3">
        <v>44.13</v>
      </c>
      <c r="AI116" s="3">
        <v>1638</v>
      </c>
      <c r="AJ116" s="3">
        <v>-8.8699999999999992</v>
      </c>
      <c r="AK116" s="3">
        <v>-13.05</v>
      </c>
      <c r="AL116" s="3">
        <v>-2.3E-2</v>
      </c>
      <c r="AM116" s="3">
        <v>-0.23599999999999999</v>
      </c>
      <c r="AN116" s="3">
        <v>-10.9</v>
      </c>
      <c r="AO116" s="3">
        <v>1.9E-2</v>
      </c>
      <c r="AP116" s="3">
        <v>0.40300000000000002</v>
      </c>
      <c r="AQ116" s="3">
        <v>0.73399999999999999</v>
      </c>
      <c r="AR116" s="3">
        <v>3.1E-2</v>
      </c>
      <c r="AS116" s="3">
        <v>0.248</v>
      </c>
      <c r="AT116" s="3">
        <v>0.33400000000000002</v>
      </c>
      <c r="AU116" s="3">
        <v>2.4E-2</v>
      </c>
      <c r="AV116" s="3">
        <v>6.4000000000000001E-2</v>
      </c>
      <c r="AW116" s="3">
        <v>0.14199999999999999</v>
      </c>
      <c r="AX116" s="3">
        <v>0.10299999999999999</v>
      </c>
      <c r="AY116" s="3">
        <v>5.2999999999999999E-2</v>
      </c>
      <c r="AZ116" s="3">
        <v>-1.0760000000000001</v>
      </c>
      <c r="BA116" s="3">
        <v>2313</v>
      </c>
      <c r="BB116" s="3">
        <v>12.08</v>
      </c>
      <c r="BC116" s="3">
        <v>2876</v>
      </c>
      <c r="BD116" s="3"/>
      <c r="BE116" s="3"/>
      <c r="BF116" s="3">
        <f t="shared" si="76"/>
        <v>1172</v>
      </c>
      <c r="BH116" s="16">
        <v>25.81</v>
      </c>
      <c r="BI116" s="16">
        <f t="shared" si="69"/>
        <v>52.136199999999995</v>
      </c>
      <c r="BJ116" s="17">
        <f t="shared" si="70"/>
        <v>15.09</v>
      </c>
      <c r="BK116" s="17">
        <f t="shared" si="71"/>
        <v>30.68</v>
      </c>
      <c r="BM116" s="1">
        <f t="shared" si="72"/>
        <v>96.5</v>
      </c>
      <c r="BN116" s="1">
        <f t="shared" si="73"/>
        <v>82.5</v>
      </c>
      <c r="BO116" s="1">
        <f t="shared" si="74"/>
        <v>41.8</v>
      </c>
      <c r="BP116" s="62">
        <f t="shared" si="77"/>
        <v>0.38</v>
      </c>
      <c r="BQ116" s="62">
        <f t="shared" si="75"/>
        <v>0.52900000000000003</v>
      </c>
      <c r="BR116" s="2"/>
      <c r="BS116" s="3">
        <v>0.3</v>
      </c>
      <c r="BT116" s="8"/>
      <c r="BV116" s="8"/>
      <c r="BW116" s="16">
        <f t="shared" si="78"/>
        <v>15.09</v>
      </c>
      <c r="BX116" s="16">
        <f t="shared" si="79"/>
        <v>30.68</v>
      </c>
      <c r="BY116" s="3">
        <f t="shared" si="80"/>
        <v>-1.8</v>
      </c>
      <c r="BZ116" s="3">
        <f t="shared" si="81"/>
        <v>-1.8</v>
      </c>
      <c r="CA116" s="3">
        <f t="shared" si="82"/>
        <v>-3</v>
      </c>
      <c r="CB116" s="3">
        <f t="shared" si="83"/>
        <v>0</v>
      </c>
      <c r="CC116" s="3">
        <f t="shared" si="84"/>
        <v>0</v>
      </c>
      <c r="CD116" s="3">
        <f t="shared" si="85"/>
        <v>0.4</v>
      </c>
      <c r="CE116" s="3">
        <f t="shared" si="86"/>
        <v>0.8</v>
      </c>
      <c r="CF116" s="23">
        <f t="shared" si="87"/>
        <v>82.5</v>
      </c>
      <c r="CG116" s="1">
        <f t="shared" si="88"/>
        <v>5.6</v>
      </c>
      <c r="CH116" s="1">
        <f t="shared" si="89"/>
        <v>7.9</v>
      </c>
      <c r="CI116" s="1">
        <f t="shared" si="90"/>
        <v>5.7</v>
      </c>
      <c r="CJ116" s="1">
        <f t="shared" si="91"/>
        <v>0</v>
      </c>
      <c r="CK116" s="1">
        <f t="shared" si="92"/>
        <v>0.1</v>
      </c>
      <c r="CL116" s="1">
        <f t="shared" si="93"/>
        <v>0.5</v>
      </c>
      <c r="CM116" s="1">
        <f t="shared" si="94"/>
        <v>0.8</v>
      </c>
      <c r="CN116" s="2">
        <f t="shared" si="95"/>
        <v>96.5</v>
      </c>
      <c r="CO116" s="1">
        <f t="shared" si="96"/>
        <v>-7.6</v>
      </c>
      <c r="CP116" s="1">
        <f t="shared" si="97"/>
        <v>-8.9</v>
      </c>
      <c r="CQ116" s="1">
        <f t="shared" si="98"/>
        <v>-13.1</v>
      </c>
      <c r="CR116" s="1">
        <f t="shared" si="99"/>
        <v>0</v>
      </c>
      <c r="CS116" s="1">
        <f t="shared" si="100"/>
        <v>0</v>
      </c>
      <c r="CT116" s="1">
        <f t="shared" si="101"/>
        <v>0.4</v>
      </c>
      <c r="CU116" s="1">
        <f t="shared" si="102"/>
        <v>0.7</v>
      </c>
      <c r="CV116" s="2">
        <f t="shared" si="103"/>
        <v>41.8</v>
      </c>
      <c r="CW116" s="18">
        <f t="shared" si="104"/>
        <v>1172</v>
      </c>
      <c r="CX116" s="1">
        <f>ROUND(PPTest!K116,1)</f>
        <v>0</v>
      </c>
      <c r="CY116" s="17">
        <f t="shared" si="105"/>
        <v>1.32</v>
      </c>
      <c r="CZ116" s="17">
        <f t="shared" si="106"/>
        <v>3.73</v>
      </c>
      <c r="DA116" s="20">
        <f t="shared" si="107"/>
        <v>0.38</v>
      </c>
      <c r="DB116" s="20">
        <f t="shared" si="108"/>
        <v>0.52900000000000003</v>
      </c>
      <c r="DC116" s="16">
        <f t="shared" si="109"/>
        <v>12.08</v>
      </c>
      <c r="DF116" s="1">
        <v>3</v>
      </c>
      <c r="DG116" s="1">
        <v>7.4</v>
      </c>
      <c r="DH116" s="1">
        <v>-0.7</v>
      </c>
      <c r="DI116" s="1">
        <v>70.5</v>
      </c>
      <c r="DJ116" s="1">
        <v>49</v>
      </c>
      <c r="DW116" s="1">
        <v>-2.4</v>
      </c>
      <c r="DX116" s="1">
        <v>4.9000000000000004</v>
      </c>
      <c r="DY116" s="1">
        <v>-9.6999999999999993</v>
      </c>
    </row>
    <row r="117" spans="1:129" x14ac:dyDescent="0.2">
      <c r="A117" s="40">
        <v>34810</v>
      </c>
      <c r="B117" s="3">
        <v>111</v>
      </c>
      <c r="C117" s="3">
        <v>22.41</v>
      </c>
      <c r="D117" s="3">
        <v>42.1</v>
      </c>
      <c r="E117" s="3">
        <v>-0.47299999999999998</v>
      </c>
      <c r="F117" s="3">
        <v>71.900000000000006</v>
      </c>
      <c r="G117" s="3">
        <v>-0.76300000000000001</v>
      </c>
      <c r="H117" s="3">
        <v>-1.623</v>
      </c>
      <c r="I117" s="3">
        <v>2E-3</v>
      </c>
      <c r="J117" s="3">
        <v>-0.214</v>
      </c>
      <c r="K117" s="3">
        <v>0.21</v>
      </c>
      <c r="L117" s="3">
        <v>4.4999999999999998E-2</v>
      </c>
      <c r="M117" s="3">
        <v>0.43099999999999999</v>
      </c>
      <c r="N117" s="3">
        <v>0.76100000000000001</v>
      </c>
      <c r="O117" s="3">
        <v>0</v>
      </c>
      <c r="P117" s="16">
        <v>1.7758333333333334</v>
      </c>
      <c r="Q117" s="3"/>
      <c r="R117" s="3">
        <v>7.06</v>
      </c>
      <c r="S117" s="3">
        <v>1617</v>
      </c>
      <c r="T117" s="3">
        <v>101.2</v>
      </c>
      <c r="U117" s="3">
        <v>350</v>
      </c>
      <c r="V117" s="3">
        <v>9.33</v>
      </c>
      <c r="W117" s="3">
        <v>8.09</v>
      </c>
      <c r="X117" s="3">
        <v>4.7E-2</v>
      </c>
      <c r="Y117" s="3">
        <v>-8.5000000000000006E-2</v>
      </c>
      <c r="Z117" s="3">
        <v>12.52</v>
      </c>
      <c r="AA117" s="3">
        <v>8.8999999999999996E-2</v>
      </c>
      <c r="AB117" s="3">
        <v>0.47399999999999998</v>
      </c>
      <c r="AC117" s="3">
        <v>0.80400000000000005</v>
      </c>
      <c r="AD117" s="16">
        <v>4.5541666666666671</v>
      </c>
      <c r="AE117" s="3">
        <v>1022</v>
      </c>
      <c r="AF117" s="3">
        <v>-10.01</v>
      </c>
      <c r="AG117" s="3">
        <v>450</v>
      </c>
      <c r="AH117" s="3">
        <v>39.049999999999997</v>
      </c>
      <c r="AI117" s="3">
        <v>1308</v>
      </c>
      <c r="AJ117" s="3">
        <v>-10.84</v>
      </c>
      <c r="AK117" s="3">
        <v>-12.24</v>
      </c>
      <c r="AL117" s="3">
        <v>-3.7999999999999999E-2</v>
      </c>
      <c r="AM117" s="3">
        <v>-0.33200000000000002</v>
      </c>
      <c r="AN117" s="3">
        <v>-12.14</v>
      </c>
      <c r="AO117" s="3">
        <v>5.0000000000000001E-3</v>
      </c>
      <c r="AP117" s="3">
        <v>0.39100000000000001</v>
      </c>
      <c r="AQ117" s="3">
        <v>0.72</v>
      </c>
      <c r="AR117" s="3">
        <v>4.7E-2</v>
      </c>
      <c r="AS117" s="3">
        <v>0.21199999999999999</v>
      </c>
      <c r="AT117" s="3">
        <v>0.28899999999999998</v>
      </c>
      <c r="AU117" s="3">
        <v>7.0000000000000001E-3</v>
      </c>
      <c r="AV117" s="3">
        <v>5.5E-2</v>
      </c>
      <c r="AW117" s="3">
        <v>0.19700000000000001</v>
      </c>
      <c r="AX117" s="3">
        <v>0.129</v>
      </c>
      <c r="AY117" s="3">
        <v>6.4000000000000001E-2</v>
      </c>
      <c r="AZ117" s="3">
        <v>-1.409</v>
      </c>
      <c r="BA117" s="3">
        <v>2341</v>
      </c>
      <c r="BB117" s="3">
        <v>12.07</v>
      </c>
      <c r="BC117" s="3">
        <v>2876</v>
      </c>
      <c r="BD117" s="3"/>
      <c r="BE117" s="3"/>
      <c r="BF117" s="3">
        <f t="shared" si="76"/>
        <v>1144</v>
      </c>
      <c r="BH117" s="16">
        <v>26.04</v>
      </c>
      <c r="BI117" s="16">
        <f t="shared" si="69"/>
        <v>52.6008</v>
      </c>
      <c r="BJ117" s="17">
        <f t="shared" si="70"/>
        <v>22.41</v>
      </c>
      <c r="BK117" s="17">
        <f t="shared" si="71"/>
        <v>45.47</v>
      </c>
      <c r="BM117" s="1">
        <f t="shared" si="72"/>
        <v>94.5</v>
      </c>
      <c r="BN117" s="1">
        <f t="shared" si="73"/>
        <v>67.400000000000006</v>
      </c>
      <c r="BO117" s="1">
        <f t="shared" si="74"/>
        <v>37.1</v>
      </c>
      <c r="BP117" s="62">
        <f t="shared" si="77"/>
        <v>0.373</v>
      </c>
      <c r="BQ117" s="62">
        <f t="shared" si="75"/>
        <v>0.63200000000000001</v>
      </c>
      <c r="BR117" s="2"/>
      <c r="BS117" s="3">
        <v>0</v>
      </c>
      <c r="BT117" s="8"/>
      <c r="BV117" s="8"/>
      <c r="BW117" s="16">
        <f t="shared" si="78"/>
        <v>22.41</v>
      </c>
      <c r="BX117" s="16">
        <f t="shared" si="79"/>
        <v>45.47</v>
      </c>
      <c r="BY117" s="3">
        <f t="shared" si="80"/>
        <v>-0.5</v>
      </c>
      <c r="BZ117" s="3">
        <f t="shared" si="81"/>
        <v>-0.8</v>
      </c>
      <c r="CA117" s="3">
        <f t="shared" si="82"/>
        <v>-1.6</v>
      </c>
      <c r="CB117" s="3">
        <f t="shared" si="83"/>
        <v>0</v>
      </c>
      <c r="CC117" s="3">
        <f t="shared" si="84"/>
        <v>0</v>
      </c>
      <c r="CD117" s="3">
        <f t="shared" si="85"/>
        <v>0.4</v>
      </c>
      <c r="CE117" s="3">
        <f t="shared" si="86"/>
        <v>0.8</v>
      </c>
      <c r="CF117" s="23">
        <f t="shared" si="87"/>
        <v>67.400000000000006</v>
      </c>
      <c r="CG117" s="1">
        <f t="shared" si="88"/>
        <v>7.1</v>
      </c>
      <c r="CH117" s="1">
        <f t="shared" si="89"/>
        <v>9.3000000000000007</v>
      </c>
      <c r="CI117" s="1">
        <f t="shared" si="90"/>
        <v>8.1</v>
      </c>
      <c r="CJ117" s="1">
        <f t="shared" si="91"/>
        <v>0</v>
      </c>
      <c r="CK117" s="1">
        <f t="shared" si="92"/>
        <v>0.1</v>
      </c>
      <c r="CL117" s="1">
        <f t="shared" si="93"/>
        <v>0.5</v>
      </c>
      <c r="CM117" s="1">
        <f t="shared" si="94"/>
        <v>0.8</v>
      </c>
      <c r="CN117" s="2">
        <f t="shared" si="95"/>
        <v>94.5</v>
      </c>
      <c r="CO117" s="1">
        <f t="shared" si="96"/>
        <v>-10</v>
      </c>
      <c r="CP117" s="1">
        <f t="shared" si="97"/>
        <v>-10.8</v>
      </c>
      <c r="CQ117" s="1">
        <f t="shared" si="98"/>
        <v>-12.2</v>
      </c>
      <c r="CR117" s="1">
        <f t="shared" si="99"/>
        <v>0</v>
      </c>
      <c r="CS117" s="1">
        <f t="shared" si="100"/>
        <v>0</v>
      </c>
      <c r="CT117" s="1">
        <f t="shared" si="101"/>
        <v>0.4</v>
      </c>
      <c r="CU117" s="1">
        <f t="shared" si="102"/>
        <v>0.7</v>
      </c>
      <c r="CV117" s="2">
        <f t="shared" si="103"/>
        <v>37.1</v>
      </c>
      <c r="CW117" s="18">
        <f t="shared" si="104"/>
        <v>1144</v>
      </c>
      <c r="CX117" s="1">
        <f>ROUND(PPTest!K117,1)</f>
        <v>0</v>
      </c>
      <c r="CY117" s="17">
        <f t="shared" si="105"/>
        <v>1.78</v>
      </c>
      <c r="CZ117" s="17">
        <f t="shared" si="106"/>
        <v>4.55</v>
      </c>
      <c r="DA117" s="20">
        <f t="shared" si="107"/>
        <v>0.373</v>
      </c>
      <c r="DB117" s="20">
        <f t="shared" si="108"/>
        <v>0.63200000000000001</v>
      </c>
      <c r="DC117" s="16">
        <f t="shared" si="109"/>
        <v>12.07</v>
      </c>
      <c r="DF117" s="1">
        <v>4.2</v>
      </c>
      <c r="DG117" s="1">
        <v>8.4</v>
      </c>
      <c r="DH117" s="1">
        <v>-0.2</v>
      </c>
      <c r="DI117" s="1">
        <v>62.4</v>
      </c>
      <c r="DJ117" s="1">
        <v>47</v>
      </c>
      <c r="DW117" s="1">
        <v>-0.1</v>
      </c>
      <c r="DX117" s="1">
        <v>7</v>
      </c>
      <c r="DY117" s="1">
        <v>-9.1</v>
      </c>
    </row>
    <row r="118" spans="1:129" x14ac:dyDescent="0.2">
      <c r="A118" s="40">
        <v>34811</v>
      </c>
      <c r="B118" s="3">
        <v>112</v>
      </c>
      <c r="C118" s="3">
        <v>25.6</v>
      </c>
      <c r="D118" s="3">
        <v>47.98</v>
      </c>
      <c r="E118" s="3">
        <v>1.383</v>
      </c>
      <c r="F118" s="3">
        <v>65.31</v>
      </c>
      <c r="G118" s="3">
        <v>1.0149999999999999</v>
      </c>
      <c r="H118" s="3">
        <v>-8.1000000000000003E-2</v>
      </c>
      <c r="I118" s="3">
        <v>1.6E-2</v>
      </c>
      <c r="J118" s="3">
        <v>-0.112</v>
      </c>
      <c r="K118" s="3">
        <v>2.016</v>
      </c>
      <c r="L118" s="3">
        <v>6.2E-2</v>
      </c>
      <c r="M118" s="3">
        <v>0.45200000000000001</v>
      </c>
      <c r="N118" s="3">
        <v>0.78500000000000003</v>
      </c>
      <c r="O118" s="3">
        <v>0</v>
      </c>
      <c r="P118" s="16">
        <v>1.8025</v>
      </c>
      <c r="Q118" s="3"/>
      <c r="R118" s="3">
        <v>9.77</v>
      </c>
      <c r="S118" s="3">
        <v>1522</v>
      </c>
      <c r="T118" s="3">
        <v>99.6</v>
      </c>
      <c r="U118" s="3">
        <v>501</v>
      </c>
      <c r="V118" s="3">
        <v>12.02</v>
      </c>
      <c r="W118" s="3">
        <v>10.23</v>
      </c>
      <c r="X118" s="3">
        <v>4.9000000000000002E-2</v>
      </c>
      <c r="Y118" s="3">
        <v>0.22900000000000001</v>
      </c>
      <c r="Z118" s="3">
        <v>16.100000000000001</v>
      </c>
      <c r="AA118" s="3">
        <v>9.5000000000000001E-2</v>
      </c>
      <c r="AB118" s="3">
        <v>0.48199999999999998</v>
      </c>
      <c r="AC118" s="3">
        <v>0.81399999999999995</v>
      </c>
      <c r="AD118" s="16">
        <v>4.6875</v>
      </c>
      <c r="AE118" s="3">
        <v>1441</v>
      </c>
      <c r="AF118" s="3">
        <v>-7.89</v>
      </c>
      <c r="AG118" s="3">
        <v>452</v>
      </c>
      <c r="AH118" s="3">
        <v>31.72</v>
      </c>
      <c r="AI118" s="3">
        <v>1625</v>
      </c>
      <c r="AJ118" s="3">
        <v>-8.68</v>
      </c>
      <c r="AK118" s="3">
        <v>-9.66</v>
      </c>
      <c r="AL118" s="3">
        <v>-1.6E-2</v>
      </c>
      <c r="AM118" s="3">
        <v>-0.27900000000000003</v>
      </c>
      <c r="AN118" s="3">
        <v>-9.61</v>
      </c>
      <c r="AO118" s="3">
        <v>2.5000000000000001E-2</v>
      </c>
      <c r="AP118" s="3">
        <v>0.41199999999999998</v>
      </c>
      <c r="AQ118" s="3">
        <v>0.745</v>
      </c>
      <c r="AR118" s="3">
        <v>3.9E-2</v>
      </c>
      <c r="AS118" s="3">
        <v>0.29899999999999999</v>
      </c>
      <c r="AT118" s="3">
        <v>0.26700000000000002</v>
      </c>
      <c r="AU118" s="3">
        <v>2.4E-2</v>
      </c>
      <c r="AV118" s="3">
        <v>7.5999999999999998E-2</v>
      </c>
      <c r="AW118" s="3">
        <v>0.155</v>
      </c>
      <c r="AX118" s="3">
        <v>7.9000000000000001E-2</v>
      </c>
      <c r="AY118" s="3">
        <v>6.0999999999999999E-2</v>
      </c>
      <c r="AZ118" s="3">
        <v>-0.45300000000000001</v>
      </c>
      <c r="BA118" s="3">
        <v>2382</v>
      </c>
      <c r="BB118" s="3">
        <v>12.07</v>
      </c>
      <c r="BC118" s="3">
        <v>2876</v>
      </c>
      <c r="BD118" s="3"/>
      <c r="BE118" s="3"/>
      <c r="BF118" s="3">
        <f t="shared" si="76"/>
        <v>1103</v>
      </c>
      <c r="BH118" s="16">
        <v>26.27</v>
      </c>
      <c r="BI118" s="16">
        <f t="shared" si="69"/>
        <v>53.065399999999997</v>
      </c>
      <c r="BJ118" s="17">
        <f t="shared" si="70"/>
        <v>25.6</v>
      </c>
      <c r="BK118" s="17">
        <f t="shared" si="71"/>
        <v>51.82</v>
      </c>
      <c r="BM118" s="1">
        <f t="shared" si="72"/>
        <v>93</v>
      </c>
      <c r="BN118" s="1">
        <f t="shared" si="73"/>
        <v>61.3</v>
      </c>
      <c r="BO118" s="1">
        <f t="shared" si="74"/>
        <v>30.3</v>
      </c>
      <c r="BP118" s="62">
        <f t="shared" si="77"/>
        <v>0.36599999999999999</v>
      </c>
      <c r="BQ118" s="62">
        <f t="shared" si="75"/>
        <v>0.84199999999999997</v>
      </c>
      <c r="BR118" s="2"/>
      <c r="BS118" s="3">
        <v>0</v>
      </c>
      <c r="BT118" s="8"/>
      <c r="BV118" s="8"/>
      <c r="BW118" s="16">
        <f t="shared" si="78"/>
        <v>25.6</v>
      </c>
      <c r="BX118" s="16">
        <f t="shared" si="79"/>
        <v>51.82</v>
      </c>
      <c r="BY118" s="3">
        <f t="shared" si="80"/>
        <v>1.4</v>
      </c>
      <c r="BZ118" s="3">
        <f t="shared" si="81"/>
        <v>1</v>
      </c>
      <c r="CA118" s="3">
        <f t="shared" si="82"/>
        <v>-0.1</v>
      </c>
      <c r="CB118" s="3">
        <f t="shared" si="83"/>
        <v>0</v>
      </c>
      <c r="CC118" s="3">
        <f t="shared" si="84"/>
        <v>0.1</v>
      </c>
      <c r="CD118" s="3">
        <f t="shared" si="85"/>
        <v>0.5</v>
      </c>
      <c r="CE118" s="3">
        <f t="shared" si="86"/>
        <v>0.8</v>
      </c>
      <c r="CF118" s="23">
        <f t="shared" si="87"/>
        <v>61.3</v>
      </c>
      <c r="CG118" s="1">
        <f t="shared" si="88"/>
        <v>9.8000000000000007</v>
      </c>
      <c r="CH118" s="1">
        <f t="shared" si="89"/>
        <v>12</v>
      </c>
      <c r="CI118" s="1">
        <f t="shared" si="90"/>
        <v>10.199999999999999</v>
      </c>
      <c r="CJ118" s="1">
        <f t="shared" si="91"/>
        <v>0</v>
      </c>
      <c r="CK118" s="1">
        <f t="shared" si="92"/>
        <v>0.1</v>
      </c>
      <c r="CL118" s="1">
        <f t="shared" si="93"/>
        <v>0.5</v>
      </c>
      <c r="CM118" s="1">
        <f t="shared" si="94"/>
        <v>0.8</v>
      </c>
      <c r="CN118" s="2">
        <f t="shared" si="95"/>
        <v>93</v>
      </c>
      <c r="CO118" s="1">
        <f t="shared" si="96"/>
        <v>-7.9</v>
      </c>
      <c r="CP118" s="1">
        <f t="shared" si="97"/>
        <v>-8.6999999999999993</v>
      </c>
      <c r="CQ118" s="1">
        <f t="shared" si="98"/>
        <v>-9.6999999999999993</v>
      </c>
      <c r="CR118" s="1">
        <f t="shared" si="99"/>
        <v>0</v>
      </c>
      <c r="CS118" s="1">
        <f t="shared" si="100"/>
        <v>0</v>
      </c>
      <c r="CT118" s="1">
        <f t="shared" si="101"/>
        <v>0.4</v>
      </c>
      <c r="CU118" s="1">
        <f t="shared" si="102"/>
        <v>0.7</v>
      </c>
      <c r="CV118" s="2">
        <f t="shared" si="103"/>
        <v>30.3</v>
      </c>
      <c r="CW118" s="18">
        <f t="shared" si="104"/>
        <v>1103</v>
      </c>
      <c r="CX118" s="1">
        <f>ROUND(PPTest!K118,1)</f>
        <v>0</v>
      </c>
      <c r="CY118" s="17">
        <f t="shared" si="105"/>
        <v>1.8</v>
      </c>
      <c r="CZ118" s="17">
        <f t="shared" si="106"/>
        <v>4.6900000000000004</v>
      </c>
      <c r="DA118" s="20">
        <f t="shared" si="107"/>
        <v>0.36599999999999999</v>
      </c>
      <c r="DB118" s="20">
        <f t="shared" si="108"/>
        <v>0.84199999999999997</v>
      </c>
      <c r="DC118" s="16">
        <f t="shared" si="109"/>
        <v>12.07</v>
      </c>
      <c r="DF118" s="1">
        <v>6</v>
      </c>
      <c r="DG118" s="1">
        <v>11.3</v>
      </c>
      <c r="DH118" s="1">
        <v>0.7</v>
      </c>
      <c r="DI118" s="1">
        <v>53.9</v>
      </c>
      <c r="DJ118" s="1">
        <v>34</v>
      </c>
      <c r="DW118" s="1">
        <v>2.1</v>
      </c>
      <c r="DX118" s="1">
        <v>10.1</v>
      </c>
      <c r="DY118" s="1">
        <v>-5.0999999999999996</v>
      </c>
    </row>
    <row r="119" spans="1:129" x14ac:dyDescent="0.2">
      <c r="A119" s="40">
        <v>34812</v>
      </c>
      <c r="B119" s="3">
        <v>113</v>
      </c>
      <c r="C119" s="3">
        <v>25.12</v>
      </c>
      <c r="D119" s="3">
        <v>47.13</v>
      </c>
      <c r="E119" s="3">
        <v>2.9590000000000001</v>
      </c>
      <c r="F119" s="3">
        <v>58.34</v>
      </c>
      <c r="G119" s="3">
        <v>2.5249999999999999</v>
      </c>
      <c r="H119" s="3">
        <v>1.478</v>
      </c>
      <c r="I119" s="3">
        <v>-0.02</v>
      </c>
      <c r="J119" s="3">
        <v>-3.7999999999999999E-2</v>
      </c>
      <c r="K119" s="3">
        <v>3.444</v>
      </c>
      <c r="L119" s="3">
        <v>5.0999999999999997E-2</v>
      </c>
      <c r="M119" s="3">
        <v>0.441</v>
      </c>
      <c r="N119" s="3">
        <v>0.77300000000000002</v>
      </c>
      <c r="O119" s="3">
        <v>0</v>
      </c>
      <c r="P119" s="16">
        <v>1.7891666666666668</v>
      </c>
      <c r="Q119" s="3"/>
      <c r="R119" s="3">
        <v>11.54</v>
      </c>
      <c r="S119" s="3">
        <v>1751</v>
      </c>
      <c r="T119" s="3">
        <v>94.5</v>
      </c>
      <c r="U119" s="3">
        <v>527</v>
      </c>
      <c r="V119" s="3">
        <v>13.12</v>
      </c>
      <c r="W119" s="3">
        <v>12</v>
      </c>
      <c r="X119" s="3">
        <v>1.7999999999999999E-2</v>
      </c>
      <c r="Y119" s="3">
        <v>0.745</v>
      </c>
      <c r="Z119" s="3">
        <v>16.25</v>
      </c>
      <c r="AA119" s="3">
        <v>0.09</v>
      </c>
      <c r="AB119" s="3">
        <v>0.49</v>
      </c>
      <c r="AC119" s="3">
        <v>0.81299999999999994</v>
      </c>
      <c r="AD119" s="16">
        <v>4.5408333333333335</v>
      </c>
      <c r="AE119" s="3">
        <v>1319</v>
      </c>
      <c r="AF119" s="3">
        <v>-7.35</v>
      </c>
      <c r="AG119" s="3">
        <v>525</v>
      </c>
      <c r="AH119" s="3">
        <v>25.82</v>
      </c>
      <c r="AI119" s="3">
        <v>1731</v>
      </c>
      <c r="AJ119" s="3">
        <v>-8.25</v>
      </c>
      <c r="AK119" s="3">
        <v>-9</v>
      </c>
      <c r="AL119" s="3">
        <v>-7.2999999999999995E-2</v>
      </c>
      <c r="AM119" s="3">
        <v>-0.60599999999999998</v>
      </c>
      <c r="AN119" s="3">
        <v>-9.11</v>
      </c>
      <c r="AO119" s="3">
        <v>-3.0000000000000001E-3</v>
      </c>
      <c r="AP119" s="3">
        <v>0.38400000000000001</v>
      </c>
      <c r="AQ119" s="3">
        <v>0.71099999999999997</v>
      </c>
      <c r="AR119" s="3">
        <v>0.03</v>
      </c>
      <c r="AS119" s="3">
        <v>0.28899999999999998</v>
      </c>
      <c r="AT119" s="3">
        <v>0.29499999999999998</v>
      </c>
      <c r="AU119" s="3">
        <v>2.5000000000000001E-2</v>
      </c>
      <c r="AV119" s="3">
        <v>8.7999999999999995E-2</v>
      </c>
      <c r="AW119" s="3">
        <v>0.16200000000000001</v>
      </c>
      <c r="AX119" s="3">
        <v>0.06</v>
      </c>
      <c r="AY119" s="3">
        <v>5.0999999999999997E-2</v>
      </c>
      <c r="AZ119" s="3">
        <v>-0.874</v>
      </c>
      <c r="BA119" s="3">
        <v>2438</v>
      </c>
      <c r="BB119" s="3">
        <v>12.07</v>
      </c>
      <c r="BC119" s="3">
        <v>2876</v>
      </c>
      <c r="BD119" s="3"/>
      <c r="BE119" s="3"/>
      <c r="BF119" s="3">
        <f t="shared" si="76"/>
        <v>1047</v>
      </c>
      <c r="BH119" s="16">
        <v>26.5</v>
      </c>
      <c r="BI119" s="16">
        <f t="shared" si="69"/>
        <v>53.53</v>
      </c>
      <c r="BJ119" s="17">
        <f t="shared" si="70"/>
        <v>25.12</v>
      </c>
      <c r="BK119" s="17">
        <f t="shared" si="71"/>
        <v>50.9</v>
      </c>
      <c r="BM119" s="1">
        <f t="shared" si="72"/>
        <v>88.3</v>
      </c>
      <c r="BN119" s="1">
        <f t="shared" si="73"/>
        <v>54.9</v>
      </c>
      <c r="BO119" s="1">
        <f t="shared" si="74"/>
        <v>24.9</v>
      </c>
      <c r="BP119" s="62">
        <f t="shared" si="77"/>
        <v>0.33900000000000002</v>
      </c>
      <c r="BQ119" s="62">
        <f t="shared" si="75"/>
        <v>1.022</v>
      </c>
      <c r="BR119" s="2"/>
      <c r="BS119" s="3">
        <v>0</v>
      </c>
      <c r="BT119" s="8"/>
      <c r="BV119" s="8"/>
      <c r="BW119" s="16">
        <f t="shared" si="78"/>
        <v>25.12</v>
      </c>
      <c r="BX119" s="16">
        <f t="shared" si="79"/>
        <v>50.9</v>
      </c>
      <c r="BY119" s="3">
        <f t="shared" si="80"/>
        <v>3</v>
      </c>
      <c r="BZ119" s="3">
        <f t="shared" si="81"/>
        <v>2.5</v>
      </c>
      <c r="CA119" s="3">
        <f t="shared" si="82"/>
        <v>1.5</v>
      </c>
      <c r="CB119" s="3">
        <f t="shared" si="83"/>
        <v>0</v>
      </c>
      <c r="CC119" s="3">
        <f t="shared" si="84"/>
        <v>0.1</v>
      </c>
      <c r="CD119" s="3">
        <f t="shared" si="85"/>
        <v>0.4</v>
      </c>
      <c r="CE119" s="3">
        <f t="shared" si="86"/>
        <v>0.8</v>
      </c>
      <c r="CF119" s="23">
        <f t="shared" si="87"/>
        <v>54.9</v>
      </c>
      <c r="CG119" s="1">
        <f t="shared" si="88"/>
        <v>11.5</v>
      </c>
      <c r="CH119" s="1">
        <f t="shared" si="89"/>
        <v>13.1</v>
      </c>
      <c r="CI119" s="1">
        <f t="shared" si="90"/>
        <v>12</v>
      </c>
      <c r="CJ119" s="1">
        <f t="shared" si="91"/>
        <v>0</v>
      </c>
      <c r="CK119" s="1">
        <f t="shared" si="92"/>
        <v>0.1</v>
      </c>
      <c r="CL119" s="1">
        <f t="shared" si="93"/>
        <v>0.5</v>
      </c>
      <c r="CM119" s="1">
        <f t="shared" si="94"/>
        <v>0.8</v>
      </c>
      <c r="CN119" s="2">
        <f t="shared" si="95"/>
        <v>88.3</v>
      </c>
      <c r="CO119" s="1">
        <f t="shared" si="96"/>
        <v>-7.4</v>
      </c>
      <c r="CP119" s="1">
        <f t="shared" si="97"/>
        <v>-8.3000000000000007</v>
      </c>
      <c r="CQ119" s="1">
        <f t="shared" si="98"/>
        <v>-9</v>
      </c>
      <c r="CR119" s="1">
        <f t="shared" si="99"/>
        <v>-0.1</v>
      </c>
      <c r="CS119" s="1">
        <f t="shared" si="100"/>
        <v>0</v>
      </c>
      <c r="CT119" s="1">
        <f t="shared" si="101"/>
        <v>0.4</v>
      </c>
      <c r="CU119" s="1">
        <f t="shared" si="102"/>
        <v>0.7</v>
      </c>
      <c r="CV119" s="2">
        <f t="shared" si="103"/>
        <v>24.9</v>
      </c>
      <c r="CW119" s="18">
        <f t="shared" si="104"/>
        <v>1047</v>
      </c>
      <c r="CX119" s="1">
        <f>ROUND(PPTest!K119,1)</f>
        <v>0</v>
      </c>
      <c r="CY119" s="17">
        <f t="shared" si="105"/>
        <v>1.79</v>
      </c>
      <c r="CZ119" s="17">
        <f t="shared" si="106"/>
        <v>4.54</v>
      </c>
      <c r="DA119" s="20">
        <f t="shared" si="107"/>
        <v>0.33900000000000002</v>
      </c>
      <c r="DB119" s="20">
        <f t="shared" si="108"/>
        <v>1.022</v>
      </c>
      <c r="DC119" s="16">
        <f t="shared" si="109"/>
        <v>12.07</v>
      </c>
      <c r="DF119" s="1">
        <v>8.6999999999999993</v>
      </c>
      <c r="DG119" s="1">
        <v>14.1</v>
      </c>
      <c r="DH119" s="1">
        <v>3.3</v>
      </c>
      <c r="DI119" s="1">
        <v>40.299999999999997</v>
      </c>
      <c r="DJ119" s="1">
        <v>29</v>
      </c>
      <c r="DW119" s="1">
        <v>3.8</v>
      </c>
      <c r="DX119" s="1">
        <v>12.3</v>
      </c>
      <c r="DY119" s="1">
        <v>-4.8</v>
      </c>
    </row>
    <row r="120" spans="1:129" x14ac:dyDescent="0.2">
      <c r="A120" s="40">
        <v>34813</v>
      </c>
      <c r="B120" s="3">
        <v>114</v>
      </c>
      <c r="C120" s="3">
        <v>14.15</v>
      </c>
      <c r="D120" s="3">
        <v>27.11</v>
      </c>
      <c r="E120" s="3">
        <v>2.448</v>
      </c>
      <c r="F120" s="3">
        <v>71</v>
      </c>
      <c r="G120" s="3">
        <v>1.9259999999999999</v>
      </c>
      <c r="H120" s="3">
        <v>1.32</v>
      </c>
      <c r="I120" s="3">
        <v>-4.0000000000000001E-3</v>
      </c>
      <c r="J120" s="3">
        <v>-3.4000000000000002E-2</v>
      </c>
      <c r="K120" s="3">
        <v>2.5499999999999998</v>
      </c>
      <c r="L120" s="3">
        <v>6.7000000000000004E-2</v>
      </c>
      <c r="M120" s="3">
        <v>0.442</v>
      </c>
      <c r="N120" s="3">
        <v>0.78</v>
      </c>
      <c r="O120" s="3">
        <v>0</v>
      </c>
      <c r="P120" s="16">
        <v>2.0575000000000001</v>
      </c>
      <c r="Q120" s="3"/>
      <c r="R120" s="3">
        <v>6.9370000000000003</v>
      </c>
      <c r="S120" s="3">
        <v>1752</v>
      </c>
      <c r="T120" s="3">
        <v>92.6</v>
      </c>
      <c r="U120" s="3">
        <v>1415</v>
      </c>
      <c r="V120" s="3">
        <v>7.56</v>
      </c>
      <c r="W120" s="3">
        <v>6.298</v>
      </c>
      <c r="X120" s="3">
        <v>0.02</v>
      </c>
      <c r="Y120" s="3">
        <v>1.5029999999999999</v>
      </c>
      <c r="Z120" s="3">
        <v>10.84</v>
      </c>
      <c r="AA120" s="3">
        <v>8.8999999999999996E-2</v>
      </c>
      <c r="AB120" s="3">
        <v>0.46400000000000002</v>
      </c>
      <c r="AC120" s="3">
        <v>0.80400000000000005</v>
      </c>
      <c r="AD120" s="16">
        <v>6.8208333333333329</v>
      </c>
      <c r="AE120" s="3">
        <v>849</v>
      </c>
      <c r="AF120" s="3">
        <v>-3.081</v>
      </c>
      <c r="AG120" s="3">
        <v>2328</v>
      </c>
      <c r="AH120" s="3">
        <v>49.27</v>
      </c>
      <c r="AI120" s="3">
        <v>1837</v>
      </c>
      <c r="AJ120" s="3">
        <v>-4.1630000000000003</v>
      </c>
      <c r="AK120" s="3">
        <v>-4.9260000000000002</v>
      </c>
      <c r="AL120" s="3">
        <v>-4.9000000000000002E-2</v>
      </c>
      <c r="AM120" s="3">
        <v>-0.94699999999999995</v>
      </c>
      <c r="AN120" s="3">
        <v>-4.6040000000000001</v>
      </c>
      <c r="AO120" s="3">
        <v>0.02</v>
      </c>
      <c r="AP120" s="3">
        <v>0.377</v>
      </c>
      <c r="AQ120" s="3">
        <v>0.72299999999999998</v>
      </c>
      <c r="AR120" s="3">
        <v>9.4E-2</v>
      </c>
      <c r="AS120" s="3">
        <v>0.39100000000000001</v>
      </c>
      <c r="AT120" s="3">
        <v>0.13600000000000001</v>
      </c>
      <c r="AU120" s="3">
        <v>1.9E-2</v>
      </c>
      <c r="AV120" s="3">
        <v>5.6000000000000001E-2</v>
      </c>
      <c r="AW120" s="3">
        <v>0.20399999999999999</v>
      </c>
      <c r="AX120" s="3">
        <v>4.5999999999999999E-2</v>
      </c>
      <c r="AY120" s="3">
        <v>5.2999999999999999E-2</v>
      </c>
      <c r="AZ120" s="3">
        <v>-0.186</v>
      </c>
      <c r="BA120" s="3">
        <v>2456</v>
      </c>
      <c r="BB120" s="3">
        <v>12.07</v>
      </c>
      <c r="BC120" s="3">
        <v>2876</v>
      </c>
      <c r="BD120" s="3"/>
      <c r="BE120" s="3"/>
      <c r="BF120" s="3">
        <f t="shared" si="76"/>
        <v>1029</v>
      </c>
      <c r="BH120" s="16">
        <v>26.73</v>
      </c>
      <c r="BI120" s="16">
        <f t="shared" si="69"/>
        <v>53.994599999999998</v>
      </c>
      <c r="BJ120" s="17">
        <f t="shared" si="70"/>
        <v>14.15</v>
      </c>
      <c r="BK120" s="17">
        <f t="shared" si="71"/>
        <v>29.28</v>
      </c>
      <c r="BM120" s="1">
        <f t="shared" si="72"/>
        <v>86.6</v>
      </c>
      <c r="BN120" s="1">
        <f t="shared" si="73"/>
        <v>66.599999999999994</v>
      </c>
      <c r="BO120" s="1">
        <f t="shared" si="74"/>
        <v>46.5</v>
      </c>
      <c r="BP120" s="62">
        <f t="shared" si="77"/>
        <v>0.46400000000000002</v>
      </c>
      <c r="BQ120" s="62">
        <f t="shared" si="75"/>
        <v>0.53400000000000003</v>
      </c>
      <c r="BR120" s="2"/>
      <c r="BS120" s="3">
        <v>0</v>
      </c>
      <c r="BT120" s="8"/>
      <c r="BV120" s="8"/>
      <c r="BW120" s="16">
        <f t="shared" si="78"/>
        <v>14.15</v>
      </c>
      <c r="BX120" s="16">
        <f t="shared" si="79"/>
        <v>29.28</v>
      </c>
      <c r="BY120" s="3">
        <f t="shared" si="80"/>
        <v>2.4</v>
      </c>
      <c r="BZ120" s="3">
        <f t="shared" si="81"/>
        <v>1.9</v>
      </c>
      <c r="CA120" s="3">
        <f t="shared" si="82"/>
        <v>1.3</v>
      </c>
      <c r="CB120" s="3">
        <f t="shared" si="83"/>
        <v>0</v>
      </c>
      <c r="CC120" s="3">
        <f t="shared" si="84"/>
        <v>0.1</v>
      </c>
      <c r="CD120" s="3">
        <f t="shared" si="85"/>
        <v>0.4</v>
      </c>
      <c r="CE120" s="3">
        <f t="shared" si="86"/>
        <v>0.8</v>
      </c>
      <c r="CF120" s="23">
        <f t="shared" si="87"/>
        <v>66.599999999999994</v>
      </c>
      <c r="CG120" s="1">
        <f t="shared" si="88"/>
        <v>6.9</v>
      </c>
      <c r="CH120" s="1">
        <f t="shared" si="89"/>
        <v>7.6</v>
      </c>
      <c r="CI120" s="1">
        <f t="shared" si="90"/>
        <v>6.3</v>
      </c>
      <c r="CJ120" s="1">
        <f t="shared" si="91"/>
        <v>0</v>
      </c>
      <c r="CK120" s="1">
        <f t="shared" si="92"/>
        <v>0.1</v>
      </c>
      <c r="CL120" s="1">
        <f t="shared" si="93"/>
        <v>0.5</v>
      </c>
      <c r="CM120" s="1">
        <f t="shared" si="94"/>
        <v>0.8</v>
      </c>
      <c r="CN120" s="2">
        <f t="shared" si="95"/>
        <v>86.6</v>
      </c>
      <c r="CO120" s="1">
        <f t="shared" si="96"/>
        <v>-3.1</v>
      </c>
      <c r="CP120" s="1">
        <f t="shared" si="97"/>
        <v>-4.2</v>
      </c>
      <c r="CQ120" s="1">
        <f t="shared" si="98"/>
        <v>-4.9000000000000004</v>
      </c>
      <c r="CR120" s="1">
        <f t="shared" si="99"/>
        <v>0</v>
      </c>
      <c r="CS120" s="1">
        <f t="shared" si="100"/>
        <v>0</v>
      </c>
      <c r="CT120" s="1">
        <f t="shared" si="101"/>
        <v>0.4</v>
      </c>
      <c r="CU120" s="1">
        <f t="shared" si="102"/>
        <v>0.7</v>
      </c>
      <c r="CV120" s="2">
        <f t="shared" si="103"/>
        <v>46.5</v>
      </c>
      <c r="CW120" s="18">
        <f t="shared" si="104"/>
        <v>1029</v>
      </c>
      <c r="CX120" s="1">
        <f>ROUND(PPTest!K120,1)</f>
        <v>0</v>
      </c>
      <c r="CY120" s="17">
        <f t="shared" si="105"/>
        <v>2.06</v>
      </c>
      <c r="CZ120" s="17">
        <f t="shared" si="106"/>
        <v>6.82</v>
      </c>
      <c r="DA120" s="20">
        <f t="shared" si="107"/>
        <v>0.46400000000000002</v>
      </c>
      <c r="DB120" s="20">
        <f t="shared" si="108"/>
        <v>0.53400000000000003</v>
      </c>
      <c r="DC120" s="16">
        <f t="shared" si="109"/>
        <v>12.07</v>
      </c>
      <c r="DF120" s="1">
        <v>6.5</v>
      </c>
      <c r="DG120" s="1">
        <v>9.1999999999999993</v>
      </c>
      <c r="DH120" s="1">
        <v>4.0999999999999996</v>
      </c>
      <c r="DI120" s="1">
        <v>52.6</v>
      </c>
      <c r="DJ120" s="1">
        <v>40</v>
      </c>
      <c r="DW120" s="1">
        <v>2.2000000000000002</v>
      </c>
      <c r="DX120" s="1">
        <v>6.4</v>
      </c>
      <c r="DY120" s="1">
        <v>-3.2</v>
      </c>
    </row>
    <row r="121" spans="1:129" x14ac:dyDescent="0.2">
      <c r="A121" s="40">
        <v>34814</v>
      </c>
      <c r="B121" s="3">
        <v>115</v>
      </c>
      <c r="C121" s="3">
        <v>21.65</v>
      </c>
      <c r="D121" s="3">
        <v>40.869999999999997</v>
      </c>
      <c r="E121" s="3">
        <v>2.1949999999999998</v>
      </c>
      <c r="F121" s="3">
        <v>56.62</v>
      </c>
      <c r="G121" s="3">
        <v>1.653</v>
      </c>
      <c r="H121" s="3">
        <v>0.85</v>
      </c>
      <c r="I121" s="3">
        <v>-1.9E-2</v>
      </c>
      <c r="J121" s="3">
        <v>-1.167</v>
      </c>
      <c r="K121" s="3">
        <v>2.4910000000000001</v>
      </c>
      <c r="L121" s="3">
        <v>3.5000000000000003E-2</v>
      </c>
      <c r="M121" s="3">
        <v>0.39400000000000002</v>
      </c>
      <c r="N121" s="3">
        <v>0.73199999999999998</v>
      </c>
      <c r="O121" s="3">
        <v>0</v>
      </c>
      <c r="P121" s="16">
        <v>1.9291666666666669</v>
      </c>
      <c r="Q121" s="3"/>
      <c r="R121" s="3">
        <v>10.58</v>
      </c>
      <c r="S121" s="3">
        <v>1555</v>
      </c>
      <c r="T121" s="3">
        <v>89.5</v>
      </c>
      <c r="U121" s="3">
        <v>244</v>
      </c>
      <c r="V121" s="3">
        <v>12.97</v>
      </c>
      <c r="W121" s="3">
        <v>11.22</v>
      </c>
      <c r="X121" s="3">
        <v>5.8999999999999997E-2</v>
      </c>
      <c r="Y121" s="3">
        <v>2.89</v>
      </c>
      <c r="Z121" s="3">
        <v>15.96</v>
      </c>
      <c r="AA121" s="3">
        <v>0.106</v>
      </c>
      <c r="AB121" s="3">
        <v>0.46400000000000002</v>
      </c>
      <c r="AC121" s="3">
        <v>0.80600000000000005</v>
      </c>
      <c r="AD121" s="16">
        <v>4.2074999999999996</v>
      </c>
      <c r="AE121" s="3">
        <v>1501</v>
      </c>
      <c r="AF121" s="3">
        <v>-5.867</v>
      </c>
      <c r="AG121" s="3">
        <v>500</v>
      </c>
      <c r="AH121" s="3">
        <v>21.42</v>
      </c>
      <c r="AI121" s="3">
        <v>1750</v>
      </c>
      <c r="AJ121" s="3">
        <v>-6.7809999999999997</v>
      </c>
      <c r="AK121" s="3">
        <v>-8.0299999999999994</v>
      </c>
      <c r="AL121" s="3">
        <v>-9.1999999999999998E-2</v>
      </c>
      <c r="AM121" s="3">
        <v>-5.14</v>
      </c>
      <c r="AN121" s="3">
        <v>-7.77</v>
      </c>
      <c r="AO121" s="3">
        <v>-4.2000000000000003E-2</v>
      </c>
      <c r="AP121" s="3">
        <v>0.32400000000000001</v>
      </c>
      <c r="AQ121" s="3">
        <v>0.65400000000000003</v>
      </c>
      <c r="AR121" s="3">
        <v>0.111</v>
      </c>
      <c r="AS121" s="3">
        <v>0.48399999999999999</v>
      </c>
      <c r="AT121" s="3">
        <v>0.16400000000000001</v>
      </c>
      <c r="AU121" s="3">
        <v>1.0999999999999999E-2</v>
      </c>
      <c r="AV121" s="3">
        <v>3.5999999999999997E-2</v>
      </c>
      <c r="AW121" s="3">
        <v>8.5999999999999993E-2</v>
      </c>
      <c r="AX121" s="3">
        <v>5.8999999999999997E-2</v>
      </c>
      <c r="AY121" s="3">
        <v>4.9000000000000002E-2</v>
      </c>
      <c r="AZ121" s="3">
        <v>-1.5549999999999999</v>
      </c>
      <c r="BA121" s="3">
        <v>2486</v>
      </c>
      <c r="BB121" s="3">
        <v>12.07</v>
      </c>
      <c r="BC121" s="3">
        <v>2876</v>
      </c>
      <c r="BD121" s="3"/>
      <c r="BE121" s="3"/>
      <c r="BF121" s="3">
        <f t="shared" si="76"/>
        <v>999</v>
      </c>
      <c r="BH121" s="16">
        <v>26.95</v>
      </c>
      <c r="BI121" s="16">
        <f t="shared" si="69"/>
        <v>54.439</v>
      </c>
      <c r="BJ121" s="17">
        <f t="shared" si="70"/>
        <v>21.65</v>
      </c>
      <c r="BK121" s="17">
        <f t="shared" si="71"/>
        <v>44.14</v>
      </c>
      <c r="BM121" s="1">
        <f t="shared" si="72"/>
        <v>83.7</v>
      </c>
      <c r="BN121" s="1">
        <f t="shared" si="73"/>
        <v>53.3</v>
      </c>
      <c r="BO121" s="1">
        <f t="shared" si="74"/>
        <v>20.8</v>
      </c>
      <c r="BP121" s="62">
        <f t="shared" si="77"/>
        <v>0.26500000000000001</v>
      </c>
      <c r="BQ121" s="62">
        <f t="shared" si="75"/>
        <v>1.0089999999999999</v>
      </c>
      <c r="BR121" s="2"/>
      <c r="BS121" s="3">
        <v>0</v>
      </c>
      <c r="BT121" s="8"/>
      <c r="BV121" s="8"/>
      <c r="BW121" s="16">
        <f t="shared" si="78"/>
        <v>21.65</v>
      </c>
      <c r="BX121" s="16">
        <f t="shared" si="79"/>
        <v>44.14</v>
      </c>
      <c r="BY121" s="3">
        <f t="shared" si="80"/>
        <v>2.2000000000000002</v>
      </c>
      <c r="BZ121" s="3">
        <f t="shared" si="81"/>
        <v>1.7</v>
      </c>
      <c r="CA121" s="3">
        <f t="shared" si="82"/>
        <v>0.9</v>
      </c>
      <c r="CB121" s="3">
        <f t="shared" si="83"/>
        <v>0</v>
      </c>
      <c r="CC121" s="3">
        <f t="shared" si="84"/>
        <v>0</v>
      </c>
      <c r="CD121" s="3">
        <f t="shared" si="85"/>
        <v>0.4</v>
      </c>
      <c r="CE121" s="3">
        <f t="shared" si="86"/>
        <v>0.7</v>
      </c>
      <c r="CF121" s="23">
        <f t="shared" si="87"/>
        <v>53.3</v>
      </c>
      <c r="CG121" s="1">
        <f t="shared" si="88"/>
        <v>10.6</v>
      </c>
      <c r="CH121" s="1">
        <f t="shared" si="89"/>
        <v>13</v>
      </c>
      <c r="CI121" s="1">
        <f t="shared" si="90"/>
        <v>11.2</v>
      </c>
      <c r="CJ121" s="1">
        <f t="shared" si="91"/>
        <v>0.1</v>
      </c>
      <c r="CK121" s="1">
        <f t="shared" si="92"/>
        <v>0.1</v>
      </c>
      <c r="CL121" s="1">
        <f t="shared" si="93"/>
        <v>0.5</v>
      </c>
      <c r="CM121" s="1">
        <f t="shared" si="94"/>
        <v>0.8</v>
      </c>
      <c r="CN121" s="2">
        <f t="shared" si="95"/>
        <v>83.7</v>
      </c>
      <c r="CO121" s="1">
        <f t="shared" si="96"/>
        <v>-5.9</v>
      </c>
      <c r="CP121" s="1">
        <f t="shared" si="97"/>
        <v>-6.8</v>
      </c>
      <c r="CQ121" s="1">
        <f t="shared" si="98"/>
        <v>-8</v>
      </c>
      <c r="CR121" s="1">
        <f t="shared" si="99"/>
        <v>-0.1</v>
      </c>
      <c r="CS121" s="1">
        <f t="shared" si="100"/>
        <v>0</v>
      </c>
      <c r="CT121" s="1">
        <f t="shared" si="101"/>
        <v>0.3</v>
      </c>
      <c r="CU121" s="1">
        <f t="shared" si="102"/>
        <v>0.7</v>
      </c>
      <c r="CV121" s="2">
        <f t="shared" si="103"/>
        <v>20.8</v>
      </c>
      <c r="CW121" s="18">
        <f t="shared" si="104"/>
        <v>999</v>
      </c>
      <c r="CX121" s="1">
        <f>ROUND(PPTest!K121,1)</f>
        <v>0</v>
      </c>
      <c r="CY121" s="17">
        <f t="shared" si="105"/>
        <v>1.93</v>
      </c>
      <c r="CZ121" s="17">
        <f t="shared" si="106"/>
        <v>4.21</v>
      </c>
      <c r="DA121" s="20">
        <f t="shared" si="107"/>
        <v>0.26500000000000001</v>
      </c>
      <c r="DB121" s="20">
        <f t="shared" si="108"/>
        <v>1.0089999999999999</v>
      </c>
      <c r="DC121" s="16">
        <f t="shared" si="109"/>
        <v>12.07</v>
      </c>
      <c r="DW121" s="1">
        <v>4.2</v>
      </c>
      <c r="DX121" s="1">
        <v>11.6</v>
      </c>
      <c r="DY121" s="1">
        <v>-1</v>
      </c>
    </row>
    <row r="122" spans="1:129" x14ac:dyDescent="0.2">
      <c r="A122" s="40">
        <v>34815</v>
      </c>
      <c r="B122" s="3">
        <v>116</v>
      </c>
      <c r="C122" s="3">
        <v>10.56</v>
      </c>
      <c r="D122" s="3">
        <v>20.9</v>
      </c>
      <c r="E122" s="3">
        <v>2.0129999999999999</v>
      </c>
      <c r="F122" s="3">
        <v>79.3</v>
      </c>
      <c r="G122" s="3">
        <v>1.494</v>
      </c>
      <c r="H122" s="3">
        <v>1.1220000000000001</v>
      </c>
      <c r="I122" s="3">
        <v>-0.01</v>
      </c>
      <c r="J122" s="3">
        <v>-0.59899999999999998</v>
      </c>
      <c r="K122" s="3">
        <v>1.647</v>
      </c>
      <c r="L122" s="3">
        <v>3.5000000000000003E-2</v>
      </c>
      <c r="M122" s="3">
        <v>0.38900000000000001</v>
      </c>
      <c r="N122" s="3">
        <v>0.72799999999999998</v>
      </c>
      <c r="O122" s="3">
        <v>0</v>
      </c>
      <c r="P122" s="16">
        <v>1.8025</v>
      </c>
      <c r="Q122" s="3"/>
      <c r="R122" s="3">
        <v>6.8280000000000003</v>
      </c>
      <c r="S122" s="3">
        <v>945</v>
      </c>
      <c r="T122" s="3">
        <v>100.8</v>
      </c>
      <c r="U122" s="3">
        <v>2120</v>
      </c>
      <c r="V122" s="3">
        <v>6.734</v>
      </c>
      <c r="W122" s="3">
        <v>6.2549999999999999</v>
      </c>
      <c r="X122" s="3">
        <v>5.0999999999999997E-2</v>
      </c>
      <c r="Y122" s="3">
        <v>3.706</v>
      </c>
      <c r="Z122" s="3">
        <v>9.2200000000000006</v>
      </c>
      <c r="AA122" s="3">
        <v>9.5000000000000001E-2</v>
      </c>
      <c r="AB122" s="3">
        <v>0.45</v>
      </c>
      <c r="AC122" s="3">
        <v>0.80200000000000005</v>
      </c>
      <c r="AD122" s="16">
        <v>3.8875000000000002</v>
      </c>
      <c r="AE122" s="3">
        <v>1317</v>
      </c>
      <c r="AF122" s="3">
        <v>-4.0670000000000002</v>
      </c>
      <c r="AG122" s="3">
        <v>205</v>
      </c>
      <c r="AH122" s="3">
        <v>46.98</v>
      </c>
      <c r="AI122" s="3">
        <v>820</v>
      </c>
      <c r="AJ122" s="3">
        <v>-4.9279999999999999</v>
      </c>
      <c r="AK122" s="3">
        <v>-5.5650000000000004</v>
      </c>
      <c r="AL122" s="3">
        <v>-8.5999999999999993E-2</v>
      </c>
      <c r="AM122" s="3">
        <v>-4.3920000000000003</v>
      </c>
      <c r="AN122" s="3">
        <v>-5.4909999999999997</v>
      </c>
      <c r="AO122" s="3">
        <v>-2.8000000000000001E-2</v>
      </c>
      <c r="AP122" s="3">
        <v>0.32100000000000001</v>
      </c>
      <c r="AQ122" s="3">
        <v>0.66300000000000003</v>
      </c>
      <c r="AR122" s="3">
        <v>9.4E-2</v>
      </c>
      <c r="AS122" s="3">
        <v>0.63100000000000001</v>
      </c>
      <c r="AT122" s="3">
        <v>0.186</v>
      </c>
      <c r="AU122" s="3">
        <v>1.4999999999999999E-2</v>
      </c>
      <c r="AV122" s="3">
        <v>2.4E-2</v>
      </c>
      <c r="AW122" s="3">
        <v>2.5000000000000001E-2</v>
      </c>
      <c r="AX122" s="3">
        <v>8.0000000000000002E-3</v>
      </c>
      <c r="AY122" s="3">
        <v>1.7000000000000001E-2</v>
      </c>
      <c r="AZ122" s="3">
        <v>-0.995</v>
      </c>
      <c r="BA122" s="3">
        <v>2498</v>
      </c>
      <c r="BB122" s="3">
        <v>12.07</v>
      </c>
      <c r="BC122" s="3">
        <v>2876</v>
      </c>
      <c r="BD122" s="3"/>
      <c r="BE122" s="3"/>
      <c r="BF122" s="3">
        <f t="shared" si="76"/>
        <v>987</v>
      </c>
      <c r="BH122" s="16">
        <v>27.17</v>
      </c>
      <c r="BI122" s="16">
        <f t="shared" si="69"/>
        <v>54.883400000000002</v>
      </c>
      <c r="BJ122" s="17">
        <f t="shared" si="70"/>
        <v>10.56</v>
      </c>
      <c r="BK122" s="17">
        <f t="shared" si="71"/>
        <v>22.57</v>
      </c>
      <c r="BM122" s="1">
        <f t="shared" si="72"/>
        <v>94.1</v>
      </c>
      <c r="BN122" s="1">
        <f t="shared" si="73"/>
        <v>74.3</v>
      </c>
      <c r="BO122" s="1">
        <f t="shared" si="74"/>
        <v>44.4</v>
      </c>
      <c r="BP122" s="62">
        <f t="shared" si="77"/>
        <v>0.439</v>
      </c>
      <c r="BQ122" s="62">
        <f t="shared" si="75"/>
        <v>0.55000000000000004</v>
      </c>
      <c r="BR122" s="2"/>
      <c r="BS122" s="48">
        <f t="shared" ref="BS122:BS153" si="110">ROUND(BT122*BS$2,1)</f>
        <v>0</v>
      </c>
      <c r="BT122" s="44">
        <v>0</v>
      </c>
      <c r="BV122" s="8"/>
      <c r="BW122" s="16">
        <f t="shared" si="78"/>
        <v>10.56</v>
      </c>
      <c r="BX122" s="16">
        <f t="shared" si="79"/>
        <v>22.57</v>
      </c>
      <c r="BY122" s="3">
        <f t="shared" si="80"/>
        <v>2</v>
      </c>
      <c r="BZ122" s="3">
        <f t="shared" si="81"/>
        <v>1.5</v>
      </c>
      <c r="CA122" s="3">
        <f t="shared" si="82"/>
        <v>1.1000000000000001</v>
      </c>
      <c r="CB122" s="3">
        <f t="shared" si="83"/>
        <v>0</v>
      </c>
      <c r="CC122" s="3">
        <f t="shared" si="84"/>
        <v>0</v>
      </c>
      <c r="CD122" s="3">
        <f t="shared" si="85"/>
        <v>0.4</v>
      </c>
      <c r="CE122" s="3">
        <f t="shared" si="86"/>
        <v>0.7</v>
      </c>
      <c r="CF122" s="23">
        <f t="shared" si="87"/>
        <v>74.3</v>
      </c>
      <c r="CG122" s="1">
        <f t="shared" si="88"/>
        <v>6.8</v>
      </c>
      <c r="CH122" s="1">
        <f t="shared" si="89"/>
        <v>6.7</v>
      </c>
      <c r="CI122" s="1">
        <f t="shared" si="90"/>
        <v>6.3</v>
      </c>
      <c r="CJ122" s="1">
        <f t="shared" si="91"/>
        <v>0.1</v>
      </c>
      <c r="CK122" s="1">
        <f t="shared" si="92"/>
        <v>0.1</v>
      </c>
      <c r="CL122" s="1">
        <f t="shared" si="93"/>
        <v>0.5</v>
      </c>
      <c r="CM122" s="1">
        <f t="shared" si="94"/>
        <v>0.8</v>
      </c>
      <c r="CN122" s="2">
        <f t="shared" si="95"/>
        <v>94.1</v>
      </c>
      <c r="CO122" s="1">
        <f t="shared" si="96"/>
        <v>-4.0999999999999996</v>
      </c>
      <c r="CP122" s="1">
        <f t="shared" si="97"/>
        <v>-4.9000000000000004</v>
      </c>
      <c r="CQ122" s="1">
        <f t="shared" si="98"/>
        <v>-5.6</v>
      </c>
      <c r="CR122" s="1">
        <f t="shared" si="99"/>
        <v>-0.1</v>
      </c>
      <c r="CS122" s="1">
        <f t="shared" si="100"/>
        <v>0</v>
      </c>
      <c r="CT122" s="1">
        <f t="shared" si="101"/>
        <v>0.3</v>
      </c>
      <c r="CU122" s="1">
        <f t="shared" si="102"/>
        <v>0.7</v>
      </c>
      <c r="CV122" s="2">
        <f t="shared" si="103"/>
        <v>44.4</v>
      </c>
      <c r="CW122" s="18">
        <f t="shared" si="104"/>
        <v>987</v>
      </c>
      <c r="CX122" s="1">
        <f>ROUND(PPTest!K122,1)</f>
        <v>0</v>
      </c>
      <c r="CY122" s="17">
        <f t="shared" si="105"/>
        <v>1.8</v>
      </c>
      <c r="CZ122" s="17">
        <f t="shared" si="106"/>
        <v>3.89</v>
      </c>
      <c r="DA122" s="20">
        <f t="shared" si="107"/>
        <v>0.439</v>
      </c>
      <c r="DB122" s="20">
        <f t="shared" si="108"/>
        <v>0.55000000000000004</v>
      </c>
      <c r="DC122" s="16">
        <f t="shared" si="109"/>
        <v>12.07</v>
      </c>
      <c r="DW122" s="1">
        <v>3.4</v>
      </c>
      <c r="DX122" s="1">
        <v>8.4</v>
      </c>
      <c r="DY122" s="1">
        <v>-2.5</v>
      </c>
    </row>
    <row r="123" spans="1:129" x14ac:dyDescent="0.2">
      <c r="A123" s="40">
        <v>34816</v>
      </c>
      <c r="B123" s="3">
        <v>117</v>
      </c>
      <c r="C123" s="3">
        <v>25.42</v>
      </c>
      <c r="D123" s="3">
        <v>47.44</v>
      </c>
      <c r="E123" s="3">
        <v>6.1630000000000003</v>
      </c>
      <c r="F123" s="3">
        <v>41</v>
      </c>
      <c r="G123" s="3">
        <v>5.6749999999999998</v>
      </c>
      <c r="H123" s="3">
        <v>5.3230000000000004</v>
      </c>
      <c r="I123" s="3">
        <v>0.113</v>
      </c>
      <c r="J123" s="3">
        <v>4.7160000000000002</v>
      </c>
      <c r="K123" s="3">
        <v>7.01</v>
      </c>
      <c r="L123" s="3">
        <v>0.14799999999999999</v>
      </c>
      <c r="M123" s="3">
        <v>0.48699999999999999</v>
      </c>
      <c r="N123" s="3">
        <v>0.84199999999999997</v>
      </c>
      <c r="O123" s="3">
        <v>1E-3</v>
      </c>
      <c r="P123" s="16">
        <v>3.3858333333333333</v>
      </c>
      <c r="Q123" s="3"/>
      <c r="R123" s="3">
        <v>9.5</v>
      </c>
      <c r="S123" s="3">
        <v>1518</v>
      </c>
      <c r="T123" s="3">
        <v>60.35</v>
      </c>
      <c r="U123" s="3">
        <v>2348</v>
      </c>
      <c r="V123" s="3">
        <v>10.67</v>
      </c>
      <c r="W123" s="3">
        <v>10.48</v>
      </c>
      <c r="X123" s="3">
        <v>0.255</v>
      </c>
      <c r="Y123" s="3">
        <v>13.28</v>
      </c>
      <c r="Z123" s="3">
        <v>14.37</v>
      </c>
      <c r="AA123" s="3">
        <v>0.26600000000000001</v>
      </c>
      <c r="AB123" s="3">
        <v>0.61299999999999999</v>
      </c>
      <c r="AC123" s="3">
        <v>0.98</v>
      </c>
      <c r="AD123" s="16">
        <v>6.2341666666666669</v>
      </c>
      <c r="AE123" s="3">
        <v>1224</v>
      </c>
      <c r="AF123" s="3">
        <v>-0.32500000000000001</v>
      </c>
      <c r="AG123" s="3">
        <v>2350</v>
      </c>
      <c r="AH123" s="3">
        <v>31.28</v>
      </c>
      <c r="AI123" s="3">
        <v>1631</v>
      </c>
      <c r="AJ123" s="3">
        <v>-1.4239999999999999</v>
      </c>
      <c r="AK123" s="3">
        <v>-1.9830000000000001</v>
      </c>
      <c r="AL123" s="3">
        <v>-3.1E-2</v>
      </c>
      <c r="AM123" s="3">
        <v>-1.373</v>
      </c>
      <c r="AN123" s="3">
        <v>-1.466</v>
      </c>
      <c r="AO123" s="3">
        <v>1.0999999999999999E-2</v>
      </c>
      <c r="AP123" s="3">
        <v>0.36599999999999999</v>
      </c>
      <c r="AQ123" s="3">
        <v>0.70299999999999996</v>
      </c>
      <c r="AR123" s="3">
        <v>7.0000000000000007E-2</v>
      </c>
      <c r="AS123" s="3">
        <v>0.73</v>
      </c>
      <c r="AT123" s="3">
        <v>0.191</v>
      </c>
      <c r="AU123" s="3">
        <v>6.0000000000000001E-3</v>
      </c>
      <c r="AV123" s="3">
        <v>0</v>
      </c>
      <c r="AW123" s="3">
        <v>0</v>
      </c>
      <c r="AX123" s="3">
        <v>0</v>
      </c>
      <c r="AY123" s="3">
        <v>3.0000000000000001E-3</v>
      </c>
      <c r="AZ123" s="3">
        <v>3.7090000000000001</v>
      </c>
      <c r="BA123" s="3">
        <v>2519</v>
      </c>
      <c r="BB123" s="3">
        <v>12.06</v>
      </c>
      <c r="BC123" s="3">
        <v>2876</v>
      </c>
      <c r="BD123" s="3"/>
      <c r="BE123" s="3"/>
      <c r="BF123" s="3">
        <f t="shared" si="76"/>
        <v>966</v>
      </c>
      <c r="BH123" s="16">
        <v>27.38</v>
      </c>
      <c r="BI123" s="16">
        <f t="shared" si="69"/>
        <v>55.307600000000001</v>
      </c>
      <c r="BJ123" s="17">
        <f t="shared" si="70"/>
        <v>25.42</v>
      </c>
      <c r="BK123" s="17">
        <f t="shared" si="71"/>
        <v>51.24</v>
      </c>
      <c r="BM123" s="1">
        <f t="shared" si="72"/>
        <v>56.8</v>
      </c>
      <c r="BN123" s="1">
        <f t="shared" si="73"/>
        <v>38.9</v>
      </c>
      <c r="BO123" s="1">
        <f t="shared" si="74"/>
        <v>29.9</v>
      </c>
      <c r="BP123" s="62">
        <f t="shared" si="77"/>
        <v>0.35499999999999998</v>
      </c>
      <c r="BQ123" s="62">
        <f t="shared" si="75"/>
        <v>0.83199999999999996</v>
      </c>
      <c r="BR123" s="2"/>
      <c r="BS123" s="48">
        <f t="shared" si="110"/>
        <v>1.4</v>
      </c>
      <c r="BT123" s="44">
        <v>1</v>
      </c>
      <c r="BV123" s="8"/>
      <c r="BW123" s="16">
        <f t="shared" si="78"/>
        <v>25.42</v>
      </c>
      <c r="BX123" s="16">
        <f t="shared" si="79"/>
        <v>51.24</v>
      </c>
      <c r="BY123" s="3">
        <f t="shared" si="80"/>
        <v>6.2</v>
      </c>
      <c r="BZ123" s="3">
        <f t="shared" si="81"/>
        <v>5.7</v>
      </c>
      <c r="CA123" s="3">
        <f t="shared" si="82"/>
        <v>5.3</v>
      </c>
      <c r="CB123" s="3">
        <f t="shared" si="83"/>
        <v>0.1</v>
      </c>
      <c r="CC123" s="3">
        <f t="shared" si="84"/>
        <v>0.1</v>
      </c>
      <c r="CD123" s="3">
        <f t="shared" si="85"/>
        <v>0.5</v>
      </c>
      <c r="CE123" s="3">
        <f t="shared" si="86"/>
        <v>0.8</v>
      </c>
      <c r="CF123" s="23">
        <f t="shared" si="87"/>
        <v>38.9</v>
      </c>
      <c r="CG123" s="1">
        <f t="shared" si="88"/>
        <v>9.5</v>
      </c>
      <c r="CH123" s="1">
        <f t="shared" si="89"/>
        <v>10.7</v>
      </c>
      <c r="CI123" s="1">
        <f t="shared" si="90"/>
        <v>10.5</v>
      </c>
      <c r="CJ123" s="1">
        <f t="shared" si="91"/>
        <v>0.3</v>
      </c>
      <c r="CK123" s="1">
        <f t="shared" si="92"/>
        <v>0.3</v>
      </c>
      <c r="CL123" s="1">
        <f t="shared" si="93"/>
        <v>0.6</v>
      </c>
      <c r="CM123" s="1">
        <f t="shared" si="94"/>
        <v>1</v>
      </c>
      <c r="CN123" s="2">
        <f t="shared" si="95"/>
        <v>56.8</v>
      </c>
      <c r="CO123" s="1">
        <f t="shared" si="96"/>
        <v>-0.3</v>
      </c>
      <c r="CP123" s="1">
        <f t="shared" si="97"/>
        <v>-1.4</v>
      </c>
      <c r="CQ123" s="1">
        <f t="shared" si="98"/>
        <v>-2</v>
      </c>
      <c r="CR123" s="1">
        <f t="shared" si="99"/>
        <v>0</v>
      </c>
      <c r="CS123" s="1">
        <f t="shared" si="100"/>
        <v>0</v>
      </c>
      <c r="CT123" s="1">
        <f t="shared" si="101"/>
        <v>0.4</v>
      </c>
      <c r="CU123" s="1">
        <f t="shared" si="102"/>
        <v>0.7</v>
      </c>
      <c r="CV123" s="2">
        <f t="shared" si="103"/>
        <v>29.9</v>
      </c>
      <c r="CW123" s="18">
        <f t="shared" si="104"/>
        <v>966</v>
      </c>
      <c r="CX123" s="1">
        <f>ROUND(PPTest!K123,1)</f>
        <v>0</v>
      </c>
      <c r="CY123" s="17">
        <f t="shared" si="105"/>
        <v>3.39</v>
      </c>
      <c r="CZ123" s="17">
        <f t="shared" si="106"/>
        <v>6.23</v>
      </c>
      <c r="DA123" s="20">
        <f t="shared" si="107"/>
        <v>0.35499999999999998</v>
      </c>
      <c r="DB123" s="20">
        <f t="shared" si="108"/>
        <v>0.83199999999999996</v>
      </c>
      <c r="DC123" s="16">
        <f t="shared" si="109"/>
        <v>12.06</v>
      </c>
      <c r="DW123" s="1">
        <v>4.4000000000000004</v>
      </c>
      <c r="DX123" s="1">
        <v>9.1</v>
      </c>
      <c r="DY123" s="1">
        <v>-1.6</v>
      </c>
    </row>
    <row r="124" spans="1:129" x14ac:dyDescent="0.2">
      <c r="A124" s="40">
        <v>34817</v>
      </c>
      <c r="B124" s="3">
        <v>118</v>
      </c>
      <c r="C124" s="3">
        <v>16.45</v>
      </c>
      <c r="D124" s="3">
        <v>31.56</v>
      </c>
      <c r="E124" s="3">
        <v>3.746</v>
      </c>
      <c r="F124" s="3">
        <v>50.51</v>
      </c>
      <c r="G124" s="3">
        <v>3.0310000000000001</v>
      </c>
      <c r="H124" s="3">
        <v>2.7029999999999998</v>
      </c>
      <c r="I124" s="3">
        <v>5.2999999999999999E-2</v>
      </c>
      <c r="J124" s="3">
        <v>1.903</v>
      </c>
      <c r="K124" s="3">
        <v>3.4750000000000001</v>
      </c>
      <c r="L124" s="3">
        <v>0.08</v>
      </c>
      <c r="M124" s="3">
        <v>0.40899999999999997</v>
      </c>
      <c r="N124" s="3">
        <v>0.74299999999999999</v>
      </c>
      <c r="O124" s="3">
        <v>0</v>
      </c>
      <c r="P124" s="16">
        <v>2.2108333333333334</v>
      </c>
      <c r="Q124" s="3"/>
      <c r="R124" s="3">
        <v>9.2100000000000009</v>
      </c>
      <c r="S124" s="3">
        <v>1227</v>
      </c>
      <c r="T124" s="3">
        <v>77.8</v>
      </c>
      <c r="U124" s="3">
        <v>2325</v>
      </c>
      <c r="V124" s="3">
        <v>9.8000000000000007</v>
      </c>
      <c r="W124" s="3">
        <v>9.61</v>
      </c>
      <c r="X124" s="3">
        <v>0.20499999999999999</v>
      </c>
      <c r="Y124" s="3">
        <v>14.33</v>
      </c>
      <c r="Z124" s="3">
        <v>12.53</v>
      </c>
      <c r="AA124" s="3">
        <v>0.22800000000000001</v>
      </c>
      <c r="AB124" s="3">
        <v>0.55700000000000005</v>
      </c>
      <c r="AC124" s="3">
        <v>0.90200000000000002</v>
      </c>
      <c r="AD124" s="16">
        <v>5.3808333333333334</v>
      </c>
      <c r="AE124" s="3">
        <v>1038</v>
      </c>
      <c r="AF124" s="3">
        <v>-1.825</v>
      </c>
      <c r="AG124" s="3">
        <v>439</v>
      </c>
      <c r="AH124" s="3">
        <v>30.68</v>
      </c>
      <c r="AI124" s="3">
        <v>1227</v>
      </c>
      <c r="AJ124" s="3">
        <v>-3.1480000000000001</v>
      </c>
      <c r="AK124" s="3">
        <v>-3.6240000000000001</v>
      </c>
      <c r="AL124" s="3">
        <v>-0.10100000000000001</v>
      </c>
      <c r="AM124" s="3">
        <v>-5.0510000000000002</v>
      </c>
      <c r="AN124" s="3">
        <v>-3.5430000000000001</v>
      </c>
      <c r="AO124" s="3">
        <v>-5.8000000000000003E-2</v>
      </c>
      <c r="AP124" s="3">
        <v>0.219</v>
      </c>
      <c r="AQ124" s="3">
        <v>0.55300000000000005</v>
      </c>
      <c r="AR124" s="3">
        <v>0.13</v>
      </c>
      <c r="AS124" s="3">
        <v>0.622</v>
      </c>
      <c r="AT124" s="3">
        <v>0.19900000000000001</v>
      </c>
      <c r="AU124" s="3">
        <v>7.0000000000000001E-3</v>
      </c>
      <c r="AV124" s="3">
        <v>8.0000000000000002E-3</v>
      </c>
      <c r="AW124" s="3">
        <v>5.0000000000000001E-3</v>
      </c>
      <c r="AX124" s="3">
        <v>6.0000000000000001E-3</v>
      </c>
      <c r="AY124" s="3">
        <v>2.3E-2</v>
      </c>
      <c r="AZ124" s="3">
        <v>0.90500000000000003</v>
      </c>
      <c r="BA124" s="3">
        <v>2542</v>
      </c>
      <c r="BB124" s="3">
        <v>12.06</v>
      </c>
      <c r="BC124" s="3">
        <v>2876</v>
      </c>
      <c r="BD124" s="3"/>
      <c r="BE124" s="3"/>
      <c r="BF124" s="3">
        <f t="shared" si="76"/>
        <v>943</v>
      </c>
      <c r="BH124" s="16">
        <v>27.6</v>
      </c>
      <c r="BI124" s="16">
        <f t="shared" si="69"/>
        <v>55.752000000000002</v>
      </c>
      <c r="BJ124" s="17">
        <f t="shared" si="70"/>
        <v>16.45</v>
      </c>
      <c r="BK124" s="17">
        <f t="shared" si="71"/>
        <v>34.08</v>
      </c>
      <c r="BM124" s="1">
        <f t="shared" si="72"/>
        <v>72.900000000000006</v>
      </c>
      <c r="BN124" s="1">
        <f t="shared" si="73"/>
        <v>47.7</v>
      </c>
      <c r="BO124" s="1">
        <f t="shared" si="74"/>
        <v>29.3</v>
      </c>
      <c r="BP124" s="62">
        <f t="shared" si="77"/>
        <v>0.34100000000000003</v>
      </c>
      <c r="BQ124" s="62">
        <f t="shared" si="75"/>
        <v>0.82299999999999995</v>
      </c>
      <c r="BR124" s="2"/>
      <c r="BS124" s="48">
        <f t="shared" si="110"/>
        <v>0</v>
      </c>
      <c r="BT124" s="44">
        <v>0</v>
      </c>
      <c r="BV124" s="8"/>
      <c r="BW124" s="16">
        <f t="shared" si="78"/>
        <v>16.45</v>
      </c>
      <c r="BX124" s="16">
        <f t="shared" si="79"/>
        <v>34.08</v>
      </c>
      <c r="BY124" s="3">
        <f t="shared" si="80"/>
        <v>3.7</v>
      </c>
      <c r="BZ124" s="3">
        <f t="shared" si="81"/>
        <v>3</v>
      </c>
      <c r="CA124" s="3">
        <f t="shared" si="82"/>
        <v>2.7</v>
      </c>
      <c r="CB124" s="3">
        <f t="shared" si="83"/>
        <v>0.1</v>
      </c>
      <c r="CC124" s="3">
        <f t="shared" si="84"/>
        <v>0.1</v>
      </c>
      <c r="CD124" s="3">
        <f t="shared" si="85"/>
        <v>0.4</v>
      </c>
      <c r="CE124" s="3">
        <f t="shared" si="86"/>
        <v>0.7</v>
      </c>
      <c r="CF124" s="23">
        <f t="shared" si="87"/>
        <v>47.7</v>
      </c>
      <c r="CG124" s="1">
        <f t="shared" si="88"/>
        <v>9.1999999999999993</v>
      </c>
      <c r="CH124" s="1">
        <f t="shared" si="89"/>
        <v>9.8000000000000007</v>
      </c>
      <c r="CI124" s="1">
        <f t="shared" si="90"/>
        <v>9.6</v>
      </c>
      <c r="CJ124" s="1">
        <f t="shared" si="91"/>
        <v>0.2</v>
      </c>
      <c r="CK124" s="1">
        <f t="shared" si="92"/>
        <v>0.2</v>
      </c>
      <c r="CL124" s="1">
        <f t="shared" si="93"/>
        <v>0.6</v>
      </c>
      <c r="CM124" s="1">
        <f t="shared" si="94"/>
        <v>0.9</v>
      </c>
      <c r="CN124" s="2">
        <f t="shared" si="95"/>
        <v>72.900000000000006</v>
      </c>
      <c r="CO124" s="1">
        <f t="shared" si="96"/>
        <v>-1.8</v>
      </c>
      <c r="CP124" s="1">
        <f t="shared" si="97"/>
        <v>-3.1</v>
      </c>
      <c r="CQ124" s="1">
        <f t="shared" si="98"/>
        <v>-3.6</v>
      </c>
      <c r="CR124" s="1">
        <f t="shared" si="99"/>
        <v>-0.1</v>
      </c>
      <c r="CS124" s="1">
        <f t="shared" si="100"/>
        <v>-0.1</v>
      </c>
      <c r="CT124" s="1">
        <f t="shared" si="101"/>
        <v>0.2</v>
      </c>
      <c r="CU124" s="1">
        <f t="shared" si="102"/>
        <v>0.6</v>
      </c>
      <c r="CV124" s="2">
        <f t="shared" si="103"/>
        <v>29.3</v>
      </c>
      <c r="CW124" s="18">
        <f t="shared" si="104"/>
        <v>943</v>
      </c>
      <c r="CX124" s="1">
        <f>ROUND(PPTest!K124,1)</f>
        <v>0</v>
      </c>
      <c r="CY124" s="17">
        <f t="shared" si="105"/>
        <v>2.21</v>
      </c>
      <c r="CZ124" s="17">
        <f t="shared" si="106"/>
        <v>5.38</v>
      </c>
      <c r="DA124" s="20">
        <f t="shared" si="107"/>
        <v>0.34100000000000003</v>
      </c>
      <c r="DB124" s="20">
        <f t="shared" si="108"/>
        <v>0.82299999999999995</v>
      </c>
      <c r="DC124" s="16">
        <f t="shared" si="109"/>
        <v>12.06</v>
      </c>
      <c r="DW124" s="1">
        <v>2.8</v>
      </c>
      <c r="DX124" s="1">
        <v>7.6</v>
      </c>
      <c r="DY124" s="1">
        <v>-2.7</v>
      </c>
    </row>
    <row r="125" spans="1:129" x14ac:dyDescent="0.2">
      <c r="A125" s="40">
        <v>34818</v>
      </c>
      <c r="B125" s="3">
        <v>119</v>
      </c>
      <c r="C125" s="3">
        <v>18.47</v>
      </c>
      <c r="D125" s="3">
        <v>35.39</v>
      </c>
      <c r="E125" s="3">
        <v>2.0459999999999998</v>
      </c>
      <c r="F125" s="3">
        <v>60.86</v>
      </c>
      <c r="G125" s="3">
        <v>1.69</v>
      </c>
      <c r="H125" s="3">
        <v>1.4390000000000001</v>
      </c>
      <c r="I125" s="3">
        <v>5.8999999999999997E-2</v>
      </c>
      <c r="J125" s="3">
        <v>2.1150000000000002</v>
      </c>
      <c r="K125" s="3">
        <v>2.8730000000000002</v>
      </c>
      <c r="L125" s="3">
        <v>7.3999999999999996E-2</v>
      </c>
      <c r="M125" s="3">
        <v>0.41</v>
      </c>
      <c r="N125" s="3">
        <v>0.73099999999999998</v>
      </c>
      <c r="O125" s="3">
        <v>0</v>
      </c>
      <c r="P125" s="16">
        <v>2.1991666666666667</v>
      </c>
      <c r="Q125" s="3"/>
      <c r="R125" s="3">
        <v>6.4340000000000002</v>
      </c>
      <c r="S125" s="3">
        <v>1536</v>
      </c>
      <c r="T125" s="3">
        <v>85.8</v>
      </c>
      <c r="U125" s="3">
        <v>452</v>
      </c>
      <c r="V125" s="3">
        <v>8.7799999999999994</v>
      </c>
      <c r="W125" s="3">
        <v>8.31</v>
      </c>
      <c r="X125" s="3">
        <v>0.26200000000000001</v>
      </c>
      <c r="Y125" s="3">
        <v>12.98</v>
      </c>
      <c r="Z125" s="3">
        <v>12.1</v>
      </c>
      <c r="AA125" s="3">
        <v>0.251</v>
      </c>
      <c r="AB125" s="3">
        <v>0.60699999999999998</v>
      </c>
      <c r="AC125" s="3">
        <v>0.92900000000000005</v>
      </c>
      <c r="AD125" s="16">
        <v>5.4741666666666671</v>
      </c>
      <c r="AE125" s="3">
        <v>1636</v>
      </c>
      <c r="AF125" s="3">
        <v>-1.538</v>
      </c>
      <c r="AG125" s="3">
        <v>2200</v>
      </c>
      <c r="AH125" s="3">
        <v>36.090000000000003</v>
      </c>
      <c r="AI125" s="3">
        <v>1536</v>
      </c>
      <c r="AJ125" s="3">
        <v>-2.653</v>
      </c>
      <c r="AK125" s="3">
        <v>-3.7450000000000001</v>
      </c>
      <c r="AL125" s="3">
        <v>-6.2E-2</v>
      </c>
      <c r="AM125" s="3">
        <v>-4.0430000000000001</v>
      </c>
      <c r="AN125" s="3">
        <v>-2.617</v>
      </c>
      <c r="AO125" s="3">
        <v>-2.8000000000000001E-2</v>
      </c>
      <c r="AP125" s="3">
        <v>0.29699999999999999</v>
      </c>
      <c r="AQ125" s="3">
        <v>0.61499999999999999</v>
      </c>
      <c r="AR125" s="3">
        <v>8.1000000000000003E-2</v>
      </c>
      <c r="AS125" s="3">
        <v>0.53800000000000003</v>
      </c>
      <c r="AT125" s="3">
        <v>0.30099999999999999</v>
      </c>
      <c r="AU125" s="3">
        <v>4.9000000000000002E-2</v>
      </c>
      <c r="AV125" s="3">
        <v>1.7000000000000001E-2</v>
      </c>
      <c r="AW125" s="3">
        <v>6.0000000000000001E-3</v>
      </c>
      <c r="AX125" s="3">
        <v>4.0000000000000001E-3</v>
      </c>
      <c r="AY125" s="3">
        <v>4.0000000000000001E-3</v>
      </c>
      <c r="AZ125" s="3">
        <v>1.0509999999999999</v>
      </c>
      <c r="BA125" s="3">
        <v>2566</v>
      </c>
      <c r="BB125" s="3">
        <v>12.06</v>
      </c>
      <c r="BC125" s="3">
        <v>2876</v>
      </c>
      <c r="BD125" s="3"/>
      <c r="BE125" s="3"/>
      <c r="BF125" s="3">
        <f t="shared" si="76"/>
        <v>919</v>
      </c>
      <c r="BH125" s="16">
        <v>27.81</v>
      </c>
      <c r="BI125" s="16">
        <f t="shared" si="69"/>
        <v>56.176199999999994</v>
      </c>
      <c r="BJ125" s="17">
        <f t="shared" si="70"/>
        <v>18.47</v>
      </c>
      <c r="BK125" s="17">
        <f t="shared" si="71"/>
        <v>38.22</v>
      </c>
      <c r="BM125" s="1">
        <f t="shared" si="72"/>
        <v>80.3</v>
      </c>
      <c r="BN125" s="1">
        <f t="shared" si="73"/>
        <v>57.2</v>
      </c>
      <c r="BO125" s="1">
        <f t="shared" si="74"/>
        <v>34.299999999999997</v>
      </c>
      <c r="BP125" s="62">
        <f t="shared" si="77"/>
        <v>0.33</v>
      </c>
      <c r="BQ125" s="62">
        <f t="shared" si="75"/>
        <v>0.63200000000000001</v>
      </c>
      <c r="BR125" s="2"/>
      <c r="BS125" s="48">
        <f t="shared" si="110"/>
        <v>0</v>
      </c>
      <c r="BT125" s="44">
        <v>0</v>
      </c>
      <c r="BV125" s="8"/>
      <c r="BW125" s="16">
        <f t="shared" si="78"/>
        <v>18.47</v>
      </c>
      <c r="BX125" s="16">
        <f t="shared" si="79"/>
        <v>38.22</v>
      </c>
      <c r="BY125" s="3">
        <f t="shared" si="80"/>
        <v>2</v>
      </c>
      <c r="BZ125" s="3">
        <f t="shared" si="81"/>
        <v>1.7</v>
      </c>
      <c r="CA125" s="3">
        <f t="shared" si="82"/>
        <v>1.4</v>
      </c>
      <c r="CB125" s="3">
        <f t="shared" si="83"/>
        <v>0.1</v>
      </c>
      <c r="CC125" s="3">
        <f t="shared" si="84"/>
        <v>0.1</v>
      </c>
      <c r="CD125" s="3">
        <f t="shared" si="85"/>
        <v>0.4</v>
      </c>
      <c r="CE125" s="3">
        <f t="shared" si="86"/>
        <v>0.7</v>
      </c>
      <c r="CF125" s="23">
        <f t="shared" si="87"/>
        <v>57.2</v>
      </c>
      <c r="CG125" s="1">
        <f t="shared" si="88"/>
        <v>6.4</v>
      </c>
      <c r="CH125" s="1">
        <f t="shared" si="89"/>
        <v>8.8000000000000007</v>
      </c>
      <c r="CI125" s="1">
        <f t="shared" si="90"/>
        <v>8.3000000000000007</v>
      </c>
      <c r="CJ125" s="1">
        <f t="shared" si="91"/>
        <v>0.3</v>
      </c>
      <c r="CK125" s="1">
        <f t="shared" si="92"/>
        <v>0.3</v>
      </c>
      <c r="CL125" s="1">
        <f t="shared" si="93"/>
        <v>0.6</v>
      </c>
      <c r="CM125" s="1">
        <f t="shared" si="94"/>
        <v>0.9</v>
      </c>
      <c r="CN125" s="2">
        <f t="shared" si="95"/>
        <v>80.3</v>
      </c>
      <c r="CO125" s="1">
        <f t="shared" si="96"/>
        <v>-1.5</v>
      </c>
      <c r="CP125" s="1">
        <f t="shared" si="97"/>
        <v>-2.7</v>
      </c>
      <c r="CQ125" s="1">
        <f t="shared" si="98"/>
        <v>-3.7</v>
      </c>
      <c r="CR125" s="1">
        <f t="shared" si="99"/>
        <v>-0.1</v>
      </c>
      <c r="CS125" s="1">
        <f t="shared" si="100"/>
        <v>0</v>
      </c>
      <c r="CT125" s="1">
        <f t="shared" si="101"/>
        <v>0.3</v>
      </c>
      <c r="CU125" s="1">
        <f t="shared" si="102"/>
        <v>0.6</v>
      </c>
      <c r="CV125" s="2">
        <f t="shared" si="103"/>
        <v>34.299999999999997</v>
      </c>
      <c r="CW125" s="18">
        <f t="shared" si="104"/>
        <v>919</v>
      </c>
      <c r="CX125" s="1">
        <f>ROUND(PPTest!K125,1)</f>
        <v>0</v>
      </c>
      <c r="CY125" s="17">
        <f t="shared" si="105"/>
        <v>2.2000000000000002</v>
      </c>
      <c r="CZ125" s="17">
        <f t="shared" si="106"/>
        <v>5.47</v>
      </c>
      <c r="DA125" s="20">
        <f t="shared" si="107"/>
        <v>0.33</v>
      </c>
      <c r="DB125" s="20">
        <f t="shared" si="108"/>
        <v>0.63200000000000001</v>
      </c>
      <c r="DC125" s="16">
        <f t="shared" si="109"/>
        <v>12.06</v>
      </c>
      <c r="DW125" s="1">
        <v>2.1</v>
      </c>
      <c r="DX125" s="1">
        <v>6.4</v>
      </c>
      <c r="DY125" s="1">
        <v>-2.9</v>
      </c>
    </row>
    <row r="126" spans="1:129" x14ac:dyDescent="0.2">
      <c r="A126" s="40">
        <v>34819</v>
      </c>
      <c r="B126" s="3">
        <v>120</v>
      </c>
      <c r="C126" s="3">
        <v>11.47</v>
      </c>
      <c r="D126" s="3">
        <v>22.45</v>
      </c>
      <c r="E126" s="3">
        <v>1.4139999999999999</v>
      </c>
      <c r="F126" s="3">
        <v>69.34</v>
      </c>
      <c r="G126" s="3">
        <v>1.02</v>
      </c>
      <c r="H126" s="3">
        <v>0.754</v>
      </c>
      <c r="I126" s="3">
        <v>4.2999999999999997E-2</v>
      </c>
      <c r="J126" s="3">
        <v>0.93899999999999995</v>
      </c>
      <c r="K126" s="3">
        <v>1.472</v>
      </c>
      <c r="L126" s="3">
        <v>5.0999999999999997E-2</v>
      </c>
      <c r="M126" s="3">
        <v>0.378</v>
      </c>
      <c r="N126" s="3">
        <v>0.69799999999999995</v>
      </c>
      <c r="O126" s="3">
        <v>0</v>
      </c>
      <c r="P126" s="16">
        <v>1.3966666666666665</v>
      </c>
      <c r="Q126" s="3"/>
      <c r="R126" s="3">
        <v>5.01</v>
      </c>
      <c r="S126" s="3">
        <v>1536</v>
      </c>
      <c r="T126" s="3">
        <v>95.4</v>
      </c>
      <c r="U126" s="3">
        <v>2347</v>
      </c>
      <c r="V126" s="3">
        <v>6.01</v>
      </c>
      <c r="W126" s="3">
        <v>5.8419999999999996</v>
      </c>
      <c r="X126" s="3">
        <v>0.185</v>
      </c>
      <c r="Y126" s="3">
        <v>9.8699999999999992</v>
      </c>
      <c r="Z126" s="3">
        <v>9.5299999999999994</v>
      </c>
      <c r="AA126" s="3">
        <v>0.185</v>
      </c>
      <c r="AB126" s="3">
        <v>0.50700000000000001</v>
      </c>
      <c r="AC126" s="3">
        <v>0.84099999999999997</v>
      </c>
      <c r="AD126" s="16">
        <v>5.5008333333333335</v>
      </c>
      <c r="AE126" s="3">
        <v>943</v>
      </c>
      <c r="AF126" s="3">
        <v>-1.8009999999999999</v>
      </c>
      <c r="AG126" s="3">
        <v>31</v>
      </c>
      <c r="AH126" s="3">
        <v>42.58</v>
      </c>
      <c r="AI126" s="3">
        <v>249</v>
      </c>
      <c r="AJ126" s="3">
        <v>-2.9340000000000002</v>
      </c>
      <c r="AK126" s="3">
        <v>-3.4889999999999999</v>
      </c>
      <c r="AL126" s="3">
        <v>-6.8000000000000005E-2</v>
      </c>
      <c r="AM126" s="3">
        <v>-4.28</v>
      </c>
      <c r="AN126" s="3">
        <v>-2.9140000000000001</v>
      </c>
      <c r="AO126" s="3">
        <v>-4.8000000000000001E-2</v>
      </c>
      <c r="AP126" s="3">
        <v>0.27500000000000002</v>
      </c>
      <c r="AQ126" s="3">
        <v>0.59699999999999998</v>
      </c>
      <c r="AR126" s="3">
        <v>0.11899999999999999</v>
      </c>
      <c r="AS126" s="3">
        <v>0.39900000000000002</v>
      </c>
      <c r="AT126" s="3">
        <v>0.216</v>
      </c>
      <c r="AU126" s="3">
        <v>8.2000000000000003E-2</v>
      </c>
      <c r="AV126" s="3">
        <v>7.3999999999999996E-2</v>
      </c>
      <c r="AW126" s="3">
        <v>6.2E-2</v>
      </c>
      <c r="AX126" s="3">
        <v>2.3E-2</v>
      </c>
      <c r="AY126" s="3">
        <v>2.5000000000000001E-2</v>
      </c>
      <c r="AZ126" s="3">
        <v>0.35699999999999998</v>
      </c>
      <c r="BA126" s="3">
        <v>2574</v>
      </c>
      <c r="BB126" s="3">
        <v>12.06</v>
      </c>
      <c r="BC126" s="3">
        <v>2876</v>
      </c>
      <c r="BD126" s="3"/>
      <c r="BE126" s="3"/>
      <c r="BF126" s="3">
        <f t="shared" si="76"/>
        <v>911</v>
      </c>
      <c r="BH126" s="16">
        <v>28.02</v>
      </c>
      <c r="BI126" s="16">
        <f t="shared" si="69"/>
        <v>56.6004</v>
      </c>
      <c r="BJ126" s="17">
        <f t="shared" si="70"/>
        <v>11.47</v>
      </c>
      <c r="BK126" s="17">
        <f t="shared" si="71"/>
        <v>24.25</v>
      </c>
      <c r="BM126" s="1">
        <f t="shared" si="72"/>
        <v>89.1</v>
      </c>
      <c r="BN126" s="1">
        <f t="shared" si="73"/>
        <v>65.099999999999994</v>
      </c>
      <c r="BO126" s="1">
        <f t="shared" si="74"/>
        <v>40.299999999999997</v>
      </c>
      <c r="BP126" s="62">
        <f t="shared" si="77"/>
        <v>0.35199999999999998</v>
      </c>
      <c r="BQ126" s="62">
        <f t="shared" si="75"/>
        <v>0.52100000000000002</v>
      </c>
      <c r="BR126" s="2"/>
      <c r="BS126" s="48">
        <f t="shared" si="110"/>
        <v>1.4</v>
      </c>
      <c r="BT126" s="45">
        <v>1</v>
      </c>
      <c r="BV126" s="8"/>
      <c r="BW126" s="16">
        <f t="shared" si="78"/>
        <v>11.47</v>
      </c>
      <c r="BX126" s="16">
        <f t="shared" si="79"/>
        <v>24.25</v>
      </c>
      <c r="BY126" s="3">
        <f t="shared" si="80"/>
        <v>1.4</v>
      </c>
      <c r="BZ126" s="3">
        <f t="shared" si="81"/>
        <v>1</v>
      </c>
      <c r="CA126" s="3">
        <f t="shared" si="82"/>
        <v>0.8</v>
      </c>
      <c r="CB126" s="3">
        <f t="shared" si="83"/>
        <v>0</v>
      </c>
      <c r="CC126" s="3">
        <f t="shared" si="84"/>
        <v>0.1</v>
      </c>
      <c r="CD126" s="3">
        <f t="shared" si="85"/>
        <v>0.4</v>
      </c>
      <c r="CE126" s="3">
        <f t="shared" si="86"/>
        <v>0.7</v>
      </c>
      <c r="CF126" s="23">
        <f t="shared" si="87"/>
        <v>65.099999999999994</v>
      </c>
      <c r="CG126" s="1">
        <f t="shared" si="88"/>
        <v>5</v>
      </c>
      <c r="CH126" s="1">
        <f t="shared" si="89"/>
        <v>6</v>
      </c>
      <c r="CI126" s="1">
        <f t="shared" si="90"/>
        <v>5.8</v>
      </c>
      <c r="CJ126" s="1">
        <f t="shared" si="91"/>
        <v>0.2</v>
      </c>
      <c r="CK126" s="1">
        <f t="shared" si="92"/>
        <v>0.2</v>
      </c>
      <c r="CL126" s="1">
        <f t="shared" si="93"/>
        <v>0.5</v>
      </c>
      <c r="CM126" s="1">
        <f t="shared" si="94"/>
        <v>0.8</v>
      </c>
      <c r="CN126" s="2">
        <f t="shared" si="95"/>
        <v>89.1</v>
      </c>
      <c r="CO126" s="1">
        <f t="shared" si="96"/>
        <v>-1.8</v>
      </c>
      <c r="CP126" s="1">
        <f t="shared" si="97"/>
        <v>-2.9</v>
      </c>
      <c r="CQ126" s="1">
        <f t="shared" si="98"/>
        <v>-3.5</v>
      </c>
      <c r="CR126" s="1">
        <f t="shared" si="99"/>
        <v>-0.1</v>
      </c>
      <c r="CS126" s="1">
        <f t="shared" si="100"/>
        <v>0</v>
      </c>
      <c r="CT126" s="1">
        <f t="shared" si="101"/>
        <v>0.3</v>
      </c>
      <c r="CU126" s="1">
        <f t="shared" si="102"/>
        <v>0.6</v>
      </c>
      <c r="CV126" s="2">
        <f t="shared" si="103"/>
        <v>40.299999999999997</v>
      </c>
      <c r="CW126" s="18">
        <f t="shared" si="104"/>
        <v>911</v>
      </c>
      <c r="CX126" s="1">
        <f>ROUND(PPTest!K126,1)</f>
        <v>0</v>
      </c>
      <c r="CY126" s="17">
        <f t="shared" si="105"/>
        <v>1.4</v>
      </c>
      <c r="CZ126" s="17">
        <f t="shared" si="106"/>
        <v>5.5</v>
      </c>
      <c r="DA126" s="20">
        <f t="shared" si="107"/>
        <v>0.35199999999999998</v>
      </c>
      <c r="DB126" s="20">
        <f t="shared" si="108"/>
        <v>0.52100000000000002</v>
      </c>
      <c r="DC126" s="16">
        <f t="shared" si="109"/>
        <v>12.06</v>
      </c>
      <c r="DW126" s="1">
        <v>2.7</v>
      </c>
      <c r="DX126" s="1">
        <v>9</v>
      </c>
      <c r="DY126" s="1">
        <v>-2.6</v>
      </c>
    </row>
    <row r="127" spans="1:129" x14ac:dyDescent="0.2">
      <c r="A127" s="40">
        <v>34820</v>
      </c>
      <c r="B127" s="3">
        <v>121</v>
      </c>
      <c r="C127" s="3">
        <v>16.87</v>
      </c>
      <c r="D127" s="3">
        <v>32.42</v>
      </c>
      <c r="E127" s="3">
        <v>3.4809999999999999</v>
      </c>
      <c r="F127" s="3">
        <v>63.63</v>
      </c>
      <c r="G127" s="3">
        <v>2.9430000000000001</v>
      </c>
      <c r="H127" s="3">
        <v>2.5449999999999999</v>
      </c>
      <c r="I127" s="3">
        <v>7.4999999999999997E-2</v>
      </c>
      <c r="J127" s="3">
        <v>2.6850000000000001</v>
      </c>
      <c r="K127" s="3">
        <v>3.7440000000000002</v>
      </c>
      <c r="L127" s="3">
        <v>8.8999999999999996E-2</v>
      </c>
      <c r="M127" s="3">
        <v>0.41699999999999998</v>
      </c>
      <c r="N127" s="3">
        <v>0.73899999999999999</v>
      </c>
      <c r="O127" s="3">
        <v>2E-3</v>
      </c>
      <c r="P127" s="16">
        <v>2.0941666666666667</v>
      </c>
      <c r="Q127" s="3"/>
      <c r="R127" s="3">
        <v>9.02</v>
      </c>
      <c r="S127" s="3">
        <v>1540</v>
      </c>
      <c r="T127" s="3">
        <v>97.5</v>
      </c>
      <c r="U127" s="3">
        <v>125</v>
      </c>
      <c r="V127" s="3">
        <v>10.62</v>
      </c>
      <c r="W127" s="3">
        <v>9.42</v>
      </c>
      <c r="X127" s="3">
        <v>0.247</v>
      </c>
      <c r="Y127" s="3">
        <v>11.31</v>
      </c>
      <c r="Z127" s="3">
        <v>12.15</v>
      </c>
      <c r="AA127" s="3">
        <v>0.251</v>
      </c>
      <c r="AB127" s="3">
        <v>0.59299999999999997</v>
      </c>
      <c r="AC127" s="3">
        <v>0.91500000000000004</v>
      </c>
      <c r="AD127" s="16">
        <v>5.1141666666666667</v>
      </c>
      <c r="AE127" s="3">
        <v>1153</v>
      </c>
      <c r="AF127" s="3">
        <v>-2.665</v>
      </c>
      <c r="AG127" s="3">
        <v>137</v>
      </c>
      <c r="AH127" s="3">
        <v>35</v>
      </c>
      <c r="AI127" s="3">
        <v>1510</v>
      </c>
      <c r="AJ127" s="3">
        <v>-3.42</v>
      </c>
      <c r="AK127" s="3">
        <v>-4.0890000000000004</v>
      </c>
      <c r="AL127" s="3">
        <v>-7.0000000000000007E-2</v>
      </c>
      <c r="AM127" s="3">
        <v>-3.984</v>
      </c>
      <c r="AN127" s="3">
        <v>-3.4380000000000002</v>
      </c>
      <c r="AO127" s="3">
        <v>-7.0000000000000007E-2</v>
      </c>
      <c r="AP127" s="3">
        <v>0.216</v>
      </c>
      <c r="AQ127" s="3">
        <v>0.53</v>
      </c>
      <c r="AR127" s="3">
        <v>0.14199999999999999</v>
      </c>
      <c r="AS127" s="3">
        <v>0.56899999999999995</v>
      </c>
      <c r="AT127" s="3">
        <v>0.217</v>
      </c>
      <c r="AU127" s="3">
        <v>3.1E-2</v>
      </c>
      <c r="AV127" s="3">
        <v>1.2E-2</v>
      </c>
      <c r="AW127" s="3">
        <v>0.01</v>
      </c>
      <c r="AX127" s="3">
        <v>6.0000000000000001E-3</v>
      </c>
      <c r="AY127" s="3">
        <v>1.2999999999999999E-2</v>
      </c>
      <c r="AZ127" s="3">
        <v>1.2509999999999999</v>
      </c>
      <c r="BA127" s="3">
        <v>2614</v>
      </c>
      <c r="BB127" s="3">
        <v>12.05</v>
      </c>
      <c r="BC127" s="3">
        <v>2876</v>
      </c>
      <c r="BD127" s="3"/>
      <c r="BE127" s="3"/>
      <c r="BF127" s="3">
        <f t="shared" si="76"/>
        <v>871</v>
      </c>
      <c r="BH127" s="16">
        <v>28.22</v>
      </c>
      <c r="BI127" s="16">
        <f t="shared" si="69"/>
        <v>57.004399999999997</v>
      </c>
      <c r="BJ127" s="17">
        <f t="shared" si="70"/>
        <v>16.87</v>
      </c>
      <c r="BK127" s="17">
        <f t="shared" si="71"/>
        <v>35.01</v>
      </c>
      <c r="BM127" s="1">
        <f t="shared" si="72"/>
        <v>91.1</v>
      </c>
      <c r="BN127" s="1">
        <f t="shared" si="73"/>
        <v>59.8</v>
      </c>
      <c r="BO127" s="1">
        <f t="shared" si="74"/>
        <v>33.299999999999997</v>
      </c>
      <c r="BP127" s="62">
        <f t="shared" si="77"/>
        <v>0.38300000000000001</v>
      </c>
      <c r="BQ127" s="62">
        <f t="shared" si="75"/>
        <v>0.76700000000000002</v>
      </c>
      <c r="BS127" s="48">
        <f t="shared" si="110"/>
        <v>0</v>
      </c>
      <c r="BT127" s="44">
        <v>0</v>
      </c>
      <c r="BV127" s="8"/>
      <c r="BW127" s="16">
        <f t="shared" si="78"/>
        <v>16.87</v>
      </c>
      <c r="BX127" s="16">
        <f t="shared" si="79"/>
        <v>35.01</v>
      </c>
      <c r="BY127" s="3">
        <f t="shared" si="80"/>
        <v>3.5</v>
      </c>
      <c r="BZ127" s="3">
        <f t="shared" si="81"/>
        <v>2.9</v>
      </c>
      <c r="CA127" s="3">
        <f t="shared" si="82"/>
        <v>2.5</v>
      </c>
      <c r="CB127" s="3">
        <f t="shared" si="83"/>
        <v>0.1</v>
      </c>
      <c r="CC127" s="3">
        <f t="shared" si="84"/>
        <v>0.1</v>
      </c>
      <c r="CD127" s="3">
        <f t="shared" si="85"/>
        <v>0.4</v>
      </c>
      <c r="CE127" s="3">
        <f t="shared" si="86"/>
        <v>0.7</v>
      </c>
      <c r="CF127" s="23">
        <f t="shared" si="87"/>
        <v>59.8</v>
      </c>
      <c r="CG127" s="1">
        <f t="shared" si="88"/>
        <v>9</v>
      </c>
      <c r="CH127" s="1">
        <f t="shared" si="89"/>
        <v>10.6</v>
      </c>
      <c r="CI127" s="1">
        <f t="shared" si="90"/>
        <v>9.4</v>
      </c>
      <c r="CJ127" s="1">
        <f t="shared" si="91"/>
        <v>0.2</v>
      </c>
      <c r="CK127" s="1">
        <f t="shared" si="92"/>
        <v>0.3</v>
      </c>
      <c r="CL127" s="1">
        <f t="shared" si="93"/>
        <v>0.6</v>
      </c>
      <c r="CM127" s="1">
        <f t="shared" si="94"/>
        <v>0.9</v>
      </c>
      <c r="CN127" s="2">
        <f t="shared" si="95"/>
        <v>91.1</v>
      </c>
      <c r="CO127" s="1">
        <f t="shared" si="96"/>
        <v>-2.7</v>
      </c>
      <c r="CP127" s="1">
        <f t="shared" si="97"/>
        <v>-3.4</v>
      </c>
      <c r="CQ127" s="1">
        <f t="shared" si="98"/>
        <v>-4.0999999999999996</v>
      </c>
      <c r="CR127" s="1">
        <f t="shared" si="99"/>
        <v>-0.1</v>
      </c>
      <c r="CS127" s="1">
        <f t="shared" si="100"/>
        <v>-0.1</v>
      </c>
      <c r="CT127" s="1">
        <f t="shared" si="101"/>
        <v>0.2</v>
      </c>
      <c r="CU127" s="1">
        <f t="shared" si="102"/>
        <v>0.5</v>
      </c>
      <c r="CV127" s="2">
        <f t="shared" si="103"/>
        <v>33.299999999999997</v>
      </c>
      <c r="CW127" s="18">
        <f t="shared" si="104"/>
        <v>871</v>
      </c>
      <c r="CX127" s="1">
        <f>ROUND(PPTest!K127,1)</f>
        <v>0</v>
      </c>
      <c r="CY127" s="17">
        <f t="shared" si="105"/>
        <v>2.09</v>
      </c>
      <c r="CZ127" s="17">
        <f t="shared" si="106"/>
        <v>5.1100000000000003</v>
      </c>
      <c r="DA127" s="20">
        <f t="shared" si="107"/>
        <v>0.38300000000000001</v>
      </c>
      <c r="DB127" s="20">
        <f t="shared" si="108"/>
        <v>0.76700000000000002</v>
      </c>
      <c r="DC127" s="16">
        <f t="shared" si="109"/>
        <v>12.05</v>
      </c>
      <c r="DW127" s="1">
        <v>3.7</v>
      </c>
      <c r="DX127" s="1">
        <v>9.6999999999999993</v>
      </c>
      <c r="DY127" s="1">
        <v>-3</v>
      </c>
    </row>
    <row r="128" spans="1:129" x14ac:dyDescent="0.2">
      <c r="A128" s="40">
        <v>34821</v>
      </c>
      <c r="B128" s="3">
        <v>122</v>
      </c>
      <c r="C128" s="3">
        <v>10.61</v>
      </c>
      <c r="D128" s="3">
        <v>20.9</v>
      </c>
      <c r="E128" s="3">
        <v>3.5169999999999999</v>
      </c>
      <c r="F128" s="3">
        <v>76.8</v>
      </c>
      <c r="G128" s="3">
        <v>3.0489999999999999</v>
      </c>
      <c r="H128" s="3">
        <v>2.6909999999999998</v>
      </c>
      <c r="I128" s="3">
        <v>8.6999999999999994E-2</v>
      </c>
      <c r="J128" s="3">
        <v>2.6709999999999998</v>
      </c>
      <c r="K128" s="3">
        <v>3.5819999999999999</v>
      </c>
      <c r="L128" s="3">
        <v>8.6999999999999994E-2</v>
      </c>
      <c r="M128" s="3">
        <v>0.40799999999999997</v>
      </c>
      <c r="N128" s="3">
        <v>0.73299999999999998</v>
      </c>
      <c r="O128" s="3">
        <v>1E-3</v>
      </c>
      <c r="P128" s="16">
        <v>1.4608333333333334</v>
      </c>
      <c r="Q128" s="3"/>
      <c r="R128" s="3">
        <v>8.7799999999999994</v>
      </c>
      <c r="S128" s="3">
        <v>1357</v>
      </c>
      <c r="T128" s="3">
        <v>105.7</v>
      </c>
      <c r="U128" s="3">
        <v>2340</v>
      </c>
      <c r="V128" s="3">
        <v>9.4499999999999993</v>
      </c>
      <c r="W128" s="3">
        <v>9.0299999999999994</v>
      </c>
      <c r="X128" s="3">
        <v>0.23200000000000001</v>
      </c>
      <c r="Y128" s="3">
        <v>12.07</v>
      </c>
      <c r="Z128" s="3">
        <v>12.91</v>
      </c>
      <c r="AA128" s="3">
        <v>0.23200000000000001</v>
      </c>
      <c r="AB128" s="3">
        <v>0.53400000000000003</v>
      </c>
      <c r="AC128" s="3">
        <v>0.88400000000000001</v>
      </c>
      <c r="AD128" s="16">
        <v>3.7541666666666669</v>
      </c>
      <c r="AE128" s="3">
        <v>1246</v>
      </c>
      <c r="AF128" s="3">
        <v>-1.369</v>
      </c>
      <c r="AG128" s="3">
        <v>353</v>
      </c>
      <c r="AH128" s="3">
        <v>51.02</v>
      </c>
      <c r="AI128" s="3">
        <v>816</v>
      </c>
      <c r="AJ128" s="3">
        <v>-2.1829999999999998</v>
      </c>
      <c r="AK128" s="3">
        <v>-2.726</v>
      </c>
      <c r="AL128" s="3">
        <v>-0.04</v>
      </c>
      <c r="AM128" s="3">
        <v>-2.702</v>
      </c>
      <c r="AN128" s="3">
        <v>-2.101</v>
      </c>
      <c r="AO128" s="3">
        <v>-3.5000000000000003E-2</v>
      </c>
      <c r="AP128" s="3">
        <v>0.27200000000000002</v>
      </c>
      <c r="AQ128" s="3">
        <v>0.58299999999999996</v>
      </c>
      <c r="AR128" s="3">
        <v>5.7000000000000002E-2</v>
      </c>
      <c r="AS128" s="3">
        <v>0.20100000000000001</v>
      </c>
      <c r="AT128" s="3">
        <v>0.188</v>
      </c>
      <c r="AU128" s="3">
        <v>4.7E-2</v>
      </c>
      <c r="AV128" s="3">
        <v>0.10199999999999999</v>
      </c>
      <c r="AW128" s="3">
        <v>0.32400000000000001</v>
      </c>
      <c r="AX128" s="3">
        <v>4.4999999999999998E-2</v>
      </c>
      <c r="AY128" s="3">
        <v>3.5999999999999997E-2</v>
      </c>
      <c r="AZ128" s="3">
        <v>1.917</v>
      </c>
      <c r="BA128" s="3">
        <v>2639</v>
      </c>
      <c r="BB128" s="3">
        <v>12.05</v>
      </c>
      <c r="BC128" s="3">
        <v>2876</v>
      </c>
      <c r="BD128" s="3"/>
      <c r="BE128" s="3"/>
      <c r="BF128" s="3">
        <f t="shared" si="76"/>
        <v>846</v>
      </c>
      <c r="BH128" s="16">
        <v>28.42</v>
      </c>
      <c r="BI128" s="16">
        <f t="shared" si="69"/>
        <v>57.408400000000007</v>
      </c>
      <c r="BJ128" s="17">
        <f t="shared" si="70"/>
        <v>10.61</v>
      </c>
      <c r="BK128" s="17">
        <f t="shared" si="71"/>
        <v>22.57</v>
      </c>
      <c r="BM128" s="1">
        <f t="shared" si="72"/>
        <v>98.7</v>
      </c>
      <c r="BN128" s="1">
        <f t="shared" si="73"/>
        <v>72</v>
      </c>
      <c r="BO128" s="1">
        <f t="shared" si="74"/>
        <v>48.1</v>
      </c>
      <c r="BP128" s="62">
        <f t="shared" si="77"/>
        <v>0.54400000000000004</v>
      </c>
      <c r="BQ128" s="62">
        <f t="shared" si="75"/>
        <v>0.58699999999999997</v>
      </c>
      <c r="BS128" s="48">
        <f t="shared" si="110"/>
        <v>2.8</v>
      </c>
      <c r="BT128" s="44">
        <v>2</v>
      </c>
      <c r="BV128" s="8"/>
      <c r="BW128" s="16">
        <f t="shared" si="78"/>
        <v>10.61</v>
      </c>
      <c r="BX128" s="16">
        <f t="shared" si="79"/>
        <v>22.57</v>
      </c>
      <c r="BY128" s="3">
        <f t="shared" si="80"/>
        <v>3.5</v>
      </c>
      <c r="BZ128" s="3">
        <f t="shared" si="81"/>
        <v>3</v>
      </c>
      <c r="CA128" s="3">
        <f t="shared" si="82"/>
        <v>2.7</v>
      </c>
      <c r="CB128" s="3">
        <f t="shared" si="83"/>
        <v>0.1</v>
      </c>
      <c r="CC128" s="3">
        <f t="shared" si="84"/>
        <v>0.1</v>
      </c>
      <c r="CD128" s="3">
        <f t="shared" si="85"/>
        <v>0.4</v>
      </c>
      <c r="CE128" s="3">
        <f t="shared" si="86"/>
        <v>0.7</v>
      </c>
      <c r="CF128" s="23">
        <f t="shared" si="87"/>
        <v>72</v>
      </c>
      <c r="CG128" s="1">
        <f t="shared" si="88"/>
        <v>8.8000000000000007</v>
      </c>
      <c r="CH128" s="1">
        <f t="shared" si="89"/>
        <v>9.5</v>
      </c>
      <c r="CI128" s="1">
        <f t="shared" si="90"/>
        <v>9</v>
      </c>
      <c r="CJ128" s="1">
        <f t="shared" si="91"/>
        <v>0.2</v>
      </c>
      <c r="CK128" s="1">
        <f t="shared" si="92"/>
        <v>0.2</v>
      </c>
      <c r="CL128" s="1">
        <f t="shared" si="93"/>
        <v>0.5</v>
      </c>
      <c r="CM128" s="1">
        <f t="shared" si="94"/>
        <v>0.9</v>
      </c>
      <c r="CN128" s="2">
        <f t="shared" si="95"/>
        <v>98.7</v>
      </c>
      <c r="CO128" s="1">
        <f t="shared" si="96"/>
        <v>-1.4</v>
      </c>
      <c r="CP128" s="1">
        <f t="shared" si="97"/>
        <v>-2.2000000000000002</v>
      </c>
      <c r="CQ128" s="1">
        <f t="shared" si="98"/>
        <v>-2.7</v>
      </c>
      <c r="CR128" s="1">
        <f t="shared" si="99"/>
        <v>0</v>
      </c>
      <c r="CS128" s="1">
        <f t="shared" si="100"/>
        <v>0</v>
      </c>
      <c r="CT128" s="1">
        <f t="shared" si="101"/>
        <v>0.3</v>
      </c>
      <c r="CU128" s="1">
        <f t="shared" si="102"/>
        <v>0.6</v>
      </c>
      <c r="CV128" s="2">
        <f t="shared" si="103"/>
        <v>48.1</v>
      </c>
      <c r="CW128" s="18">
        <f t="shared" si="104"/>
        <v>846</v>
      </c>
      <c r="CX128" s="1">
        <f>ROUND(PPTest!K128,1)</f>
        <v>0</v>
      </c>
      <c r="CY128" s="17">
        <f t="shared" si="105"/>
        <v>1.46</v>
      </c>
      <c r="CZ128" s="17">
        <f t="shared" si="106"/>
        <v>3.75</v>
      </c>
      <c r="DA128" s="20">
        <f t="shared" si="107"/>
        <v>0.54400000000000004</v>
      </c>
      <c r="DB128" s="20">
        <f t="shared" si="108"/>
        <v>0.58699999999999997</v>
      </c>
      <c r="DC128" s="16">
        <f t="shared" si="109"/>
        <v>12.05</v>
      </c>
      <c r="DW128" s="1">
        <v>2.6</v>
      </c>
      <c r="DX128" s="1">
        <v>5.5</v>
      </c>
      <c r="DY128" s="1">
        <v>0.2</v>
      </c>
    </row>
    <row r="129" spans="1:129" x14ac:dyDescent="0.2">
      <c r="A129" s="40">
        <v>34822</v>
      </c>
      <c r="B129" s="3">
        <v>123</v>
      </c>
      <c r="C129" s="3">
        <v>8.8000000000000007</v>
      </c>
      <c r="D129" s="3">
        <v>16.84</v>
      </c>
      <c r="E129" s="3">
        <v>1.3580000000000001</v>
      </c>
      <c r="F129" s="3">
        <v>97.3</v>
      </c>
      <c r="G129" s="3">
        <v>1.0629999999999999</v>
      </c>
      <c r="H129" s="3">
        <v>0.45900000000000002</v>
      </c>
      <c r="I129" s="3">
        <v>6.0999999999999999E-2</v>
      </c>
      <c r="J129" s="3">
        <v>1.0449999999999999</v>
      </c>
      <c r="K129" s="3">
        <v>1.1890000000000001</v>
      </c>
      <c r="L129" s="3">
        <v>6.4000000000000001E-2</v>
      </c>
      <c r="M129" s="3">
        <v>0.39</v>
      </c>
      <c r="N129" s="3">
        <v>0.70599999999999996</v>
      </c>
      <c r="O129" s="3">
        <v>2E-3</v>
      </c>
      <c r="P129" s="16">
        <v>0.91133333333333333</v>
      </c>
      <c r="Q129" s="3"/>
      <c r="R129" s="3">
        <v>5.1159999999999997</v>
      </c>
      <c r="S129" s="3">
        <v>1203</v>
      </c>
      <c r="T129" s="3">
        <v>105.5</v>
      </c>
      <c r="U129" s="3">
        <v>148</v>
      </c>
      <c r="V129" s="3">
        <v>8.68</v>
      </c>
      <c r="W129" s="3">
        <v>5.3079999999999998</v>
      </c>
      <c r="X129" s="3">
        <v>0.155</v>
      </c>
      <c r="Y129" s="3">
        <v>7.65</v>
      </c>
      <c r="Z129" s="3">
        <v>7.21</v>
      </c>
      <c r="AA129" s="3">
        <v>0.155</v>
      </c>
      <c r="AB129" s="3">
        <v>0.48899999999999999</v>
      </c>
      <c r="AC129" s="3">
        <v>0.81</v>
      </c>
      <c r="AD129" s="16">
        <v>3.0874999999999999</v>
      </c>
      <c r="AE129" s="3">
        <v>1013</v>
      </c>
      <c r="AF129" s="3">
        <v>-2.0089999999999999</v>
      </c>
      <c r="AG129" s="3">
        <v>2346</v>
      </c>
      <c r="AH129" s="3">
        <v>70.8</v>
      </c>
      <c r="AI129" s="3">
        <v>1201</v>
      </c>
      <c r="AJ129" s="3">
        <v>-2.7040000000000002</v>
      </c>
      <c r="AK129" s="3">
        <v>-3.4630000000000001</v>
      </c>
      <c r="AL129" s="3">
        <v>-5.2999999999999999E-2</v>
      </c>
      <c r="AM129" s="3">
        <v>-3.37</v>
      </c>
      <c r="AN129" s="3">
        <v>-2.3849999999999998</v>
      </c>
      <c r="AO129" s="3">
        <v>-0.03</v>
      </c>
      <c r="AP129" s="3">
        <v>0.29299999999999998</v>
      </c>
      <c r="AQ129" s="3">
        <v>0.60399999999999998</v>
      </c>
      <c r="AR129" s="3">
        <v>7.5999999999999998E-2</v>
      </c>
      <c r="AS129" s="3">
        <v>0.183</v>
      </c>
      <c r="AT129" s="3">
        <v>0.108</v>
      </c>
      <c r="AU129" s="3">
        <v>2.5000000000000001E-2</v>
      </c>
      <c r="AV129" s="3">
        <v>0.125</v>
      </c>
      <c r="AW129" s="3">
        <v>0.30099999999999999</v>
      </c>
      <c r="AX129" s="3">
        <v>0.107</v>
      </c>
      <c r="AY129" s="3">
        <v>7.3999999999999996E-2</v>
      </c>
      <c r="AZ129" s="3">
        <v>0.81</v>
      </c>
      <c r="BA129" s="3">
        <v>2630</v>
      </c>
      <c r="BB129" s="3">
        <v>12.05</v>
      </c>
      <c r="BC129" s="3">
        <v>2876</v>
      </c>
      <c r="BD129" s="3"/>
      <c r="BE129" s="3"/>
      <c r="BF129" s="3">
        <f t="shared" si="76"/>
        <v>855</v>
      </c>
      <c r="BH129" s="16">
        <v>28.61</v>
      </c>
      <c r="BI129" s="16">
        <f t="shared" si="69"/>
        <v>57.792200000000001</v>
      </c>
      <c r="BJ129" s="17">
        <f t="shared" si="70"/>
        <v>8.8000000000000007</v>
      </c>
      <c r="BK129" s="17">
        <f t="shared" si="71"/>
        <v>18.190000000000001</v>
      </c>
      <c r="BM129" s="1">
        <f t="shared" si="72"/>
        <v>98.5</v>
      </c>
      <c r="BN129" s="1">
        <f t="shared" si="73"/>
        <v>90.9</v>
      </c>
      <c r="BO129" s="1">
        <f t="shared" si="74"/>
        <v>66.400000000000006</v>
      </c>
      <c r="BP129" s="62">
        <f t="shared" si="77"/>
        <v>0.58399999999999996</v>
      </c>
      <c r="BQ129" s="62">
        <f t="shared" si="75"/>
        <v>0.29599999999999999</v>
      </c>
      <c r="BS129" s="48">
        <f t="shared" si="110"/>
        <v>2.8</v>
      </c>
      <c r="BT129" s="44">
        <v>2</v>
      </c>
      <c r="BV129" s="8"/>
      <c r="BW129" s="16">
        <f t="shared" si="78"/>
        <v>8.8000000000000007</v>
      </c>
      <c r="BX129" s="16">
        <f t="shared" si="79"/>
        <v>18.190000000000001</v>
      </c>
      <c r="BY129" s="3">
        <f t="shared" si="80"/>
        <v>1.4</v>
      </c>
      <c r="BZ129" s="3">
        <f t="shared" si="81"/>
        <v>1.1000000000000001</v>
      </c>
      <c r="CA129" s="3">
        <f t="shared" si="82"/>
        <v>0.5</v>
      </c>
      <c r="CB129" s="3">
        <f t="shared" si="83"/>
        <v>0.1</v>
      </c>
      <c r="CC129" s="3">
        <f t="shared" si="84"/>
        <v>0.1</v>
      </c>
      <c r="CD129" s="3">
        <f t="shared" si="85"/>
        <v>0.4</v>
      </c>
      <c r="CE129" s="3">
        <f t="shared" si="86"/>
        <v>0.7</v>
      </c>
      <c r="CF129" s="23">
        <f t="shared" si="87"/>
        <v>90.9</v>
      </c>
      <c r="CG129" s="1">
        <f t="shared" si="88"/>
        <v>5.0999999999999996</v>
      </c>
      <c r="CH129" s="1">
        <f t="shared" si="89"/>
        <v>8.6999999999999993</v>
      </c>
      <c r="CI129" s="1">
        <f t="shared" si="90"/>
        <v>5.3</v>
      </c>
      <c r="CJ129" s="1">
        <f t="shared" si="91"/>
        <v>0.2</v>
      </c>
      <c r="CK129" s="1">
        <f t="shared" si="92"/>
        <v>0.2</v>
      </c>
      <c r="CL129" s="1">
        <f t="shared" si="93"/>
        <v>0.5</v>
      </c>
      <c r="CM129" s="1">
        <f t="shared" si="94"/>
        <v>0.8</v>
      </c>
      <c r="CN129" s="2">
        <f t="shared" si="95"/>
        <v>98.5</v>
      </c>
      <c r="CO129" s="1">
        <f t="shared" si="96"/>
        <v>-2</v>
      </c>
      <c r="CP129" s="1">
        <f t="shared" si="97"/>
        <v>-2.7</v>
      </c>
      <c r="CQ129" s="1">
        <f t="shared" si="98"/>
        <v>-3.5</v>
      </c>
      <c r="CR129" s="1">
        <f t="shared" si="99"/>
        <v>-0.1</v>
      </c>
      <c r="CS129" s="1">
        <f t="shared" si="100"/>
        <v>0</v>
      </c>
      <c r="CT129" s="1">
        <f t="shared" si="101"/>
        <v>0.3</v>
      </c>
      <c r="CU129" s="1">
        <f t="shared" si="102"/>
        <v>0.6</v>
      </c>
      <c r="CV129" s="2">
        <f t="shared" si="103"/>
        <v>66.400000000000006</v>
      </c>
      <c r="CW129" s="18">
        <f t="shared" si="104"/>
        <v>855</v>
      </c>
      <c r="CX129" s="1">
        <f>ROUND(PPTest!K129,1)</f>
        <v>1.2</v>
      </c>
      <c r="CY129" s="17">
        <f t="shared" si="105"/>
        <v>0.91</v>
      </c>
      <c r="CZ129" s="17">
        <f t="shared" si="106"/>
        <v>3.09</v>
      </c>
      <c r="DA129" s="20">
        <f t="shared" si="107"/>
        <v>0.58399999999999996</v>
      </c>
      <c r="DB129" s="20">
        <f t="shared" si="108"/>
        <v>0.29599999999999999</v>
      </c>
      <c r="DC129" s="16">
        <f t="shared" si="109"/>
        <v>12.05</v>
      </c>
      <c r="DW129" s="1">
        <v>2.1</v>
      </c>
      <c r="DX129" s="1">
        <v>7.8</v>
      </c>
      <c r="DY129" s="1">
        <v>-3.4</v>
      </c>
    </row>
    <row r="130" spans="1:129" x14ac:dyDescent="0.2">
      <c r="A130" s="40">
        <v>34823</v>
      </c>
      <c r="B130" s="3">
        <v>124</v>
      </c>
      <c r="C130" s="3">
        <v>14.3</v>
      </c>
      <c r="D130" s="3">
        <v>28.28</v>
      </c>
      <c r="E130" s="3">
        <v>1.915</v>
      </c>
      <c r="F130" s="3">
        <v>83.4</v>
      </c>
      <c r="G130" s="3">
        <v>1.4370000000000001</v>
      </c>
      <c r="H130" s="3">
        <v>0.85299999999999998</v>
      </c>
      <c r="I130" s="3">
        <v>4.2000000000000003E-2</v>
      </c>
      <c r="J130" s="3">
        <v>1.3080000000000001</v>
      </c>
      <c r="K130" s="3">
        <v>2.1859999999999999</v>
      </c>
      <c r="L130" s="3">
        <v>5.6000000000000001E-2</v>
      </c>
      <c r="M130" s="3">
        <v>0.38600000000000001</v>
      </c>
      <c r="N130" s="3">
        <v>0.70399999999999996</v>
      </c>
      <c r="O130" s="3">
        <v>2E-3</v>
      </c>
      <c r="P130" s="16">
        <v>1.3203333333333334</v>
      </c>
      <c r="Q130" s="3"/>
      <c r="R130" s="3">
        <v>8.23</v>
      </c>
      <c r="S130" s="3">
        <v>1619</v>
      </c>
      <c r="T130" s="3">
        <v>104.6</v>
      </c>
      <c r="U130" s="3">
        <v>9</v>
      </c>
      <c r="V130" s="3">
        <v>12.35</v>
      </c>
      <c r="W130" s="3">
        <v>9.07</v>
      </c>
      <c r="X130" s="3">
        <v>0.255</v>
      </c>
      <c r="Y130" s="3">
        <v>13.84</v>
      </c>
      <c r="Z130" s="3">
        <v>13.91</v>
      </c>
      <c r="AA130" s="3">
        <v>0.253</v>
      </c>
      <c r="AB130" s="3">
        <v>0.61</v>
      </c>
      <c r="AC130" s="3">
        <v>0.93200000000000005</v>
      </c>
      <c r="AD130" s="16">
        <v>4.1941666666666668</v>
      </c>
      <c r="AE130" s="3">
        <v>1705</v>
      </c>
      <c r="AF130" s="3">
        <v>-4.1150000000000002</v>
      </c>
      <c r="AG130" s="3">
        <v>444</v>
      </c>
      <c r="AH130" s="3">
        <v>51.67</v>
      </c>
      <c r="AI130" s="3">
        <v>1621</v>
      </c>
      <c r="AJ130" s="3">
        <v>-4.8540000000000001</v>
      </c>
      <c r="AK130" s="3">
        <v>-5.8949999999999996</v>
      </c>
      <c r="AL130" s="3">
        <v>-9.9000000000000005E-2</v>
      </c>
      <c r="AM130" s="3">
        <v>-5.8689999999999998</v>
      </c>
      <c r="AN130" s="3">
        <v>-5.2050000000000001</v>
      </c>
      <c r="AO130" s="3">
        <v>-0.115</v>
      </c>
      <c r="AP130" s="3">
        <v>0.16700000000000001</v>
      </c>
      <c r="AQ130" s="3">
        <v>0.48199999999999998</v>
      </c>
      <c r="AR130" s="3">
        <v>9.9000000000000005E-2</v>
      </c>
      <c r="AS130" s="3">
        <v>0.51100000000000001</v>
      </c>
      <c r="AT130" s="3">
        <v>0.254</v>
      </c>
      <c r="AU130" s="3">
        <v>2.1999999999999999E-2</v>
      </c>
      <c r="AV130" s="3">
        <v>2.4E-2</v>
      </c>
      <c r="AW130" s="3">
        <v>4.1000000000000002E-2</v>
      </c>
      <c r="AX130" s="3">
        <v>1.4999999999999999E-2</v>
      </c>
      <c r="AY130" s="3">
        <v>3.4000000000000002E-2</v>
      </c>
      <c r="AZ130" s="3">
        <v>-3.3000000000000002E-2</v>
      </c>
      <c r="BA130" s="3">
        <v>2649</v>
      </c>
      <c r="BB130" s="3">
        <v>12.04</v>
      </c>
      <c r="BC130" s="3">
        <v>2876</v>
      </c>
      <c r="BD130" s="3"/>
      <c r="BE130" s="3"/>
      <c r="BF130" s="3">
        <f t="shared" si="76"/>
        <v>836</v>
      </c>
      <c r="BH130" s="16">
        <v>28.8</v>
      </c>
      <c r="BI130" s="16">
        <f t="shared" si="69"/>
        <v>58.176000000000002</v>
      </c>
      <c r="BJ130" s="17">
        <f t="shared" si="70"/>
        <v>14.3</v>
      </c>
      <c r="BK130" s="17">
        <f t="shared" si="71"/>
        <v>30.54</v>
      </c>
      <c r="BM130" s="1">
        <f t="shared" si="72"/>
        <v>97.7</v>
      </c>
      <c r="BN130" s="1">
        <f t="shared" si="73"/>
        <v>78.099999999999994</v>
      </c>
      <c r="BO130" s="1">
        <f t="shared" si="74"/>
        <v>48.7</v>
      </c>
      <c r="BP130" s="62">
        <f t="shared" si="77"/>
        <v>0.53</v>
      </c>
      <c r="BQ130" s="62">
        <f t="shared" si="75"/>
        <v>0.55800000000000005</v>
      </c>
      <c r="BS130" s="48">
        <f t="shared" si="110"/>
        <v>0</v>
      </c>
      <c r="BT130" s="44">
        <v>0</v>
      </c>
      <c r="BV130" s="8"/>
      <c r="BW130" s="16">
        <f t="shared" si="78"/>
        <v>14.3</v>
      </c>
      <c r="BX130" s="16">
        <f t="shared" si="79"/>
        <v>30.54</v>
      </c>
      <c r="BY130" s="3">
        <f t="shared" si="80"/>
        <v>1.9</v>
      </c>
      <c r="BZ130" s="3">
        <f t="shared" si="81"/>
        <v>1.4</v>
      </c>
      <c r="CA130" s="3">
        <f t="shared" si="82"/>
        <v>0.9</v>
      </c>
      <c r="CB130" s="3">
        <f t="shared" si="83"/>
        <v>0</v>
      </c>
      <c r="CC130" s="3">
        <f t="shared" si="84"/>
        <v>0.1</v>
      </c>
      <c r="CD130" s="3">
        <f t="shared" si="85"/>
        <v>0.4</v>
      </c>
      <c r="CE130" s="3">
        <f t="shared" si="86"/>
        <v>0.7</v>
      </c>
      <c r="CF130" s="23">
        <f t="shared" si="87"/>
        <v>78.099999999999994</v>
      </c>
      <c r="CG130" s="1">
        <f t="shared" si="88"/>
        <v>8.1999999999999993</v>
      </c>
      <c r="CH130" s="1">
        <f t="shared" si="89"/>
        <v>12.4</v>
      </c>
      <c r="CI130" s="1">
        <f t="shared" si="90"/>
        <v>9.1</v>
      </c>
      <c r="CJ130" s="1">
        <f t="shared" si="91"/>
        <v>0.3</v>
      </c>
      <c r="CK130" s="1">
        <f t="shared" si="92"/>
        <v>0.3</v>
      </c>
      <c r="CL130" s="1">
        <f t="shared" si="93"/>
        <v>0.6</v>
      </c>
      <c r="CM130" s="1">
        <f t="shared" si="94"/>
        <v>0.9</v>
      </c>
      <c r="CN130" s="2">
        <f t="shared" si="95"/>
        <v>97.7</v>
      </c>
      <c r="CO130" s="1">
        <f t="shared" si="96"/>
        <v>-4.0999999999999996</v>
      </c>
      <c r="CP130" s="1">
        <f t="shared" si="97"/>
        <v>-4.9000000000000004</v>
      </c>
      <c r="CQ130" s="1">
        <f t="shared" si="98"/>
        <v>-5.9</v>
      </c>
      <c r="CR130" s="1">
        <f t="shared" si="99"/>
        <v>-0.1</v>
      </c>
      <c r="CS130" s="1">
        <f t="shared" si="100"/>
        <v>-0.1</v>
      </c>
      <c r="CT130" s="1">
        <f t="shared" si="101"/>
        <v>0.2</v>
      </c>
      <c r="CU130" s="1">
        <f t="shared" si="102"/>
        <v>0.5</v>
      </c>
      <c r="CV130" s="2">
        <f t="shared" si="103"/>
        <v>48.7</v>
      </c>
      <c r="CW130" s="18">
        <f t="shared" si="104"/>
        <v>836</v>
      </c>
      <c r="CX130" s="1">
        <f>ROUND(PPTest!K130,1)</f>
        <v>0</v>
      </c>
      <c r="CY130" s="17">
        <f t="shared" si="105"/>
        <v>1.32</v>
      </c>
      <c r="CZ130" s="17">
        <f t="shared" si="106"/>
        <v>4.1900000000000004</v>
      </c>
      <c r="DA130" s="20">
        <f t="shared" si="107"/>
        <v>0.53</v>
      </c>
      <c r="DB130" s="20">
        <f t="shared" si="108"/>
        <v>0.55800000000000005</v>
      </c>
      <c r="DC130" s="16">
        <f t="shared" si="109"/>
        <v>12.04</v>
      </c>
      <c r="DW130" s="1">
        <v>3</v>
      </c>
      <c r="DX130" s="1">
        <v>10.3</v>
      </c>
      <c r="DY130" s="1">
        <v>-4.2</v>
      </c>
    </row>
    <row r="131" spans="1:129" x14ac:dyDescent="0.2">
      <c r="A131" s="40">
        <v>34824</v>
      </c>
      <c r="B131" s="3">
        <v>125</v>
      </c>
      <c r="C131" s="3">
        <v>9.64</v>
      </c>
      <c r="D131" s="3">
        <v>19.18</v>
      </c>
      <c r="E131" s="3">
        <v>2.6080000000000001</v>
      </c>
      <c r="F131" s="3">
        <v>81.8</v>
      </c>
      <c r="G131" s="3">
        <v>2.0150000000000001</v>
      </c>
      <c r="H131" s="3">
        <v>1.71</v>
      </c>
      <c r="I131" s="3">
        <v>4.2000000000000003E-2</v>
      </c>
      <c r="J131" s="3">
        <v>1.504</v>
      </c>
      <c r="K131" s="3">
        <v>2.2229999999999999</v>
      </c>
      <c r="L131" s="3">
        <v>0.06</v>
      </c>
      <c r="M131" s="3">
        <v>0.38200000000000001</v>
      </c>
      <c r="N131" s="3">
        <v>0.7</v>
      </c>
      <c r="O131" s="3">
        <v>1E-3</v>
      </c>
      <c r="P131" s="16">
        <v>1.6125</v>
      </c>
      <c r="Q131" s="3"/>
      <c r="R131" s="3">
        <v>6.5780000000000003</v>
      </c>
      <c r="S131" s="3">
        <v>1514</v>
      </c>
      <c r="T131" s="3">
        <v>94.6</v>
      </c>
      <c r="U131" s="3">
        <v>2324</v>
      </c>
      <c r="V131" s="3">
        <v>6.3440000000000003</v>
      </c>
      <c r="W131" s="3">
        <v>6.359</v>
      </c>
      <c r="X131" s="3">
        <v>0.18</v>
      </c>
      <c r="Y131" s="3">
        <v>7.37</v>
      </c>
      <c r="Z131" s="3">
        <v>8.58</v>
      </c>
      <c r="AA131" s="3">
        <v>0.19900000000000001</v>
      </c>
      <c r="AB131" s="3">
        <v>0.51400000000000001</v>
      </c>
      <c r="AC131" s="3">
        <v>0.84</v>
      </c>
      <c r="AD131" s="16">
        <v>3.7941666666666669</v>
      </c>
      <c r="AE131" s="3">
        <v>1313</v>
      </c>
      <c r="AF131" s="3">
        <v>-2.74</v>
      </c>
      <c r="AG131" s="3">
        <v>408</v>
      </c>
      <c r="AH131" s="3">
        <v>50.41</v>
      </c>
      <c r="AI131" s="3">
        <v>917</v>
      </c>
      <c r="AJ131" s="3">
        <v>-3.5129999999999999</v>
      </c>
      <c r="AK131" s="3">
        <v>-4.1029999999999998</v>
      </c>
      <c r="AL131" s="3">
        <v>-9.5000000000000001E-2</v>
      </c>
      <c r="AM131" s="3">
        <v>-4.34</v>
      </c>
      <c r="AN131" s="3">
        <v>-3.8620000000000001</v>
      </c>
      <c r="AO131" s="3">
        <v>-9.5000000000000001E-2</v>
      </c>
      <c r="AP131" s="3">
        <v>0.20899999999999999</v>
      </c>
      <c r="AQ131" s="3">
        <v>0.51</v>
      </c>
      <c r="AR131" s="3">
        <v>0.1</v>
      </c>
      <c r="AS131" s="3">
        <v>0.58699999999999997</v>
      </c>
      <c r="AT131" s="3">
        <v>0.29199999999999998</v>
      </c>
      <c r="AU131" s="3">
        <v>6.0000000000000001E-3</v>
      </c>
      <c r="AV131" s="3">
        <v>4.0000000000000001E-3</v>
      </c>
      <c r="AW131" s="3">
        <v>5.0000000000000001E-3</v>
      </c>
      <c r="AX131" s="3">
        <v>1E-3</v>
      </c>
      <c r="AY131" s="3">
        <v>5.0000000000000001E-3</v>
      </c>
      <c r="AZ131" s="3">
        <v>0.76400000000000001</v>
      </c>
      <c r="BA131" s="3">
        <v>2666</v>
      </c>
      <c r="BB131" s="3">
        <v>12.05</v>
      </c>
      <c r="BC131" s="3">
        <v>2876</v>
      </c>
      <c r="BD131" s="3"/>
      <c r="BE131" s="3"/>
      <c r="BF131" s="3">
        <f t="shared" si="76"/>
        <v>819</v>
      </c>
      <c r="BH131" s="16">
        <v>28.99</v>
      </c>
      <c r="BI131" s="16">
        <f t="shared" si="69"/>
        <v>58.559799999999996</v>
      </c>
      <c r="BJ131" s="17">
        <f t="shared" si="70"/>
        <v>9.64</v>
      </c>
      <c r="BK131" s="17">
        <f t="shared" si="71"/>
        <v>20.71</v>
      </c>
      <c r="BM131" s="1">
        <f t="shared" si="72"/>
        <v>88.4</v>
      </c>
      <c r="BN131" s="1">
        <f t="shared" si="73"/>
        <v>76.599999999999994</v>
      </c>
      <c r="BO131" s="1">
        <f t="shared" si="74"/>
        <v>47.6</v>
      </c>
      <c r="BP131" s="62">
        <f t="shared" si="77"/>
        <v>0.46300000000000002</v>
      </c>
      <c r="BQ131" s="62">
        <f t="shared" si="75"/>
        <v>0.51</v>
      </c>
      <c r="BS131" s="48">
        <f t="shared" si="110"/>
        <v>0</v>
      </c>
      <c r="BT131" s="44">
        <v>0</v>
      </c>
      <c r="BV131" s="8"/>
      <c r="BW131" s="16">
        <f t="shared" si="78"/>
        <v>9.64</v>
      </c>
      <c r="BX131" s="16">
        <f t="shared" si="79"/>
        <v>20.71</v>
      </c>
      <c r="BY131" s="3">
        <f t="shared" si="80"/>
        <v>2.6</v>
      </c>
      <c r="BZ131" s="3">
        <f t="shared" si="81"/>
        <v>2</v>
      </c>
      <c r="CA131" s="3">
        <f t="shared" si="82"/>
        <v>1.7</v>
      </c>
      <c r="CB131" s="3">
        <f t="shared" si="83"/>
        <v>0</v>
      </c>
      <c r="CC131" s="3">
        <f t="shared" si="84"/>
        <v>0.1</v>
      </c>
      <c r="CD131" s="3">
        <f t="shared" si="85"/>
        <v>0.4</v>
      </c>
      <c r="CE131" s="3">
        <f t="shared" si="86"/>
        <v>0.7</v>
      </c>
      <c r="CF131" s="23">
        <f t="shared" si="87"/>
        <v>76.599999999999994</v>
      </c>
      <c r="CG131" s="1">
        <f t="shared" si="88"/>
        <v>6.6</v>
      </c>
      <c r="CH131" s="1">
        <f t="shared" si="89"/>
        <v>6.3</v>
      </c>
      <c r="CI131" s="1">
        <f t="shared" si="90"/>
        <v>6.4</v>
      </c>
      <c r="CJ131" s="1">
        <f t="shared" si="91"/>
        <v>0.2</v>
      </c>
      <c r="CK131" s="1">
        <f t="shared" si="92"/>
        <v>0.2</v>
      </c>
      <c r="CL131" s="1">
        <f t="shared" si="93"/>
        <v>0.5</v>
      </c>
      <c r="CM131" s="1">
        <f t="shared" si="94"/>
        <v>0.8</v>
      </c>
      <c r="CN131" s="2">
        <f t="shared" si="95"/>
        <v>88.4</v>
      </c>
      <c r="CO131" s="1">
        <f t="shared" si="96"/>
        <v>-2.7</v>
      </c>
      <c r="CP131" s="1">
        <f t="shared" si="97"/>
        <v>-3.5</v>
      </c>
      <c r="CQ131" s="1">
        <f t="shared" si="98"/>
        <v>-4.0999999999999996</v>
      </c>
      <c r="CR131" s="1">
        <f t="shared" si="99"/>
        <v>-0.1</v>
      </c>
      <c r="CS131" s="1">
        <f t="shared" si="100"/>
        <v>-0.1</v>
      </c>
      <c r="CT131" s="1">
        <f t="shared" si="101"/>
        <v>0.2</v>
      </c>
      <c r="CU131" s="1">
        <f t="shared" si="102"/>
        <v>0.5</v>
      </c>
      <c r="CV131" s="2">
        <f t="shared" si="103"/>
        <v>47.6</v>
      </c>
      <c r="CW131" s="18">
        <f t="shared" si="104"/>
        <v>819</v>
      </c>
      <c r="CX131" s="1">
        <f>ROUND(PPTest!K131,1)</f>
        <v>0</v>
      </c>
      <c r="CY131" s="17">
        <f t="shared" si="105"/>
        <v>1.61</v>
      </c>
      <c r="CZ131" s="17">
        <f t="shared" si="106"/>
        <v>3.79</v>
      </c>
      <c r="DA131" s="20">
        <f t="shared" si="107"/>
        <v>0.46300000000000002</v>
      </c>
      <c r="DB131" s="20">
        <f t="shared" si="108"/>
        <v>0.51</v>
      </c>
      <c r="DC131" s="16">
        <f t="shared" si="109"/>
        <v>12.05</v>
      </c>
      <c r="DW131" s="1">
        <v>3.1</v>
      </c>
      <c r="DX131" s="1">
        <v>6.3</v>
      </c>
      <c r="DY131" s="1">
        <v>0.8</v>
      </c>
    </row>
    <row r="132" spans="1:129" x14ac:dyDescent="0.2">
      <c r="A132" s="40">
        <v>34825</v>
      </c>
      <c r="B132" s="3">
        <v>126</v>
      </c>
      <c r="C132" s="3">
        <v>18.27</v>
      </c>
      <c r="D132" s="3">
        <v>35.07</v>
      </c>
      <c r="E132" s="3">
        <v>4.7050000000000001</v>
      </c>
      <c r="F132" s="3">
        <v>73.8</v>
      </c>
      <c r="G132" s="3">
        <v>4.28</v>
      </c>
      <c r="H132" s="3">
        <v>3.9049999999999998</v>
      </c>
      <c r="I132" s="3">
        <v>0.113</v>
      </c>
      <c r="J132" s="3">
        <v>4.6379999999999999</v>
      </c>
      <c r="K132" s="3">
        <v>5.1950000000000003</v>
      </c>
      <c r="L132" s="3">
        <v>0.112</v>
      </c>
      <c r="M132" s="3">
        <v>0.42599999999999999</v>
      </c>
      <c r="N132" s="3">
        <v>0.747</v>
      </c>
      <c r="O132" s="3">
        <v>1E-3</v>
      </c>
      <c r="P132" s="16">
        <v>1.7375</v>
      </c>
      <c r="Q132" s="3"/>
      <c r="R132" s="3">
        <v>10.06</v>
      </c>
      <c r="S132" s="3">
        <v>1415</v>
      </c>
      <c r="T132" s="3">
        <v>100.5</v>
      </c>
      <c r="U132" s="3">
        <v>445</v>
      </c>
      <c r="V132" s="3">
        <v>12.55</v>
      </c>
      <c r="W132" s="3">
        <v>11.76</v>
      </c>
      <c r="X132" s="3">
        <v>0.313</v>
      </c>
      <c r="Y132" s="3">
        <v>16.989999999999998</v>
      </c>
      <c r="Z132" s="3">
        <v>15.68</v>
      </c>
      <c r="AA132" s="3">
        <v>0.28999999999999998</v>
      </c>
      <c r="AB132" s="3">
        <v>0.623</v>
      </c>
      <c r="AC132" s="3">
        <v>0.95599999999999996</v>
      </c>
      <c r="AD132" s="16">
        <v>4.4608333333333334</v>
      </c>
      <c r="AE132" s="3">
        <v>1729</v>
      </c>
      <c r="AF132" s="3">
        <v>-1.802</v>
      </c>
      <c r="AG132" s="3">
        <v>445</v>
      </c>
      <c r="AH132" s="3">
        <v>50.91</v>
      </c>
      <c r="AI132" s="3">
        <v>1724</v>
      </c>
      <c r="AJ132" s="3">
        <v>-2.419</v>
      </c>
      <c r="AK132" s="3">
        <v>-2.835</v>
      </c>
      <c r="AL132" s="3">
        <v>-6.8000000000000005E-2</v>
      </c>
      <c r="AM132" s="3">
        <v>-2.274</v>
      </c>
      <c r="AN132" s="3">
        <v>-2.0710000000000002</v>
      </c>
      <c r="AO132" s="3">
        <v>-8.5000000000000006E-2</v>
      </c>
      <c r="AP132" s="3">
        <v>0.20399999999999999</v>
      </c>
      <c r="AQ132" s="3">
        <v>0.496</v>
      </c>
      <c r="AR132" s="3">
        <v>0.129</v>
      </c>
      <c r="AS132" s="3">
        <v>0.44900000000000001</v>
      </c>
      <c r="AT132" s="3">
        <v>0.21199999999999999</v>
      </c>
      <c r="AU132" s="3">
        <v>1.4999999999999999E-2</v>
      </c>
      <c r="AV132" s="3">
        <v>3.9E-2</v>
      </c>
      <c r="AW132" s="3">
        <v>7.4999999999999997E-2</v>
      </c>
      <c r="AX132" s="3">
        <v>4.5999999999999999E-2</v>
      </c>
      <c r="AY132" s="3">
        <v>3.4000000000000002E-2</v>
      </c>
      <c r="AZ132" s="3">
        <v>3.39</v>
      </c>
      <c r="BA132" s="3">
        <v>2720</v>
      </c>
      <c r="BB132" s="3">
        <v>12.05</v>
      </c>
      <c r="BC132" s="3">
        <v>2876</v>
      </c>
      <c r="BD132" s="3"/>
      <c r="BE132" s="3"/>
      <c r="BF132" s="3">
        <f t="shared" si="76"/>
        <v>765</v>
      </c>
      <c r="BH132" s="16">
        <v>29.17</v>
      </c>
      <c r="BI132" s="16">
        <f t="shared" si="69"/>
        <v>58.923400000000001</v>
      </c>
      <c r="BJ132" s="17">
        <f t="shared" si="70"/>
        <v>18.27</v>
      </c>
      <c r="BK132" s="17">
        <f t="shared" si="71"/>
        <v>37.880000000000003</v>
      </c>
      <c r="BM132" s="1">
        <f t="shared" si="72"/>
        <v>93.9</v>
      </c>
      <c r="BN132" s="1">
        <f t="shared" si="73"/>
        <v>69.2</v>
      </c>
      <c r="BO132" s="1">
        <f t="shared" si="74"/>
        <v>48</v>
      </c>
      <c r="BP132" s="62">
        <f t="shared" si="77"/>
        <v>0.59199999999999997</v>
      </c>
      <c r="BQ132" s="62">
        <f t="shared" si="75"/>
        <v>0.64100000000000001</v>
      </c>
      <c r="BS132" s="48">
        <f t="shared" si="110"/>
        <v>0</v>
      </c>
      <c r="BT132" s="44">
        <v>0</v>
      </c>
      <c r="BV132" s="8"/>
      <c r="BW132" s="16">
        <f t="shared" si="78"/>
        <v>18.27</v>
      </c>
      <c r="BX132" s="16">
        <f t="shared" si="79"/>
        <v>37.880000000000003</v>
      </c>
      <c r="BY132" s="3">
        <f t="shared" si="80"/>
        <v>4.7</v>
      </c>
      <c r="BZ132" s="3">
        <f t="shared" si="81"/>
        <v>4.3</v>
      </c>
      <c r="CA132" s="3">
        <f t="shared" si="82"/>
        <v>3.9</v>
      </c>
      <c r="CB132" s="3">
        <f t="shared" si="83"/>
        <v>0.1</v>
      </c>
      <c r="CC132" s="3">
        <f t="shared" si="84"/>
        <v>0.1</v>
      </c>
      <c r="CD132" s="3">
        <f t="shared" si="85"/>
        <v>0.4</v>
      </c>
      <c r="CE132" s="3">
        <f t="shared" si="86"/>
        <v>0.7</v>
      </c>
      <c r="CF132" s="23">
        <f t="shared" si="87"/>
        <v>69.2</v>
      </c>
      <c r="CG132" s="1">
        <f t="shared" si="88"/>
        <v>10.1</v>
      </c>
      <c r="CH132" s="1">
        <f t="shared" si="89"/>
        <v>12.6</v>
      </c>
      <c r="CI132" s="1">
        <f t="shared" si="90"/>
        <v>11.8</v>
      </c>
      <c r="CJ132" s="1">
        <f t="shared" si="91"/>
        <v>0.3</v>
      </c>
      <c r="CK132" s="1">
        <f t="shared" si="92"/>
        <v>0.3</v>
      </c>
      <c r="CL132" s="1">
        <f t="shared" si="93"/>
        <v>0.6</v>
      </c>
      <c r="CM132" s="1">
        <f t="shared" si="94"/>
        <v>1</v>
      </c>
      <c r="CN132" s="2">
        <f t="shared" si="95"/>
        <v>93.9</v>
      </c>
      <c r="CO132" s="1">
        <f t="shared" si="96"/>
        <v>-1.8</v>
      </c>
      <c r="CP132" s="1">
        <f t="shared" si="97"/>
        <v>-2.4</v>
      </c>
      <c r="CQ132" s="1">
        <f t="shared" si="98"/>
        <v>-2.8</v>
      </c>
      <c r="CR132" s="1">
        <f t="shared" si="99"/>
        <v>-0.1</v>
      </c>
      <c r="CS132" s="1">
        <f t="shared" si="100"/>
        <v>-0.1</v>
      </c>
      <c r="CT132" s="1">
        <f t="shared" si="101"/>
        <v>0.2</v>
      </c>
      <c r="CU132" s="1">
        <f t="shared" si="102"/>
        <v>0.5</v>
      </c>
      <c r="CV132" s="2">
        <f t="shared" si="103"/>
        <v>48</v>
      </c>
      <c r="CW132" s="18">
        <f t="shared" si="104"/>
        <v>765</v>
      </c>
      <c r="CX132" s="1">
        <f>ROUND(PPTest!K132,1)</f>
        <v>0</v>
      </c>
      <c r="CY132" s="17">
        <f t="shared" si="105"/>
        <v>1.74</v>
      </c>
      <c r="CZ132" s="17">
        <f t="shared" si="106"/>
        <v>4.46</v>
      </c>
      <c r="DA132" s="20">
        <f t="shared" si="107"/>
        <v>0.59199999999999997</v>
      </c>
      <c r="DB132" s="20">
        <f t="shared" si="108"/>
        <v>0.64100000000000001</v>
      </c>
      <c r="DC132" s="16">
        <f t="shared" si="109"/>
        <v>12.05</v>
      </c>
      <c r="DW132" s="1">
        <v>6</v>
      </c>
      <c r="DX132" s="1">
        <v>10.4</v>
      </c>
      <c r="DY132" s="1">
        <v>1</v>
      </c>
    </row>
    <row r="133" spans="1:129" x14ac:dyDescent="0.2">
      <c r="A133" s="40">
        <v>34826</v>
      </c>
      <c r="B133" s="3">
        <v>127</v>
      </c>
      <c r="C133" s="3">
        <v>16.21</v>
      </c>
      <c r="D133" s="3">
        <v>31.57</v>
      </c>
      <c r="E133" s="3">
        <v>5.6669999999999998</v>
      </c>
      <c r="F133" s="3">
        <v>66.94</v>
      </c>
      <c r="G133" s="3">
        <v>5.21</v>
      </c>
      <c r="H133" s="3">
        <v>4.7990000000000004</v>
      </c>
      <c r="I133" s="3">
        <v>0.14599999999999999</v>
      </c>
      <c r="J133" s="3">
        <v>5.3810000000000002</v>
      </c>
      <c r="K133" s="3">
        <v>6.2409999999999997</v>
      </c>
      <c r="L133" s="3">
        <v>0.13</v>
      </c>
      <c r="M133" s="3">
        <v>0.44</v>
      </c>
      <c r="N133" s="3">
        <v>0.76400000000000001</v>
      </c>
      <c r="O133" s="3">
        <v>1E-3</v>
      </c>
      <c r="P133" s="16">
        <v>2.1524999999999999</v>
      </c>
      <c r="Q133" s="3"/>
      <c r="R133" s="3">
        <v>11.32</v>
      </c>
      <c r="S133" s="3">
        <v>1412</v>
      </c>
      <c r="T133" s="3">
        <v>90.3</v>
      </c>
      <c r="U133" s="3">
        <v>455</v>
      </c>
      <c r="V133" s="3">
        <v>12.84</v>
      </c>
      <c r="W133" s="3">
        <v>12.88</v>
      </c>
      <c r="X133" s="3">
        <v>0.34200000000000003</v>
      </c>
      <c r="Y133" s="3">
        <v>14.62</v>
      </c>
      <c r="Z133" s="3">
        <v>15.72</v>
      </c>
      <c r="AA133" s="3">
        <v>0.307</v>
      </c>
      <c r="AB133" s="3">
        <v>0.61599999999999999</v>
      </c>
      <c r="AC133" s="3">
        <v>0.92800000000000005</v>
      </c>
      <c r="AD133" s="16">
        <v>4.7541666666666664</v>
      </c>
      <c r="AE133" s="3">
        <v>810</v>
      </c>
      <c r="AF133" s="3">
        <v>-1.274</v>
      </c>
      <c r="AG133" s="3">
        <v>2337</v>
      </c>
      <c r="AH133" s="3">
        <v>43.87</v>
      </c>
      <c r="AI133" s="3">
        <v>1825</v>
      </c>
      <c r="AJ133" s="3">
        <v>-2.1179999999999999</v>
      </c>
      <c r="AK133" s="3">
        <v>-2.6619999999999999</v>
      </c>
      <c r="AL133" s="3">
        <v>-1.7999999999999999E-2</v>
      </c>
      <c r="AM133" s="3">
        <v>-2.1070000000000002</v>
      </c>
      <c r="AN133" s="3">
        <v>-1.5860000000000001</v>
      </c>
      <c r="AO133" s="3">
        <v>-4.1000000000000002E-2</v>
      </c>
      <c r="AP133" s="3">
        <v>0.28100000000000003</v>
      </c>
      <c r="AQ133" s="3">
        <v>0.60499999999999998</v>
      </c>
      <c r="AR133" s="3">
        <v>0.109</v>
      </c>
      <c r="AS133" s="3">
        <v>0.55600000000000005</v>
      </c>
      <c r="AT133" s="3">
        <v>0.17499999999999999</v>
      </c>
      <c r="AU133" s="3">
        <v>1.7999999999999999E-2</v>
      </c>
      <c r="AV133" s="3">
        <v>2.9000000000000001E-2</v>
      </c>
      <c r="AW133" s="3">
        <v>4.5999999999999999E-2</v>
      </c>
      <c r="AX133" s="3">
        <v>1.2999999999999999E-2</v>
      </c>
      <c r="AY133" s="3">
        <v>5.2999999999999999E-2</v>
      </c>
      <c r="AZ133" s="3">
        <v>4.2930000000000001</v>
      </c>
      <c r="BA133" s="3">
        <v>2767</v>
      </c>
      <c r="BB133" s="3">
        <v>12.05</v>
      </c>
      <c r="BC133" s="3">
        <v>2876</v>
      </c>
      <c r="BD133" s="3"/>
      <c r="BE133" s="3"/>
      <c r="BF133" s="3">
        <f t="shared" si="76"/>
        <v>718</v>
      </c>
      <c r="BH133" s="16">
        <v>29.35</v>
      </c>
      <c r="BI133" s="16">
        <f t="shared" si="69"/>
        <v>59.287000000000006</v>
      </c>
      <c r="BJ133" s="17">
        <f t="shared" si="70"/>
        <v>16.21</v>
      </c>
      <c r="BK133" s="17">
        <f t="shared" si="71"/>
        <v>34.1</v>
      </c>
      <c r="BM133" s="1">
        <f t="shared" si="72"/>
        <v>84.4</v>
      </c>
      <c r="BN133" s="1">
        <f t="shared" si="73"/>
        <v>62.9</v>
      </c>
      <c r="BO133" s="1">
        <f t="shared" si="74"/>
        <v>41.5</v>
      </c>
      <c r="BP133" s="62">
        <f t="shared" si="77"/>
        <v>0.55600000000000005</v>
      </c>
      <c r="BQ133" s="62">
        <f t="shared" si="75"/>
        <v>0.78400000000000003</v>
      </c>
      <c r="BS133" s="48">
        <f t="shared" si="110"/>
        <v>11.2</v>
      </c>
      <c r="BT133" s="44">
        <v>8</v>
      </c>
      <c r="BV133" s="8"/>
      <c r="BW133" s="16">
        <f t="shared" si="78"/>
        <v>16.21</v>
      </c>
      <c r="BX133" s="16">
        <f t="shared" si="79"/>
        <v>34.1</v>
      </c>
      <c r="BY133" s="3">
        <f t="shared" si="80"/>
        <v>5.7</v>
      </c>
      <c r="BZ133" s="3">
        <f t="shared" si="81"/>
        <v>5.2</v>
      </c>
      <c r="CA133" s="3">
        <f t="shared" si="82"/>
        <v>4.8</v>
      </c>
      <c r="CB133" s="3">
        <f t="shared" si="83"/>
        <v>0.1</v>
      </c>
      <c r="CC133" s="3">
        <f t="shared" si="84"/>
        <v>0.1</v>
      </c>
      <c r="CD133" s="3">
        <f t="shared" si="85"/>
        <v>0.4</v>
      </c>
      <c r="CE133" s="3">
        <f t="shared" si="86"/>
        <v>0.8</v>
      </c>
      <c r="CF133" s="23">
        <f t="shared" si="87"/>
        <v>62.9</v>
      </c>
      <c r="CG133" s="1">
        <f t="shared" si="88"/>
        <v>11.3</v>
      </c>
      <c r="CH133" s="1">
        <f t="shared" si="89"/>
        <v>12.8</v>
      </c>
      <c r="CI133" s="1">
        <f t="shared" si="90"/>
        <v>12.9</v>
      </c>
      <c r="CJ133" s="1">
        <f t="shared" si="91"/>
        <v>0.3</v>
      </c>
      <c r="CK133" s="1">
        <f t="shared" si="92"/>
        <v>0.3</v>
      </c>
      <c r="CL133" s="1">
        <f t="shared" si="93"/>
        <v>0.6</v>
      </c>
      <c r="CM133" s="1">
        <f t="shared" si="94"/>
        <v>0.9</v>
      </c>
      <c r="CN133" s="2">
        <f t="shared" si="95"/>
        <v>84.4</v>
      </c>
      <c r="CO133" s="1">
        <f t="shared" si="96"/>
        <v>-1.3</v>
      </c>
      <c r="CP133" s="1">
        <f t="shared" si="97"/>
        <v>-2.1</v>
      </c>
      <c r="CQ133" s="1">
        <f t="shared" si="98"/>
        <v>-2.7</v>
      </c>
      <c r="CR133" s="1">
        <f t="shared" si="99"/>
        <v>0</v>
      </c>
      <c r="CS133" s="1">
        <f t="shared" si="100"/>
        <v>0</v>
      </c>
      <c r="CT133" s="1">
        <f t="shared" si="101"/>
        <v>0.3</v>
      </c>
      <c r="CU133" s="1">
        <f t="shared" si="102"/>
        <v>0.6</v>
      </c>
      <c r="CV133" s="2">
        <f t="shared" si="103"/>
        <v>41.5</v>
      </c>
      <c r="CW133" s="18">
        <f t="shared" si="104"/>
        <v>718</v>
      </c>
      <c r="CX133" s="1">
        <f>ROUND(PPTest!K133,1)</f>
        <v>0</v>
      </c>
      <c r="CY133" s="17">
        <f t="shared" si="105"/>
        <v>2.15</v>
      </c>
      <c r="CZ133" s="17">
        <f t="shared" si="106"/>
        <v>4.75</v>
      </c>
      <c r="DA133" s="20">
        <f t="shared" si="107"/>
        <v>0.55600000000000005</v>
      </c>
      <c r="DB133" s="20">
        <f t="shared" si="108"/>
        <v>0.78400000000000003</v>
      </c>
      <c r="DC133" s="16">
        <f t="shared" si="109"/>
        <v>12.05</v>
      </c>
      <c r="DW133" s="1">
        <v>3.9</v>
      </c>
      <c r="DX133" s="1">
        <v>11</v>
      </c>
      <c r="DY133" s="1">
        <v>0.4</v>
      </c>
    </row>
    <row r="134" spans="1:129" x14ac:dyDescent="0.2">
      <c r="A134" s="40">
        <v>34827</v>
      </c>
      <c r="B134" s="3">
        <v>128</v>
      </c>
      <c r="C134" s="3">
        <v>18.420000000000002</v>
      </c>
      <c r="D134" s="3">
        <v>35.119999999999997</v>
      </c>
      <c r="E134" s="3">
        <v>6.407</v>
      </c>
      <c r="F134" s="3">
        <v>59.54</v>
      </c>
      <c r="G134" s="3">
        <v>5.77</v>
      </c>
      <c r="H134" s="3">
        <v>5.4080000000000004</v>
      </c>
      <c r="I134" s="3">
        <v>0.188</v>
      </c>
      <c r="J134" s="3">
        <v>5.577</v>
      </c>
      <c r="K134" s="3">
        <v>6.327</v>
      </c>
      <c r="L134" s="3">
        <v>0.12</v>
      </c>
      <c r="M134" s="3">
        <v>0.41899999999999998</v>
      </c>
      <c r="N134" s="3">
        <v>0.751</v>
      </c>
      <c r="O134" s="3">
        <v>0</v>
      </c>
      <c r="P134" s="16">
        <v>2.1608333333333336</v>
      </c>
      <c r="Q134" s="3"/>
      <c r="R134" s="3">
        <v>12.76</v>
      </c>
      <c r="S134" s="3">
        <v>1328</v>
      </c>
      <c r="T134" s="3">
        <v>88.9</v>
      </c>
      <c r="U134" s="3">
        <v>433</v>
      </c>
      <c r="V134" s="3">
        <v>13.57</v>
      </c>
      <c r="W134" s="3">
        <v>14.16</v>
      </c>
      <c r="X134" s="3">
        <v>0.41699999999999998</v>
      </c>
      <c r="Y134" s="3">
        <v>16.72</v>
      </c>
      <c r="Z134" s="3">
        <v>17.350000000000001</v>
      </c>
      <c r="AA134" s="3">
        <v>0.32</v>
      </c>
      <c r="AB134" s="3">
        <v>0.63</v>
      </c>
      <c r="AC134" s="3">
        <v>0.96399999999999997</v>
      </c>
      <c r="AD134" s="16">
        <v>5.0875000000000004</v>
      </c>
      <c r="AE134" s="3">
        <v>715</v>
      </c>
      <c r="AF134" s="3">
        <v>-1.613</v>
      </c>
      <c r="AG134" s="3">
        <v>109</v>
      </c>
      <c r="AH134" s="3">
        <v>36.270000000000003</v>
      </c>
      <c r="AI134" s="3">
        <v>1328</v>
      </c>
      <c r="AJ134" s="3">
        <v>-2.528</v>
      </c>
      <c r="AK134" s="3">
        <v>-3.1960000000000002</v>
      </c>
      <c r="AL134" s="3">
        <v>-3.7999999999999999E-2</v>
      </c>
      <c r="AM134" s="3">
        <v>-3.1219999999999999</v>
      </c>
      <c r="AN134" s="3">
        <v>-2.7149999999999999</v>
      </c>
      <c r="AO134" s="3">
        <v>-7.3999999999999996E-2</v>
      </c>
      <c r="AP134" s="3">
        <v>0.2</v>
      </c>
      <c r="AQ134" s="3">
        <v>0.48899999999999999</v>
      </c>
      <c r="AR134" s="3">
        <v>0.122</v>
      </c>
      <c r="AS134" s="3">
        <v>0.502</v>
      </c>
      <c r="AT134" s="3">
        <v>0.28699999999999998</v>
      </c>
      <c r="AU134" s="3">
        <v>4.4999999999999998E-2</v>
      </c>
      <c r="AV134" s="3">
        <v>1.7000000000000001E-2</v>
      </c>
      <c r="AW134" s="3">
        <v>8.9999999999999993E-3</v>
      </c>
      <c r="AX134" s="3">
        <v>2E-3</v>
      </c>
      <c r="AY134" s="3">
        <v>1.7000000000000001E-2</v>
      </c>
      <c r="AZ134" s="3">
        <v>4.41</v>
      </c>
      <c r="BA134" s="3">
        <v>2817</v>
      </c>
      <c r="BB134" s="3">
        <v>12.05</v>
      </c>
      <c r="BC134" s="3">
        <v>2876</v>
      </c>
      <c r="BD134" s="3"/>
      <c r="BE134" s="3"/>
      <c r="BF134" s="3">
        <f t="shared" si="76"/>
        <v>668</v>
      </c>
      <c r="BH134" s="16">
        <v>29.53</v>
      </c>
      <c r="BI134" s="16">
        <f t="shared" ref="BI134:BI197" si="111">BH134*$BI$1</f>
        <v>59.650600000000004</v>
      </c>
      <c r="BJ134" s="17">
        <f t="shared" si="70"/>
        <v>18.420000000000002</v>
      </c>
      <c r="BK134" s="17">
        <f t="shared" si="71"/>
        <v>37.93</v>
      </c>
      <c r="BM134" s="1">
        <f t="shared" si="72"/>
        <v>83.1</v>
      </c>
      <c r="BN134" s="1">
        <f t="shared" si="73"/>
        <v>56</v>
      </c>
      <c r="BO134" s="1">
        <f t="shared" si="74"/>
        <v>34.5</v>
      </c>
      <c r="BP134" s="62">
        <f t="shared" si="77"/>
        <v>0.50900000000000001</v>
      </c>
      <c r="BQ134" s="62">
        <f t="shared" si="75"/>
        <v>0.96599999999999997</v>
      </c>
      <c r="BS134" s="48">
        <f t="shared" si="110"/>
        <v>1.4</v>
      </c>
      <c r="BT134" s="44">
        <v>1</v>
      </c>
      <c r="BV134" s="8"/>
      <c r="BW134" s="16">
        <f t="shared" si="78"/>
        <v>18.420000000000002</v>
      </c>
      <c r="BX134" s="16">
        <f t="shared" si="79"/>
        <v>37.93</v>
      </c>
      <c r="BY134" s="3">
        <f t="shared" si="80"/>
        <v>6.4</v>
      </c>
      <c r="BZ134" s="3">
        <f t="shared" si="81"/>
        <v>5.8</v>
      </c>
      <c r="CA134" s="3">
        <f t="shared" si="82"/>
        <v>5.4</v>
      </c>
      <c r="CB134" s="3">
        <f t="shared" si="83"/>
        <v>0.2</v>
      </c>
      <c r="CC134" s="3">
        <f t="shared" si="84"/>
        <v>0.1</v>
      </c>
      <c r="CD134" s="3">
        <f t="shared" si="85"/>
        <v>0.4</v>
      </c>
      <c r="CE134" s="3">
        <f t="shared" si="86"/>
        <v>0.8</v>
      </c>
      <c r="CF134" s="23">
        <f t="shared" si="87"/>
        <v>56</v>
      </c>
      <c r="CG134" s="1">
        <f t="shared" si="88"/>
        <v>12.8</v>
      </c>
      <c r="CH134" s="1">
        <f t="shared" si="89"/>
        <v>13.6</v>
      </c>
      <c r="CI134" s="1">
        <f t="shared" si="90"/>
        <v>14.2</v>
      </c>
      <c r="CJ134" s="1">
        <f t="shared" si="91"/>
        <v>0.4</v>
      </c>
      <c r="CK134" s="1">
        <f t="shared" si="92"/>
        <v>0.3</v>
      </c>
      <c r="CL134" s="1">
        <f t="shared" si="93"/>
        <v>0.6</v>
      </c>
      <c r="CM134" s="1">
        <f t="shared" si="94"/>
        <v>1</v>
      </c>
      <c r="CN134" s="2">
        <f t="shared" si="95"/>
        <v>83.1</v>
      </c>
      <c r="CO134" s="1">
        <f t="shared" si="96"/>
        <v>-1.6</v>
      </c>
      <c r="CP134" s="1">
        <f t="shared" si="97"/>
        <v>-2.5</v>
      </c>
      <c r="CQ134" s="1">
        <f t="shared" si="98"/>
        <v>-3.2</v>
      </c>
      <c r="CR134" s="1">
        <f t="shared" si="99"/>
        <v>0</v>
      </c>
      <c r="CS134" s="1">
        <f t="shared" si="100"/>
        <v>-0.1</v>
      </c>
      <c r="CT134" s="1">
        <f t="shared" si="101"/>
        <v>0.2</v>
      </c>
      <c r="CU134" s="1">
        <f t="shared" si="102"/>
        <v>0.5</v>
      </c>
      <c r="CV134" s="2">
        <f t="shared" si="103"/>
        <v>34.5</v>
      </c>
      <c r="CW134" s="18">
        <f t="shared" si="104"/>
        <v>668</v>
      </c>
      <c r="CX134" s="1">
        <f>ROUND(PPTest!K134,1)</f>
        <v>0</v>
      </c>
      <c r="CY134" s="17">
        <f t="shared" si="105"/>
        <v>2.16</v>
      </c>
      <c r="CZ134" s="17">
        <f t="shared" si="106"/>
        <v>5.09</v>
      </c>
      <c r="DA134" s="20">
        <f t="shared" si="107"/>
        <v>0.50900000000000001</v>
      </c>
      <c r="DB134" s="20">
        <f t="shared" si="108"/>
        <v>0.96599999999999997</v>
      </c>
      <c r="DC134" s="16">
        <f t="shared" si="109"/>
        <v>12.05</v>
      </c>
      <c r="DW134" s="1">
        <v>5.8</v>
      </c>
      <c r="DX134" s="1">
        <v>11</v>
      </c>
      <c r="DY134" s="1">
        <v>0.3</v>
      </c>
    </row>
    <row r="135" spans="1:129" x14ac:dyDescent="0.2">
      <c r="A135" s="40">
        <v>34828</v>
      </c>
      <c r="B135" s="3">
        <v>129</v>
      </c>
      <c r="C135" s="3">
        <v>18.760000000000002</v>
      </c>
      <c r="D135" s="3">
        <v>35.520000000000003</v>
      </c>
      <c r="E135" s="3">
        <v>7.09</v>
      </c>
      <c r="F135" s="3">
        <v>63.64</v>
      </c>
      <c r="G135" s="3">
        <v>6.46</v>
      </c>
      <c r="H135" s="3">
        <v>5.9450000000000003</v>
      </c>
      <c r="I135" s="3">
        <v>0.193</v>
      </c>
      <c r="J135" s="3">
        <v>6.5540000000000003</v>
      </c>
      <c r="K135" s="3">
        <v>7.44</v>
      </c>
      <c r="L135" s="3">
        <v>0.13500000000000001</v>
      </c>
      <c r="M135" s="3">
        <v>0.42099999999999999</v>
      </c>
      <c r="N135" s="3">
        <v>0.76900000000000002</v>
      </c>
      <c r="O135" s="3">
        <v>1E-3</v>
      </c>
      <c r="P135" s="16">
        <v>1.6258333333333332</v>
      </c>
      <c r="Q135" s="3"/>
      <c r="R135" s="3">
        <v>13.83</v>
      </c>
      <c r="S135" s="3">
        <v>1705</v>
      </c>
      <c r="T135" s="3">
        <v>91.4</v>
      </c>
      <c r="U135" s="3">
        <v>2325</v>
      </c>
      <c r="V135" s="3">
        <v>15.23</v>
      </c>
      <c r="W135" s="3">
        <v>15.02</v>
      </c>
      <c r="X135" s="3">
        <v>0.40200000000000002</v>
      </c>
      <c r="Y135" s="3">
        <v>18.21</v>
      </c>
      <c r="Z135" s="3">
        <v>18.09</v>
      </c>
      <c r="AA135" s="3">
        <v>0.33500000000000002</v>
      </c>
      <c r="AB135" s="3">
        <v>0.64100000000000001</v>
      </c>
      <c r="AC135" s="3">
        <v>1.014</v>
      </c>
      <c r="AD135" s="16">
        <v>4.980833333333333</v>
      </c>
      <c r="AE135" s="3">
        <v>1739</v>
      </c>
      <c r="AF135" s="3">
        <v>-0.35799999999999998</v>
      </c>
      <c r="AG135" s="3">
        <v>408</v>
      </c>
      <c r="AH135" s="3">
        <v>36.67</v>
      </c>
      <c r="AI135" s="3">
        <v>1048</v>
      </c>
      <c r="AJ135" s="3">
        <v>-1.3420000000000001</v>
      </c>
      <c r="AK135" s="3">
        <v>-2.1869999999999998</v>
      </c>
      <c r="AL135" s="3">
        <v>-3.4000000000000002E-2</v>
      </c>
      <c r="AM135" s="3">
        <v>-1.2929999999999999</v>
      </c>
      <c r="AN135" s="3">
        <v>-1.369</v>
      </c>
      <c r="AO135" s="3">
        <v>-7.8E-2</v>
      </c>
      <c r="AP135" s="3">
        <v>0.16500000000000001</v>
      </c>
      <c r="AQ135" s="3">
        <v>0.497</v>
      </c>
      <c r="AR135" s="3">
        <v>8.1000000000000003E-2</v>
      </c>
      <c r="AS135" s="3">
        <v>0.35399999999999998</v>
      </c>
      <c r="AT135" s="3">
        <v>0.34399999999999997</v>
      </c>
      <c r="AU135" s="3">
        <v>7.3999999999999996E-2</v>
      </c>
      <c r="AV135" s="3">
        <v>3.9E-2</v>
      </c>
      <c r="AW135" s="3">
        <v>4.2999999999999997E-2</v>
      </c>
      <c r="AX135" s="3">
        <v>2.5000000000000001E-2</v>
      </c>
      <c r="AY135" s="3">
        <v>0.04</v>
      </c>
      <c r="AZ135" s="3">
        <v>5.4370000000000003</v>
      </c>
      <c r="BA135" s="3">
        <v>2855</v>
      </c>
      <c r="BB135" s="3">
        <v>12.05</v>
      </c>
      <c r="BC135" s="3">
        <v>2876</v>
      </c>
      <c r="BD135" s="3"/>
      <c r="BE135" s="3"/>
      <c r="BF135" s="3">
        <f t="shared" si="76"/>
        <v>630</v>
      </c>
      <c r="BH135" s="16">
        <v>29.69</v>
      </c>
      <c r="BI135" s="16">
        <f t="shared" si="111"/>
        <v>59.973800000000004</v>
      </c>
      <c r="BJ135" s="17">
        <f t="shared" ref="BJ135:BJ198" si="112">ROUND(C135*BJ$2,2)</f>
        <v>18.760000000000002</v>
      </c>
      <c r="BK135" s="17">
        <f t="shared" ref="BK135:BK198" si="113">ROUND(D135*BK$2,2)</f>
        <v>38.36</v>
      </c>
      <c r="BM135" s="1">
        <f t="shared" ref="BM135:BM198" si="114">ROUND(T135*BM$3+BM$4,1)</f>
        <v>85.5</v>
      </c>
      <c r="BN135" s="1">
        <f t="shared" ref="BN135:BN198" si="115">ROUND(F135*BM$3+BM$4,1)</f>
        <v>59.8</v>
      </c>
      <c r="BO135" s="1">
        <f t="shared" ref="BO135:BO198" si="116">ROUND(AH135*BM$3+BM$4,1)</f>
        <v>34.9</v>
      </c>
      <c r="BP135" s="62">
        <f t="shared" si="77"/>
        <v>0.55200000000000005</v>
      </c>
      <c r="BQ135" s="62">
        <f t="shared" ref="BQ135:BQ198" si="117">ROUND((100-BO135)*BP135/BO135,3)</f>
        <v>1.03</v>
      </c>
      <c r="BS135" s="48">
        <f t="shared" si="110"/>
        <v>0</v>
      </c>
      <c r="BT135" s="44">
        <v>0</v>
      </c>
      <c r="BV135" s="8"/>
      <c r="BW135" s="16">
        <f t="shared" si="78"/>
        <v>18.760000000000002</v>
      </c>
      <c r="BX135" s="16">
        <f t="shared" si="79"/>
        <v>38.36</v>
      </c>
      <c r="BY135" s="3">
        <f t="shared" si="80"/>
        <v>7.1</v>
      </c>
      <c r="BZ135" s="3">
        <f t="shared" si="81"/>
        <v>6.5</v>
      </c>
      <c r="CA135" s="3">
        <f t="shared" si="82"/>
        <v>5.9</v>
      </c>
      <c r="CB135" s="3">
        <f t="shared" si="83"/>
        <v>0.2</v>
      </c>
      <c r="CC135" s="3">
        <f t="shared" si="84"/>
        <v>0.1</v>
      </c>
      <c r="CD135" s="3">
        <f t="shared" si="85"/>
        <v>0.4</v>
      </c>
      <c r="CE135" s="3">
        <f t="shared" si="86"/>
        <v>0.8</v>
      </c>
      <c r="CF135" s="23">
        <f t="shared" si="87"/>
        <v>59.8</v>
      </c>
      <c r="CG135" s="1">
        <f t="shared" si="88"/>
        <v>13.8</v>
      </c>
      <c r="CH135" s="1">
        <f t="shared" si="89"/>
        <v>15.2</v>
      </c>
      <c r="CI135" s="1">
        <f t="shared" si="90"/>
        <v>15</v>
      </c>
      <c r="CJ135" s="1">
        <f t="shared" si="91"/>
        <v>0.4</v>
      </c>
      <c r="CK135" s="1">
        <f t="shared" si="92"/>
        <v>0.3</v>
      </c>
      <c r="CL135" s="1">
        <f t="shared" si="93"/>
        <v>0.6</v>
      </c>
      <c r="CM135" s="1">
        <f t="shared" si="94"/>
        <v>1</v>
      </c>
      <c r="CN135" s="2">
        <f t="shared" si="95"/>
        <v>85.5</v>
      </c>
      <c r="CO135" s="1">
        <f t="shared" si="96"/>
        <v>-0.4</v>
      </c>
      <c r="CP135" s="1">
        <f t="shared" si="97"/>
        <v>-1.3</v>
      </c>
      <c r="CQ135" s="1">
        <f t="shared" si="98"/>
        <v>-2.2000000000000002</v>
      </c>
      <c r="CR135" s="1">
        <f t="shared" si="99"/>
        <v>0</v>
      </c>
      <c r="CS135" s="1">
        <f t="shared" si="100"/>
        <v>-0.1</v>
      </c>
      <c r="CT135" s="1">
        <f t="shared" si="101"/>
        <v>0.2</v>
      </c>
      <c r="CU135" s="1">
        <f t="shared" si="102"/>
        <v>0.5</v>
      </c>
      <c r="CV135" s="2">
        <f t="shared" si="103"/>
        <v>34.9</v>
      </c>
      <c r="CW135" s="18">
        <f t="shared" si="104"/>
        <v>630</v>
      </c>
      <c r="CX135" s="1">
        <f>ROUND(PPTest!K135,1)</f>
        <v>0</v>
      </c>
      <c r="CY135" s="17">
        <f t="shared" si="105"/>
        <v>1.63</v>
      </c>
      <c r="CZ135" s="17">
        <f t="shared" si="106"/>
        <v>4.9800000000000004</v>
      </c>
      <c r="DA135" s="20">
        <f t="shared" si="107"/>
        <v>0.55200000000000005</v>
      </c>
      <c r="DB135" s="20">
        <f t="shared" si="108"/>
        <v>1.03</v>
      </c>
      <c r="DC135" s="16">
        <f t="shared" si="109"/>
        <v>12.05</v>
      </c>
      <c r="DW135" s="1">
        <v>5.2</v>
      </c>
      <c r="DX135" s="1">
        <v>11</v>
      </c>
      <c r="DY135" s="1">
        <v>0.2</v>
      </c>
    </row>
    <row r="136" spans="1:129" x14ac:dyDescent="0.2">
      <c r="A136" s="40">
        <v>34829</v>
      </c>
      <c r="B136" s="3">
        <v>130</v>
      </c>
      <c r="C136" s="3">
        <v>11.69</v>
      </c>
      <c r="D136" s="3">
        <v>23.12</v>
      </c>
      <c r="E136" s="3">
        <v>4.6319999999999997</v>
      </c>
      <c r="F136" s="3">
        <v>89.7</v>
      </c>
      <c r="G136" s="3">
        <v>4.1820000000000004</v>
      </c>
      <c r="H136" s="3">
        <v>3.6829999999999998</v>
      </c>
      <c r="I136" s="3">
        <v>0.11700000000000001</v>
      </c>
      <c r="J136" s="3">
        <v>4.0309999999999997</v>
      </c>
      <c r="K136" s="3">
        <v>4.649</v>
      </c>
      <c r="L136" s="3">
        <v>9.6000000000000002E-2</v>
      </c>
      <c r="M136" s="3">
        <v>0.38600000000000001</v>
      </c>
      <c r="N136" s="3">
        <v>0.74099999999999999</v>
      </c>
      <c r="O136" s="3">
        <v>0</v>
      </c>
      <c r="P136" s="16">
        <v>1.3465</v>
      </c>
      <c r="Q136" s="3"/>
      <c r="R136" s="3">
        <v>10.19</v>
      </c>
      <c r="S136" s="3">
        <v>1603</v>
      </c>
      <c r="T136" s="3">
        <v>102.6</v>
      </c>
      <c r="U136" s="3">
        <v>1017</v>
      </c>
      <c r="V136" s="3">
        <v>12.59</v>
      </c>
      <c r="W136" s="3">
        <v>12.89</v>
      </c>
      <c r="X136" s="3">
        <v>0.33300000000000002</v>
      </c>
      <c r="Y136" s="3">
        <v>14.84</v>
      </c>
      <c r="Z136" s="3">
        <v>16.670000000000002</v>
      </c>
      <c r="AA136" s="3">
        <v>0.30399999999999999</v>
      </c>
      <c r="AB136" s="3">
        <v>0.59299999999999997</v>
      </c>
      <c r="AC136" s="3">
        <v>0.96699999999999997</v>
      </c>
      <c r="AD136" s="16">
        <v>3.2341666666666673</v>
      </c>
      <c r="AE136" s="3">
        <v>724</v>
      </c>
      <c r="AF136" s="3">
        <v>0.13900000000000001</v>
      </c>
      <c r="AG136" s="3">
        <v>236</v>
      </c>
      <c r="AH136" s="3">
        <v>65.06</v>
      </c>
      <c r="AI136" s="3">
        <v>1514</v>
      </c>
      <c r="AJ136" s="3">
        <v>-0.67900000000000005</v>
      </c>
      <c r="AK136" s="3">
        <v>-1.333</v>
      </c>
      <c r="AL136" s="3">
        <v>-5.3999999999999999E-2</v>
      </c>
      <c r="AM136" s="3">
        <v>-1.1459999999999999</v>
      </c>
      <c r="AN136" s="3">
        <v>-1.216</v>
      </c>
      <c r="AO136" s="3">
        <v>-0.06</v>
      </c>
      <c r="AP136" s="3">
        <v>0.19900000000000001</v>
      </c>
      <c r="AQ136" s="3">
        <v>0.54500000000000004</v>
      </c>
      <c r="AR136" s="3">
        <v>4.2000000000000003E-2</v>
      </c>
      <c r="AS136" s="3">
        <v>0.27</v>
      </c>
      <c r="AT136" s="3">
        <v>0.221</v>
      </c>
      <c r="AU136" s="3">
        <v>3.5000000000000003E-2</v>
      </c>
      <c r="AV136" s="3">
        <v>7.1999999999999995E-2</v>
      </c>
      <c r="AW136" s="3">
        <v>0.214</v>
      </c>
      <c r="AX136" s="3">
        <v>9.9000000000000005E-2</v>
      </c>
      <c r="AY136" s="3">
        <v>4.7E-2</v>
      </c>
      <c r="AZ136" s="3">
        <v>3.6480000000000001</v>
      </c>
      <c r="BA136" s="3">
        <v>2892</v>
      </c>
      <c r="BB136" s="3">
        <v>12.05</v>
      </c>
      <c r="BC136" s="3">
        <v>2876</v>
      </c>
      <c r="BD136" s="3"/>
      <c r="BE136" s="3"/>
      <c r="BF136" s="3">
        <f t="shared" ref="BF136" si="118">BF$1-BA136</f>
        <v>593</v>
      </c>
      <c r="BH136" s="16">
        <v>29.87</v>
      </c>
      <c r="BI136" s="16">
        <f t="shared" si="111"/>
        <v>60.337400000000002</v>
      </c>
      <c r="BJ136" s="17">
        <f t="shared" si="112"/>
        <v>11.69</v>
      </c>
      <c r="BK136" s="17">
        <f t="shared" si="113"/>
        <v>24.97</v>
      </c>
      <c r="BM136" s="1">
        <f t="shared" si="114"/>
        <v>95.8</v>
      </c>
      <c r="BN136" s="1">
        <f t="shared" si="115"/>
        <v>83.9</v>
      </c>
      <c r="BO136" s="1">
        <f t="shared" si="116"/>
        <v>61.1</v>
      </c>
      <c r="BP136" s="62">
        <f t="shared" ref="BP136:BP199" si="119">ROUND(0.6105*(EXP((17.273*R136)/(R136+237.3)))*BO136/100, 3)</f>
        <v>0.76</v>
      </c>
      <c r="BQ136" s="62">
        <f t="shared" si="117"/>
        <v>0.48399999999999999</v>
      </c>
      <c r="BS136" s="48">
        <f t="shared" si="110"/>
        <v>5.6</v>
      </c>
      <c r="BT136" s="44">
        <v>4</v>
      </c>
      <c r="BV136" s="8"/>
      <c r="BW136" s="16">
        <f t="shared" si="78"/>
        <v>11.69</v>
      </c>
      <c r="BX136" s="16">
        <f t="shared" si="79"/>
        <v>24.97</v>
      </c>
      <c r="BY136" s="3">
        <f t="shared" si="80"/>
        <v>4.5999999999999996</v>
      </c>
      <c r="BZ136" s="3">
        <f t="shared" si="81"/>
        <v>4.2</v>
      </c>
      <c r="CA136" s="3">
        <f t="shared" si="82"/>
        <v>3.7</v>
      </c>
      <c r="CB136" s="3">
        <f t="shared" si="83"/>
        <v>0.1</v>
      </c>
      <c r="CC136" s="3">
        <f t="shared" si="84"/>
        <v>0.1</v>
      </c>
      <c r="CD136" s="3">
        <f t="shared" si="85"/>
        <v>0.4</v>
      </c>
      <c r="CE136" s="3">
        <f t="shared" si="86"/>
        <v>0.7</v>
      </c>
      <c r="CF136" s="23">
        <f t="shared" si="87"/>
        <v>83.9</v>
      </c>
      <c r="CG136" s="1">
        <f t="shared" si="88"/>
        <v>10.199999999999999</v>
      </c>
      <c r="CH136" s="1">
        <f t="shared" si="89"/>
        <v>12.6</v>
      </c>
      <c r="CI136" s="1">
        <f t="shared" si="90"/>
        <v>12.9</v>
      </c>
      <c r="CJ136" s="1">
        <f t="shared" si="91"/>
        <v>0.3</v>
      </c>
      <c r="CK136" s="1">
        <f t="shared" si="92"/>
        <v>0.3</v>
      </c>
      <c r="CL136" s="1">
        <f t="shared" si="93"/>
        <v>0.6</v>
      </c>
      <c r="CM136" s="1">
        <f t="shared" si="94"/>
        <v>1</v>
      </c>
      <c r="CN136" s="2">
        <f t="shared" si="95"/>
        <v>95.8</v>
      </c>
      <c r="CO136" s="1">
        <f t="shared" si="96"/>
        <v>0.1</v>
      </c>
      <c r="CP136" s="1">
        <f t="shared" si="97"/>
        <v>-0.7</v>
      </c>
      <c r="CQ136" s="1">
        <f t="shared" si="98"/>
        <v>-1.3</v>
      </c>
      <c r="CR136" s="1">
        <f t="shared" si="99"/>
        <v>-0.1</v>
      </c>
      <c r="CS136" s="1">
        <f t="shared" si="100"/>
        <v>-0.1</v>
      </c>
      <c r="CT136" s="1">
        <f t="shared" si="101"/>
        <v>0.2</v>
      </c>
      <c r="CU136" s="1">
        <f t="shared" si="102"/>
        <v>0.5</v>
      </c>
      <c r="CV136" s="2">
        <f t="shared" si="103"/>
        <v>61.1</v>
      </c>
      <c r="CW136" s="18">
        <f t="shared" si="104"/>
        <v>593</v>
      </c>
      <c r="CX136" s="1">
        <f>ROUND(PPTest!K136,1)</f>
        <v>5.9</v>
      </c>
      <c r="CY136" s="17">
        <f t="shared" si="105"/>
        <v>1.35</v>
      </c>
      <c r="CZ136" s="17">
        <f t="shared" si="106"/>
        <v>3.23</v>
      </c>
      <c r="DA136" s="20">
        <f t="shared" si="107"/>
        <v>0.76</v>
      </c>
      <c r="DB136" s="20">
        <f t="shared" si="108"/>
        <v>0.48399999999999999</v>
      </c>
      <c r="DC136" s="16">
        <f t="shared" si="109"/>
        <v>12.05</v>
      </c>
      <c r="DW136" s="1">
        <v>5.2</v>
      </c>
      <c r="DX136" s="1">
        <v>10.199999999999999</v>
      </c>
      <c r="DY136" s="1">
        <v>2.2999999999999998</v>
      </c>
    </row>
    <row r="137" spans="1:129" x14ac:dyDescent="0.2">
      <c r="A137" s="40">
        <v>34830</v>
      </c>
      <c r="B137" s="3">
        <v>131</v>
      </c>
      <c r="C137" s="3">
        <v>6.7130000000000001</v>
      </c>
      <c r="D137" s="3">
        <v>14.13</v>
      </c>
      <c r="E137" s="3">
        <v>2.1960000000000002</v>
      </c>
      <c r="F137" s="3">
        <v>104.4</v>
      </c>
      <c r="G137" s="3">
        <v>1.823</v>
      </c>
      <c r="H137" s="3">
        <v>1.613</v>
      </c>
      <c r="I137" s="3">
        <v>4.5999999999999999E-2</v>
      </c>
      <c r="J137" s="3">
        <v>1.9179999999999999</v>
      </c>
      <c r="K137" s="3">
        <v>2.12</v>
      </c>
      <c r="L137" s="3">
        <v>4.9000000000000002E-2</v>
      </c>
      <c r="M137" s="3">
        <v>0.33500000000000002</v>
      </c>
      <c r="N137" s="3">
        <v>0.69099999999999995</v>
      </c>
      <c r="O137" s="3">
        <v>1E-3</v>
      </c>
      <c r="P137" s="16">
        <v>1.2406666666666666</v>
      </c>
      <c r="Q137" s="3"/>
      <c r="R137" s="3">
        <v>4.1909999999999998</v>
      </c>
      <c r="S137" s="3">
        <v>700</v>
      </c>
      <c r="T137" s="3">
        <v>106.6</v>
      </c>
      <c r="U137" s="3">
        <v>2311</v>
      </c>
      <c r="V137" s="3">
        <v>4.556</v>
      </c>
      <c r="W137" s="3">
        <v>3.8919999999999999</v>
      </c>
      <c r="X137" s="3">
        <v>0.124</v>
      </c>
      <c r="Y137" s="3">
        <v>5.4050000000000002</v>
      </c>
      <c r="Z137" s="3">
        <v>5.9850000000000003</v>
      </c>
      <c r="AA137" s="3">
        <v>0.12</v>
      </c>
      <c r="AB137" s="3">
        <v>0.40500000000000003</v>
      </c>
      <c r="AC137" s="3">
        <v>0.76100000000000001</v>
      </c>
      <c r="AD137" s="16">
        <v>4.1008333333333331</v>
      </c>
      <c r="AE137" s="3">
        <v>1558</v>
      </c>
      <c r="AF137" s="3">
        <v>0.58499999999999996</v>
      </c>
      <c r="AG137" s="3">
        <v>231</v>
      </c>
      <c r="AH137" s="3">
        <v>96.6</v>
      </c>
      <c r="AI137" s="3">
        <v>539</v>
      </c>
      <c r="AJ137" s="3">
        <v>1.7000000000000001E-2</v>
      </c>
      <c r="AK137" s="3">
        <v>-0.25700000000000001</v>
      </c>
      <c r="AL137" s="3">
        <v>-3.1E-2</v>
      </c>
      <c r="AM137" s="3">
        <v>-0.32900000000000001</v>
      </c>
      <c r="AN137" s="3">
        <v>-0.36199999999999999</v>
      </c>
      <c r="AO137" s="3">
        <v>-1.9E-2</v>
      </c>
      <c r="AP137" s="3">
        <v>0.253</v>
      </c>
      <c r="AQ137" s="3">
        <v>0.60799999999999998</v>
      </c>
      <c r="AR137" s="3">
        <v>1.7000000000000001E-2</v>
      </c>
      <c r="AS137" s="3">
        <v>0.17199999999999999</v>
      </c>
      <c r="AT137" s="3">
        <v>0.191</v>
      </c>
      <c r="AU137" s="3">
        <v>2.9000000000000001E-2</v>
      </c>
      <c r="AV137" s="3">
        <v>0.10100000000000001</v>
      </c>
      <c r="AW137" s="3">
        <v>0.38200000000000001</v>
      </c>
      <c r="AX137" s="3">
        <v>0.09</v>
      </c>
      <c r="AY137" s="3">
        <v>1.9E-2</v>
      </c>
      <c r="AZ137" s="3">
        <v>1.831</v>
      </c>
      <c r="BA137" s="3"/>
      <c r="BB137" s="3">
        <v>12.04</v>
      </c>
      <c r="BC137" s="3">
        <v>2876</v>
      </c>
      <c r="BD137" s="3"/>
      <c r="BE137" s="3"/>
      <c r="BF137" s="43">
        <v>550</v>
      </c>
      <c r="BH137" s="16">
        <v>30.03</v>
      </c>
      <c r="BI137" s="16">
        <f t="shared" si="111"/>
        <v>60.660600000000002</v>
      </c>
      <c r="BJ137" s="17">
        <f t="shared" si="112"/>
        <v>6.71</v>
      </c>
      <c r="BK137" s="17">
        <f t="shared" si="113"/>
        <v>15.26</v>
      </c>
      <c r="BM137" s="1">
        <f t="shared" si="114"/>
        <v>99.5</v>
      </c>
      <c r="BN137" s="1">
        <f t="shared" si="115"/>
        <v>97.5</v>
      </c>
      <c r="BO137" s="1">
        <f t="shared" si="116"/>
        <v>90.3</v>
      </c>
      <c r="BP137" s="62">
        <f t="shared" si="119"/>
        <v>0.74399999999999999</v>
      </c>
      <c r="BQ137" s="62">
        <f t="shared" si="117"/>
        <v>0.08</v>
      </c>
      <c r="BS137" s="48">
        <f t="shared" si="110"/>
        <v>15.4</v>
      </c>
      <c r="BT137" s="44">
        <v>11</v>
      </c>
      <c r="BV137" s="8"/>
      <c r="BW137" s="16">
        <f t="shared" si="78"/>
        <v>6.71</v>
      </c>
      <c r="BX137" s="16">
        <f t="shared" si="79"/>
        <v>15.26</v>
      </c>
      <c r="BY137" s="3">
        <f t="shared" si="80"/>
        <v>2.2000000000000002</v>
      </c>
      <c r="BZ137" s="3">
        <f t="shared" si="81"/>
        <v>1.8</v>
      </c>
      <c r="CA137" s="3">
        <f t="shared" si="82"/>
        <v>1.6</v>
      </c>
      <c r="CB137" s="3">
        <f t="shared" si="83"/>
        <v>0</v>
      </c>
      <c r="CC137" s="3">
        <f t="shared" si="84"/>
        <v>0</v>
      </c>
      <c r="CD137" s="3">
        <f t="shared" si="85"/>
        <v>0.3</v>
      </c>
      <c r="CE137" s="3">
        <f t="shared" si="86"/>
        <v>0.7</v>
      </c>
      <c r="CF137" s="23">
        <f t="shared" si="87"/>
        <v>97.5</v>
      </c>
      <c r="CG137" s="1">
        <f t="shared" si="88"/>
        <v>4.2</v>
      </c>
      <c r="CH137" s="1">
        <f t="shared" si="89"/>
        <v>4.5999999999999996</v>
      </c>
      <c r="CI137" s="1">
        <f t="shared" si="90"/>
        <v>3.9</v>
      </c>
      <c r="CJ137" s="1">
        <f t="shared" si="91"/>
        <v>0.1</v>
      </c>
      <c r="CK137" s="1">
        <f t="shared" si="92"/>
        <v>0.1</v>
      </c>
      <c r="CL137" s="1">
        <f t="shared" si="93"/>
        <v>0.4</v>
      </c>
      <c r="CM137" s="1">
        <f t="shared" si="94"/>
        <v>0.8</v>
      </c>
      <c r="CN137" s="2">
        <f t="shared" si="95"/>
        <v>99.5</v>
      </c>
      <c r="CO137" s="1">
        <f t="shared" si="96"/>
        <v>0.6</v>
      </c>
      <c r="CP137" s="1">
        <f t="shared" si="97"/>
        <v>0</v>
      </c>
      <c r="CQ137" s="1">
        <f t="shared" si="98"/>
        <v>-0.3</v>
      </c>
      <c r="CR137" s="1">
        <f t="shared" si="99"/>
        <v>0</v>
      </c>
      <c r="CS137" s="1">
        <f t="shared" si="100"/>
        <v>0</v>
      </c>
      <c r="CT137" s="1">
        <f t="shared" si="101"/>
        <v>0.3</v>
      </c>
      <c r="CU137" s="1">
        <f t="shared" si="102"/>
        <v>0.6</v>
      </c>
      <c r="CV137" s="2">
        <f t="shared" si="103"/>
        <v>90.3</v>
      </c>
      <c r="CW137" s="18">
        <f t="shared" si="104"/>
        <v>550</v>
      </c>
      <c r="CX137" s="1">
        <f>ROUND(PPTest!K137,1)</f>
        <v>16.2</v>
      </c>
      <c r="CY137" s="17">
        <f t="shared" si="105"/>
        <v>1.24</v>
      </c>
      <c r="CZ137" s="17">
        <f t="shared" si="106"/>
        <v>4.0999999999999996</v>
      </c>
      <c r="DA137" s="20">
        <f t="shared" si="107"/>
        <v>0.74399999999999999</v>
      </c>
      <c r="DB137" s="20">
        <f t="shared" si="108"/>
        <v>0.08</v>
      </c>
      <c r="DC137" s="16">
        <f t="shared" si="109"/>
        <v>12.04</v>
      </c>
      <c r="DW137" s="1">
        <v>1.9</v>
      </c>
      <c r="DX137" s="1">
        <v>5.3</v>
      </c>
      <c r="DY137" s="1">
        <v>-0.3</v>
      </c>
    </row>
    <row r="138" spans="1:129" x14ac:dyDescent="0.2">
      <c r="A138" s="40">
        <v>34831</v>
      </c>
      <c r="B138" s="3">
        <v>132</v>
      </c>
      <c r="C138" s="3">
        <v>10.35</v>
      </c>
      <c r="D138" s="3">
        <v>21.03</v>
      </c>
      <c r="E138" s="3">
        <v>1.756</v>
      </c>
      <c r="F138" s="3">
        <v>103.1</v>
      </c>
      <c r="G138" s="3">
        <v>1.5780000000000001</v>
      </c>
      <c r="H138" s="3">
        <v>1.2</v>
      </c>
      <c r="I138" s="3">
        <v>3.1E-2</v>
      </c>
      <c r="J138" s="3">
        <v>1.6579999999999999</v>
      </c>
      <c r="K138" s="3">
        <v>2.1960000000000002</v>
      </c>
      <c r="L138" s="3">
        <v>4.9000000000000002E-2</v>
      </c>
      <c r="M138" s="3">
        <v>0.32700000000000001</v>
      </c>
      <c r="N138" s="3">
        <v>0.68700000000000006</v>
      </c>
      <c r="O138" s="3">
        <v>1E-3</v>
      </c>
      <c r="P138" s="16">
        <v>1.2055</v>
      </c>
      <c r="Q138" s="3"/>
      <c r="R138" s="3">
        <v>5.4480000000000004</v>
      </c>
      <c r="S138" s="3">
        <v>1820</v>
      </c>
      <c r="T138" s="3">
        <v>106.7</v>
      </c>
      <c r="U138" s="3">
        <v>142</v>
      </c>
      <c r="V138" s="3">
        <v>7.85</v>
      </c>
      <c r="W138" s="3">
        <v>6.4320000000000004</v>
      </c>
      <c r="X138" s="3">
        <v>0.17499999999999999</v>
      </c>
      <c r="Y138" s="3">
        <v>8.4499999999999993</v>
      </c>
      <c r="Z138" s="3">
        <v>9.98</v>
      </c>
      <c r="AA138" s="3">
        <v>0.2</v>
      </c>
      <c r="AB138" s="3">
        <v>0.46200000000000002</v>
      </c>
      <c r="AC138" s="3">
        <v>0.83</v>
      </c>
      <c r="AD138" s="16">
        <v>3.0608333333333335</v>
      </c>
      <c r="AE138" s="3">
        <v>1313</v>
      </c>
      <c r="AF138" s="3">
        <v>-0.80400000000000005</v>
      </c>
      <c r="AG138" s="3">
        <v>2209</v>
      </c>
      <c r="AH138" s="3">
        <v>87.6</v>
      </c>
      <c r="AI138" s="3">
        <v>1523</v>
      </c>
      <c r="AJ138" s="3">
        <v>-1.4630000000000001</v>
      </c>
      <c r="AK138" s="3">
        <v>-1.966</v>
      </c>
      <c r="AL138" s="3">
        <v>-0.09</v>
      </c>
      <c r="AM138" s="3">
        <v>-1.577</v>
      </c>
      <c r="AN138" s="3">
        <v>-1.462</v>
      </c>
      <c r="AO138" s="3">
        <v>-5.5E-2</v>
      </c>
      <c r="AP138" s="3">
        <v>0.22700000000000001</v>
      </c>
      <c r="AQ138" s="3">
        <v>0.58599999999999997</v>
      </c>
      <c r="AR138" s="3">
        <v>6.6000000000000003E-2</v>
      </c>
      <c r="AS138" s="3">
        <v>0.20599999999999999</v>
      </c>
      <c r="AT138" s="3">
        <v>0.14599999999999999</v>
      </c>
      <c r="AU138" s="3">
        <v>3.1E-2</v>
      </c>
      <c r="AV138" s="3">
        <v>0.13500000000000001</v>
      </c>
      <c r="AW138" s="3">
        <v>0.34200000000000003</v>
      </c>
      <c r="AX138" s="3">
        <v>5.6000000000000001E-2</v>
      </c>
      <c r="AY138" s="3">
        <v>1.9E-2</v>
      </c>
      <c r="AZ138" s="3">
        <v>1.7609999999999999</v>
      </c>
      <c r="BA138" s="3"/>
      <c r="BB138" s="3">
        <v>12.04</v>
      </c>
      <c r="BC138" s="3">
        <v>2876</v>
      </c>
      <c r="BD138" s="3"/>
      <c r="BE138" s="3"/>
      <c r="BF138" s="43">
        <v>500</v>
      </c>
      <c r="BH138" s="16">
        <v>30.19</v>
      </c>
      <c r="BI138" s="16">
        <f t="shared" si="111"/>
        <v>60.983800000000002</v>
      </c>
      <c r="BJ138" s="17">
        <f t="shared" si="112"/>
        <v>10.35</v>
      </c>
      <c r="BK138" s="17">
        <f t="shared" si="113"/>
        <v>22.71</v>
      </c>
      <c r="BM138" s="1">
        <f t="shared" si="114"/>
        <v>99.6</v>
      </c>
      <c r="BN138" s="1">
        <f t="shared" si="115"/>
        <v>96.3</v>
      </c>
      <c r="BO138" s="1">
        <f t="shared" si="116"/>
        <v>81.900000000000006</v>
      </c>
      <c r="BP138" s="62">
        <f t="shared" si="119"/>
        <v>0.73699999999999999</v>
      </c>
      <c r="BQ138" s="62">
        <f t="shared" si="117"/>
        <v>0.16300000000000001</v>
      </c>
      <c r="BS138" s="48">
        <f t="shared" si="110"/>
        <v>5.6</v>
      </c>
      <c r="BT138" s="44">
        <v>4</v>
      </c>
      <c r="BV138" s="8"/>
      <c r="BW138" s="16">
        <f t="shared" si="78"/>
        <v>10.35</v>
      </c>
      <c r="BX138" s="16">
        <f t="shared" si="79"/>
        <v>22.71</v>
      </c>
      <c r="BY138" s="3">
        <f t="shared" si="80"/>
        <v>1.8</v>
      </c>
      <c r="BZ138" s="3">
        <f t="shared" si="81"/>
        <v>1.6</v>
      </c>
      <c r="CA138" s="3">
        <f t="shared" si="82"/>
        <v>1.2</v>
      </c>
      <c r="CB138" s="3">
        <f t="shared" si="83"/>
        <v>0</v>
      </c>
      <c r="CC138" s="3">
        <f t="shared" si="84"/>
        <v>0</v>
      </c>
      <c r="CD138" s="3">
        <f t="shared" si="85"/>
        <v>0.3</v>
      </c>
      <c r="CE138" s="3">
        <f t="shared" si="86"/>
        <v>0.7</v>
      </c>
      <c r="CF138" s="23">
        <f t="shared" si="87"/>
        <v>96.3</v>
      </c>
      <c r="CG138" s="1">
        <f t="shared" si="88"/>
        <v>5.4</v>
      </c>
      <c r="CH138" s="1">
        <f t="shared" si="89"/>
        <v>7.9</v>
      </c>
      <c r="CI138" s="1">
        <f t="shared" si="90"/>
        <v>6.4</v>
      </c>
      <c r="CJ138" s="1">
        <f t="shared" si="91"/>
        <v>0.2</v>
      </c>
      <c r="CK138" s="1">
        <f t="shared" si="92"/>
        <v>0.2</v>
      </c>
      <c r="CL138" s="1">
        <f t="shared" si="93"/>
        <v>0.5</v>
      </c>
      <c r="CM138" s="1">
        <f t="shared" si="94"/>
        <v>0.8</v>
      </c>
      <c r="CN138" s="2">
        <f t="shared" si="95"/>
        <v>99.6</v>
      </c>
      <c r="CO138" s="1">
        <f t="shared" si="96"/>
        <v>-0.8</v>
      </c>
      <c r="CP138" s="1">
        <f t="shared" si="97"/>
        <v>-1.5</v>
      </c>
      <c r="CQ138" s="1">
        <f t="shared" si="98"/>
        <v>-2</v>
      </c>
      <c r="CR138" s="1">
        <f t="shared" si="99"/>
        <v>-0.1</v>
      </c>
      <c r="CS138" s="1">
        <f t="shared" si="100"/>
        <v>-0.1</v>
      </c>
      <c r="CT138" s="1">
        <f t="shared" si="101"/>
        <v>0.2</v>
      </c>
      <c r="CU138" s="1">
        <f t="shared" si="102"/>
        <v>0.6</v>
      </c>
      <c r="CV138" s="2">
        <f t="shared" si="103"/>
        <v>81.900000000000006</v>
      </c>
      <c r="CW138" s="18">
        <f t="shared" si="104"/>
        <v>500</v>
      </c>
      <c r="CX138" s="1">
        <f>ROUND(PPTest!K138,1)</f>
        <v>5.9</v>
      </c>
      <c r="CY138" s="17">
        <f t="shared" si="105"/>
        <v>1.21</v>
      </c>
      <c r="CZ138" s="17">
        <f t="shared" si="106"/>
        <v>3.06</v>
      </c>
      <c r="DA138" s="20">
        <f t="shared" si="107"/>
        <v>0.73699999999999999</v>
      </c>
      <c r="DB138" s="20">
        <f t="shared" si="108"/>
        <v>0.16300000000000001</v>
      </c>
      <c r="DC138" s="16">
        <f t="shared" si="109"/>
        <v>12.04</v>
      </c>
      <c r="DW138" s="1">
        <v>1.6</v>
      </c>
      <c r="DX138" s="1">
        <v>4.5999999999999996</v>
      </c>
      <c r="DY138" s="1">
        <v>-1.3</v>
      </c>
    </row>
    <row r="139" spans="1:129" x14ac:dyDescent="0.2">
      <c r="A139" s="40">
        <v>34832</v>
      </c>
      <c r="B139" s="3">
        <v>133</v>
      </c>
      <c r="C139" s="3">
        <v>29.8</v>
      </c>
      <c r="D139" s="3">
        <v>55.47</v>
      </c>
      <c r="E139" s="3">
        <v>5.3570000000000002</v>
      </c>
      <c r="F139" s="3">
        <v>68.819999999999993</v>
      </c>
      <c r="G139" s="3">
        <v>5.056</v>
      </c>
      <c r="H139" s="3">
        <v>4.4729999999999999</v>
      </c>
      <c r="I139" s="3">
        <v>7.3999999999999996E-2</v>
      </c>
      <c r="J139" s="3">
        <v>5.6269999999999998</v>
      </c>
      <c r="K139" s="3">
        <v>6.742</v>
      </c>
      <c r="L139" s="3">
        <v>0.10299999999999999</v>
      </c>
      <c r="M139" s="3">
        <v>0.36199999999999999</v>
      </c>
      <c r="N139" s="3">
        <v>0.72599999999999998</v>
      </c>
      <c r="O139" s="3">
        <v>1E-3</v>
      </c>
      <c r="P139" s="16">
        <v>1.7041666666666668</v>
      </c>
      <c r="Q139" s="3"/>
      <c r="R139" s="3">
        <v>14.47</v>
      </c>
      <c r="S139" s="3">
        <v>1431</v>
      </c>
      <c r="T139" s="3">
        <v>105.1</v>
      </c>
      <c r="U139" s="3">
        <v>27</v>
      </c>
      <c r="V139" s="3">
        <v>16.64</v>
      </c>
      <c r="W139" s="3">
        <v>15.61</v>
      </c>
      <c r="X139" s="3">
        <v>0.316</v>
      </c>
      <c r="Y139" s="3">
        <v>19.16</v>
      </c>
      <c r="Z139" s="3">
        <v>21.18</v>
      </c>
      <c r="AA139" s="3">
        <v>0.36299999999999999</v>
      </c>
      <c r="AB139" s="3">
        <v>0.623</v>
      </c>
      <c r="AC139" s="3">
        <v>1.0029999999999999</v>
      </c>
      <c r="AD139" s="16">
        <v>4.0875000000000004</v>
      </c>
      <c r="AE139" s="3">
        <v>1146</v>
      </c>
      <c r="AF139" s="3">
        <v>-3.569</v>
      </c>
      <c r="AG139" s="3">
        <v>420</v>
      </c>
      <c r="AH139" s="3">
        <v>29.57</v>
      </c>
      <c r="AI139" s="3">
        <v>1052</v>
      </c>
      <c r="AJ139" s="3">
        <v>-4.3239999999999998</v>
      </c>
      <c r="AK139" s="3">
        <v>-4.9489999999999998</v>
      </c>
      <c r="AL139" s="3">
        <v>-0.17799999999999999</v>
      </c>
      <c r="AM139" s="3">
        <v>-4.9530000000000003</v>
      </c>
      <c r="AN139" s="3">
        <v>-4.8410000000000002</v>
      </c>
      <c r="AO139" s="3">
        <v>-0.121</v>
      </c>
      <c r="AP139" s="3">
        <v>7.0999999999999994E-2</v>
      </c>
      <c r="AQ139" s="3">
        <v>0.436</v>
      </c>
      <c r="AR139" s="3">
        <v>0.113</v>
      </c>
      <c r="AS139" s="3">
        <v>0.50800000000000001</v>
      </c>
      <c r="AT139" s="3">
        <v>0.26200000000000001</v>
      </c>
      <c r="AU139" s="3">
        <v>2.7E-2</v>
      </c>
      <c r="AV139" s="3">
        <v>1.4999999999999999E-2</v>
      </c>
      <c r="AW139" s="3">
        <v>2.1000000000000001E-2</v>
      </c>
      <c r="AX139" s="3">
        <v>1.9E-2</v>
      </c>
      <c r="AY139" s="3">
        <v>3.4000000000000002E-2</v>
      </c>
      <c r="AZ139" s="3">
        <v>4.5279999999999996</v>
      </c>
      <c r="BA139" s="3"/>
      <c r="BB139" s="3">
        <v>12.05</v>
      </c>
      <c r="BC139" s="3">
        <v>2876</v>
      </c>
      <c r="BD139" s="3"/>
      <c r="BE139" s="3"/>
      <c r="BF139" s="43">
        <v>450</v>
      </c>
      <c r="BH139" s="16">
        <v>30.35</v>
      </c>
      <c r="BI139" s="16">
        <f t="shared" si="111"/>
        <v>61.307000000000002</v>
      </c>
      <c r="BJ139" s="17">
        <f t="shared" si="112"/>
        <v>29.8</v>
      </c>
      <c r="BK139" s="17">
        <f t="shared" si="113"/>
        <v>59.91</v>
      </c>
      <c r="BM139" s="1">
        <f t="shared" si="114"/>
        <v>98.1</v>
      </c>
      <c r="BN139" s="1">
        <f t="shared" si="115"/>
        <v>64.599999999999994</v>
      </c>
      <c r="BO139" s="1">
        <f t="shared" si="116"/>
        <v>28.3</v>
      </c>
      <c r="BP139" s="62">
        <f t="shared" si="119"/>
        <v>0.46600000000000003</v>
      </c>
      <c r="BQ139" s="62">
        <f t="shared" si="117"/>
        <v>1.181</v>
      </c>
      <c r="BS139" s="48">
        <f t="shared" si="110"/>
        <v>0</v>
      </c>
      <c r="BT139" s="44">
        <v>0</v>
      </c>
      <c r="BV139" s="8"/>
      <c r="BW139" s="16">
        <f t="shared" si="78"/>
        <v>29.8</v>
      </c>
      <c r="BX139" s="16">
        <f t="shared" si="79"/>
        <v>59.91</v>
      </c>
      <c r="BY139" s="3">
        <f t="shared" si="80"/>
        <v>5.4</v>
      </c>
      <c r="BZ139" s="3">
        <f t="shared" si="81"/>
        <v>5.0999999999999996</v>
      </c>
      <c r="CA139" s="3">
        <f t="shared" si="82"/>
        <v>4.5</v>
      </c>
      <c r="CB139" s="3">
        <f t="shared" si="83"/>
        <v>0.1</v>
      </c>
      <c r="CC139" s="3">
        <f t="shared" si="84"/>
        <v>0.1</v>
      </c>
      <c r="CD139" s="3">
        <f t="shared" si="85"/>
        <v>0.4</v>
      </c>
      <c r="CE139" s="3">
        <f t="shared" si="86"/>
        <v>0.7</v>
      </c>
      <c r="CF139" s="23">
        <f t="shared" si="87"/>
        <v>64.599999999999994</v>
      </c>
      <c r="CG139" s="1">
        <f t="shared" si="88"/>
        <v>14.5</v>
      </c>
      <c r="CH139" s="1">
        <f t="shared" si="89"/>
        <v>16.600000000000001</v>
      </c>
      <c r="CI139" s="1">
        <f t="shared" si="90"/>
        <v>15.6</v>
      </c>
      <c r="CJ139" s="1">
        <f t="shared" si="91"/>
        <v>0.3</v>
      </c>
      <c r="CK139" s="1">
        <f t="shared" si="92"/>
        <v>0.4</v>
      </c>
      <c r="CL139" s="1">
        <f t="shared" si="93"/>
        <v>0.6</v>
      </c>
      <c r="CM139" s="1">
        <f t="shared" si="94"/>
        <v>1</v>
      </c>
      <c r="CN139" s="2">
        <f t="shared" si="95"/>
        <v>98.1</v>
      </c>
      <c r="CO139" s="1">
        <f t="shared" si="96"/>
        <v>-3.6</v>
      </c>
      <c r="CP139" s="1">
        <f t="shared" si="97"/>
        <v>-4.3</v>
      </c>
      <c r="CQ139" s="1">
        <f t="shared" si="98"/>
        <v>-4.9000000000000004</v>
      </c>
      <c r="CR139" s="1">
        <f t="shared" si="99"/>
        <v>-0.2</v>
      </c>
      <c r="CS139" s="1">
        <f t="shared" si="100"/>
        <v>-0.1</v>
      </c>
      <c r="CT139" s="1">
        <f t="shared" si="101"/>
        <v>0.1</v>
      </c>
      <c r="CU139" s="1">
        <f t="shared" si="102"/>
        <v>0.4</v>
      </c>
      <c r="CV139" s="2">
        <f t="shared" si="103"/>
        <v>28.3</v>
      </c>
      <c r="CW139" s="18">
        <f t="shared" si="104"/>
        <v>450</v>
      </c>
      <c r="CX139" s="1">
        <f>ROUND(PPTest!K139,1)</f>
        <v>0</v>
      </c>
      <c r="CY139" s="17">
        <f t="shared" si="105"/>
        <v>1.7</v>
      </c>
      <c r="CZ139" s="17">
        <f t="shared" si="106"/>
        <v>4.09</v>
      </c>
      <c r="DA139" s="20">
        <f t="shared" si="107"/>
        <v>0.46600000000000003</v>
      </c>
      <c r="DB139" s="20">
        <f t="shared" si="108"/>
        <v>1.181</v>
      </c>
      <c r="DC139" s="16">
        <f t="shared" si="109"/>
        <v>12.05</v>
      </c>
      <c r="DW139" s="1">
        <v>5.4</v>
      </c>
      <c r="DX139" s="1">
        <v>12.2</v>
      </c>
      <c r="DY139" s="1">
        <v>-1.4</v>
      </c>
    </row>
    <row r="140" spans="1:129" x14ac:dyDescent="0.2">
      <c r="A140" s="40">
        <v>34833</v>
      </c>
      <c r="B140" s="3">
        <v>134</v>
      </c>
      <c r="C140" s="3">
        <v>17.190000000000001</v>
      </c>
      <c r="D140" s="3">
        <v>32.42</v>
      </c>
      <c r="E140" s="3">
        <v>6.4580000000000002</v>
      </c>
      <c r="F140" s="3">
        <v>74.599999999999994</v>
      </c>
      <c r="G140" s="3">
        <v>5.8280000000000003</v>
      </c>
      <c r="H140" s="3">
        <v>5.3719999999999999</v>
      </c>
      <c r="I140" s="3">
        <v>5.8000000000000003E-2</v>
      </c>
      <c r="J140" s="3">
        <v>5.7290000000000001</v>
      </c>
      <c r="K140" s="3">
        <v>6.3209999999999997</v>
      </c>
      <c r="L140" s="3">
        <v>0.1</v>
      </c>
      <c r="M140" s="3">
        <v>0.35299999999999998</v>
      </c>
      <c r="N140" s="3">
        <v>0.72</v>
      </c>
      <c r="O140" s="3">
        <v>0</v>
      </c>
      <c r="P140" s="16">
        <v>1.6775</v>
      </c>
      <c r="Q140" s="3"/>
      <c r="R140" s="3">
        <v>13.6</v>
      </c>
      <c r="S140" s="3">
        <v>1050</v>
      </c>
      <c r="T140" s="3">
        <v>105.5</v>
      </c>
      <c r="U140" s="3">
        <v>2245</v>
      </c>
      <c r="V140" s="3">
        <v>13.97</v>
      </c>
      <c r="W140" s="3">
        <v>13.76</v>
      </c>
      <c r="X140" s="3">
        <v>0.27200000000000002</v>
      </c>
      <c r="Y140" s="3">
        <v>16.27</v>
      </c>
      <c r="Z140" s="3">
        <v>17.190000000000001</v>
      </c>
      <c r="AA140" s="3">
        <v>0.3</v>
      </c>
      <c r="AB140" s="3">
        <v>0.55900000000000005</v>
      </c>
      <c r="AC140" s="3">
        <v>0.92700000000000005</v>
      </c>
      <c r="AD140" s="16">
        <v>4.9941666666666666</v>
      </c>
      <c r="AE140" s="3">
        <v>1536</v>
      </c>
      <c r="AF140" s="3">
        <v>-2.0649999999999999</v>
      </c>
      <c r="AG140" s="3">
        <v>353</v>
      </c>
      <c r="AH140" s="3">
        <v>38.15</v>
      </c>
      <c r="AI140" s="3">
        <v>1051</v>
      </c>
      <c r="AJ140" s="3">
        <v>-2.827</v>
      </c>
      <c r="AK140" s="3">
        <v>-3.3159999999999998</v>
      </c>
      <c r="AL140" s="3">
        <v>-0.18</v>
      </c>
      <c r="AM140" s="3">
        <v>-3.2890000000000001</v>
      </c>
      <c r="AN140" s="3">
        <v>-3.2879999999999998</v>
      </c>
      <c r="AO140" s="3">
        <v>-0.112</v>
      </c>
      <c r="AP140" s="3">
        <v>7.5999999999999998E-2</v>
      </c>
      <c r="AQ140" s="3">
        <v>0.437</v>
      </c>
      <c r="AR140" s="3">
        <v>3.5000000000000003E-2</v>
      </c>
      <c r="AS140" s="3">
        <v>0.192</v>
      </c>
      <c r="AT140" s="3">
        <v>0.23100000000000001</v>
      </c>
      <c r="AU140" s="3">
        <v>4.3999999999999997E-2</v>
      </c>
      <c r="AV140" s="3">
        <v>0.108</v>
      </c>
      <c r="AW140" s="3">
        <v>0.29299999999999998</v>
      </c>
      <c r="AX140" s="3">
        <v>6.9000000000000006E-2</v>
      </c>
      <c r="AY140" s="3">
        <v>2.7E-2</v>
      </c>
      <c r="AZ140" s="3">
        <v>4.8479999999999999</v>
      </c>
      <c r="BA140" s="3"/>
      <c r="BB140" s="3">
        <v>12.05</v>
      </c>
      <c r="BC140" s="3">
        <v>2876</v>
      </c>
      <c r="BD140" s="3"/>
      <c r="BE140" s="3"/>
      <c r="BF140" s="43">
        <v>400</v>
      </c>
      <c r="BH140" s="16">
        <v>30.5</v>
      </c>
      <c r="BI140" s="16">
        <f t="shared" si="111"/>
        <v>61.61</v>
      </c>
      <c r="BJ140" s="17">
        <f t="shared" si="112"/>
        <v>17.190000000000001</v>
      </c>
      <c r="BK140" s="17">
        <f t="shared" si="113"/>
        <v>35.01</v>
      </c>
      <c r="BM140" s="1">
        <f t="shared" si="114"/>
        <v>98.5</v>
      </c>
      <c r="BN140" s="1">
        <f t="shared" si="115"/>
        <v>69.900000000000006</v>
      </c>
      <c r="BO140" s="1">
        <f t="shared" si="116"/>
        <v>36.299999999999997</v>
      </c>
      <c r="BP140" s="62">
        <f t="shared" si="119"/>
        <v>0.56499999999999995</v>
      </c>
      <c r="BQ140" s="62">
        <f t="shared" si="117"/>
        <v>0.99099999999999999</v>
      </c>
      <c r="BS140" s="48">
        <f t="shared" si="110"/>
        <v>0</v>
      </c>
      <c r="BT140" s="44">
        <v>0</v>
      </c>
      <c r="BV140" s="8"/>
      <c r="BW140" s="16">
        <f t="shared" si="78"/>
        <v>17.190000000000001</v>
      </c>
      <c r="BX140" s="16">
        <f t="shared" si="79"/>
        <v>35.01</v>
      </c>
      <c r="BY140" s="3">
        <f t="shared" si="80"/>
        <v>6.5</v>
      </c>
      <c r="BZ140" s="3">
        <f t="shared" si="81"/>
        <v>5.8</v>
      </c>
      <c r="CA140" s="3">
        <f t="shared" si="82"/>
        <v>5.4</v>
      </c>
      <c r="CB140" s="3">
        <f t="shared" si="83"/>
        <v>0.1</v>
      </c>
      <c r="CC140" s="3">
        <f t="shared" si="84"/>
        <v>0.1</v>
      </c>
      <c r="CD140" s="3">
        <f t="shared" si="85"/>
        <v>0.4</v>
      </c>
      <c r="CE140" s="3">
        <f t="shared" si="86"/>
        <v>0.7</v>
      </c>
      <c r="CF140" s="23">
        <f t="shared" si="87"/>
        <v>69.900000000000006</v>
      </c>
      <c r="CG140" s="1">
        <f t="shared" si="88"/>
        <v>13.6</v>
      </c>
      <c r="CH140" s="1">
        <f t="shared" si="89"/>
        <v>14</v>
      </c>
      <c r="CI140" s="1">
        <f t="shared" si="90"/>
        <v>13.8</v>
      </c>
      <c r="CJ140" s="1">
        <f t="shared" si="91"/>
        <v>0.3</v>
      </c>
      <c r="CK140" s="1">
        <f t="shared" si="92"/>
        <v>0.3</v>
      </c>
      <c r="CL140" s="1">
        <f t="shared" si="93"/>
        <v>0.6</v>
      </c>
      <c r="CM140" s="1">
        <f t="shared" si="94"/>
        <v>0.9</v>
      </c>
      <c r="CN140" s="2">
        <f t="shared" si="95"/>
        <v>98.5</v>
      </c>
      <c r="CO140" s="1">
        <f t="shared" si="96"/>
        <v>-2.1</v>
      </c>
      <c r="CP140" s="1">
        <f t="shared" si="97"/>
        <v>-2.8</v>
      </c>
      <c r="CQ140" s="1">
        <f t="shared" si="98"/>
        <v>-3.3</v>
      </c>
      <c r="CR140" s="1">
        <f t="shared" si="99"/>
        <v>-0.2</v>
      </c>
      <c r="CS140" s="1">
        <f t="shared" si="100"/>
        <v>-0.1</v>
      </c>
      <c r="CT140" s="1">
        <f t="shared" si="101"/>
        <v>0.1</v>
      </c>
      <c r="CU140" s="1">
        <f t="shared" si="102"/>
        <v>0.4</v>
      </c>
      <c r="CV140" s="2">
        <f t="shared" si="103"/>
        <v>36.299999999999997</v>
      </c>
      <c r="CW140" s="18">
        <f t="shared" si="104"/>
        <v>400</v>
      </c>
      <c r="CX140" s="1">
        <f>ROUND(PPTest!K140,1)</f>
        <v>0</v>
      </c>
      <c r="CY140" s="17">
        <f t="shared" si="105"/>
        <v>1.68</v>
      </c>
      <c r="CZ140" s="17">
        <f t="shared" si="106"/>
        <v>4.99</v>
      </c>
      <c r="DA140" s="20">
        <f t="shared" si="107"/>
        <v>0.56499999999999995</v>
      </c>
      <c r="DB140" s="20">
        <f t="shared" si="108"/>
        <v>0.99099999999999999</v>
      </c>
      <c r="DC140" s="16">
        <f t="shared" si="109"/>
        <v>12.05</v>
      </c>
      <c r="DW140" s="1">
        <v>8.8000000000000007</v>
      </c>
      <c r="DX140" s="1">
        <v>16.100000000000001</v>
      </c>
      <c r="DY140" s="1">
        <v>-1.5</v>
      </c>
    </row>
    <row r="141" spans="1:129" x14ac:dyDescent="0.2">
      <c r="A141" s="40">
        <v>34834</v>
      </c>
      <c r="B141" s="3">
        <v>135</v>
      </c>
      <c r="C141" s="3">
        <v>22.81</v>
      </c>
      <c r="D141" s="3">
        <v>42.88</v>
      </c>
      <c r="E141" s="3">
        <v>7.01</v>
      </c>
      <c r="F141" s="3">
        <v>79.3</v>
      </c>
      <c r="G141" s="3">
        <v>6.61</v>
      </c>
      <c r="H141" s="3">
        <v>6.0430000000000001</v>
      </c>
      <c r="I141" s="3">
        <v>0.10100000000000001</v>
      </c>
      <c r="J141" s="3">
        <v>7.03</v>
      </c>
      <c r="K141" s="3">
        <v>7.94</v>
      </c>
      <c r="L141" s="3">
        <v>0.121</v>
      </c>
      <c r="M141" s="3">
        <v>0.371</v>
      </c>
      <c r="N141" s="3">
        <v>0.747</v>
      </c>
      <c r="O141" s="3">
        <v>1E-3</v>
      </c>
      <c r="P141" s="16">
        <v>1.7641666666666667</v>
      </c>
      <c r="Q141" s="3"/>
      <c r="R141" s="3">
        <v>14.73</v>
      </c>
      <c r="S141" s="3">
        <v>1507</v>
      </c>
      <c r="T141" s="3">
        <v>105.6</v>
      </c>
      <c r="U141" s="3">
        <v>203</v>
      </c>
      <c r="V141" s="3">
        <v>16.170000000000002</v>
      </c>
      <c r="W141" s="3">
        <v>15.53</v>
      </c>
      <c r="X141" s="3">
        <v>0.32100000000000001</v>
      </c>
      <c r="Y141" s="3">
        <v>20.73</v>
      </c>
      <c r="Z141" s="3">
        <v>22.41</v>
      </c>
      <c r="AA141" s="3">
        <v>0.33400000000000002</v>
      </c>
      <c r="AB141" s="3">
        <v>0.60099999999999998</v>
      </c>
      <c r="AC141" s="3">
        <v>0.99399999999999999</v>
      </c>
      <c r="AD141" s="16">
        <v>4.980833333333333</v>
      </c>
      <c r="AE141" s="3">
        <v>1200</v>
      </c>
      <c r="AF141" s="3">
        <v>-0.96899999999999997</v>
      </c>
      <c r="AG141" s="3">
        <v>2354</v>
      </c>
      <c r="AH141" s="3">
        <v>39.770000000000003</v>
      </c>
      <c r="AI141" s="3">
        <v>1507</v>
      </c>
      <c r="AJ141" s="3">
        <v>-1.647</v>
      </c>
      <c r="AK141" s="3">
        <v>-1.95</v>
      </c>
      <c r="AL141" s="3">
        <v>-0.109</v>
      </c>
      <c r="AM141" s="3">
        <v>-1.581</v>
      </c>
      <c r="AN141" s="3">
        <v>-1.462</v>
      </c>
      <c r="AO141" s="3">
        <v>-8.5999999999999993E-2</v>
      </c>
      <c r="AP141" s="3">
        <v>0.16300000000000001</v>
      </c>
      <c r="AQ141" s="3">
        <v>0.54900000000000004</v>
      </c>
      <c r="AR141" s="3">
        <v>5.6000000000000001E-2</v>
      </c>
      <c r="AS141" s="3">
        <v>0.214</v>
      </c>
      <c r="AT141" s="3">
        <v>9.1999999999999998E-2</v>
      </c>
      <c r="AU141" s="3">
        <v>4.2000000000000003E-2</v>
      </c>
      <c r="AV141" s="3">
        <v>0.11</v>
      </c>
      <c r="AW141" s="3">
        <v>0.315</v>
      </c>
      <c r="AX141" s="3">
        <v>0.115</v>
      </c>
      <c r="AY141" s="3">
        <v>5.8000000000000003E-2</v>
      </c>
      <c r="AZ141" s="3">
        <v>6.5890000000000004</v>
      </c>
      <c r="BA141" s="3"/>
      <c r="BB141" s="3">
        <v>12.05</v>
      </c>
      <c r="BC141" s="3">
        <v>2876</v>
      </c>
      <c r="BD141" s="3"/>
      <c r="BE141" s="3"/>
      <c r="BF141" s="43">
        <v>350</v>
      </c>
      <c r="BH141" s="16">
        <v>30.66</v>
      </c>
      <c r="BI141" s="16">
        <f t="shared" si="111"/>
        <v>61.933199999999999</v>
      </c>
      <c r="BJ141" s="17">
        <f t="shared" si="112"/>
        <v>22.81</v>
      </c>
      <c r="BK141" s="17">
        <f t="shared" si="113"/>
        <v>46.31</v>
      </c>
      <c r="BM141" s="1">
        <f t="shared" si="114"/>
        <v>98.6</v>
      </c>
      <c r="BN141" s="1">
        <f t="shared" si="115"/>
        <v>74.3</v>
      </c>
      <c r="BO141" s="1">
        <f t="shared" si="116"/>
        <v>37.700000000000003</v>
      </c>
      <c r="BP141" s="62">
        <f t="shared" si="119"/>
        <v>0.63200000000000001</v>
      </c>
      <c r="BQ141" s="62">
        <f t="shared" si="117"/>
        <v>1.044</v>
      </c>
      <c r="BS141" s="48">
        <f t="shared" si="110"/>
        <v>0</v>
      </c>
      <c r="BT141" s="44">
        <v>0</v>
      </c>
      <c r="BV141" s="8"/>
      <c r="BW141" s="16">
        <f t="shared" si="78"/>
        <v>22.81</v>
      </c>
      <c r="BX141" s="16">
        <f t="shared" si="79"/>
        <v>46.31</v>
      </c>
      <c r="BY141" s="3">
        <f t="shared" si="80"/>
        <v>7</v>
      </c>
      <c r="BZ141" s="3">
        <f t="shared" si="81"/>
        <v>6.6</v>
      </c>
      <c r="CA141" s="3">
        <f t="shared" si="82"/>
        <v>6</v>
      </c>
      <c r="CB141" s="3">
        <f t="shared" si="83"/>
        <v>0.1</v>
      </c>
      <c r="CC141" s="3">
        <f t="shared" si="84"/>
        <v>0.1</v>
      </c>
      <c r="CD141" s="3">
        <f t="shared" si="85"/>
        <v>0.4</v>
      </c>
      <c r="CE141" s="3">
        <f t="shared" si="86"/>
        <v>0.7</v>
      </c>
      <c r="CF141" s="23">
        <f t="shared" si="87"/>
        <v>74.3</v>
      </c>
      <c r="CG141" s="1">
        <f t="shared" si="88"/>
        <v>14.7</v>
      </c>
      <c r="CH141" s="1">
        <f t="shared" si="89"/>
        <v>16.2</v>
      </c>
      <c r="CI141" s="1">
        <f t="shared" si="90"/>
        <v>15.5</v>
      </c>
      <c r="CJ141" s="1">
        <f t="shared" si="91"/>
        <v>0.3</v>
      </c>
      <c r="CK141" s="1">
        <f t="shared" si="92"/>
        <v>0.3</v>
      </c>
      <c r="CL141" s="1">
        <f t="shared" si="93"/>
        <v>0.6</v>
      </c>
      <c r="CM141" s="1">
        <f t="shared" si="94"/>
        <v>1</v>
      </c>
      <c r="CN141" s="2">
        <f t="shared" si="95"/>
        <v>98.6</v>
      </c>
      <c r="CO141" s="1">
        <f t="shared" si="96"/>
        <v>-1</v>
      </c>
      <c r="CP141" s="1">
        <f t="shared" si="97"/>
        <v>-1.6</v>
      </c>
      <c r="CQ141" s="1">
        <f t="shared" si="98"/>
        <v>-2</v>
      </c>
      <c r="CR141" s="1">
        <f t="shared" si="99"/>
        <v>-0.1</v>
      </c>
      <c r="CS141" s="1">
        <f t="shared" si="100"/>
        <v>-0.1</v>
      </c>
      <c r="CT141" s="1">
        <f t="shared" si="101"/>
        <v>0.2</v>
      </c>
      <c r="CU141" s="1">
        <f t="shared" si="102"/>
        <v>0.5</v>
      </c>
      <c r="CV141" s="2">
        <f t="shared" si="103"/>
        <v>37.700000000000003</v>
      </c>
      <c r="CW141" s="18">
        <f t="shared" si="104"/>
        <v>350</v>
      </c>
      <c r="CX141" s="1">
        <f>ROUND(PPTest!K141,1)</f>
        <v>0</v>
      </c>
      <c r="CY141" s="17">
        <f t="shared" si="105"/>
        <v>1.76</v>
      </c>
      <c r="CZ141" s="17">
        <f t="shared" si="106"/>
        <v>4.9800000000000004</v>
      </c>
      <c r="DA141" s="20">
        <f t="shared" si="107"/>
        <v>0.63200000000000001</v>
      </c>
      <c r="DB141" s="20">
        <f t="shared" si="108"/>
        <v>1.044</v>
      </c>
      <c r="DC141" s="16">
        <f t="shared" si="109"/>
        <v>12.05</v>
      </c>
      <c r="DW141" s="1">
        <v>8.1999999999999993</v>
      </c>
      <c r="DX141" s="1">
        <v>14.6</v>
      </c>
      <c r="DY141" s="1">
        <v>0.5</v>
      </c>
    </row>
    <row r="142" spans="1:129" x14ac:dyDescent="0.2">
      <c r="A142" s="40">
        <v>34835</v>
      </c>
      <c r="B142" s="3">
        <v>136</v>
      </c>
      <c r="C142" s="3">
        <v>25.21</v>
      </c>
      <c r="D142" s="3">
        <v>47.75</v>
      </c>
      <c r="E142" s="3">
        <v>7.84</v>
      </c>
      <c r="F142" s="3">
        <v>71.099999999999994</v>
      </c>
      <c r="G142" s="3">
        <v>7.5</v>
      </c>
      <c r="H142" s="3">
        <v>7.04</v>
      </c>
      <c r="I142" s="3">
        <v>0.11600000000000001</v>
      </c>
      <c r="J142" s="3">
        <v>8.1199999999999992</v>
      </c>
      <c r="K142" s="3">
        <v>8.74</v>
      </c>
      <c r="L142" s="3">
        <v>0.108</v>
      </c>
      <c r="M142" s="3">
        <v>0.34100000000000003</v>
      </c>
      <c r="N142" s="3">
        <v>0.72099999999999997</v>
      </c>
      <c r="O142" s="3">
        <v>1E-3</v>
      </c>
      <c r="P142" s="16">
        <v>1.7858333333333336</v>
      </c>
      <c r="Q142" s="3"/>
      <c r="R142" s="3">
        <v>16.59</v>
      </c>
      <c r="S142" s="3">
        <v>1610</v>
      </c>
      <c r="T142" s="3">
        <v>101.1</v>
      </c>
      <c r="U142" s="3">
        <v>406</v>
      </c>
      <c r="V142" s="3">
        <v>18.850000000000001</v>
      </c>
      <c r="W142" s="3">
        <v>17.91</v>
      </c>
      <c r="X142" s="3">
        <v>0.33600000000000002</v>
      </c>
      <c r="Y142" s="3">
        <v>19.25</v>
      </c>
      <c r="Z142" s="3">
        <v>21.44</v>
      </c>
      <c r="AA142" s="3">
        <v>0.3</v>
      </c>
      <c r="AB142" s="3">
        <v>0.56000000000000005</v>
      </c>
      <c r="AC142" s="3">
        <v>0.96799999999999997</v>
      </c>
      <c r="AD142" s="16">
        <v>4.7541666666666664</v>
      </c>
      <c r="AE142" s="3">
        <v>1138</v>
      </c>
      <c r="AF142" s="3">
        <v>-1.7589999999999999</v>
      </c>
      <c r="AG142" s="3">
        <v>357</v>
      </c>
      <c r="AH142" s="3">
        <v>38.4</v>
      </c>
      <c r="AI142" s="3">
        <v>1613</v>
      </c>
      <c r="AJ142" s="3">
        <v>-2.5089999999999999</v>
      </c>
      <c r="AK142" s="3">
        <v>-2.903</v>
      </c>
      <c r="AL142" s="3">
        <v>-0.14199999999999999</v>
      </c>
      <c r="AM142" s="3">
        <v>-2.8740000000000001</v>
      </c>
      <c r="AN142" s="3">
        <v>-2.895</v>
      </c>
      <c r="AO142" s="3">
        <v>-0.12</v>
      </c>
      <c r="AP142" s="3">
        <v>9.9000000000000005E-2</v>
      </c>
      <c r="AQ142" s="3">
        <v>0.46</v>
      </c>
      <c r="AR142" s="3">
        <v>1.2999999999999999E-2</v>
      </c>
      <c r="AS142" s="3">
        <v>0.217</v>
      </c>
      <c r="AT142" s="3">
        <v>0.22</v>
      </c>
      <c r="AU142" s="3">
        <v>2.4E-2</v>
      </c>
      <c r="AV142" s="3">
        <v>0.111</v>
      </c>
      <c r="AW142" s="3">
        <v>0.28899999999999998</v>
      </c>
      <c r="AX142" s="3">
        <v>0.105</v>
      </c>
      <c r="AY142" s="3">
        <v>2.1000000000000001E-2</v>
      </c>
      <c r="AZ142" s="3">
        <v>6.9909999999999997</v>
      </c>
      <c r="BA142" s="3"/>
      <c r="BB142" s="3">
        <v>12.06</v>
      </c>
      <c r="BC142" s="3">
        <v>2876</v>
      </c>
      <c r="BD142" s="3"/>
      <c r="BE142" s="3"/>
      <c r="BF142" s="43">
        <v>300</v>
      </c>
      <c r="BH142" s="16">
        <v>30.8</v>
      </c>
      <c r="BI142" s="16">
        <f t="shared" si="111"/>
        <v>62.216000000000001</v>
      </c>
      <c r="BJ142" s="17">
        <f t="shared" si="112"/>
        <v>25.21</v>
      </c>
      <c r="BK142" s="17">
        <f t="shared" si="113"/>
        <v>51.57</v>
      </c>
      <c r="BM142" s="1">
        <f t="shared" si="114"/>
        <v>94.4</v>
      </c>
      <c r="BN142" s="1">
        <f t="shared" si="115"/>
        <v>66.7</v>
      </c>
      <c r="BO142" s="1">
        <f t="shared" si="116"/>
        <v>36.5</v>
      </c>
      <c r="BP142" s="62">
        <f t="shared" si="119"/>
        <v>0.68899999999999995</v>
      </c>
      <c r="BQ142" s="62">
        <f t="shared" si="117"/>
        <v>1.1990000000000001</v>
      </c>
      <c r="BS142" s="48">
        <f t="shared" si="110"/>
        <v>0</v>
      </c>
      <c r="BT142" s="44">
        <v>0</v>
      </c>
      <c r="BV142" s="8"/>
      <c r="BW142" s="16">
        <f t="shared" si="78"/>
        <v>25.21</v>
      </c>
      <c r="BX142" s="16">
        <f t="shared" si="79"/>
        <v>51.57</v>
      </c>
      <c r="BY142" s="3">
        <f t="shared" si="80"/>
        <v>7.8</v>
      </c>
      <c r="BZ142" s="3">
        <f t="shared" si="81"/>
        <v>7.5</v>
      </c>
      <c r="CA142" s="3">
        <f t="shared" si="82"/>
        <v>7</v>
      </c>
      <c r="CB142" s="3">
        <f t="shared" si="83"/>
        <v>0.1</v>
      </c>
      <c r="CC142" s="3">
        <f t="shared" si="84"/>
        <v>0.1</v>
      </c>
      <c r="CD142" s="3">
        <f t="shared" si="85"/>
        <v>0.3</v>
      </c>
      <c r="CE142" s="3">
        <f t="shared" si="86"/>
        <v>0.7</v>
      </c>
      <c r="CF142" s="23">
        <f t="shared" si="87"/>
        <v>66.7</v>
      </c>
      <c r="CG142" s="1">
        <f t="shared" si="88"/>
        <v>16.600000000000001</v>
      </c>
      <c r="CH142" s="1">
        <f t="shared" si="89"/>
        <v>18.899999999999999</v>
      </c>
      <c r="CI142" s="1">
        <f t="shared" si="90"/>
        <v>17.899999999999999</v>
      </c>
      <c r="CJ142" s="1">
        <f t="shared" si="91"/>
        <v>0.3</v>
      </c>
      <c r="CK142" s="1">
        <f t="shared" si="92"/>
        <v>0.3</v>
      </c>
      <c r="CL142" s="1">
        <f t="shared" si="93"/>
        <v>0.6</v>
      </c>
      <c r="CM142" s="1">
        <f t="shared" si="94"/>
        <v>1</v>
      </c>
      <c r="CN142" s="2">
        <f t="shared" si="95"/>
        <v>94.4</v>
      </c>
      <c r="CO142" s="1">
        <f t="shared" si="96"/>
        <v>-1.8</v>
      </c>
      <c r="CP142" s="1">
        <f t="shared" si="97"/>
        <v>-2.5</v>
      </c>
      <c r="CQ142" s="1">
        <f t="shared" si="98"/>
        <v>-2.9</v>
      </c>
      <c r="CR142" s="1">
        <f t="shared" si="99"/>
        <v>-0.1</v>
      </c>
      <c r="CS142" s="1">
        <f t="shared" si="100"/>
        <v>-0.1</v>
      </c>
      <c r="CT142" s="1">
        <f t="shared" si="101"/>
        <v>0.1</v>
      </c>
      <c r="CU142" s="1">
        <f t="shared" si="102"/>
        <v>0.5</v>
      </c>
      <c r="CV142" s="2">
        <f t="shared" si="103"/>
        <v>36.5</v>
      </c>
      <c r="CW142" s="18">
        <f t="shared" si="104"/>
        <v>300</v>
      </c>
      <c r="CX142" s="1">
        <f>ROUND(PPTest!K142,1)</f>
        <v>0</v>
      </c>
      <c r="CY142" s="17">
        <f t="shared" si="105"/>
        <v>1.79</v>
      </c>
      <c r="CZ142" s="17">
        <f t="shared" si="106"/>
        <v>4.75</v>
      </c>
      <c r="DA142" s="20">
        <f t="shared" si="107"/>
        <v>0.68899999999999995</v>
      </c>
      <c r="DB142" s="20">
        <f t="shared" si="108"/>
        <v>1.1990000000000001</v>
      </c>
      <c r="DC142" s="16">
        <f t="shared" si="109"/>
        <v>12.06</v>
      </c>
      <c r="DW142" s="1">
        <v>8.4</v>
      </c>
      <c r="DX142" s="1">
        <v>16</v>
      </c>
      <c r="DY142" s="1">
        <v>-1</v>
      </c>
    </row>
    <row r="143" spans="1:129" x14ac:dyDescent="0.2">
      <c r="A143" s="40">
        <v>34836</v>
      </c>
      <c r="B143" s="3">
        <v>137</v>
      </c>
      <c r="C143" s="3">
        <v>11.95</v>
      </c>
      <c r="D143" s="3">
        <v>23.45</v>
      </c>
      <c r="E143" s="3">
        <v>4.702</v>
      </c>
      <c r="F143" s="3">
        <v>87.6</v>
      </c>
      <c r="G143" s="3">
        <v>4.3280000000000003</v>
      </c>
      <c r="H143" s="3">
        <v>4.0839999999999996</v>
      </c>
      <c r="I143" s="3">
        <v>9.9000000000000005E-2</v>
      </c>
      <c r="J143" s="3">
        <v>4.5549999999999997</v>
      </c>
      <c r="K143" s="3">
        <v>4.9950000000000001</v>
      </c>
      <c r="L143" s="3">
        <v>7.5999999999999998E-2</v>
      </c>
      <c r="M143" s="3">
        <v>0.308</v>
      </c>
      <c r="N143" s="3">
        <v>0.68200000000000005</v>
      </c>
      <c r="O143" s="3">
        <v>1E-3</v>
      </c>
      <c r="P143" s="16">
        <v>1.4733333333333334</v>
      </c>
      <c r="Q143" s="3"/>
      <c r="R143" s="3">
        <v>10.49</v>
      </c>
      <c r="S143" s="3">
        <v>1603</v>
      </c>
      <c r="T143" s="3">
        <v>105.8</v>
      </c>
      <c r="U143" s="3">
        <v>2345</v>
      </c>
      <c r="V143" s="3">
        <v>12.24</v>
      </c>
      <c r="W143" s="3">
        <v>11.53</v>
      </c>
      <c r="X143" s="3">
        <v>0.27900000000000003</v>
      </c>
      <c r="Y143" s="3">
        <v>13.49</v>
      </c>
      <c r="Z143" s="3">
        <v>16.079999999999998</v>
      </c>
      <c r="AA143" s="3">
        <v>0.24</v>
      </c>
      <c r="AB143" s="3">
        <v>0.48399999999999999</v>
      </c>
      <c r="AC143" s="3">
        <v>0.86</v>
      </c>
      <c r="AD143" s="16">
        <v>5.1541666666666668</v>
      </c>
      <c r="AE143" s="3">
        <v>1023</v>
      </c>
      <c r="AF143" s="3">
        <v>1.0409999999999999</v>
      </c>
      <c r="AG143" s="3">
        <v>2341</v>
      </c>
      <c r="AH143" s="3">
        <v>57.26</v>
      </c>
      <c r="AI143" s="3">
        <v>1604</v>
      </c>
      <c r="AJ143" s="3">
        <v>0.33</v>
      </c>
      <c r="AK143" s="3">
        <v>7.8E-2</v>
      </c>
      <c r="AL143" s="3">
        <v>-2.4E-2</v>
      </c>
      <c r="AM143" s="3">
        <v>3.5999999999999997E-2</v>
      </c>
      <c r="AN143" s="3">
        <v>0.17499999999999999</v>
      </c>
      <c r="AO143" s="3">
        <v>-3.7999999999999999E-2</v>
      </c>
      <c r="AP143" s="3">
        <v>0.193</v>
      </c>
      <c r="AQ143" s="3">
        <v>0.56999999999999995</v>
      </c>
      <c r="AR143" s="3">
        <v>4.8000000000000001E-2</v>
      </c>
      <c r="AS143" s="3">
        <v>0.158</v>
      </c>
      <c r="AT143" s="3">
        <v>0.22</v>
      </c>
      <c r="AU143" s="3">
        <v>3.3000000000000002E-2</v>
      </c>
      <c r="AV143" s="3">
        <v>0.13200000000000001</v>
      </c>
      <c r="AW143" s="3">
        <v>0.30099999999999999</v>
      </c>
      <c r="AX143" s="3">
        <v>7.1999999999999995E-2</v>
      </c>
      <c r="AY143" s="3">
        <v>3.5999999999999997E-2</v>
      </c>
      <c r="AZ143" s="3">
        <v>4.4779999999999998</v>
      </c>
      <c r="BA143" s="3"/>
      <c r="BB143" s="3">
        <v>12.04</v>
      </c>
      <c r="BC143" s="3">
        <v>2876</v>
      </c>
      <c r="BD143" s="3"/>
      <c r="BE143" s="3"/>
      <c r="BF143" s="43">
        <v>250</v>
      </c>
      <c r="BH143" s="16">
        <v>30.94</v>
      </c>
      <c r="BI143" s="16">
        <f t="shared" si="111"/>
        <v>62.498800000000003</v>
      </c>
      <c r="BJ143" s="17">
        <f t="shared" si="112"/>
        <v>11.95</v>
      </c>
      <c r="BK143" s="17">
        <f t="shared" si="113"/>
        <v>25.33</v>
      </c>
      <c r="BM143" s="1">
        <f t="shared" si="114"/>
        <v>98.8</v>
      </c>
      <c r="BN143" s="1">
        <f t="shared" si="115"/>
        <v>81.900000000000006</v>
      </c>
      <c r="BO143" s="1">
        <f t="shared" si="116"/>
        <v>53.9</v>
      </c>
      <c r="BP143" s="62">
        <f t="shared" si="119"/>
        <v>0.68400000000000005</v>
      </c>
      <c r="BQ143" s="62">
        <f t="shared" si="117"/>
        <v>0.58499999999999996</v>
      </c>
      <c r="BS143" s="48">
        <f t="shared" si="110"/>
        <v>0</v>
      </c>
      <c r="BT143" s="44">
        <v>0</v>
      </c>
      <c r="BV143" s="8"/>
      <c r="BW143" s="16">
        <f t="shared" si="78"/>
        <v>11.95</v>
      </c>
      <c r="BX143" s="16">
        <f t="shared" si="79"/>
        <v>25.33</v>
      </c>
      <c r="BY143" s="3">
        <f t="shared" si="80"/>
        <v>4.7</v>
      </c>
      <c r="BZ143" s="3">
        <f t="shared" si="81"/>
        <v>4.3</v>
      </c>
      <c r="CA143" s="3">
        <f t="shared" si="82"/>
        <v>4.0999999999999996</v>
      </c>
      <c r="CB143" s="3">
        <f t="shared" si="83"/>
        <v>0.1</v>
      </c>
      <c r="CC143" s="3">
        <f t="shared" si="84"/>
        <v>0.1</v>
      </c>
      <c r="CD143" s="3">
        <f t="shared" si="85"/>
        <v>0.3</v>
      </c>
      <c r="CE143" s="3">
        <f t="shared" si="86"/>
        <v>0.7</v>
      </c>
      <c r="CF143" s="23">
        <f t="shared" si="87"/>
        <v>81.900000000000006</v>
      </c>
      <c r="CG143" s="1">
        <f t="shared" si="88"/>
        <v>10.5</v>
      </c>
      <c r="CH143" s="1">
        <f t="shared" si="89"/>
        <v>12.2</v>
      </c>
      <c r="CI143" s="1">
        <f t="shared" si="90"/>
        <v>11.5</v>
      </c>
      <c r="CJ143" s="1">
        <f t="shared" si="91"/>
        <v>0.3</v>
      </c>
      <c r="CK143" s="1">
        <f t="shared" si="92"/>
        <v>0.2</v>
      </c>
      <c r="CL143" s="1">
        <f t="shared" si="93"/>
        <v>0.5</v>
      </c>
      <c r="CM143" s="1">
        <f t="shared" si="94"/>
        <v>0.9</v>
      </c>
      <c r="CN143" s="2">
        <f t="shared" si="95"/>
        <v>98.8</v>
      </c>
      <c r="CO143" s="1">
        <f t="shared" si="96"/>
        <v>1</v>
      </c>
      <c r="CP143" s="1">
        <f t="shared" si="97"/>
        <v>0.3</v>
      </c>
      <c r="CQ143" s="1">
        <f t="shared" si="98"/>
        <v>0.1</v>
      </c>
      <c r="CR143" s="1">
        <f t="shared" si="99"/>
        <v>0</v>
      </c>
      <c r="CS143" s="1">
        <f t="shared" si="100"/>
        <v>0</v>
      </c>
      <c r="CT143" s="1">
        <f t="shared" si="101"/>
        <v>0.2</v>
      </c>
      <c r="CU143" s="1">
        <f t="shared" si="102"/>
        <v>0.6</v>
      </c>
      <c r="CV143" s="2">
        <f t="shared" si="103"/>
        <v>53.9</v>
      </c>
      <c r="CW143" s="18">
        <f t="shared" si="104"/>
        <v>250</v>
      </c>
      <c r="CX143" s="1">
        <f>ROUND(PPTest!K143,1)</f>
        <v>0</v>
      </c>
      <c r="CY143" s="17">
        <f t="shared" si="105"/>
        <v>1.47</v>
      </c>
      <c r="CZ143" s="17">
        <f t="shared" si="106"/>
        <v>5.15</v>
      </c>
      <c r="DA143" s="20">
        <f t="shared" si="107"/>
        <v>0.68400000000000005</v>
      </c>
      <c r="DB143" s="20">
        <f t="shared" si="108"/>
        <v>0.58499999999999996</v>
      </c>
      <c r="DC143" s="16">
        <f t="shared" si="109"/>
        <v>12.04</v>
      </c>
      <c r="DW143" s="1">
        <v>5</v>
      </c>
      <c r="DX143" s="1">
        <v>11</v>
      </c>
      <c r="DY143" s="1">
        <v>-1.9</v>
      </c>
    </row>
    <row r="144" spans="1:129" x14ac:dyDescent="0.2">
      <c r="A144" s="40">
        <v>34837</v>
      </c>
      <c r="B144" s="3">
        <v>138</v>
      </c>
      <c r="C144" s="3">
        <v>27.66</v>
      </c>
      <c r="D144" s="3">
        <v>51.22</v>
      </c>
      <c r="E144" s="3">
        <v>3.1619999999999999</v>
      </c>
      <c r="F144" s="3">
        <v>65.34</v>
      </c>
      <c r="G144" s="3">
        <v>3.06</v>
      </c>
      <c r="H144" s="3">
        <v>2.778</v>
      </c>
      <c r="I144" s="3">
        <v>0.1</v>
      </c>
      <c r="J144" s="3">
        <v>4.0069999999999997</v>
      </c>
      <c r="K144" s="3">
        <v>4.5369999999999999</v>
      </c>
      <c r="L144" s="3">
        <v>7.1999999999999995E-2</v>
      </c>
      <c r="M144" s="3">
        <v>0.29799999999999999</v>
      </c>
      <c r="N144" s="3">
        <v>0.65600000000000003</v>
      </c>
      <c r="O144" s="3">
        <v>1E-3</v>
      </c>
      <c r="P144" s="16">
        <v>1.8491666666666668</v>
      </c>
      <c r="Q144" s="3"/>
      <c r="R144" s="3">
        <v>7.27</v>
      </c>
      <c r="S144" s="3">
        <v>1716</v>
      </c>
      <c r="T144" s="3">
        <v>106</v>
      </c>
      <c r="U144" s="3">
        <v>18</v>
      </c>
      <c r="V144" s="3">
        <v>8.6999999999999993</v>
      </c>
      <c r="W144" s="3">
        <v>8.6199999999999992</v>
      </c>
      <c r="X144" s="3">
        <v>0.30099999999999999</v>
      </c>
      <c r="Y144" s="3">
        <v>12.45</v>
      </c>
      <c r="Z144" s="3">
        <v>12.71</v>
      </c>
      <c r="AA144" s="3">
        <v>0.255</v>
      </c>
      <c r="AB144" s="3">
        <v>0.497</v>
      </c>
      <c r="AC144" s="3">
        <v>0.86399999999999999</v>
      </c>
      <c r="AD144" s="16">
        <v>6.0608333333333331</v>
      </c>
      <c r="AE144" s="3">
        <v>1222</v>
      </c>
      <c r="AF144" s="3">
        <v>-2.5369999999999999</v>
      </c>
      <c r="AG144" s="3">
        <v>2359</v>
      </c>
      <c r="AH144" s="3">
        <v>34.049999999999997</v>
      </c>
      <c r="AI144" s="3">
        <v>1644</v>
      </c>
      <c r="AJ144" s="3">
        <v>-3.1840000000000002</v>
      </c>
      <c r="AK144" s="3">
        <v>-3.6669999999999998</v>
      </c>
      <c r="AL144" s="3">
        <v>-0.104</v>
      </c>
      <c r="AM144" s="3">
        <v>-2.5329999999999999</v>
      </c>
      <c r="AN144" s="3">
        <v>-2.105</v>
      </c>
      <c r="AO144" s="3">
        <v>-0.11600000000000001</v>
      </c>
      <c r="AP144" s="3">
        <v>0.08</v>
      </c>
      <c r="AQ144" s="3">
        <v>0.43099999999999999</v>
      </c>
      <c r="AR144" s="3">
        <v>4.2000000000000003E-2</v>
      </c>
      <c r="AS144" s="3">
        <v>0.109</v>
      </c>
      <c r="AT144" s="3">
        <v>8.5999999999999993E-2</v>
      </c>
      <c r="AU144" s="3">
        <v>4.9000000000000002E-2</v>
      </c>
      <c r="AV144" s="3">
        <v>0.14499999999999999</v>
      </c>
      <c r="AW144" s="3">
        <v>0.38300000000000001</v>
      </c>
      <c r="AX144" s="3">
        <v>0.13300000000000001</v>
      </c>
      <c r="AY144" s="3">
        <v>5.2999999999999999E-2</v>
      </c>
      <c r="AZ144" s="3">
        <v>3.609</v>
      </c>
      <c r="BA144" s="3"/>
      <c r="BB144" s="3">
        <v>12.04</v>
      </c>
      <c r="BC144" s="3">
        <v>2876</v>
      </c>
      <c r="BD144" s="3"/>
      <c r="BE144" s="3"/>
      <c r="BF144" s="43">
        <v>200</v>
      </c>
      <c r="BH144" s="16">
        <v>31.08</v>
      </c>
      <c r="BI144" s="16">
        <f t="shared" si="111"/>
        <v>62.781599999999997</v>
      </c>
      <c r="BJ144" s="17">
        <f t="shared" si="112"/>
        <v>27.66</v>
      </c>
      <c r="BK144" s="17">
        <f t="shared" si="113"/>
        <v>55.32</v>
      </c>
      <c r="BM144" s="1">
        <f t="shared" si="114"/>
        <v>98.9</v>
      </c>
      <c r="BN144" s="1">
        <f t="shared" si="115"/>
        <v>61.4</v>
      </c>
      <c r="BO144" s="1">
        <f t="shared" si="116"/>
        <v>32.5</v>
      </c>
      <c r="BP144" s="62">
        <f t="shared" si="119"/>
        <v>0.33200000000000002</v>
      </c>
      <c r="BQ144" s="62">
        <f t="shared" si="117"/>
        <v>0.69</v>
      </c>
      <c r="BS144" s="48">
        <f t="shared" si="110"/>
        <v>0</v>
      </c>
      <c r="BT144" s="44">
        <v>0</v>
      </c>
      <c r="BV144" s="8"/>
      <c r="BW144" s="16">
        <f t="shared" si="78"/>
        <v>27.66</v>
      </c>
      <c r="BX144" s="16">
        <f t="shared" si="79"/>
        <v>55.32</v>
      </c>
      <c r="BY144" s="3">
        <f t="shared" si="80"/>
        <v>3.2</v>
      </c>
      <c r="BZ144" s="3">
        <f t="shared" si="81"/>
        <v>3.1</v>
      </c>
      <c r="CA144" s="3">
        <f t="shared" si="82"/>
        <v>2.8</v>
      </c>
      <c r="CB144" s="3">
        <f t="shared" si="83"/>
        <v>0.1</v>
      </c>
      <c r="CC144" s="3">
        <f t="shared" si="84"/>
        <v>0.1</v>
      </c>
      <c r="CD144" s="3">
        <f t="shared" si="85"/>
        <v>0.3</v>
      </c>
      <c r="CE144" s="3">
        <f t="shared" si="86"/>
        <v>0.7</v>
      </c>
      <c r="CF144" s="23">
        <f t="shared" si="87"/>
        <v>61.4</v>
      </c>
      <c r="CG144" s="1">
        <f t="shared" si="88"/>
        <v>7.3</v>
      </c>
      <c r="CH144" s="1">
        <f t="shared" si="89"/>
        <v>8.6999999999999993</v>
      </c>
      <c r="CI144" s="1">
        <f t="shared" si="90"/>
        <v>8.6</v>
      </c>
      <c r="CJ144" s="1">
        <f t="shared" si="91"/>
        <v>0.3</v>
      </c>
      <c r="CK144" s="1">
        <f t="shared" si="92"/>
        <v>0.3</v>
      </c>
      <c r="CL144" s="1">
        <f t="shared" si="93"/>
        <v>0.5</v>
      </c>
      <c r="CM144" s="1">
        <f t="shared" si="94"/>
        <v>0.9</v>
      </c>
      <c r="CN144" s="2">
        <f t="shared" si="95"/>
        <v>98.9</v>
      </c>
      <c r="CO144" s="1">
        <f t="shared" si="96"/>
        <v>-2.5</v>
      </c>
      <c r="CP144" s="1">
        <f t="shared" si="97"/>
        <v>-3.2</v>
      </c>
      <c r="CQ144" s="1">
        <f t="shared" si="98"/>
        <v>-3.7</v>
      </c>
      <c r="CR144" s="1">
        <f t="shared" si="99"/>
        <v>-0.1</v>
      </c>
      <c r="CS144" s="1">
        <f t="shared" si="100"/>
        <v>-0.1</v>
      </c>
      <c r="CT144" s="1">
        <f t="shared" si="101"/>
        <v>0.1</v>
      </c>
      <c r="CU144" s="1">
        <f t="shared" si="102"/>
        <v>0.4</v>
      </c>
      <c r="CV144" s="2">
        <f t="shared" si="103"/>
        <v>32.5</v>
      </c>
      <c r="CW144" s="18">
        <f t="shared" si="104"/>
        <v>200</v>
      </c>
      <c r="CX144" s="1">
        <f>ROUND(PPTest!K144,1)</f>
        <v>0</v>
      </c>
      <c r="CY144" s="17">
        <f t="shared" si="105"/>
        <v>1.85</v>
      </c>
      <c r="CZ144" s="17">
        <f t="shared" si="106"/>
        <v>6.06</v>
      </c>
      <c r="DA144" s="20">
        <f t="shared" si="107"/>
        <v>0.33200000000000002</v>
      </c>
      <c r="DB144" s="20">
        <f t="shared" si="108"/>
        <v>0.69</v>
      </c>
      <c r="DC144" s="16">
        <f t="shared" si="109"/>
        <v>12.04</v>
      </c>
      <c r="DW144" s="1">
        <v>3.1</v>
      </c>
      <c r="DX144" s="1">
        <v>8.1</v>
      </c>
      <c r="DY144" s="1">
        <v>-2.8</v>
      </c>
    </row>
    <row r="145" spans="1:131" x14ac:dyDescent="0.2">
      <c r="A145" s="40">
        <v>34838</v>
      </c>
      <c r="B145" s="3">
        <v>139</v>
      </c>
      <c r="C145" s="3">
        <v>30.23</v>
      </c>
      <c r="D145" s="3">
        <v>56.24</v>
      </c>
      <c r="E145" s="3">
        <v>2.6379999999999999</v>
      </c>
      <c r="F145" s="3">
        <v>59.02</v>
      </c>
      <c r="G145" s="3">
        <v>2.524</v>
      </c>
      <c r="H145" s="3">
        <v>2.1459999999999999</v>
      </c>
      <c r="I145" s="3">
        <v>0.104</v>
      </c>
      <c r="J145" s="3">
        <v>3.8149999999999999</v>
      </c>
      <c r="K145" s="3">
        <v>4.258</v>
      </c>
      <c r="L145" s="3">
        <v>0.112</v>
      </c>
      <c r="M145" s="3">
        <v>0.33300000000000002</v>
      </c>
      <c r="N145" s="3">
        <v>0.65300000000000002</v>
      </c>
      <c r="O145" s="3">
        <v>0</v>
      </c>
      <c r="P145" s="16">
        <v>1.7275</v>
      </c>
      <c r="Q145" s="3">
        <v>0</v>
      </c>
      <c r="R145" s="3">
        <v>9.8800000000000008</v>
      </c>
      <c r="S145" s="3">
        <v>1657</v>
      </c>
      <c r="T145" s="3">
        <v>96.7</v>
      </c>
      <c r="U145" s="3">
        <v>347</v>
      </c>
      <c r="V145" s="3">
        <v>11.22</v>
      </c>
      <c r="W145" s="3">
        <v>11.28</v>
      </c>
      <c r="X145" s="3">
        <v>0.35699999999999998</v>
      </c>
      <c r="Y145" s="3">
        <v>15.57</v>
      </c>
      <c r="Z145" s="3">
        <v>15.3</v>
      </c>
      <c r="AA145" s="3">
        <v>0.37</v>
      </c>
      <c r="AB145" s="3">
        <v>0.59799999999999998</v>
      </c>
      <c r="AC145" s="3">
        <v>0.92</v>
      </c>
      <c r="AD145" s="16">
        <v>4.8875000000000002</v>
      </c>
      <c r="AE145" s="3">
        <v>1320</v>
      </c>
      <c r="AF145" s="3">
        <v>-5.4580000000000002</v>
      </c>
      <c r="AG145" s="3">
        <v>434</v>
      </c>
      <c r="AH145" s="3">
        <v>18.2</v>
      </c>
      <c r="AI145" s="3">
        <v>1526</v>
      </c>
      <c r="AJ145" s="3">
        <v>-6.0579999999999998</v>
      </c>
      <c r="AK145" s="3">
        <v>-6.4340000000000002</v>
      </c>
      <c r="AL145" s="3">
        <v>-0.17399999999999999</v>
      </c>
      <c r="AM145" s="3">
        <v>-6.5620000000000003</v>
      </c>
      <c r="AN145" s="3">
        <v>-6.6719999999999997</v>
      </c>
      <c r="AO145" s="3">
        <v>-0.16500000000000001</v>
      </c>
      <c r="AP145" s="3">
        <v>5.0000000000000001E-3</v>
      </c>
      <c r="AQ145" s="3">
        <v>0.31900000000000001</v>
      </c>
      <c r="AR145" s="3">
        <v>5.2999999999999999E-2</v>
      </c>
      <c r="AS145" s="3">
        <v>0.35599999999999998</v>
      </c>
      <c r="AT145" s="3">
        <v>0.17499999999999999</v>
      </c>
      <c r="AU145" s="3">
        <v>1.9E-2</v>
      </c>
      <c r="AV145" s="3">
        <v>5.2999999999999999E-2</v>
      </c>
      <c r="AW145" s="3">
        <v>0.16700000000000001</v>
      </c>
      <c r="AX145" s="3">
        <v>9.9000000000000005E-2</v>
      </c>
      <c r="AY145" s="3">
        <v>7.8E-2</v>
      </c>
      <c r="AZ145" s="3">
        <v>2.5939999999999999</v>
      </c>
      <c r="BA145" s="3"/>
      <c r="BB145" s="3">
        <v>12.04</v>
      </c>
      <c r="BC145" s="3">
        <v>2876</v>
      </c>
      <c r="BD145" s="3"/>
      <c r="BE145" s="3"/>
      <c r="BF145" s="43">
        <v>130</v>
      </c>
      <c r="BH145" s="16">
        <v>31.21</v>
      </c>
      <c r="BI145" s="16">
        <f t="shared" si="111"/>
        <v>63.044200000000004</v>
      </c>
      <c r="BJ145" s="17">
        <f t="shared" si="112"/>
        <v>30.23</v>
      </c>
      <c r="BK145" s="17">
        <f t="shared" si="113"/>
        <v>60.74</v>
      </c>
      <c r="BM145" s="1">
        <f t="shared" si="114"/>
        <v>90.4</v>
      </c>
      <c r="BN145" s="1">
        <f t="shared" si="115"/>
        <v>55.5</v>
      </c>
      <c r="BO145" s="1">
        <f t="shared" si="116"/>
        <v>17.8</v>
      </c>
      <c r="BP145" s="62">
        <f t="shared" si="119"/>
        <v>0.217</v>
      </c>
      <c r="BQ145" s="62">
        <f t="shared" si="117"/>
        <v>1.002</v>
      </c>
      <c r="BS145" s="48">
        <f t="shared" si="110"/>
        <v>0</v>
      </c>
      <c r="BT145" s="44">
        <v>0</v>
      </c>
      <c r="BV145" s="8"/>
      <c r="BW145" s="16">
        <f t="shared" si="78"/>
        <v>30.23</v>
      </c>
      <c r="BX145" s="16">
        <f t="shared" si="79"/>
        <v>60.74</v>
      </c>
      <c r="BY145" s="3">
        <f t="shared" si="80"/>
        <v>2.6</v>
      </c>
      <c r="BZ145" s="3">
        <f t="shared" si="81"/>
        <v>2.5</v>
      </c>
      <c r="CA145" s="3">
        <f t="shared" si="82"/>
        <v>2.1</v>
      </c>
      <c r="CB145" s="3">
        <f t="shared" si="83"/>
        <v>0.1</v>
      </c>
      <c r="CC145" s="3">
        <f t="shared" si="84"/>
        <v>0.1</v>
      </c>
      <c r="CD145" s="3">
        <f t="shared" si="85"/>
        <v>0.3</v>
      </c>
      <c r="CE145" s="3">
        <f t="shared" si="86"/>
        <v>0.7</v>
      </c>
      <c r="CF145" s="23">
        <f t="shared" si="87"/>
        <v>55.5</v>
      </c>
      <c r="CG145" s="1">
        <f t="shared" si="88"/>
        <v>9.9</v>
      </c>
      <c r="CH145" s="1">
        <f t="shared" si="89"/>
        <v>11.2</v>
      </c>
      <c r="CI145" s="1">
        <f t="shared" si="90"/>
        <v>11.3</v>
      </c>
      <c r="CJ145" s="1">
        <f t="shared" si="91"/>
        <v>0.4</v>
      </c>
      <c r="CK145" s="1">
        <f t="shared" si="92"/>
        <v>0.4</v>
      </c>
      <c r="CL145" s="1">
        <f t="shared" si="93"/>
        <v>0.6</v>
      </c>
      <c r="CM145" s="1">
        <f t="shared" si="94"/>
        <v>0.9</v>
      </c>
      <c r="CN145" s="2">
        <f t="shared" si="95"/>
        <v>90.4</v>
      </c>
      <c r="CO145" s="1">
        <f t="shared" si="96"/>
        <v>-5.5</v>
      </c>
      <c r="CP145" s="1">
        <f t="shared" si="97"/>
        <v>-6.1</v>
      </c>
      <c r="CQ145" s="1">
        <f t="shared" si="98"/>
        <v>-6.4</v>
      </c>
      <c r="CR145" s="1">
        <f t="shared" si="99"/>
        <v>-0.2</v>
      </c>
      <c r="CS145" s="1">
        <f t="shared" si="100"/>
        <v>-0.2</v>
      </c>
      <c r="CT145" s="1">
        <f t="shared" si="101"/>
        <v>0</v>
      </c>
      <c r="CU145" s="1">
        <f t="shared" si="102"/>
        <v>0.3</v>
      </c>
      <c r="CV145" s="2">
        <f t="shared" si="103"/>
        <v>17.8</v>
      </c>
      <c r="CW145" s="18">
        <f t="shared" si="104"/>
        <v>130</v>
      </c>
      <c r="CX145" s="1">
        <f>ROUND(PPTest!K145,1)</f>
        <v>0</v>
      </c>
      <c r="CY145" s="17">
        <f t="shared" si="105"/>
        <v>1.73</v>
      </c>
      <c r="CZ145" s="17">
        <f t="shared" si="106"/>
        <v>4.8899999999999997</v>
      </c>
      <c r="DA145" s="20">
        <f t="shared" si="107"/>
        <v>0.217</v>
      </c>
      <c r="DB145" s="20">
        <f t="shared" si="108"/>
        <v>1.002</v>
      </c>
      <c r="DC145" s="16">
        <f t="shared" si="109"/>
        <v>12.04</v>
      </c>
      <c r="DW145" s="1">
        <v>3.8</v>
      </c>
      <c r="DX145" s="1">
        <v>12.5</v>
      </c>
      <c r="DY145" s="1">
        <v>-4.5</v>
      </c>
    </row>
    <row r="146" spans="1:131" x14ac:dyDescent="0.2">
      <c r="A146" s="40">
        <v>34839</v>
      </c>
      <c r="B146" s="3">
        <v>140</v>
      </c>
      <c r="C146" s="3">
        <v>20.58</v>
      </c>
      <c r="D146" s="3">
        <v>39.049999999999997</v>
      </c>
      <c r="E146" s="3">
        <v>2.3940000000000001</v>
      </c>
      <c r="F146" s="3">
        <v>72.2</v>
      </c>
      <c r="G146" s="3">
        <v>2.12</v>
      </c>
      <c r="H146" s="3">
        <v>1.9810000000000001</v>
      </c>
      <c r="I146" s="3">
        <v>7.9000000000000001E-2</v>
      </c>
      <c r="J146" s="3">
        <v>2.5739999999999998</v>
      </c>
      <c r="K146" s="3">
        <v>3.0470000000000002</v>
      </c>
      <c r="L146" s="3">
        <v>0.20699999999999999</v>
      </c>
      <c r="M146" s="3">
        <v>0.41</v>
      </c>
      <c r="N146" s="3">
        <v>0.64400000000000002</v>
      </c>
      <c r="O146" s="3">
        <v>0</v>
      </c>
      <c r="P146" s="16">
        <v>2.2441666666666666</v>
      </c>
      <c r="Q146" s="3">
        <v>1</v>
      </c>
      <c r="R146" s="3">
        <v>7</v>
      </c>
      <c r="S146" s="3">
        <v>857</v>
      </c>
      <c r="T146" s="3">
        <v>97.4</v>
      </c>
      <c r="U146" s="3">
        <v>2351</v>
      </c>
      <c r="V146" s="3">
        <v>8.31</v>
      </c>
      <c r="W146" s="3">
        <v>10.029999999999999</v>
      </c>
      <c r="X146" s="3">
        <v>0.28899999999999998</v>
      </c>
      <c r="Y146" s="3">
        <v>12.81</v>
      </c>
      <c r="Z146" s="3">
        <v>12.08</v>
      </c>
      <c r="AA146" s="3">
        <v>0.47399999999999998</v>
      </c>
      <c r="AB146" s="3">
        <v>0.60099999999999998</v>
      </c>
      <c r="AC146" s="3">
        <v>0.85699999999999998</v>
      </c>
      <c r="AD146" s="16">
        <v>5.9941666666666658</v>
      </c>
      <c r="AE146" s="3">
        <v>928</v>
      </c>
      <c r="AF146" s="3">
        <v>-3.407</v>
      </c>
      <c r="AG146" s="3">
        <v>416</v>
      </c>
      <c r="AH146" s="3">
        <v>44.96</v>
      </c>
      <c r="AI146" s="3">
        <v>1649</v>
      </c>
      <c r="AJ146" s="3">
        <v>-4.26</v>
      </c>
      <c r="AK146" s="3">
        <v>-4.4950000000000001</v>
      </c>
      <c r="AL146" s="3">
        <v>-0.17199999999999999</v>
      </c>
      <c r="AM146" s="3">
        <v>-4.4809999999999999</v>
      </c>
      <c r="AN146" s="3">
        <v>-4.5839999999999996</v>
      </c>
      <c r="AO146" s="3">
        <v>-8.5000000000000006E-2</v>
      </c>
      <c r="AP146" s="3">
        <v>0.114</v>
      </c>
      <c r="AQ146" s="3">
        <v>0.36499999999999999</v>
      </c>
      <c r="AR146" s="3">
        <v>3.3000000000000002E-2</v>
      </c>
      <c r="AS146" s="3">
        <v>0.23799999999999999</v>
      </c>
      <c r="AT146" s="3">
        <v>0.104</v>
      </c>
      <c r="AU146" s="3">
        <v>1.4999999999999999E-2</v>
      </c>
      <c r="AV146" s="3">
        <v>0.10199999999999999</v>
      </c>
      <c r="AW146" s="3">
        <v>0.34300000000000003</v>
      </c>
      <c r="AX146" s="3">
        <v>0.13300000000000001</v>
      </c>
      <c r="AY146" s="3">
        <v>3.1E-2</v>
      </c>
      <c r="AZ146" s="3">
        <v>2.206</v>
      </c>
      <c r="BA146" s="3"/>
      <c r="BB146" s="3">
        <v>12.03</v>
      </c>
      <c r="BC146" s="3">
        <v>2876</v>
      </c>
      <c r="BD146" s="3"/>
      <c r="BE146" s="3"/>
      <c r="BF146" s="43">
        <v>70</v>
      </c>
      <c r="BH146" s="16">
        <v>31.34</v>
      </c>
      <c r="BI146" s="16">
        <f t="shared" si="111"/>
        <v>63.306800000000003</v>
      </c>
      <c r="BJ146" s="17">
        <f t="shared" si="112"/>
        <v>20.58</v>
      </c>
      <c r="BK146" s="17">
        <f t="shared" si="113"/>
        <v>42.17</v>
      </c>
      <c r="BM146" s="1">
        <f t="shared" si="114"/>
        <v>91</v>
      </c>
      <c r="BN146" s="1">
        <f t="shared" si="115"/>
        <v>67.7</v>
      </c>
      <c r="BO146" s="1">
        <f t="shared" si="116"/>
        <v>42.5</v>
      </c>
      <c r="BP146" s="62">
        <f t="shared" si="119"/>
        <v>0.42599999999999999</v>
      </c>
      <c r="BQ146" s="62">
        <f t="shared" si="117"/>
        <v>0.57599999999999996</v>
      </c>
      <c r="BS146" s="48">
        <f t="shared" si="110"/>
        <v>1.4</v>
      </c>
      <c r="BT146" s="44">
        <v>1</v>
      </c>
      <c r="BV146" s="8"/>
      <c r="BW146" s="16">
        <f t="shared" si="78"/>
        <v>20.58</v>
      </c>
      <c r="BX146" s="16">
        <f t="shared" si="79"/>
        <v>42.17</v>
      </c>
      <c r="BY146" s="3">
        <f t="shared" si="80"/>
        <v>2.4</v>
      </c>
      <c r="BZ146" s="3">
        <f t="shared" si="81"/>
        <v>2.1</v>
      </c>
      <c r="CA146" s="3">
        <f t="shared" si="82"/>
        <v>2</v>
      </c>
      <c r="CB146" s="3">
        <f t="shared" si="83"/>
        <v>0.1</v>
      </c>
      <c r="CC146" s="3">
        <f t="shared" si="84"/>
        <v>0.2</v>
      </c>
      <c r="CD146" s="3">
        <f t="shared" si="85"/>
        <v>0.4</v>
      </c>
      <c r="CE146" s="3">
        <f t="shared" si="86"/>
        <v>0.6</v>
      </c>
      <c r="CF146" s="23">
        <f t="shared" si="87"/>
        <v>67.7</v>
      </c>
      <c r="CG146" s="1">
        <f t="shared" si="88"/>
        <v>7</v>
      </c>
      <c r="CH146" s="1">
        <f t="shared" si="89"/>
        <v>8.3000000000000007</v>
      </c>
      <c r="CI146" s="1">
        <f t="shared" si="90"/>
        <v>10</v>
      </c>
      <c r="CJ146" s="1">
        <f t="shared" si="91"/>
        <v>0.3</v>
      </c>
      <c r="CK146" s="1">
        <f t="shared" si="92"/>
        <v>0.5</v>
      </c>
      <c r="CL146" s="1">
        <f t="shared" si="93"/>
        <v>0.6</v>
      </c>
      <c r="CM146" s="1">
        <f t="shared" si="94"/>
        <v>0.9</v>
      </c>
      <c r="CN146" s="2">
        <f t="shared" si="95"/>
        <v>91</v>
      </c>
      <c r="CO146" s="1">
        <f t="shared" si="96"/>
        <v>-3.4</v>
      </c>
      <c r="CP146" s="1">
        <f t="shared" si="97"/>
        <v>-4.3</v>
      </c>
      <c r="CQ146" s="1">
        <f t="shared" si="98"/>
        <v>-4.5</v>
      </c>
      <c r="CR146" s="1">
        <f t="shared" si="99"/>
        <v>-0.2</v>
      </c>
      <c r="CS146" s="1">
        <f t="shared" si="100"/>
        <v>-0.1</v>
      </c>
      <c r="CT146" s="1">
        <f t="shared" si="101"/>
        <v>0.1</v>
      </c>
      <c r="CU146" s="1">
        <f t="shared" si="102"/>
        <v>0.4</v>
      </c>
      <c r="CV146" s="2">
        <f t="shared" si="103"/>
        <v>42.5</v>
      </c>
      <c r="CW146" s="18">
        <f t="shared" si="104"/>
        <v>70</v>
      </c>
      <c r="CX146" s="1">
        <f>ROUND(PPTest!K146,1)</f>
        <v>1</v>
      </c>
      <c r="CY146" s="17">
        <f t="shared" si="105"/>
        <v>2.2400000000000002</v>
      </c>
      <c r="CZ146" s="17">
        <f t="shared" si="106"/>
        <v>5.99</v>
      </c>
      <c r="DA146" s="20">
        <f t="shared" si="107"/>
        <v>0.42599999999999999</v>
      </c>
      <c r="DB146" s="20">
        <f t="shared" si="108"/>
        <v>0.57599999999999996</v>
      </c>
      <c r="DC146" s="16">
        <f t="shared" si="109"/>
        <v>12.03</v>
      </c>
      <c r="DW146" s="1">
        <v>4.0999999999999996</v>
      </c>
      <c r="DX146" s="1">
        <v>10.9</v>
      </c>
      <c r="DY146" s="1">
        <v>-2.7</v>
      </c>
    </row>
    <row r="147" spans="1:131" x14ac:dyDescent="0.2">
      <c r="A147" s="40">
        <v>34840</v>
      </c>
      <c r="B147" s="3">
        <v>141</v>
      </c>
      <c r="C147" s="3">
        <v>31.34</v>
      </c>
      <c r="D147" s="3">
        <v>58.23</v>
      </c>
      <c r="E147" s="3">
        <v>3.569</v>
      </c>
      <c r="F147" s="3">
        <v>59.76</v>
      </c>
      <c r="G147" s="3">
        <v>3.3759999999999999</v>
      </c>
      <c r="H147" s="3">
        <v>3.16</v>
      </c>
      <c r="I147" s="3">
        <v>0.11700000000000001</v>
      </c>
      <c r="J147" s="3">
        <v>4.6719999999999997</v>
      </c>
      <c r="K147" s="3">
        <v>5.1379999999999999</v>
      </c>
      <c r="L147" s="3">
        <v>1.0529999999999999</v>
      </c>
      <c r="M147" s="3">
        <v>0.74099999999999999</v>
      </c>
      <c r="N147" s="3">
        <v>0.70499999999999996</v>
      </c>
      <c r="O147" s="3">
        <v>0</v>
      </c>
      <c r="P147" s="16">
        <v>1.7858333333333336</v>
      </c>
      <c r="Q147" s="3">
        <v>0</v>
      </c>
      <c r="R147" s="3">
        <v>11.18</v>
      </c>
      <c r="S147" s="3">
        <v>1722</v>
      </c>
      <c r="T147" s="3">
        <v>100.9</v>
      </c>
      <c r="U147" s="3">
        <v>353</v>
      </c>
      <c r="V147" s="3">
        <v>13.1</v>
      </c>
      <c r="W147" s="3">
        <v>12.6</v>
      </c>
      <c r="X147" s="3">
        <v>0.36799999999999999</v>
      </c>
      <c r="Y147" s="3">
        <v>17.760000000000002</v>
      </c>
      <c r="Z147" s="3">
        <v>16.87</v>
      </c>
      <c r="AA147" s="3">
        <v>2.73</v>
      </c>
      <c r="AB147" s="3">
        <v>1.343</v>
      </c>
      <c r="AC147" s="3">
        <v>0.997</v>
      </c>
      <c r="AD147" s="16">
        <v>5.5674999999999999</v>
      </c>
      <c r="AE147" s="3">
        <v>1421</v>
      </c>
      <c r="AF147" s="3">
        <v>-5.3239999999999998</v>
      </c>
      <c r="AG147" s="3">
        <v>412</v>
      </c>
      <c r="AH147" s="3">
        <v>24.69</v>
      </c>
      <c r="AI147" s="3">
        <v>1537</v>
      </c>
      <c r="AJ147" s="3">
        <v>-5.8170000000000002</v>
      </c>
      <c r="AK147" s="3">
        <v>-5.9089999999999998</v>
      </c>
      <c r="AL147" s="3">
        <v>-0.16900000000000001</v>
      </c>
      <c r="AM147" s="3">
        <v>-6.0830000000000002</v>
      </c>
      <c r="AN147" s="3">
        <v>-6.2149999999999999</v>
      </c>
      <c r="AO147" s="3">
        <v>-2.8000000000000001E-2</v>
      </c>
      <c r="AP147" s="3">
        <v>0.22600000000000001</v>
      </c>
      <c r="AQ147" s="3">
        <v>0.36299999999999999</v>
      </c>
      <c r="AR147" s="3">
        <v>9.4E-2</v>
      </c>
      <c r="AS147" s="3">
        <v>0.434</v>
      </c>
      <c r="AT147" s="3">
        <v>0.21</v>
      </c>
      <c r="AU147" s="3">
        <v>1.7999999999999999E-2</v>
      </c>
      <c r="AV147" s="3">
        <v>2.5999999999999999E-2</v>
      </c>
      <c r="AW147" s="3">
        <v>7.3999999999999996E-2</v>
      </c>
      <c r="AX147" s="3">
        <v>6.7000000000000004E-2</v>
      </c>
      <c r="AY147" s="3">
        <v>7.5999999999999998E-2</v>
      </c>
      <c r="AZ147" s="3">
        <v>3.6619999999999999</v>
      </c>
      <c r="BA147" s="3"/>
      <c r="BB147" s="3">
        <v>12.04</v>
      </c>
      <c r="BC147" s="3">
        <v>2876</v>
      </c>
      <c r="BD147" s="3"/>
      <c r="BE147" s="3"/>
      <c r="BF147" s="3">
        <v>0</v>
      </c>
      <c r="BH147" s="16">
        <v>31.47</v>
      </c>
      <c r="BI147" s="16">
        <f t="shared" si="111"/>
        <v>63.569400000000002</v>
      </c>
      <c r="BJ147" s="17">
        <f t="shared" si="112"/>
        <v>31.34</v>
      </c>
      <c r="BK147" s="17">
        <f t="shared" si="113"/>
        <v>62.89</v>
      </c>
      <c r="BM147" s="1">
        <f t="shared" si="114"/>
        <v>94.2</v>
      </c>
      <c r="BN147" s="1">
        <f t="shared" si="115"/>
        <v>56.2</v>
      </c>
      <c r="BO147" s="1">
        <f t="shared" si="116"/>
        <v>23.8</v>
      </c>
      <c r="BP147" s="62">
        <f t="shared" si="119"/>
        <v>0.316</v>
      </c>
      <c r="BQ147" s="62">
        <f t="shared" si="117"/>
        <v>1.012</v>
      </c>
      <c r="BS147" s="48">
        <f t="shared" si="110"/>
        <v>0</v>
      </c>
      <c r="BT147" s="44">
        <v>0</v>
      </c>
      <c r="BV147" s="8"/>
      <c r="BW147" s="16">
        <f t="shared" si="78"/>
        <v>31.34</v>
      </c>
      <c r="BX147" s="16">
        <f t="shared" si="79"/>
        <v>62.89</v>
      </c>
      <c r="BY147" s="3">
        <f t="shared" si="80"/>
        <v>3.6</v>
      </c>
      <c r="BZ147" s="3">
        <f t="shared" si="81"/>
        <v>3.4</v>
      </c>
      <c r="CA147" s="3">
        <f t="shared" si="82"/>
        <v>3.2</v>
      </c>
      <c r="CB147" s="3">
        <f t="shared" si="83"/>
        <v>0.1</v>
      </c>
      <c r="CC147" s="3">
        <f t="shared" si="84"/>
        <v>1.1000000000000001</v>
      </c>
      <c r="CD147" s="3">
        <f t="shared" si="85"/>
        <v>0.7</v>
      </c>
      <c r="CE147" s="3">
        <f t="shared" si="86"/>
        <v>0.7</v>
      </c>
      <c r="CF147" s="23">
        <f t="shared" si="87"/>
        <v>56.2</v>
      </c>
      <c r="CG147" s="1">
        <f t="shared" si="88"/>
        <v>11.2</v>
      </c>
      <c r="CH147" s="1">
        <f t="shared" si="89"/>
        <v>13.1</v>
      </c>
      <c r="CI147" s="1">
        <f t="shared" si="90"/>
        <v>12.6</v>
      </c>
      <c r="CJ147" s="1">
        <f t="shared" si="91"/>
        <v>0.4</v>
      </c>
      <c r="CK147" s="1">
        <f t="shared" si="92"/>
        <v>2.7</v>
      </c>
      <c r="CL147" s="1">
        <f t="shared" si="93"/>
        <v>1.3</v>
      </c>
      <c r="CM147" s="1">
        <f t="shared" si="94"/>
        <v>1</v>
      </c>
      <c r="CN147" s="2">
        <f t="shared" si="95"/>
        <v>94.2</v>
      </c>
      <c r="CO147" s="1">
        <f t="shared" si="96"/>
        <v>-5.3</v>
      </c>
      <c r="CP147" s="1">
        <f t="shared" si="97"/>
        <v>-5.8</v>
      </c>
      <c r="CQ147" s="1">
        <f t="shared" si="98"/>
        <v>-5.9</v>
      </c>
      <c r="CR147" s="1">
        <f t="shared" si="99"/>
        <v>-0.2</v>
      </c>
      <c r="CS147" s="1">
        <f t="shared" si="100"/>
        <v>0</v>
      </c>
      <c r="CT147" s="1">
        <f t="shared" si="101"/>
        <v>0.2</v>
      </c>
      <c r="CU147" s="1">
        <f t="shared" si="102"/>
        <v>0.4</v>
      </c>
      <c r="CV147" s="2">
        <f t="shared" si="103"/>
        <v>23.8</v>
      </c>
      <c r="CW147" s="18">
        <f t="shared" si="104"/>
        <v>0</v>
      </c>
      <c r="CX147" s="1">
        <f>ROUND(PPTest!K147,1)</f>
        <v>0</v>
      </c>
      <c r="CY147" s="17">
        <f t="shared" si="105"/>
        <v>1.79</v>
      </c>
      <c r="CZ147" s="17">
        <f t="shared" si="106"/>
        <v>5.57</v>
      </c>
      <c r="DA147" s="20">
        <f t="shared" si="107"/>
        <v>0.316</v>
      </c>
      <c r="DB147" s="20">
        <f t="shared" si="108"/>
        <v>1.012</v>
      </c>
      <c r="DC147" s="16">
        <f t="shared" si="109"/>
        <v>12.04</v>
      </c>
      <c r="DW147" s="1">
        <v>4.5</v>
      </c>
      <c r="DX147" s="1">
        <v>11.1</v>
      </c>
      <c r="DY147" s="1">
        <v>-2.7</v>
      </c>
    </row>
    <row r="148" spans="1:131" x14ac:dyDescent="0.2">
      <c r="A148" s="40">
        <v>34841</v>
      </c>
      <c r="B148" s="3">
        <v>142</v>
      </c>
      <c r="C148" s="3">
        <v>31.24</v>
      </c>
      <c r="D148" s="3">
        <v>57.95</v>
      </c>
      <c r="E148" s="3">
        <v>5.6459999999999999</v>
      </c>
      <c r="F148" s="3">
        <v>51.5</v>
      </c>
      <c r="G148" s="3">
        <v>5.33</v>
      </c>
      <c r="H148" s="3">
        <v>5.12</v>
      </c>
      <c r="I148" s="3">
        <v>0.161</v>
      </c>
      <c r="J148" s="3">
        <v>6.3019999999999996</v>
      </c>
      <c r="K148" s="3">
        <v>6.9269999999999996</v>
      </c>
      <c r="L148" s="3">
        <v>4.3719999999999999</v>
      </c>
      <c r="M148" s="3">
        <v>1.7430000000000001</v>
      </c>
      <c r="N148" s="3">
        <v>0.76600000000000001</v>
      </c>
      <c r="O148" s="3">
        <v>1E-3</v>
      </c>
      <c r="P148" s="16">
        <v>1.9391666666666669</v>
      </c>
      <c r="Q148" s="3">
        <v>0</v>
      </c>
      <c r="R148" s="3">
        <v>14.13</v>
      </c>
      <c r="S148" s="3">
        <v>1619</v>
      </c>
      <c r="T148" s="3">
        <v>88.7</v>
      </c>
      <c r="U148" s="3">
        <v>417</v>
      </c>
      <c r="V148" s="3">
        <v>15.83</v>
      </c>
      <c r="W148" s="3">
        <v>16.07</v>
      </c>
      <c r="X148" s="3">
        <v>0.48799999999999999</v>
      </c>
      <c r="Y148" s="3">
        <v>20.41</v>
      </c>
      <c r="Z148" s="3">
        <v>19.989999999999998</v>
      </c>
      <c r="AA148" s="3">
        <v>11.15</v>
      </c>
      <c r="AB148" s="3">
        <v>2.734</v>
      </c>
      <c r="AC148" s="3">
        <v>1.0840000000000001</v>
      </c>
      <c r="AD148" s="16">
        <v>4.5941666666666663</v>
      </c>
      <c r="AE148" s="3">
        <v>956</v>
      </c>
      <c r="AF148" s="3">
        <v>-4.4809999999999999</v>
      </c>
      <c r="AG148" s="3">
        <v>427</v>
      </c>
      <c r="AH148" s="3">
        <v>22.18</v>
      </c>
      <c r="AI148" s="3">
        <v>1722</v>
      </c>
      <c r="AJ148" s="3">
        <v>-5.1150000000000002</v>
      </c>
      <c r="AK148" s="3">
        <v>-5.4950000000000001</v>
      </c>
      <c r="AL148" s="3">
        <v>-0.187</v>
      </c>
      <c r="AM148" s="3">
        <v>-5.383</v>
      </c>
      <c r="AN148" s="3">
        <v>-5.4649999999999999</v>
      </c>
      <c r="AO148" s="3">
        <v>0.23499999999999999</v>
      </c>
      <c r="AP148" s="3">
        <v>1.0740000000000001</v>
      </c>
      <c r="AQ148" s="3">
        <v>0.40699999999999997</v>
      </c>
      <c r="AR148" s="3">
        <v>0.13700000000000001</v>
      </c>
      <c r="AS148" s="3">
        <v>0.56399999999999995</v>
      </c>
      <c r="AT148" s="3">
        <v>0.158</v>
      </c>
      <c r="AU148" s="3">
        <v>1.6E-2</v>
      </c>
      <c r="AV148" s="3">
        <v>1.7000000000000001E-2</v>
      </c>
      <c r="AW148" s="3">
        <v>1.7000000000000001E-2</v>
      </c>
      <c r="AX148" s="3">
        <v>2.8000000000000001E-2</v>
      </c>
      <c r="AY148" s="3">
        <v>6.3E-2</v>
      </c>
      <c r="AZ148" s="3">
        <v>5.5670000000000002</v>
      </c>
      <c r="BA148" s="3"/>
      <c r="BB148" s="3">
        <v>12.04</v>
      </c>
      <c r="BC148" s="3">
        <v>2876</v>
      </c>
      <c r="BD148" s="3"/>
      <c r="BE148" s="3"/>
      <c r="BF148" s="3">
        <v>0</v>
      </c>
      <c r="BH148" s="16">
        <v>31.59</v>
      </c>
      <c r="BI148" s="16">
        <f t="shared" si="111"/>
        <v>63.811799999999998</v>
      </c>
      <c r="BJ148" s="17">
        <f t="shared" si="112"/>
        <v>31.24</v>
      </c>
      <c r="BK148" s="17">
        <f t="shared" si="113"/>
        <v>62.59</v>
      </c>
      <c r="BM148" s="1">
        <f t="shared" si="114"/>
        <v>83</v>
      </c>
      <c r="BN148" s="1">
        <f t="shared" si="115"/>
        <v>48.6</v>
      </c>
      <c r="BO148" s="1">
        <f t="shared" si="116"/>
        <v>21.5</v>
      </c>
      <c r="BP148" s="62">
        <f t="shared" si="119"/>
        <v>0.34599999999999997</v>
      </c>
      <c r="BQ148" s="62">
        <f t="shared" si="117"/>
        <v>1.2629999999999999</v>
      </c>
      <c r="BS148" s="48">
        <f t="shared" si="110"/>
        <v>1.4</v>
      </c>
      <c r="BT148" s="44">
        <v>1</v>
      </c>
      <c r="BV148" s="8"/>
      <c r="BW148" s="16">
        <f t="shared" si="78"/>
        <v>31.24</v>
      </c>
      <c r="BX148" s="16">
        <f t="shared" si="79"/>
        <v>62.59</v>
      </c>
      <c r="BY148" s="3">
        <f t="shared" si="80"/>
        <v>5.6</v>
      </c>
      <c r="BZ148" s="3">
        <f t="shared" si="81"/>
        <v>5.3</v>
      </c>
      <c r="CA148" s="3">
        <f t="shared" si="82"/>
        <v>5.0999999999999996</v>
      </c>
      <c r="CB148" s="3">
        <f t="shared" si="83"/>
        <v>0.2</v>
      </c>
      <c r="CC148" s="3">
        <f t="shared" si="84"/>
        <v>4.4000000000000004</v>
      </c>
      <c r="CD148" s="3">
        <f t="shared" si="85"/>
        <v>1.7</v>
      </c>
      <c r="CE148" s="3">
        <f t="shared" si="86"/>
        <v>0.8</v>
      </c>
      <c r="CF148" s="23">
        <f t="shared" si="87"/>
        <v>48.6</v>
      </c>
      <c r="CG148" s="1">
        <f t="shared" si="88"/>
        <v>14.1</v>
      </c>
      <c r="CH148" s="1">
        <f t="shared" si="89"/>
        <v>15.8</v>
      </c>
      <c r="CI148" s="1">
        <f t="shared" si="90"/>
        <v>16.100000000000001</v>
      </c>
      <c r="CJ148" s="1">
        <f t="shared" si="91"/>
        <v>0.5</v>
      </c>
      <c r="CK148" s="1">
        <f t="shared" si="92"/>
        <v>11.2</v>
      </c>
      <c r="CL148" s="1">
        <f t="shared" si="93"/>
        <v>2.7</v>
      </c>
      <c r="CM148" s="1">
        <f t="shared" si="94"/>
        <v>1.1000000000000001</v>
      </c>
      <c r="CN148" s="2">
        <f t="shared" si="95"/>
        <v>83</v>
      </c>
      <c r="CO148" s="1">
        <f t="shared" si="96"/>
        <v>-4.5</v>
      </c>
      <c r="CP148" s="1">
        <f t="shared" si="97"/>
        <v>-5.0999999999999996</v>
      </c>
      <c r="CQ148" s="1">
        <f t="shared" si="98"/>
        <v>-5.5</v>
      </c>
      <c r="CR148" s="1">
        <f t="shared" si="99"/>
        <v>-0.2</v>
      </c>
      <c r="CS148" s="1">
        <f t="shared" si="100"/>
        <v>0.2</v>
      </c>
      <c r="CT148" s="1">
        <f t="shared" si="101"/>
        <v>1.1000000000000001</v>
      </c>
      <c r="CU148" s="1">
        <f t="shared" si="102"/>
        <v>0.4</v>
      </c>
      <c r="CV148" s="2">
        <f t="shared" si="103"/>
        <v>21.5</v>
      </c>
      <c r="CW148" s="18">
        <f t="shared" si="104"/>
        <v>0</v>
      </c>
      <c r="CX148" s="1">
        <f>ROUND(PPTest!K148,1)</f>
        <v>0</v>
      </c>
      <c r="CY148" s="17">
        <f t="shared" si="105"/>
        <v>1.94</v>
      </c>
      <c r="CZ148" s="17">
        <f t="shared" si="106"/>
        <v>4.59</v>
      </c>
      <c r="DA148" s="20">
        <f t="shared" si="107"/>
        <v>0.34599999999999997</v>
      </c>
      <c r="DB148" s="20">
        <f t="shared" si="108"/>
        <v>1.2629999999999999</v>
      </c>
      <c r="DC148" s="16">
        <f t="shared" si="109"/>
        <v>12.04</v>
      </c>
      <c r="DW148" s="1">
        <v>6.7</v>
      </c>
      <c r="DX148" s="1">
        <v>15.3</v>
      </c>
      <c r="DY148" s="1">
        <v>-3.1</v>
      </c>
    </row>
    <row r="149" spans="1:131" x14ac:dyDescent="0.2">
      <c r="A149" s="40">
        <v>34842</v>
      </c>
      <c r="B149" s="3">
        <v>143</v>
      </c>
      <c r="C149" s="3">
        <v>30.05</v>
      </c>
      <c r="D149" s="3">
        <v>55.74</v>
      </c>
      <c r="E149" s="3">
        <v>7.43</v>
      </c>
      <c r="F149" s="3">
        <v>51.09</v>
      </c>
      <c r="G149" s="3">
        <v>7.15</v>
      </c>
      <c r="H149" s="3">
        <v>7.06</v>
      </c>
      <c r="I149" s="3">
        <v>0.98299999999999998</v>
      </c>
      <c r="J149" s="3">
        <v>8.24</v>
      </c>
      <c r="K149" s="3">
        <v>8.57</v>
      </c>
      <c r="L149" s="3">
        <v>6.3239999999999998</v>
      </c>
      <c r="M149" s="3">
        <v>2.8959999999999999</v>
      </c>
      <c r="N149" s="3">
        <v>0.90100000000000002</v>
      </c>
      <c r="O149" s="3">
        <v>1E-3</v>
      </c>
      <c r="P149" s="16">
        <v>1.9041666666666668</v>
      </c>
      <c r="Q149" s="3">
        <v>0</v>
      </c>
      <c r="R149" s="3">
        <v>15.99</v>
      </c>
      <c r="S149" s="3">
        <v>1613</v>
      </c>
      <c r="T149" s="3">
        <v>89.4</v>
      </c>
      <c r="U149" s="3">
        <v>342</v>
      </c>
      <c r="V149" s="3">
        <v>17.420000000000002</v>
      </c>
      <c r="W149" s="3">
        <v>19.59</v>
      </c>
      <c r="X149" s="3">
        <v>5.43</v>
      </c>
      <c r="Y149" s="3">
        <v>21.46</v>
      </c>
      <c r="Z149" s="3">
        <v>20.98</v>
      </c>
      <c r="AA149" s="3">
        <v>12.89</v>
      </c>
      <c r="AB149" s="3">
        <v>3.9039999999999999</v>
      </c>
      <c r="AC149" s="3">
        <v>1.2470000000000001</v>
      </c>
      <c r="AD149" s="16">
        <v>4.9541666666666666</v>
      </c>
      <c r="AE149" s="3">
        <v>1423</v>
      </c>
      <c r="AF149" s="3">
        <v>-2.835</v>
      </c>
      <c r="AG149" s="3">
        <v>340</v>
      </c>
      <c r="AH149" s="3">
        <v>20.21</v>
      </c>
      <c r="AI149" s="3">
        <v>1550</v>
      </c>
      <c r="AJ149" s="3">
        <v>-3.4769999999999999</v>
      </c>
      <c r="AK149" s="3">
        <v>-3.62</v>
      </c>
      <c r="AL149" s="3">
        <v>-1.258</v>
      </c>
      <c r="AM149" s="3">
        <v>-3.6949999999999998</v>
      </c>
      <c r="AN149" s="3">
        <v>-3.7280000000000002</v>
      </c>
      <c r="AO149" s="3">
        <v>1.24</v>
      </c>
      <c r="AP149" s="3">
        <v>2.2810000000000001</v>
      </c>
      <c r="AQ149" s="3">
        <v>0.52500000000000002</v>
      </c>
      <c r="AR149" s="3">
        <v>0.09</v>
      </c>
      <c r="AS149" s="3">
        <v>0.50600000000000001</v>
      </c>
      <c r="AT149" s="3">
        <v>0.253</v>
      </c>
      <c r="AU149" s="3">
        <v>2.7E-2</v>
      </c>
      <c r="AV149" s="3">
        <v>1.9E-2</v>
      </c>
      <c r="AW149" s="3">
        <v>2.9000000000000001E-2</v>
      </c>
      <c r="AX149" s="3">
        <v>3.1E-2</v>
      </c>
      <c r="AY149" s="3">
        <v>4.4999999999999998E-2</v>
      </c>
      <c r="AZ149" s="3">
        <v>7.69</v>
      </c>
      <c r="BA149" s="3"/>
      <c r="BB149" s="3">
        <v>12.04</v>
      </c>
      <c r="BC149" s="3">
        <v>2876</v>
      </c>
      <c r="BD149" s="3"/>
      <c r="BE149" s="3"/>
      <c r="BF149" s="3">
        <v>0</v>
      </c>
      <c r="BH149" s="16">
        <v>31.71</v>
      </c>
      <c r="BI149" s="16">
        <f t="shared" si="111"/>
        <v>64.054200000000009</v>
      </c>
      <c r="BJ149" s="17">
        <f t="shared" si="112"/>
        <v>30.05</v>
      </c>
      <c r="BK149" s="17">
        <f t="shared" si="113"/>
        <v>60.2</v>
      </c>
      <c r="BM149" s="1">
        <f t="shared" si="114"/>
        <v>83.6</v>
      </c>
      <c r="BN149" s="1">
        <f t="shared" si="115"/>
        <v>48.2</v>
      </c>
      <c r="BO149" s="1">
        <f t="shared" si="116"/>
        <v>19.7</v>
      </c>
      <c r="BP149" s="62">
        <f t="shared" si="119"/>
        <v>0.35799999999999998</v>
      </c>
      <c r="BQ149" s="62">
        <f t="shared" si="117"/>
        <v>1.4590000000000001</v>
      </c>
      <c r="BS149" s="48">
        <f t="shared" si="110"/>
        <v>0</v>
      </c>
      <c r="BT149" s="44">
        <v>0</v>
      </c>
      <c r="BV149" s="8"/>
      <c r="BW149" s="16">
        <f t="shared" si="78"/>
        <v>30.05</v>
      </c>
      <c r="BX149" s="16">
        <f t="shared" si="79"/>
        <v>60.2</v>
      </c>
      <c r="BY149" s="3">
        <f t="shared" si="80"/>
        <v>7.4</v>
      </c>
      <c r="BZ149" s="3">
        <f t="shared" si="81"/>
        <v>7.2</v>
      </c>
      <c r="CA149" s="3">
        <f t="shared" si="82"/>
        <v>7.1</v>
      </c>
      <c r="CB149" s="3">
        <f t="shared" si="83"/>
        <v>1</v>
      </c>
      <c r="CC149" s="3">
        <f t="shared" si="84"/>
        <v>6.3</v>
      </c>
      <c r="CD149" s="3">
        <f t="shared" si="85"/>
        <v>2.9</v>
      </c>
      <c r="CE149" s="3">
        <f t="shared" si="86"/>
        <v>0.9</v>
      </c>
      <c r="CF149" s="23">
        <f t="shared" si="87"/>
        <v>48.2</v>
      </c>
      <c r="CG149" s="1">
        <f t="shared" si="88"/>
        <v>16</v>
      </c>
      <c r="CH149" s="1">
        <f t="shared" si="89"/>
        <v>17.399999999999999</v>
      </c>
      <c r="CI149" s="1">
        <f t="shared" si="90"/>
        <v>19.600000000000001</v>
      </c>
      <c r="CJ149" s="1">
        <f t="shared" si="91"/>
        <v>5.4</v>
      </c>
      <c r="CK149" s="1">
        <f t="shared" si="92"/>
        <v>12.9</v>
      </c>
      <c r="CL149" s="1">
        <f t="shared" si="93"/>
        <v>3.9</v>
      </c>
      <c r="CM149" s="1">
        <f t="shared" si="94"/>
        <v>1.2</v>
      </c>
      <c r="CN149" s="2">
        <f t="shared" si="95"/>
        <v>83.6</v>
      </c>
      <c r="CO149" s="1">
        <f t="shared" si="96"/>
        <v>-2.8</v>
      </c>
      <c r="CP149" s="1">
        <f t="shared" si="97"/>
        <v>-3.5</v>
      </c>
      <c r="CQ149" s="1">
        <f t="shared" si="98"/>
        <v>-3.6</v>
      </c>
      <c r="CR149" s="1">
        <f t="shared" si="99"/>
        <v>-1.3</v>
      </c>
      <c r="CS149" s="1">
        <f t="shared" si="100"/>
        <v>1.2</v>
      </c>
      <c r="CT149" s="1">
        <f t="shared" si="101"/>
        <v>2.2999999999999998</v>
      </c>
      <c r="CU149" s="1">
        <f t="shared" si="102"/>
        <v>0.5</v>
      </c>
      <c r="CV149" s="2">
        <f t="shared" si="103"/>
        <v>19.7</v>
      </c>
      <c r="CW149" s="18">
        <f t="shared" si="104"/>
        <v>0</v>
      </c>
      <c r="CX149" s="1">
        <f>ROUND(PPTest!K149,1)</f>
        <v>0</v>
      </c>
      <c r="CY149" s="17">
        <f t="shared" si="105"/>
        <v>1.9</v>
      </c>
      <c r="CZ149" s="17">
        <f t="shared" si="106"/>
        <v>4.95</v>
      </c>
      <c r="DA149" s="20">
        <f t="shared" si="107"/>
        <v>0.35799999999999998</v>
      </c>
      <c r="DB149" s="20">
        <f t="shared" si="108"/>
        <v>1.4590000000000001</v>
      </c>
      <c r="DC149" s="16">
        <f t="shared" si="109"/>
        <v>12.04</v>
      </c>
      <c r="DW149" s="1">
        <v>8.4</v>
      </c>
      <c r="DX149" s="1">
        <v>16.100000000000001</v>
      </c>
      <c r="DY149" s="1">
        <v>-1.7</v>
      </c>
    </row>
    <row r="150" spans="1:131" x14ac:dyDescent="0.2">
      <c r="A150" s="40">
        <v>34843</v>
      </c>
      <c r="B150" s="3">
        <v>144</v>
      </c>
      <c r="C150" s="3">
        <v>27.08</v>
      </c>
      <c r="D150" s="3">
        <v>51.02</v>
      </c>
      <c r="E150" s="3">
        <v>7.45</v>
      </c>
      <c r="F150" s="3">
        <v>59.39</v>
      </c>
      <c r="G150" s="3">
        <v>7.29</v>
      </c>
      <c r="H150" s="3">
        <v>7.28</v>
      </c>
      <c r="I150" s="3">
        <v>6.04</v>
      </c>
      <c r="J150" s="3">
        <v>8.5299999999999994</v>
      </c>
      <c r="K150" s="3">
        <v>8.1999999999999993</v>
      </c>
      <c r="L150" s="3">
        <v>7.47</v>
      </c>
      <c r="M150" s="3">
        <v>3.899</v>
      </c>
      <c r="N150" s="3">
        <v>1.198</v>
      </c>
      <c r="O150" s="3">
        <v>0</v>
      </c>
      <c r="P150" s="16">
        <v>1.8041666666666669</v>
      </c>
      <c r="Q150" s="3">
        <v>0</v>
      </c>
      <c r="R150" s="3">
        <v>15.7</v>
      </c>
      <c r="S150" s="3">
        <v>1505</v>
      </c>
      <c r="T150" s="3">
        <v>90.4</v>
      </c>
      <c r="U150" s="3">
        <v>328</v>
      </c>
      <c r="V150" s="3">
        <v>16.95</v>
      </c>
      <c r="W150" s="3">
        <v>19.489999999999998</v>
      </c>
      <c r="X150" s="3">
        <v>17.5</v>
      </c>
      <c r="Y150" s="3">
        <v>22</v>
      </c>
      <c r="Z150" s="3">
        <v>20.95</v>
      </c>
      <c r="AA150" s="3">
        <v>13.75</v>
      </c>
      <c r="AB150" s="3">
        <v>4.7960000000000003</v>
      </c>
      <c r="AC150" s="3">
        <v>1.591</v>
      </c>
      <c r="AD150" s="16">
        <v>8.5941666666666645</v>
      </c>
      <c r="AE150" s="3">
        <v>1710</v>
      </c>
      <c r="AF150" s="3">
        <v>-1.599</v>
      </c>
      <c r="AG150" s="3">
        <v>330</v>
      </c>
      <c r="AH150" s="3">
        <v>24.39</v>
      </c>
      <c r="AI150" s="3">
        <v>1355</v>
      </c>
      <c r="AJ150" s="3">
        <v>-2.1440000000000001</v>
      </c>
      <c r="AK150" s="3">
        <v>-2.3290000000000002</v>
      </c>
      <c r="AL150" s="3">
        <v>-2.2719999999999998</v>
      </c>
      <c r="AM150" s="3">
        <v>-2.089</v>
      </c>
      <c r="AN150" s="3">
        <v>-1.883</v>
      </c>
      <c r="AO150" s="3">
        <v>2.2730000000000001</v>
      </c>
      <c r="AP150" s="3">
        <v>3.3559999999999999</v>
      </c>
      <c r="AQ150" s="3">
        <v>0.82</v>
      </c>
      <c r="AR150" s="3">
        <v>4.7E-2</v>
      </c>
      <c r="AS150" s="3">
        <v>0.28699999999999998</v>
      </c>
      <c r="AT150" s="3">
        <v>0.27200000000000002</v>
      </c>
      <c r="AU150" s="3">
        <v>3.5000000000000003E-2</v>
      </c>
      <c r="AV150" s="3">
        <v>8.3000000000000004E-2</v>
      </c>
      <c r="AW150" s="3">
        <v>0.14699999999999999</v>
      </c>
      <c r="AX150" s="3">
        <v>8.2000000000000003E-2</v>
      </c>
      <c r="AY150" s="3">
        <v>4.7E-2</v>
      </c>
      <c r="AZ150" s="3">
        <v>7.97</v>
      </c>
      <c r="BA150" s="3"/>
      <c r="BB150" s="3">
        <v>12.04</v>
      </c>
      <c r="BC150" s="3">
        <v>2876</v>
      </c>
      <c r="BD150" s="3"/>
      <c r="BE150" s="3"/>
      <c r="BF150" s="3">
        <v>0</v>
      </c>
      <c r="BH150" s="16">
        <v>31.82</v>
      </c>
      <c r="BI150" s="16">
        <f t="shared" si="111"/>
        <v>64.276399999999995</v>
      </c>
      <c r="BJ150" s="17">
        <f t="shared" si="112"/>
        <v>27.08</v>
      </c>
      <c r="BK150" s="17">
        <f t="shared" si="113"/>
        <v>55.1</v>
      </c>
      <c r="BM150" s="1">
        <f t="shared" si="114"/>
        <v>84.5</v>
      </c>
      <c r="BN150" s="1">
        <f t="shared" si="115"/>
        <v>55.9</v>
      </c>
      <c r="BO150" s="1">
        <f t="shared" si="116"/>
        <v>23.5</v>
      </c>
      <c r="BP150" s="62">
        <f t="shared" si="119"/>
        <v>0.41899999999999998</v>
      </c>
      <c r="BQ150" s="62">
        <f t="shared" si="117"/>
        <v>1.3640000000000001</v>
      </c>
      <c r="BS150" s="48">
        <f t="shared" si="110"/>
        <v>0</v>
      </c>
      <c r="BT150" s="44">
        <v>0</v>
      </c>
      <c r="BV150" s="8"/>
      <c r="BW150" s="16">
        <f t="shared" si="78"/>
        <v>27.08</v>
      </c>
      <c r="BX150" s="16">
        <f t="shared" si="79"/>
        <v>55.1</v>
      </c>
      <c r="BY150" s="3">
        <f t="shared" si="80"/>
        <v>7.5</v>
      </c>
      <c r="BZ150" s="3">
        <f t="shared" si="81"/>
        <v>7.3</v>
      </c>
      <c r="CA150" s="3">
        <f t="shared" si="82"/>
        <v>7.3</v>
      </c>
      <c r="CB150" s="3">
        <f t="shared" si="83"/>
        <v>6</v>
      </c>
      <c r="CC150" s="3">
        <f t="shared" si="84"/>
        <v>7.5</v>
      </c>
      <c r="CD150" s="3">
        <f t="shared" si="85"/>
        <v>3.9</v>
      </c>
      <c r="CE150" s="3">
        <f t="shared" si="86"/>
        <v>1.2</v>
      </c>
      <c r="CF150" s="23">
        <f t="shared" si="87"/>
        <v>55.9</v>
      </c>
      <c r="CG150" s="1">
        <f t="shared" si="88"/>
        <v>15.7</v>
      </c>
      <c r="CH150" s="1">
        <f t="shared" si="89"/>
        <v>17</v>
      </c>
      <c r="CI150" s="1">
        <f t="shared" si="90"/>
        <v>19.5</v>
      </c>
      <c r="CJ150" s="1">
        <f t="shared" si="91"/>
        <v>17.5</v>
      </c>
      <c r="CK150" s="1">
        <f t="shared" si="92"/>
        <v>13.8</v>
      </c>
      <c r="CL150" s="1">
        <f t="shared" si="93"/>
        <v>4.8</v>
      </c>
      <c r="CM150" s="1">
        <f t="shared" si="94"/>
        <v>1.6</v>
      </c>
      <c r="CN150" s="2">
        <f t="shared" si="95"/>
        <v>84.5</v>
      </c>
      <c r="CO150" s="1">
        <f t="shared" si="96"/>
        <v>-1.6</v>
      </c>
      <c r="CP150" s="1">
        <f t="shared" si="97"/>
        <v>-2.1</v>
      </c>
      <c r="CQ150" s="1">
        <f t="shared" si="98"/>
        <v>-2.2999999999999998</v>
      </c>
      <c r="CR150" s="1">
        <f t="shared" si="99"/>
        <v>-2.2999999999999998</v>
      </c>
      <c r="CS150" s="1">
        <f t="shared" si="100"/>
        <v>2.2999999999999998</v>
      </c>
      <c r="CT150" s="1">
        <f t="shared" si="101"/>
        <v>3.4</v>
      </c>
      <c r="CU150" s="1">
        <f t="shared" si="102"/>
        <v>0.8</v>
      </c>
      <c r="CV150" s="2">
        <f t="shared" si="103"/>
        <v>23.5</v>
      </c>
      <c r="CW150" s="18">
        <f t="shared" si="104"/>
        <v>0</v>
      </c>
      <c r="CX150" s="1">
        <f>ROUND(PPTest!K150,1)</f>
        <v>0</v>
      </c>
      <c r="CY150" s="17">
        <f t="shared" si="105"/>
        <v>1.8</v>
      </c>
      <c r="CZ150" s="17">
        <f t="shared" si="106"/>
        <v>8.59</v>
      </c>
      <c r="DA150" s="20">
        <f t="shared" si="107"/>
        <v>0.41899999999999998</v>
      </c>
      <c r="DB150" s="20">
        <f t="shared" si="108"/>
        <v>1.3640000000000001</v>
      </c>
      <c r="DC150" s="16">
        <f t="shared" si="109"/>
        <v>12.04</v>
      </c>
      <c r="DW150" s="1">
        <v>9.5</v>
      </c>
      <c r="DX150" s="1">
        <v>16.100000000000001</v>
      </c>
      <c r="DY150" s="1">
        <v>-0.1</v>
      </c>
    </row>
    <row r="151" spans="1:131" x14ac:dyDescent="0.2">
      <c r="A151" s="40">
        <v>34844</v>
      </c>
      <c r="B151" s="3">
        <v>145</v>
      </c>
      <c r="C151" s="3">
        <v>31.05</v>
      </c>
      <c r="D151" s="3">
        <v>57.73</v>
      </c>
      <c r="E151" s="3">
        <v>6.5330000000000004</v>
      </c>
      <c r="F151" s="3">
        <v>56.34</v>
      </c>
      <c r="G151" s="3">
        <v>6.4009999999999998</v>
      </c>
      <c r="H151" s="3">
        <v>6.33</v>
      </c>
      <c r="I151" s="3">
        <v>6.8019999999999996</v>
      </c>
      <c r="J151" s="3">
        <v>7.51</v>
      </c>
      <c r="K151" s="3">
        <v>7.78</v>
      </c>
      <c r="L151" s="3">
        <v>7.81</v>
      </c>
      <c r="M151" s="3">
        <v>4.6790000000000003</v>
      </c>
      <c r="N151" s="3">
        <v>1.75</v>
      </c>
      <c r="O151" s="3">
        <v>1E-3</v>
      </c>
      <c r="P151" s="16">
        <v>2.4208333333333334</v>
      </c>
      <c r="Q151" s="3">
        <v>0</v>
      </c>
      <c r="R151" s="3">
        <v>12.89</v>
      </c>
      <c r="S151" s="3">
        <v>1342</v>
      </c>
      <c r="T151" s="3">
        <v>96.7</v>
      </c>
      <c r="U151" s="3">
        <v>403</v>
      </c>
      <c r="V151" s="3">
        <v>15.45</v>
      </c>
      <c r="W151" s="3">
        <v>15.75</v>
      </c>
      <c r="X151" s="3">
        <v>17.77</v>
      </c>
      <c r="Y151" s="3">
        <v>19.27</v>
      </c>
      <c r="Z151" s="3">
        <v>18</v>
      </c>
      <c r="AA151" s="3">
        <v>13.29</v>
      </c>
      <c r="AB151" s="3">
        <v>5.3129999999999997</v>
      </c>
      <c r="AC151" s="3">
        <v>2.161</v>
      </c>
      <c r="AD151" s="16">
        <v>5.8475000000000001</v>
      </c>
      <c r="AE151" s="3">
        <v>1311</v>
      </c>
      <c r="AF151" s="3">
        <v>-0.89900000000000002</v>
      </c>
      <c r="AG151" s="3">
        <v>349</v>
      </c>
      <c r="AH151" s="3">
        <v>23.19</v>
      </c>
      <c r="AI151" s="3">
        <v>1741</v>
      </c>
      <c r="AJ151" s="3">
        <v>-1.728</v>
      </c>
      <c r="AK151" s="3">
        <v>-2.129</v>
      </c>
      <c r="AL151" s="3">
        <v>-2.371</v>
      </c>
      <c r="AM151" s="3">
        <v>-1.6080000000000001</v>
      </c>
      <c r="AN151" s="3">
        <v>-2.35</v>
      </c>
      <c r="AO151" s="3">
        <v>3.2759999999999998</v>
      </c>
      <c r="AP151" s="3">
        <v>4.2240000000000002</v>
      </c>
      <c r="AQ151" s="3">
        <v>1.2769999999999999</v>
      </c>
      <c r="AR151" s="3">
        <v>0.13100000000000001</v>
      </c>
      <c r="AS151" s="3">
        <v>0.52800000000000002</v>
      </c>
      <c r="AT151" s="3">
        <v>0.27400000000000002</v>
      </c>
      <c r="AU151" s="3">
        <v>8.9999999999999993E-3</v>
      </c>
      <c r="AV151" s="3">
        <v>5.0000000000000001E-3</v>
      </c>
      <c r="AW151" s="3">
        <v>8.0000000000000002E-3</v>
      </c>
      <c r="AX151" s="3">
        <v>8.9999999999999993E-3</v>
      </c>
      <c r="AY151" s="3">
        <v>3.5999999999999997E-2</v>
      </c>
      <c r="AZ151" s="3">
        <v>7.39</v>
      </c>
      <c r="BA151" s="3"/>
      <c r="BB151" s="3">
        <v>12.03</v>
      </c>
      <c r="BC151" s="3">
        <v>2876</v>
      </c>
      <c r="BD151" s="3"/>
      <c r="BE151" s="3"/>
      <c r="BF151" s="3">
        <v>0</v>
      </c>
      <c r="BH151" s="16">
        <v>31.94</v>
      </c>
      <c r="BI151" s="16">
        <f t="shared" si="111"/>
        <v>64.518799999999999</v>
      </c>
      <c r="BJ151" s="17">
        <f t="shared" si="112"/>
        <v>31.05</v>
      </c>
      <c r="BK151" s="17">
        <f t="shared" si="113"/>
        <v>62.35</v>
      </c>
      <c r="BM151" s="1">
        <f t="shared" si="114"/>
        <v>90.4</v>
      </c>
      <c r="BN151" s="1">
        <f t="shared" si="115"/>
        <v>53.1</v>
      </c>
      <c r="BO151" s="1">
        <f t="shared" si="116"/>
        <v>22.4</v>
      </c>
      <c r="BP151" s="62">
        <f t="shared" si="119"/>
        <v>0.33300000000000002</v>
      </c>
      <c r="BQ151" s="62">
        <f t="shared" si="117"/>
        <v>1.1539999999999999</v>
      </c>
      <c r="BS151" s="48">
        <f t="shared" si="110"/>
        <v>0</v>
      </c>
      <c r="BT151" s="44">
        <v>0</v>
      </c>
      <c r="BV151" s="8"/>
      <c r="BW151" s="16">
        <f t="shared" si="78"/>
        <v>31.05</v>
      </c>
      <c r="BX151" s="16">
        <f t="shared" si="79"/>
        <v>62.35</v>
      </c>
      <c r="BY151" s="3">
        <f t="shared" si="80"/>
        <v>6.5</v>
      </c>
      <c r="BZ151" s="3">
        <f t="shared" si="81"/>
        <v>6.4</v>
      </c>
      <c r="CA151" s="3">
        <f t="shared" si="82"/>
        <v>6.3</v>
      </c>
      <c r="CB151" s="3">
        <f t="shared" si="83"/>
        <v>6.8</v>
      </c>
      <c r="CC151" s="3">
        <f t="shared" si="84"/>
        <v>7.8</v>
      </c>
      <c r="CD151" s="3">
        <f t="shared" si="85"/>
        <v>4.7</v>
      </c>
      <c r="CE151" s="3">
        <f t="shared" si="86"/>
        <v>1.8</v>
      </c>
      <c r="CF151" s="23">
        <f t="shared" si="87"/>
        <v>53.1</v>
      </c>
      <c r="CG151" s="1">
        <f t="shared" si="88"/>
        <v>12.9</v>
      </c>
      <c r="CH151" s="1">
        <f t="shared" si="89"/>
        <v>15.5</v>
      </c>
      <c r="CI151" s="1">
        <f t="shared" si="90"/>
        <v>15.8</v>
      </c>
      <c r="CJ151" s="1">
        <f t="shared" si="91"/>
        <v>17.8</v>
      </c>
      <c r="CK151" s="1">
        <f t="shared" si="92"/>
        <v>13.3</v>
      </c>
      <c r="CL151" s="1">
        <f t="shared" si="93"/>
        <v>5.3</v>
      </c>
      <c r="CM151" s="1">
        <f t="shared" si="94"/>
        <v>2.2000000000000002</v>
      </c>
      <c r="CN151" s="2">
        <f t="shared" si="95"/>
        <v>90.4</v>
      </c>
      <c r="CO151" s="1">
        <f t="shared" si="96"/>
        <v>-0.9</v>
      </c>
      <c r="CP151" s="1">
        <f t="shared" si="97"/>
        <v>-1.7</v>
      </c>
      <c r="CQ151" s="1">
        <f t="shared" si="98"/>
        <v>-2.1</v>
      </c>
      <c r="CR151" s="1">
        <f t="shared" si="99"/>
        <v>-2.4</v>
      </c>
      <c r="CS151" s="1">
        <f t="shared" si="100"/>
        <v>3.3</v>
      </c>
      <c r="CT151" s="1">
        <f t="shared" si="101"/>
        <v>4.2</v>
      </c>
      <c r="CU151" s="1">
        <f t="shared" si="102"/>
        <v>1.3</v>
      </c>
      <c r="CV151" s="2">
        <f t="shared" si="103"/>
        <v>22.4</v>
      </c>
      <c r="CW151" s="18">
        <f t="shared" si="104"/>
        <v>0</v>
      </c>
      <c r="CX151" s="1">
        <f>ROUND(PPTest!K151,1)</f>
        <v>0</v>
      </c>
      <c r="CY151" s="17">
        <f t="shared" si="105"/>
        <v>2.42</v>
      </c>
      <c r="CZ151" s="17">
        <f t="shared" si="106"/>
        <v>5.85</v>
      </c>
      <c r="DA151" s="20">
        <f t="shared" si="107"/>
        <v>0.33300000000000002</v>
      </c>
      <c r="DB151" s="20">
        <f t="shared" si="108"/>
        <v>1.1539999999999999</v>
      </c>
      <c r="DC151" s="16">
        <f t="shared" si="109"/>
        <v>12.03</v>
      </c>
      <c r="DW151" s="1">
        <v>7.8</v>
      </c>
      <c r="DX151" s="1">
        <v>13.3</v>
      </c>
      <c r="DY151" s="1">
        <v>0</v>
      </c>
    </row>
    <row r="152" spans="1:131" x14ac:dyDescent="0.2">
      <c r="A152" s="40">
        <v>34845</v>
      </c>
      <c r="B152" s="3">
        <v>146</v>
      </c>
      <c r="C152" s="3">
        <v>31.44</v>
      </c>
      <c r="D152" s="3">
        <v>58.6</v>
      </c>
      <c r="E152" s="3">
        <v>6.2960000000000003</v>
      </c>
      <c r="F152" s="3">
        <v>54.13</v>
      </c>
      <c r="G152" s="3">
        <v>6.3070000000000004</v>
      </c>
      <c r="H152" s="3">
        <v>6.234</v>
      </c>
      <c r="I152" s="3">
        <v>7.43</v>
      </c>
      <c r="J152" s="3">
        <v>7.86</v>
      </c>
      <c r="K152" s="3">
        <v>7.74</v>
      </c>
      <c r="L152" s="3">
        <v>7.68</v>
      </c>
      <c r="M152" s="3">
        <v>4.9649999999999999</v>
      </c>
      <c r="N152" s="3">
        <v>2.3559999999999999</v>
      </c>
      <c r="O152" s="3">
        <v>1E-3</v>
      </c>
      <c r="P152" s="16">
        <v>1.8491666666666668</v>
      </c>
      <c r="Q152" s="3">
        <v>0</v>
      </c>
      <c r="R152" s="3">
        <v>15.05</v>
      </c>
      <c r="S152" s="3">
        <v>1744</v>
      </c>
      <c r="T152" s="3">
        <v>91.6</v>
      </c>
      <c r="U152" s="3">
        <v>421</v>
      </c>
      <c r="V152" s="3">
        <v>16.57</v>
      </c>
      <c r="W152" s="3">
        <v>17.41</v>
      </c>
      <c r="X152" s="3">
        <v>21.13</v>
      </c>
      <c r="Y152" s="3">
        <v>20.99</v>
      </c>
      <c r="Z152" s="3">
        <v>19.940000000000001</v>
      </c>
      <c r="AA152" s="3">
        <v>13.59</v>
      </c>
      <c r="AB152" s="3">
        <v>5.617</v>
      </c>
      <c r="AC152" s="3">
        <v>2.8580000000000001</v>
      </c>
      <c r="AD152" s="16">
        <v>4.7675000000000001</v>
      </c>
      <c r="AE152" s="3">
        <v>1556</v>
      </c>
      <c r="AF152" s="3">
        <v>-3.1139999999999999</v>
      </c>
      <c r="AG152" s="3">
        <v>422</v>
      </c>
      <c r="AH152" s="3">
        <v>21.97</v>
      </c>
      <c r="AI152" s="3">
        <v>1721</v>
      </c>
      <c r="AJ152" s="3">
        <v>-3.7450000000000001</v>
      </c>
      <c r="AK152" s="3">
        <v>-4.0890000000000004</v>
      </c>
      <c r="AL152" s="3">
        <v>-4.3959999999999999</v>
      </c>
      <c r="AM152" s="3">
        <v>-3.9830000000000001</v>
      </c>
      <c r="AN152" s="3">
        <v>-3.9969999999999999</v>
      </c>
      <c r="AO152" s="3">
        <v>2.6339999999999999</v>
      </c>
      <c r="AP152" s="3">
        <v>4.4429999999999996</v>
      </c>
      <c r="AQ152" s="3">
        <v>1.8580000000000001</v>
      </c>
      <c r="AR152" s="3">
        <v>6.8000000000000005E-2</v>
      </c>
      <c r="AS152" s="3">
        <v>0.31</v>
      </c>
      <c r="AT152" s="3">
        <v>0.223</v>
      </c>
      <c r="AU152" s="3">
        <v>1.7999999999999999E-2</v>
      </c>
      <c r="AV152" s="3">
        <v>7.8E-2</v>
      </c>
      <c r="AW152" s="3">
        <v>0.11899999999999999</v>
      </c>
      <c r="AX152" s="3">
        <v>9.8000000000000004E-2</v>
      </c>
      <c r="AY152" s="3">
        <v>8.5000000000000006E-2</v>
      </c>
      <c r="AZ152" s="3">
        <v>7.17</v>
      </c>
      <c r="BA152" s="3"/>
      <c r="BB152" s="3">
        <v>12.03</v>
      </c>
      <c r="BC152" s="3">
        <v>2876</v>
      </c>
      <c r="BD152" s="3"/>
      <c r="BE152" s="3"/>
      <c r="BF152" s="3">
        <v>0</v>
      </c>
      <c r="BH152" s="16">
        <v>32.04</v>
      </c>
      <c r="BI152" s="16">
        <f t="shared" si="111"/>
        <v>64.720799999999997</v>
      </c>
      <c r="BJ152" s="17">
        <f t="shared" si="112"/>
        <v>31.44</v>
      </c>
      <c r="BK152" s="17">
        <f t="shared" si="113"/>
        <v>63.29</v>
      </c>
      <c r="BM152" s="1">
        <f t="shared" si="114"/>
        <v>85.6</v>
      </c>
      <c r="BN152" s="1">
        <f t="shared" si="115"/>
        <v>51</v>
      </c>
      <c r="BO152" s="1">
        <f t="shared" si="116"/>
        <v>21.3</v>
      </c>
      <c r="BP152" s="62">
        <f t="shared" si="119"/>
        <v>0.36399999999999999</v>
      </c>
      <c r="BQ152" s="62">
        <f t="shared" si="117"/>
        <v>1.345</v>
      </c>
      <c r="BS152" s="48">
        <f t="shared" si="110"/>
        <v>0</v>
      </c>
      <c r="BT152" s="44">
        <v>0</v>
      </c>
      <c r="BV152" s="8"/>
      <c r="BW152" s="16">
        <f t="shared" si="78"/>
        <v>31.44</v>
      </c>
      <c r="BX152" s="16">
        <f t="shared" si="79"/>
        <v>63.29</v>
      </c>
      <c r="BY152" s="3">
        <f t="shared" si="80"/>
        <v>6.3</v>
      </c>
      <c r="BZ152" s="3">
        <f t="shared" si="81"/>
        <v>6.3</v>
      </c>
      <c r="CA152" s="3">
        <f t="shared" si="82"/>
        <v>6.2</v>
      </c>
      <c r="CB152" s="3">
        <f t="shared" si="83"/>
        <v>7.4</v>
      </c>
      <c r="CC152" s="3">
        <f t="shared" si="84"/>
        <v>7.7</v>
      </c>
      <c r="CD152" s="3">
        <f t="shared" si="85"/>
        <v>5</v>
      </c>
      <c r="CE152" s="3">
        <f t="shared" si="86"/>
        <v>2.4</v>
      </c>
      <c r="CF152" s="23">
        <f t="shared" si="87"/>
        <v>51</v>
      </c>
      <c r="CG152" s="1">
        <f t="shared" si="88"/>
        <v>15.1</v>
      </c>
      <c r="CH152" s="1">
        <f t="shared" si="89"/>
        <v>16.600000000000001</v>
      </c>
      <c r="CI152" s="1">
        <f t="shared" si="90"/>
        <v>17.399999999999999</v>
      </c>
      <c r="CJ152" s="1">
        <f t="shared" si="91"/>
        <v>21.1</v>
      </c>
      <c r="CK152" s="1">
        <f t="shared" si="92"/>
        <v>13.6</v>
      </c>
      <c r="CL152" s="1">
        <f t="shared" si="93"/>
        <v>5.6</v>
      </c>
      <c r="CM152" s="1">
        <f t="shared" si="94"/>
        <v>2.9</v>
      </c>
      <c r="CN152" s="2">
        <f t="shared" si="95"/>
        <v>85.6</v>
      </c>
      <c r="CO152" s="1">
        <f t="shared" si="96"/>
        <v>-3.1</v>
      </c>
      <c r="CP152" s="1">
        <f t="shared" si="97"/>
        <v>-3.7</v>
      </c>
      <c r="CQ152" s="1">
        <f t="shared" si="98"/>
        <v>-4.0999999999999996</v>
      </c>
      <c r="CR152" s="1">
        <f t="shared" si="99"/>
        <v>-4.4000000000000004</v>
      </c>
      <c r="CS152" s="1">
        <f t="shared" si="100"/>
        <v>2.6</v>
      </c>
      <c r="CT152" s="1">
        <f t="shared" si="101"/>
        <v>4.4000000000000004</v>
      </c>
      <c r="CU152" s="1">
        <f t="shared" si="102"/>
        <v>1.9</v>
      </c>
      <c r="CV152" s="2">
        <f t="shared" si="103"/>
        <v>21.3</v>
      </c>
      <c r="CW152" s="18">
        <f t="shared" si="104"/>
        <v>0</v>
      </c>
      <c r="CX152" s="1">
        <f>ROUND(PPTest!K152,1)</f>
        <v>0</v>
      </c>
      <c r="CY152" s="17">
        <f t="shared" si="105"/>
        <v>1.85</v>
      </c>
      <c r="CZ152" s="17">
        <f t="shared" si="106"/>
        <v>4.7699999999999996</v>
      </c>
      <c r="DA152" s="20">
        <f t="shared" si="107"/>
        <v>0.36399999999999999</v>
      </c>
      <c r="DB152" s="20">
        <f t="shared" si="108"/>
        <v>1.345</v>
      </c>
      <c r="DC152" s="16">
        <f t="shared" si="109"/>
        <v>12.03</v>
      </c>
      <c r="DW152" s="1">
        <v>7.2</v>
      </c>
      <c r="DX152" s="1">
        <v>16</v>
      </c>
      <c r="DY152" s="1">
        <v>-2</v>
      </c>
    </row>
    <row r="153" spans="1:131" x14ac:dyDescent="0.2">
      <c r="A153" s="40">
        <v>34846</v>
      </c>
      <c r="B153" s="3">
        <v>147</v>
      </c>
      <c r="C153" s="3">
        <v>31.51</v>
      </c>
      <c r="D153" s="3">
        <v>59.07</v>
      </c>
      <c r="E153" s="3">
        <v>9.1</v>
      </c>
      <c r="F153" s="3">
        <v>52.08</v>
      </c>
      <c r="G153" s="3">
        <v>9.08</v>
      </c>
      <c r="H153" s="3">
        <v>8.99</v>
      </c>
      <c r="I153" s="3">
        <v>10.41</v>
      </c>
      <c r="J153" s="3">
        <v>10.55</v>
      </c>
      <c r="K153" s="3">
        <v>10.56</v>
      </c>
      <c r="L153" s="3">
        <v>8.6999999999999993</v>
      </c>
      <c r="M153" s="3">
        <v>5.5119999999999996</v>
      </c>
      <c r="N153" s="3">
        <v>2.9710000000000001</v>
      </c>
      <c r="O153" s="3">
        <v>1E-3</v>
      </c>
      <c r="P153" s="16">
        <v>1.9624999999999999</v>
      </c>
      <c r="Q153" s="3">
        <v>0</v>
      </c>
      <c r="R153" s="3">
        <v>19.2</v>
      </c>
      <c r="S153" s="3">
        <v>1729</v>
      </c>
      <c r="T153" s="3">
        <v>91.6</v>
      </c>
      <c r="U153" s="3">
        <v>346</v>
      </c>
      <c r="V153" s="3">
        <v>20.48</v>
      </c>
      <c r="W153" s="3">
        <v>21.6</v>
      </c>
      <c r="X153" s="3">
        <v>25.55</v>
      </c>
      <c r="Y153" s="3">
        <v>25.14</v>
      </c>
      <c r="Z153" s="3">
        <v>24.42</v>
      </c>
      <c r="AA153" s="3">
        <v>14.75</v>
      </c>
      <c r="AB153" s="3">
        <v>6.41</v>
      </c>
      <c r="AC153" s="3">
        <v>3.4830000000000001</v>
      </c>
      <c r="AD153" s="16">
        <v>4.7275</v>
      </c>
      <c r="AE153" s="3">
        <v>1442</v>
      </c>
      <c r="AF153" s="3">
        <v>-1.863</v>
      </c>
      <c r="AG153" s="3">
        <v>348</v>
      </c>
      <c r="AH153" s="3">
        <v>16.079999999999998</v>
      </c>
      <c r="AI153" s="3">
        <v>1722</v>
      </c>
      <c r="AJ153" s="3">
        <v>-2.456</v>
      </c>
      <c r="AK153" s="3">
        <v>-2.5590000000000002</v>
      </c>
      <c r="AL153" s="3">
        <v>-2.9319999999999999</v>
      </c>
      <c r="AM153" s="3">
        <v>-2.4489999999999998</v>
      </c>
      <c r="AN153" s="3">
        <v>-2.2570000000000001</v>
      </c>
      <c r="AO153" s="3">
        <v>3.27</v>
      </c>
      <c r="AP153" s="3">
        <v>4.9320000000000004</v>
      </c>
      <c r="AQ153" s="3">
        <v>2.4910000000000001</v>
      </c>
      <c r="AR153" s="3">
        <v>5.2999999999999999E-2</v>
      </c>
      <c r="AS153" s="3">
        <v>0.28000000000000003</v>
      </c>
      <c r="AT153" s="3">
        <v>0.24199999999999999</v>
      </c>
      <c r="AU153" s="3">
        <v>1.4E-2</v>
      </c>
      <c r="AV153" s="3">
        <v>0.09</v>
      </c>
      <c r="AW153" s="3">
        <v>0.184</v>
      </c>
      <c r="AX153" s="3">
        <v>7.5999999999999998E-2</v>
      </c>
      <c r="AY153" s="3">
        <v>0.06</v>
      </c>
      <c r="AZ153" s="3">
        <v>9.94</v>
      </c>
      <c r="BA153" s="3"/>
      <c r="BB153" s="3">
        <v>12.03</v>
      </c>
      <c r="BC153" s="3">
        <v>2876</v>
      </c>
      <c r="BD153" s="3"/>
      <c r="BE153" s="3"/>
      <c r="BF153" s="3">
        <v>0</v>
      </c>
      <c r="BH153" s="16">
        <v>32.14</v>
      </c>
      <c r="BI153" s="16">
        <f t="shared" si="111"/>
        <v>64.922799999999995</v>
      </c>
      <c r="BJ153" s="17">
        <f t="shared" si="112"/>
        <v>31.51</v>
      </c>
      <c r="BK153" s="17">
        <f t="shared" si="113"/>
        <v>63.8</v>
      </c>
      <c r="BM153" s="1">
        <f t="shared" si="114"/>
        <v>85.6</v>
      </c>
      <c r="BN153" s="1">
        <f t="shared" si="115"/>
        <v>49.1</v>
      </c>
      <c r="BO153" s="1">
        <f t="shared" si="116"/>
        <v>15.9</v>
      </c>
      <c r="BP153" s="62">
        <f t="shared" si="119"/>
        <v>0.35399999999999998</v>
      </c>
      <c r="BQ153" s="62">
        <f t="shared" si="117"/>
        <v>1.8720000000000001</v>
      </c>
      <c r="BS153" s="48">
        <f t="shared" si="110"/>
        <v>0</v>
      </c>
      <c r="BT153" s="44">
        <v>0</v>
      </c>
      <c r="BV153" s="8"/>
      <c r="BW153" s="16">
        <f t="shared" ref="BW153:BW216" si="120">BJ153</f>
        <v>31.51</v>
      </c>
      <c r="BX153" s="16">
        <f t="shared" ref="BX153:BX216" si="121">BK153</f>
        <v>63.8</v>
      </c>
      <c r="BY153" s="3">
        <f t="shared" ref="BY153:BY216" si="122">ROUND(E153,1)</f>
        <v>9.1</v>
      </c>
      <c r="BZ153" s="3">
        <f t="shared" ref="BZ153:BZ216" si="123">ROUND(G153,1)</f>
        <v>9.1</v>
      </c>
      <c r="CA153" s="3">
        <f t="shared" ref="CA153:CA216" si="124">ROUND(H153,1)</f>
        <v>9</v>
      </c>
      <c r="CB153" s="3">
        <f t="shared" ref="CB153:CB216" si="125">ROUND(I153,1)</f>
        <v>10.4</v>
      </c>
      <c r="CC153" s="3">
        <f t="shared" ref="CC153:CC216" si="126">ROUND(L153,1)</f>
        <v>8.6999999999999993</v>
      </c>
      <c r="CD153" s="3">
        <f t="shared" ref="CD153:CD216" si="127">ROUND(M153,1)</f>
        <v>5.5</v>
      </c>
      <c r="CE153" s="3">
        <f t="shared" ref="CE153:CE216" si="128">ROUND(N153,1)</f>
        <v>3</v>
      </c>
      <c r="CF153" s="23">
        <f t="shared" ref="CF153:CF216" si="129">ROUND(BN153,1)</f>
        <v>49.1</v>
      </c>
      <c r="CG153" s="1">
        <f t="shared" ref="CG153:CG216" si="130">ROUND(R153,1)</f>
        <v>19.2</v>
      </c>
      <c r="CH153" s="1">
        <f t="shared" ref="CH153:CH216" si="131">ROUND(V153,1)</f>
        <v>20.5</v>
      </c>
      <c r="CI153" s="1">
        <f t="shared" ref="CI153:CI216" si="132">ROUND(W153,1)</f>
        <v>21.6</v>
      </c>
      <c r="CJ153" s="1">
        <f t="shared" ref="CJ153:CJ216" si="133">ROUND(X153,1)</f>
        <v>25.6</v>
      </c>
      <c r="CK153" s="1">
        <f t="shared" ref="CK153:CK216" si="134">ROUND(AA153,1)</f>
        <v>14.8</v>
      </c>
      <c r="CL153" s="1">
        <f t="shared" ref="CL153:CL216" si="135">ROUND(AB153,1)</f>
        <v>6.4</v>
      </c>
      <c r="CM153" s="1">
        <f t="shared" ref="CM153:CM216" si="136">ROUND(AC153,1)</f>
        <v>3.5</v>
      </c>
      <c r="CN153" s="2">
        <f t="shared" ref="CN153:CN216" si="137">ROUND(BM153,1)</f>
        <v>85.6</v>
      </c>
      <c r="CO153" s="1">
        <f t="shared" ref="CO153:CO216" si="138">ROUND(AF153,1)</f>
        <v>-1.9</v>
      </c>
      <c r="CP153" s="1">
        <f t="shared" ref="CP153:CP216" si="139">ROUND(AJ153,1)</f>
        <v>-2.5</v>
      </c>
      <c r="CQ153" s="1">
        <f t="shared" ref="CQ153:CQ216" si="140">ROUND(AK153,1)</f>
        <v>-2.6</v>
      </c>
      <c r="CR153" s="1">
        <f t="shared" ref="CR153:CR216" si="141">ROUND(AL153,1)</f>
        <v>-2.9</v>
      </c>
      <c r="CS153" s="1">
        <f t="shared" ref="CS153:CS216" si="142">ROUND(AO153,1)</f>
        <v>3.3</v>
      </c>
      <c r="CT153" s="1">
        <f t="shared" ref="CT153:CT216" si="143">ROUND(AP153,1)</f>
        <v>4.9000000000000004</v>
      </c>
      <c r="CU153" s="1">
        <f t="shared" ref="CU153:CU216" si="144">ROUND(AQ153,1)</f>
        <v>2.5</v>
      </c>
      <c r="CV153" s="2">
        <f t="shared" ref="CV153:CV216" si="145">ROUND(BO153,1)</f>
        <v>15.9</v>
      </c>
      <c r="CW153" s="18">
        <f t="shared" ref="CW153:CW216" si="146">BF153</f>
        <v>0</v>
      </c>
      <c r="CX153" s="1">
        <f>ROUND(PPTest!K153,1)</f>
        <v>0</v>
      </c>
      <c r="CY153" s="17">
        <f t="shared" ref="CY153:CY216" si="147">ROUND(P153,2)</f>
        <v>1.96</v>
      </c>
      <c r="CZ153" s="17">
        <f t="shared" ref="CZ153:CZ216" si="148">ROUND(AD153,2)</f>
        <v>4.7300000000000004</v>
      </c>
      <c r="DA153" s="20">
        <f t="shared" ref="DA153:DA216" si="149">BP153</f>
        <v>0.35399999999999998</v>
      </c>
      <c r="DB153" s="20">
        <f t="shared" ref="DB153:DB216" si="150">BQ153</f>
        <v>1.8720000000000001</v>
      </c>
      <c r="DC153" s="16">
        <f t="shared" ref="DC153:DC216" si="151">BB153</f>
        <v>12.03</v>
      </c>
      <c r="DL153" s="1" t="s">
        <v>180</v>
      </c>
      <c r="DW153" s="1">
        <v>10.1</v>
      </c>
      <c r="DX153" s="1">
        <v>19.5</v>
      </c>
      <c r="DY153" s="1">
        <v>-0.5</v>
      </c>
      <c r="EA153" s="1" t="s">
        <v>180</v>
      </c>
    </row>
    <row r="154" spans="1:131" x14ac:dyDescent="0.2">
      <c r="A154" s="40">
        <v>34847</v>
      </c>
      <c r="B154" s="3">
        <v>148</v>
      </c>
      <c r="C154" s="3">
        <v>30.93</v>
      </c>
      <c r="D154" s="3">
        <v>58.12</v>
      </c>
      <c r="E154" s="3">
        <v>11.42</v>
      </c>
      <c r="F154" s="3">
        <v>53.6</v>
      </c>
      <c r="G154" s="3">
        <v>11.36</v>
      </c>
      <c r="H154" s="3">
        <v>11.32</v>
      </c>
      <c r="I154" s="3">
        <v>13.05</v>
      </c>
      <c r="J154" s="3">
        <v>12.87</v>
      </c>
      <c r="K154" s="3">
        <v>12.74</v>
      </c>
      <c r="L154" s="3">
        <v>9.8800000000000008</v>
      </c>
      <c r="M154" s="3">
        <v>6.43</v>
      </c>
      <c r="N154" s="3">
        <v>3.64</v>
      </c>
      <c r="O154" s="3">
        <v>1E-3</v>
      </c>
      <c r="P154" s="16">
        <v>1.9841666666666669</v>
      </c>
      <c r="Q154" s="3">
        <v>0</v>
      </c>
      <c r="R154" s="3">
        <v>22.07</v>
      </c>
      <c r="S154" s="3">
        <v>1614</v>
      </c>
      <c r="T154" s="3">
        <v>92</v>
      </c>
      <c r="U154" s="3">
        <v>349</v>
      </c>
      <c r="V154" s="3">
        <v>24.03</v>
      </c>
      <c r="W154" s="3">
        <v>24.35</v>
      </c>
      <c r="X154" s="3">
        <v>29.12</v>
      </c>
      <c r="Y154" s="3">
        <v>27.27</v>
      </c>
      <c r="Z154" s="3">
        <v>26.25</v>
      </c>
      <c r="AA154" s="3">
        <v>15.61</v>
      </c>
      <c r="AB154" s="3">
        <v>7.45</v>
      </c>
      <c r="AC154" s="3">
        <v>4.1710000000000003</v>
      </c>
      <c r="AD154" s="16">
        <v>4.7141666666666673</v>
      </c>
      <c r="AE154" s="3">
        <v>1130</v>
      </c>
      <c r="AF154" s="3">
        <v>-0.38600000000000001</v>
      </c>
      <c r="AG154" s="3">
        <v>345</v>
      </c>
      <c r="AH154" s="3">
        <v>19.309999999999999</v>
      </c>
      <c r="AI154" s="3">
        <v>1729</v>
      </c>
      <c r="AJ154" s="3">
        <v>-0.99399999999999999</v>
      </c>
      <c r="AK154" s="3">
        <v>-1.0980000000000001</v>
      </c>
      <c r="AL154" s="3">
        <v>-1.421</v>
      </c>
      <c r="AM154" s="3">
        <v>-1.3160000000000001</v>
      </c>
      <c r="AN154" s="3">
        <v>-1.3740000000000001</v>
      </c>
      <c r="AO154" s="3">
        <v>4.5979999999999999</v>
      </c>
      <c r="AP154" s="3">
        <v>5.8159999999999998</v>
      </c>
      <c r="AQ154" s="3">
        <v>3.157</v>
      </c>
      <c r="AR154" s="3">
        <v>3.4000000000000002E-2</v>
      </c>
      <c r="AS154" s="3">
        <v>0.26800000000000002</v>
      </c>
      <c r="AT154" s="3">
        <v>0.26700000000000002</v>
      </c>
      <c r="AU154" s="3">
        <v>0.01</v>
      </c>
      <c r="AV154" s="3">
        <v>0.11</v>
      </c>
      <c r="AW154" s="3">
        <v>0.16500000000000001</v>
      </c>
      <c r="AX154" s="3">
        <v>8.5000000000000006E-2</v>
      </c>
      <c r="AY154" s="3">
        <v>6.0999999999999999E-2</v>
      </c>
      <c r="AZ154" s="3">
        <v>12.39</v>
      </c>
      <c r="BA154" s="3"/>
      <c r="BB154" s="3">
        <v>12.03</v>
      </c>
      <c r="BC154" s="3">
        <v>2876</v>
      </c>
      <c r="BD154" s="3"/>
      <c r="BE154" s="3"/>
      <c r="BF154" s="3">
        <v>0</v>
      </c>
      <c r="BH154" s="16">
        <v>32.24</v>
      </c>
      <c r="BI154" s="16">
        <f t="shared" si="111"/>
        <v>65.124800000000008</v>
      </c>
      <c r="BJ154" s="17">
        <f t="shared" si="112"/>
        <v>30.93</v>
      </c>
      <c r="BK154" s="17">
        <f t="shared" si="113"/>
        <v>62.77</v>
      </c>
      <c r="BM154" s="1">
        <f t="shared" si="114"/>
        <v>86</v>
      </c>
      <c r="BN154" s="1">
        <f t="shared" si="115"/>
        <v>50.5</v>
      </c>
      <c r="BO154" s="1">
        <f t="shared" si="116"/>
        <v>18.8</v>
      </c>
      <c r="BP154" s="62">
        <f t="shared" si="119"/>
        <v>0.499</v>
      </c>
      <c r="BQ154" s="62">
        <f t="shared" si="117"/>
        <v>2.1549999999999998</v>
      </c>
      <c r="BS154" s="1">
        <v>0</v>
      </c>
      <c r="BT154" s="8"/>
      <c r="BV154" s="8"/>
      <c r="BW154" s="16">
        <f t="shared" si="120"/>
        <v>30.93</v>
      </c>
      <c r="BX154" s="16">
        <f t="shared" si="121"/>
        <v>62.77</v>
      </c>
      <c r="BY154" s="3">
        <f t="shared" si="122"/>
        <v>11.4</v>
      </c>
      <c r="BZ154" s="3">
        <f t="shared" si="123"/>
        <v>11.4</v>
      </c>
      <c r="CA154" s="3">
        <f t="shared" si="124"/>
        <v>11.3</v>
      </c>
      <c r="CB154" s="3">
        <f t="shared" si="125"/>
        <v>13.1</v>
      </c>
      <c r="CC154" s="3">
        <f t="shared" si="126"/>
        <v>9.9</v>
      </c>
      <c r="CD154" s="3">
        <f t="shared" si="127"/>
        <v>6.4</v>
      </c>
      <c r="CE154" s="3">
        <f t="shared" si="128"/>
        <v>3.6</v>
      </c>
      <c r="CF154" s="23">
        <f t="shared" si="129"/>
        <v>50.5</v>
      </c>
      <c r="CG154" s="1">
        <f t="shared" si="130"/>
        <v>22.1</v>
      </c>
      <c r="CH154" s="1">
        <f t="shared" si="131"/>
        <v>24</v>
      </c>
      <c r="CI154" s="1">
        <f t="shared" si="132"/>
        <v>24.4</v>
      </c>
      <c r="CJ154" s="1">
        <f t="shared" si="133"/>
        <v>29.1</v>
      </c>
      <c r="CK154" s="1">
        <f t="shared" si="134"/>
        <v>15.6</v>
      </c>
      <c r="CL154" s="1">
        <f t="shared" si="135"/>
        <v>7.5</v>
      </c>
      <c r="CM154" s="1">
        <f t="shared" si="136"/>
        <v>4.2</v>
      </c>
      <c r="CN154" s="2">
        <f t="shared" si="137"/>
        <v>86</v>
      </c>
      <c r="CO154" s="1">
        <f t="shared" si="138"/>
        <v>-0.4</v>
      </c>
      <c r="CP154" s="1">
        <f t="shared" si="139"/>
        <v>-1</v>
      </c>
      <c r="CQ154" s="1">
        <f t="shared" si="140"/>
        <v>-1.1000000000000001</v>
      </c>
      <c r="CR154" s="1">
        <f t="shared" si="141"/>
        <v>-1.4</v>
      </c>
      <c r="CS154" s="1">
        <f t="shared" si="142"/>
        <v>4.5999999999999996</v>
      </c>
      <c r="CT154" s="1">
        <f t="shared" si="143"/>
        <v>5.8</v>
      </c>
      <c r="CU154" s="1">
        <f t="shared" si="144"/>
        <v>3.2</v>
      </c>
      <c r="CV154" s="2">
        <f t="shared" si="145"/>
        <v>18.8</v>
      </c>
      <c r="CW154" s="18">
        <f t="shared" si="146"/>
        <v>0</v>
      </c>
      <c r="CX154" s="1">
        <f>ROUND(PPTest!K154,1)</f>
        <v>0</v>
      </c>
      <c r="CY154" s="17">
        <f t="shared" si="147"/>
        <v>1.98</v>
      </c>
      <c r="CZ154" s="17">
        <f t="shared" si="148"/>
        <v>4.71</v>
      </c>
      <c r="DA154" s="20">
        <f t="shared" si="149"/>
        <v>0.499</v>
      </c>
      <c r="DB154" s="20">
        <f t="shared" si="150"/>
        <v>2.1549999999999998</v>
      </c>
      <c r="DC154" s="16">
        <f t="shared" si="151"/>
        <v>12.03</v>
      </c>
      <c r="DW154" s="1">
        <v>12.8</v>
      </c>
      <c r="DX154" s="1">
        <v>22.7</v>
      </c>
      <c r="DY154" s="1">
        <v>1.1000000000000001</v>
      </c>
    </row>
    <row r="155" spans="1:131" x14ac:dyDescent="0.2">
      <c r="A155" s="40">
        <v>34848</v>
      </c>
      <c r="B155" s="3">
        <v>149</v>
      </c>
      <c r="C155" s="3">
        <v>30.43</v>
      </c>
      <c r="D155" s="3">
        <v>57.42</v>
      </c>
      <c r="E155" s="3">
        <v>12.64</v>
      </c>
      <c r="F155" s="3">
        <v>55.33</v>
      </c>
      <c r="G155" s="3">
        <v>12.56</v>
      </c>
      <c r="H155" s="3">
        <v>12.61</v>
      </c>
      <c r="I155" s="3">
        <v>14.27</v>
      </c>
      <c r="J155" s="3">
        <v>14.01</v>
      </c>
      <c r="K155" s="3">
        <v>13.9</v>
      </c>
      <c r="L155" s="3">
        <v>10.75</v>
      </c>
      <c r="M155" s="3">
        <v>7.45</v>
      </c>
      <c r="N155" s="3">
        <v>4.4290000000000003</v>
      </c>
      <c r="O155" s="3">
        <v>1E-3</v>
      </c>
      <c r="P155" s="16">
        <v>2.1208333333333336</v>
      </c>
      <c r="Q155" s="3">
        <v>0</v>
      </c>
      <c r="R155" s="3">
        <v>22.49</v>
      </c>
      <c r="S155" s="3">
        <v>1556</v>
      </c>
      <c r="T155" s="3">
        <v>94.2</v>
      </c>
      <c r="U155" s="3">
        <v>429</v>
      </c>
      <c r="V155" s="3">
        <v>23.63</v>
      </c>
      <c r="W155" s="3">
        <v>25.22</v>
      </c>
      <c r="X155" s="3">
        <v>29.83</v>
      </c>
      <c r="Y155" s="3">
        <v>27.11</v>
      </c>
      <c r="Z155" s="3">
        <v>26.28</v>
      </c>
      <c r="AA155" s="3">
        <v>16.04</v>
      </c>
      <c r="AB155" s="3">
        <v>8.42</v>
      </c>
      <c r="AC155" s="3">
        <v>4.99</v>
      </c>
      <c r="AD155" s="16">
        <v>5.2341666666666669</v>
      </c>
      <c r="AE155" s="3">
        <v>1522</v>
      </c>
      <c r="AF155" s="3">
        <v>1.1819999999999999</v>
      </c>
      <c r="AG155" s="3">
        <v>405</v>
      </c>
      <c r="AH155" s="3">
        <v>22.62</v>
      </c>
      <c r="AI155" s="3">
        <v>1541</v>
      </c>
      <c r="AJ155" s="3">
        <v>0.60399999999999998</v>
      </c>
      <c r="AK155" s="3">
        <v>0.39400000000000002</v>
      </c>
      <c r="AL155" s="3">
        <v>0.17799999999999999</v>
      </c>
      <c r="AM155" s="3">
        <v>0.33</v>
      </c>
      <c r="AN155" s="3">
        <v>0.33</v>
      </c>
      <c r="AO155" s="3">
        <v>5.8869999999999996</v>
      </c>
      <c r="AP155" s="3">
        <v>6.843</v>
      </c>
      <c r="AQ155" s="3">
        <v>3.9169999999999998</v>
      </c>
      <c r="AR155" s="3">
        <v>3.0000000000000001E-3</v>
      </c>
      <c r="AS155" s="3">
        <v>0.247</v>
      </c>
      <c r="AT155" s="3">
        <v>0.26700000000000002</v>
      </c>
      <c r="AU155" s="3">
        <v>1.2E-2</v>
      </c>
      <c r="AV155" s="3">
        <v>8.5999999999999993E-2</v>
      </c>
      <c r="AW155" s="3">
        <v>0.219</v>
      </c>
      <c r="AX155" s="3">
        <v>0.126</v>
      </c>
      <c r="AY155" s="3">
        <v>3.9E-2</v>
      </c>
      <c r="AZ155" s="3">
        <v>13.59</v>
      </c>
      <c r="BA155" s="3"/>
      <c r="BB155" s="3">
        <v>12.03</v>
      </c>
      <c r="BC155" s="3">
        <v>2876</v>
      </c>
      <c r="BD155" s="3"/>
      <c r="BE155" s="3"/>
      <c r="BF155" s="3">
        <v>0</v>
      </c>
      <c r="BH155" s="16">
        <v>32.340000000000003</v>
      </c>
      <c r="BI155" s="16">
        <f t="shared" si="111"/>
        <v>65.326800000000006</v>
      </c>
      <c r="BJ155" s="17">
        <f t="shared" si="112"/>
        <v>30.43</v>
      </c>
      <c r="BK155" s="17">
        <f t="shared" si="113"/>
        <v>62.01</v>
      </c>
      <c r="BM155" s="1">
        <f t="shared" si="114"/>
        <v>88</v>
      </c>
      <c r="BN155" s="1">
        <f t="shared" si="115"/>
        <v>52.1</v>
      </c>
      <c r="BO155" s="1">
        <f t="shared" si="116"/>
        <v>21.9</v>
      </c>
      <c r="BP155" s="62">
        <f t="shared" si="119"/>
        <v>0.59599999999999997</v>
      </c>
      <c r="BQ155" s="62">
        <f t="shared" si="117"/>
        <v>2.125</v>
      </c>
      <c r="BS155" s="1">
        <v>0</v>
      </c>
      <c r="BT155" s="8"/>
      <c r="BV155" s="8"/>
      <c r="BW155" s="16">
        <f t="shared" si="120"/>
        <v>30.43</v>
      </c>
      <c r="BX155" s="16">
        <f t="shared" si="121"/>
        <v>62.01</v>
      </c>
      <c r="BY155" s="3">
        <f t="shared" si="122"/>
        <v>12.6</v>
      </c>
      <c r="BZ155" s="3">
        <f t="shared" si="123"/>
        <v>12.6</v>
      </c>
      <c r="CA155" s="3">
        <f t="shared" si="124"/>
        <v>12.6</v>
      </c>
      <c r="CB155" s="3">
        <f t="shared" si="125"/>
        <v>14.3</v>
      </c>
      <c r="CC155" s="3">
        <f t="shared" si="126"/>
        <v>10.8</v>
      </c>
      <c r="CD155" s="3">
        <f t="shared" si="127"/>
        <v>7.5</v>
      </c>
      <c r="CE155" s="3">
        <f t="shared" si="128"/>
        <v>4.4000000000000004</v>
      </c>
      <c r="CF155" s="23">
        <f t="shared" si="129"/>
        <v>52.1</v>
      </c>
      <c r="CG155" s="1">
        <f t="shared" si="130"/>
        <v>22.5</v>
      </c>
      <c r="CH155" s="1">
        <f t="shared" si="131"/>
        <v>23.6</v>
      </c>
      <c r="CI155" s="1">
        <f t="shared" si="132"/>
        <v>25.2</v>
      </c>
      <c r="CJ155" s="1">
        <f t="shared" si="133"/>
        <v>29.8</v>
      </c>
      <c r="CK155" s="1">
        <f t="shared" si="134"/>
        <v>16</v>
      </c>
      <c r="CL155" s="1">
        <f t="shared" si="135"/>
        <v>8.4</v>
      </c>
      <c r="CM155" s="1">
        <f t="shared" si="136"/>
        <v>5</v>
      </c>
      <c r="CN155" s="2">
        <f t="shared" si="137"/>
        <v>88</v>
      </c>
      <c r="CO155" s="1">
        <f t="shared" si="138"/>
        <v>1.2</v>
      </c>
      <c r="CP155" s="1">
        <f t="shared" si="139"/>
        <v>0.6</v>
      </c>
      <c r="CQ155" s="1">
        <f t="shared" si="140"/>
        <v>0.4</v>
      </c>
      <c r="CR155" s="1">
        <f t="shared" si="141"/>
        <v>0.2</v>
      </c>
      <c r="CS155" s="1">
        <f t="shared" si="142"/>
        <v>5.9</v>
      </c>
      <c r="CT155" s="1">
        <f t="shared" si="143"/>
        <v>6.8</v>
      </c>
      <c r="CU155" s="1">
        <f t="shared" si="144"/>
        <v>3.9</v>
      </c>
      <c r="CV155" s="2">
        <f t="shared" si="145"/>
        <v>21.9</v>
      </c>
      <c r="CW155" s="18">
        <f t="shared" si="146"/>
        <v>0</v>
      </c>
      <c r="CX155" s="1">
        <f>ROUND(PPTest!K155,1)</f>
        <v>0</v>
      </c>
      <c r="CY155" s="17">
        <f t="shared" si="147"/>
        <v>2.12</v>
      </c>
      <c r="CZ155" s="17">
        <f t="shared" si="148"/>
        <v>5.23</v>
      </c>
      <c r="DA155" s="20">
        <f t="shared" si="149"/>
        <v>0.59599999999999997</v>
      </c>
      <c r="DB155" s="20">
        <f t="shared" si="150"/>
        <v>2.125</v>
      </c>
      <c r="DC155" s="16">
        <f t="shared" si="151"/>
        <v>12.03</v>
      </c>
      <c r="DF155" s="1">
        <v>19.899999999999999</v>
      </c>
      <c r="DG155" s="1">
        <v>25.7</v>
      </c>
      <c r="DH155" s="1">
        <v>14.1</v>
      </c>
      <c r="DW155" s="1">
        <v>14.4</v>
      </c>
      <c r="DX155" s="1">
        <v>23.2</v>
      </c>
      <c r="DY155" s="1">
        <v>3.1</v>
      </c>
    </row>
    <row r="156" spans="1:131" x14ac:dyDescent="0.2">
      <c r="A156" s="40">
        <v>34849</v>
      </c>
      <c r="B156" s="3">
        <v>150</v>
      </c>
      <c r="C156" s="3">
        <v>29.88</v>
      </c>
      <c r="D156" s="3">
        <v>56.35</v>
      </c>
      <c r="E156" s="3">
        <v>11.17</v>
      </c>
      <c r="F156" s="3">
        <v>53.58</v>
      </c>
      <c r="G156" s="3">
        <v>11.07</v>
      </c>
      <c r="H156" s="3">
        <v>11.16</v>
      </c>
      <c r="I156" s="3">
        <v>12.53</v>
      </c>
      <c r="J156" s="3">
        <v>12.28</v>
      </c>
      <c r="K156" s="3">
        <v>12.3</v>
      </c>
      <c r="L156" s="3">
        <v>10.75</v>
      </c>
      <c r="M156" s="3">
        <v>8.3000000000000007</v>
      </c>
      <c r="N156" s="3">
        <v>5.343</v>
      </c>
      <c r="O156" s="3">
        <v>1E-3</v>
      </c>
      <c r="P156" s="16">
        <v>2.5308333333333333</v>
      </c>
      <c r="Q156" s="3">
        <v>0</v>
      </c>
      <c r="R156" s="3">
        <v>19.34</v>
      </c>
      <c r="S156" s="3">
        <v>1518</v>
      </c>
      <c r="T156" s="3">
        <v>88.9</v>
      </c>
      <c r="U156" s="3">
        <v>430</v>
      </c>
      <c r="V156" s="3">
        <v>20.87</v>
      </c>
      <c r="W156" s="3">
        <v>22.77</v>
      </c>
      <c r="X156" s="3">
        <v>27.5</v>
      </c>
      <c r="Y156" s="3">
        <v>24.15</v>
      </c>
      <c r="Z156" s="3">
        <v>22.75</v>
      </c>
      <c r="AA156" s="3">
        <v>15.16</v>
      </c>
      <c r="AB156" s="3">
        <v>9.01</v>
      </c>
      <c r="AC156" s="3">
        <v>5.8810000000000002</v>
      </c>
      <c r="AD156" s="16">
        <v>7.3808333333333325</v>
      </c>
      <c r="AE156" s="3">
        <v>1527</v>
      </c>
      <c r="AF156" s="3">
        <v>1.8069999999999999</v>
      </c>
      <c r="AG156" s="3">
        <v>2355</v>
      </c>
      <c r="AH156" s="3">
        <v>22.7</v>
      </c>
      <c r="AI156" s="3">
        <v>1532</v>
      </c>
      <c r="AJ156" s="3">
        <v>1.056</v>
      </c>
      <c r="AK156" s="3">
        <v>0.90300000000000002</v>
      </c>
      <c r="AL156" s="3">
        <v>0.29599999999999999</v>
      </c>
      <c r="AM156" s="3">
        <v>0.63600000000000001</v>
      </c>
      <c r="AN156" s="3">
        <v>0.57799999999999996</v>
      </c>
      <c r="AO156" s="3">
        <v>6.8289999999999997</v>
      </c>
      <c r="AP156" s="3">
        <v>7.84</v>
      </c>
      <c r="AQ156" s="3">
        <v>4.7949999999999999</v>
      </c>
      <c r="AR156" s="3">
        <v>1.2E-2</v>
      </c>
      <c r="AS156" s="3">
        <v>0.23300000000000001</v>
      </c>
      <c r="AT156" s="3">
        <v>0.20100000000000001</v>
      </c>
      <c r="AU156" s="3">
        <v>0.01</v>
      </c>
      <c r="AV156" s="3">
        <v>7.9000000000000001E-2</v>
      </c>
      <c r="AW156" s="3">
        <v>0.313</v>
      </c>
      <c r="AX156" s="3">
        <v>0.126</v>
      </c>
      <c r="AY156" s="3">
        <v>2.5999999999999999E-2</v>
      </c>
      <c r="AZ156" s="3">
        <v>12.04</v>
      </c>
      <c r="BA156" s="3"/>
      <c r="BB156" s="3">
        <v>12.03</v>
      </c>
      <c r="BC156" s="3">
        <v>2876</v>
      </c>
      <c r="BD156" s="3"/>
      <c r="BE156" s="3"/>
      <c r="BF156" s="3">
        <v>0</v>
      </c>
      <c r="BH156" s="16">
        <v>32.42</v>
      </c>
      <c r="BI156" s="16">
        <f t="shared" si="111"/>
        <v>65.488399999999999</v>
      </c>
      <c r="BJ156" s="17">
        <f t="shared" si="112"/>
        <v>29.88</v>
      </c>
      <c r="BK156" s="17">
        <f t="shared" si="113"/>
        <v>60.86</v>
      </c>
      <c r="BM156" s="1">
        <f t="shared" si="114"/>
        <v>83.1</v>
      </c>
      <c r="BN156" s="1">
        <f t="shared" si="115"/>
        <v>50.5</v>
      </c>
      <c r="BO156" s="1">
        <f t="shared" si="116"/>
        <v>22</v>
      </c>
      <c r="BP156" s="62">
        <f t="shared" si="119"/>
        <v>0.49399999999999999</v>
      </c>
      <c r="BQ156" s="62">
        <f t="shared" si="117"/>
        <v>1.7509999999999999</v>
      </c>
      <c r="BS156" s="1">
        <v>0</v>
      </c>
      <c r="BT156" s="8"/>
      <c r="BV156" s="8"/>
      <c r="BW156" s="16">
        <f t="shared" si="120"/>
        <v>29.88</v>
      </c>
      <c r="BX156" s="16">
        <f t="shared" si="121"/>
        <v>60.86</v>
      </c>
      <c r="BY156" s="3">
        <f t="shared" si="122"/>
        <v>11.2</v>
      </c>
      <c r="BZ156" s="3">
        <f t="shared" si="123"/>
        <v>11.1</v>
      </c>
      <c r="CA156" s="3">
        <f t="shared" si="124"/>
        <v>11.2</v>
      </c>
      <c r="CB156" s="3">
        <f t="shared" si="125"/>
        <v>12.5</v>
      </c>
      <c r="CC156" s="3">
        <f t="shared" si="126"/>
        <v>10.8</v>
      </c>
      <c r="CD156" s="3">
        <f t="shared" si="127"/>
        <v>8.3000000000000007</v>
      </c>
      <c r="CE156" s="3">
        <f t="shared" si="128"/>
        <v>5.3</v>
      </c>
      <c r="CF156" s="23">
        <f t="shared" si="129"/>
        <v>50.5</v>
      </c>
      <c r="CG156" s="1">
        <f t="shared" si="130"/>
        <v>19.3</v>
      </c>
      <c r="CH156" s="1">
        <f t="shared" si="131"/>
        <v>20.9</v>
      </c>
      <c r="CI156" s="1">
        <f t="shared" si="132"/>
        <v>22.8</v>
      </c>
      <c r="CJ156" s="1">
        <f t="shared" si="133"/>
        <v>27.5</v>
      </c>
      <c r="CK156" s="1">
        <f t="shared" si="134"/>
        <v>15.2</v>
      </c>
      <c r="CL156" s="1">
        <f t="shared" si="135"/>
        <v>9</v>
      </c>
      <c r="CM156" s="1">
        <f t="shared" si="136"/>
        <v>5.9</v>
      </c>
      <c r="CN156" s="2">
        <f t="shared" si="137"/>
        <v>83.1</v>
      </c>
      <c r="CO156" s="1">
        <f t="shared" si="138"/>
        <v>1.8</v>
      </c>
      <c r="CP156" s="1">
        <f t="shared" si="139"/>
        <v>1.1000000000000001</v>
      </c>
      <c r="CQ156" s="1">
        <f t="shared" si="140"/>
        <v>0.9</v>
      </c>
      <c r="CR156" s="1">
        <f t="shared" si="141"/>
        <v>0.3</v>
      </c>
      <c r="CS156" s="1">
        <f t="shared" si="142"/>
        <v>6.8</v>
      </c>
      <c r="CT156" s="1">
        <f t="shared" si="143"/>
        <v>7.8</v>
      </c>
      <c r="CU156" s="1">
        <f t="shared" si="144"/>
        <v>4.8</v>
      </c>
      <c r="CV156" s="2">
        <f t="shared" si="145"/>
        <v>22</v>
      </c>
      <c r="CW156" s="18">
        <f t="shared" si="146"/>
        <v>0</v>
      </c>
      <c r="CX156" s="1">
        <f>ROUND(PPTest!K156,1)</f>
        <v>0</v>
      </c>
      <c r="CY156" s="17">
        <f t="shared" si="147"/>
        <v>2.5299999999999998</v>
      </c>
      <c r="CZ156" s="17">
        <f t="shared" si="148"/>
        <v>7.38</v>
      </c>
      <c r="DA156" s="20">
        <f t="shared" si="149"/>
        <v>0.49399999999999999</v>
      </c>
      <c r="DB156" s="20">
        <f t="shared" si="150"/>
        <v>1.7509999999999999</v>
      </c>
      <c r="DC156" s="16">
        <f t="shared" si="151"/>
        <v>12.03</v>
      </c>
      <c r="DF156" s="1">
        <v>17.2</v>
      </c>
      <c r="DG156" s="1">
        <v>22.6</v>
      </c>
      <c r="DH156" s="1">
        <v>11.5</v>
      </c>
      <c r="DW156" s="1">
        <v>12.8</v>
      </c>
      <c r="DX156" s="1">
        <v>19.899999999999999</v>
      </c>
      <c r="DY156" s="1">
        <v>3.9</v>
      </c>
    </row>
    <row r="157" spans="1:131" x14ac:dyDescent="0.2">
      <c r="A157" s="40">
        <v>34850</v>
      </c>
      <c r="B157" s="3">
        <v>151</v>
      </c>
      <c r="C157" s="3">
        <v>28.59</v>
      </c>
      <c r="D157" s="3">
        <v>54.17</v>
      </c>
      <c r="E157" s="3">
        <v>9.48</v>
      </c>
      <c r="F157" s="3">
        <v>63.43</v>
      </c>
      <c r="G157" s="3">
        <v>9.4499999999999993</v>
      </c>
      <c r="H157" s="3">
        <v>9.5399999999999991</v>
      </c>
      <c r="I157" s="3">
        <v>11.67</v>
      </c>
      <c r="J157" s="3">
        <v>10.78</v>
      </c>
      <c r="K157" s="3">
        <v>10.72</v>
      </c>
      <c r="L157" s="3">
        <v>10.56</v>
      </c>
      <c r="M157" s="3">
        <v>8.6199999999999992</v>
      </c>
      <c r="N157" s="3">
        <v>6.1740000000000004</v>
      </c>
      <c r="O157" s="3">
        <v>1E-3</v>
      </c>
      <c r="P157" s="16">
        <v>1.9225000000000001</v>
      </c>
      <c r="Q157" s="3">
        <v>0</v>
      </c>
      <c r="R157" s="3">
        <v>17.34</v>
      </c>
      <c r="S157" s="3">
        <v>1439</v>
      </c>
      <c r="T157" s="3">
        <v>97.9</v>
      </c>
      <c r="U157" s="3">
        <v>414</v>
      </c>
      <c r="V157" s="3">
        <v>18.75</v>
      </c>
      <c r="W157" s="3">
        <v>21.47</v>
      </c>
      <c r="X157" s="3">
        <v>26.45</v>
      </c>
      <c r="Y157" s="3">
        <v>23.42</v>
      </c>
      <c r="Z157" s="3">
        <v>22.21</v>
      </c>
      <c r="AA157" s="3">
        <v>15.55</v>
      </c>
      <c r="AB157" s="3">
        <v>9.31</v>
      </c>
      <c r="AC157" s="3">
        <v>6.6459999999999999</v>
      </c>
      <c r="AD157" s="16">
        <v>4.9675000000000002</v>
      </c>
      <c r="AE157" s="3">
        <v>1502</v>
      </c>
      <c r="AF157" s="3">
        <v>-0.307</v>
      </c>
      <c r="AG157" s="3">
        <v>357</v>
      </c>
      <c r="AH157" s="3">
        <v>36.299999999999997</v>
      </c>
      <c r="AI157" s="3">
        <v>1141</v>
      </c>
      <c r="AJ157" s="3">
        <v>-0.88</v>
      </c>
      <c r="AK157" s="3">
        <v>-1.0920000000000001</v>
      </c>
      <c r="AL157" s="3">
        <v>-1.3420000000000001</v>
      </c>
      <c r="AM157" s="3">
        <v>-1.2030000000000001</v>
      </c>
      <c r="AN157" s="3">
        <v>-1.3160000000000001</v>
      </c>
      <c r="AO157" s="3">
        <v>6.181</v>
      </c>
      <c r="AP157" s="3">
        <v>8.1300000000000008</v>
      </c>
      <c r="AQ157" s="3">
        <v>5.6189999999999998</v>
      </c>
      <c r="AR157" s="3">
        <v>5.0000000000000001E-3</v>
      </c>
      <c r="AS157" s="3">
        <v>0.19900000000000001</v>
      </c>
      <c r="AT157" s="3">
        <v>0.26</v>
      </c>
      <c r="AU157" s="3">
        <v>0.01</v>
      </c>
      <c r="AV157" s="3">
        <v>0.1</v>
      </c>
      <c r="AW157" s="3">
        <v>0.28899999999999998</v>
      </c>
      <c r="AX157" s="3">
        <v>0.11700000000000001</v>
      </c>
      <c r="AY157" s="3">
        <v>1.9E-2</v>
      </c>
      <c r="AZ157" s="3">
        <v>10.54</v>
      </c>
      <c r="BA157" s="3"/>
      <c r="BB157" s="3">
        <v>12.02</v>
      </c>
      <c r="BC157" s="3">
        <v>2876</v>
      </c>
      <c r="BD157" s="3"/>
      <c r="BE157" s="3"/>
      <c r="BF157" s="3">
        <v>0</v>
      </c>
      <c r="BH157" s="16">
        <v>32.51</v>
      </c>
      <c r="BI157" s="16">
        <f t="shared" si="111"/>
        <v>65.670199999999994</v>
      </c>
      <c r="BJ157" s="17">
        <f t="shared" si="112"/>
        <v>28.59</v>
      </c>
      <c r="BK157" s="17">
        <f t="shared" si="113"/>
        <v>58.5</v>
      </c>
      <c r="BM157" s="1">
        <f t="shared" si="114"/>
        <v>91.5</v>
      </c>
      <c r="BN157" s="1">
        <f t="shared" si="115"/>
        <v>59.6</v>
      </c>
      <c r="BO157" s="1">
        <f t="shared" si="116"/>
        <v>34.5</v>
      </c>
      <c r="BP157" s="62">
        <f t="shared" si="119"/>
        <v>0.68300000000000005</v>
      </c>
      <c r="BQ157" s="62">
        <f t="shared" si="117"/>
        <v>1.2969999999999999</v>
      </c>
      <c r="BS157" s="1">
        <v>0</v>
      </c>
      <c r="BT157" s="8"/>
      <c r="BV157" s="8"/>
      <c r="BW157" s="16">
        <f t="shared" si="120"/>
        <v>28.59</v>
      </c>
      <c r="BX157" s="16">
        <f t="shared" si="121"/>
        <v>58.5</v>
      </c>
      <c r="BY157" s="3">
        <f t="shared" si="122"/>
        <v>9.5</v>
      </c>
      <c r="BZ157" s="3">
        <f t="shared" si="123"/>
        <v>9.5</v>
      </c>
      <c r="CA157" s="3">
        <f t="shared" si="124"/>
        <v>9.5</v>
      </c>
      <c r="CB157" s="3">
        <f t="shared" si="125"/>
        <v>11.7</v>
      </c>
      <c r="CC157" s="3">
        <f t="shared" si="126"/>
        <v>10.6</v>
      </c>
      <c r="CD157" s="3">
        <f t="shared" si="127"/>
        <v>8.6</v>
      </c>
      <c r="CE157" s="3">
        <f t="shared" si="128"/>
        <v>6.2</v>
      </c>
      <c r="CF157" s="23">
        <f t="shared" si="129"/>
        <v>59.6</v>
      </c>
      <c r="CG157" s="1">
        <f t="shared" si="130"/>
        <v>17.3</v>
      </c>
      <c r="CH157" s="1">
        <f t="shared" si="131"/>
        <v>18.8</v>
      </c>
      <c r="CI157" s="1">
        <f t="shared" si="132"/>
        <v>21.5</v>
      </c>
      <c r="CJ157" s="1">
        <f t="shared" si="133"/>
        <v>26.5</v>
      </c>
      <c r="CK157" s="1">
        <f t="shared" si="134"/>
        <v>15.6</v>
      </c>
      <c r="CL157" s="1">
        <f t="shared" si="135"/>
        <v>9.3000000000000007</v>
      </c>
      <c r="CM157" s="1">
        <f t="shared" si="136"/>
        <v>6.6</v>
      </c>
      <c r="CN157" s="2">
        <f t="shared" si="137"/>
        <v>91.5</v>
      </c>
      <c r="CO157" s="1">
        <f t="shared" si="138"/>
        <v>-0.3</v>
      </c>
      <c r="CP157" s="1">
        <f t="shared" si="139"/>
        <v>-0.9</v>
      </c>
      <c r="CQ157" s="1">
        <f t="shared" si="140"/>
        <v>-1.1000000000000001</v>
      </c>
      <c r="CR157" s="1">
        <f t="shared" si="141"/>
        <v>-1.3</v>
      </c>
      <c r="CS157" s="1">
        <f t="shared" si="142"/>
        <v>6.2</v>
      </c>
      <c r="CT157" s="1">
        <f t="shared" si="143"/>
        <v>8.1</v>
      </c>
      <c r="CU157" s="1">
        <f t="shared" si="144"/>
        <v>5.6</v>
      </c>
      <c r="CV157" s="2">
        <f t="shared" si="145"/>
        <v>34.5</v>
      </c>
      <c r="CW157" s="18">
        <f t="shared" si="146"/>
        <v>0</v>
      </c>
      <c r="CX157" s="1">
        <f>ROUND(PPTest!K157,1)</f>
        <v>0</v>
      </c>
      <c r="CY157" s="17">
        <f t="shared" si="147"/>
        <v>1.92</v>
      </c>
      <c r="CZ157" s="17">
        <f t="shared" si="148"/>
        <v>4.97</v>
      </c>
      <c r="DA157" s="20">
        <f t="shared" si="149"/>
        <v>0.68300000000000005</v>
      </c>
      <c r="DB157" s="20">
        <f t="shared" si="150"/>
        <v>1.2969999999999999</v>
      </c>
      <c r="DC157" s="16">
        <f t="shared" si="151"/>
        <v>12.02</v>
      </c>
      <c r="DF157" s="1">
        <v>14.8</v>
      </c>
      <c r="DG157" s="1">
        <v>19.7</v>
      </c>
      <c r="DH157" s="1">
        <v>8.6999999999999993</v>
      </c>
      <c r="DW157" s="1">
        <v>11.1</v>
      </c>
      <c r="DX157" s="1">
        <v>19</v>
      </c>
      <c r="DY157" s="1">
        <v>0.2</v>
      </c>
    </row>
    <row r="158" spans="1:131" x14ac:dyDescent="0.2">
      <c r="A158" s="40">
        <v>34851</v>
      </c>
      <c r="B158" s="3">
        <v>152</v>
      </c>
      <c r="C158" s="3">
        <v>28.76</v>
      </c>
      <c r="D158" s="3">
        <v>54.57</v>
      </c>
      <c r="E158" s="3">
        <v>11.09</v>
      </c>
      <c r="F158" s="3">
        <v>63.38</v>
      </c>
      <c r="G158" s="3">
        <v>11.17</v>
      </c>
      <c r="H158" s="3">
        <v>11.16</v>
      </c>
      <c r="I158" s="3">
        <v>13.17</v>
      </c>
      <c r="J158" s="3">
        <v>12.64</v>
      </c>
      <c r="K158" s="3">
        <v>12.54</v>
      </c>
      <c r="L158" s="3">
        <v>11.48</v>
      </c>
      <c r="M158" s="3">
        <v>9.07</v>
      </c>
      <c r="N158" s="3">
        <v>6.806</v>
      </c>
      <c r="O158" s="3">
        <v>1E-3</v>
      </c>
      <c r="P158" s="16">
        <v>1.8591666666666669</v>
      </c>
      <c r="Q158" s="3">
        <v>0</v>
      </c>
      <c r="R158" s="3">
        <v>19.47</v>
      </c>
      <c r="S158" s="3">
        <v>1647</v>
      </c>
      <c r="T158" s="3">
        <v>94.9</v>
      </c>
      <c r="U158" s="3">
        <v>224</v>
      </c>
      <c r="V158" s="3">
        <v>21.86</v>
      </c>
      <c r="W158" s="3">
        <v>22.52</v>
      </c>
      <c r="X158" s="3">
        <v>26.77</v>
      </c>
      <c r="Y158" s="3">
        <v>25.55</v>
      </c>
      <c r="Z158" s="3">
        <v>23.38</v>
      </c>
      <c r="AA158" s="3">
        <v>16.38</v>
      </c>
      <c r="AB158" s="3">
        <v>9.84</v>
      </c>
      <c r="AC158" s="3">
        <v>7.21</v>
      </c>
      <c r="AD158" s="16">
        <v>4.7541666666666664</v>
      </c>
      <c r="AE158" s="3">
        <v>1217</v>
      </c>
      <c r="AF158" s="3">
        <v>1.6040000000000001</v>
      </c>
      <c r="AG158" s="3">
        <v>134</v>
      </c>
      <c r="AH158" s="3">
        <v>27.9</v>
      </c>
      <c r="AI158" s="3">
        <v>1701</v>
      </c>
      <c r="AJ158" s="3">
        <v>1.0580000000000001</v>
      </c>
      <c r="AK158" s="3">
        <v>0.99199999999999999</v>
      </c>
      <c r="AL158" s="3">
        <v>0.80400000000000005</v>
      </c>
      <c r="AM158" s="3">
        <v>0.88700000000000001</v>
      </c>
      <c r="AN158" s="3">
        <v>0.82899999999999996</v>
      </c>
      <c r="AO158" s="3">
        <v>7.35</v>
      </c>
      <c r="AP158" s="3">
        <v>8.58</v>
      </c>
      <c r="AQ158" s="3">
        <v>6.3810000000000002</v>
      </c>
      <c r="AR158" s="3">
        <v>3.3000000000000002E-2</v>
      </c>
      <c r="AS158" s="3">
        <v>0.26900000000000002</v>
      </c>
      <c r="AT158" s="3">
        <v>0.214</v>
      </c>
      <c r="AU158" s="3">
        <v>1.4999999999999999E-2</v>
      </c>
      <c r="AV158" s="3">
        <v>0.113</v>
      </c>
      <c r="AW158" s="3">
        <v>0.20100000000000001</v>
      </c>
      <c r="AX158" s="3">
        <v>9.1999999999999998E-2</v>
      </c>
      <c r="AY158" s="3">
        <v>6.0999999999999999E-2</v>
      </c>
      <c r="AZ158" s="3">
        <v>12.3</v>
      </c>
      <c r="BA158" s="3"/>
      <c r="BB158" s="3">
        <v>12.02</v>
      </c>
      <c r="BC158" s="3">
        <v>2876</v>
      </c>
      <c r="BD158" s="3"/>
      <c r="BE158" s="3"/>
      <c r="BF158" s="3">
        <v>0</v>
      </c>
      <c r="BH158" s="16">
        <v>32.590000000000003</v>
      </c>
      <c r="BI158" s="16">
        <f t="shared" si="111"/>
        <v>65.831800000000001</v>
      </c>
      <c r="BJ158" s="17">
        <f t="shared" si="112"/>
        <v>28.76</v>
      </c>
      <c r="BK158" s="17">
        <f t="shared" si="113"/>
        <v>58.94</v>
      </c>
      <c r="BM158" s="1">
        <f t="shared" si="114"/>
        <v>88.7</v>
      </c>
      <c r="BN158" s="1">
        <f t="shared" si="115"/>
        <v>59.6</v>
      </c>
      <c r="BO158" s="1">
        <f t="shared" si="116"/>
        <v>26.8</v>
      </c>
      <c r="BP158" s="62">
        <f t="shared" si="119"/>
        <v>0.60599999999999998</v>
      </c>
      <c r="BQ158" s="62">
        <f t="shared" si="117"/>
        <v>1.655</v>
      </c>
      <c r="BS158" s="1">
        <v>0</v>
      </c>
      <c r="BT158" s="8"/>
      <c r="BV158" s="8"/>
      <c r="BW158" s="16">
        <f t="shared" si="120"/>
        <v>28.76</v>
      </c>
      <c r="BX158" s="16">
        <f t="shared" si="121"/>
        <v>58.94</v>
      </c>
      <c r="BY158" s="3">
        <f t="shared" si="122"/>
        <v>11.1</v>
      </c>
      <c r="BZ158" s="3">
        <f t="shared" si="123"/>
        <v>11.2</v>
      </c>
      <c r="CA158" s="3">
        <f t="shared" si="124"/>
        <v>11.2</v>
      </c>
      <c r="CB158" s="3">
        <f t="shared" si="125"/>
        <v>13.2</v>
      </c>
      <c r="CC158" s="3">
        <f t="shared" si="126"/>
        <v>11.5</v>
      </c>
      <c r="CD158" s="3">
        <f t="shared" si="127"/>
        <v>9.1</v>
      </c>
      <c r="CE158" s="3">
        <f t="shared" si="128"/>
        <v>6.8</v>
      </c>
      <c r="CF158" s="23">
        <f t="shared" si="129"/>
        <v>59.6</v>
      </c>
      <c r="CG158" s="1">
        <f t="shared" si="130"/>
        <v>19.5</v>
      </c>
      <c r="CH158" s="1">
        <f t="shared" si="131"/>
        <v>21.9</v>
      </c>
      <c r="CI158" s="1">
        <f t="shared" si="132"/>
        <v>22.5</v>
      </c>
      <c r="CJ158" s="1">
        <f t="shared" si="133"/>
        <v>26.8</v>
      </c>
      <c r="CK158" s="1">
        <f t="shared" si="134"/>
        <v>16.399999999999999</v>
      </c>
      <c r="CL158" s="1">
        <f t="shared" si="135"/>
        <v>9.8000000000000007</v>
      </c>
      <c r="CM158" s="1">
        <f t="shared" si="136"/>
        <v>7.2</v>
      </c>
      <c r="CN158" s="2">
        <f t="shared" si="137"/>
        <v>88.7</v>
      </c>
      <c r="CO158" s="1">
        <f t="shared" si="138"/>
        <v>1.6</v>
      </c>
      <c r="CP158" s="1">
        <f t="shared" si="139"/>
        <v>1.1000000000000001</v>
      </c>
      <c r="CQ158" s="1">
        <f t="shared" si="140"/>
        <v>1</v>
      </c>
      <c r="CR158" s="1">
        <f t="shared" si="141"/>
        <v>0.8</v>
      </c>
      <c r="CS158" s="1">
        <f t="shared" si="142"/>
        <v>7.4</v>
      </c>
      <c r="CT158" s="1">
        <f t="shared" si="143"/>
        <v>8.6</v>
      </c>
      <c r="CU158" s="1">
        <f t="shared" si="144"/>
        <v>6.4</v>
      </c>
      <c r="CV158" s="2">
        <f t="shared" si="145"/>
        <v>26.8</v>
      </c>
      <c r="CW158" s="18">
        <f t="shared" si="146"/>
        <v>0</v>
      </c>
      <c r="CX158" s="1">
        <f>ROUND(PPTest!K158,1)</f>
        <v>0</v>
      </c>
      <c r="CY158" s="17">
        <f t="shared" si="147"/>
        <v>1.86</v>
      </c>
      <c r="CZ158" s="17">
        <f t="shared" si="148"/>
        <v>4.75</v>
      </c>
      <c r="DA158" s="20">
        <f t="shared" si="149"/>
        <v>0.60599999999999998</v>
      </c>
      <c r="DB158" s="20">
        <f t="shared" si="150"/>
        <v>1.655</v>
      </c>
      <c r="DC158" s="16">
        <f t="shared" si="151"/>
        <v>12.02</v>
      </c>
      <c r="DF158" s="1">
        <v>16</v>
      </c>
      <c r="DG158" s="1">
        <v>21.6</v>
      </c>
      <c r="DH158" s="1">
        <v>10.199999999999999</v>
      </c>
      <c r="DW158" s="1">
        <v>12.1</v>
      </c>
      <c r="DX158" s="1">
        <v>20.399999999999999</v>
      </c>
      <c r="DY158" s="1">
        <v>1.8</v>
      </c>
    </row>
    <row r="159" spans="1:131" x14ac:dyDescent="0.2">
      <c r="A159" s="40">
        <v>34852</v>
      </c>
      <c r="B159" s="3">
        <v>153</v>
      </c>
      <c r="C159" s="3">
        <v>19.25</v>
      </c>
      <c r="D159" s="3">
        <v>36.97</v>
      </c>
      <c r="E159" s="3">
        <v>11.2</v>
      </c>
      <c r="F159" s="3">
        <v>64.87</v>
      </c>
      <c r="G159" s="3">
        <v>11.09</v>
      </c>
      <c r="H159" s="3">
        <v>11.11</v>
      </c>
      <c r="I159" s="3">
        <v>12.5</v>
      </c>
      <c r="J159" s="3">
        <v>12.08</v>
      </c>
      <c r="K159" s="3">
        <v>12.02</v>
      </c>
      <c r="L159" s="3">
        <v>10.88</v>
      </c>
      <c r="M159" s="3">
        <v>9.51</v>
      </c>
      <c r="N159" s="3">
        <v>7.35</v>
      </c>
      <c r="O159" s="3">
        <v>1E-3</v>
      </c>
      <c r="P159" s="16">
        <v>1.7358333333333333</v>
      </c>
      <c r="Q159" s="3">
        <v>0</v>
      </c>
      <c r="R159" s="3">
        <v>17.32</v>
      </c>
      <c r="S159" s="3">
        <v>1013</v>
      </c>
      <c r="T159" s="3">
        <v>93.7</v>
      </c>
      <c r="U159" s="3">
        <v>428</v>
      </c>
      <c r="V159" s="3">
        <v>19.36</v>
      </c>
      <c r="W159" s="3">
        <v>20.39</v>
      </c>
      <c r="X159" s="3">
        <v>25.94</v>
      </c>
      <c r="Y159" s="3">
        <v>22.9</v>
      </c>
      <c r="Z159" s="3">
        <v>20.92</v>
      </c>
      <c r="AA159" s="3">
        <v>13.26</v>
      </c>
      <c r="AB159" s="3">
        <v>9.82</v>
      </c>
      <c r="AC159" s="3">
        <v>7.66</v>
      </c>
      <c r="AD159" s="16">
        <v>4.2341666666666669</v>
      </c>
      <c r="AE159" s="3">
        <v>1037</v>
      </c>
      <c r="AF159" s="3">
        <v>2.681</v>
      </c>
      <c r="AG159" s="3">
        <v>352</v>
      </c>
      <c r="AH159" s="3">
        <v>39.74</v>
      </c>
      <c r="AI159" s="3">
        <v>1020</v>
      </c>
      <c r="AJ159" s="3">
        <v>2.1080000000000001</v>
      </c>
      <c r="AK159" s="3">
        <v>1.9470000000000001</v>
      </c>
      <c r="AL159" s="3">
        <v>1.7430000000000001</v>
      </c>
      <c r="AM159" s="3">
        <v>1.861</v>
      </c>
      <c r="AN159" s="3">
        <v>1.841</v>
      </c>
      <c r="AO159" s="3">
        <v>8.1199999999999992</v>
      </c>
      <c r="AP159" s="3">
        <v>9.18</v>
      </c>
      <c r="AQ159" s="3">
        <v>6.9539999999999997</v>
      </c>
      <c r="AR159" s="3">
        <v>2.9000000000000001E-2</v>
      </c>
      <c r="AS159" s="3">
        <v>0.24199999999999999</v>
      </c>
      <c r="AT159" s="3">
        <v>0.26900000000000002</v>
      </c>
      <c r="AU159" s="3">
        <v>5.2999999999999999E-2</v>
      </c>
      <c r="AV159" s="3">
        <v>9.7000000000000003E-2</v>
      </c>
      <c r="AW159" s="3">
        <v>0.223</v>
      </c>
      <c r="AX159" s="3">
        <v>5.8000000000000003E-2</v>
      </c>
      <c r="AY159" s="3">
        <v>2.9000000000000001E-2</v>
      </c>
      <c r="AZ159" s="3">
        <v>11.97</v>
      </c>
      <c r="BA159" s="3"/>
      <c r="BB159" s="3">
        <v>12.01</v>
      </c>
      <c r="BC159" s="3">
        <v>2876</v>
      </c>
      <c r="BD159" s="3"/>
      <c r="BE159" s="3"/>
      <c r="BF159" s="3">
        <v>0</v>
      </c>
      <c r="BH159" s="16">
        <v>32.659999999999997</v>
      </c>
      <c r="BI159" s="16">
        <f t="shared" si="111"/>
        <v>65.973199999999991</v>
      </c>
      <c r="BJ159" s="17">
        <f t="shared" si="112"/>
        <v>19.25</v>
      </c>
      <c r="BK159" s="17">
        <f t="shared" si="113"/>
        <v>39.93</v>
      </c>
      <c r="BM159" s="1">
        <f t="shared" si="114"/>
        <v>87.6</v>
      </c>
      <c r="BN159" s="1">
        <f t="shared" si="115"/>
        <v>60.9</v>
      </c>
      <c r="BO159" s="1">
        <f t="shared" si="116"/>
        <v>37.700000000000003</v>
      </c>
      <c r="BP159" s="62">
        <f t="shared" si="119"/>
        <v>0.745</v>
      </c>
      <c r="BQ159" s="62">
        <f t="shared" si="117"/>
        <v>1.2310000000000001</v>
      </c>
      <c r="BS159" s="1">
        <v>0</v>
      </c>
      <c r="BT159" s="8"/>
      <c r="BV159" s="8"/>
      <c r="BW159" s="16">
        <f t="shared" si="120"/>
        <v>19.25</v>
      </c>
      <c r="BX159" s="16">
        <f t="shared" si="121"/>
        <v>39.93</v>
      </c>
      <c r="BY159" s="3">
        <f t="shared" si="122"/>
        <v>11.2</v>
      </c>
      <c r="BZ159" s="3">
        <f t="shared" si="123"/>
        <v>11.1</v>
      </c>
      <c r="CA159" s="3">
        <f t="shared" si="124"/>
        <v>11.1</v>
      </c>
      <c r="CB159" s="3">
        <f t="shared" si="125"/>
        <v>12.5</v>
      </c>
      <c r="CC159" s="3">
        <f t="shared" si="126"/>
        <v>10.9</v>
      </c>
      <c r="CD159" s="3">
        <f t="shared" si="127"/>
        <v>9.5</v>
      </c>
      <c r="CE159" s="3">
        <f t="shared" si="128"/>
        <v>7.4</v>
      </c>
      <c r="CF159" s="23">
        <f t="shared" si="129"/>
        <v>60.9</v>
      </c>
      <c r="CG159" s="1">
        <f t="shared" si="130"/>
        <v>17.3</v>
      </c>
      <c r="CH159" s="1">
        <f t="shared" si="131"/>
        <v>19.399999999999999</v>
      </c>
      <c r="CI159" s="1">
        <f t="shared" si="132"/>
        <v>20.399999999999999</v>
      </c>
      <c r="CJ159" s="1">
        <f t="shared" si="133"/>
        <v>25.9</v>
      </c>
      <c r="CK159" s="1">
        <f t="shared" si="134"/>
        <v>13.3</v>
      </c>
      <c r="CL159" s="1">
        <f t="shared" si="135"/>
        <v>9.8000000000000007</v>
      </c>
      <c r="CM159" s="1">
        <f t="shared" si="136"/>
        <v>7.7</v>
      </c>
      <c r="CN159" s="2">
        <f t="shared" si="137"/>
        <v>87.6</v>
      </c>
      <c r="CO159" s="1">
        <f t="shared" si="138"/>
        <v>2.7</v>
      </c>
      <c r="CP159" s="1">
        <f t="shared" si="139"/>
        <v>2.1</v>
      </c>
      <c r="CQ159" s="1">
        <f t="shared" si="140"/>
        <v>1.9</v>
      </c>
      <c r="CR159" s="1">
        <f t="shared" si="141"/>
        <v>1.7</v>
      </c>
      <c r="CS159" s="1">
        <f t="shared" si="142"/>
        <v>8.1</v>
      </c>
      <c r="CT159" s="1">
        <f t="shared" si="143"/>
        <v>9.1999999999999993</v>
      </c>
      <c r="CU159" s="1">
        <f t="shared" si="144"/>
        <v>7</v>
      </c>
      <c r="CV159" s="2">
        <f t="shared" si="145"/>
        <v>37.700000000000003</v>
      </c>
      <c r="CW159" s="18">
        <f t="shared" si="146"/>
        <v>0</v>
      </c>
      <c r="CX159" s="1">
        <f>ROUND(PPTest!K159,1)</f>
        <v>0</v>
      </c>
      <c r="CY159" s="17">
        <f t="shared" si="147"/>
        <v>1.74</v>
      </c>
      <c r="CZ159" s="17">
        <f t="shared" si="148"/>
        <v>4.2300000000000004</v>
      </c>
      <c r="DA159" s="20">
        <f t="shared" si="149"/>
        <v>0.745</v>
      </c>
      <c r="DB159" s="20">
        <f t="shared" si="150"/>
        <v>1.2310000000000001</v>
      </c>
      <c r="DC159" s="16">
        <f t="shared" si="151"/>
        <v>12.01</v>
      </c>
      <c r="DF159" s="1">
        <v>15.8</v>
      </c>
      <c r="DG159" s="1">
        <v>19.2</v>
      </c>
      <c r="DH159" s="1">
        <v>11.2</v>
      </c>
      <c r="DW159" s="1">
        <v>11.4</v>
      </c>
      <c r="DX159" s="1">
        <v>17.7</v>
      </c>
      <c r="DY159" s="1">
        <v>4.0999999999999996</v>
      </c>
    </row>
    <row r="160" spans="1:131" x14ac:dyDescent="0.2">
      <c r="A160" s="40">
        <v>34853</v>
      </c>
      <c r="B160" s="3">
        <v>154</v>
      </c>
      <c r="C160" s="3">
        <v>29.18</v>
      </c>
      <c r="D160" s="3">
        <v>56.06</v>
      </c>
      <c r="E160" s="3">
        <v>11.3</v>
      </c>
      <c r="F160" s="3">
        <v>67.39</v>
      </c>
      <c r="G160" s="3">
        <v>11.35</v>
      </c>
      <c r="H160" s="3">
        <v>11.31</v>
      </c>
      <c r="I160" s="3">
        <v>13.2</v>
      </c>
      <c r="J160" s="3">
        <v>12.75</v>
      </c>
      <c r="K160" s="3">
        <v>12.95</v>
      </c>
      <c r="L160" s="3">
        <v>11.74</v>
      </c>
      <c r="M160" s="3">
        <v>9.49</v>
      </c>
      <c r="N160" s="3">
        <v>7.74</v>
      </c>
      <c r="O160" s="3">
        <v>1E-3</v>
      </c>
      <c r="P160" s="16">
        <v>1.7591666666666668</v>
      </c>
      <c r="Q160" s="3">
        <v>0</v>
      </c>
      <c r="R160" s="3">
        <v>19.93</v>
      </c>
      <c r="S160" s="3">
        <v>1637</v>
      </c>
      <c r="T160" s="3">
        <v>99.4</v>
      </c>
      <c r="U160" s="3">
        <v>426</v>
      </c>
      <c r="V160" s="3">
        <v>21.57</v>
      </c>
      <c r="W160" s="3">
        <v>22.72</v>
      </c>
      <c r="X160" s="3">
        <v>27.17</v>
      </c>
      <c r="Y160" s="3">
        <v>24.69</v>
      </c>
      <c r="Z160" s="3">
        <v>24.9</v>
      </c>
      <c r="AA160" s="3">
        <v>16.75</v>
      </c>
      <c r="AB160" s="3">
        <v>10.24</v>
      </c>
      <c r="AC160" s="3">
        <v>8.08</v>
      </c>
      <c r="AD160" s="16">
        <v>4.2608333333333333</v>
      </c>
      <c r="AE160" s="3">
        <v>1330</v>
      </c>
      <c r="AF160" s="3">
        <v>1.5049999999999999</v>
      </c>
      <c r="AG160" s="3">
        <v>416</v>
      </c>
      <c r="AH160" s="3">
        <v>30.46</v>
      </c>
      <c r="AI160" s="3">
        <v>1637</v>
      </c>
      <c r="AJ160" s="3">
        <v>0.94899999999999995</v>
      </c>
      <c r="AK160" s="3">
        <v>0.83499999999999996</v>
      </c>
      <c r="AL160" s="3">
        <v>0.65300000000000002</v>
      </c>
      <c r="AM160" s="3">
        <v>0.69799999999999995</v>
      </c>
      <c r="AN160" s="3">
        <v>0.67500000000000004</v>
      </c>
      <c r="AO160" s="3">
        <v>7.42</v>
      </c>
      <c r="AP160" s="3">
        <v>9</v>
      </c>
      <c r="AQ160" s="3">
        <v>7.4</v>
      </c>
      <c r="AR160" s="3">
        <v>0.06</v>
      </c>
      <c r="AS160" s="3">
        <v>0.311</v>
      </c>
      <c r="AT160" s="3">
        <v>0.25800000000000001</v>
      </c>
      <c r="AU160" s="3">
        <v>3.5000000000000003E-2</v>
      </c>
      <c r="AV160" s="3">
        <v>8.7999999999999995E-2</v>
      </c>
      <c r="AW160" s="3">
        <v>0.14599999999999999</v>
      </c>
      <c r="AX160" s="3">
        <v>5.2999999999999999E-2</v>
      </c>
      <c r="AY160" s="3">
        <v>4.8000000000000001E-2</v>
      </c>
      <c r="AZ160" s="3">
        <v>12.68</v>
      </c>
      <c r="BA160" s="3"/>
      <c r="BB160" s="3">
        <v>12.01</v>
      </c>
      <c r="BC160" s="3">
        <v>2876</v>
      </c>
      <c r="BD160" s="3"/>
      <c r="BE160" s="3"/>
      <c r="BF160" s="3">
        <v>0</v>
      </c>
      <c r="BH160" s="16">
        <v>32.74</v>
      </c>
      <c r="BI160" s="16">
        <f t="shared" si="111"/>
        <v>66.134799999999998</v>
      </c>
      <c r="BJ160" s="17">
        <f t="shared" si="112"/>
        <v>29.18</v>
      </c>
      <c r="BK160" s="17">
        <f t="shared" si="113"/>
        <v>60.54</v>
      </c>
      <c r="BM160" s="1">
        <f t="shared" si="114"/>
        <v>92.8</v>
      </c>
      <c r="BN160" s="1">
        <f t="shared" si="115"/>
        <v>63.3</v>
      </c>
      <c r="BO160" s="1">
        <f t="shared" si="116"/>
        <v>29.1</v>
      </c>
      <c r="BP160" s="62">
        <f t="shared" si="119"/>
        <v>0.67700000000000005</v>
      </c>
      <c r="BQ160" s="62">
        <f t="shared" si="117"/>
        <v>1.649</v>
      </c>
      <c r="BS160" s="1">
        <v>0</v>
      </c>
      <c r="BT160" s="8"/>
      <c r="BV160" s="8"/>
      <c r="BW160" s="16">
        <f t="shared" si="120"/>
        <v>29.18</v>
      </c>
      <c r="BX160" s="16">
        <f t="shared" si="121"/>
        <v>60.54</v>
      </c>
      <c r="BY160" s="3">
        <f t="shared" si="122"/>
        <v>11.3</v>
      </c>
      <c r="BZ160" s="3">
        <f t="shared" si="123"/>
        <v>11.4</v>
      </c>
      <c r="CA160" s="3">
        <f t="shared" si="124"/>
        <v>11.3</v>
      </c>
      <c r="CB160" s="3">
        <f t="shared" si="125"/>
        <v>13.2</v>
      </c>
      <c r="CC160" s="3">
        <f t="shared" si="126"/>
        <v>11.7</v>
      </c>
      <c r="CD160" s="3">
        <f t="shared" si="127"/>
        <v>9.5</v>
      </c>
      <c r="CE160" s="3">
        <f t="shared" si="128"/>
        <v>7.7</v>
      </c>
      <c r="CF160" s="23">
        <f t="shared" si="129"/>
        <v>63.3</v>
      </c>
      <c r="CG160" s="1">
        <f t="shared" si="130"/>
        <v>19.899999999999999</v>
      </c>
      <c r="CH160" s="1">
        <f t="shared" si="131"/>
        <v>21.6</v>
      </c>
      <c r="CI160" s="1">
        <f t="shared" si="132"/>
        <v>22.7</v>
      </c>
      <c r="CJ160" s="1">
        <f t="shared" si="133"/>
        <v>27.2</v>
      </c>
      <c r="CK160" s="1">
        <f t="shared" si="134"/>
        <v>16.8</v>
      </c>
      <c r="CL160" s="1">
        <f t="shared" si="135"/>
        <v>10.199999999999999</v>
      </c>
      <c r="CM160" s="1">
        <f t="shared" si="136"/>
        <v>8.1</v>
      </c>
      <c r="CN160" s="2">
        <f t="shared" si="137"/>
        <v>92.8</v>
      </c>
      <c r="CO160" s="1">
        <f t="shared" si="138"/>
        <v>1.5</v>
      </c>
      <c r="CP160" s="1">
        <f t="shared" si="139"/>
        <v>0.9</v>
      </c>
      <c r="CQ160" s="1">
        <f t="shared" si="140"/>
        <v>0.8</v>
      </c>
      <c r="CR160" s="1">
        <f t="shared" si="141"/>
        <v>0.7</v>
      </c>
      <c r="CS160" s="1">
        <f t="shared" si="142"/>
        <v>7.4</v>
      </c>
      <c r="CT160" s="1">
        <f t="shared" si="143"/>
        <v>9</v>
      </c>
      <c r="CU160" s="1">
        <f t="shared" si="144"/>
        <v>7.4</v>
      </c>
      <c r="CV160" s="2">
        <f t="shared" si="145"/>
        <v>29.1</v>
      </c>
      <c r="CW160" s="18">
        <f t="shared" si="146"/>
        <v>0</v>
      </c>
      <c r="CX160" s="1">
        <f>ROUND(PPTest!K160,1)</f>
        <v>0</v>
      </c>
      <c r="CY160" s="17">
        <f t="shared" si="147"/>
        <v>1.76</v>
      </c>
      <c r="CZ160" s="17">
        <f t="shared" si="148"/>
        <v>4.26</v>
      </c>
      <c r="DA160" s="20">
        <f t="shared" si="149"/>
        <v>0.67700000000000005</v>
      </c>
      <c r="DB160" s="20">
        <f t="shared" si="150"/>
        <v>1.649</v>
      </c>
      <c r="DC160" s="16">
        <f t="shared" si="151"/>
        <v>12.01</v>
      </c>
      <c r="DF160" s="1">
        <v>15.9</v>
      </c>
      <c r="DG160" s="1">
        <v>22.2</v>
      </c>
      <c r="DH160" s="1">
        <v>9.4</v>
      </c>
      <c r="DW160" s="1">
        <v>12.1</v>
      </c>
      <c r="DX160" s="1">
        <v>19.899999999999999</v>
      </c>
      <c r="DY160" s="1">
        <v>1.6</v>
      </c>
    </row>
    <row r="161" spans="1:129" x14ac:dyDescent="0.2">
      <c r="A161" s="40">
        <v>34854</v>
      </c>
      <c r="B161" s="3">
        <v>155</v>
      </c>
      <c r="C161" s="3">
        <v>16.47</v>
      </c>
      <c r="D161" s="3">
        <v>32.69</v>
      </c>
      <c r="E161" s="3">
        <v>10.16</v>
      </c>
      <c r="F161" s="3">
        <v>75.400000000000006</v>
      </c>
      <c r="G161" s="3">
        <v>10.1</v>
      </c>
      <c r="H161" s="3">
        <v>10.1</v>
      </c>
      <c r="I161" s="3">
        <v>11.61</v>
      </c>
      <c r="J161" s="3">
        <v>10.92</v>
      </c>
      <c r="K161" s="3">
        <v>11.08</v>
      </c>
      <c r="L161" s="3">
        <v>11.13</v>
      </c>
      <c r="M161" s="3">
        <v>9.8800000000000008</v>
      </c>
      <c r="N161" s="3">
        <v>8.0500000000000007</v>
      </c>
      <c r="O161" s="3">
        <v>1E-3</v>
      </c>
      <c r="P161" s="16">
        <v>1.7791666666666666</v>
      </c>
      <c r="Q161" s="3">
        <v>6</v>
      </c>
      <c r="R161" s="3">
        <v>16.86</v>
      </c>
      <c r="S161" s="3">
        <v>1236</v>
      </c>
      <c r="T161" s="3">
        <v>105</v>
      </c>
      <c r="U161" s="3">
        <v>2238</v>
      </c>
      <c r="V161" s="3">
        <v>18.57</v>
      </c>
      <c r="W161" s="3">
        <v>19.739999999999998</v>
      </c>
      <c r="X161" s="3">
        <v>25.2</v>
      </c>
      <c r="Y161" s="3">
        <v>20.67</v>
      </c>
      <c r="Z161" s="3">
        <v>20.05</v>
      </c>
      <c r="AA161" s="3">
        <v>13.6</v>
      </c>
      <c r="AB161" s="3">
        <v>10.210000000000001</v>
      </c>
      <c r="AC161" s="3">
        <v>8.2799999999999994</v>
      </c>
      <c r="AD161" s="16">
        <v>5.7408333333333337</v>
      </c>
      <c r="AE161" s="3">
        <v>2211</v>
      </c>
      <c r="AF161" s="3">
        <v>3.3479999999999999</v>
      </c>
      <c r="AG161" s="3">
        <v>402</v>
      </c>
      <c r="AH161" s="3">
        <v>34.19</v>
      </c>
      <c r="AI161" s="3">
        <v>1237</v>
      </c>
      <c r="AJ161" s="3">
        <v>2.8340000000000001</v>
      </c>
      <c r="AK161" s="3">
        <v>2.7189999999999999</v>
      </c>
      <c r="AL161" s="3">
        <v>2.5830000000000002</v>
      </c>
      <c r="AM161" s="3">
        <v>2.7789999999999999</v>
      </c>
      <c r="AN161" s="3">
        <v>2.8239999999999998</v>
      </c>
      <c r="AO161" s="3">
        <v>8.57</v>
      </c>
      <c r="AP161" s="3">
        <v>9.5500000000000007</v>
      </c>
      <c r="AQ161" s="3">
        <v>7.77</v>
      </c>
      <c r="AR161" s="3">
        <v>2.1000000000000001E-2</v>
      </c>
      <c r="AS161" s="3">
        <v>0.184</v>
      </c>
      <c r="AT161" s="3">
        <v>0.124</v>
      </c>
      <c r="AU161" s="3">
        <v>3.2000000000000001E-2</v>
      </c>
      <c r="AV161" s="3">
        <v>0.13</v>
      </c>
      <c r="AW161" s="3">
        <v>0.38</v>
      </c>
      <c r="AX161" s="3">
        <v>0.10100000000000001</v>
      </c>
      <c r="AY161" s="3">
        <v>2.8000000000000001E-2</v>
      </c>
      <c r="AZ161" s="3">
        <v>10.91</v>
      </c>
      <c r="BA161" s="3"/>
      <c r="BB161" s="3">
        <v>12</v>
      </c>
      <c r="BC161" s="3">
        <v>2876</v>
      </c>
      <c r="BD161" s="3"/>
      <c r="BE161" s="3"/>
      <c r="BF161" s="3">
        <v>0</v>
      </c>
      <c r="BH161" s="16">
        <v>32.799999999999997</v>
      </c>
      <c r="BI161" s="16">
        <f t="shared" si="111"/>
        <v>66.256</v>
      </c>
      <c r="BJ161" s="17">
        <f t="shared" si="112"/>
        <v>16.47</v>
      </c>
      <c r="BK161" s="17">
        <f t="shared" si="113"/>
        <v>35.31</v>
      </c>
      <c r="BM161" s="1">
        <f t="shared" si="114"/>
        <v>98</v>
      </c>
      <c r="BN161" s="1">
        <f t="shared" si="115"/>
        <v>70.7</v>
      </c>
      <c r="BO161" s="1">
        <f t="shared" si="116"/>
        <v>32.6</v>
      </c>
      <c r="BP161" s="62">
        <f t="shared" si="119"/>
        <v>0.626</v>
      </c>
      <c r="BQ161" s="62">
        <f t="shared" si="117"/>
        <v>1.294</v>
      </c>
      <c r="BS161" s="1">
        <v>5.9</v>
      </c>
      <c r="BT161" s="8"/>
      <c r="BV161" s="8"/>
      <c r="BW161" s="16">
        <f t="shared" si="120"/>
        <v>16.47</v>
      </c>
      <c r="BX161" s="16">
        <f t="shared" si="121"/>
        <v>35.31</v>
      </c>
      <c r="BY161" s="3">
        <f t="shared" si="122"/>
        <v>10.199999999999999</v>
      </c>
      <c r="BZ161" s="3">
        <f t="shared" si="123"/>
        <v>10.1</v>
      </c>
      <c r="CA161" s="3">
        <f t="shared" si="124"/>
        <v>10.1</v>
      </c>
      <c r="CB161" s="3">
        <f t="shared" si="125"/>
        <v>11.6</v>
      </c>
      <c r="CC161" s="3">
        <f t="shared" si="126"/>
        <v>11.1</v>
      </c>
      <c r="CD161" s="3">
        <f t="shared" si="127"/>
        <v>9.9</v>
      </c>
      <c r="CE161" s="3">
        <f t="shared" si="128"/>
        <v>8.1</v>
      </c>
      <c r="CF161" s="23">
        <f t="shared" si="129"/>
        <v>70.7</v>
      </c>
      <c r="CG161" s="1">
        <f t="shared" si="130"/>
        <v>16.899999999999999</v>
      </c>
      <c r="CH161" s="1">
        <f t="shared" si="131"/>
        <v>18.600000000000001</v>
      </c>
      <c r="CI161" s="1">
        <f t="shared" si="132"/>
        <v>19.7</v>
      </c>
      <c r="CJ161" s="1">
        <f t="shared" si="133"/>
        <v>25.2</v>
      </c>
      <c r="CK161" s="1">
        <f t="shared" si="134"/>
        <v>13.6</v>
      </c>
      <c r="CL161" s="1">
        <f t="shared" si="135"/>
        <v>10.199999999999999</v>
      </c>
      <c r="CM161" s="1">
        <f t="shared" si="136"/>
        <v>8.3000000000000007</v>
      </c>
      <c r="CN161" s="2">
        <f t="shared" si="137"/>
        <v>98</v>
      </c>
      <c r="CO161" s="1">
        <f t="shared" si="138"/>
        <v>3.3</v>
      </c>
      <c r="CP161" s="1">
        <f t="shared" si="139"/>
        <v>2.8</v>
      </c>
      <c r="CQ161" s="1">
        <f t="shared" si="140"/>
        <v>2.7</v>
      </c>
      <c r="CR161" s="1">
        <f t="shared" si="141"/>
        <v>2.6</v>
      </c>
      <c r="CS161" s="1">
        <f t="shared" si="142"/>
        <v>8.6</v>
      </c>
      <c r="CT161" s="1">
        <f t="shared" si="143"/>
        <v>9.6</v>
      </c>
      <c r="CU161" s="1">
        <f t="shared" si="144"/>
        <v>7.8</v>
      </c>
      <c r="CV161" s="2">
        <f t="shared" si="145"/>
        <v>32.6</v>
      </c>
      <c r="CW161" s="18">
        <f t="shared" si="146"/>
        <v>0</v>
      </c>
      <c r="CX161" s="1">
        <f>ROUND(PPTest!K161,1)</f>
        <v>6</v>
      </c>
      <c r="CY161" s="17">
        <f t="shared" si="147"/>
        <v>1.78</v>
      </c>
      <c r="CZ161" s="17">
        <f t="shared" si="148"/>
        <v>5.74</v>
      </c>
      <c r="DA161" s="20">
        <f t="shared" si="149"/>
        <v>0.626</v>
      </c>
      <c r="DB161" s="20">
        <f t="shared" si="150"/>
        <v>1.294</v>
      </c>
      <c r="DC161" s="16">
        <f t="shared" si="151"/>
        <v>12</v>
      </c>
      <c r="DF161" s="1">
        <v>13.1</v>
      </c>
      <c r="DG161" s="1">
        <v>16.7</v>
      </c>
      <c r="DH161" s="1">
        <v>8.4</v>
      </c>
      <c r="DW161" s="1">
        <v>9.4</v>
      </c>
      <c r="DX161" s="1">
        <v>15.8</v>
      </c>
      <c r="DY161" s="1">
        <v>3.6</v>
      </c>
    </row>
    <row r="162" spans="1:129" x14ac:dyDescent="0.2">
      <c r="A162" s="40">
        <v>34855</v>
      </c>
      <c r="B162" s="3">
        <v>156</v>
      </c>
      <c r="C162" s="3">
        <v>5.3689999999999998</v>
      </c>
      <c r="D162" s="3">
        <v>11.07</v>
      </c>
      <c r="E162" s="3">
        <v>4.1950000000000003</v>
      </c>
      <c r="F162" s="3">
        <v>105.7</v>
      </c>
      <c r="G162" s="3">
        <v>4.0590000000000002</v>
      </c>
      <c r="H162" s="3">
        <v>4.117</v>
      </c>
      <c r="I162" s="3">
        <v>5.2809999999999997</v>
      </c>
      <c r="J162" s="3">
        <v>4.3559999999999999</v>
      </c>
      <c r="K162" s="3">
        <v>4.32</v>
      </c>
      <c r="L162" s="3">
        <v>8.81</v>
      </c>
      <c r="M162" s="3">
        <v>9.32</v>
      </c>
      <c r="N162" s="3">
        <v>8.24</v>
      </c>
      <c r="O162" s="3">
        <v>1E-3</v>
      </c>
      <c r="P162" s="16">
        <v>1.8774999999999999</v>
      </c>
      <c r="Q162" s="3">
        <v>17</v>
      </c>
      <c r="R162" s="3">
        <v>5.9390000000000001</v>
      </c>
      <c r="S162" s="3">
        <v>1</v>
      </c>
      <c r="T162" s="3">
        <v>106.6</v>
      </c>
      <c r="U162" s="3">
        <v>2351</v>
      </c>
      <c r="V162" s="3">
        <v>5.7930000000000001</v>
      </c>
      <c r="W162" s="3">
        <v>5.7779999999999996</v>
      </c>
      <c r="X162" s="3">
        <v>9.1199999999999992</v>
      </c>
      <c r="Y162" s="3">
        <v>6.21</v>
      </c>
      <c r="Z162" s="3">
        <v>5.7969999999999997</v>
      </c>
      <c r="AA162" s="3">
        <v>9.98</v>
      </c>
      <c r="AB162" s="3">
        <v>9.9600000000000009</v>
      </c>
      <c r="AC162" s="3">
        <v>8.34</v>
      </c>
      <c r="AD162" s="16">
        <v>4.4474999999999998</v>
      </c>
      <c r="AE162" s="3">
        <v>814</v>
      </c>
      <c r="AF162" s="3">
        <v>2.2839999999999998</v>
      </c>
      <c r="AG162" s="3">
        <v>2354</v>
      </c>
      <c r="AH162" s="3">
        <v>103.7</v>
      </c>
      <c r="AI162" s="3">
        <v>1111</v>
      </c>
      <c r="AJ162" s="3">
        <v>2.0750000000000002</v>
      </c>
      <c r="AK162" s="3">
        <v>2.0979999999999999</v>
      </c>
      <c r="AL162" s="3">
        <v>2.3740000000000001</v>
      </c>
      <c r="AM162" s="3">
        <v>2.1669999999999998</v>
      </c>
      <c r="AN162" s="3">
        <v>2.1339999999999999</v>
      </c>
      <c r="AO162" s="3">
        <v>6.9829999999999997</v>
      </c>
      <c r="AP162" s="3">
        <v>8.7200000000000006</v>
      </c>
      <c r="AQ162" s="3">
        <v>8.1199999999999992</v>
      </c>
      <c r="AR162" s="3">
        <v>1.7000000000000001E-2</v>
      </c>
      <c r="AS162" s="3">
        <v>5.2999999999999999E-2</v>
      </c>
      <c r="AT162" s="3">
        <v>8.5000000000000006E-2</v>
      </c>
      <c r="AU162" s="3">
        <v>0.02</v>
      </c>
      <c r="AV162" s="3">
        <v>0.111</v>
      </c>
      <c r="AW162" s="3">
        <v>0.57099999999999995</v>
      </c>
      <c r="AX162" s="3">
        <v>0.13200000000000001</v>
      </c>
      <c r="AY162" s="3">
        <v>1.0999999999999999E-2</v>
      </c>
      <c r="AZ162" s="3">
        <v>4.7690000000000001</v>
      </c>
      <c r="BA162" s="3"/>
      <c r="BB162" s="3">
        <v>11.98</v>
      </c>
      <c r="BC162" s="3">
        <v>2876</v>
      </c>
      <c r="BD162" s="3"/>
      <c r="BE162" s="3"/>
      <c r="BF162" s="3">
        <v>0</v>
      </c>
      <c r="BH162" s="16">
        <v>32.86</v>
      </c>
      <c r="BI162" s="16">
        <f t="shared" si="111"/>
        <v>66.377200000000002</v>
      </c>
      <c r="BJ162" s="17">
        <f t="shared" si="112"/>
        <v>5.37</v>
      </c>
      <c r="BK162" s="17">
        <f t="shared" si="113"/>
        <v>11.96</v>
      </c>
      <c r="BM162" s="1">
        <f t="shared" si="114"/>
        <v>99.5</v>
      </c>
      <c r="BN162" s="1">
        <f t="shared" si="115"/>
        <v>98.7</v>
      </c>
      <c r="BO162" s="1">
        <f t="shared" si="116"/>
        <v>96.8</v>
      </c>
      <c r="BP162" s="62">
        <f t="shared" si="119"/>
        <v>0.90100000000000002</v>
      </c>
      <c r="BQ162" s="62">
        <f t="shared" si="117"/>
        <v>0.03</v>
      </c>
      <c r="BS162" s="1">
        <v>30.9</v>
      </c>
      <c r="BT162" s="8"/>
      <c r="BV162" s="8"/>
      <c r="BW162" s="16">
        <f t="shared" si="120"/>
        <v>5.37</v>
      </c>
      <c r="BX162" s="16">
        <f t="shared" si="121"/>
        <v>11.96</v>
      </c>
      <c r="BY162" s="3">
        <f t="shared" si="122"/>
        <v>4.2</v>
      </c>
      <c r="BZ162" s="3">
        <f t="shared" si="123"/>
        <v>4.0999999999999996</v>
      </c>
      <c r="CA162" s="3">
        <f t="shared" si="124"/>
        <v>4.0999999999999996</v>
      </c>
      <c r="CB162" s="3">
        <f t="shared" si="125"/>
        <v>5.3</v>
      </c>
      <c r="CC162" s="3">
        <f t="shared" si="126"/>
        <v>8.8000000000000007</v>
      </c>
      <c r="CD162" s="3">
        <f t="shared" si="127"/>
        <v>9.3000000000000007</v>
      </c>
      <c r="CE162" s="3">
        <f t="shared" si="128"/>
        <v>8.1999999999999993</v>
      </c>
      <c r="CF162" s="23">
        <f t="shared" si="129"/>
        <v>98.7</v>
      </c>
      <c r="CG162" s="1">
        <f t="shared" si="130"/>
        <v>5.9</v>
      </c>
      <c r="CH162" s="1">
        <f t="shared" si="131"/>
        <v>5.8</v>
      </c>
      <c r="CI162" s="1">
        <f t="shared" si="132"/>
        <v>5.8</v>
      </c>
      <c r="CJ162" s="1">
        <f t="shared" si="133"/>
        <v>9.1</v>
      </c>
      <c r="CK162" s="1">
        <f t="shared" si="134"/>
        <v>10</v>
      </c>
      <c r="CL162" s="1">
        <f t="shared" si="135"/>
        <v>10</v>
      </c>
      <c r="CM162" s="1">
        <f t="shared" si="136"/>
        <v>8.3000000000000007</v>
      </c>
      <c r="CN162" s="2">
        <f t="shared" si="137"/>
        <v>99.5</v>
      </c>
      <c r="CO162" s="1">
        <f t="shared" si="138"/>
        <v>2.2999999999999998</v>
      </c>
      <c r="CP162" s="1">
        <f t="shared" si="139"/>
        <v>2.1</v>
      </c>
      <c r="CQ162" s="1">
        <f t="shared" si="140"/>
        <v>2.1</v>
      </c>
      <c r="CR162" s="1">
        <f t="shared" si="141"/>
        <v>2.4</v>
      </c>
      <c r="CS162" s="1">
        <f t="shared" si="142"/>
        <v>7</v>
      </c>
      <c r="CT162" s="1">
        <f t="shared" si="143"/>
        <v>8.6999999999999993</v>
      </c>
      <c r="CU162" s="1">
        <f t="shared" si="144"/>
        <v>8.1</v>
      </c>
      <c r="CV162" s="2">
        <f t="shared" si="145"/>
        <v>96.8</v>
      </c>
      <c r="CW162" s="18">
        <f t="shared" si="146"/>
        <v>0</v>
      </c>
      <c r="CX162" s="1">
        <f>ROUND(PPTest!K162,1)</f>
        <v>17</v>
      </c>
      <c r="CY162" s="17">
        <f t="shared" si="147"/>
        <v>1.88</v>
      </c>
      <c r="CZ162" s="17">
        <f t="shared" si="148"/>
        <v>4.45</v>
      </c>
      <c r="DA162" s="20">
        <f t="shared" si="149"/>
        <v>0.90100000000000002</v>
      </c>
      <c r="DB162" s="20">
        <f t="shared" si="150"/>
        <v>0.03</v>
      </c>
      <c r="DC162" s="16">
        <f t="shared" si="151"/>
        <v>11.98</v>
      </c>
      <c r="DF162" s="1">
        <v>6.2</v>
      </c>
      <c r="DG162" s="1">
        <v>8.1999999999999993</v>
      </c>
      <c r="DH162" s="1">
        <v>4.7</v>
      </c>
      <c r="DW162" s="1">
        <v>2.5</v>
      </c>
      <c r="DX162" s="1">
        <v>5.7</v>
      </c>
      <c r="DY162" s="1">
        <v>0</v>
      </c>
    </row>
    <row r="163" spans="1:129" x14ac:dyDescent="0.2">
      <c r="A163" s="40">
        <v>34856</v>
      </c>
      <c r="B163" s="3">
        <v>157</v>
      </c>
      <c r="C163" s="3">
        <v>7.95</v>
      </c>
      <c r="D163" s="3">
        <v>16.23</v>
      </c>
      <c r="E163" s="3">
        <v>4.8929999999999998</v>
      </c>
      <c r="F163" s="3">
        <v>106.1</v>
      </c>
      <c r="G163" s="3">
        <v>4.798</v>
      </c>
      <c r="H163" s="3">
        <v>4.758</v>
      </c>
      <c r="I163" s="3">
        <v>5.258</v>
      </c>
      <c r="J163" s="3">
        <v>4.891</v>
      </c>
      <c r="K163" s="3">
        <v>4.976</v>
      </c>
      <c r="L163" s="3">
        <v>6.9219999999999997</v>
      </c>
      <c r="M163" s="3">
        <v>7.5</v>
      </c>
      <c r="N163" s="3">
        <v>8.2200000000000006</v>
      </c>
      <c r="O163" s="3">
        <v>1E-3</v>
      </c>
      <c r="P163" s="16">
        <v>1.8808333333333336</v>
      </c>
      <c r="Q163" s="3">
        <v>0</v>
      </c>
      <c r="R163" s="3">
        <v>7.59</v>
      </c>
      <c r="S163" s="3">
        <v>1851</v>
      </c>
      <c r="T163" s="3">
        <v>106.8</v>
      </c>
      <c r="U163" s="3">
        <v>1042</v>
      </c>
      <c r="V163" s="3">
        <v>8.11</v>
      </c>
      <c r="W163" s="3">
        <v>8.0399999999999991</v>
      </c>
      <c r="X163" s="3">
        <v>9.93</v>
      </c>
      <c r="Y163" s="3">
        <v>7.98</v>
      </c>
      <c r="Z163" s="3">
        <v>8.8800000000000008</v>
      </c>
      <c r="AA163" s="3">
        <v>8.27</v>
      </c>
      <c r="AB163" s="3">
        <v>7.82</v>
      </c>
      <c r="AC163" s="3">
        <v>8.34</v>
      </c>
      <c r="AD163" s="16">
        <v>4.9408333333333339</v>
      </c>
      <c r="AE163" s="3">
        <v>1105</v>
      </c>
      <c r="AF163" s="3">
        <v>0.56599999999999995</v>
      </c>
      <c r="AG163" s="3">
        <v>0</v>
      </c>
      <c r="AH163" s="3">
        <v>104.9</v>
      </c>
      <c r="AI163" s="3">
        <v>1854</v>
      </c>
      <c r="AJ163" s="3">
        <v>-5.5E-2</v>
      </c>
      <c r="AK163" s="3">
        <v>-0.193</v>
      </c>
      <c r="AL163" s="3">
        <v>-0.505</v>
      </c>
      <c r="AM163" s="3">
        <v>-0.251</v>
      </c>
      <c r="AN163" s="3">
        <v>-0.23899999999999999</v>
      </c>
      <c r="AO163" s="3">
        <v>5.1689999999999996</v>
      </c>
      <c r="AP163" s="3">
        <v>7.3</v>
      </c>
      <c r="AQ163" s="3">
        <v>7.94</v>
      </c>
      <c r="AR163" s="3">
        <v>4.3999999999999997E-2</v>
      </c>
      <c r="AS163" s="3">
        <v>0.17199999999999999</v>
      </c>
      <c r="AT163" s="3">
        <v>0.16</v>
      </c>
      <c r="AU163" s="3">
        <v>3.5999999999999997E-2</v>
      </c>
      <c r="AV163" s="3">
        <v>0.19900000000000001</v>
      </c>
      <c r="AW163" s="3">
        <v>0.28000000000000003</v>
      </c>
      <c r="AX163" s="3">
        <v>8.6999999999999994E-2</v>
      </c>
      <c r="AY163" s="3">
        <v>2.3E-2</v>
      </c>
      <c r="AZ163" s="3">
        <v>5.1669999999999998</v>
      </c>
      <c r="BA163" s="3"/>
      <c r="BB163" s="3">
        <v>11.97</v>
      </c>
      <c r="BC163" s="3">
        <v>2876</v>
      </c>
      <c r="BD163" s="3"/>
      <c r="BE163" s="3"/>
      <c r="BF163" s="3">
        <v>0</v>
      </c>
      <c r="BH163" s="16">
        <v>32.92</v>
      </c>
      <c r="BI163" s="16">
        <f t="shared" si="111"/>
        <v>66.498400000000004</v>
      </c>
      <c r="BJ163" s="17">
        <f t="shared" si="112"/>
        <v>7.95</v>
      </c>
      <c r="BK163" s="17">
        <f t="shared" si="113"/>
        <v>17.53</v>
      </c>
      <c r="BM163" s="1">
        <f t="shared" si="114"/>
        <v>99.7</v>
      </c>
      <c r="BN163" s="1">
        <f t="shared" si="115"/>
        <v>99</v>
      </c>
      <c r="BO163" s="1">
        <f t="shared" si="116"/>
        <v>97.9</v>
      </c>
      <c r="BP163" s="62">
        <f t="shared" si="119"/>
        <v>1.0209999999999999</v>
      </c>
      <c r="BQ163" s="62">
        <f t="shared" si="117"/>
        <v>2.1999999999999999E-2</v>
      </c>
      <c r="BS163" s="1">
        <v>16.5</v>
      </c>
      <c r="BT163" s="8"/>
      <c r="BV163" s="8"/>
      <c r="BW163" s="16">
        <f t="shared" si="120"/>
        <v>7.95</v>
      </c>
      <c r="BX163" s="16">
        <f t="shared" si="121"/>
        <v>17.53</v>
      </c>
      <c r="BY163" s="3">
        <f t="shared" si="122"/>
        <v>4.9000000000000004</v>
      </c>
      <c r="BZ163" s="3">
        <f t="shared" si="123"/>
        <v>4.8</v>
      </c>
      <c r="CA163" s="3">
        <f t="shared" si="124"/>
        <v>4.8</v>
      </c>
      <c r="CB163" s="3">
        <f t="shared" si="125"/>
        <v>5.3</v>
      </c>
      <c r="CC163" s="3">
        <f t="shared" si="126"/>
        <v>6.9</v>
      </c>
      <c r="CD163" s="3">
        <f t="shared" si="127"/>
        <v>7.5</v>
      </c>
      <c r="CE163" s="3">
        <f t="shared" si="128"/>
        <v>8.1999999999999993</v>
      </c>
      <c r="CF163" s="23">
        <f t="shared" si="129"/>
        <v>99</v>
      </c>
      <c r="CG163" s="1">
        <f t="shared" si="130"/>
        <v>7.6</v>
      </c>
      <c r="CH163" s="1">
        <f t="shared" si="131"/>
        <v>8.1</v>
      </c>
      <c r="CI163" s="1">
        <f t="shared" si="132"/>
        <v>8</v>
      </c>
      <c r="CJ163" s="1">
        <f t="shared" si="133"/>
        <v>9.9</v>
      </c>
      <c r="CK163" s="1">
        <f t="shared" si="134"/>
        <v>8.3000000000000007</v>
      </c>
      <c r="CL163" s="1">
        <f t="shared" si="135"/>
        <v>7.8</v>
      </c>
      <c r="CM163" s="1">
        <f t="shared" si="136"/>
        <v>8.3000000000000007</v>
      </c>
      <c r="CN163" s="2">
        <f t="shared" si="137"/>
        <v>99.7</v>
      </c>
      <c r="CO163" s="1">
        <f t="shared" si="138"/>
        <v>0.6</v>
      </c>
      <c r="CP163" s="1">
        <f t="shared" si="139"/>
        <v>-0.1</v>
      </c>
      <c r="CQ163" s="1">
        <f t="shared" si="140"/>
        <v>-0.2</v>
      </c>
      <c r="CR163" s="1">
        <f t="shared" si="141"/>
        <v>-0.5</v>
      </c>
      <c r="CS163" s="1">
        <f t="shared" si="142"/>
        <v>5.2</v>
      </c>
      <c r="CT163" s="1">
        <f t="shared" si="143"/>
        <v>7.3</v>
      </c>
      <c r="CU163" s="1">
        <f t="shared" si="144"/>
        <v>7.9</v>
      </c>
      <c r="CV163" s="2">
        <f t="shared" si="145"/>
        <v>97.9</v>
      </c>
      <c r="CW163" s="18">
        <f t="shared" si="146"/>
        <v>0</v>
      </c>
      <c r="CX163" s="1">
        <f>ROUND(PPTest!K163,1)</f>
        <v>0</v>
      </c>
      <c r="CY163" s="17">
        <f t="shared" si="147"/>
        <v>1.88</v>
      </c>
      <c r="CZ163" s="17">
        <f t="shared" si="148"/>
        <v>4.9400000000000004</v>
      </c>
      <c r="DA163" s="20">
        <f t="shared" si="149"/>
        <v>1.0209999999999999</v>
      </c>
      <c r="DB163" s="20">
        <f t="shared" si="150"/>
        <v>2.1999999999999999E-2</v>
      </c>
      <c r="DC163" s="16">
        <f t="shared" si="151"/>
        <v>11.97</v>
      </c>
      <c r="DF163" s="1">
        <v>5.8</v>
      </c>
      <c r="DG163" s="1">
        <v>8.1</v>
      </c>
      <c r="DH163" s="1">
        <v>3.7</v>
      </c>
      <c r="DW163" s="1">
        <v>1.9</v>
      </c>
      <c r="DX163" s="1">
        <v>5.7</v>
      </c>
      <c r="DY163" s="1">
        <v>0</v>
      </c>
    </row>
    <row r="164" spans="1:129" x14ac:dyDescent="0.2">
      <c r="A164" s="40">
        <v>34857</v>
      </c>
      <c r="B164" s="3">
        <v>158</v>
      </c>
      <c r="C164" s="3">
        <v>29.15</v>
      </c>
      <c r="D164" s="3">
        <v>54.51</v>
      </c>
      <c r="E164" s="3">
        <v>8.7100000000000009</v>
      </c>
      <c r="F164" s="3">
        <v>68.62</v>
      </c>
      <c r="G164" s="3">
        <v>8.75</v>
      </c>
      <c r="H164" s="3">
        <v>8.64</v>
      </c>
      <c r="I164" s="3">
        <v>9.56</v>
      </c>
      <c r="J164" s="3">
        <v>9.81</v>
      </c>
      <c r="K164" s="3">
        <v>10.11</v>
      </c>
      <c r="L164" s="3">
        <v>9.4499999999999993</v>
      </c>
      <c r="M164" s="3">
        <v>7.45</v>
      </c>
      <c r="N164" s="3">
        <v>7.8</v>
      </c>
      <c r="O164" s="3">
        <v>1E-3</v>
      </c>
      <c r="P164" s="16">
        <v>2.0541666666666667</v>
      </c>
      <c r="Q164" s="3">
        <v>0</v>
      </c>
      <c r="R164" s="3">
        <v>16.36</v>
      </c>
      <c r="S164" s="3">
        <v>1524</v>
      </c>
      <c r="T164" s="3">
        <v>106.9</v>
      </c>
      <c r="U164" s="3">
        <v>133</v>
      </c>
      <c r="V164" s="3">
        <v>18.940000000000001</v>
      </c>
      <c r="W164" s="3">
        <v>18.52</v>
      </c>
      <c r="X164" s="3">
        <v>22.35</v>
      </c>
      <c r="Y164" s="3">
        <v>22.68</v>
      </c>
      <c r="Z164" s="3">
        <v>21.65</v>
      </c>
      <c r="AA164" s="3">
        <v>15.18</v>
      </c>
      <c r="AB164" s="3">
        <v>8.39</v>
      </c>
      <c r="AC164" s="3">
        <v>7.95</v>
      </c>
      <c r="AD164" s="16">
        <v>4.9675000000000002</v>
      </c>
      <c r="AE164" s="3">
        <v>818</v>
      </c>
      <c r="AF164" s="3">
        <v>0.182</v>
      </c>
      <c r="AG164" s="3">
        <v>112</v>
      </c>
      <c r="AH164" s="3">
        <v>27.44</v>
      </c>
      <c r="AI164" s="3">
        <v>1710</v>
      </c>
      <c r="AJ164" s="3">
        <v>-0.39800000000000002</v>
      </c>
      <c r="AK164" s="3">
        <v>-0.59399999999999997</v>
      </c>
      <c r="AL164" s="3">
        <v>-0.75600000000000001</v>
      </c>
      <c r="AM164" s="3">
        <v>-0.64</v>
      </c>
      <c r="AN164" s="3">
        <v>-0.67400000000000004</v>
      </c>
      <c r="AO164" s="3">
        <v>4.4630000000000001</v>
      </c>
      <c r="AP164" s="3">
        <v>6.9089999999999998</v>
      </c>
      <c r="AQ164" s="3">
        <v>7.42</v>
      </c>
      <c r="AR164" s="3">
        <v>0.16700000000000001</v>
      </c>
      <c r="AS164" s="3">
        <v>0.47299999999999998</v>
      </c>
      <c r="AT164" s="3">
        <v>0.184</v>
      </c>
      <c r="AU164" s="3">
        <v>1.7000000000000001E-2</v>
      </c>
      <c r="AV164" s="3">
        <v>0.01</v>
      </c>
      <c r="AW164" s="3">
        <v>0.02</v>
      </c>
      <c r="AX164" s="3">
        <v>3.5000000000000003E-2</v>
      </c>
      <c r="AY164" s="3">
        <v>9.2999999999999999E-2</v>
      </c>
      <c r="AZ164" s="3">
        <v>9.4</v>
      </c>
      <c r="BA164" s="3"/>
      <c r="BB164" s="3">
        <v>12</v>
      </c>
      <c r="BC164" s="3">
        <v>2876</v>
      </c>
      <c r="BD164" s="3"/>
      <c r="BE164" s="3"/>
      <c r="BF164" s="3">
        <v>0</v>
      </c>
      <c r="BH164" s="16">
        <v>32.97</v>
      </c>
      <c r="BI164" s="16">
        <f t="shared" si="111"/>
        <v>66.599400000000003</v>
      </c>
      <c r="BJ164" s="17">
        <f t="shared" si="112"/>
        <v>29.15</v>
      </c>
      <c r="BK164" s="17">
        <f t="shared" si="113"/>
        <v>58.87</v>
      </c>
      <c r="BM164" s="1">
        <f t="shared" si="114"/>
        <v>99.8</v>
      </c>
      <c r="BN164" s="1">
        <f t="shared" si="115"/>
        <v>64.400000000000006</v>
      </c>
      <c r="BO164" s="1">
        <f t="shared" si="116"/>
        <v>26.4</v>
      </c>
      <c r="BP164" s="62">
        <f t="shared" si="119"/>
        <v>0.49099999999999999</v>
      </c>
      <c r="BQ164" s="62">
        <f t="shared" si="117"/>
        <v>1.369</v>
      </c>
      <c r="BS164" s="1">
        <v>0</v>
      </c>
      <c r="BT164" s="8"/>
      <c r="BV164" s="8"/>
      <c r="BW164" s="16">
        <f t="shared" si="120"/>
        <v>29.15</v>
      </c>
      <c r="BX164" s="16">
        <f t="shared" si="121"/>
        <v>58.87</v>
      </c>
      <c r="BY164" s="3">
        <f t="shared" si="122"/>
        <v>8.6999999999999993</v>
      </c>
      <c r="BZ164" s="3">
        <f t="shared" si="123"/>
        <v>8.8000000000000007</v>
      </c>
      <c r="CA164" s="3">
        <f t="shared" si="124"/>
        <v>8.6</v>
      </c>
      <c r="CB164" s="3">
        <f t="shared" si="125"/>
        <v>9.6</v>
      </c>
      <c r="CC164" s="3">
        <f t="shared" si="126"/>
        <v>9.5</v>
      </c>
      <c r="CD164" s="3">
        <f t="shared" si="127"/>
        <v>7.5</v>
      </c>
      <c r="CE164" s="3">
        <f t="shared" si="128"/>
        <v>7.8</v>
      </c>
      <c r="CF164" s="23">
        <f t="shared" si="129"/>
        <v>64.400000000000006</v>
      </c>
      <c r="CG164" s="1">
        <f t="shared" si="130"/>
        <v>16.399999999999999</v>
      </c>
      <c r="CH164" s="1">
        <f t="shared" si="131"/>
        <v>18.899999999999999</v>
      </c>
      <c r="CI164" s="1">
        <f t="shared" si="132"/>
        <v>18.5</v>
      </c>
      <c r="CJ164" s="1">
        <f t="shared" si="133"/>
        <v>22.4</v>
      </c>
      <c r="CK164" s="1">
        <f t="shared" si="134"/>
        <v>15.2</v>
      </c>
      <c r="CL164" s="1">
        <f t="shared" si="135"/>
        <v>8.4</v>
      </c>
      <c r="CM164" s="1">
        <f t="shared" si="136"/>
        <v>8</v>
      </c>
      <c r="CN164" s="2">
        <f t="shared" si="137"/>
        <v>99.8</v>
      </c>
      <c r="CO164" s="1">
        <f t="shared" si="138"/>
        <v>0.2</v>
      </c>
      <c r="CP164" s="1">
        <f t="shared" si="139"/>
        <v>-0.4</v>
      </c>
      <c r="CQ164" s="1">
        <f t="shared" si="140"/>
        <v>-0.6</v>
      </c>
      <c r="CR164" s="1">
        <f t="shared" si="141"/>
        <v>-0.8</v>
      </c>
      <c r="CS164" s="1">
        <f t="shared" si="142"/>
        <v>4.5</v>
      </c>
      <c r="CT164" s="1">
        <f t="shared" si="143"/>
        <v>6.9</v>
      </c>
      <c r="CU164" s="1">
        <f t="shared" si="144"/>
        <v>7.4</v>
      </c>
      <c r="CV164" s="2">
        <f t="shared" si="145"/>
        <v>26.4</v>
      </c>
      <c r="CW164" s="18">
        <f t="shared" si="146"/>
        <v>0</v>
      </c>
      <c r="CX164" s="1">
        <f>ROUND(PPTest!K164,1)</f>
        <v>0</v>
      </c>
      <c r="CY164" s="17">
        <f t="shared" si="147"/>
        <v>2.0499999999999998</v>
      </c>
      <c r="CZ164" s="17">
        <f t="shared" si="148"/>
        <v>4.97</v>
      </c>
      <c r="DA164" s="20">
        <f t="shared" si="149"/>
        <v>0.49099999999999999</v>
      </c>
      <c r="DB164" s="20">
        <f t="shared" si="150"/>
        <v>1.369</v>
      </c>
      <c r="DC164" s="16">
        <f t="shared" si="151"/>
        <v>12</v>
      </c>
      <c r="DF164" s="1">
        <v>11.7</v>
      </c>
      <c r="DG164" s="1">
        <v>18.100000000000001</v>
      </c>
      <c r="DH164" s="1">
        <v>5.8</v>
      </c>
      <c r="DW164" s="1">
        <v>8.3000000000000007</v>
      </c>
      <c r="DX164" s="1">
        <v>14</v>
      </c>
      <c r="DY164" s="1">
        <v>2.5</v>
      </c>
    </row>
    <row r="165" spans="1:129" x14ac:dyDescent="0.2">
      <c r="A165" s="40">
        <v>34858</v>
      </c>
      <c r="B165" s="3">
        <v>159</v>
      </c>
      <c r="C165" s="3">
        <v>32.32</v>
      </c>
      <c r="D165" s="3">
        <v>60.16</v>
      </c>
      <c r="E165" s="3">
        <v>9.7100000000000009</v>
      </c>
      <c r="F165" s="3">
        <v>51.53</v>
      </c>
      <c r="G165" s="3">
        <v>9.51</v>
      </c>
      <c r="H165" s="3">
        <v>9.4</v>
      </c>
      <c r="I165" s="3">
        <v>9.77</v>
      </c>
      <c r="J165" s="3">
        <v>10.44</v>
      </c>
      <c r="K165" s="3">
        <v>10.77</v>
      </c>
      <c r="L165" s="3">
        <v>10.6</v>
      </c>
      <c r="M165" s="3">
        <v>8.3000000000000007</v>
      </c>
      <c r="N165" s="3">
        <v>7.38</v>
      </c>
      <c r="O165" s="3">
        <v>1E-3</v>
      </c>
      <c r="P165" s="16">
        <v>2.4241666666666668</v>
      </c>
      <c r="Q165" s="3">
        <v>0</v>
      </c>
      <c r="R165" s="3">
        <v>17.850000000000001</v>
      </c>
      <c r="S165" s="3">
        <v>1637</v>
      </c>
      <c r="T165" s="3">
        <v>97.9</v>
      </c>
      <c r="U165" s="3">
        <v>328</v>
      </c>
      <c r="V165" s="3">
        <v>19.2</v>
      </c>
      <c r="W165" s="3">
        <v>20.09</v>
      </c>
      <c r="X165" s="3">
        <v>22.94</v>
      </c>
      <c r="Y165" s="3">
        <v>22.25</v>
      </c>
      <c r="Z165" s="3">
        <v>22.49</v>
      </c>
      <c r="AA165" s="3">
        <v>16.239999999999998</v>
      </c>
      <c r="AB165" s="3">
        <v>9.07</v>
      </c>
      <c r="AC165" s="3">
        <v>7.6</v>
      </c>
      <c r="AD165" s="16">
        <v>5.7541666666666664</v>
      </c>
      <c r="AE165" s="3">
        <v>1457</v>
      </c>
      <c r="AF165" s="3">
        <v>-1.0489999999999999</v>
      </c>
      <c r="AG165" s="3">
        <v>327</v>
      </c>
      <c r="AH165" s="3">
        <v>17.16</v>
      </c>
      <c r="AI165" s="3">
        <v>1627</v>
      </c>
      <c r="AJ165" s="3">
        <v>-1.581</v>
      </c>
      <c r="AK165" s="3">
        <v>-1.83</v>
      </c>
      <c r="AL165" s="3">
        <v>-2.2559999999999998</v>
      </c>
      <c r="AM165" s="3">
        <v>-1.5269999999999999</v>
      </c>
      <c r="AN165" s="3">
        <v>-1.395</v>
      </c>
      <c r="AO165" s="3">
        <v>5.8040000000000003</v>
      </c>
      <c r="AP165" s="3">
        <v>7.81</v>
      </c>
      <c r="AQ165" s="3">
        <v>7.14</v>
      </c>
      <c r="AR165" s="3">
        <v>0.19400000000000001</v>
      </c>
      <c r="AS165" s="3">
        <v>0.49299999999999999</v>
      </c>
      <c r="AT165" s="3">
        <v>0.20599999999999999</v>
      </c>
      <c r="AU165" s="3">
        <v>8.0000000000000002E-3</v>
      </c>
      <c r="AV165" s="3">
        <v>2.1999999999999999E-2</v>
      </c>
      <c r="AW165" s="3">
        <v>2.1999999999999999E-2</v>
      </c>
      <c r="AX165" s="3">
        <v>6.0000000000000001E-3</v>
      </c>
      <c r="AY165" s="3">
        <v>4.9000000000000002E-2</v>
      </c>
      <c r="AZ165" s="3">
        <v>9.7899999999999991</v>
      </c>
      <c r="BA165" s="3"/>
      <c r="BB165" s="3">
        <v>11.99</v>
      </c>
      <c r="BC165" s="3">
        <v>2876</v>
      </c>
      <c r="BD165" s="3"/>
      <c r="BE165" s="3"/>
      <c r="BF165" s="3">
        <v>0</v>
      </c>
      <c r="BH165" s="16">
        <v>33.01</v>
      </c>
      <c r="BI165" s="16">
        <f t="shared" si="111"/>
        <v>66.680199999999999</v>
      </c>
      <c r="BJ165" s="17">
        <f t="shared" si="112"/>
        <v>32.32</v>
      </c>
      <c r="BK165" s="17">
        <f t="shared" si="113"/>
        <v>64.97</v>
      </c>
      <c r="BM165" s="1">
        <f t="shared" si="114"/>
        <v>91.5</v>
      </c>
      <c r="BN165" s="1">
        <f t="shared" si="115"/>
        <v>48.6</v>
      </c>
      <c r="BO165" s="1">
        <f t="shared" si="116"/>
        <v>16.899999999999999</v>
      </c>
      <c r="BP165" s="62">
        <f t="shared" si="119"/>
        <v>0.34499999999999997</v>
      </c>
      <c r="BQ165" s="62">
        <f t="shared" si="117"/>
        <v>1.696</v>
      </c>
      <c r="BS165" s="1">
        <v>0</v>
      </c>
      <c r="BT165" s="8"/>
      <c r="BV165" s="8"/>
      <c r="BW165" s="16">
        <f t="shared" si="120"/>
        <v>32.32</v>
      </c>
      <c r="BX165" s="16">
        <f t="shared" si="121"/>
        <v>64.97</v>
      </c>
      <c r="BY165" s="3">
        <f t="shared" si="122"/>
        <v>9.6999999999999993</v>
      </c>
      <c r="BZ165" s="3">
        <f t="shared" si="123"/>
        <v>9.5</v>
      </c>
      <c r="CA165" s="3">
        <f t="shared" si="124"/>
        <v>9.4</v>
      </c>
      <c r="CB165" s="3">
        <f t="shared" si="125"/>
        <v>9.8000000000000007</v>
      </c>
      <c r="CC165" s="3">
        <f t="shared" si="126"/>
        <v>10.6</v>
      </c>
      <c r="CD165" s="3">
        <f t="shared" si="127"/>
        <v>8.3000000000000007</v>
      </c>
      <c r="CE165" s="3">
        <f t="shared" si="128"/>
        <v>7.4</v>
      </c>
      <c r="CF165" s="23">
        <f t="shared" si="129"/>
        <v>48.6</v>
      </c>
      <c r="CG165" s="1">
        <f t="shared" si="130"/>
        <v>17.899999999999999</v>
      </c>
      <c r="CH165" s="1">
        <f t="shared" si="131"/>
        <v>19.2</v>
      </c>
      <c r="CI165" s="1">
        <f t="shared" si="132"/>
        <v>20.100000000000001</v>
      </c>
      <c r="CJ165" s="1">
        <f t="shared" si="133"/>
        <v>22.9</v>
      </c>
      <c r="CK165" s="1">
        <f t="shared" si="134"/>
        <v>16.2</v>
      </c>
      <c r="CL165" s="1">
        <f t="shared" si="135"/>
        <v>9.1</v>
      </c>
      <c r="CM165" s="1">
        <f t="shared" si="136"/>
        <v>7.6</v>
      </c>
      <c r="CN165" s="2">
        <f t="shared" si="137"/>
        <v>91.5</v>
      </c>
      <c r="CO165" s="1">
        <f t="shared" si="138"/>
        <v>-1</v>
      </c>
      <c r="CP165" s="1">
        <f t="shared" si="139"/>
        <v>-1.6</v>
      </c>
      <c r="CQ165" s="1">
        <f t="shared" si="140"/>
        <v>-1.8</v>
      </c>
      <c r="CR165" s="1">
        <f t="shared" si="141"/>
        <v>-2.2999999999999998</v>
      </c>
      <c r="CS165" s="1">
        <f t="shared" si="142"/>
        <v>5.8</v>
      </c>
      <c r="CT165" s="1">
        <f t="shared" si="143"/>
        <v>7.8</v>
      </c>
      <c r="CU165" s="1">
        <f t="shared" si="144"/>
        <v>7.1</v>
      </c>
      <c r="CV165" s="2">
        <f t="shared" si="145"/>
        <v>16.899999999999999</v>
      </c>
      <c r="CW165" s="18">
        <f t="shared" si="146"/>
        <v>0</v>
      </c>
      <c r="CX165" s="1">
        <f>ROUND(PPTest!K165,1)</f>
        <v>0</v>
      </c>
      <c r="CY165" s="17">
        <f t="shared" si="147"/>
        <v>2.42</v>
      </c>
      <c r="CZ165" s="17">
        <f t="shared" si="148"/>
        <v>5.75</v>
      </c>
      <c r="DA165" s="20">
        <f t="shared" si="149"/>
        <v>0.34499999999999997</v>
      </c>
      <c r="DB165" s="20">
        <f t="shared" si="150"/>
        <v>1.696</v>
      </c>
      <c r="DC165" s="16">
        <f t="shared" si="151"/>
        <v>11.99</v>
      </c>
      <c r="DF165" s="1">
        <v>15.1</v>
      </c>
      <c r="DG165" s="1">
        <v>21.3</v>
      </c>
      <c r="DH165" s="1">
        <v>9.4</v>
      </c>
      <c r="DW165" s="1">
        <v>9.4</v>
      </c>
      <c r="DX165" s="1">
        <v>17.7</v>
      </c>
      <c r="DY165" s="1">
        <v>0.2</v>
      </c>
    </row>
    <row r="166" spans="1:129" x14ac:dyDescent="0.2">
      <c r="A166" s="40">
        <v>34859</v>
      </c>
      <c r="B166" s="3">
        <v>160</v>
      </c>
      <c r="C166" s="3">
        <v>31.12</v>
      </c>
      <c r="D166" s="3">
        <v>58.13</v>
      </c>
      <c r="E166" s="3">
        <v>9.8699999999999992</v>
      </c>
      <c r="F166" s="3">
        <v>52.14</v>
      </c>
      <c r="G166" s="3">
        <v>9.8699999999999992</v>
      </c>
      <c r="H166" s="3">
        <v>9.75</v>
      </c>
      <c r="I166" s="3">
        <v>11.01</v>
      </c>
      <c r="J166" s="3">
        <v>11.17</v>
      </c>
      <c r="K166" s="3">
        <v>11.35</v>
      </c>
      <c r="L166" s="3">
        <v>10.79</v>
      </c>
      <c r="M166" s="3">
        <v>8.66</v>
      </c>
      <c r="N166" s="3">
        <v>7.26</v>
      </c>
      <c r="O166" s="3">
        <v>1E-3</v>
      </c>
      <c r="P166" s="16">
        <v>1.8108333333333337</v>
      </c>
      <c r="Q166" s="3">
        <v>0</v>
      </c>
      <c r="R166" s="3">
        <v>18</v>
      </c>
      <c r="S166" s="3">
        <v>1408</v>
      </c>
      <c r="T166" s="3">
        <v>90.7</v>
      </c>
      <c r="U166" s="3">
        <v>427</v>
      </c>
      <c r="V166" s="3">
        <v>19.809999999999999</v>
      </c>
      <c r="W166" s="3">
        <v>22.11</v>
      </c>
      <c r="X166" s="3">
        <v>27.64</v>
      </c>
      <c r="Y166" s="3">
        <v>23.6</v>
      </c>
      <c r="Z166" s="3">
        <v>23.32</v>
      </c>
      <c r="AA166" s="3">
        <v>15.8</v>
      </c>
      <c r="AB166" s="3">
        <v>9.3000000000000007</v>
      </c>
      <c r="AC166" s="3">
        <v>7.53</v>
      </c>
      <c r="AD166" s="16">
        <v>4.4741666666666671</v>
      </c>
      <c r="AE166" s="3">
        <v>1529</v>
      </c>
      <c r="AF166" s="3">
        <v>-0.42499999999999999</v>
      </c>
      <c r="AG166" s="3">
        <v>412</v>
      </c>
      <c r="AH166" s="3">
        <v>18.510000000000002</v>
      </c>
      <c r="AI166" s="3">
        <v>1408</v>
      </c>
      <c r="AJ166" s="3">
        <v>-0.997</v>
      </c>
      <c r="AK166" s="3">
        <v>-1.244</v>
      </c>
      <c r="AL166" s="3">
        <v>-2.1040000000000001</v>
      </c>
      <c r="AM166" s="3">
        <v>-1.454</v>
      </c>
      <c r="AN166" s="3">
        <v>-1.431</v>
      </c>
      <c r="AO166" s="3">
        <v>6.234</v>
      </c>
      <c r="AP166" s="3">
        <v>8.15</v>
      </c>
      <c r="AQ166" s="3">
        <v>6.9640000000000004</v>
      </c>
      <c r="AR166" s="3">
        <v>4.1000000000000002E-2</v>
      </c>
      <c r="AS166" s="3">
        <v>0.28999999999999998</v>
      </c>
      <c r="AT166" s="3">
        <v>0.308</v>
      </c>
      <c r="AU166" s="3">
        <v>7.3999999999999996E-2</v>
      </c>
      <c r="AV166" s="3">
        <v>0.08</v>
      </c>
      <c r="AW166" s="3">
        <v>9.7000000000000003E-2</v>
      </c>
      <c r="AX166" s="3">
        <v>7.1999999999999995E-2</v>
      </c>
      <c r="AY166" s="3">
        <v>3.7999999999999999E-2</v>
      </c>
      <c r="AZ166" s="3">
        <v>10.46</v>
      </c>
      <c r="BA166" s="3"/>
      <c r="BB166" s="3">
        <v>11.99</v>
      </c>
      <c r="BC166" s="3">
        <v>2876</v>
      </c>
      <c r="BD166" s="3"/>
      <c r="BE166" s="3"/>
      <c r="BF166" s="3">
        <v>0</v>
      </c>
      <c r="BH166" s="16">
        <v>33.06</v>
      </c>
      <c r="BI166" s="16">
        <f t="shared" si="111"/>
        <v>66.781199999999998</v>
      </c>
      <c r="BJ166" s="17">
        <f t="shared" si="112"/>
        <v>31.12</v>
      </c>
      <c r="BK166" s="17">
        <f t="shared" si="113"/>
        <v>62.78</v>
      </c>
      <c r="BM166" s="1">
        <f t="shared" si="114"/>
        <v>84.8</v>
      </c>
      <c r="BN166" s="1">
        <f t="shared" si="115"/>
        <v>49.2</v>
      </c>
      <c r="BO166" s="1">
        <f t="shared" si="116"/>
        <v>18.100000000000001</v>
      </c>
      <c r="BP166" s="62">
        <f t="shared" si="119"/>
        <v>0.373</v>
      </c>
      <c r="BQ166" s="62">
        <f t="shared" si="117"/>
        <v>1.6879999999999999</v>
      </c>
      <c r="BS166" s="1">
        <v>0</v>
      </c>
      <c r="BT166" s="8"/>
      <c r="BV166" s="8"/>
      <c r="BW166" s="16">
        <f t="shared" si="120"/>
        <v>31.12</v>
      </c>
      <c r="BX166" s="16">
        <f t="shared" si="121"/>
        <v>62.78</v>
      </c>
      <c r="BY166" s="3">
        <f t="shared" si="122"/>
        <v>9.9</v>
      </c>
      <c r="BZ166" s="3">
        <f t="shared" si="123"/>
        <v>9.9</v>
      </c>
      <c r="CA166" s="3">
        <f t="shared" si="124"/>
        <v>9.8000000000000007</v>
      </c>
      <c r="CB166" s="3">
        <f t="shared" si="125"/>
        <v>11</v>
      </c>
      <c r="CC166" s="3">
        <f t="shared" si="126"/>
        <v>10.8</v>
      </c>
      <c r="CD166" s="3">
        <f t="shared" si="127"/>
        <v>8.6999999999999993</v>
      </c>
      <c r="CE166" s="3">
        <f t="shared" si="128"/>
        <v>7.3</v>
      </c>
      <c r="CF166" s="23">
        <f t="shared" si="129"/>
        <v>49.2</v>
      </c>
      <c r="CG166" s="1">
        <f t="shared" si="130"/>
        <v>18</v>
      </c>
      <c r="CH166" s="1">
        <f t="shared" si="131"/>
        <v>19.8</v>
      </c>
      <c r="CI166" s="1">
        <f t="shared" si="132"/>
        <v>22.1</v>
      </c>
      <c r="CJ166" s="1">
        <f t="shared" si="133"/>
        <v>27.6</v>
      </c>
      <c r="CK166" s="1">
        <f t="shared" si="134"/>
        <v>15.8</v>
      </c>
      <c r="CL166" s="1">
        <f t="shared" si="135"/>
        <v>9.3000000000000007</v>
      </c>
      <c r="CM166" s="1">
        <f t="shared" si="136"/>
        <v>7.5</v>
      </c>
      <c r="CN166" s="2">
        <f t="shared" si="137"/>
        <v>84.8</v>
      </c>
      <c r="CO166" s="1">
        <f t="shared" si="138"/>
        <v>-0.4</v>
      </c>
      <c r="CP166" s="1">
        <f t="shared" si="139"/>
        <v>-1</v>
      </c>
      <c r="CQ166" s="1">
        <f t="shared" si="140"/>
        <v>-1.2</v>
      </c>
      <c r="CR166" s="1">
        <f t="shared" si="141"/>
        <v>-2.1</v>
      </c>
      <c r="CS166" s="1">
        <f t="shared" si="142"/>
        <v>6.2</v>
      </c>
      <c r="CT166" s="1">
        <f t="shared" si="143"/>
        <v>8.1999999999999993</v>
      </c>
      <c r="CU166" s="1">
        <f t="shared" si="144"/>
        <v>7</v>
      </c>
      <c r="CV166" s="2">
        <f t="shared" si="145"/>
        <v>18.100000000000001</v>
      </c>
      <c r="CW166" s="18">
        <f t="shared" si="146"/>
        <v>0</v>
      </c>
      <c r="CX166" s="1">
        <f>ROUND(PPTest!K166,1)</f>
        <v>0</v>
      </c>
      <c r="CY166" s="17">
        <f t="shared" si="147"/>
        <v>1.81</v>
      </c>
      <c r="CZ166" s="17">
        <f t="shared" si="148"/>
        <v>4.47</v>
      </c>
      <c r="DA166" s="20">
        <f t="shared" si="149"/>
        <v>0.373</v>
      </c>
      <c r="DB166" s="20">
        <f t="shared" si="150"/>
        <v>1.6879999999999999</v>
      </c>
      <c r="DC166" s="16">
        <f t="shared" si="151"/>
        <v>11.99</v>
      </c>
      <c r="DF166" s="1">
        <v>15.4</v>
      </c>
      <c r="DG166" s="1">
        <v>20.7</v>
      </c>
      <c r="DH166" s="1">
        <v>11.2</v>
      </c>
      <c r="DW166" s="1">
        <v>8.9</v>
      </c>
      <c r="DX166" s="1">
        <v>14.9</v>
      </c>
      <c r="DY166" s="1">
        <v>-0.1</v>
      </c>
    </row>
    <row r="167" spans="1:129" x14ac:dyDescent="0.2">
      <c r="A167" s="40">
        <v>34860</v>
      </c>
      <c r="B167" s="3">
        <v>161</v>
      </c>
      <c r="C167" s="3">
        <v>23.62</v>
      </c>
      <c r="D167" s="3">
        <v>44.99</v>
      </c>
      <c r="E167" s="3">
        <v>10.07</v>
      </c>
      <c r="F167" s="3">
        <v>64.510000000000005</v>
      </c>
      <c r="G167" s="3">
        <v>9.9700000000000006</v>
      </c>
      <c r="H167" s="3">
        <v>10</v>
      </c>
      <c r="I167" s="3">
        <v>11.38</v>
      </c>
      <c r="J167" s="3">
        <v>10.87</v>
      </c>
      <c r="K167" s="3">
        <v>10.86</v>
      </c>
      <c r="L167" s="3">
        <v>10.53</v>
      </c>
      <c r="M167" s="3">
        <v>8.84</v>
      </c>
      <c r="N167" s="3">
        <v>7.31</v>
      </c>
      <c r="O167" s="3">
        <v>0</v>
      </c>
      <c r="P167" s="16">
        <v>1.8858333333333335</v>
      </c>
      <c r="Q167" s="3">
        <v>0</v>
      </c>
      <c r="R167" s="3">
        <v>17.329999999999998</v>
      </c>
      <c r="S167" s="3">
        <v>1311</v>
      </c>
      <c r="T167" s="3">
        <v>96.2</v>
      </c>
      <c r="U167" s="3">
        <v>342</v>
      </c>
      <c r="V167" s="3">
        <v>19.37</v>
      </c>
      <c r="W167" s="3">
        <v>20.69</v>
      </c>
      <c r="X167" s="3">
        <v>29.23</v>
      </c>
      <c r="Y167" s="3">
        <v>21.46</v>
      </c>
      <c r="Z167" s="3">
        <v>21.71</v>
      </c>
      <c r="AA167" s="3">
        <v>15.42</v>
      </c>
      <c r="AB167" s="3">
        <v>9.26</v>
      </c>
      <c r="AC167" s="3">
        <v>7.49</v>
      </c>
      <c r="AD167" s="16">
        <v>5.4474999999999998</v>
      </c>
      <c r="AE167" s="3">
        <v>1029</v>
      </c>
      <c r="AF167" s="3">
        <v>0.57599999999999996</v>
      </c>
      <c r="AG167" s="3">
        <v>356</v>
      </c>
      <c r="AH167" s="3">
        <v>33.93</v>
      </c>
      <c r="AI167" s="3">
        <v>1123</v>
      </c>
      <c r="AJ167" s="3">
        <v>2.3E-2</v>
      </c>
      <c r="AK167" s="3">
        <v>-0.28899999999999998</v>
      </c>
      <c r="AL167" s="3">
        <v>-0.77</v>
      </c>
      <c r="AM167" s="3">
        <v>-0.41699999999999998</v>
      </c>
      <c r="AN167" s="3">
        <v>-0.46800000000000003</v>
      </c>
      <c r="AO167" s="3">
        <v>6.7610000000000001</v>
      </c>
      <c r="AP167" s="3">
        <v>8.3800000000000008</v>
      </c>
      <c r="AQ167" s="3">
        <v>6.9989999999999997</v>
      </c>
      <c r="AR167" s="3">
        <v>5.0999999999999997E-2</v>
      </c>
      <c r="AS167" s="3">
        <v>0.249</v>
      </c>
      <c r="AT167" s="3">
        <v>0.24399999999999999</v>
      </c>
      <c r="AU167" s="3">
        <v>8.3000000000000004E-2</v>
      </c>
      <c r="AV167" s="3">
        <v>8.1000000000000003E-2</v>
      </c>
      <c r="AW167" s="3">
        <v>0.20100000000000001</v>
      </c>
      <c r="AX167" s="3">
        <v>6.9000000000000006E-2</v>
      </c>
      <c r="AY167" s="3">
        <v>2.1000000000000001E-2</v>
      </c>
      <c r="AZ167" s="3">
        <v>10.33</v>
      </c>
      <c r="BA167" s="3"/>
      <c r="BB167" s="3">
        <v>11.99</v>
      </c>
      <c r="BC167" s="3">
        <v>2876</v>
      </c>
      <c r="BD167" s="3"/>
      <c r="BE167" s="3"/>
      <c r="BF167" s="3">
        <v>0</v>
      </c>
      <c r="BH167" s="16">
        <v>33.1</v>
      </c>
      <c r="BI167" s="16">
        <f t="shared" si="111"/>
        <v>66.862000000000009</v>
      </c>
      <c r="BJ167" s="17">
        <f t="shared" si="112"/>
        <v>23.62</v>
      </c>
      <c r="BK167" s="17">
        <f t="shared" si="113"/>
        <v>48.59</v>
      </c>
      <c r="BM167" s="1">
        <f t="shared" si="114"/>
        <v>89.9</v>
      </c>
      <c r="BN167" s="1">
        <f t="shared" si="115"/>
        <v>60.6</v>
      </c>
      <c r="BO167" s="1">
        <f t="shared" si="116"/>
        <v>32.4</v>
      </c>
      <c r="BP167" s="62">
        <f t="shared" si="119"/>
        <v>0.64100000000000001</v>
      </c>
      <c r="BQ167" s="62">
        <f t="shared" si="117"/>
        <v>1.337</v>
      </c>
      <c r="BS167" s="1">
        <v>0</v>
      </c>
      <c r="BT167" s="8"/>
      <c r="BV167" s="8"/>
      <c r="BW167" s="16">
        <f t="shared" si="120"/>
        <v>23.62</v>
      </c>
      <c r="BX167" s="16">
        <f t="shared" si="121"/>
        <v>48.59</v>
      </c>
      <c r="BY167" s="3">
        <f t="shared" si="122"/>
        <v>10.1</v>
      </c>
      <c r="BZ167" s="3">
        <f t="shared" si="123"/>
        <v>10</v>
      </c>
      <c r="CA167" s="3">
        <f t="shared" si="124"/>
        <v>10</v>
      </c>
      <c r="CB167" s="3">
        <f t="shared" si="125"/>
        <v>11.4</v>
      </c>
      <c r="CC167" s="3">
        <f t="shared" si="126"/>
        <v>10.5</v>
      </c>
      <c r="CD167" s="3">
        <f t="shared" si="127"/>
        <v>8.8000000000000007</v>
      </c>
      <c r="CE167" s="3">
        <f t="shared" si="128"/>
        <v>7.3</v>
      </c>
      <c r="CF167" s="23">
        <f t="shared" si="129"/>
        <v>60.6</v>
      </c>
      <c r="CG167" s="1">
        <f t="shared" si="130"/>
        <v>17.3</v>
      </c>
      <c r="CH167" s="1">
        <f t="shared" si="131"/>
        <v>19.399999999999999</v>
      </c>
      <c r="CI167" s="1">
        <f t="shared" si="132"/>
        <v>20.7</v>
      </c>
      <c r="CJ167" s="1">
        <f t="shared" si="133"/>
        <v>29.2</v>
      </c>
      <c r="CK167" s="1">
        <f t="shared" si="134"/>
        <v>15.4</v>
      </c>
      <c r="CL167" s="1">
        <f t="shared" si="135"/>
        <v>9.3000000000000007</v>
      </c>
      <c r="CM167" s="1">
        <f t="shared" si="136"/>
        <v>7.5</v>
      </c>
      <c r="CN167" s="2">
        <f t="shared" si="137"/>
        <v>89.9</v>
      </c>
      <c r="CO167" s="1">
        <f t="shared" si="138"/>
        <v>0.6</v>
      </c>
      <c r="CP167" s="1">
        <f t="shared" si="139"/>
        <v>0</v>
      </c>
      <c r="CQ167" s="1">
        <f t="shared" si="140"/>
        <v>-0.3</v>
      </c>
      <c r="CR167" s="1">
        <f t="shared" si="141"/>
        <v>-0.8</v>
      </c>
      <c r="CS167" s="1">
        <f t="shared" si="142"/>
        <v>6.8</v>
      </c>
      <c r="CT167" s="1">
        <f t="shared" si="143"/>
        <v>8.4</v>
      </c>
      <c r="CU167" s="1">
        <f t="shared" si="144"/>
        <v>7</v>
      </c>
      <c r="CV167" s="2">
        <f t="shared" si="145"/>
        <v>32.4</v>
      </c>
      <c r="CW167" s="18">
        <f t="shared" si="146"/>
        <v>0</v>
      </c>
      <c r="CX167" s="1">
        <f>ROUND(PPTest!K167,1)</f>
        <v>0</v>
      </c>
      <c r="CY167" s="17">
        <f t="shared" si="147"/>
        <v>1.89</v>
      </c>
      <c r="CZ167" s="17">
        <f t="shared" si="148"/>
        <v>5.45</v>
      </c>
      <c r="DA167" s="20">
        <f t="shared" si="149"/>
        <v>0.64100000000000001</v>
      </c>
      <c r="DB167" s="20">
        <f t="shared" si="150"/>
        <v>1.337</v>
      </c>
      <c r="DC167" s="16">
        <f t="shared" si="151"/>
        <v>11.99</v>
      </c>
      <c r="DF167" s="1">
        <v>14.7</v>
      </c>
      <c r="DG167" s="1">
        <v>24</v>
      </c>
      <c r="DH167" s="1">
        <v>9.4</v>
      </c>
      <c r="DW167" s="1">
        <v>10.199999999999999</v>
      </c>
      <c r="DX167" s="1">
        <v>13.7</v>
      </c>
      <c r="DY167" s="1">
        <v>5.3</v>
      </c>
    </row>
    <row r="168" spans="1:129" x14ac:dyDescent="0.2">
      <c r="A168" s="40">
        <v>34861</v>
      </c>
      <c r="B168" s="3">
        <v>162</v>
      </c>
      <c r="C168" s="3">
        <v>11.73</v>
      </c>
      <c r="D168" s="3">
        <v>22.9</v>
      </c>
      <c r="E168" s="3">
        <v>7.56</v>
      </c>
      <c r="F168" s="3">
        <v>91.4</v>
      </c>
      <c r="G168" s="3">
        <v>7.54</v>
      </c>
      <c r="H168" s="3">
        <v>7.42</v>
      </c>
      <c r="I168" s="3">
        <v>8.6199999999999992</v>
      </c>
      <c r="J168" s="3">
        <v>7.56</v>
      </c>
      <c r="K168" s="3">
        <v>7.87</v>
      </c>
      <c r="L168" s="3">
        <v>10.14</v>
      </c>
      <c r="M168" s="3">
        <v>8.8800000000000008</v>
      </c>
      <c r="N168" s="3">
        <v>7.45</v>
      </c>
      <c r="O168" s="3">
        <v>1E-3</v>
      </c>
      <c r="P168" s="16">
        <v>1.4743333333333333</v>
      </c>
      <c r="Q168" s="3">
        <v>8</v>
      </c>
      <c r="R168" s="3">
        <v>10.49</v>
      </c>
      <c r="S168" s="3">
        <v>1844</v>
      </c>
      <c r="T168" s="3">
        <v>105.7</v>
      </c>
      <c r="U168" s="3">
        <v>516</v>
      </c>
      <c r="V168" s="3">
        <v>12.01</v>
      </c>
      <c r="W168" s="3">
        <v>12.97</v>
      </c>
      <c r="X168" s="3">
        <v>18.11</v>
      </c>
      <c r="Y168" s="3">
        <v>12.75</v>
      </c>
      <c r="Z168" s="3">
        <v>16.14</v>
      </c>
      <c r="AA168" s="3">
        <v>12.07</v>
      </c>
      <c r="AB168" s="3">
        <v>9.19</v>
      </c>
      <c r="AC168" s="3">
        <v>7.6</v>
      </c>
      <c r="AD168" s="16">
        <v>4.354166666666667</v>
      </c>
      <c r="AE168" s="3">
        <v>854</v>
      </c>
      <c r="AF168" s="3">
        <v>4.9020000000000001</v>
      </c>
      <c r="AG168" s="3">
        <v>748</v>
      </c>
      <c r="AH168" s="3">
        <v>62.95</v>
      </c>
      <c r="AI168" s="3">
        <v>104</v>
      </c>
      <c r="AJ168" s="3">
        <v>4.7460000000000004</v>
      </c>
      <c r="AK168" s="3">
        <v>4.6870000000000003</v>
      </c>
      <c r="AL168" s="3">
        <v>4.9809999999999999</v>
      </c>
      <c r="AM168" s="3">
        <v>5.0960000000000001</v>
      </c>
      <c r="AN168" s="3">
        <v>5.1360000000000001</v>
      </c>
      <c r="AO168" s="3">
        <v>8.7200000000000006</v>
      </c>
      <c r="AP168" s="3">
        <v>8.65</v>
      </c>
      <c r="AQ168" s="3">
        <v>7.33</v>
      </c>
      <c r="AR168" s="3">
        <v>4.4999999999999998E-2</v>
      </c>
      <c r="AS168" s="3">
        <v>0.124</v>
      </c>
      <c r="AT168" s="3">
        <v>0.13800000000000001</v>
      </c>
      <c r="AU168" s="3">
        <v>8.5000000000000006E-2</v>
      </c>
      <c r="AV168" s="3">
        <v>0.128</v>
      </c>
      <c r="AW168" s="3">
        <v>0.317</v>
      </c>
      <c r="AX168" s="3">
        <v>0.128</v>
      </c>
      <c r="AY168" s="3">
        <v>3.5000000000000003E-2</v>
      </c>
      <c r="AZ168" s="3">
        <v>8.09</v>
      </c>
      <c r="BA168" s="3"/>
      <c r="BB168" s="3">
        <v>11.98</v>
      </c>
      <c r="BC168" s="3">
        <v>2876</v>
      </c>
      <c r="BD168" s="3"/>
      <c r="BE168" s="3"/>
      <c r="BF168" s="3">
        <v>0</v>
      </c>
      <c r="BH168" s="16">
        <v>33.130000000000003</v>
      </c>
      <c r="BI168" s="16">
        <f t="shared" si="111"/>
        <v>66.922600000000003</v>
      </c>
      <c r="BJ168" s="17">
        <f t="shared" si="112"/>
        <v>11.73</v>
      </c>
      <c r="BK168" s="17">
        <f t="shared" si="113"/>
        <v>24.73</v>
      </c>
      <c r="BM168" s="1">
        <f t="shared" si="114"/>
        <v>98.7</v>
      </c>
      <c r="BN168" s="1">
        <f t="shared" si="115"/>
        <v>85.5</v>
      </c>
      <c r="BO168" s="1">
        <f t="shared" si="116"/>
        <v>59.2</v>
      </c>
      <c r="BP168" s="62">
        <f t="shared" si="119"/>
        <v>0.751</v>
      </c>
      <c r="BQ168" s="62">
        <f t="shared" si="117"/>
        <v>0.51800000000000002</v>
      </c>
      <c r="BS168" s="1">
        <v>5.8</v>
      </c>
      <c r="BT168" s="8"/>
      <c r="BV168" s="8"/>
      <c r="BW168" s="16">
        <f t="shared" si="120"/>
        <v>11.73</v>
      </c>
      <c r="BX168" s="16">
        <f t="shared" si="121"/>
        <v>24.73</v>
      </c>
      <c r="BY168" s="3">
        <f t="shared" si="122"/>
        <v>7.6</v>
      </c>
      <c r="BZ168" s="3">
        <f t="shared" si="123"/>
        <v>7.5</v>
      </c>
      <c r="CA168" s="3">
        <f t="shared" si="124"/>
        <v>7.4</v>
      </c>
      <c r="CB168" s="3">
        <f t="shared" si="125"/>
        <v>8.6</v>
      </c>
      <c r="CC168" s="3">
        <f t="shared" si="126"/>
        <v>10.1</v>
      </c>
      <c r="CD168" s="3">
        <f t="shared" si="127"/>
        <v>8.9</v>
      </c>
      <c r="CE168" s="3">
        <f t="shared" si="128"/>
        <v>7.5</v>
      </c>
      <c r="CF168" s="23">
        <f t="shared" si="129"/>
        <v>85.5</v>
      </c>
      <c r="CG168" s="1">
        <f t="shared" si="130"/>
        <v>10.5</v>
      </c>
      <c r="CH168" s="1">
        <f t="shared" si="131"/>
        <v>12</v>
      </c>
      <c r="CI168" s="1">
        <f t="shared" si="132"/>
        <v>13</v>
      </c>
      <c r="CJ168" s="1">
        <f t="shared" si="133"/>
        <v>18.100000000000001</v>
      </c>
      <c r="CK168" s="1">
        <f t="shared" si="134"/>
        <v>12.1</v>
      </c>
      <c r="CL168" s="1">
        <f t="shared" si="135"/>
        <v>9.1999999999999993</v>
      </c>
      <c r="CM168" s="1">
        <f t="shared" si="136"/>
        <v>7.6</v>
      </c>
      <c r="CN168" s="2">
        <f t="shared" si="137"/>
        <v>98.7</v>
      </c>
      <c r="CO168" s="1">
        <f t="shared" si="138"/>
        <v>4.9000000000000004</v>
      </c>
      <c r="CP168" s="1">
        <f t="shared" si="139"/>
        <v>4.7</v>
      </c>
      <c r="CQ168" s="1">
        <f t="shared" si="140"/>
        <v>4.7</v>
      </c>
      <c r="CR168" s="1">
        <f t="shared" si="141"/>
        <v>5</v>
      </c>
      <c r="CS168" s="1">
        <f t="shared" si="142"/>
        <v>8.6999999999999993</v>
      </c>
      <c r="CT168" s="1">
        <f t="shared" si="143"/>
        <v>8.6999999999999993</v>
      </c>
      <c r="CU168" s="1">
        <f t="shared" si="144"/>
        <v>7.3</v>
      </c>
      <c r="CV168" s="2">
        <f t="shared" si="145"/>
        <v>59.2</v>
      </c>
      <c r="CW168" s="18">
        <f t="shared" si="146"/>
        <v>0</v>
      </c>
      <c r="CX168" s="1">
        <f>ROUND(PPTest!K168,1)</f>
        <v>8</v>
      </c>
      <c r="CY168" s="17">
        <f t="shared" si="147"/>
        <v>1.47</v>
      </c>
      <c r="CZ168" s="17">
        <f t="shared" si="148"/>
        <v>4.3499999999999996</v>
      </c>
      <c r="DA168" s="20">
        <f t="shared" si="149"/>
        <v>0.751</v>
      </c>
      <c r="DB168" s="20">
        <f t="shared" si="150"/>
        <v>0.51800000000000002</v>
      </c>
      <c r="DC168" s="16">
        <f t="shared" si="151"/>
        <v>11.98</v>
      </c>
      <c r="DF168" s="1">
        <v>10.199999999999999</v>
      </c>
      <c r="DG168" s="1">
        <v>13.6</v>
      </c>
      <c r="DH168" s="1">
        <v>6.8</v>
      </c>
      <c r="DI168" s="1">
        <v>82</v>
      </c>
      <c r="DJ168" s="1">
        <v>58</v>
      </c>
      <c r="DW168" s="1">
        <v>6.1</v>
      </c>
      <c r="DX168" s="1">
        <v>11.1</v>
      </c>
      <c r="DY168" s="1">
        <v>0.2</v>
      </c>
    </row>
    <row r="169" spans="1:129" x14ac:dyDescent="0.2">
      <c r="A169" s="40">
        <v>34862</v>
      </c>
      <c r="B169" s="3">
        <v>163</v>
      </c>
      <c r="C169" s="3">
        <v>22.25</v>
      </c>
      <c r="D169" s="3">
        <v>42.09</v>
      </c>
      <c r="E169" s="3">
        <v>8.2799999999999994</v>
      </c>
      <c r="F169" s="3">
        <v>72.5</v>
      </c>
      <c r="G169" s="3">
        <v>8.2200000000000006</v>
      </c>
      <c r="H169" s="3">
        <v>8.1999999999999993</v>
      </c>
      <c r="I169" s="3">
        <v>9.0299999999999994</v>
      </c>
      <c r="J169" s="3">
        <v>8.9700000000000006</v>
      </c>
      <c r="K169" s="3">
        <v>9.15</v>
      </c>
      <c r="L169" s="3">
        <v>9.7799999999999994</v>
      </c>
      <c r="M169" s="3">
        <v>8.68</v>
      </c>
      <c r="N169" s="3">
        <v>7.59</v>
      </c>
      <c r="O169" s="3">
        <v>1E-3</v>
      </c>
      <c r="P169" s="16">
        <v>1.6625000000000001</v>
      </c>
      <c r="Q169" s="3">
        <v>7</v>
      </c>
      <c r="R169" s="3">
        <v>13.25</v>
      </c>
      <c r="S169" s="3">
        <v>1057</v>
      </c>
      <c r="T169" s="3">
        <v>105.8</v>
      </c>
      <c r="U169" s="3">
        <v>2243</v>
      </c>
      <c r="V169" s="3">
        <v>14.84</v>
      </c>
      <c r="W169" s="3">
        <v>16.53</v>
      </c>
      <c r="X169" s="3">
        <v>27.11</v>
      </c>
      <c r="Y169" s="3">
        <v>18.72</v>
      </c>
      <c r="Z169" s="3">
        <v>18.13</v>
      </c>
      <c r="AA169" s="3">
        <v>12.7</v>
      </c>
      <c r="AB169" s="3">
        <v>8.91</v>
      </c>
      <c r="AC169" s="3">
        <v>7.81</v>
      </c>
      <c r="AD169" s="16">
        <v>6.6208333333333336</v>
      </c>
      <c r="AE169" s="3">
        <v>1112</v>
      </c>
      <c r="AF169" s="3">
        <v>2.0270000000000001</v>
      </c>
      <c r="AG169" s="3">
        <v>425</v>
      </c>
      <c r="AH169" s="3">
        <v>36.46</v>
      </c>
      <c r="AI169" s="3">
        <v>951</v>
      </c>
      <c r="AJ169" s="3">
        <v>1.0780000000000001</v>
      </c>
      <c r="AK169" s="3">
        <v>0.47499999999999998</v>
      </c>
      <c r="AL169" s="3">
        <v>-0.66300000000000003</v>
      </c>
      <c r="AM169" s="3">
        <v>0.48599999999999999</v>
      </c>
      <c r="AN169" s="3">
        <v>0.67</v>
      </c>
      <c r="AO169" s="3">
        <v>6.8449999999999998</v>
      </c>
      <c r="AP169" s="3">
        <v>8.3800000000000008</v>
      </c>
      <c r="AQ169" s="3">
        <v>7.28</v>
      </c>
      <c r="AR169" s="3">
        <v>5.7000000000000002E-2</v>
      </c>
      <c r="AS169" s="3">
        <v>0.152</v>
      </c>
      <c r="AT169" s="3">
        <v>0.17199999999999999</v>
      </c>
      <c r="AU169" s="3">
        <v>0.18099999999999999</v>
      </c>
      <c r="AV169" s="3">
        <v>0.16600000000000001</v>
      </c>
      <c r="AW169" s="3">
        <v>0.18099999999999999</v>
      </c>
      <c r="AX169" s="3">
        <v>5.6000000000000001E-2</v>
      </c>
      <c r="AY169" s="3">
        <v>3.5000000000000003E-2</v>
      </c>
      <c r="AZ169" s="3">
        <v>8.8000000000000007</v>
      </c>
      <c r="BA169" s="3"/>
      <c r="BB169" s="3">
        <v>11.98</v>
      </c>
      <c r="BC169" s="3">
        <v>2876</v>
      </c>
      <c r="BD169" s="3"/>
      <c r="BE169" s="3"/>
      <c r="BF169" s="3">
        <v>0</v>
      </c>
      <c r="BH169" s="16">
        <v>33.159999999999997</v>
      </c>
      <c r="BI169" s="16">
        <f t="shared" si="111"/>
        <v>66.983199999999997</v>
      </c>
      <c r="BJ169" s="17">
        <f t="shared" si="112"/>
        <v>22.25</v>
      </c>
      <c r="BK169" s="17">
        <f t="shared" si="113"/>
        <v>45.46</v>
      </c>
      <c r="BM169" s="1">
        <f t="shared" si="114"/>
        <v>98.8</v>
      </c>
      <c r="BN169" s="1">
        <f t="shared" si="115"/>
        <v>68</v>
      </c>
      <c r="BO169" s="1">
        <f t="shared" si="116"/>
        <v>34.700000000000003</v>
      </c>
      <c r="BP169" s="62">
        <f t="shared" si="119"/>
        <v>0.52800000000000002</v>
      </c>
      <c r="BQ169" s="62">
        <f t="shared" si="117"/>
        <v>0.99399999999999999</v>
      </c>
      <c r="BS169" s="1">
        <v>7.5</v>
      </c>
      <c r="BT169" s="8"/>
      <c r="BV169" s="8"/>
      <c r="BW169" s="16">
        <f t="shared" si="120"/>
        <v>22.25</v>
      </c>
      <c r="BX169" s="16">
        <f t="shared" si="121"/>
        <v>45.46</v>
      </c>
      <c r="BY169" s="3">
        <f t="shared" si="122"/>
        <v>8.3000000000000007</v>
      </c>
      <c r="BZ169" s="3">
        <f t="shared" si="123"/>
        <v>8.1999999999999993</v>
      </c>
      <c r="CA169" s="3">
        <f t="shared" si="124"/>
        <v>8.1999999999999993</v>
      </c>
      <c r="CB169" s="3">
        <f t="shared" si="125"/>
        <v>9</v>
      </c>
      <c r="CC169" s="3">
        <f t="shared" si="126"/>
        <v>9.8000000000000007</v>
      </c>
      <c r="CD169" s="3">
        <f t="shared" si="127"/>
        <v>8.6999999999999993</v>
      </c>
      <c r="CE169" s="3">
        <f t="shared" si="128"/>
        <v>7.6</v>
      </c>
      <c r="CF169" s="23">
        <f t="shared" si="129"/>
        <v>68</v>
      </c>
      <c r="CG169" s="1">
        <f t="shared" si="130"/>
        <v>13.3</v>
      </c>
      <c r="CH169" s="1">
        <f t="shared" si="131"/>
        <v>14.8</v>
      </c>
      <c r="CI169" s="1">
        <f t="shared" si="132"/>
        <v>16.5</v>
      </c>
      <c r="CJ169" s="1">
        <f t="shared" si="133"/>
        <v>27.1</v>
      </c>
      <c r="CK169" s="1">
        <f t="shared" si="134"/>
        <v>12.7</v>
      </c>
      <c r="CL169" s="1">
        <f t="shared" si="135"/>
        <v>8.9</v>
      </c>
      <c r="CM169" s="1">
        <f t="shared" si="136"/>
        <v>7.8</v>
      </c>
      <c r="CN169" s="2">
        <f t="shared" si="137"/>
        <v>98.8</v>
      </c>
      <c r="CO169" s="1">
        <f t="shared" si="138"/>
        <v>2</v>
      </c>
      <c r="CP169" s="1">
        <f t="shared" si="139"/>
        <v>1.1000000000000001</v>
      </c>
      <c r="CQ169" s="1">
        <f t="shared" si="140"/>
        <v>0.5</v>
      </c>
      <c r="CR169" s="1">
        <f t="shared" si="141"/>
        <v>-0.7</v>
      </c>
      <c r="CS169" s="1">
        <f t="shared" si="142"/>
        <v>6.8</v>
      </c>
      <c r="CT169" s="1">
        <f t="shared" si="143"/>
        <v>8.4</v>
      </c>
      <c r="CU169" s="1">
        <f t="shared" si="144"/>
        <v>7.3</v>
      </c>
      <c r="CV169" s="2">
        <f t="shared" si="145"/>
        <v>34.700000000000003</v>
      </c>
      <c r="CW169" s="18">
        <f t="shared" si="146"/>
        <v>0</v>
      </c>
      <c r="CX169" s="1">
        <f>ROUND(PPTest!K169,1)</f>
        <v>7</v>
      </c>
      <c r="CY169" s="17">
        <f t="shared" si="147"/>
        <v>1.66</v>
      </c>
      <c r="CZ169" s="17">
        <f t="shared" si="148"/>
        <v>6.62</v>
      </c>
      <c r="DA169" s="20">
        <f t="shared" si="149"/>
        <v>0.52800000000000002</v>
      </c>
      <c r="DB169" s="20">
        <f t="shared" si="150"/>
        <v>0.99399999999999999</v>
      </c>
      <c r="DC169" s="16">
        <f t="shared" si="151"/>
        <v>11.98</v>
      </c>
      <c r="DF169" s="1">
        <v>11.3</v>
      </c>
      <c r="DG169" s="1">
        <v>15.9</v>
      </c>
      <c r="DH169" s="1">
        <v>6.3</v>
      </c>
      <c r="DI169" s="1">
        <v>67</v>
      </c>
      <c r="DJ169" s="1">
        <v>45</v>
      </c>
      <c r="DW169" s="1">
        <v>6.9</v>
      </c>
      <c r="DX169" s="1">
        <v>12.4</v>
      </c>
      <c r="DY169" s="1">
        <v>-1.4</v>
      </c>
    </row>
    <row r="170" spans="1:129" x14ac:dyDescent="0.2">
      <c r="A170" s="40">
        <v>34863</v>
      </c>
      <c r="B170" s="3">
        <v>164</v>
      </c>
      <c r="C170" s="3">
        <v>19.16</v>
      </c>
      <c r="D170" s="3">
        <v>36.33</v>
      </c>
      <c r="E170" s="3">
        <v>5.798</v>
      </c>
      <c r="F170" s="3">
        <v>85.1</v>
      </c>
      <c r="G170" s="3">
        <v>5.9329999999999998</v>
      </c>
      <c r="H170" s="3">
        <v>5.9459999999999997</v>
      </c>
      <c r="I170" s="3">
        <v>7.9</v>
      </c>
      <c r="J170" s="3">
        <v>6.58</v>
      </c>
      <c r="K170" s="3">
        <v>6.7050000000000001</v>
      </c>
      <c r="L170" s="3">
        <v>9.58</v>
      </c>
      <c r="M170" s="3">
        <v>8.59</v>
      </c>
      <c r="N170" s="3">
        <v>7.7</v>
      </c>
      <c r="O170" s="3">
        <v>1E-3</v>
      </c>
      <c r="P170" s="16">
        <v>1.5708333333333335</v>
      </c>
      <c r="Q170" s="3">
        <v>3</v>
      </c>
      <c r="R170" s="3">
        <v>10.6</v>
      </c>
      <c r="S170" s="3">
        <v>1617</v>
      </c>
      <c r="T170" s="3">
        <v>105.4</v>
      </c>
      <c r="U170" s="3">
        <v>314</v>
      </c>
      <c r="V170" s="3">
        <v>12.12</v>
      </c>
      <c r="W170" s="3">
        <v>13.27</v>
      </c>
      <c r="X170" s="3">
        <v>20.010000000000002</v>
      </c>
      <c r="Y170" s="3">
        <v>14.65</v>
      </c>
      <c r="Z170" s="3">
        <v>14.72</v>
      </c>
      <c r="AA170" s="3">
        <v>12.71</v>
      </c>
      <c r="AB170" s="3">
        <v>8.86</v>
      </c>
      <c r="AC170" s="3">
        <v>7.98</v>
      </c>
      <c r="AD170" s="16">
        <v>5.394166666666667</v>
      </c>
      <c r="AE170" s="3">
        <v>1614</v>
      </c>
      <c r="AF170" s="3">
        <v>2.4220000000000002</v>
      </c>
      <c r="AG170" s="3">
        <v>447</v>
      </c>
      <c r="AH170" s="3">
        <v>54.05</v>
      </c>
      <c r="AI170" s="3">
        <v>1537</v>
      </c>
      <c r="AJ170" s="3">
        <v>2.0430000000000001</v>
      </c>
      <c r="AK170" s="3">
        <v>2.0649999999999999</v>
      </c>
      <c r="AL170" s="3">
        <v>2.0790000000000002</v>
      </c>
      <c r="AM170" s="3">
        <v>1.9450000000000001</v>
      </c>
      <c r="AN170" s="3">
        <v>1.9790000000000001</v>
      </c>
      <c r="AO170" s="3">
        <v>7.15</v>
      </c>
      <c r="AP170" s="3">
        <v>8.31</v>
      </c>
      <c r="AQ170" s="3">
        <v>7.5</v>
      </c>
      <c r="AR170" s="3">
        <v>0.08</v>
      </c>
      <c r="AS170" s="3">
        <v>0.161</v>
      </c>
      <c r="AT170" s="3">
        <v>7.5999999999999998E-2</v>
      </c>
      <c r="AU170" s="3">
        <v>6.7000000000000004E-2</v>
      </c>
      <c r="AV170" s="3">
        <v>0.13300000000000001</v>
      </c>
      <c r="AW170" s="3">
        <v>0.26500000000000001</v>
      </c>
      <c r="AX170" s="3">
        <v>0.16700000000000001</v>
      </c>
      <c r="AY170" s="3">
        <v>5.0999999999999997E-2</v>
      </c>
      <c r="AZ170" s="3">
        <v>7.01</v>
      </c>
      <c r="BA170" s="3"/>
      <c r="BB170" s="3">
        <v>11.97</v>
      </c>
      <c r="BC170" s="3">
        <v>2876</v>
      </c>
      <c r="BD170" s="3"/>
      <c r="BE170" s="3"/>
      <c r="BF170" s="3">
        <v>0</v>
      </c>
      <c r="BH170" s="16">
        <v>33.19</v>
      </c>
      <c r="BI170" s="16">
        <f t="shared" si="111"/>
        <v>67.04379999999999</v>
      </c>
      <c r="BJ170" s="17">
        <f t="shared" si="112"/>
        <v>19.16</v>
      </c>
      <c r="BK170" s="17">
        <f t="shared" si="113"/>
        <v>39.24</v>
      </c>
      <c r="BM170" s="1">
        <f t="shared" si="114"/>
        <v>98.4</v>
      </c>
      <c r="BN170" s="1">
        <f t="shared" si="115"/>
        <v>79.599999999999994</v>
      </c>
      <c r="BO170" s="1">
        <f t="shared" si="116"/>
        <v>50.9</v>
      </c>
      <c r="BP170" s="62">
        <f t="shared" si="119"/>
        <v>0.65</v>
      </c>
      <c r="BQ170" s="62">
        <f t="shared" si="117"/>
        <v>0.627</v>
      </c>
      <c r="BS170" s="1">
        <v>3.6</v>
      </c>
      <c r="BT170" s="8"/>
      <c r="BV170" s="8"/>
      <c r="BW170" s="16">
        <f t="shared" si="120"/>
        <v>19.16</v>
      </c>
      <c r="BX170" s="16">
        <f t="shared" si="121"/>
        <v>39.24</v>
      </c>
      <c r="BY170" s="3">
        <f t="shared" si="122"/>
        <v>5.8</v>
      </c>
      <c r="BZ170" s="3">
        <f t="shared" si="123"/>
        <v>5.9</v>
      </c>
      <c r="CA170" s="3">
        <f t="shared" si="124"/>
        <v>5.9</v>
      </c>
      <c r="CB170" s="3">
        <f t="shared" si="125"/>
        <v>7.9</v>
      </c>
      <c r="CC170" s="3">
        <f t="shared" si="126"/>
        <v>9.6</v>
      </c>
      <c r="CD170" s="3">
        <f t="shared" si="127"/>
        <v>8.6</v>
      </c>
      <c r="CE170" s="3">
        <f t="shared" si="128"/>
        <v>7.7</v>
      </c>
      <c r="CF170" s="23">
        <f t="shared" si="129"/>
        <v>79.599999999999994</v>
      </c>
      <c r="CG170" s="1">
        <f t="shared" si="130"/>
        <v>10.6</v>
      </c>
      <c r="CH170" s="1">
        <f t="shared" si="131"/>
        <v>12.1</v>
      </c>
      <c r="CI170" s="1">
        <f t="shared" si="132"/>
        <v>13.3</v>
      </c>
      <c r="CJ170" s="1">
        <f t="shared" si="133"/>
        <v>20</v>
      </c>
      <c r="CK170" s="1">
        <f t="shared" si="134"/>
        <v>12.7</v>
      </c>
      <c r="CL170" s="1">
        <f t="shared" si="135"/>
        <v>8.9</v>
      </c>
      <c r="CM170" s="1">
        <f t="shared" si="136"/>
        <v>8</v>
      </c>
      <c r="CN170" s="2">
        <f t="shared" si="137"/>
        <v>98.4</v>
      </c>
      <c r="CO170" s="1">
        <f t="shared" si="138"/>
        <v>2.4</v>
      </c>
      <c r="CP170" s="1">
        <f t="shared" si="139"/>
        <v>2</v>
      </c>
      <c r="CQ170" s="1">
        <f t="shared" si="140"/>
        <v>2.1</v>
      </c>
      <c r="CR170" s="1">
        <f t="shared" si="141"/>
        <v>2.1</v>
      </c>
      <c r="CS170" s="1">
        <f t="shared" si="142"/>
        <v>7.2</v>
      </c>
      <c r="CT170" s="1">
        <f t="shared" si="143"/>
        <v>8.3000000000000007</v>
      </c>
      <c r="CU170" s="1">
        <f t="shared" si="144"/>
        <v>7.5</v>
      </c>
      <c r="CV170" s="2">
        <f t="shared" si="145"/>
        <v>50.9</v>
      </c>
      <c r="CW170" s="18">
        <f t="shared" si="146"/>
        <v>0</v>
      </c>
      <c r="CX170" s="1">
        <f>ROUND(PPTest!K170,1)</f>
        <v>3</v>
      </c>
      <c r="CY170" s="17">
        <f t="shared" si="147"/>
        <v>1.57</v>
      </c>
      <c r="CZ170" s="17">
        <f t="shared" si="148"/>
        <v>5.39</v>
      </c>
      <c r="DA170" s="20">
        <f t="shared" si="149"/>
        <v>0.65</v>
      </c>
      <c r="DB170" s="20">
        <f t="shared" si="150"/>
        <v>0.627</v>
      </c>
      <c r="DC170" s="16">
        <f t="shared" si="151"/>
        <v>11.97</v>
      </c>
      <c r="DF170" s="1">
        <v>9</v>
      </c>
      <c r="DG170" s="1">
        <v>13.6</v>
      </c>
      <c r="DH170" s="1">
        <v>5.3</v>
      </c>
      <c r="DI170" s="1">
        <v>75.900000000000006</v>
      </c>
      <c r="DJ170" s="1">
        <v>52</v>
      </c>
      <c r="DW170" s="1">
        <v>6.2</v>
      </c>
      <c r="DX170" s="1">
        <v>11.1</v>
      </c>
      <c r="DY170" s="1">
        <v>1.6</v>
      </c>
    </row>
    <row r="171" spans="1:129" x14ac:dyDescent="0.2">
      <c r="A171" s="40">
        <v>34864</v>
      </c>
      <c r="B171" s="3">
        <v>165</v>
      </c>
      <c r="C171" s="3">
        <v>10.47</v>
      </c>
      <c r="D171" s="3">
        <v>20.41</v>
      </c>
      <c r="E171" s="3">
        <v>6.4169999999999998</v>
      </c>
      <c r="F171" s="3">
        <v>91.6</v>
      </c>
      <c r="G171" s="3">
        <v>6.3949999999999996</v>
      </c>
      <c r="H171" s="3">
        <v>6.3150000000000004</v>
      </c>
      <c r="I171" s="3">
        <v>7.48</v>
      </c>
      <c r="J171" s="3">
        <v>6.94</v>
      </c>
      <c r="K171" s="3">
        <v>6.97</v>
      </c>
      <c r="L171" s="3">
        <v>9.33</v>
      </c>
      <c r="M171" s="3">
        <v>8.6</v>
      </c>
      <c r="N171" s="3">
        <v>7.78</v>
      </c>
      <c r="O171" s="3">
        <v>1E-3</v>
      </c>
      <c r="P171" s="16">
        <v>0.96233333333333326</v>
      </c>
      <c r="Q171" s="3">
        <v>6</v>
      </c>
      <c r="R171" s="3">
        <v>9.7799999999999994</v>
      </c>
      <c r="S171" s="3">
        <v>1412</v>
      </c>
      <c r="T171" s="3">
        <v>105</v>
      </c>
      <c r="U171" s="3">
        <v>2306</v>
      </c>
      <c r="V171" s="3">
        <v>10.32</v>
      </c>
      <c r="W171" s="3">
        <v>12.22</v>
      </c>
      <c r="X171" s="3">
        <v>14.32</v>
      </c>
      <c r="Y171" s="3">
        <v>12.3</v>
      </c>
      <c r="Z171" s="3">
        <v>12.23</v>
      </c>
      <c r="AA171" s="3">
        <v>11.12</v>
      </c>
      <c r="AB171" s="3">
        <v>8.7899999999999991</v>
      </c>
      <c r="AC171" s="3">
        <v>7.94</v>
      </c>
      <c r="AD171" s="16">
        <v>3.3008333333333337</v>
      </c>
      <c r="AE171" s="3">
        <v>1026</v>
      </c>
      <c r="AF171" s="3">
        <v>3.4140000000000001</v>
      </c>
      <c r="AG171" s="3">
        <v>430</v>
      </c>
      <c r="AH171" s="3">
        <v>64.95</v>
      </c>
      <c r="AI171" s="3">
        <v>1358</v>
      </c>
      <c r="AJ171" s="3">
        <v>3.1509999999999998</v>
      </c>
      <c r="AK171" s="3">
        <v>3.097</v>
      </c>
      <c r="AL171" s="3">
        <v>3.2519999999999998</v>
      </c>
      <c r="AM171" s="3">
        <v>3.0590000000000002</v>
      </c>
      <c r="AN171" s="3">
        <v>3.1160000000000001</v>
      </c>
      <c r="AO171" s="3">
        <v>7.61</v>
      </c>
      <c r="AP171" s="3">
        <v>8.4499999999999993</v>
      </c>
      <c r="AQ171" s="3">
        <v>7.62</v>
      </c>
      <c r="AR171" s="3">
        <v>0.20300000000000001</v>
      </c>
      <c r="AS171" s="3">
        <v>0.40799999999999997</v>
      </c>
      <c r="AT171" s="3">
        <v>0.19</v>
      </c>
      <c r="AU171" s="3">
        <v>3.3000000000000002E-2</v>
      </c>
      <c r="AV171" s="3">
        <v>1.4E-2</v>
      </c>
      <c r="AW171" s="3">
        <v>3.3000000000000002E-2</v>
      </c>
      <c r="AX171" s="3">
        <v>4.3999999999999997E-2</v>
      </c>
      <c r="AY171" s="3">
        <v>7.5999999999999998E-2</v>
      </c>
      <c r="AZ171" s="3">
        <v>6.89</v>
      </c>
      <c r="BA171" s="3"/>
      <c r="BB171" s="3">
        <v>11.97</v>
      </c>
      <c r="BC171" s="3">
        <v>2876</v>
      </c>
      <c r="BD171" s="3"/>
      <c r="BE171" s="3"/>
      <c r="BF171" s="3">
        <v>0</v>
      </c>
      <c r="BH171" s="16">
        <v>33.21</v>
      </c>
      <c r="BI171" s="16">
        <f t="shared" si="111"/>
        <v>67.084199999999996</v>
      </c>
      <c r="BJ171" s="17">
        <f t="shared" si="112"/>
        <v>10.47</v>
      </c>
      <c r="BK171" s="17">
        <f t="shared" si="113"/>
        <v>22.04</v>
      </c>
      <c r="BM171" s="1">
        <f t="shared" si="114"/>
        <v>98</v>
      </c>
      <c r="BN171" s="1">
        <f t="shared" si="115"/>
        <v>85.6</v>
      </c>
      <c r="BO171" s="1">
        <f t="shared" si="116"/>
        <v>61</v>
      </c>
      <c r="BP171" s="62">
        <f t="shared" si="119"/>
        <v>0.73799999999999999</v>
      </c>
      <c r="BQ171" s="62">
        <f t="shared" si="117"/>
        <v>0.47199999999999998</v>
      </c>
      <c r="BS171" s="1">
        <v>5</v>
      </c>
      <c r="BT171" s="8"/>
      <c r="BV171" s="8"/>
      <c r="BW171" s="16">
        <f t="shared" si="120"/>
        <v>10.47</v>
      </c>
      <c r="BX171" s="16">
        <f t="shared" si="121"/>
        <v>22.04</v>
      </c>
      <c r="BY171" s="3">
        <f t="shared" si="122"/>
        <v>6.4</v>
      </c>
      <c r="BZ171" s="3">
        <f t="shared" si="123"/>
        <v>6.4</v>
      </c>
      <c r="CA171" s="3">
        <f t="shared" si="124"/>
        <v>6.3</v>
      </c>
      <c r="CB171" s="3">
        <f t="shared" si="125"/>
        <v>7.5</v>
      </c>
      <c r="CC171" s="3">
        <f t="shared" si="126"/>
        <v>9.3000000000000007</v>
      </c>
      <c r="CD171" s="3">
        <f t="shared" si="127"/>
        <v>8.6</v>
      </c>
      <c r="CE171" s="3">
        <f t="shared" si="128"/>
        <v>7.8</v>
      </c>
      <c r="CF171" s="23">
        <f t="shared" si="129"/>
        <v>85.6</v>
      </c>
      <c r="CG171" s="1">
        <f t="shared" si="130"/>
        <v>9.8000000000000007</v>
      </c>
      <c r="CH171" s="1">
        <f t="shared" si="131"/>
        <v>10.3</v>
      </c>
      <c r="CI171" s="1">
        <f t="shared" si="132"/>
        <v>12.2</v>
      </c>
      <c r="CJ171" s="1">
        <f t="shared" si="133"/>
        <v>14.3</v>
      </c>
      <c r="CK171" s="1">
        <f t="shared" si="134"/>
        <v>11.1</v>
      </c>
      <c r="CL171" s="1">
        <f t="shared" si="135"/>
        <v>8.8000000000000007</v>
      </c>
      <c r="CM171" s="1">
        <f t="shared" si="136"/>
        <v>7.9</v>
      </c>
      <c r="CN171" s="2">
        <f t="shared" si="137"/>
        <v>98</v>
      </c>
      <c r="CO171" s="1">
        <f t="shared" si="138"/>
        <v>3.4</v>
      </c>
      <c r="CP171" s="1">
        <f t="shared" si="139"/>
        <v>3.2</v>
      </c>
      <c r="CQ171" s="1">
        <f t="shared" si="140"/>
        <v>3.1</v>
      </c>
      <c r="CR171" s="1">
        <f t="shared" si="141"/>
        <v>3.3</v>
      </c>
      <c r="CS171" s="1">
        <f t="shared" si="142"/>
        <v>7.6</v>
      </c>
      <c r="CT171" s="1">
        <f t="shared" si="143"/>
        <v>8.5</v>
      </c>
      <c r="CU171" s="1">
        <f t="shared" si="144"/>
        <v>7.6</v>
      </c>
      <c r="CV171" s="2">
        <f t="shared" si="145"/>
        <v>61</v>
      </c>
      <c r="CW171" s="18">
        <f t="shared" si="146"/>
        <v>0</v>
      </c>
      <c r="CX171" s="1">
        <f>ROUND(PPTest!K171,1)</f>
        <v>6</v>
      </c>
      <c r="CY171" s="17">
        <f t="shared" si="147"/>
        <v>0.96</v>
      </c>
      <c r="CZ171" s="17">
        <f t="shared" si="148"/>
        <v>3.3</v>
      </c>
      <c r="DA171" s="20">
        <f t="shared" si="149"/>
        <v>0.73799999999999999</v>
      </c>
      <c r="DB171" s="20">
        <f t="shared" si="150"/>
        <v>0.47199999999999998</v>
      </c>
      <c r="DC171" s="16">
        <f t="shared" si="151"/>
        <v>11.97</v>
      </c>
      <c r="DF171" s="1">
        <v>9.1</v>
      </c>
      <c r="DG171" s="1">
        <v>12.7</v>
      </c>
      <c r="DH171" s="1">
        <v>6.1</v>
      </c>
      <c r="DI171" s="1">
        <v>84.8</v>
      </c>
      <c r="DJ171" s="1">
        <v>66</v>
      </c>
      <c r="DW171" s="1">
        <v>5.5</v>
      </c>
      <c r="DX171" s="1">
        <v>8.5</v>
      </c>
      <c r="DY171" s="1">
        <v>1.7</v>
      </c>
    </row>
    <row r="172" spans="1:129" x14ac:dyDescent="0.2">
      <c r="A172" s="40">
        <v>34865</v>
      </c>
      <c r="B172" s="3">
        <v>166</v>
      </c>
      <c r="C172" s="3">
        <v>17.989999999999998</v>
      </c>
      <c r="D172" s="3">
        <v>34.61</v>
      </c>
      <c r="E172" s="3">
        <v>8.3000000000000007</v>
      </c>
      <c r="F172" s="3">
        <v>91.3</v>
      </c>
      <c r="G172" s="3">
        <v>8.3800000000000008</v>
      </c>
      <c r="H172" s="3">
        <v>8.36</v>
      </c>
      <c r="I172" s="3">
        <v>10.16</v>
      </c>
      <c r="J172" s="3">
        <v>9.08</v>
      </c>
      <c r="K172" s="3">
        <v>9.33</v>
      </c>
      <c r="L172" s="3">
        <v>10.66</v>
      </c>
      <c r="M172" s="3">
        <v>8.7200000000000006</v>
      </c>
      <c r="N172" s="3">
        <v>7.88</v>
      </c>
      <c r="O172" s="3">
        <v>1E-3</v>
      </c>
      <c r="P172" s="16">
        <v>1.3143333333333334</v>
      </c>
      <c r="Q172" s="3">
        <v>2</v>
      </c>
      <c r="R172" s="3">
        <v>13.71</v>
      </c>
      <c r="S172" s="3">
        <v>1735</v>
      </c>
      <c r="T172" s="3">
        <v>105.2</v>
      </c>
      <c r="U172" s="3">
        <v>339</v>
      </c>
      <c r="V172" s="3">
        <v>14.71</v>
      </c>
      <c r="W172" s="3">
        <v>16.48</v>
      </c>
      <c r="X172" s="3">
        <v>20.16</v>
      </c>
      <c r="Y172" s="3">
        <v>18.559999999999999</v>
      </c>
      <c r="Z172" s="3">
        <v>17.760000000000002</v>
      </c>
      <c r="AA172" s="3">
        <v>14.47</v>
      </c>
      <c r="AB172" s="3">
        <v>9.2799999999999994</v>
      </c>
      <c r="AC172" s="3">
        <v>8.0500000000000007</v>
      </c>
      <c r="AD172" s="16">
        <v>4.3408333333333333</v>
      </c>
      <c r="AE172" s="3">
        <v>1151</v>
      </c>
      <c r="AF172" s="3">
        <v>5.0510000000000002</v>
      </c>
      <c r="AG172" s="3">
        <v>302</v>
      </c>
      <c r="AH172" s="3">
        <v>63.98</v>
      </c>
      <c r="AI172" s="3">
        <v>1736</v>
      </c>
      <c r="AJ172" s="3">
        <v>4.8410000000000002</v>
      </c>
      <c r="AK172" s="3">
        <v>4.6630000000000003</v>
      </c>
      <c r="AL172" s="3">
        <v>4.6769999999999996</v>
      </c>
      <c r="AM172" s="3">
        <v>4.75</v>
      </c>
      <c r="AN172" s="3">
        <v>4.7619999999999996</v>
      </c>
      <c r="AO172" s="3">
        <v>7.88</v>
      </c>
      <c r="AP172" s="3">
        <v>8.3699999999999992</v>
      </c>
      <c r="AQ172" s="3">
        <v>7.75</v>
      </c>
      <c r="AR172" s="3">
        <v>8.3000000000000004E-2</v>
      </c>
      <c r="AS172" s="3">
        <v>0.35299999999999998</v>
      </c>
      <c r="AT172" s="3">
        <v>0.113</v>
      </c>
      <c r="AU172" s="3">
        <v>2.4E-2</v>
      </c>
      <c r="AV172" s="3">
        <v>7.9000000000000001E-2</v>
      </c>
      <c r="AW172" s="3">
        <v>0.218</v>
      </c>
      <c r="AX172" s="3">
        <v>0.08</v>
      </c>
      <c r="AY172" s="3">
        <v>0.05</v>
      </c>
      <c r="AZ172" s="3">
        <v>9.34</v>
      </c>
      <c r="BA172" s="3"/>
      <c r="BB172" s="3">
        <v>11.97</v>
      </c>
      <c r="BC172" s="3">
        <v>2876</v>
      </c>
      <c r="BD172" s="3"/>
      <c r="BE172" s="3"/>
      <c r="BF172" s="3">
        <v>0</v>
      </c>
      <c r="BH172" s="16">
        <v>33.229999999999997</v>
      </c>
      <c r="BI172" s="16">
        <f t="shared" si="111"/>
        <v>67.124600000000001</v>
      </c>
      <c r="BJ172" s="17">
        <f t="shared" si="112"/>
        <v>17.989999999999998</v>
      </c>
      <c r="BK172" s="17">
        <f t="shared" si="113"/>
        <v>37.380000000000003</v>
      </c>
      <c r="BM172" s="1">
        <f t="shared" si="114"/>
        <v>98.2</v>
      </c>
      <c r="BN172" s="1">
        <f t="shared" si="115"/>
        <v>85.4</v>
      </c>
      <c r="BO172" s="1">
        <f t="shared" si="116"/>
        <v>60.1</v>
      </c>
      <c r="BP172" s="62">
        <f t="shared" si="119"/>
        <v>0.94299999999999995</v>
      </c>
      <c r="BQ172" s="62">
        <f t="shared" si="117"/>
        <v>0.626</v>
      </c>
      <c r="BS172" s="1">
        <v>0.3</v>
      </c>
      <c r="BT172" s="8"/>
      <c r="BV172" s="8"/>
      <c r="BW172" s="16">
        <f t="shared" si="120"/>
        <v>17.989999999999998</v>
      </c>
      <c r="BX172" s="16">
        <f t="shared" si="121"/>
        <v>37.380000000000003</v>
      </c>
      <c r="BY172" s="3">
        <f t="shared" si="122"/>
        <v>8.3000000000000007</v>
      </c>
      <c r="BZ172" s="3">
        <f t="shared" si="123"/>
        <v>8.4</v>
      </c>
      <c r="CA172" s="3">
        <f t="shared" si="124"/>
        <v>8.4</v>
      </c>
      <c r="CB172" s="3">
        <f t="shared" si="125"/>
        <v>10.199999999999999</v>
      </c>
      <c r="CC172" s="3">
        <f t="shared" si="126"/>
        <v>10.7</v>
      </c>
      <c r="CD172" s="3">
        <f t="shared" si="127"/>
        <v>8.6999999999999993</v>
      </c>
      <c r="CE172" s="3">
        <f t="shared" si="128"/>
        <v>7.9</v>
      </c>
      <c r="CF172" s="23">
        <f t="shared" si="129"/>
        <v>85.4</v>
      </c>
      <c r="CG172" s="1">
        <f t="shared" si="130"/>
        <v>13.7</v>
      </c>
      <c r="CH172" s="1">
        <f t="shared" si="131"/>
        <v>14.7</v>
      </c>
      <c r="CI172" s="1">
        <f t="shared" si="132"/>
        <v>16.5</v>
      </c>
      <c r="CJ172" s="1">
        <f t="shared" si="133"/>
        <v>20.2</v>
      </c>
      <c r="CK172" s="1">
        <f t="shared" si="134"/>
        <v>14.5</v>
      </c>
      <c r="CL172" s="1">
        <f t="shared" si="135"/>
        <v>9.3000000000000007</v>
      </c>
      <c r="CM172" s="1">
        <f t="shared" si="136"/>
        <v>8.1</v>
      </c>
      <c r="CN172" s="2">
        <f t="shared" si="137"/>
        <v>98.2</v>
      </c>
      <c r="CO172" s="1">
        <f t="shared" si="138"/>
        <v>5.0999999999999996</v>
      </c>
      <c r="CP172" s="1">
        <f t="shared" si="139"/>
        <v>4.8</v>
      </c>
      <c r="CQ172" s="1">
        <f t="shared" si="140"/>
        <v>4.7</v>
      </c>
      <c r="CR172" s="1">
        <f t="shared" si="141"/>
        <v>4.7</v>
      </c>
      <c r="CS172" s="1">
        <f t="shared" si="142"/>
        <v>7.9</v>
      </c>
      <c r="CT172" s="1">
        <f t="shared" si="143"/>
        <v>8.4</v>
      </c>
      <c r="CU172" s="1">
        <f t="shared" si="144"/>
        <v>7.8</v>
      </c>
      <c r="CV172" s="2">
        <f t="shared" si="145"/>
        <v>60.1</v>
      </c>
      <c r="CW172" s="18">
        <f t="shared" si="146"/>
        <v>0</v>
      </c>
      <c r="CX172" s="1">
        <f>ROUND(PPTest!K172,1)</f>
        <v>2</v>
      </c>
      <c r="CY172" s="17">
        <f t="shared" si="147"/>
        <v>1.31</v>
      </c>
      <c r="CZ172" s="17">
        <f t="shared" si="148"/>
        <v>4.34</v>
      </c>
      <c r="DA172" s="20">
        <f t="shared" si="149"/>
        <v>0.94299999999999995</v>
      </c>
      <c r="DB172" s="20">
        <f t="shared" si="150"/>
        <v>0.626</v>
      </c>
      <c r="DC172" s="16">
        <f t="shared" si="151"/>
        <v>11.97</v>
      </c>
      <c r="DF172" s="1">
        <v>10.9</v>
      </c>
      <c r="DG172" s="1">
        <v>16.2</v>
      </c>
      <c r="DH172" s="1">
        <v>7.3</v>
      </c>
      <c r="DI172" s="1">
        <v>85.7</v>
      </c>
      <c r="DJ172" s="1">
        <v>63</v>
      </c>
      <c r="DW172" s="1">
        <v>8.6</v>
      </c>
      <c r="DX172" s="1">
        <v>13.8</v>
      </c>
      <c r="DY172" s="1">
        <v>4.5</v>
      </c>
    </row>
    <row r="173" spans="1:129" x14ac:dyDescent="0.2">
      <c r="A173" s="40">
        <v>34866</v>
      </c>
      <c r="B173" s="3">
        <v>167</v>
      </c>
      <c r="C173" s="3">
        <v>15.72</v>
      </c>
      <c r="D173" s="3">
        <v>30.2</v>
      </c>
      <c r="E173" s="3">
        <v>9.49</v>
      </c>
      <c r="F173" s="3">
        <v>83.4</v>
      </c>
      <c r="G173" s="3">
        <v>9.41</v>
      </c>
      <c r="H173" s="3">
        <v>9.41</v>
      </c>
      <c r="I173" s="3">
        <v>10.44</v>
      </c>
      <c r="J173" s="3">
        <v>10.25</v>
      </c>
      <c r="K173" s="3">
        <v>10.47</v>
      </c>
      <c r="L173" s="3">
        <v>10.48</v>
      </c>
      <c r="M173" s="3">
        <v>9.08</v>
      </c>
      <c r="N173" s="3">
        <v>7.92</v>
      </c>
      <c r="O173" s="3">
        <v>1E-3</v>
      </c>
      <c r="P173" s="16">
        <v>1.4616666666666667</v>
      </c>
      <c r="Q173" s="3">
        <v>0</v>
      </c>
      <c r="R173" s="3">
        <v>14.42</v>
      </c>
      <c r="S173" s="3">
        <v>854</v>
      </c>
      <c r="T173" s="3">
        <v>102.8</v>
      </c>
      <c r="U173" s="3">
        <v>338</v>
      </c>
      <c r="V173" s="3">
        <v>16.37</v>
      </c>
      <c r="W173" s="3">
        <v>17.510000000000002</v>
      </c>
      <c r="X173" s="3">
        <v>23.56</v>
      </c>
      <c r="Y173" s="3">
        <v>18.329999999999998</v>
      </c>
      <c r="Z173" s="3">
        <v>17.329999999999998</v>
      </c>
      <c r="AA173" s="3">
        <v>12.62</v>
      </c>
      <c r="AB173" s="3">
        <v>9.34</v>
      </c>
      <c r="AC173" s="3">
        <v>8.09</v>
      </c>
      <c r="AD173" s="16">
        <v>5.2608333333333333</v>
      </c>
      <c r="AE173" s="3">
        <v>1427</v>
      </c>
      <c r="AF173" s="3">
        <v>1.7270000000000001</v>
      </c>
      <c r="AG173" s="3">
        <v>407</v>
      </c>
      <c r="AH173" s="3">
        <v>58.97</v>
      </c>
      <c r="AI173" s="3">
        <v>853</v>
      </c>
      <c r="AJ173" s="3">
        <v>1.2450000000000001</v>
      </c>
      <c r="AK173" s="3">
        <v>1.1299999999999999</v>
      </c>
      <c r="AL173" s="3">
        <v>0.752</v>
      </c>
      <c r="AM173" s="3">
        <v>1.0089999999999999</v>
      </c>
      <c r="AN173" s="3">
        <v>0.999</v>
      </c>
      <c r="AO173" s="3">
        <v>7.57</v>
      </c>
      <c r="AP173" s="3">
        <v>8.8000000000000007</v>
      </c>
      <c r="AQ173" s="3">
        <v>7.65</v>
      </c>
      <c r="AR173" s="3">
        <v>7.8E-2</v>
      </c>
      <c r="AS173" s="3">
        <v>0.3</v>
      </c>
      <c r="AT173" s="3">
        <v>0.18099999999999999</v>
      </c>
      <c r="AU173" s="3">
        <v>7.4999999999999997E-2</v>
      </c>
      <c r="AV173" s="3">
        <v>9.4E-2</v>
      </c>
      <c r="AW173" s="3">
        <v>0.18099999999999999</v>
      </c>
      <c r="AX173" s="3">
        <v>5.6000000000000001E-2</v>
      </c>
      <c r="AY173" s="3">
        <v>3.5999999999999997E-2</v>
      </c>
      <c r="AZ173" s="3">
        <v>10.050000000000001</v>
      </c>
      <c r="BA173" s="3"/>
      <c r="BB173" s="3">
        <v>11.97</v>
      </c>
      <c r="BC173" s="3">
        <v>2876</v>
      </c>
      <c r="BD173" s="3"/>
      <c r="BE173" s="3"/>
      <c r="BF173" s="3">
        <v>0</v>
      </c>
      <c r="BH173" s="16">
        <v>33.24</v>
      </c>
      <c r="BI173" s="16">
        <f t="shared" si="111"/>
        <v>67.144800000000004</v>
      </c>
      <c r="BJ173" s="17">
        <f t="shared" si="112"/>
        <v>15.72</v>
      </c>
      <c r="BK173" s="17">
        <f t="shared" si="113"/>
        <v>32.619999999999997</v>
      </c>
      <c r="BM173" s="1">
        <f t="shared" si="114"/>
        <v>96</v>
      </c>
      <c r="BN173" s="1">
        <f t="shared" si="115"/>
        <v>78.099999999999994</v>
      </c>
      <c r="BO173" s="1">
        <f t="shared" si="116"/>
        <v>55.5</v>
      </c>
      <c r="BP173" s="62">
        <f t="shared" si="119"/>
        <v>0.91100000000000003</v>
      </c>
      <c r="BQ173" s="62">
        <f t="shared" si="117"/>
        <v>0.73</v>
      </c>
      <c r="BS173" s="1">
        <v>0</v>
      </c>
      <c r="BT173" s="8"/>
      <c r="BV173" s="8"/>
      <c r="BW173" s="16">
        <f t="shared" si="120"/>
        <v>15.72</v>
      </c>
      <c r="BX173" s="16">
        <f t="shared" si="121"/>
        <v>32.619999999999997</v>
      </c>
      <c r="BY173" s="3">
        <f t="shared" si="122"/>
        <v>9.5</v>
      </c>
      <c r="BZ173" s="3">
        <f t="shared" si="123"/>
        <v>9.4</v>
      </c>
      <c r="CA173" s="3">
        <f t="shared" si="124"/>
        <v>9.4</v>
      </c>
      <c r="CB173" s="3">
        <f t="shared" si="125"/>
        <v>10.4</v>
      </c>
      <c r="CC173" s="3">
        <f t="shared" si="126"/>
        <v>10.5</v>
      </c>
      <c r="CD173" s="3">
        <f t="shared" si="127"/>
        <v>9.1</v>
      </c>
      <c r="CE173" s="3">
        <f t="shared" si="128"/>
        <v>7.9</v>
      </c>
      <c r="CF173" s="23">
        <f t="shared" si="129"/>
        <v>78.099999999999994</v>
      </c>
      <c r="CG173" s="1">
        <f t="shared" si="130"/>
        <v>14.4</v>
      </c>
      <c r="CH173" s="1">
        <f t="shared" si="131"/>
        <v>16.399999999999999</v>
      </c>
      <c r="CI173" s="1">
        <f t="shared" si="132"/>
        <v>17.5</v>
      </c>
      <c r="CJ173" s="1">
        <f t="shared" si="133"/>
        <v>23.6</v>
      </c>
      <c r="CK173" s="1">
        <f t="shared" si="134"/>
        <v>12.6</v>
      </c>
      <c r="CL173" s="1">
        <f t="shared" si="135"/>
        <v>9.3000000000000007</v>
      </c>
      <c r="CM173" s="1">
        <f t="shared" si="136"/>
        <v>8.1</v>
      </c>
      <c r="CN173" s="2">
        <f t="shared" si="137"/>
        <v>96</v>
      </c>
      <c r="CO173" s="1">
        <f t="shared" si="138"/>
        <v>1.7</v>
      </c>
      <c r="CP173" s="1">
        <f t="shared" si="139"/>
        <v>1.2</v>
      </c>
      <c r="CQ173" s="1">
        <f t="shared" si="140"/>
        <v>1.1000000000000001</v>
      </c>
      <c r="CR173" s="1">
        <f t="shared" si="141"/>
        <v>0.8</v>
      </c>
      <c r="CS173" s="1">
        <f t="shared" si="142"/>
        <v>7.6</v>
      </c>
      <c r="CT173" s="1">
        <f t="shared" si="143"/>
        <v>8.8000000000000007</v>
      </c>
      <c r="CU173" s="1">
        <f t="shared" si="144"/>
        <v>7.7</v>
      </c>
      <c r="CV173" s="2">
        <f t="shared" si="145"/>
        <v>55.5</v>
      </c>
      <c r="CW173" s="18">
        <f t="shared" si="146"/>
        <v>0</v>
      </c>
      <c r="CX173" s="1">
        <f>ROUND(PPTest!K173,1)</f>
        <v>0</v>
      </c>
      <c r="CY173" s="17">
        <f t="shared" si="147"/>
        <v>1.46</v>
      </c>
      <c r="CZ173" s="17">
        <f t="shared" si="148"/>
        <v>5.26</v>
      </c>
      <c r="DA173" s="20">
        <f t="shared" si="149"/>
        <v>0.91100000000000003</v>
      </c>
      <c r="DB173" s="20">
        <f t="shared" si="150"/>
        <v>0.73</v>
      </c>
      <c r="DC173" s="16">
        <f t="shared" si="151"/>
        <v>11.97</v>
      </c>
      <c r="DF173" s="1">
        <v>12.7</v>
      </c>
      <c r="DG173" s="1">
        <v>16.899999999999999</v>
      </c>
      <c r="DH173" s="1">
        <v>9</v>
      </c>
      <c r="DI173" s="1">
        <v>75.900000000000006</v>
      </c>
      <c r="DJ173" s="1">
        <v>65</v>
      </c>
      <c r="DW173" s="1">
        <v>9.6999999999999993</v>
      </c>
      <c r="DX173" s="1">
        <v>14</v>
      </c>
      <c r="DY173" s="1">
        <v>3.4</v>
      </c>
    </row>
    <row r="174" spans="1:129" x14ac:dyDescent="0.2">
      <c r="A174" s="40">
        <v>34867</v>
      </c>
      <c r="B174" s="3">
        <v>168</v>
      </c>
      <c r="C174" s="3">
        <v>12.86</v>
      </c>
      <c r="D174" s="3">
        <v>24.72</v>
      </c>
      <c r="E174" s="3">
        <v>7.85</v>
      </c>
      <c r="F174" s="3">
        <v>86.8</v>
      </c>
      <c r="G174" s="3">
        <v>7.8</v>
      </c>
      <c r="H174" s="3">
        <v>7.77</v>
      </c>
      <c r="I174" s="3">
        <v>8.8800000000000008</v>
      </c>
      <c r="J174" s="3">
        <v>8.06</v>
      </c>
      <c r="K174" s="3">
        <v>8.17</v>
      </c>
      <c r="L174" s="3">
        <v>10.18</v>
      </c>
      <c r="M174" s="3">
        <v>9.1300000000000008</v>
      </c>
      <c r="N174" s="3">
        <v>8</v>
      </c>
      <c r="O174" s="3">
        <v>1E-3</v>
      </c>
      <c r="P174" s="16">
        <v>1.3598333333333334</v>
      </c>
      <c r="Q174" s="3">
        <v>2</v>
      </c>
      <c r="R174" s="3">
        <v>11.57</v>
      </c>
      <c r="S174" s="3">
        <v>1502</v>
      </c>
      <c r="T174" s="3">
        <v>102</v>
      </c>
      <c r="U174" s="3">
        <v>2357</v>
      </c>
      <c r="V174" s="3">
        <v>12.53</v>
      </c>
      <c r="W174" s="3">
        <v>13.18</v>
      </c>
      <c r="X174" s="3">
        <v>17.3</v>
      </c>
      <c r="Y174" s="3">
        <v>14.25</v>
      </c>
      <c r="Z174" s="3">
        <v>13.71</v>
      </c>
      <c r="AA174" s="3">
        <v>12.07</v>
      </c>
      <c r="AB174" s="3">
        <v>9.33</v>
      </c>
      <c r="AC174" s="3">
        <v>8.17</v>
      </c>
      <c r="AD174" s="16">
        <v>4.8341666666666665</v>
      </c>
      <c r="AE174" s="3">
        <v>1139</v>
      </c>
      <c r="AF174" s="3">
        <v>5.2489999999999997</v>
      </c>
      <c r="AG174" s="3">
        <v>312</v>
      </c>
      <c r="AH174" s="3">
        <v>62.19</v>
      </c>
      <c r="AI174" s="3">
        <v>828</v>
      </c>
      <c r="AJ174" s="3">
        <v>4.9969999999999999</v>
      </c>
      <c r="AK174" s="3">
        <v>4.6449999999999996</v>
      </c>
      <c r="AL174" s="3">
        <v>4.5960000000000001</v>
      </c>
      <c r="AM174" s="3">
        <v>4.5940000000000003</v>
      </c>
      <c r="AN174" s="3">
        <v>4.5570000000000004</v>
      </c>
      <c r="AO174" s="3">
        <v>8.56</v>
      </c>
      <c r="AP174" s="3">
        <v>8.91</v>
      </c>
      <c r="AQ174" s="3">
        <v>7.86</v>
      </c>
      <c r="AR174" s="3">
        <v>6.7000000000000004E-2</v>
      </c>
      <c r="AS174" s="3">
        <v>0.09</v>
      </c>
      <c r="AT174" s="3">
        <v>8.5999999999999993E-2</v>
      </c>
      <c r="AU174" s="3">
        <v>9.4E-2</v>
      </c>
      <c r="AV174" s="3">
        <v>0.16400000000000001</v>
      </c>
      <c r="AW174" s="3">
        <v>0.32600000000000001</v>
      </c>
      <c r="AX174" s="3">
        <v>0.121</v>
      </c>
      <c r="AY174" s="3">
        <v>5.1999999999999998E-2</v>
      </c>
      <c r="AZ174" s="3">
        <v>8.35</v>
      </c>
      <c r="BA174" s="3"/>
      <c r="BB174" s="3">
        <v>11.96</v>
      </c>
      <c r="BC174" s="3">
        <v>2876</v>
      </c>
      <c r="BD174" s="3"/>
      <c r="BE174" s="3"/>
      <c r="BF174" s="3">
        <v>0</v>
      </c>
      <c r="BH174" s="16">
        <v>33.24</v>
      </c>
      <c r="BI174" s="16">
        <f t="shared" si="111"/>
        <v>67.144800000000004</v>
      </c>
      <c r="BJ174" s="17">
        <f t="shared" si="112"/>
        <v>12.86</v>
      </c>
      <c r="BK174" s="17">
        <f t="shared" si="113"/>
        <v>26.7</v>
      </c>
      <c r="BM174" s="1">
        <f t="shared" si="114"/>
        <v>95.2</v>
      </c>
      <c r="BN174" s="1">
        <f t="shared" si="115"/>
        <v>81.2</v>
      </c>
      <c r="BO174" s="1">
        <f t="shared" si="116"/>
        <v>58.5</v>
      </c>
      <c r="BP174" s="62">
        <f t="shared" si="119"/>
        <v>0.79700000000000004</v>
      </c>
      <c r="BQ174" s="62">
        <f t="shared" si="117"/>
        <v>0.56499999999999995</v>
      </c>
      <c r="BS174" s="1">
        <v>1.9</v>
      </c>
      <c r="BT174" s="8"/>
      <c r="BV174" s="8"/>
      <c r="BW174" s="16">
        <f t="shared" si="120"/>
        <v>12.86</v>
      </c>
      <c r="BX174" s="16">
        <f t="shared" si="121"/>
        <v>26.7</v>
      </c>
      <c r="BY174" s="3">
        <f t="shared" si="122"/>
        <v>7.9</v>
      </c>
      <c r="BZ174" s="3">
        <f t="shared" si="123"/>
        <v>7.8</v>
      </c>
      <c r="CA174" s="3">
        <f t="shared" si="124"/>
        <v>7.8</v>
      </c>
      <c r="CB174" s="3">
        <f t="shared" si="125"/>
        <v>8.9</v>
      </c>
      <c r="CC174" s="3">
        <f t="shared" si="126"/>
        <v>10.199999999999999</v>
      </c>
      <c r="CD174" s="3">
        <f t="shared" si="127"/>
        <v>9.1</v>
      </c>
      <c r="CE174" s="3">
        <f t="shared" si="128"/>
        <v>8</v>
      </c>
      <c r="CF174" s="23">
        <f t="shared" si="129"/>
        <v>81.2</v>
      </c>
      <c r="CG174" s="1">
        <f t="shared" si="130"/>
        <v>11.6</v>
      </c>
      <c r="CH174" s="1">
        <f t="shared" si="131"/>
        <v>12.5</v>
      </c>
      <c r="CI174" s="1">
        <f t="shared" si="132"/>
        <v>13.2</v>
      </c>
      <c r="CJ174" s="1">
        <f t="shared" si="133"/>
        <v>17.3</v>
      </c>
      <c r="CK174" s="1">
        <f t="shared" si="134"/>
        <v>12.1</v>
      </c>
      <c r="CL174" s="1">
        <f t="shared" si="135"/>
        <v>9.3000000000000007</v>
      </c>
      <c r="CM174" s="1">
        <f t="shared" si="136"/>
        <v>8.1999999999999993</v>
      </c>
      <c r="CN174" s="2">
        <f t="shared" si="137"/>
        <v>95.2</v>
      </c>
      <c r="CO174" s="1">
        <f t="shared" si="138"/>
        <v>5.2</v>
      </c>
      <c r="CP174" s="1">
        <f t="shared" si="139"/>
        <v>5</v>
      </c>
      <c r="CQ174" s="1">
        <f t="shared" si="140"/>
        <v>4.5999999999999996</v>
      </c>
      <c r="CR174" s="1">
        <f t="shared" si="141"/>
        <v>4.5999999999999996</v>
      </c>
      <c r="CS174" s="1">
        <f t="shared" si="142"/>
        <v>8.6</v>
      </c>
      <c r="CT174" s="1">
        <f t="shared" si="143"/>
        <v>8.9</v>
      </c>
      <c r="CU174" s="1">
        <f t="shared" si="144"/>
        <v>7.9</v>
      </c>
      <c r="CV174" s="2">
        <f t="shared" si="145"/>
        <v>58.5</v>
      </c>
      <c r="CW174" s="18">
        <f t="shared" si="146"/>
        <v>0</v>
      </c>
      <c r="CX174" s="1">
        <f>ROUND(PPTest!K174,1)</f>
        <v>2</v>
      </c>
      <c r="CY174" s="17">
        <f t="shared" si="147"/>
        <v>1.36</v>
      </c>
      <c r="CZ174" s="17">
        <f t="shared" si="148"/>
        <v>4.83</v>
      </c>
      <c r="DA174" s="20">
        <f t="shared" si="149"/>
        <v>0.79700000000000004</v>
      </c>
      <c r="DB174" s="20">
        <f t="shared" si="150"/>
        <v>0.56499999999999995</v>
      </c>
      <c r="DC174" s="16">
        <f t="shared" si="151"/>
        <v>11.96</v>
      </c>
      <c r="DF174" s="1">
        <v>11</v>
      </c>
      <c r="DG174" s="1">
        <v>15.3</v>
      </c>
      <c r="DH174" s="1">
        <v>7.2</v>
      </c>
      <c r="DI174" s="1">
        <v>78.400000000000006</v>
      </c>
      <c r="DJ174" s="1">
        <v>60</v>
      </c>
      <c r="DW174" s="1">
        <v>8.1999999999999993</v>
      </c>
      <c r="DX174" s="1">
        <v>12.8</v>
      </c>
      <c r="DY174" s="1">
        <v>4.3</v>
      </c>
    </row>
    <row r="175" spans="1:129" x14ac:dyDescent="0.2">
      <c r="A175" s="40">
        <v>34868</v>
      </c>
      <c r="B175" s="3">
        <v>169</v>
      </c>
      <c r="C175" s="3">
        <v>13.46</v>
      </c>
      <c r="D175" s="3">
        <v>25.84</v>
      </c>
      <c r="E175" s="3">
        <v>7.4</v>
      </c>
      <c r="F175" s="3">
        <v>93</v>
      </c>
      <c r="G175" s="3">
        <v>7.41</v>
      </c>
      <c r="H175" s="3">
        <v>7.32</v>
      </c>
      <c r="I175" s="3">
        <v>8.74</v>
      </c>
      <c r="J175" s="3">
        <v>7.69</v>
      </c>
      <c r="K175" s="3">
        <v>7.75</v>
      </c>
      <c r="L175" s="3">
        <v>10.09</v>
      </c>
      <c r="M175" s="3">
        <v>9.0299999999999994</v>
      </c>
      <c r="N175" s="3">
        <v>8.06</v>
      </c>
      <c r="O175" s="3">
        <v>1E-3</v>
      </c>
      <c r="P175" s="16">
        <v>1.1964999999999999</v>
      </c>
      <c r="Q175" s="3">
        <v>1</v>
      </c>
      <c r="R175" s="3">
        <v>12.68</v>
      </c>
      <c r="S175" s="3">
        <v>1347</v>
      </c>
      <c r="T175" s="3">
        <v>105.3</v>
      </c>
      <c r="U175" s="3">
        <v>2356</v>
      </c>
      <c r="V175" s="3">
        <v>13.51</v>
      </c>
      <c r="W175" s="3">
        <v>15.27</v>
      </c>
      <c r="X175" s="3">
        <v>22.43</v>
      </c>
      <c r="Y175" s="3">
        <v>16.28</v>
      </c>
      <c r="Z175" s="3">
        <v>15.83</v>
      </c>
      <c r="AA175" s="3">
        <v>13.29</v>
      </c>
      <c r="AB175" s="3">
        <v>9.35</v>
      </c>
      <c r="AC175" s="3">
        <v>8.26</v>
      </c>
      <c r="AD175" s="16">
        <v>3.6074999999999999</v>
      </c>
      <c r="AE175" s="3">
        <v>1210</v>
      </c>
      <c r="AF175" s="3">
        <v>3.9420000000000002</v>
      </c>
      <c r="AG175" s="3">
        <v>2234</v>
      </c>
      <c r="AH175" s="3">
        <v>55.87</v>
      </c>
      <c r="AI175" s="3">
        <v>1339</v>
      </c>
      <c r="AJ175" s="3">
        <v>3.621</v>
      </c>
      <c r="AK175" s="3">
        <v>3.4550000000000001</v>
      </c>
      <c r="AL175" s="3">
        <v>2.5739999999999998</v>
      </c>
      <c r="AM175" s="3">
        <v>3.3889999999999998</v>
      </c>
      <c r="AN175" s="3">
        <v>3.4460000000000002</v>
      </c>
      <c r="AO175" s="3">
        <v>7.75</v>
      </c>
      <c r="AP175" s="3">
        <v>8.77</v>
      </c>
      <c r="AQ175" s="3">
        <v>7.88</v>
      </c>
      <c r="AR175" s="3">
        <v>0.10299999999999999</v>
      </c>
      <c r="AS175" s="3">
        <v>0.34200000000000003</v>
      </c>
      <c r="AT175" s="3">
        <v>0.14199999999999999</v>
      </c>
      <c r="AU175" s="3">
        <v>2.8000000000000001E-2</v>
      </c>
      <c r="AV175" s="3">
        <v>0.104</v>
      </c>
      <c r="AW175" s="3">
        <v>0.184</v>
      </c>
      <c r="AX175" s="3">
        <v>5.2999999999999999E-2</v>
      </c>
      <c r="AY175" s="3">
        <v>4.3999999999999997E-2</v>
      </c>
      <c r="AZ175" s="3">
        <v>7.91</v>
      </c>
      <c r="BA175" s="3"/>
      <c r="BB175" s="3">
        <v>11.96</v>
      </c>
      <c r="BC175" s="3">
        <v>2876</v>
      </c>
      <c r="BD175" s="3"/>
      <c r="BE175" s="3"/>
      <c r="BF175" s="3">
        <v>0</v>
      </c>
      <c r="BH175" s="16">
        <v>33.25</v>
      </c>
      <c r="BI175" s="16">
        <f t="shared" si="111"/>
        <v>67.165000000000006</v>
      </c>
      <c r="BJ175" s="17">
        <f t="shared" si="112"/>
        <v>13.46</v>
      </c>
      <c r="BK175" s="17">
        <f t="shared" si="113"/>
        <v>27.91</v>
      </c>
      <c r="BM175" s="1">
        <f t="shared" si="114"/>
        <v>98.3</v>
      </c>
      <c r="BN175" s="1">
        <f t="shared" si="115"/>
        <v>86.9</v>
      </c>
      <c r="BO175" s="1">
        <f t="shared" si="116"/>
        <v>52.6</v>
      </c>
      <c r="BP175" s="62">
        <f t="shared" si="119"/>
        <v>0.77100000000000002</v>
      </c>
      <c r="BQ175" s="62">
        <f t="shared" si="117"/>
        <v>0.69499999999999995</v>
      </c>
      <c r="BS175" s="1">
        <v>2.9</v>
      </c>
      <c r="BT175" s="8"/>
      <c r="BV175" s="8"/>
      <c r="BW175" s="16">
        <f t="shared" si="120"/>
        <v>13.46</v>
      </c>
      <c r="BX175" s="16">
        <f t="shared" si="121"/>
        <v>27.91</v>
      </c>
      <c r="BY175" s="3">
        <f t="shared" si="122"/>
        <v>7.4</v>
      </c>
      <c r="BZ175" s="3">
        <f t="shared" si="123"/>
        <v>7.4</v>
      </c>
      <c r="CA175" s="3">
        <f t="shared" si="124"/>
        <v>7.3</v>
      </c>
      <c r="CB175" s="3">
        <f t="shared" si="125"/>
        <v>8.6999999999999993</v>
      </c>
      <c r="CC175" s="3">
        <f t="shared" si="126"/>
        <v>10.1</v>
      </c>
      <c r="CD175" s="3">
        <f t="shared" si="127"/>
        <v>9</v>
      </c>
      <c r="CE175" s="3">
        <f t="shared" si="128"/>
        <v>8.1</v>
      </c>
      <c r="CF175" s="23">
        <f t="shared" si="129"/>
        <v>86.9</v>
      </c>
      <c r="CG175" s="1">
        <f t="shared" si="130"/>
        <v>12.7</v>
      </c>
      <c r="CH175" s="1">
        <f t="shared" si="131"/>
        <v>13.5</v>
      </c>
      <c r="CI175" s="1">
        <f t="shared" si="132"/>
        <v>15.3</v>
      </c>
      <c r="CJ175" s="1">
        <f t="shared" si="133"/>
        <v>22.4</v>
      </c>
      <c r="CK175" s="1">
        <f t="shared" si="134"/>
        <v>13.3</v>
      </c>
      <c r="CL175" s="1">
        <f t="shared" si="135"/>
        <v>9.4</v>
      </c>
      <c r="CM175" s="1">
        <f t="shared" si="136"/>
        <v>8.3000000000000007</v>
      </c>
      <c r="CN175" s="2">
        <f t="shared" si="137"/>
        <v>98.3</v>
      </c>
      <c r="CO175" s="1">
        <f t="shared" si="138"/>
        <v>3.9</v>
      </c>
      <c r="CP175" s="1">
        <f t="shared" si="139"/>
        <v>3.6</v>
      </c>
      <c r="CQ175" s="1">
        <f t="shared" si="140"/>
        <v>3.5</v>
      </c>
      <c r="CR175" s="1">
        <f t="shared" si="141"/>
        <v>2.6</v>
      </c>
      <c r="CS175" s="1">
        <f t="shared" si="142"/>
        <v>7.8</v>
      </c>
      <c r="CT175" s="1">
        <f t="shared" si="143"/>
        <v>8.8000000000000007</v>
      </c>
      <c r="CU175" s="1">
        <f t="shared" si="144"/>
        <v>7.9</v>
      </c>
      <c r="CV175" s="2">
        <f t="shared" si="145"/>
        <v>52.6</v>
      </c>
      <c r="CW175" s="18">
        <f t="shared" si="146"/>
        <v>0</v>
      </c>
      <c r="CX175" s="1">
        <f>ROUND(PPTest!K175,1)</f>
        <v>1</v>
      </c>
      <c r="CY175" s="17">
        <f t="shared" si="147"/>
        <v>1.2</v>
      </c>
      <c r="CZ175" s="17">
        <f t="shared" si="148"/>
        <v>3.61</v>
      </c>
      <c r="DA175" s="20">
        <f t="shared" si="149"/>
        <v>0.77100000000000002</v>
      </c>
      <c r="DB175" s="20">
        <f t="shared" si="150"/>
        <v>0.69499999999999995</v>
      </c>
      <c r="DC175" s="16">
        <f t="shared" si="151"/>
        <v>11.96</v>
      </c>
      <c r="DF175" s="1">
        <v>10.4</v>
      </c>
      <c r="DG175" s="1">
        <v>15.3</v>
      </c>
      <c r="DH175" s="1">
        <v>7.3</v>
      </c>
      <c r="DI175" s="1">
        <v>85.4</v>
      </c>
      <c r="DJ175" s="1">
        <v>58</v>
      </c>
      <c r="DW175" s="1">
        <v>6.3</v>
      </c>
      <c r="DX175" s="1">
        <v>9.4</v>
      </c>
      <c r="DY175" s="1">
        <v>0.8</v>
      </c>
    </row>
    <row r="176" spans="1:129" x14ac:dyDescent="0.2">
      <c r="A176" s="40">
        <v>34869</v>
      </c>
      <c r="B176" s="3">
        <v>170</v>
      </c>
      <c r="C176" s="3">
        <v>11.64</v>
      </c>
      <c r="D176" s="3">
        <v>22.56</v>
      </c>
      <c r="E176" s="3">
        <v>7.01</v>
      </c>
      <c r="F176" s="3">
        <v>95.9</v>
      </c>
      <c r="G176" s="3">
        <v>7.02</v>
      </c>
      <c r="H176" s="3">
        <v>7.06</v>
      </c>
      <c r="I176" s="3">
        <v>8.6300000000000008</v>
      </c>
      <c r="J176" s="3">
        <v>7.5</v>
      </c>
      <c r="K176" s="3">
        <v>7.63</v>
      </c>
      <c r="L176" s="3">
        <v>9.67</v>
      </c>
      <c r="M176" s="3">
        <v>9</v>
      </c>
      <c r="N176" s="3">
        <v>8.18</v>
      </c>
      <c r="O176" s="3">
        <v>1E-3</v>
      </c>
      <c r="P176" s="16">
        <v>1.8474999999999999</v>
      </c>
      <c r="Q176" s="3">
        <v>0</v>
      </c>
      <c r="R176" s="3">
        <v>10.56</v>
      </c>
      <c r="S176" s="3">
        <v>1559</v>
      </c>
      <c r="T176" s="3">
        <v>105.6</v>
      </c>
      <c r="U176" s="3">
        <v>327</v>
      </c>
      <c r="V176" s="3">
        <v>11.23</v>
      </c>
      <c r="W176" s="3">
        <v>11.82</v>
      </c>
      <c r="X176" s="3">
        <v>16.8</v>
      </c>
      <c r="Y176" s="3">
        <v>12.85</v>
      </c>
      <c r="Z176" s="3">
        <v>12.87</v>
      </c>
      <c r="AA176" s="3">
        <v>11.63</v>
      </c>
      <c r="AB176" s="3">
        <v>9.25</v>
      </c>
      <c r="AC176" s="3">
        <v>8.33</v>
      </c>
      <c r="AD176" s="16">
        <v>4.0608333333333331</v>
      </c>
      <c r="AE176" s="3">
        <v>1215</v>
      </c>
      <c r="AF176" s="3">
        <v>2.5950000000000002</v>
      </c>
      <c r="AG176" s="3">
        <v>332</v>
      </c>
      <c r="AH176" s="3">
        <v>74.7</v>
      </c>
      <c r="AI176" s="3">
        <v>1604</v>
      </c>
      <c r="AJ176" s="3">
        <v>2.052</v>
      </c>
      <c r="AK176" s="3">
        <v>1.7110000000000001</v>
      </c>
      <c r="AL176" s="3">
        <v>1.0609999999999999</v>
      </c>
      <c r="AM176" s="3">
        <v>1.7230000000000001</v>
      </c>
      <c r="AN176" s="3">
        <v>1.78</v>
      </c>
      <c r="AO176" s="3">
        <v>7.56</v>
      </c>
      <c r="AP176" s="3">
        <v>8.7899999999999991</v>
      </c>
      <c r="AQ176" s="3">
        <v>7.95</v>
      </c>
      <c r="AR176" s="3">
        <v>2.1999999999999999E-2</v>
      </c>
      <c r="AS176" s="3">
        <v>0.11600000000000001</v>
      </c>
      <c r="AT176" s="3">
        <v>0.105</v>
      </c>
      <c r="AU176" s="3">
        <v>0.01</v>
      </c>
      <c r="AV176" s="3">
        <v>0.11700000000000001</v>
      </c>
      <c r="AW176" s="3">
        <v>0.46500000000000002</v>
      </c>
      <c r="AX176" s="3">
        <v>0.14499999999999999</v>
      </c>
      <c r="AY176" s="3">
        <v>2.1000000000000001E-2</v>
      </c>
      <c r="AZ176" s="3">
        <v>7.67</v>
      </c>
      <c r="BA176" s="3"/>
      <c r="BB176" s="3">
        <v>11.95</v>
      </c>
      <c r="BC176" s="3">
        <v>2876</v>
      </c>
      <c r="BD176" s="3"/>
      <c r="BE176" s="3"/>
      <c r="BF176" s="3">
        <v>0</v>
      </c>
      <c r="BH176" s="16">
        <v>33.25</v>
      </c>
      <c r="BI176" s="16">
        <f t="shared" si="111"/>
        <v>67.165000000000006</v>
      </c>
      <c r="BJ176" s="17">
        <f t="shared" si="112"/>
        <v>11.64</v>
      </c>
      <c r="BK176" s="17">
        <f t="shared" si="113"/>
        <v>24.36</v>
      </c>
      <c r="BM176" s="1">
        <f t="shared" si="114"/>
        <v>98.6</v>
      </c>
      <c r="BN176" s="1">
        <f t="shared" si="115"/>
        <v>89.6</v>
      </c>
      <c r="BO176" s="1">
        <f t="shared" si="116"/>
        <v>70</v>
      </c>
      <c r="BP176" s="62">
        <f t="shared" si="119"/>
        <v>0.89200000000000002</v>
      </c>
      <c r="BQ176" s="62">
        <f t="shared" si="117"/>
        <v>0.38200000000000001</v>
      </c>
      <c r="BS176" s="1">
        <v>3.3</v>
      </c>
      <c r="BT176" s="8"/>
      <c r="BV176" s="8"/>
      <c r="BW176" s="16">
        <f t="shared" si="120"/>
        <v>11.64</v>
      </c>
      <c r="BX176" s="16">
        <f t="shared" si="121"/>
        <v>24.36</v>
      </c>
      <c r="BY176" s="3">
        <f t="shared" si="122"/>
        <v>7</v>
      </c>
      <c r="BZ176" s="3">
        <f t="shared" si="123"/>
        <v>7</v>
      </c>
      <c r="CA176" s="3">
        <f t="shared" si="124"/>
        <v>7.1</v>
      </c>
      <c r="CB176" s="3">
        <f t="shared" si="125"/>
        <v>8.6</v>
      </c>
      <c r="CC176" s="3">
        <f t="shared" si="126"/>
        <v>9.6999999999999993</v>
      </c>
      <c r="CD176" s="3">
        <f t="shared" si="127"/>
        <v>9</v>
      </c>
      <c r="CE176" s="3">
        <f t="shared" si="128"/>
        <v>8.1999999999999993</v>
      </c>
      <c r="CF176" s="23">
        <f t="shared" si="129"/>
        <v>89.6</v>
      </c>
      <c r="CG176" s="1">
        <f t="shared" si="130"/>
        <v>10.6</v>
      </c>
      <c r="CH176" s="1">
        <f t="shared" si="131"/>
        <v>11.2</v>
      </c>
      <c r="CI176" s="1">
        <f t="shared" si="132"/>
        <v>11.8</v>
      </c>
      <c r="CJ176" s="1">
        <f t="shared" si="133"/>
        <v>16.8</v>
      </c>
      <c r="CK176" s="1">
        <f t="shared" si="134"/>
        <v>11.6</v>
      </c>
      <c r="CL176" s="1">
        <f t="shared" si="135"/>
        <v>9.3000000000000007</v>
      </c>
      <c r="CM176" s="1">
        <f t="shared" si="136"/>
        <v>8.3000000000000007</v>
      </c>
      <c r="CN176" s="2">
        <f t="shared" si="137"/>
        <v>98.6</v>
      </c>
      <c r="CO176" s="1">
        <f t="shared" si="138"/>
        <v>2.6</v>
      </c>
      <c r="CP176" s="1">
        <f t="shared" si="139"/>
        <v>2.1</v>
      </c>
      <c r="CQ176" s="1">
        <f t="shared" si="140"/>
        <v>1.7</v>
      </c>
      <c r="CR176" s="1">
        <f t="shared" si="141"/>
        <v>1.1000000000000001</v>
      </c>
      <c r="CS176" s="1">
        <f t="shared" si="142"/>
        <v>7.6</v>
      </c>
      <c r="CT176" s="1">
        <f t="shared" si="143"/>
        <v>8.8000000000000007</v>
      </c>
      <c r="CU176" s="1">
        <f t="shared" si="144"/>
        <v>8</v>
      </c>
      <c r="CV176" s="2">
        <f t="shared" si="145"/>
        <v>70</v>
      </c>
      <c r="CW176" s="18">
        <f t="shared" si="146"/>
        <v>0</v>
      </c>
      <c r="CX176" s="1">
        <f>ROUND(PPTest!K176,1)</f>
        <v>0</v>
      </c>
      <c r="CY176" s="17">
        <f t="shared" si="147"/>
        <v>1.85</v>
      </c>
      <c r="CZ176" s="17">
        <f t="shared" si="148"/>
        <v>4.0599999999999996</v>
      </c>
      <c r="DA176" s="20">
        <f t="shared" si="149"/>
        <v>0.89200000000000002</v>
      </c>
      <c r="DB176" s="20">
        <f t="shared" si="150"/>
        <v>0.38200000000000001</v>
      </c>
      <c r="DC176" s="16">
        <f t="shared" si="151"/>
        <v>11.95</v>
      </c>
      <c r="DF176" s="1">
        <v>9.8000000000000007</v>
      </c>
      <c r="DG176" s="1">
        <v>12.9</v>
      </c>
      <c r="DH176" s="1">
        <v>7.1</v>
      </c>
      <c r="DI176" s="1">
        <v>92.1</v>
      </c>
      <c r="DJ176" s="1">
        <v>81</v>
      </c>
      <c r="DW176" s="1">
        <v>6.4</v>
      </c>
      <c r="DX176" s="1">
        <v>12.1</v>
      </c>
      <c r="DY176" s="1">
        <v>-1</v>
      </c>
    </row>
    <row r="177" spans="1:129" x14ac:dyDescent="0.2">
      <c r="A177" s="40">
        <v>34870</v>
      </c>
      <c r="B177" s="3">
        <v>171</v>
      </c>
      <c r="C177" s="3">
        <v>4.1150000000000002</v>
      </c>
      <c r="D177" s="3">
        <v>8.02</v>
      </c>
      <c r="E177" s="3">
        <v>7.75</v>
      </c>
      <c r="F177" s="3">
        <v>106</v>
      </c>
      <c r="G177" s="3">
        <v>7.65</v>
      </c>
      <c r="H177" s="3">
        <v>7.66</v>
      </c>
      <c r="I177" s="3">
        <v>8.6</v>
      </c>
      <c r="J177" s="3">
        <v>7.82</v>
      </c>
      <c r="K177" s="3">
        <v>7.81</v>
      </c>
      <c r="L177" s="3">
        <v>9.2200000000000006</v>
      </c>
      <c r="M177" s="3">
        <v>8.9</v>
      </c>
      <c r="N177" s="3">
        <v>8.25</v>
      </c>
      <c r="O177" s="3">
        <v>1E-3</v>
      </c>
      <c r="P177" s="16">
        <v>2.1708333333333334</v>
      </c>
      <c r="Q177" s="3">
        <v>1</v>
      </c>
      <c r="R177" s="3">
        <v>9.49</v>
      </c>
      <c r="S177" s="3">
        <v>1407</v>
      </c>
      <c r="T177" s="3">
        <v>106.3</v>
      </c>
      <c r="U177" s="3">
        <v>625</v>
      </c>
      <c r="V177" s="3">
        <v>9.82</v>
      </c>
      <c r="W177" s="3">
        <v>10.029999999999999</v>
      </c>
      <c r="X177" s="3">
        <v>13.4</v>
      </c>
      <c r="Y177" s="3">
        <v>10.38</v>
      </c>
      <c r="Z177" s="3">
        <v>10.39</v>
      </c>
      <c r="AA177" s="3">
        <v>10.14</v>
      </c>
      <c r="AB177" s="3">
        <v>9.1300000000000008</v>
      </c>
      <c r="AC177" s="3">
        <v>8.34</v>
      </c>
      <c r="AD177" s="16">
        <v>4.6608333333333336</v>
      </c>
      <c r="AE177" s="3">
        <v>1538</v>
      </c>
      <c r="AF177" s="3">
        <v>6.1779999999999999</v>
      </c>
      <c r="AG177" s="3">
        <v>623</v>
      </c>
      <c r="AH177" s="3">
        <v>104</v>
      </c>
      <c r="AI177" s="3">
        <v>1</v>
      </c>
      <c r="AJ177" s="3">
        <v>5.99</v>
      </c>
      <c r="AK177" s="3">
        <v>5.9960000000000004</v>
      </c>
      <c r="AL177" s="3">
        <v>6.5030000000000001</v>
      </c>
      <c r="AM177" s="3">
        <v>6.1390000000000002</v>
      </c>
      <c r="AN177" s="3">
        <v>6.1280000000000001</v>
      </c>
      <c r="AO177" s="3">
        <v>8.4</v>
      </c>
      <c r="AP177" s="3">
        <v>8.76</v>
      </c>
      <c r="AQ177" s="3">
        <v>8.18</v>
      </c>
      <c r="AR177" s="3">
        <v>1E-3</v>
      </c>
      <c r="AS177" s="3">
        <v>0</v>
      </c>
      <c r="AT177" s="3">
        <v>0</v>
      </c>
      <c r="AU177" s="3">
        <v>1E-3</v>
      </c>
      <c r="AV177" s="3">
        <v>8.3000000000000004E-2</v>
      </c>
      <c r="AW177" s="3">
        <v>0.71099999999999997</v>
      </c>
      <c r="AX177" s="3">
        <v>0.192</v>
      </c>
      <c r="AY177" s="3">
        <v>1.0999999999999999E-2</v>
      </c>
      <c r="AZ177" s="3">
        <v>8</v>
      </c>
      <c r="BA177" s="3"/>
      <c r="BB177" s="3">
        <v>11.95</v>
      </c>
      <c r="BC177" s="3">
        <v>2876</v>
      </c>
      <c r="BD177" s="3"/>
      <c r="BE177" s="3"/>
      <c r="BF177" s="3">
        <v>0</v>
      </c>
      <c r="BH177" s="16">
        <v>33.24</v>
      </c>
      <c r="BI177" s="16">
        <f t="shared" si="111"/>
        <v>67.144800000000004</v>
      </c>
      <c r="BJ177" s="17">
        <f t="shared" si="112"/>
        <v>4.12</v>
      </c>
      <c r="BK177" s="17">
        <f t="shared" si="113"/>
        <v>8.66</v>
      </c>
      <c r="BM177" s="1">
        <f t="shared" si="114"/>
        <v>99.2</v>
      </c>
      <c r="BN177" s="1">
        <f t="shared" si="115"/>
        <v>98.9</v>
      </c>
      <c r="BO177" s="1">
        <f t="shared" si="116"/>
        <v>97.1</v>
      </c>
      <c r="BP177" s="62">
        <f t="shared" si="119"/>
        <v>1.1519999999999999</v>
      </c>
      <c r="BQ177" s="62">
        <f t="shared" si="117"/>
        <v>3.4000000000000002E-2</v>
      </c>
      <c r="BS177" s="1">
        <v>11.1</v>
      </c>
      <c r="BT177" s="8"/>
      <c r="BV177" s="8"/>
      <c r="BW177" s="16">
        <f t="shared" si="120"/>
        <v>4.12</v>
      </c>
      <c r="BX177" s="16">
        <f t="shared" si="121"/>
        <v>8.66</v>
      </c>
      <c r="BY177" s="3">
        <f t="shared" si="122"/>
        <v>7.8</v>
      </c>
      <c r="BZ177" s="3">
        <f t="shared" si="123"/>
        <v>7.7</v>
      </c>
      <c r="CA177" s="3">
        <f t="shared" si="124"/>
        <v>7.7</v>
      </c>
      <c r="CB177" s="3">
        <f t="shared" si="125"/>
        <v>8.6</v>
      </c>
      <c r="CC177" s="3">
        <f t="shared" si="126"/>
        <v>9.1999999999999993</v>
      </c>
      <c r="CD177" s="3">
        <f t="shared" si="127"/>
        <v>8.9</v>
      </c>
      <c r="CE177" s="3">
        <f t="shared" si="128"/>
        <v>8.3000000000000007</v>
      </c>
      <c r="CF177" s="23">
        <f t="shared" si="129"/>
        <v>98.9</v>
      </c>
      <c r="CG177" s="1">
        <f t="shared" si="130"/>
        <v>9.5</v>
      </c>
      <c r="CH177" s="1">
        <f t="shared" si="131"/>
        <v>9.8000000000000007</v>
      </c>
      <c r="CI177" s="1">
        <f t="shared" si="132"/>
        <v>10</v>
      </c>
      <c r="CJ177" s="1">
        <f t="shared" si="133"/>
        <v>13.4</v>
      </c>
      <c r="CK177" s="1">
        <f t="shared" si="134"/>
        <v>10.1</v>
      </c>
      <c r="CL177" s="1">
        <f t="shared" si="135"/>
        <v>9.1</v>
      </c>
      <c r="CM177" s="1">
        <f t="shared" si="136"/>
        <v>8.3000000000000007</v>
      </c>
      <c r="CN177" s="2">
        <f t="shared" si="137"/>
        <v>99.2</v>
      </c>
      <c r="CO177" s="1">
        <f t="shared" si="138"/>
        <v>6.2</v>
      </c>
      <c r="CP177" s="1">
        <f t="shared" si="139"/>
        <v>6</v>
      </c>
      <c r="CQ177" s="1">
        <f t="shared" si="140"/>
        <v>6</v>
      </c>
      <c r="CR177" s="1">
        <f t="shared" si="141"/>
        <v>6.5</v>
      </c>
      <c r="CS177" s="1">
        <f t="shared" si="142"/>
        <v>8.4</v>
      </c>
      <c r="CT177" s="1">
        <f t="shared" si="143"/>
        <v>8.8000000000000007</v>
      </c>
      <c r="CU177" s="1">
        <f t="shared" si="144"/>
        <v>8.1999999999999993</v>
      </c>
      <c r="CV177" s="2">
        <f t="shared" si="145"/>
        <v>97.1</v>
      </c>
      <c r="CW177" s="18">
        <f t="shared" si="146"/>
        <v>0</v>
      </c>
      <c r="CX177" s="1">
        <f>ROUND(PPTest!K177,1)</f>
        <v>1</v>
      </c>
      <c r="CY177" s="17">
        <f t="shared" si="147"/>
        <v>2.17</v>
      </c>
      <c r="CZ177" s="17">
        <f t="shared" si="148"/>
        <v>4.66</v>
      </c>
      <c r="DA177" s="20">
        <f t="shared" si="149"/>
        <v>1.1519999999999999</v>
      </c>
      <c r="DB177" s="20">
        <f t="shared" si="150"/>
        <v>3.4000000000000002E-2</v>
      </c>
      <c r="DC177" s="16">
        <f t="shared" si="151"/>
        <v>11.95</v>
      </c>
      <c r="DF177" s="1">
        <v>9.1</v>
      </c>
      <c r="DG177" s="1">
        <v>10.8</v>
      </c>
      <c r="DH177" s="1">
        <v>7.4</v>
      </c>
      <c r="DI177" s="1">
        <v>99.4</v>
      </c>
      <c r="DJ177" s="1">
        <v>96</v>
      </c>
      <c r="DW177" s="1">
        <v>5.7</v>
      </c>
      <c r="DX177" s="1">
        <v>8</v>
      </c>
      <c r="DY177" s="1">
        <v>3.8</v>
      </c>
    </row>
    <row r="178" spans="1:129" x14ac:dyDescent="0.2">
      <c r="A178" s="40">
        <v>34871</v>
      </c>
      <c r="B178" s="3">
        <v>172</v>
      </c>
      <c r="C178" s="3">
        <v>14.07</v>
      </c>
      <c r="D178" s="3">
        <v>26.89</v>
      </c>
      <c r="E178" s="3">
        <v>9.67</v>
      </c>
      <c r="F178" s="3">
        <v>96.9</v>
      </c>
      <c r="G178" s="3">
        <v>9.83</v>
      </c>
      <c r="H178" s="3">
        <v>9.7799999999999994</v>
      </c>
      <c r="I178" s="3">
        <v>11.35</v>
      </c>
      <c r="J178" s="3">
        <v>10.53</v>
      </c>
      <c r="K178" s="3">
        <v>10.87</v>
      </c>
      <c r="L178" s="3">
        <v>10.84</v>
      </c>
      <c r="M178" s="3">
        <v>8.9700000000000006</v>
      </c>
      <c r="N178" s="3">
        <v>8.2899999999999991</v>
      </c>
      <c r="O178" s="3">
        <v>1E-3</v>
      </c>
      <c r="P178" s="16">
        <v>1.7358333333333333</v>
      </c>
      <c r="Q178" s="3">
        <v>1</v>
      </c>
      <c r="R178" s="3">
        <v>15.87</v>
      </c>
      <c r="S178" s="3">
        <v>1724</v>
      </c>
      <c r="T178" s="3">
        <v>106.3</v>
      </c>
      <c r="U178" s="3">
        <v>604</v>
      </c>
      <c r="V178" s="3">
        <v>17.600000000000001</v>
      </c>
      <c r="W178" s="3">
        <v>17.809999999999999</v>
      </c>
      <c r="X178" s="3">
        <v>21.52</v>
      </c>
      <c r="Y178" s="3">
        <v>19.87</v>
      </c>
      <c r="Z178" s="3">
        <v>22.26</v>
      </c>
      <c r="AA178" s="3">
        <v>14.17</v>
      </c>
      <c r="AB178" s="3">
        <v>9.51</v>
      </c>
      <c r="AC178" s="3">
        <v>8.42</v>
      </c>
      <c r="AD178" s="16">
        <v>3.6741666666666668</v>
      </c>
      <c r="AE178" s="3">
        <v>117</v>
      </c>
      <c r="AF178" s="3">
        <v>7.44</v>
      </c>
      <c r="AG178" s="3">
        <v>313</v>
      </c>
      <c r="AH178" s="3">
        <v>56.79</v>
      </c>
      <c r="AI178" s="3">
        <v>1720</v>
      </c>
      <c r="AJ178" s="3">
        <v>7.14</v>
      </c>
      <c r="AK178" s="3">
        <v>7.04</v>
      </c>
      <c r="AL178" s="3">
        <v>6.8849999999999998</v>
      </c>
      <c r="AM178" s="3">
        <v>7.02</v>
      </c>
      <c r="AN178" s="3">
        <v>7.01</v>
      </c>
      <c r="AO178" s="3">
        <v>8.74</v>
      </c>
      <c r="AP178" s="3">
        <v>8.67</v>
      </c>
      <c r="AQ178" s="3">
        <v>8.1999999999999993</v>
      </c>
      <c r="AR178" s="3">
        <v>0.06</v>
      </c>
      <c r="AS178" s="3">
        <v>0.16200000000000001</v>
      </c>
      <c r="AT178" s="3">
        <v>2.1000000000000001E-2</v>
      </c>
      <c r="AU178" s="3">
        <v>0.01</v>
      </c>
      <c r="AV178" s="3">
        <v>0.10199999999999999</v>
      </c>
      <c r="AW178" s="3">
        <v>0.46500000000000002</v>
      </c>
      <c r="AX178" s="3">
        <v>0.115</v>
      </c>
      <c r="AY178" s="3">
        <v>6.5000000000000002E-2</v>
      </c>
      <c r="AZ178" s="3">
        <v>10.88</v>
      </c>
      <c r="BA178" s="3"/>
      <c r="BB178" s="3">
        <v>11.96</v>
      </c>
      <c r="BC178" s="3">
        <v>2876</v>
      </c>
      <c r="BD178" s="3"/>
      <c r="BE178" s="3"/>
      <c r="BF178" s="3">
        <v>0</v>
      </c>
      <c r="BH178" s="16">
        <v>33.24</v>
      </c>
      <c r="BI178" s="16">
        <f t="shared" si="111"/>
        <v>67.144800000000004</v>
      </c>
      <c r="BJ178" s="17">
        <f t="shared" si="112"/>
        <v>14.07</v>
      </c>
      <c r="BK178" s="17">
        <f t="shared" si="113"/>
        <v>29.04</v>
      </c>
      <c r="BM178" s="1">
        <f t="shared" si="114"/>
        <v>99.2</v>
      </c>
      <c r="BN178" s="1">
        <f t="shared" si="115"/>
        <v>90.5</v>
      </c>
      <c r="BO178" s="1">
        <f t="shared" si="116"/>
        <v>53.5</v>
      </c>
      <c r="BP178" s="62">
        <f t="shared" si="119"/>
        <v>0.96399999999999997</v>
      </c>
      <c r="BQ178" s="62">
        <f t="shared" si="117"/>
        <v>0.83799999999999997</v>
      </c>
      <c r="BS178" s="1">
        <v>0</v>
      </c>
      <c r="BT178" s="8"/>
      <c r="BV178" s="8"/>
      <c r="BW178" s="16">
        <f t="shared" si="120"/>
        <v>14.07</v>
      </c>
      <c r="BX178" s="16">
        <f t="shared" si="121"/>
        <v>29.04</v>
      </c>
      <c r="BY178" s="3">
        <f t="shared" si="122"/>
        <v>9.6999999999999993</v>
      </c>
      <c r="BZ178" s="3">
        <f t="shared" si="123"/>
        <v>9.8000000000000007</v>
      </c>
      <c r="CA178" s="3">
        <f t="shared" si="124"/>
        <v>9.8000000000000007</v>
      </c>
      <c r="CB178" s="3">
        <f t="shared" si="125"/>
        <v>11.4</v>
      </c>
      <c r="CC178" s="3">
        <f t="shared" si="126"/>
        <v>10.8</v>
      </c>
      <c r="CD178" s="3">
        <f t="shared" si="127"/>
        <v>9</v>
      </c>
      <c r="CE178" s="3">
        <f t="shared" si="128"/>
        <v>8.3000000000000007</v>
      </c>
      <c r="CF178" s="23">
        <f t="shared" si="129"/>
        <v>90.5</v>
      </c>
      <c r="CG178" s="1">
        <f t="shared" si="130"/>
        <v>15.9</v>
      </c>
      <c r="CH178" s="1">
        <f t="shared" si="131"/>
        <v>17.600000000000001</v>
      </c>
      <c r="CI178" s="1">
        <f t="shared" si="132"/>
        <v>17.8</v>
      </c>
      <c r="CJ178" s="1">
        <f t="shared" si="133"/>
        <v>21.5</v>
      </c>
      <c r="CK178" s="1">
        <f t="shared" si="134"/>
        <v>14.2</v>
      </c>
      <c r="CL178" s="1">
        <f t="shared" si="135"/>
        <v>9.5</v>
      </c>
      <c r="CM178" s="1">
        <f t="shared" si="136"/>
        <v>8.4</v>
      </c>
      <c r="CN178" s="2">
        <f t="shared" si="137"/>
        <v>99.2</v>
      </c>
      <c r="CO178" s="1">
        <f t="shared" si="138"/>
        <v>7.4</v>
      </c>
      <c r="CP178" s="1">
        <f t="shared" si="139"/>
        <v>7.1</v>
      </c>
      <c r="CQ178" s="1">
        <f t="shared" si="140"/>
        <v>7</v>
      </c>
      <c r="CR178" s="1">
        <f t="shared" si="141"/>
        <v>6.9</v>
      </c>
      <c r="CS178" s="1">
        <f t="shared" si="142"/>
        <v>8.6999999999999993</v>
      </c>
      <c r="CT178" s="1">
        <f t="shared" si="143"/>
        <v>8.6999999999999993</v>
      </c>
      <c r="CU178" s="1">
        <f t="shared" si="144"/>
        <v>8.1999999999999993</v>
      </c>
      <c r="CV178" s="2">
        <f t="shared" si="145"/>
        <v>53.5</v>
      </c>
      <c r="CW178" s="18">
        <f t="shared" si="146"/>
        <v>0</v>
      </c>
      <c r="CX178" s="1">
        <f>ROUND(PPTest!K178,1)</f>
        <v>1</v>
      </c>
      <c r="CY178" s="17">
        <f t="shared" si="147"/>
        <v>1.74</v>
      </c>
      <c r="CZ178" s="17">
        <f t="shared" si="148"/>
        <v>3.67</v>
      </c>
      <c r="DA178" s="20">
        <f t="shared" si="149"/>
        <v>0.96399999999999997</v>
      </c>
      <c r="DB178" s="20">
        <f t="shared" si="150"/>
        <v>0.83799999999999997</v>
      </c>
      <c r="DC178" s="16">
        <f t="shared" si="151"/>
        <v>11.96</v>
      </c>
      <c r="DF178" s="1">
        <v>12.1</v>
      </c>
      <c r="DG178" s="1">
        <v>17.5</v>
      </c>
      <c r="DH178" s="1">
        <v>8.5</v>
      </c>
      <c r="DI178" s="1">
        <v>88.1</v>
      </c>
      <c r="DJ178" s="1">
        <v>68</v>
      </c>
      <c r="DW178" s="1">
        <v>9.5</v>
      </c>
      <c r="DX178" s="1">
        <v>15.4</v>
      </c>
      <c r="DY178" s="1">
        <v>4.3</v>
      </c>
    </row>
    <row r="179" spans="1:129" x14ac:dyDescent="0.2">
      <c r="A179" s="40">
        <v>34872</v>
      </c>
      <c r="B179" s="3">
        <v>173</v>
      </c>
      <c r="C179" s="3">
        <v>26.16</v>
      </c>
      <c r="D179" s="3">
        <v>49.27</v>
      </c>
      <c r="E179" s="3">
        <v>10.6</v>
      </c>
      <c r="F179" s="3">
        <v>83.1</v>
      </c>
      <c r="G179" s="3">
        <v>10.58</v>
      </c>
      <c r="H179" s="3">
        <v>10.61</v>
      </c>
      <c r="I179" s="3">
        <v>12.82</v>
      </c>
      <c r="J179" s="3">
        <v>11.89</v>
      </c>
      <c r="K179" s="3">
        <v>12.06</v>
      </c>
      <c r="L179" s="3">
        <v>11.83</v>
      </c>
      <c r="M179" s="3">
        <v>9.51</v>
      </c>
      <c r="N179" s="3">
        <v>8.1999999999999993</v>
      </c>
      <c r="O179" s="3">
        <v>1E-3</v>
      </c>
      <c r="P179" s="16">
        <v>1.844166666666667</v>
      </c>
      <c r="Q179" s="3">
        <v>0</v>
      </c>
      <c r="R179" s="3">
        <v>17.73</v>
      </c>
      <c r="S179" s="3">
        <v>1711</v>
      </c>
      <c r="T179" s="3">
        <v>104.3</v>
      </c>
      <c r="U179" s="3">
        <v>316</v>
      </c>
      <c r="V179" s="3">
        <v>20.14</v>
      </c>
      <c r="W179" s="3">
        <v>20.88</v>
      </c>
      <c r="X179" s="3">
        <v>30.98</v>
      </c>
      <c r="Y179" s="3">
        <v>22.79</v>
      </c>
      <c r="Z179" s="3">
        <v>23.27</v>
      </c>
      <c r="AA179" s="3">
        <v>15.73</v>
      </c>
      <c r="AB179" s="3">
        <v>10.130000000000001</v>
      </c>
      <c r="AC179" s="3">
        <v>8.4</v>
      </c>
      <c r="AD179" s="16">
        <v>4.1541666666666668</v>
      </c>
      <c r="AE179" s="3">
        <v>945</v>
      </c>
      <c r="AF179" s="3">
        <v>3.41</v>
      </c>
      <c r="AG179" s="3">
        <v>309</v>
      </c>
      <c r="AH179" s="3">
        <v>42.98</v>
      </c>
      <c r="AI179" s="3">
        <v>1748</v>
      </c>
      <c r="AJ179" s="3">
        <v>2.931</v>
      </c>
      <c r="AK179" s="3">
        <v>2.6989999999999998</v>
      </c>
      <c r="AL179" s="3">
        <v>1.879</v>
      </c>
      <c r="AM179" s="3">
        <v>2.5339999999999998</v>
      </c>
      <c r="AN179" s="3">
        <v>2.5779999999999998</v>
      </c>
      <c r="AO179" s="3">
        <v>8.26</v>
      </c>
      <c r="AP179" s="3">
        <v>9.1</v>
      </c>
      <c r="AQ179" s="3">
        <v>8</v>
      </c>
      <c r="AR179" s="3">
        <v>1.9E-2</v>
      </c>
      <c r="AS179" s="3">
        <v>0.33500000000000002</v>
      </c>
      <c r="AT179" s="3">
        <v>0.14299999999999999</v>
      </c>
      <c r="AU179" s="3">
        <v>2.5000000000000001E-2</v>
      </c>
      <c r="AV179" s="3">
        <v>0.11</v>
      </c>
      <c r="AW179" s="3">
        <v>0.221</v>
      </c>
      <c r="AX179" s="3">
        <v>0.109</v>
      </c>
      <c r="AY179" s="3">
        <v>3.6999999999999998E-2</v>
      </c>
      <c r="AZ179" s="3">
        <v>11.85</v>
      </c>
      <c r="BA179" s="3"/>
      <c r="BB179" s="3">
        <v>11.96</v>
      </c>
      <c r="BC179" s="3">
        <v>2876</v>
      </c>
      <c r="BD179" s="3"/>
      <c r="BE179" s="3"/>
      <c r="BF179" s="3">
        <v>0</v>
      </c>
      <c r="BH179" s="16">
        <v>33.22</v>
      </c>
      <c r="BI179" s="16">
        <f t="shared" si="111"/>
        <v>67.104399999999998</v>
      </c>
      <c r="BJ179" s="17">
        <f t="shared" si="112"/>
        <v>26.16</v>
      </c>
      <c r="BK179" s="17">
        <f t="shared" si="113"/>
        <v>53.21</v>
      </c>
      <c r="BM179" s="1">
        <f t="shared" si="114"/>
        <v>97.4</v>
      </c>
      <c r="BN179" s="1">
        <f t="shared" si="115"/>
        <v>77.8</v>
      </c>
      <c r="BO179" s="1">
        <f t="shared" si="116"/>
        <v>40.700000000000003</v>
      </c>
      <c r="BP179" s="62">
        <f t="shared" si="119"/>
        <v>0.82599999999999996</v>
      </c>
      <c r="BQ179" s="62">
        <f t="shared" si="117"/>
        <v>1.2030000000000001</v>
      </c>
      <c r="BS179" s="1">
        <v>0</v>
      </c>
      <c r="BT179" s="8"/>
      <c r="BV179" s="8"/>
      <c r="BW179" s="16">
        <f t="shared" si="120"/>
        <v>26.16</v>
      </c>
      <c r="BX179" s="16">
        <f t="shared" si="121"/>
        <v>53.21</v>
      </c>
      <c r="BY179" s="3">
        <f t="shared" si="122"/>
        <v>10.6</v>
      </c>
      <c r="BZ179" s="3">
        <f t="shared" si="123"/>
        <v>10.6</v>
      </c>
      <c r="CA179" s="3">
        <f t="shared" si="124"/>
        <v>10.6</v>
      </c>
      <c r="CB179" s="3">
        <f t="shared" si="125"/>
        <v>12.8</v>
      </c>
      <c r="CC179" s="3">
        <f t="shared" si="126"/>
        <v>11.8</v>
      </c>
      <c r="CD179" s="3">
        <f t="shared" si="127"/>
        <v>9.5</v>
      </c>
      <c r="CE179" s="3">
        <f t="shared" si="128"/>
        <v>8.1999999999999993</v>
      </c>
      <c r="CF179" s="23">
        <f t="shared" si="129"/>
        <v>77.8</v>
      </c>
      <c r="CG179" s="1">
        <f t="shared" si="130"/>
        <v>17.7</v>
      </c>
      <c r="CH179" s="1">
        <f t="shared" si="131"/>
        <v>20.100000000000001</v>
      </c>
      <c r="CI179" s="1">
        <f t="shared" si="132"/>
        <v>20.9</v>
      </c>
      <c r="CJ179" s="1">
        <f t="shared" si="133"/>
        <v>31</v>
      </c>
      <c r="CK179" s="1">
        <f t="shared" si="134"/>
        <v>15.7</v>
      </c>
      <c r="CL179" s="1">
        <f t="shared" si="135"/>
        <v>10.1</v>
      </c>
      <c r="CM179" s="1">
        <f t="shared" si="136"/>
        <v>8.4</v>
      </c>
      <c r="CN179" s="2">
        <f t="shared" si="137"/>
        <v>97.4</v>
      </c>
      <c r="CO179" s="1">
        <f t="shared" si="138"/>
        <v>3.4</v>
      </c>
      <c r="CP179" s="1">
        <f t="shared" si="139"/>
        <v>2.9</v>
      </c>
      <c r="CQ179" s="1">
        <f t="shared" si="140"/>
        <v>2.7</v>
      </c>
      <c r="CR179" s="1">
        <f t="shared" si="141"/>
        <v>1.9</v>
      </c>
      <c r="CS179" s="1">
        <f t="shared" si="142"/>
        <v>8.3000000000000007</v>
      </c>
      <c r="CT179" s="1">
        <f t="shared" si="143"/>
        <v>9.1</v>
      </c>
      <c r="CU179" s="1">
        <f t="shared" si="144"/>
        <v>8</v>
      </c>
      <c r="CV179" s="2">
        <f t="shared" si="145"/>
        <v>40.700000000000003</v>
      </c>
      <c r="CW179" s="18">
        <f t="shared" si="146"/>
        <v>0</v>
      </c>
      <c r="CX179" s="1">
        <f>ROUND(PPTest!K179,1)</f>
        <v>0</v>
      </c>
      <c r="CY179" s="17">
        <f t="shared" si="147"/>
        <v>1.84</v>
      </c>
      <c r="CZ179" s="17">
        <f t="shared" si="148"/>
        <v>4.1500000000000004</v>
      </c>
      <c r="DA179" s="20">
        <f t="shared" si="149"/>
        <v>0.82599999999999996</v>
      </c>
      <c r="DB179" s="20">
        <f t="shared" si="150"/>
        <v>1.2030000000000001</v>
      </c>
      <c r="DC179" s="16">
        <f t="shared" si="151"/>
        <v>11.96</v>
      </c>
      <c r="DF179" s="1">
        <v>14.6</v>
      </c>
      <c r="DG179" s="1">
        <v>20.399999999999999</v>
      </c>
      <c r="DH179" s="1">
        <v>9.9</v>
      </c>
      <c r="DI179" s="1">
        <v>78.099999999999994</v>
      </c>
      <c r="DJ179" s="1">
        <v>52</v>
      </c>
      <c r="DW179" s="1">
        <v>11.1</v>
      </c>
      <c r="DX179" s="1">
        <v>17</v>
      </c>
      <c r="DY179" s="1">
        <v>4.7</v>
      </c>
    </row>
    <row r="180" spans="1:129" x14ac:dyDescent="0.2">
      <c r="A180" s="40">
        <v>34873</v>
      </c>
      <c r="B180" s="3">
        <v>174</v>
      </c>
      <c r="C180" s="3">
        <v>29.99</v>
      </c>
      <c r="D180" s="3">
        <v>56.72</v>
      </c>
      <c r="E180" s="3">
        <v>12.65</v>
      </c>
      <c r="F180" s="3">
        <v>72.599999999999994</v>
      </c>
      <c r="G180" s="3">
        <v>12.63</v>
      </c>
      <c r="H180" s="3">
        <v>12.68</v>
      </c>
      <c r="I180" s="3">
        <v>15.14</v>
      </c>
      <c r="J180" s="3">
        <v>14.02</v>
      </c>
      <c r="K180" s="3">
        <v>14.22</v>
      </c>
      <c r="L180" s="3">
        <v>12.76</v>
      </c>
      <c r="M180" s="3">
        <v>10.07</v>
      </c>
      <c r="N180" s="3">
        <v>8.27</v>
      </c>
      <c r="O180" s="3">
        <v>1E-3</v>
      </c>
      <c r="P180" s="16">
        <v>2.0358333333333336</v>
      </c>
      <c r="Q180" s="3">
        <v>1</v>
      </c>
      <c r="R180" s="3">
        <v>19.73</v>
      </c>
      <c r="S180" s="3">
        <v>1556</v>
      </c>
      <c r="T180" s="3">
        <v>101.8</v>
      </c>
      <c r="U180" s="3">
        <v>216</v>
      </c>
      <c r="V180" s="3">
        <v>20.83</v>
      </c>
      <c r="W180" s="3">
        <v>23.46</v>
      </c>
      <c r="X180" s="3">
        <v>32.71</v>
      </c>
      <c r="Y180" s="3">
        <v>24.78</v>
      </c>
      <c r="Z180" s="3">
        <v>24.23</v>
      </c>
      <c r="AA180" s="3">
        <v>17.3</v>
      </c>
      <c r="AB180" s="3">
        <v>10.84</v>
      </c>
      <c r="AC180" s="3">
        <v>8.5</v>
      </c>
      <c r="AD180" s="16">
        <v>5.1808333333333341</v>
      </c>
      <c r="AE180" s="3">
        <v>1608</v>
      </c>
      <c r="AF180" s="3">
        <v>4.3609999999999998</v>
      </c>
      <c r="AG180" s="3">
        <v>36</v>
      </c>
      <c r="AH180" s="3">
        <v>30.74</v>
      </c>
      <c r="AI180" s="3">
        <v>1733</v>
      </c>
      <c r="AJ180" s="3">
        <v>3.8730000000000002</v>
      </c>
      <c r="AK180" s="3">
        <v>3.7</v>
      </c>
      <c r="AL180" s="3">
        <v>3.2549999999999999</v>
      </c>
      <c r="AM180" s="3">
        <v>3.532</v>
      </c>
      <c r="AN180" s="3">
        <v>3.556</v>
      </c>
      <c r="AO180" s="3">
        <v>9.07</v>
      </c>
      <c r="AP180" s="3">
        <v>9.57</v>
      </c>
      <c r="AQ180" s="3">
        <v>8.09</v>
      </c>
      <c r="AR180" s="3">
        <v>1.7999999999999999E-2</v>
      </c>
      <c r="AS180" s="3">
        <v>0.26300000000000001</v>
      </c>
      <c r="AT180" s="3">
        <v>0.16400000000000001</v>
      </c>
      <c r="AU180" s="3">
        <v>8.0000000000000002E-3</v>
      </c>
      <c r="AV180" s="3">
        <v>0.112</v>
      </c>
      <c r="AW180" s="3">
        <v>0.29499999999999998</v>
      </c>
      <c r="AX180" s="3">
        <v>0.107</v>
      </c>
      <c r="AY180" s="3">
        <v>3.3000000000000002E-2</v>
      </c>
      <c r="AZ180" s="3">
        <v>13.6</v>
      </c>
      <c r="BA180" s="3"/>
      <c r="BB180" s="3">
        <v>11.97</v>
      </c>
      <c r="BC180" s="3">
        <v>2876</v>
      </c>
      <c r="BD180" s="3"/>
      <c r="BE180" s="3"/>
      <c r="BF180" s="3">
        <v>0</v>
      </c>
      <c r="BH180" s="16">
        <v>33.200000000000003</v>
      </c>
      <c r="BI180" s="16">
        <f t="shared" si="111"/>
        <v>67.064000000000007</v>
      </c>
      <c r="BJ180" s="17">
        <f t="shared" si="112"/>
        <v>29.99</v>
      </c>
      <c r="BK180" s="17">
        <f t="shared" si="113"/>
        <v>61.26</v>
      </c>
      <c r="BM180" s="1">
        <f t="shared" si="114"/>
        <v>95.1</v>
      </c>
      <c r="BN180" s="1">
        <f t="shared" si="115"/>
        <v>68.099999999999994</v>
      </c>
      <c r="BO180" s="1">
        <f t="shared" si="116"/>
        <v>29.4</v>
      </c>
      <c r="BP180" s="62">
        <f t="shared" si="119"/>
        <v>0.67600000000000005</v>
      </c>
      <c r="BQ180" s="62">
        <f t="shared" si="117"/>
        <v>1.623</v>
      </c>
      <c r="BS180" s="1">
        <v>0</v>
      </c>
      <c r="BT180" s="8"/>
      <c r="BV180" s="8"/>
      <c r="BW180" s="16">
        <f t="shared" si="120"/>
        <v>29.99</v>
      </c>
      <c r="BX180" s="16">
        <f t="shared" si="121"/>
        <v>61.26</v>
      </c>
      <c r="BY180" s="3">
        <f t="shared" si="122"/>
        <v>12.7</v>
      </c>
      <c r="BZ180" s="3">
        <f t="shared" si="123"/>
        <v>12.6</v>
      </c>
      <c r="CA180" s="3">
        <f t="shared" si="124"/>
        <v>12.7</v>
      </c>
      <c r="CB180" s="3">
        <f t="shared" si="125"/>
        <v>15.1</v>
      </c>
      <c r="CC180" s="3">
        <f t="shared" si="126"/>
        <v>12.8</v>
      </c>
      <c r="CD180" s="3">
        <f t="shared" si="127"/>
        <v>10.1</v>
      </c>
      <c r="CE180" s="3">
        <f t="shared" si="128"/>
        <v>8.3000000000000007</v>
      </c>
      <c r="CF180" s="23">
        <f t="shared" si="129"/>
        <v>68.099999999999994</v>
      </c>
      <c r="CG180" s="1">
        <f t="shared" si="130"/>
        <v>19.7</v>
      </c>
      <c r="CH180" s="1">
        <f t="shared" si="131"/>
        <v>20.8</v>
      </c>
      <c r="CI180" s="1">
        <f t="shared" si="132"/>
        <v>23.5</v>
      </c>
      <c r="CJ180" s="1">
        <f t="shared" si="133"/>
        <v>32.700000000000003</v>
      </c>
      <c r="CK180" s="1">
        <f t="shared" si="134"/>
        <v>17.3</v>
      </c>
      <c r="CL180" s="1">
        <f t="shared" si="135"/>
        <v>10.8</v>
      </c>
      <c r="CM180" s="1">
        <f t="shared" si="136"/>
        <v>8.5</v>
      </c>
      <c r="CN180" s="2">
        <f t="shared" si="137"/>
        <v>95.1</v>
      </c>
      <c r="CO180" s="1">
        <f t="shared" si="138"/>
        <v>4.4000000000000004</v>
      </c>
      <c r="CP180" s="1">
        <f t="shared" si="139"/>
        <v>3.9</v>
      </c>
      <c r="CQ180" s="1">
        <f t="shared" si="140"/>
        <v>3.7</v>
      </c>
      <c r="CR180" s="1">
        <f t="shared" si="141"/>
        <v>3.3</v>
      </c>
      <c r="CS180" s="1">
        <f t="shared" si="142"/>
        <v>9.1</v>
      </c>
      <c r="CT180" s="1">
        <f t="shared" si="143"/>
        <v>9.6</v>
      </c>
      <c r="CU180" s="1">
        <f t="shared" si="144"/>
        <v>8.1</v>
      </c>
      <c r="CV180" s="2">
        <f t="shared" si="145"/>
        <v>29.4</v>
      </c>
      <c r="CW180" s="18">
        <f t="shared" si="146"/>
        <v>0</v>
      </c>
      <c r="CX180" s="1">
        <f>ROUND(PPTest!K180,1)</f>
        <v>1</v>
      </c>
      <c r="CY180" s="17">
        <f t="shared" si="147"/>
        <v>2.04</v>
      </c>
      <c r="CZ180" s="17">
        <f t="shared" si="148"/>
        <v>5.18</v>
      </c>
      <c r="DA180" s="20">
        <f t="shared" si="149"/>
        <v>0.67600000000000005</v>
      </c>
      <c r="DB180" s="20">
        <f t="shared" si="150"/>
        <v>1.623</v>
      </c>
      <c r="DC180" s="16">
        <f t="shared" si="151"/>
        <v>11.97</v>
      </c>
      <c r="DF180" s="1">
        <v>16.5</v>
      </c>
      <c r="DG180" s="1">
        <v>22.2</v>
      </c>
      <c r="DH180" s="1">
        <v>10.3</v>
      </c>
      <c r="DI180" s="1">
        <v>65.400000000000006</v>
      </c>
      <c r="DJ180" s="1">
        <v>39</v>
      </c>
      <c r="DW180" s="1">
        <v>13.8</v>
      </c>
      <c r="DX180" s="1">
        <v>20.2</v>
      </c>
      <c r="DY180" s="1">
        <v>6</v>
      </c>
    </row>
    <row r="181" spans="1:129" x14ac:dyDescent="0.2">
      <c r="A181" s="40">
        <v>34874</v>
      </c>
      <c r="B181" s="3">
        <v>175</v>
      </c>
      <c r="C181" s="3">
        <v>26.01</v>
      </c>
      <c r="D181" s="3">
        <v>49.09</v>
      </c>
      <c r="E181" s="3">
        <v>13.12</v>
      </c>
      <c r="F181" s="3">
        <v>67.88</v>
      </c>
      <c r="G181" s="3">
        <v>12.94</v>
      </c>
      <c r="H181" s="3">
        <v>12.91</v>
      </c>
      <c r="I181" s="3">
        <v>14.79</v>
      </c>
      <c r="J181" s="3">
        <v>13.82</v>
      </c>
      <c r="K181" s="3">
        <v>14.17</v>
      </c>
      <c r="L181" s="3">
        <v>13.27</v>
      </c>
      <c r="M181" s="3">
        <v>10.66</v>
      </c>
      <c r="N181" s="3">
        <v>8.44</v>
      </c>
      <c r="O181" s="3">
        <v>1E-3</v>
      </c>
      <c r="P181" s="16">
        <v>2.2875000000000001</v>
      </c>
      <c r="Q181" s="3">
        <v>0</v>
      </c>
      <c r="R181" s="3">
        <v>18.91</v>
      </c>
      <c r="S181" s="3">
        <v>1556</v>
      </c>
      <c r="T181" s="3">
        <v>95.4</v>
      </c>
      <c r="U181" s="3">
        <v>402</v>
      </c>
      <c r="V181" s="3">
        <v>20.13</v>
      </c>
      <c r="W181" s="3">
        <v>21.99</v>
      </c>
      <c r="X181" s="3">
        <v>32.71</v>
      </c>
      <c r="Y181" s="3">
        <v>23.96</v>
      </c>
      <c r="Z181" s="3">
        <v>23.79</v>
      </c>
      <c r="AA181" s="3">
        <v>17.09</v>
      </c>
      <c r="AB181" s="3">
        <v>11.22</v>
      </c>
      <c r="AC181" s="3">
        <v>8.69</v>
      </c>
      <c r="AD181" s="16">
        <v>5.9141666666666666</v>
      </c>
      <c r="AE181" s="3">
        <v>1207</v>
      </c>
      <c r="AF181" s="3">
        <v>6.4260000000000002</v>
      </c>
      <c r="AG181" s="3">
        <v>2346</v>
      </c>
      <c r="AH181" s="3">
        <v>42.01</v>
      </c>
      <c r="AI181" s="3">
        <v>1601</v>
      </c>
      <c r="AJ181" s="3">
        <v>5.2569999999999997</v>
      </c>
      <c r="AK181" s="3">
        <v>4.5209999999999999</v>
      </c>
      <c r="AL181" s="3">
        <v>2.9449999999999998</v>
      </c>
      <c r="AM181" s="3">
        <v>4.3019999999999996</v>
      </c>
      <c r="AN181" s="3">
        <v>4.4210000000000003</v>
      </c>
      <c r="AO181" s="3">
        <v>10.41</v>
      </c>
      <c r="AP181" s="3">
        <v>10.25</v>
      </c>
      <c r="AQ181" s="3">
        <v>8.2799999999999994</v>
      </c>
      <c r="AR181" s="3">
        <v>1.7999999999999999E-2</v>
      </c>
      <c r="AS181" s="3">
        <v>0.26900000000000002</v>
      </c>
      <c r="AT181" s="3">
        <v>0.16700000000000001</v>
      </c>
      <c r="AU181" s="3">
        <v>6.0000000000000001E-3</v>
      </c>
      <c r="AV181" s="3">
        <v>8.5000000000000006E-2</v>
      </c>
      <c r="AW181" s="3">
        <v>0.29699999999999999</v>
      </c>
      <c r="AX181" s="3">
        <v>0.13400000000000001</v>
      </c>
      <c r="AY181" s="3">
        <v>2.4E-2</v>
      </c>
      <c r="AZ181" s="3">
        <v>13.66</v>
      </c>
      <c r="BA181" s="3"/>
      <c r="BB181" s="3">
        <v>11.96</v>
      </c>
      <c r="BC181" s="3">
        <v>2876</v>
      </c>
      <c r="BD181" s="3"/>
      <c r="BE181" s="3"/>
      <c r="BF181" s="3">
        <v>0</v>
      </c>
      <c r="BH181" s="16">
        <v>33.18</v>
      </c>
      <c r="BI181" s="16">
        <f t="shared" si="111"/>
        <v>67.023600000000002</v>
      </c>
      <c r="BJ181" s="17">
        <f t="shared" si="112"/>
        <v>26.01</v>
      </c>
      <c r="BK181" s="17">
        <f t="shared" si="113"/>
        <v>53.02</v>
      </c>
      <c r="BM181" s="1">
        <f t="shared" si="114"/>
        <v>89.1</v>
      </c>
      <c r="BN181" s="1">
        <f t="shared" si="115"/>
        <v>63.7</v>
      </c>
      <c r="BO181" s="1">
        <f t="shared" si="116"/>
        <v>39.799999999999997</v>
      </c>
      <c r="BP181" s="62">
        <f t="shared" si="119"/>
        <v>0.86899999999999999</v>
      </c>
      <c r="BQ181" s="62">
        <f t="shared" si="117"/>
        <v>1.3140000000000001</v>
      </c>
      <c r="BS181" s="1">
        <v>0</v>
      </c>
      <c r="BT181" s="8"/>
      <c r="BV181" s="8"/>
      <c r="BW181" s="16">
        <f t="shared" si="120"/>
        <v>26.01</v>
      </c>
      <c r="BX181" s="16">
        <f t="shared" si="121"/>
        <v>53.02</v>
      </c>
      <c r="BY181" s="3">
        <f t="shared" si="122"/>
        <v>13.1</v>
      </c>
      <c r="BZ181" s="3">
        <f t="shared" si="123"/>
        <v>12.9</v>
      </c>
      <c r="CA181" s="3">
        <f t="shared" si="124"/>
        <v>12.9</v>
      </c>
      <c r="CB181" s="3">
        <f t="shared" si="125"/>
        <v>14.8</v>
      </c>
      <c r="CC181" s="3">
        <f t="shared" si="126"/>
        <v>13.3</v>
      </c>
      <c r="CD181" s="3">
        <f t="shared" si="127"/>
        <v>10.7</v>
      </c>
      <c r="CE181" s="3">
        <f t="shared" si="128"/>
        <v>8.4</v>
      </c>
      <c r="CF181" s="23">
        <f t="shared" si="129"/>
        <v>63.7</v>
      </c>
      <c r="CG181" s="1">
        <f t="shared" si="130"/>
        <v>18.899999999999999</v>
      </c>
      <c r="CH181" s="1">
        <f t="shared" si="131"/>
        <v>20.100000000000001</v>
      </c>
      <c r="CI181" s="1">
        <f t="shared" si="132"/>
        <v>22</v>
      </c>
      <c r="CJ181" s="1">
        <f t="shared" si="133"/>
        <v>32.700000000000003</v>
      </c>
      <c r="CK181" s="1">
        <f t="shared" si="134"/>
        <v>17.100000000000001</v>
      </c>
      <c r="CL181" s="1">
        <f t="shared" si="135"/>
        <v>11.2</v>
      </c>
      <c r="CM181" s="1">
        <f t="shared" si="136"/>
        <v>8.6999999999999993</v>
      </c>
      <c r="CN181" s="2">
        <f t="shared" si="137"/>
        <v>89.1</v>
      </c>
      <c r="CO181" s="1">
        <f t="shared" si="138"/>
        <v>6.4</v>
      </c>
      <c r="CP181" s="1">
        <f t="shared" si="139"/>
        <v>5.3</v>
      </c>
      <c r="CQ181" s="1">
        <f t="shared" si="140"/>
        <v>4.5</v>
      </c>
      <c r="CR181" s="1">
        <f t="shared" si="141"/>
        <v>2.9</v>
      </c>
      <c r="CS181" s="1">
        <f t="shared" si="142"/>
        <v>10.4</v>
      </c>
      <c r="CT181" s="1">
        <f t="shared" si="143"/>
        <v>10.3</v>
      </c>
      <c r="CU181" s="1">
        <f t="shared" si="144"/>
        <v>8.3000000000000007</v>
      </c>
      <c r="CV181" s="2">
        <f t="shared" si="145"/>
        <v>39.799999999999997</v>
      </c>
      <c r="CW181" s="18">
        <f t="shared" si="146"/>
        <v>0</v>
      </c>
      <c r="CX181" s="1">
        <f>ROUND(PPTest!K181,1)</f>
        <v>0</v>
      </c>
      <c r="CY181" s="17">
        <f t="shared" si="147"/>
        <v>2.29</v>
      </c>
      <c r="CZ181" s="17">
        <f t="shared" si="148"/>
        <v>5.91</v>
      </c>
      <c r="DA181" s="20">
        <f t="shared" si="149"/>
        <v>0.86899999999999999</v>
      </c>
      <c r="DB181" s="20">
        <f t="shared" si="150"/>
        <v>1.3140000000000001</v>
      </c>
      <c r="DC181" s="16">
        <f t="shared" si="151"/>
        <v>11.96</v>
      </c>
      <c r="DF181" s="1">
        <v>17</v>
      </c>
      <c r="DG181" s="1">
        <v>21.3</v>
      </c>
      <c r="DH181" s="1">
        <v>12.8</v>
      </c>
      <c r="DI181" s="1">
        <v>55</v>
      </c>
      <c r="DJ181" s="1">
        <v>46</v>
      </c>
      <c r="DW181" s="1">
        <v>13.8</v>
      </c>
      <c r="DX181" s="1">
        <v>19</v>
      </c>
      <c r="DY181" s="1">
        <v>6.8</v>
      </c>
    </row>
    <row r="182" spans="1:129" x14ac:dyDescent="0.2">
      <c r="A182" s="40">
        <v>34875</v>
      </c>
      <c r="B182" s="3">
        <v>176</v>
      </c>
      <c r="C182" s="3">
        <v>32.15</v>
      </c>
      <c r="D182" s="3">
        <v>60.16</v>
      </c>
      <c r="E182" s="3">
        <v>10.98</v>
      </c>
      <c r="F182" s="3">
        <v>65.75</v>
      </c>
      <c r="G182" s="3">
        <v>10.81</v>
      </c>
      <c r="H182" s="3">
        <v>10.86</v>
      </c>
      <c r="I182" s="3">
        <v>13.21</v>
      </c>
      <c r="J182" s="3">
        <v>12.18</v>
      </c>
      <c r="K182" s="3">
        <v>12.35</v>
      </c>
      <c r="L182" s="3">
        <v>12.53</v>
      </c>
      <c r="M182" s="3">
        <v>10.7</v>
      </c>
      <c r="N182" s="3">
        <v>8.6300000000000008</v>
      </c>
      <c r="O182" s="3">
        <v>1E-3</v>
      </c>
      <c r="P182" s="16">
        <v>2.2258333333333331</v>
      </c>
      <c r="Q182" s="3">
        <v>1</v>
      </c>
      <c r="R182" s="3">
        <v>18.13</v>
      </c>
      <c r="S182" s="3">
        <v>1603</v>
      </c>
      <c r="T182" s="3">
        <v>99.9</v>
      </c>
      <c r="U182" s="3">
        <v>345</v>
      </c>
      <c r="V182" s="3">
        <v>19.170000000000002</v>
      </c>
      <c r="W182" s="3">
        <v>21.16</v>
      </c>
      <c r="X182" s="3">
        <v>30.25</v>
      </c>
      <c r="Y182" s="3">
        <v>23.61</v>
      </c>
      <c r="Z182" s="3">
        <v>22.02</v>
      </c>
      <c r="AA182" s="3">
        <v>16.8</v>
      </c>
      <c r="AB182" s="3">
        <v>11.19</v>
      </c>
      <c r="AC182" s="3">
        <v>8.94</v>
      </c>
      <c r="AD182" s="16">
        <v>6.1141666666666667</v>
      </c>
      <c r="AE182" s="3">
        <v>1523</v>
      </c>
      <c r="AF182" s="3">
        <v>1.9370000000000001</v>
      </c>
      <c r="AG182" s="3">
        <v>340</v>
      </c>
      <c r="AH182" s="3">
        <v>33.58</v>
      </c>
      <c r="AI182" s="3">
        <v>1455</v>
      </c>
      <c r="AJ182" s="3">
        <v>1.3129999999999999</v>
      </c>
      <c r="AK182" s="3">
        <v>1.0369999999999999</v>
      </c>
      <c r="AL182" s="3">
        <v>0.73699999999999999</v>
      </c>
      <c r="AM182" s="3">
        <v>0.871</v>
      </c>
      <c r="AN182" s="3">
        <v>0.89500000000000002</v>
      </c>
      <c r="AO182" s="3">
        <v>8.94</v>
      </c>
      <c r="AP182" s="3">
        <v>10.26</v>
      </c>
      <c r="AQ182" s="3">
        <v>8.33</v>
      </c>
      <c r="AR182" s="3">
        <v>3.2000000000000001E-2</v>
      </c>
      <c r="AS182" s="3">
        <v>0.26700000000000002</v>
      </c>
      <c r="AT182" s="3">
        <v>0.16200000000000001</v>
      </c>
      <c r="AU182" s="3">
        <v>7.0000000000000001E-3</v>
      </c>
      <c r="AV182" s="3">
        <v>5.0999999999999997E-2</v>
      </c>
      <c r="AW182" s="3">
        <v>0.252</v>
      </c>
      <c r="AX182" s="3">
        <v>0.187</v>
      </c>
      <c r="AY182" s="3">
        <v>4.2000000000000003E-2</v>
      </c>
      <c r="AZ182" s="3">
        <v>11.57</v>
      </c>
      <c r="BA182" s="3"/>
      <c r="BB182" s="3">
        <v>11.95</v>
      </c>
      <c r="BC182" s="3">
        <v>2876</v>
      </c>
      <c r="BD182" s="3"/>
      <c r="BE182" s="3"/>
      <c r="BF182" s="3">
        <v>0</v>
      </c>
      <c r="BH182" s="16">
        <v>33.15</v>
      </c>
      <c r="BI182" s="16">
        <f t="shared" si="111"/>
        <v>66.962999999999994</v>
      </c>
      <c r="BJ182" s="17">
        <f t="shared" si="112"/>
        <v>32.15</v>
      </c>
      <c r="BK182" s="17">
        <f t="shared" si="113"/>
        <v>64.97</v>
      </c>
      <c r="BM182" s="1">
        <f t="shared" si="114"/>
        <v>93.3</v>
      </c>
      <c r="BN182" s="1">
        <f t="shared" si="115"/>
        <v>61.8</v>
      </c>
      <c r="BO182" s="1">
        <f t="shared" si="116"/>
        <v>32</v>
      </c>
      <c r="BP182" s="62">
        <f t="shared" si="119"/>
        <v>0.66600000000000004</v>
      </c>
      <c r="BQ182" s="62">
        <f t="shared" si="117"/>
        <v>1.415</v>
      </c>
      <c r="BS182" s="1">
        <v>0</v>
      </c>
      <c r="BT182" s="8"/>
      <c r="BV182" s="8"/>
      <c r="BW182" s="16">
        <f t="shared" si="120"/>
        <v>32.15</v>
      </c>
      <c r="BX182" s="16">
        <f t="shared" si="121"/>
        <v>64.97</v>
      </c>
      <c r="BY182" s="3">
        <f t="shared" si="122"/>
        <v>11</v>
      </c>
      <c r="BZ182" s="3">
        <f t="shared" si="123"/>
        <v>10.8</v>
      </c>
      <c r="CA182" s="3">
        <f t="shared" si="124"/>
        <v>10.9</v>
      </c>
      <c r="CB182" s="3">
        <f t="shared" si="125"/>
        <v>13.2</v>
      </c>
      <c r="CC182" s="3">
        <f t="shared" si="126"/>
        <v>12.5</v>
      </c>
      <c r="CD182" s="3">
        <f t="shared" si="127"/>
        <v>10.7</v>
      </c>
      <c r="CE182" s="3">
        <f t="shared" si="128"/>
        <v>8.6</v>
      </c>
      <c r="CF182" s="23">
        <f t="shared" si="129"/>
        <v>61.8</v>
      </c>
      <c r="CG182" s="1">
        <f t="shared" si="130"/>
        <v>18.100000000000001</v>
      </c>
      <c r="CH182" s="1">
        <f t="shared" si="131"/>
        <v>19.2</v>
      </c>
      <c r="CI182" s="1">
        <f t="shared" si="132"/>
        <v>21.2</v>
      </c>
      <c r="CJ182" s="1">
        <f t="shared" si="133"/>
        <v>30.3</v>
      </c>
      <c r="CK182" s="1">
        <f t="shared" si="134"/>
        <v>16.8</v>
      </c>
      <c r="CL182" s="1">
        <f t="shared" si="135"/>
        <v>11.2</v>
      </c>
      <c r="CM182" s="1">
        <f t="shared" si="136"/>
        <v>8.9</v>
      </c>
      <c r="CN182" s="2">
        <f t="shared" si="137"/>
        <v>93.3</v>
      </c>
      <c r="CO182" s="1">
        <f t="shared" si="138"/>
        <v>1.9</v>
      </c>
      <c r="CP182" s="1">
        <f t="shared" si="139"/>
        <v>1.3</v>
      </c>
      <c r="CQ182" s="1">
        <f t="shared" si="140"/>
        <v>1</v>
      </c>
      <c r="CR182" s="1">
        <f t="shared" si="141"/>
        <v>0.7</v>
      </c>
      <c r="CS182" s="1">
        <f t="shared" si="142"/>
        <v>8.9</v>
      </c>
      <c r="CT182" s="1">
        <f t="shared" si="143"/>
        <v>10.3</v>
      </c>
      <c r="CU182" s="1">
        <f t="shared" si="144"/>
        <v>8.3000000000000007</v>
      </c>
      <c r="CV182" s="2">
        <f t="shared" si="145"/>
        <v>32</v>
      </c>
      <c r="CW182" s="18">
        <f t="shared" si="146"/>
        <v>0</v>
      </c>
      <c r="CX182" s="1">
        <f>ROUND(PPTest!K182,1)</f>
        <v>1</v>
      </c>
      <c r="CY182" s="17">
        <f t="shared" si="147"/>
        <v>2.23</v>
      </c>
      <c r="CZ182" s="17">
        <f t="shared" si="148"/>
        <v>6.11</v>
      </c>
      <c r="DA182" s="20">
        <f t="shared" si="149"/>
        <v>0.66600000000000004</v>
      </c>
      <c r="DB182" s="20">
        <f t="shared" si="150"/>
        <v>1.415</v>
      </c>
      <c r="DC182" s="16">
        <f t="shared" si="151"/>
        <v>11.95</v>
      </c>
      <c r="DF182" s="1">
        <v>16</v>
      </c>
      <c r="DG182" s="1">
        <v>20.8</v>
      </c>
      <c r="DH182" s="1">
        <v>10.4</v>
      </c>
      <c r="DI182" s="1">
        <v>52.8</v>
      </c>
      <c r="DJ182" s="1">
        <v>41</v>
      </c>
      <c r="DW182" s="1">
        <v>13.1</v>
      </c>
      <c r="DX182" s="1">
        <v>19.5</v>
      </c>
      <c r="DY182" s="1">
        <v>5.8</v>
      </c>
    </row>
    <row r="183" spans="1:129" x14ac:dyDescent="0.2">
      <c r="A183" s="40">
        <v>34876</v>
      </c>
      <c r="B183" s="3">
        <v>177</v>
      </c>
      <c r="C183" s="3">
        <v>27.4</v>
      </c>
      <c r="D183" s="3">
        <v>50.81</v>
      </c>
      <c r="E183" s="3">
        <v>8.5399999999999991</v>
      </c>
      <c r="F183" s="3">
        <v>60.85</v>
      </c>
      <c r="G183" s="3">
        <v>8.23</v>
      </c>
      <c r="H183" s="3">
        <v>8.02</v>
      </c>
      <c r="I183" s="3">
        <v>9.8000000000000007</v>
      </c>
      <c r="J183" s="3">
        <v>9.11</v>
      </c>
      <c r="K183" s="3">
        <v>9.1999999999999993</v>
      </c>
      <c r="L183" s="3">
        <v>11.54</v>
      </c>
      <c r="M183" s="3">
        <v>10.6</v>
      </c>
      <c r="N183" s="3">
        <v>8.84</v>
      </c>
      <c r="O183" s="3">
        <v>1E-3</v>
      </c>
      <c r="P183" s="16">
        <v>1.9091666666666669</v>
      </c>
      <c r="Q183" s="3">
        <v>0</v>
      </c>
      <c r="R183" s="3">
        <v>13.5</v>
      </c>
      <c r="S183" s="3">
        <v>1524</v>
      </c>
      <c r="T183" s="3">
        <v>94.2</v>
      </c>
      <c r="U183" s="3">
        <v>242</v>
      </c>
      <c r="V183" s="3">
        <v>14.7</v>
      </c>
      <c r="W183" s="3">
        <v>16.96</v>
      </c>
      <c r="X183" s="3">
        <v>26.94</v>
      </c>
      <c r="Y183" s="3">
        <v>19.38</v>
      </c>
      <c r="Z183" s="3">
        <v>18.22</v>
      </c>
      <c r="AA183" s="3">
        <v>15.16</v>
      </c>
      <c r="AB183" s="3">
        <v>11.04</v>
      </c>
      <c r="AC183" s="3">
        <v>9.1</v>
      </c>
      <c r="AD183" s="16">
        <v>5.8608333333333329</v>
      </c>
      <c r="AE183" s="3">
        <v>1714</v>
      </c>
      <c r="AF183" s="3">
        <v>0.247</v>
      </c>
      <c r="AG183" s="3">
        <v>2357</v>
      </c>
      <c r="AH183" s="3">
        <v>29.81</v>
      </c>
      <c r="AI183" s="3">
        <v>1516</v>
      </c>
      <c r="AJ183" s="3">
        <v>-0.54100000000000004</v>
      </c>
      <c r="AK183" s="3">
        <v>-0.95899999999999996</v>
      </c>
      <c r="AL183" s="3">
        <v>-1.196</v>
      </c>
      <c r="AM183" s="3">
        <v>-0.99399999999999999</v>
      </c>
      <c r="AN183" s="3">
        <v>-1.077</v>
      </c>
      <c r="AO183" s="3">
        <v>9.0399999999999991</v>
      </c>
      <c r="AP183" s="3">
        <v>10.32</v>
      </c>
      <c r="AQ183" s="3">
        <v>8.58</v>
      </c>
      <c r="AR183" s="3">
        <v>7.3999999999999996E-2</v>
      </c>
      <c r="AS183" s="3">
        <v>0.23899999999999999</v>
      </c>
      <c r="AT183" s="3">
        <v>0.159</v>
      </c>
      <c r="AU183" s="3">
        <v>4.9000000000000002E-2</v>
      </c>
      <c r="AV183" s="3">
        <v>0.107</v>
      </c>
      <c r="AW183" s="3">
        <v>0.17</v>
      </c>
      <c r="AX183" s="3">
        <v>0.12</v>
      </c>
      <c r="AY183" s="3">
        <v>8.3000000000000004E-2</v>
      </c>
      <c r="AZ183" s="3">
        <v>8.5500000000000007</v>
      </c>
      <c r="BA183" s="3"/>
      <c r="BB183" s="3">
        <v>11.94</v>
      </c>
      <c r="BC183" s="3">
        <v>2876</v>
      </c>
      <c r="BD183" s="3"/>
      <c r="BE183" s="3"/>
      <c r="BF183" s="3">
        <v>0</v>
      </c>
      <c r="BH183" s="16">
        <v>33.119999999999997</v>
      </c>
      <c r="BI183" s="16">
        <f t="shared" si="111"/>
        <v>66.9024</v>
      </c>
      <c r="BJ183" s="17">
        <f t="shared" si="112"/>
        <v>27.4</v>
      </c>
      <c r="BK183" s="17">
        <f t="shared" si="113"/>
        <v>54.87</v>
      </c>
      <c r="BM183" s="1">
        <f t="shared" si="114"/>
        <v>88</v>
      </c>
      <c r="BN183" s="1">
        <f t="shared" si="115"/>
        <v>57.2</v>
      </c>
      <c r="BO183" s="1">
        <f t="shared" si="116"/>
        <v>28.5</v>
      </c>
      <c r="BP183" s="62">
        <f t="shared" si="119"/>
        <v>0.441</v>
      </c>
      <c r="BQ183" s="62">
        <f t="shared" si="117"/>
        <v>1.1060000000000001</v>
      </c>
      <c r="BS183" s="1">
        <v>0</v>
      </c>
      <c r="BT183" s="8"/>
      <c r="BV183" s="8"/>
      <c r="BW183" s="16">
        <f t="shared" si="120"/>
        <v>27.4</v>
      </c>
      <c r="BX183" s="16">
        <f t="shared" si="121"/>
        <v>54.87</v>
      </c>
      <c r="BY183" s="3">
        <f t="shared" si="122"/>
        <v>8.5</v>
      </c>
      <c r="BZ183" s="3">
        <f t="shared" si="123"/>
        <v>8.1999999999999993</v>
      </c>
      <c r="CA183" s="3">
        <f t="shared" si="124"/>
        <v>8</v>
      </c>
      <c r="CB183" s="3">
        <f t="shared" si="125"/>
        <v>9.8000000000000007</v>
      </c>
      <c r="CC183" s="3">
        <f t="shared" si="126"/>
        <v>11.5</v>
      </c>
      <c r="CD183" s="3">
        <f t="shared" si="127"/>
        <v>10.6</v>
      </c>
      <c r="CE183" s="3">
        <f t="shared" si="128"/>
        <v>8.8000000000000007</v>
      </c>
      <c r="CF183" s="23">
        <f t="shared" si="129"/>
        <v>57.2</v>
      </c>
      <c r="CG183" s="1">
        <f t="shared" si="130"/>
        <v>13.5</v>
      </c>
      <c r="CH183" s="1">
        <f t="shared" si="131"/>
        <v>14.7</v>
      </c>
      <c r="CI183" s="1">
        <f t="shared" si="132"/>
        <v>17</v>
      </c>
      <c r="CJ183" s="1">
        <f t="shared" si="133"/>
        <v>26.9</v>
      </c>
      <c r="CK183" s="1">
        <f t="shared" si="134"/>
        <v>15.2</v>
      </c>
      <c r="CL183" s="1">
        <f t="shared" si="135"/>
        <v>11</v>
      </c>
      <c r="CM183" s="1">
        <f t="shared" si="136"/>
        <v>9.1</v>
      </c>
      <c r="CN183" s="2">
        <f t="shared" si="137"/>
        <v>88</v>
      </c>
      <c r="CO183" s="1">
        <f t="shared" si="138"/>
        <v>0.2</v>
      </c>
      <c r="CP183" s="1">
        <f t="shared" si="139"/>
        <v>-0.5</v>
      </c>
      <c r="CQ183" s="1">
        <f t="shared" si="140"/>
        <v>-1</v>
      </c>
      <c r="CR183" s="1">
        <f t="shared" si="141"/>
        <v>-1.2</v>
      </c>
      <c r="CS183" s="1">
        <f t="shared" si="142"/>
        <v>9</v>
      </c>
      <c r="CT183" s="1">
        <f t="shared" si="143"/>
        <v>10.3</v>
      </c>
      <c r="CU183" s="1">
        <f t="shared" si="144"/>
        <v>8.6</v>
      </c>
      <c r="CV183" s="2">
        <f t="shared" si="145"/>
        <v>28.5</v>
      </c>
      <c r="CW183" s="18">
        <f t="shared" si="146"/>
        <v>0</v>
      </c>
      <c r="CX183" s="1">
        <f>ROUND(PPTest!K183,1)</f>
        <v>0</v>
      </c>
      <c r="CY183" s="17">
        <f t="shared" si="147"/>
        <v>1.91</v>
      </c>
      <c r="CZ183" s="17">
        <f t="shared" si="148"/>
        <v>5.86</v>
      </c>
      <c r="DA183" s="20">
        <f t="shared" si="149"/>
        <v>0.441</v>
      </c>
      <c r="DB183" s="20">
        <f t="shared" si="150"/>
        <v>1.1060000000000001</v>
      </c>
      <c r="DC183" s="16">
        <f t="shared" si="151"/>
        <v>11.94</v>
      </c>
      <c r="DF183" s="1">
        <v>12.6</v>
      </c>
      <c r="DG183" s="1">
        <v>16.5</v>
      </c>
      <c r="DH183" s="1">
        <v>9.6</v>
      </c>
      <c r="DI183" s="1">
        <v>49.8</v>
      </c>
      <c r="DJ183" s="1">
        <v>35</v>
      </c>
      <c r="DW183" s="1">
        <v>9.6999999999999993</v>
      </c>
      <c r="DX183" s="1">
        <v>13.2</v>
      </c>
      <c r="DY183" s="1">
        <v>3.8</v>
      </c>
    </row>
    <row r="184" spans="1:129" x14ac:dyDescent="0.2">
      <c r="A184" s="40">
        <v>34877</v>
      </c>
      <c r="B184" s="3">
        <v>178</v>
      </c>
      <c r="C184" s="3">
        <v>31.22</v>
      </c>
      <c r="D184" s="3">
        <v>57.13</v>
      </c>
      <c r="E184" s="3">
        <v>9.16</v>
      </c>
      <c r="F184" s="3">
        <v>56.68</v>
      </c>
      <c r="G184" s="3">
        <v>8.9600000000000009</v>
      </c>
      <c r="H184" s="3">
        <v>8.85</v>
      </c>
      <c r="I184" s="3">
        <v>10.49</v>
      </c>
      <c r="J184" s="3">
        <v>10.16</v>
      </c>
      <c r="K184" s="3">
        <v>10.39</v>
      </c>
      <c r="L184" s="3">
        <v>11.02</v>
      </c>
      <c r="M184" s="3">
        <v>10.07</v>
      </c>
      <c r="N184" s="3">
        <v>8.93</v>
      </c>
      <c r="O184" s="3">
        <v>1E-3</v>
      </c>
      <c r="P184" s="16">
        <v>2.0358333333333336</v>
      </c>
      <c r="Q184" s="3">
        <v>9</v>
      </c>
      <c r="R184" s="3">
        <v>17.100000000000001</v>
      </c>
      <c r="S184" s="3">
        <v>1422</v>
      </c>
      <c r="T184" s="3">
        <v>98.5</v>
      </c>
      <c r="U184" s="3">
        <v>413</v>
      </c>
      <c r="V184" s="3">
        <v>18.55</v>
      </c>
      <c r="W184" s="3">
        <v>20.010000000000002</v>
      </c>
      <c r="X184" s="3">
        <v>26.9</v>
      </c>
      <c r="Y184" s="3">
        <v>22.8</v>
      </c>
      <c r="Z184" s="3">
        <v>22.34</v>
      </c>
      <c r="AA184" s="3">
        <v>15.38</v>
      </c>
      <c r="AB184" s="3">
        <v>10.54</v>
      </c>
      <c r="AC184" s="3">
        <v>9.2200000000000006</v>
      </c>
      <c r="AD184" s="16">
        <v>5.7408333333333337</v>
      </c>
      <c r="AE184" s="3">
        <v>1450</v>
      </c>
      <c r="AF184" s="3">
        <v>-1.59</v>
      </c>
      <c r="AG184" s="3">
        <v>408</v>
      </c>
      <c r="AH184" s="3">
        <v>27.5</v>
      </c>
      <c r="AI184" s="3">
        <v>1657</v>
      </c>
      <c r="AJ184" s="3">
        <v>-2.1800000000000002</v>
      </c>
      <c r="AK184" s="3">
        <v>-2.5609999999999999</v>
      </c>
      <c r="AL184" s="3">
        <v>-2.5779999999999998</v>
      </c>
      <c r="AM184" s="3">
        <v>-1.889</v>
      </c>
      <c r="AN184" s="3">
        <v>-1.694</v>
      </c>
      <c r="AO184" s="3">
        <v>7.16</v>
      </c>
      <c r="AP184" s="3">
        <v>9.67</v>
      </c>
      <c r="AQ184" s="3">
        <v>8.6199999999999992</v>
      </c>
      <c r="AR184" s="3">
        <v>0.106</v>
      </c>
      <c r="AS184" s="3">
        <v>0.42299999999999999</v>
      </c>
      <c r="AT184" s="3">
        <v>0.219</v>
      </c>
      <c r="AU184" s="3">
        <v>3.1E-2</v>
      </c>
      <c r="AV184" s="3">
        <v>3.1E-2</v>
      </c>
      <c r="AW184" s="3">
        <v>5.8999999999999997E-2</v>
      </c>
      <c r="AX184" s="3">
        <v>5.8000000000000003E-2</v>
      </c>
      <c r="AY184" s="3">
        <v>7.3999999999999996E-2</v>
      </c>
      <c r="AZ184" s="3">
        <v>9.42</v>
      </c>
      <c r="BA184" s="3"/>
      <c r="BB184" s="3">
        <v>11.95</v>
      </c>
      <c r="BC184" s="3">
        <v>2876</v>
      </c>
      <c r="BD184" s="3"/>
      <c r="BE184" s="3"/>
      <c r="BF184" s="3">
        <v>0</v>
      </c>
      <c r="BH184" s="16">
        <v>33.08</v>
      </c>
      <c r="BI184" s="16">
        <f t="shared" si="111"/>
        <v>66.821600000000004</v>
      </c>
      <c r="BJ184" s="17">
        <f t="shared" si="112"/>
        <v>31.22</v>
      </c>
      <c r="BK184" s="17">
        <f t="shared" si="113"/>
        <v>61.7</v>
      </c>
      <c r="BM184" s="1">
        <f t="shared" si="114"/>
        <v>92</v>
      </c>
      <c r="BN184" s="1">
        <f t="shared" si="115"/>
        <v>53.4</v>
      </c>
      <c r="BO184" s="1">
        <f t="shared" si="116"/>
        <v>26.4</v>
      </c>
      <c r="BP184" s="62">
        <f t="shared" si="119"/>
        <v>0.51500000000000001</v>
      </c>
      <c r="BQ184" s="62">
        <f t="shared" si="117"/>
        <v>1.4359999999999999</v>
      </c>
      <c r="BS184" s="1">
        <v>0</v>
      </c>
      <c r="BT184" s="8"/>
      <c r="BV184" s="8"/>
      <c r="BW184" s="16">
        <f t="shared" si="120"/>
        <v>31.22</v>
      </c>
      <c r="BX184" s="16">
        <f t="shared" si="121"/>
        <v>61.7</v>
      </c>
      <c r="BY184" s="3">
        <f t="shared" si="122"/>
        <v>9.1999999999999993</v>
      </c>
      <c r="BZ184" s="3">
        <f t="shared" si="123"/>
        <v>9</v>
      </c>
      <c r="CA184" s="3">
        <f t="shared" si="124"/>
        <v>8.9</v>
      </c>
      <c r="CB184" s="3">
        <f t="shared" si="125"/>
        <v>10.5</v>
      </c>
      <c r="CC184" s="3">
        <f t="shared" si="126"/>
        <v>11</v>
      </c>
      <c r="CD184" s="3">
        <f t="shared" si="127"/>
        <v>10.1</v>
      </c>
      <c r="CE184" s="3">
        <f t="shared" si="128"/>
        <v>8.9</v>
      </c>
      <c r="CF184" s="23">
        <f t="shared" si="129"/>
        <v>53.4</v>
      </c>
      <c r="CG184" s="1">
        <f t="shared" si="130"/>
        <v>17.100000000000001</v>
      </c>
      <c r="CH184" s="1">
        <f t="shared" si="131"/>
        <v>18.600000000000001</v>
      </c>
      <c r="CI184" s="1">
        <f t="shared" si="132"/>
        <v>20</v>
      </c>
      <c r="CJ184" s="1">
        <f t="shared" si="133"/>
        <v>26.9</v>
      </c>
      <c r="CK184" s="1">
        <f t="shared" si="134"/>
        <v>15.4</v>
      </c>
      <c r="CL184" s="1">
        <f t="shared" si="135"/>
        <v>10.5</v>
      </c>
      <c r="CM184" s="1">
        <f t="shared" si="136"/>
        <v>9.1999999999999993</v>
      </c>
      <c r="CN184" s="2">
        <f t="shared" si="137"/>
        <v>92</v>
      </c>
      <c r="CO184" s="1">
        <f t="shared" si="138"/>
        <v>-1.6</v>
      </c>
      <c r="CP184" s="1">
        <f t="shared" si="139"/>
        <v>-2.2000000000000002</v>
      </c>
      <c r="CQ184" s="1">
        <f t="shared" si="140"/>
        <v>-2.6</v>
      </c>
      <c r="CR184" s="1">
        <f t="shared" si="141"/>
        <v>-2.6</v>
      </c>
      <c r="CS184" s="1">
        <f t="shared" si="142"/>
        <v>7.2</v>
      </c>
      <c r="CT184" s="1">
        <f t="shared" si="143"/>
        <v>9.6999999999999993</v>
      </c>
      <c r="CU184" s="1">
        <f t="shared" si="144"/>
        <v>8.6</v>
      </c>
      <c r="CV184" s="2">
        <f t="shared" si="145"/>
        <v>26.4</v>
      </c>
      <c r="CW184" s="18">
        <f t="shared" si="146"/>
        <v>0</v>
      </c>
      <c r="CX184" s="1">
        <f>ROUND(PPTest!K184,1)</f>
        <v>9</v>
      </c>
      <c r="CY184" s="17">
        <f t="shared" si="147"/>
        <v>2.04</v>
      </c>
      <c r="CZ184" s="17">
        <f t="shared" si="148"/>
        <v>5.74</v>
      </c>
      <c r="DA184" s="20">
        <f t="shared" si="149"/>
        <v>0.51500000000000001</v>
      </c>
      <c r="DB184" s="20">
        <f t="shared" si="150"/>
        <v>1.4359999999999999</v>
      </c>
      <c r="DC184" s="16">
        <f t="shared" si="151"/>
        <v>11.95</v>
      </c>
      <c r="DF184" s="1">
        <v>14.5</v>
      </c>
      <c r="DG184" s="1">
        <v>19.3</v>
      </c>
      <c r="DH184" s="1">
        <v>8.3000000000000007</v>
      </c>
      <c r="DI184" s="1">
        <v>40.299999999999997</v>
      </c>
      <c r="DJ184" s="1">
        <v>31</v>
      </c>
      <c r="DW184" s="1">
        <v>10.1</v>
      </c>
      <c r="DX184" s="1">
        <v>16.3</v>
      </c>
      <c r="DY184" s="1">
        <v>2</v>
      </c>
    </row>
    <row r="185" spans="1:129" x14ac:dyDescent="0.2">
      <c r="A185" s="40">
        <v>34878</v>
      </c>
      <c r="B185" s="3">
        <v>179</v>
      </c>
      <c r="C185" s="3">
        <v>32.35</v>
      </c>
      <c r="D185" s="3">
        <v>60.21</v>
      </c>
      <c r="E185" s="3">
        <v>12.54</v>
      </c>
      <c r="F185" s="3">
        <v>52.92</v>
      </c>
      <c r="G185" s="3">
        <v>12.33</v>
      </c>
      <c r="H185" s="3">
        <v>12.17</v>
      </c>
      <c r="I185" s="3">
        <v>13.01</v>
      </c>
      <c r="J185" s="3">
        <v>13.66</v>
      </c>
      <c r="K185" s="3">
        <v>13.82</v>
      </c>
      <c r="L185" s="3">
        <v>11.87</v>
      </c>
      <c r="M185" s="3">
        <v>10.119999999999999</v>
      </c>
      <c r="N185" s="3">
        <v>8.94</v>
      </c>
      <c r="O185" s="3">
        <v>1E-3</v>
      </c>
      <c r="P185" s="16">
        <v>1.924166666666667</v>
      </c>
      <c r="Q185" s="3">
        <v>0</v>
      </c>
      <c r="R185" s="3">
        <v>21.13</v>
      </c>
      <c r="S185" s="3">
        <v>1521</v>
      </c>
      <c r="T185" s="3">
        <v>91.4</v>
      </c>
      <c r="U185" s="3">
        <v>258</v>
      </c>
      <c r="V185" s="3">
        <v>22.42</v>
      </c>
      <c r="W185" s="3">
        <v>23.29</v>
      </c>
      <c r="X185" s="3">
        <v>29.7</v>
      </c>
      <c r="Y185" s="3">
        <v>27.49</v>
      </c>
      <c r="Z185" s="3">
        <v>26.32</v>
      </c>
      <c r="AA185" s="3">
        <v>16.52</v>
      </c>
      <c r="AB185" s="3">
        <v>10.77</v>
      </c>
      <c r="AC185" s="3">
        <v>9.1999999999999993</v>
      </c>
      <c r="AD185" s="16">
        <v>4.6341666666666672</v>
      </c>
      <c r="AE185" s="3">
        <v>1510</v>
      </c>
      <c r="AF185" s="3">
        <v>1.0409999999999999</v>
      </c>
      <c r="AG185" s="3">
        <v>245</v>
      </c>
      <c r="AH185" s="3">
        <v>23.23</v>
      </c>
      <c r="AI185" s="3">
        <v>1543</v>
      </c>
      <c r="AJ185" s="3">
        <v>0.252</v>
      </c>
      <c r="AK185" s="3">
        <v>-0.157</v>
      </c>
      <c r="AL185" s="3">
        <v>-0.56499999999999995</v>
      </c>
      <c r="AM185" s="3">
        <v>-0.35799999999999998</v>
      </c>
      <c r="AN185" s="3">
        <v>-0.32300000000000001</v>
      </c>
      <c r="AO185" s="3">
        <v>7.92</v>
      </c>
      <c r="AP185" s="3">
        <v>9.67</v>
      </c>
      <c r="AQ185" s="3">
        <v>8.6999999999999993</v>
      </c>
      <c r="AR185" s="3">
        <v>9.6000000000000002E-2</v>
      </c>
      <c r="AS185" s="3">
        <v>0.38700000000000001</v>
      </c>
      <c r="AT185" s="3">
        <v>0.221</v>
      </c>
      <c r="AU185" s="3">
        <v>2.3E-2</v>
      </c>
      <c r="AV185" s="3">
        <v>3.1E-2</v>
      </c>
      <c r="AW185" s="3">
        <v>6.0999999999999999E-2</v>
      </c>
      <c r="AX185" s="3">
        <v>0.09</v>
      </c>
      <c r="AY185" s="3">
        <v>0.09</v>
      </c>
      <c r="AZ185" s="3">
        <v>12.75</v>
      </c>
      <c r="BA185" s="3"/>
      <c r="BB185" s="3">
        <v>11.95</v>
      </c>
      <c r="BC185" s="3">
        <v>2876</v>
      </c>
      <c r="BD185" s="3"/>
      <c r="BE185" s="3"/>
      <c r="BF185" s="3">
        <v>0</v>
      </c>
      <c r="BH185" s="16">
        <v>33.04</v>
      </c>
      <c r="BI185" s="16">
        <f t="shared" si="111"/>
        <v>66.740799999999993</v>
      </c>
      <c r="BJ185" s="17">
        <f t="shared" si="112"/>
        <v>32.35</v>
      </c>
      <c r="BK185" s="17">
        <f t="shared" si="113"/>
        <v>65.03</v>
      </c>
      <c r="BM185" s="1">
        <f t="shared" si="114"/>
        <v>85.5</v>
      </c>
      <c r="BN185" s="1">
        <f t="shared" si="115"/>
        <v>49.9</v>
      </c>
      <c r="BO185" s="1">
        <f t="shared" si="116"/>
        <v>22.5</v>
      </c>
      <c r="BP185" s="62">
        <f t="shared" si="119"/>
        <v>0.56399999999999995</v>
      </c>
      <c r="BQ185" s="62">
        <f t="shared" si="117"/>
        <v>1.9430000000000001</v>
      </c>
      <c r="BS185" s="1">
        <v>0</v>
      </c>
      <c r="BT185" s="8"/>
      <c r="BV185" s="8"/>
      <c r="BW185" s="16">
        <f t="shared" si="120"/>
        <v>32.35</v>
      </c>
      <c r="BX185" s="16">
        <f t="shared" si="121"/>
        <v>65.03</v>
      </c>
      <c r="BY185" s="3">
        <f t="shared" si="122"/>
        <v>12.5</v>
      </c>
      <c r="BZ185" s="3">
        <f t="shared" si="123"/>
        <v>12.3</v>
      </c>
      <c r="CA185" s="3">
        <f t="shared" si="124"/>
        <v>12.2</v>
      </c>
      <c r="CB185" s="3">
        <f t="shared" si="125"/>
        <v>13</v>
      </c>
      <c r="CC185" s="3">
        <f t="shared" si="126"/>
        <v>11.9</v>
      </c>
      <c r="CD185" s="3">
        <f t="shared" si="127"/>
        <v>10.1</v>
      </c>
      <c r="CE185" s="3">
        <f t="shared" si="128"/>
        <v>8.9</v>
      </c>
      <c r="CF185" s="23">
        <f t="shared" si="129"/>
        <v>49.9</v>
      </c>
      <c r="CG185" s="1">
        <f t="shared" si="130"/>
        <v>21.1</v>
      </c>
      <c r="CH185" s="1">
        <f t="shared" si="131"/>
        <v>22.4</v>
      </c>
      <c r="CI185" s="1">
        <f t="shared" si="132"/>
        <v>23.3</v>
      </c>
      <c r="CJ185" s="1">
        <f t="shared" si="133"/>
        <v>29.7</v>
      </c>
      <c r="CK185" s="1">
        <f t="shared" si="134"/>
        <v>16.5</v>
      </c>
      <c r="CL185" s="1">
        <f t="shared" si="135"/>
        <v>10.8</v>
      </c>
      <c r="CM185" s="1">
        <f t="shared" si="136"/>
        <v>9.1999999999999993</v>
      </c>
      <c r="CN185" s="2">
        <f t="shared" si="137"/>
        <v>85.5</v>
      </c>
      <c r="CO185" s="1">
        <f t="shared" si="138"/>
        <v>1</v>
      </c>
      <c r="CP185" s="1">
        <f t="shared" si="139"/>
        <v>0.3</v>
      </c>
      <c r="CQ185" s="1">
        <f t="shared" si="140"/>
        <v>-0.2</v>
      </c>
      <c r="CR185" s="1">
        <f t="shared" si="141"/>
        <v>-0.6</v>
      </c>
      <c r="CS185" s="1">
        <f t="shared" si="142"/>
        <v>7.9</v>
      </c>
      <c r="CT185" s="1">
        <f t="shared" si="143"/>
        <v>9.6999999999999993</v>
      </c>
      <c r="CU185" s="1">
        <f t="shared" si="144"/>
        <v>8.6999999999999993</v>
      </c>
      <c r="CV185" s="2">
        <f t="shared" si="145"/>
        <v>22.5</v>
      </c>
      <c r="CW185" s="18">
        <f t="shared" si="146"/>
        <v>0</v>
      </c>
      <c r="CX185" s="1">
        <f>ROUND(PPTest!K185,1)</f>
        <v>0</v>
      </c>
      <c r="CY185" s="17">
        <f t="shared" si="147"/>
        <v>1.92</v>
      </c>
      <c r="CZ185" s="17">
        <f t="shared" si="148"/>
        <v>4.63</v>
      </c>
      <c r="DA185" s="20">
        <f t="shared" si="149"/>
        <v>0.56399999999999995</v>
      </c>
      <c r="DB185" s="20">
        <f t="shared" si="150"/>
        <v>1.9430000000000001</v>
      </c>
      <c r="DC185" s="16">
        <f t="shared" si="151"/>
        <v>11.95</v>
      </c>
      <c r="DF185" s="1">
        <v>17.7</v>
      </c>
      <c r="DG185" s="1">
        <v>23.2</v>
      </c>
      <c r="DH185" s="1">
        <v>11.5</v>
      </c>
      <c r="DI185" s="1">
        <v>37.799999999999997</v>
      </c>
      <c r="DJ185" s="1">
        <v>28</v>
      </c>
      <c r="DW185" s="1">
        <v>12.7</v>
      </c>
      <c r="DX185" s="1">
        <v>20.399999999999999</v>
      </c>
      <c r="DY185" s="1">
        <v>2</v>
      </c>
    </row>
    <row r="186" spans="1:129" x14ac:dyDescent="0.2">
      <c r="A186" s="40">
        <v>34879</v>
      </c>
      <c r="B186" s="3">
        <v>180</v>
      </c>
      <c r="C186" s="3">
        <v>29</v>
      </c>
      <c r="D186" s="3">
        <v>53.85</v>
      </c>
      <c r="E186" s="3">
        <v>13.84</v>
      </c>
      <c r="F186" s="3">
        <v>55.25</v>
      </c>
      <c r="G186" s="3">
        <v>13.56</v>
      </c>
      <c r="H186" s="3">
        <v>13.44</v>
      </c>
      <c r="I186" s="3">
        <v>14.89</v>
      </c>
      <c r="J186" s="3">
        <v>14.6</v>
      </c>
      <c r="K186" s="3">
        <v>14.82</v>
      </c>
      <c r="L186" s="3">
        <v>12.45</v>
      </c>
      <c r="M186" s="3">
        <v>10.43</v>
      </c>
      <c r="N186" s="3">
        <v>8.94</v>
      </c>
      <c r="O186" s="3">
        <v>1E-3</v>
      </c>
      <c r="P186" s="16">
        <v>1.9491666666666669</v>
      </c>
      <c r="Q186" s="3">
        <v>0</v>
      </c>
      <c r="R186" s="3">
        <v>22.11</v>
      </c>
      <c r="S186" s="3">
        <v>1539</v>
      </c>
      <c r="T186" s="3">
        <v>91.3</v>
      </c>
      <c r="U186" s="3">
        <v>356</v>
      </c>
      <c r="V186" s="3">
        <v>23.67</v>
      </c>
      <c r="W186" s="3">
        <v>24.68</v>
      </c>
      <c r="X186" s="3">
        <v>35.619999999999997</v>
      </c>
      <c r="Y186" s="3">
        <v>27.93</v>
      </c>
      <c r="Z186" s="3">
        <v>26.33</v>
      </c>
      <c r="AA186" s="3">
        <v>16.600000000000001</v>
      </c>
      <c r="AB186" s="3">
        <v>11.01</v>
      </c>
      <c r="AC186" s="3">
        <v>9.16</v>
      </c>
      <c r="AD186" s="16">
        <v>4.7408333333333337</v>
      </c>
      <c r="AE186" s="3">
        <v>1326</v>
      </c>
      <c r="AF186" s="3">
        <v>3.452</v>
      </c>
      <c r="AG186" s="3">
        <v>357</v>
      </c>
      <c r="AH186" s="3">
        <v>20.93</v>
      </c>
      <c r="AI186" s="3">
        <v>1648</v>
      </c>
      <c r="AJ186" s="3">
        <v>2.5950000000000002</v>
      </c>
      <c r="AK186" s="3">
        <v>2.0659999999999998</v>
      </c>
      <c r="AL186" s="3">
        <v>1.611</v>
      </c>
      <c r="AM186" s="3">
        <v>1.911</v>
      </c>
      <c r="AN186" s="3">
        <v>2.0489999999999999</v>
      </c>
      <c r="AO186" s="3">
        <v>8.85</v>
      </c>
      <c r="AP186" s="3">
        <v>10</v>
      </c>
      <c r="AQ186" s="3">
        <v>8.73</v>
      </c>
      <c r="AR186" s="3">
        <v>2.5000000000000001E-2</v>
      </c>
      <c r="AS186" s="3">
        <v>0.33500000000000002</v>
      </c>
      <c r="AT186" s="3">
        <v>0.192</v>
      </c>
      <c r="AU186" s="3">
        <v>1.0999999999999999E-2</v>
      </c>
      <c r="AV186" s="3">
        <v>7.1999999999999995E-2</v>
      </c>
      <c r="AW186" s="3">
        <v>0.218</v>
      </c>
      <c r="AX186" s="3">
        <v>0.106</v>
      </c>
      <c r="AY186" s="3">
        <v>4.2000000000000003E-2</v>
      </c>
      <c r="AZ186" s="3">
        <v>13.87</v>
      </c>
      <c r="BA186" s="3"/>
      <c r="BB186" s="3">
        <v>11.95</v>
      </c>
      <c r="BC186" s="3">
        <v>2876</v>
      </c>
      <c r="BD186" s="3"/>
      <c r="BE186" s="3"/>
      <c r="BF186" s="3">
        <v>0</v>
      </c>
      <c r="BH186" s="16">
        <v>33</v>
      </c>
      <c r="BI186" s="16">
        <f t="shared" si="111"/>
        <v>66.66</v>
      </c>
      <c r="BJ186" s="17">
        <f t="shared" si="112"/>
        <v>29</v>
      </c>
      <c r="BK186" s="17">
        <f t="shared" si="113"/>
        <v>58.16</v>
      </c>
      <c r="BM186" s="1">
        <f t="shared" si="114"/>
        <v>85.4</v>
      </c>
      <c r="BN186" s="1">
        <f t="shared" si="115"/>
        <v>52.1</v>
      </c>
      <c r="BO186" s="1">
        <f t="shared" si="116"/>
        <v>20.3</v>
      </c>
      <c r="BP186" s="62">
        <f t="shared" si="119"/>
        <v>0.54</v>
      </c>
      <c r="BQ186" s="62">
        <f t="shared" si="117"/>
        <v>2.12</v>
      </c>
      <c r="BS186" s="1">
        <v>0</v>
      </c>
      <c r="BT186" s="8"/>
      <c r="BV186" s="8"/>
      <c r="BW186" s="16">
        <f t="shared" si="120"/>
        <v>29</v>
      </c>
      <c r="BX186" s="16">
        <f t="shared" si="121"/>
        <v>58.16</v>
      </c>
      <c r="BY186" s="3">
        <f t="shared" si="122"/>
        <v>13.8</v>
      </c>
      <c r="BZ186" s="3">
        <f t="shared" si="123"/>
        <v>13.6</v>
      </c>
      <c r="CA186" s="3">
        <f t="shared" si="124"/>
        <v>13.4</v>
      </c>
      <c r="CB186" s="3">
        <f t="shared" si="125"/>
        <v>14.9</v>
      </c>
      <c r="CC186" s="3">
        <f t="shared" si="126"/>
        <v>12.5</v>
      </c>
      <c r="CD186" s="3">
        <f t="shared" si="127"/>
        <v>10.4</v>
      </c>
      <c r="CE186" s="3">
        <f t="shared" si="128"/>
        <v>8.9</v>
      </c>
      <c r="CF186" s="23">
        <f t="shared" si="129"/>
        <v>52.1</v>
      </c>
      <c r="CG186" s="1">
        <f t="shared" si="130"/>
        <v>22.1</v>
      </c>
      <c r="CH186" s="1">
        <f t="shared" si="131"/>
        <v>23.7</v>
      </c>
      <c r="CI186" s="1">
        <f t="shared" si="132"/>
        <v>24.7</v>
      </c>
      <c r="CJ186" s="1">
        <f t="shared" si="133"/>
        <v>35.6</v>
      </c>
      <c r="CK186" s="1">
        <f t="shared" si="134"/>
        <v>16.600000000000001</v>
      </c>
      <c r="CL186" s="1">
        <f t="shared" si="135"/>
        <v>11</v>
      </c>
      <c r="CM186" s="1">
        <f t="shared" si="136"/>
        <v>9.1999999999999993</v>
      </c>
      <c r="CN186" s="2">
        <f t="shared" si="137"/>
        <v>85.4</v>
      </c>
      <c r="CO186" s="1">
        <f t="shared" si="138"/>
        <v>3.5</v>
      </c>
      <c r="CP186" s="1">
        <f t="shared" si="139"/>
        <v>2.6</v>
      </c>
      <c r="CQ186" s="1">
        <f t="shared" si="140"/>
        <v>2.1</v>
      </c>
      <c r="CR186" s="1">
        <f t="shared" si="141"/>
        <v>1.6</v>
      </c>
      <c r="CS186" s="1">
        <f t="shared" si="142"/>
        <v>8.9</v>
      </c>
      <c r="CT186" s="1">
        <f t="shared" si="143"/>
        <v>10</v>
      </c>
      <c r="CU186" s="1">
        <f t="shared" si="144"/>
        <v>8.6999999999999993</v>
      </c>
      <c r="CV186" s="2">
        <f t="shared" si="145"/>
        <v>20.3</v>
      </c>
      <c r="CW186" s="18">
        <f t="shared" si="146"/>
        <v>0</v>
      </c>
      <c r="CX186" s="1">
        <f>ROUND(PPTest!K186,1)</f>
        <v>0</v>
      </c>
      <c r="CY186" s="17">
        <f t="shared" si="147"/>
        <v>1.95</v>
      </c>
      <c r="CZ186" s="17">
        <f t="shared" si="148"/>
        <v>4.74</v>
      </c>
      <c r="DA186" s="20">
        <f t="shared" si="149"/>
        <v>0.54</v>
      </c>
      <c r="DB186" s="20">
        <f t="shared" si="150"/>
        <v>2.12</v>
      </c>
      <c r="DC186" s="16">
        <f t="shared" si="151"/>
        <v>11.95</v>
      </c>
      <c r="DF186" s="1">
        <v>19.5</v>
      </c>
      <c r="DG186" s="1">
        <v>24.8</v>
      </c>
      <c r="DH186" s="1">
        <v>14.2</v>
      </c>
      <c r="DI186" s="1">
        <v>38</v>
      </c>
      <c r="DJ186" s="1">
        <v>28</v>
      </c>
      <c r="DW186" s="1">
        <v>14.1</v>
      </c>
      <c r="DX186" s="1">
        <v>22.1</v>
      </c>
      <c r="DY186" s="1">
        <v>4.4000000000000004</v>
      </c>
    </row>
    <row r="187" spans="1:129" x14ac:dyDescent="0.2">
      <c r="A187" s="40">
        <v>34880</v>
      </c>
      <c r="B187" s="3">
        <v>181</v>
      </c>
      <c r="C187" s="3">
        <v>29.52</v>
      </c>
      <c r="D187" s="3">
        <v>55.07</v>
      </c>
      <c r="E187" s="3">
        <v>15.45</v>
      </c>
      <c r="F187" s="3">
        <v>53.47</v>
      </c>
      <c r="G187" s="3">
        <v>15.2</v>
      </c>
      <c r="H187" s="3">
        <v>15.11</v>
      </c>
      <c r="I187" s="3">
        <v>16.52</v>
      </c>
      <c r="J187" s="3">
        <v>16.21</v>
      </c>
      <c r="K187" s="3">
        <v>16.39</v>
      </c>
      <c r="L187" s="3">
        <v>12.89</v>
      </c>
      <c r="M187" s="3">
        <v>10.67</v>
      </c>
      <c r="N187" s="3">
        <v>8.94</v>
      </c>
      <c r="O187" s="3">
        <v>1E-3</v>
      </c>
      <c r="P187" s="16">
        <v>1.9424999999999999</v>
      </c>
      <c r="Q187" s="3">
        <v>0</v>
      </c>
      <c r="R187" s="3">
        <v>23.38</v>
      </c>
      <c r="S187" s="3">
        <v>1412</v>
      </c>
      <c r="T187" s="3">
        <v>90.8</v>
      </c>
      <c r="U187" s="3">
        <v>348</v>
      </c>
      <c r="V187" s="3">
        <v>24.49</v>
      </c>
      <c r="W187" s="3">
        <v>26.58</v>
      </c>
      <c r="X187" s="3">
        <v>35.28</v>
      </c>
      <c r="Y187" s="3">
        <v>29.21</v>
      </c>
      <c r="Z187" s="3">
        <v>27.4</v>
      </c>
      <c r="AA187" s="3">
        <v>16.98</v>
      </c>
      <c r="AB187" s="3">
        <v>11.3</v>
      </c>
      <c r="AC187" s="3">
        <v>9.15</v>
      </c>
      <c r="AD187" s="16">
        <v>4.7141666666666673</v>
      </c>
      <c r="AE187" s="3">
        <v>1104</v>
      </c>
      <c r="AF187" s="3">
        <v>4.6959999999999997</v>
      </c>
      <c r="AG187" s="3">
        <v>348</v>
      </c>
      <c r="AH187" s="3">
        <v>22.88</v>
      </c>
      <c r="AI187" s="3">
        <v>1352</v>
      </c>
      <c r="AJ187" s="3">
        <v>3.7930000000000001</v>
      </c>
      <c r="AK187" s="3">
        <v>3.2160000000000002</v>
      </c>
      <c r="AL187" s="3">
        <v>2.5419999999999998</v>
      </c>
      <c r="AM187" s="3">
        <v>3.117</v>
      </c>
      <c r="AN187" s="3">
        <v>3.2429999999999999</v>
      </c>
      <c r="AO187" s="3">
        <v>9.3000000000000007</v>
      </c>
      <c r="AP187" s="3">
        <v>10.199999999999999</v>
      </c>
      <c r="AQ187" s="3">
        <v>8.75</v>
      </c>
      <c r="AR187" s="3">
        <v>2.8000000000000001E-2</v>
      </c>
      <c r="AS187" s="3">
        <v>0.27700000000000002</v>
      </c>
      <c r="AT187" s="3">
        <v>0.24</v>
      </c>
      <c r="AU187" s="3">
        <v>1.2E-2</v>
      </c>
      <c r="AV187" s="3">
        <v>0.10100000000000001</v>
      </c>
      <c r="AW187" s="3">
        <v>0.214</v>
      </c>
      <c r="AX187" s="3">
        <v>8.6999999999999994E-2</v>
      </c>
      <c r="AY187" s="3">
        <v>4.1000000000000002E-2</v>
      </c>
      <c r="AZ187" s="3">
        <v>15.48</v>
      </c>
      <c r="BA187" s="3"/>
      <c r="BB187" s="3">
        <v>11.95</v>
      </c>
      <c r="BC187" s="3">
        <v>2876</v>
      </c>
      <c r="BD187" s="3"/>
      <c r="BE187" s="3"/>
      <c r="BF187" s="3">
        <v>0</v>
      </c>
      <c r="BH187" s="16">
        <v>32.950000000000003</v>
      </c>
      <c r="BI187" s="16">
        <f t="shared" si="111"/>
        <v>66.559000000000012</v>
      </c>
      <c r="BJ187" s="17">
        <f t="shared" si="112"/>
        <v>29.52</v>
      </c>
      <c r="BK187" s="17">
        <f t="shared" si="113"/>
        <v>59.48</v>
      </c>
      <c r="BM187" s="1">
        <f t="shared" si="114"/>
        <v>84.9</v>
      </c>
      <c r="BN187" s="1">
        <f t="shared" si="115"/>
        <v>50.4</v>
      </c>
      <c r="BO187" s="1">
        <f t="shared" si="116"/>
        <v>22.1</v>
      </c>
      <c r="BP187" s="62">
        <f t="shared" si="119"/>
        <v>0.63500000000000001</v>
      </c>
      <c r="BQ187" s="62">
        <f t="shared" si="117"/>
        <v>2.238</v>
      </c>
      <c r="BS187" s="1">
        <v>0</v>
      </c>
      <c r="BT187" s="8"/>
      <c r="BV187" s="8"/>
      <c r="BW187" s="16">
        <f t="shared" si="120"/>
        <v>29.52</v>
      </c>
      <c r="BX187" s="16">
        <f t="shared" si="121"/>
        <v>59.48</v>
      </c>
      <c r="BY187" s="3">
        <f t="shared" si="122"/>
        <v>15.5</v>
      </c>
      <c r="BZ187" s="3">
        <f t="shared" si="123"/>
        <v>15.2</v>
      </c>
      <c r="CA187" s="3">
        <f t="shared" si="124"/>
        <v>15.1</v>
      </c>
      <c r="CB187" s="3">
        <f t="shared" si="125"/>
        <v>16.5</v>
      </c>
      <c r="CC187" s="3">
        <f t="shared" si="126"/>
        <v>12.9</v>
      </c>
      <c r="CD187" s="3">
        <f t="shared" si="127"/>
        <v>10.7</v>
      </c>
      <c r="CE187" s="3">
        <f t="shared" si="128"/>
        <v>8.9</v>
      </c>
      <c r="CF187" s="23">
        <f t="shared" si="129"/>
        <v>50.4</v>
      </c>
      <c r="CG187" s="1">
        <f t="shared" si="130"/>
        <v>23.4</v>
      </c>
      <c r="CH187" s="1">
        <f t="shared" si="131"/>
        <v>24.5</v>
      </c>
      <c r="CI187" s="1">
        <f t="shared" si="132"/>
        <v>26.6</v>
      </c>
      <c r="CJ187" s="1">
        <f t="shared" si="133"/>
        <v>35.299999999999997</v>
      </c>
      <c r="CK187" s="1">
        <f t="shared" si="134"/>
        <v>17</v>
      </c>
      <c r="CL187" s="1">
        <f t="shared" si="135"/>
        <v>11.3</v>
      </c>
      <c r="CM187" s="1">
        <f t="shared" si="136"/>
        <v>9.1999999999999993</v>
      </c>
      <c r="CN187" s="2">
        <f t="shared" si="137"/>
        <v>84.9</v>
      </c>
      <c r="CO187" s="1">
        <f t="shared" si="138"/>
        <v>4.7</v>
      </c>
      <c r="CP187" s="1">
        <f t="shared" si="139"/>
        <v>3.8</v>
      </c>
      <c r="CQ187" s="1">
        <f t="shared" si="140"/>
        <v>3.2</v>
      </c>
      <c r="CR187" s="1">
        <f t="shared" si="141"/>
        <v>2.5</v>
      </c>
      <c r="CS187" s="1">
        <f t="shared" si="142"/>
        <v>9.3000000000000007</v>
      </c>
      <c r="CT187" s="1">
        <f t="shared" si="143"/>
        <v>10.199999999999999</v>
      </c>
      <c r="CU187" s="1">
        <f t="shared" si="144"/>
        <v>8.8000000000000007</v>
      </c>
      <c r="CV187" s="2">
        <f t="shared" si="145"/>
        <v>22.1</v>
      </c>
      <c r="CW187" s="18">
        <f t="shared" si="146"/>
        <v>0</v>
      </c>
      <c r="CX187" s="1">
        <f>ROUND(PPTest!K187,1)</f>
        <v>0</v>
      </c>
      <c r="CY187" s="17">
        <f t="shared" si="147"/>
        <v>1.94</v>
      </c>
      <c r="CZ187" s="17">
        <f t="shared" si="148"/>
        <v>4.71</v>
      </c>
      <c r="DA187" s="20">
        <f t="shared" si="149"/>
        <v>0.63500000000000001</v>
      </c>
      <c r="DB187" s="20">
        <f t="shared" si="150"/>
        <v>2.238</v>
      </c>
      <c r="DC187" s="16">
        <f t="shared" si="151"/>
        <v>11.95</v>
      </c>
      <c r="DF187" s="1">
        <v>20.7</v>
      </c>
      <c r="DG187" s="1">
        <v>25.7</v>
      </c>
      <c r="DH187" s="1">
        <v>15.2</v>
      </c>
      <c r="DI187" s="1">
        <v>37.9</v>
      </c>
      <c r="DJ187" s="1">
        <v>29</v>
      </c>
      <c r="DW187" s="1">
        <v>14.2</v>
      </c>
      <c r="DX187" s="1">
        <v>22.2</v>
      </c>
      <c r="DY187" s="1">
        <v>6.1</v>
      </c>
    </row>
    <row r="188" spans="1:129" x14ac:dyDescent="0.2">
      <c r="A188" s="40">
        <v>34881</v>
      </c>
      <c r="B188" s="3">
        <v>182</v>
      </c>
      <c r="C188" s="3">
        <v>22.7</v>
      </c>
      <c r="D188" s="3">
        <v>42.77</v>
      </c>
      <c r="E188" s="3">
        <v>16.62</v>
      </c>
      <c r="F188" s="3">
        <v>50.25</v>
      </c>
      <c r="G188" s="3">
        <v>16.39</v>
      </c>
      <c r="H188" s="3">
        <v>16.41</v>
      </c>
      <c r="I188" s="3">
        <v>17.45</v>
      </c>
      <c r="J188" s="3">
        <v>16.989999999999998</v>
      </c>
      <c r="K188" s="3">
        <v>17.100000000000001</v>
      </c>
      <c r="L188" s="3">
        <v>12.97</v>
      </c>
      <c r="M188" s="3">
        <v>10.94</v>
      </c>
      <c r="N188" s="3">
        <v>8.99</v>
      </c>
      <c r="O188" s="3">
        <v>1E-3</v>
      </c>
      <c r="P188" s="16">
        <v>2.3191666666666668</v>
      </c>
      <c r="Q188" s="3">
        <v>0</v>
      </c>
      <c r="R188" s="3">
        <v>23.26</v>
      </c>
      <c r="S188" s="3">
        <v>1340</v>
      </c>
      <c r="T188" s="3">
        <v>86.4</v>
      </c>
      <c r="U188" s="3">
        <v>358</v>
      </c>
      <c r="V188" s="3">
        <v>24.31</v>
      </c>
      <c r="W188" s="3">
        <v>26.18</v>
      </c>
      <c r="X188" s="3">
        <v>32.61</v>
      </c>
      <c r="Y188" s="3">
        <v>27.36</v>
      </c>
      <c r="Z188" s="3">
        <v>26.66</v>
      </c>
      <c r="AA188" s="3">
        <v>16.010000000000002</v>
      </c>
      <c r="AB188" s="3">
        <v>11.33</v>
      </c>
      <c r="AC188" s="3">
        <v>9.1300000000000008</v>
      </c>
      <c r="AD188" s="16">
        <v>5.3141666666666669</v>
      </c>
      <c r="AE188" s="3">
        <v>1350</v>
      </c>
      <c r="AF188" s="3">
        <v>7.07</v>
      </c>
      <c r="AG188" s="3">
        <v>251</v>
      </c>
      <c r="AH188" s="3">
        <v>24.06</v>
      </c>
      <c r="AI188" s="3">
        <v>1833</v>
      </c>
      <c r="AJ188" s="3">
        <v>6.1280000000000001</v>
      </c>
      <c r="AK188" s="3">
        <v>5.6059999999999999</v>
      </c>
      <c r="AL188" s="3">
        <v>4.4119999999999999</v>
      </c>
      <c r="AM188" s="3">
        <v>5.4770000000000003</v>
      </c>
      <c r="AN188" s="3">
        <v>5.694</v>
      </c>
      <c r="AO188" s="3">
        <v>10.41</v>
      </c>
      <c r="AP188" s="3">
        <v>10.57</v>
      </c>
      <c r="AQ188" s="3">
        <v>8.8699999999999992</v>
      </c>
      <c r="AR188" s="3">
        <v>1.2999999999999999E-2</v>
      </c>
      <c r="AS188" s="3">
        <v>0.16500000000000001</v>
      </c>
      <c r="AT188" s="3">
        <v>0.14000000000000001</v>
      </c>
      <c r="AU188" s="3">
        <v>3.3000000000000002E-2</v>
      </c>
      <c r="AV188" s="3">
        <v>0.19800000000000001</v>
      </c>
      <c r="AW188" s="3">
        <v>0.32500000000000001</v>
      </c>
      <c r="AX188" s="3">
        <v>0.10299999999999999</v>
      </c>
      <c r="AY188" s="3">
        <v>2.1999999999999999E-2</v>
      </c>
      <c r="AZ188" s="3">
        <v>16.350000000000001</v>
      </c>
      <c r="BA188" s="3"/>
      <c r="BB188" s="3">
        <v>11.94</v>
      </c>
      <c r="BC188" s="3">
        <v>2876</v>
      </c>
      <c r="BD188" s="3"/>
      <c r="BE188" s="3"/>
      <c r="BF188" s="3">
        <v>0</v>
      </c>
      <c r="BH188" s="16">
        <v>32.89</v>
      </c>
      <c r="BI188" s="16">
        <f t="shared" si="111"/>
        <v>66.437799999999996</v>
      </c>
      <c r="BJ188" s="17">
        <f t="shared" si="112"/>
        <v>22.7</v>
      </c>
      <c r="BK188" s="17">
        <f t="shared" si="113"/>
        <v>46.19</v>
      </c>
      <c r="BM188" s="1">
        <f t="shared" si="114"/>
        <v>80.8</v>
      </c>
      <c r="BN188" s="1">
        <f t="shared" si="115"/>
        <v>47.4</v>
      </c>
      <c r="BO188" s="1">
        <f t="shared" si="116"/>
        <v>23.2</v>
      </c>
      <c r="BP188" s="62">
        <f t="shared" si="119"/>
        <v>0.66200000000000003</v>
      </c>
      <c r="BQ188" s="62">
        <f t="shared" si="117"/>
        <v>2.1909999999999998</v>
      </c>
      <c r="BS188" s="1">
        <v>0</v>
      </c>
      <c r="BT188" s="8"/>
      <c r="BV188" s="8"/>
      <c r="BW188" s="16">
        <f t="shared" si="120"/>
        <v>22.7</v>
      </c>
      <c r="BX188" s="16">
        <f t="shared" si="121"/>
        <v>46.19</v>
      </c>
      <c r="BY188" s="3">
        <f t="shared" si="122"/>
        <v>16.600000000000001</v>
      </c>
      <c r="BZ188" s="3">
        <f t="shared" si="123"/>
        <v>16.399999999999999</v>
      </c>
      <c r="CA188" s="3">
        <f t="shared" si="124"/>
        <v>16.399999999999999</v>
      </c>
      <c r="CB188" s="3">
        <f t="shared" si="125"/>
        <v>17.5</v>
      </c>
      <c r="CC188" s="3">
        <f t="shared" si="126"/>
        <v>13</v>
      </c>
      <c r="CD188" s="3">
        <f t="shared" si="127"/>
        <v>10.9</v>
      </c>
      <c r="CE188" s="3">
        <f t="shared" si="128"/>
        <v>9</v>
      </c>
      <c r="CF188" s="23">
        <f t="shared" si="129"/>
        <v>47.4</v>
      </c>
      <c r="CG188" s="1">
        <f t="shared" si="130"/>
        <v>23.3</v>
      </c>
      <c r="CH188" s="1">
        <f t="shared" si="131"/>
        <v>24.3</v>
      </c>
      <c r="CI188" s="1">
        <f t="shared" si="132"/>
        <v>26.2</v>
      </c>
      <c r="CJ188" s="1">
        <f t="shared" si="133"/>
        <v>32.6</v>
      </c>
      <c r="CK188" s="1">
        <f t="shared" si="134"/>
        <v>16</v>
      </c>
      <c r="CL188" s="1">
        <f t="shared" si="135"/>
        <v>11.3</v>
      </c>
      <c r="CM188" s="1">
        <f t="shared" si="136"/>
        <v>9.1</v>
      </c>
      <c r="CN188" s="2">
        <f t="shared" si="137"/>
        <v>80.8</v>
      </c>
      <c r="CO188" s="1">
        <f t="shared" si="138"/>
        <v>7.1</v>
      </c>
      <c r="CP188" s="1">
        <f t="shared" si="139"/>
        <v>6.1</v>
      </c>
      <c r="CQ188" s="1">
        <f t="shared" si="140"/>
        <v>5.6</v>
      </c>
      <c r="CR188" s="1">
        <f t="shared" si="141"/>
        <v>4.4000000000000004</v>
      </c>
      <c r="CS188" s="1">
        <f t="shared" si="142"/>
        <v>10.4</v>
      </c>
      <c r="CT188" s="1">
        <f t="shared" si="143"/>
        <v>10.6</v>
      </c>
      <c r="CU188" s="1">
        <f t="shared" si="144"/>
        <v>8.9</v>
      </c>
      <c r="CV188" s="2">
        <f t="shared" si="145"/>
        <v>23.2</v>
      </c>
      <c r="CW188" s="18">
        <f t="shared" si="146"/>
        <v>0</v>
      </c>
      <c r="CX188" s="1">
        <f>ROUND(PPTest!K188,1)</f>
        <v>0</v>
      </c>
      <c r="CY188" s="17">
        <f t="shared" si="147"/>
        <v>2.3199999999999998</v>
      </c>
      <c r="CZ188" s="17">
        <f t="shared" si="148"/>
        <v>5.31</v>
      </c>
      <c r="DA188" s="20">
        <f t="shared" si="149"/>
        <v>0.66200000000000003</v>
      </c>
      <c r="DB188" s="20">
        <f t="shared" si="150"/>
        <v>2.1909999999999998</v>
      </c>
      <c r="DC188" s="16">
        <f t="shared" si="151"/>
        <v>11.94</v>
      </c>
      <c r="DF188" s="1">
        <v>20.6</v>
      </c>
      <c r="DG188" s="1">
        <v>25.5</v>
      </c>
      <c r="DH188" s="1">
        <v>16.5</v>
      </c>
      <c r="DI188" s="1">
        <v>39.799999999999997</v>
      </c>
      <c r="DJ188" s="1">
        <v>33</v>
      </c>
      <c r="DW188" s="1">
        <v>16.399999999999999</v>
      </c>
      <c r="DX188" s="1">
        <v>23.2</v>
      </c>
      <c r="DY188" s="1">
        <v>6</v>
      </c>
    </row>
    <row r="189" spans="1:129" x14ac:dyDescent="0.2">
      <c r="A189" s="40">
        <v>34882</v>
      </c>
      <c r="B189" s="3">
        <v>183</v>
      </c>
      <c r="C189" s="3">
        <v>10.73</v>
      </c>
      <c r="D189" s="3">
        <v>21.07</v>
      </c>
      <c r="E189" s="3">
        <v>11.64</v>
      </c>
      <c r="F189" s="3">
        <v>85.6</v>
      </c>
      <c r="G189" s="3">
        <v>11.46</v>
      </c>
      <c r="H189" s="3">
        <v>11.38</v>
      </c>
      <c r="I189" s="3">
        <v>12.35</v>
      </c>
      <c r="J189" s="3">
        <v>11.29</v>
      </c>
      <c r="K189" s="3">
        <v>11.55</v>
      </c>
      <c r="L189" s="3">
        <v>12.25</v>
      </c>
      <c r="M189" s="3">
        <v>10.99</v>
      </c>
      <c r="N189" s="3">
        <v>9.11</v>
      </c>
      <c r="O189" s="3">
        <v>1E-3</v>
      </c>
      <c r="P189" s="16">
        <v>1.9424999999999999</v>
      </c>
      <c r="Q189" s="3">
        <v>8</v>
      </c>
      <c r="R189" s="3">
        <v>16.12</v>
      </c>
      <c r="S189" s="3">
        <v>4</v>
      </c>
      <c r="T189" s="3">
        <v>104</v>
      </c>
      <c r="U189" s="3">
        <v>1510</v>
      </c>
      <c r="V189" s="3">
        <v>15.77</v>
      </c>
      <c r="W189" s="3">
        <v>16.149999999999999</v>
      </c>
      <c r="X189" s="3">
        <v>20.18</v>
      </c>
      <c r="Y189" s="3">
        <v>15.25</v>
      </c>
      <c r="Z189" s="3">
        <v>15.32</v>
      </c>
      <c r="AA189" s="3">
        <v>13.59</v>
      </c>
      <c r="AB189" s="3">
        <v>11.31</v>
      </c>
      <c r="AC189" s="3">
        <v>9.19</v>
      </c>
      <c r="AD189" s="16">
        <v>5.5541666666666671</v>
      </c>
      <c r="AE189" s="3">
        <v>1124</v>
      </c>
      <c r="AF189" s="3">
        <v>8.81</v>
      </c>
      <c r="AG189" s="3">
        <v>0</v>
      </c>
      <c r="AH189" s="3">
        <v>43</v>
      </c>
      <c r="AI189" s="3">
        <v>15</v>
      </c>
      <c r="AJ189" s="3">
        <v>8.44</v>
      </c>
      <c r="AK189" s="3">
        <v>8.09</v>
      </c>
      <c r="AL189" s="3">
        <v>8.19</v>
      </c>
      <c r="AM189" s="3">
        <v>7.87</v>
      </c>
      <c r="AN189" s="3">
        <v>7.88</v>
      </c>
      <c r="AO189" s="3">
        <v>11.29</v>
      </c>
      <c r="AP189" s="3">
        <v>10.78</v>
      </c>
      <c r="AQ189" s="3">
        <v>9.01</v>
      </c>
      <c r="AR189" s="3">
        <v>0</v>
      </c>
      <c r="AS189" s="3">
        <v>8.0000000000000002E-3</v>
      </c>
      <c r="AT189" s="3">
        <v>6.0000000000000001E-3</v>
      </c>
      <c r="AU189" s="3">
        <v>3.6999999999999998E-2</v>
      </c>
      <c r="AV189" s="3">
        <v>0.21199999999999999</v>
      </c>
      <c r="AW189" s="3">
        <v>0.60899999999999999</v>
      </c>
      <c r="AX189" s="3">
        <v>0.115</v>
      </c>
      <c r="AY189" s="3">
        <v>1.0999999999999999E-2</v>
      </c>
      <c r="AZ189" s="3">
        <v>11.83</v>
      </c>
      <c r="BA189" s="3"/>
      <c r="BB189" s="3">
        <v>11.93</v>
      </c>
      <c r="BC189" s="3">
        <v>2876</v>
      </c>
      <c r="BD189" s="3"/>
      <c r="BE189" s="3"/>
      <c r="BF189" s="3">
        <v>0</v>
      </c>
      <c r="BH189" s="16">
        <v>32.840000000000003</v>
      </c>
      <c r="BI189" s="16">
        <f t="shared" si="111"/>
        <v>66.336800000000011</v>
      </c>
      <c r="BJ189" s="17">
        <f t="shared" si="112"/>
        <v>10.73</v>
      </c>
      <c r="BK189" s="17">
        <f t="shared" si="113"/>
        <v>22.76</v>
      </c>
      <c r="BM189" s="1">
        <f t="shared" si="114"/>
        <v>97.1</v>
      </c>
      <c r="BN189" s="1">
        <f t="shared" si="115"/>
        <v>80.099999999999994</v>
      </c>
      <c r="BO189" s="1">
        <f t="shared" si="116"/>
        <v>40.700000000000003</v>
      </c>
      <c r="BP189" s="62">
        <f t="shared" si="119"/>
        <v>0.746</v>
      </c>
      <c r="BQ189" s="62">
        <f t="shared" si="117"/>
        <v>1.087</v>
      </c>
      <c r="BS189" s="1">
        <v>8.1999999999999993</v>
      </c>
      <c r="BT189" s="8"/>
      <c r="BV189" s="8"/>
      <c r="BW189" s="16">
        <f t="shared" si="120"/>
        <v>10.73</v>
      </c>
      <c r="BX189" s="16">
        <f t="shared" si="121"/>
        <v>22.76</v>
      </c>
      <c r="BY189" s="3">
        <f t="shared" si="122"/>
        <v>11.6</v>
      </c>
      <c r="BZ189" s="3">
        <f t="shared" si="123"/>
        <v>11.5</v>
      </c>
      <c r="CA189" s="3">
        <f t="shared" si="124"/>
        <v>11.4</v>
      </c>
      <c r="CB189" s="3">
        <f t="shared" si="125"/>
        <v>12.4</v>
      </c>
      <c r="CC189" s="3">
        <f t="shared" si="126"/>
        <v>12.3</v>
      </c>
      <c r="CD189" s="3">
        <f t="shared" si="127"/>
        <v>11</v>
      </c>
      <c r="CE189" s="3">
        <f t="shared" si="128"/>
        <v>9.1</v>
      </c>
      <c r="CF189" s="23">
        <f t="shared" si="129"/>
        <v>80.099999999999994</v>
      </c>
      <c r="CG189" s="1">
        <f t="shared" si="130"/>
        <v>16.100000000000001</v>
      </c>
      <c r="CH189" s="1">
        <f t="shared" si="131"/>
        <v>15.8</v>
      </c>
      <c r="CI189" s="1">
        <f t="shared" si="132"/>
        <v>16.2</v>
      </c>
      <c r="CJ189" s="1">
        <f t="shared" si="133"/>
        <v>20.2</v>
      </c>
      <c r="CK189" s="1">
        <f t="shared" si="134"/>
        <v>13.6</v>
      </c>
      <c r="CL189" s="1">
        <f t="shared" si="135"/>
        <v>11.3</v>
      </c>
      <c r="CM189" s="1">
        <f t="shared" si="136"/>
        <v>9.1999999999999993</v>
      </c>
      <c r="CN189" s="2">
        <f t="shared" si="137"/>
        <v>97.1</v>
      </c>
      <c r="CO189" s="1">
        <f t="shared" si="138"/>
        <v>8.8000000000000007</v>
      </c>
      <c r="CP189" s="1">
        <f t="shared" si="139"/>
        <v>8.4</v>
      </c>
      <c r="CQ189" s="1">
        <f t="shared" si="140"/>
        <v>8.1</v>
      </c>
      <c r="CR189" s="1">
        <f t="shared" si="141"/>
        <v>8.1999999999999993</v>
      </c>
      <c r="CS189" s="1">
        <f t="shared" si="142"/>
        <v>11.3</v>
      </c>
      <c r="CT189" s="1">
        <f t="shared" si="143"/>
        <v>10.8</v>
      </c>
      <c r="CU189" s="1">
        <f t="shared" si="144"/>
        <v>9</v>
      </c>
      <c r="CV189" s="2">
        <f t="shared" si="145"/>
        <v>40.700000000000003</v>
      </c>
      <c r="CW189" s="18">
        <f t="shared" si="146"/>
        <v>0</v>
      </c>
      <c r="CX189" s="1">
        <f>ROUND(PPTest!K189,1)</f>
        <v>8</v>
      </c>
      <c r="CY189" s="17">
        <f t="shared" si="147"/>
        <v>1.94</v>
      </c>
      <c r="CZ189" s="17">
        <f t="shared" si="148"/>
        <v>5.55</v>
      </c>
      <c r="DA189" s="20">
        <f t="shared" si="149"/>
        <v>0.746</v>
      </c>
      <c r="DB189" s="20">
        <f t="shared" si="150"/>
        <v>1.087</v>
      </c>
      <c r="DC189" s="16">
        <f t="shared" si="151"/>
        <v>11.93</v>
      </c>
      <c r="DF189" s="1">
        <v>13.6</v>
      </c>
      <c r="DG189" s="1">
        <v>17.7</v>
      </c>
      <c r="DH189" s="1">
        <v>11</v>
      </c>
      <c r="DI189" s="1">
        <v>83</v>
      </c>
      <c r="DJ189" s="1">
        <v>40</v>
      </c>
      <c r="DW189" s="1">
        <v>10.9</v>
      </c>
      <c r="DX189" s="1">
        <v>15.2</v>
      </c>
      <c r="DY189" s="1">
        <v>8.1</v>
      </c>
    </row>
    <row r="190" spans="1:129" x14ac:dyDescent="0.2">
      <c r="A190" s="40">
        <v>34883</v>
      </c>
      <c r="B190" s="3">
        <v>184</v>
      </c>
      <c r="C190" s="3">
        <v>18.75</v>
      </c>
      <c r="D190" s="3">
        <v>35.729999999999997</v>
      </c>
      <c r="E190" s="3">
        <v>10.119999999999999</v>
      </c>
      <c r="F190" s="3">
        <v>83.7</v>
      </c>
      <c r="G190" s="3">
        <v>10.06</v>
      </c>
      <c r="H190" s="3">
        <v>10.02</v>
      </c>
      <c r="I190" s="3">
        <v>11.67</v>
      </c>
      <c r="J190" s="3">
        <v>10.59</v>
      </c>
      <c r="K190" s="3">
        <v>11.13</v>
      </c>
      <c r="L190" s="3">
        <v>11.84</v>
      </c>
      <c r="M190" s="3">
        <v>10.6</v>
      </c>
      <c r="N190" s="3">
        <v>9.1300000000000008</v>
      </c>
      <c r="O190" s="3">
        <v>1E-3</v>
      </c>
      <c r="P190" s="16">
        <v>1.9208333333333334</v>
      </c>
      <c r="Q190" s="3">
        <v>0</v>
      </c>
      <c r="R190" s="3">
        <v>15.29</v>
      </c>
      <c r="S190" s="3">
        <v>1645</v>
      </c>
      <c r="T190" s="3">
        <v>100.6</v>
      </c>
      <c r="U190" s="3">
        <v>2358</v>
      </c>
      <c r="V190" s="3">
        <v>16.88</v>
      </c>
      <c r="W190" s="3">
        <v>17.39</v>
      </c>
      <c r="X190" s="3">
        <v>21.4</v>
      </c>
      <c r="Y190" s="3">
        <v>18.5</v>
      </c>
      <c r="Z190" s="3">
        <v>20.2</v>
      </c>
      <c r="AA190" s="3">
        <v>14.31</v>
      </c>
      <c r="AB190" s="3">
        <v>10.88</v>
      </c>
      <c r="AC190" s="3">
        <v>9.2799999999999994</v>
      </c>
      <c r="AD190" s="16">
        <v>4.9941666666666666</v>
      </c>
      <c r="AE190" s="3">
        <v>1313</v>
      </c>
      <c r="AF190" s="3">
        <v>5.7869999999999999</v>
      </c>
      <c r="AG190" s="3">
        <v>0</v>
      </c>
      <c r="AH190" s="3">
        <v>53.34</v>
      </c>
      <c r="AI190" s="3">
        <v>1622</v>
      </c>
      <c r="AJ190" s="3">
        <v>4.6959999999999997</v>
      </c>
      <c r="AK190" s="3">
        <v>4.2969999999999997</v>
      </c>
      <c r="AL190" s="3">
        <v>2.6779999999999999</v>
      </c>
      <c r="AM190" s="3">
        <v>4.0179999999999998</v>
      </c>
      <c r="AN190" s="3">
        <v>4.3499999999999996</v>
      </c>
      <c r="AO190" s="3">
        <v>10.06</v>
      </c>
      <c r="AP190" s="3">
        <v>10.36</v>
      </c>
      <c r="AQ190" s="3">
        <v>9.0299999999999994</v>
      </c>
      <c r="AR190" s="3">
        <v>1.2999999999999999E-2</v>
      </c>
      <c r="AS190" s="3">
        <v>7.8E-2</v>
      </c>
      <c r="AT190" s="3">
        <v>0.04</v>
      </c>
      <c r="AU190" s="3">
        <v>6.0000000000000001E-3</v>
      </c>
      <c r="AV190" s="3">
        <v>0.10100000000000001</v>
      </c>
      <c r="AW190" s="3">
        <v>0.58499999999999996</v>
      </c>
      <c r="AX190" s="3">
        <v>0.154</v>
      </c>
      <c r="AY190" s="3">
        <v>2.1999999999999999E-2</v>
      </c>
      <c r="AZ190" s="3">
        <v>10.92</v>
      </c>
      <c r="BA190" s="3"/>
      <c r="BB190" s="3">
        <v>11.92</v>
      </c>
      <c r="BC190" s="3">
        <v>2876</v>
      </c>
      <c r="BD190" s="3"/>
      <c r="BE190" s="3"/>
      <c r="BF190" s="3">
        <v>0</v>
      </c>
      <c r="BH190" s="16">
        <v>32.79</v>
      </c>
      <c r="BI190" s="16">
        <f t="shared" si="111"/>
        <v>66.235799999999998</v>
      </c>
      <c r="BJ190" s="17">
        <f t="shared" si="112"/>
        <v>18.75</v>
      </c>
      <c r="BK190" s="17">
        <f t="shared" si="113"/>
        <v>38.590000000000003</v>
      </c>
      <c r="BM190" s="1">
        <f t="shared" si="114"/>
        <v>94</v>
      </c>
      <c r="BN190" s="1">
        <f t="shared" si="115"/>
        <v>78.3</v>
      </c>
      <c r="BO190" s="1">
        <f t="shared" si="116"/>
        <v>50.3</v>
      </c>
      <c r="BP190" s="62">
        <f t="shared" si="119"/>
        <v>0.874</v>
      </c>
      <c r="BQ190" s="62">
        <f t="shared" si="117"/>
        <v>0.86399999999999999</v>
      </c>
      <c r="BS190" s="1">
        <v>0.3</v>
      </c>
      <c r="BT190" s="8"/>
      <c r="BV190" s="8"/>
      <c r="BW190" s="16">
        <f t="shared" si="120"/>
        <v>18.75</v>
      </c>
      <c r="BX190" s="16">
        <f t="shared" si="121"/>
        <v>38.590000000000003</v>
      </c>
      <c r="BY190" s="3">
        <f t="shared" si="122"/>
        <v>10.1</v>
      </c>
      <c r="BZ190" s="3">
        <f t="shared" si="123"/>
        <v>10.1</v>
      </c>
      <c r="CA190" s="3">
        <f t="shared" si="124"/>
        <v>10</v>
      </c>
      <c r="CB190" s="3">
        <f t="shared" si="125"/>
        <v>11.7</v>
      </c>
      <c r="CC190" s="3">
        <f t="shared" si="126"/>
        <v>11.8</v>
      </c>
      <c r="CD190" s="3">
        <f t="shared" si="127"/>
        <v>10.6</v>
      </c>
      <c r="CE190" s="3">
        <f t="shared" si="128"/>
        <v>9.1</v>
      </c>
      <c r="CF190" s="23">
        <f t="shared" si="129"/>
        <v>78.3</v>
      </c>
      <c r="CG190" s="1">
        <f t="shared" si="130"/>
        <v>15.3</v>
      </c>
      <c r="CH190" s="1">
        <f t="shared" si="131"/>
        <v>16.899999999999999</v>
      </c>
      <c r="CI190" s="1">
        <f t="shared" si="132"/>
        <v>17.399999999999999</v>
      </c>
      <c r="CJ190" s="1">
        <f t="shared" si="133"/>
        <v>21.4</v>
      </c>
      <c r="CK190" s="1">
        <f t="shared" si="134"/>
        <v>14.3</v>
      </c>
      <c r="CL190" s="1">
        <f t="shared" si="135"/>
        <v>10.9</v>
      </c>
      <c r="CM190" s="1">
        <f t="shared" si="136"/>
        <v>9.3000000000000007</v>
      </c>
      <c r="CN190" s="2">
        <f t="shared" si="137"/>
        <v>94</v>
      </c>
      <c r="CO190" s="1">
        <f t="shared" si="138"/>
        <v>5.8</v>
      </c>
      <c r="CP190" s="1">
        <f t="shared" si="139"/>
        <v>4.7</v>
      </c>
      <c r="CQ190" s="1">
        <f t="shared" si="140"/>
        <v>4.3</v>
      </c>
      <c r="CR190" s="1">
        <f t="shared" si="141"/>
        <v>2.7</v>
      </c>
      <c r="CS190" s="1">
        <f t="shared" si="142"/>
        <v>10.1</v>
      </c>
      <c r="CT190" s="1">
        <f t="shared" si="143"/>
        <v>10.4</v>
      </c>
      <c r="CU190" s="1">
        <f t="shared" si="144"/>
        <v>9</v>
      </c>
      <c r="CV190" s="2">
        <f t="shared" si="145"/>
        <v>50.3</v>
      </c>
      <c r="CW190" s="18">
        <f t="shared" si="146"/>
        <v>0</v>
      </c>
      <c r="CX190" s="1">
        <f>ROUND(PPTest!K190,1)</f>
        <v>0</v>
      </c>
      <c r="CY190" s="17">
        <f t="shared" si="147"/>
        <v>1.92</v>
      </c>
      <c r="CZ190" s="17">
        <f t="shared" si="148"/>
        <v>4.99</v>
      </c>
      <c r="DA190" s="20">
        <f t="shared" si="149"/>
        <v>0.874</v>
      </c>
      <c r="DB190" s="20">
        <f t="shared" si="150"/>
        <v>0.86399999999999999</v>
      </c>
      <c r="DC190" s="16">
        <f t="shared" si="151"/>
        <v>11.92</v>
      </c>
      <c r="DF190" s="1">
        <v>12.7</v>
      </c>
      <c r="DG190" s="1">
        <v>17.100000000000001</v>
      </c>
      <c r="DH190" s="1">
        <v>9.3000000000000007</v>
      </c>
      <c r="DI190" s="1">
        <v>80.2</v>
      </c>
      <c r="DJ190" s="1">
        <v>60</v>
      </c>
      <c r="DW190" s="1">
        <v>8.5</v>
      </c>
      <c r="DX190" s="1">
        <v>12.6</v>
      </c>
      <c r="DY190" s="1">
        <v>3.4</v>
      </c>
    </row>
    <row r="191" spans="1:129" x14ac:dyDescent="0.2">
      <c r="A191" s="40">
        <v>34884</v>
      </c>
      <c r="B191" s="3">
        <v>185</v>
      </c>
      <c r="C191" s="3">
        <v>13.79</v>
      </c>
      <c r="D191" s="3">
        <v>26.66</v>
      </c>
      <c r="E191" s="3">
        <v>8.5</v>
      </c>
      <c r="F191" s="3">
        <v>94.5</v>
      </c>
      <c r="G191" s="3">
        <v>8.4600000000000009</v>
      </c>
      <c r="H191" s="3">
        <v>8.43</v>
      </c>
      <c r="I191" s="3">
        <v>10.26</v>
      </c>
      <c r="J191" s="3">
        <v>8.69</v>
      </c>
      <c r="K191" s="3">
        <v>8.83</v>
      </c>
      <c r="L191" s="3">
        <v>11.27</v>
      </c>
      <c r="M191" s="3">
        <v>10.41</v>
      </c>
      <c r="N191" s="3">
        <v>9.09</v>
      </c>
      <c r="O191" s="3">
        <v>1E-3</v>
      </c>
      <c r="P191" s="16">
        <v>1.4563333333333335</v>
      </c>
      <c r="Q191" s="3">
        <v>5</v>
      </c>
      <c r="R191" s="3">
        <v>12.02</v>
      </c>
      <c r="S191" s="3">
        <v>1414</v>
      </c>
      <c r="T191" s="3">
        <v>104.5</v>
      </c>
      <c r="U191" s="3">
        <v>2341</v>
      </c>
      <c r="V191" s="3">
        <v>13.02</v>
      </c>
      <c r="W191" s="3">
        <v>15.21</v>
      </c>
      <c r="X191" s="3">
        <v>21.32</v>
      </c>
      <c r="Y191" s="3">
        <v>14.81</v>
      </c>
      <c r="Z191" s="3">
        <v>14.85</v>
      </c>
      <c r="AA191" s="3">
        <v>13.45</v>
      </c>
      <c r="AB191" s="3">
        <v>10.67</v>
      </c>
      <c r="AC191" s="3">
        <v>9.23</v>
      </c>
      <c r="AD191" s="16">
        <v>5.0608333333333331</v>
      </c>
      <c r="AE191" s="3">
        <v>1657</v>
      </c>
      <c r="AF191" s="3">
        <v>4.8010000000000002</v>
      </c>
      <c r="AG191" s="3">
        <v>115</v>
      </c>
      <c r="AH191" s="3">
        <v>64.12</v>
      </c>
      <c r="AI191" s="3">
        <v>1611</v>
      </c>
      <c r="AJ191" s="3">
        <v>4.0140000000000002</v>
      </c>
      <c r="AK191" s="3">
        <v>3.2829999999999999</v>
      </c>
      <c r="AL191" s="3">
        <v>1.752</v>
      </c>
      <c r="AM191" s="3">
        <v>3.1579999999999999</v>
      </c>
      <c r="AN191" s="3">
        <v>3.4359999999999999</v>
      </c>
      <c r="AO191" s="3">
        <v>9.7799999999999994</v>
      </c>
      <c r="AP191" s="3">
        <v>10.18</v>
      </c>
      <c r="AQ191" s="3">
        <v>8.94</v>
      </c>
      <c r="AR191" s="3">
        <v>3.9E-2</v>
      </c>
      <c r="AS191" s="3">
        <v>0.17799999999999999</v>
      </c>
      <c r="AT191" s="3">
        <v>0.11799999999999999</v>
      </c>
      <c r="AU191" s="3">
        <v>1.2E-2</v>
      </c>
      <c r="AV191" s="3">
        <v>9.1999999999999998E-2</v>
      </c>
      <c r="AW191" s="3">
        <v>0.35399999999999998</v>
      </c>
      <c r="AX191" s="3">
        <v>0.153</v>
      </c>
      <c r="AY191" s="3">
        <v>5.2999999999999999E-2</v>
      </c>
      <c r="AZ191" s="3">
        <v>9</v>
      </c>
      <c r="BA191" s="3"/>
      <c r="BB191" s="3">
        <v>11.91</v>
      </c>
      <c r="BC191" s="3">
        <v>2876</v>
      </c>
      <c r="BD191" s="3"/>
      <c r="BE191" s="3"/>
      <c r="BF191" s="3">
        <v>0</v>
      </c>
      <c r="BH191" s="16">
        <v>32.729999999999997</v>
      </c>
      <c r="BI191" s="16">
        <f t="shared" si="111"/>
        <v>66.114599999999996</v>
      </c>
      <c r="BJ191" s="17">
        <f t="shared" si="112"/>
        <v>13.79</v>
      </c>
      <c r="BK191" s="17">
        <f t="shared" si="113"/>
        <v>28.79</v>
      </c>
      <c r="BM191" s="1">
        <f t="shared" si="114"/>
        <v>97.6</v>
      </c>
      <c r="BN191" s="1">
        <f t="shared" si="115"/>
        <v>88.3</v>
      </c>
      <c r="BO191" s="1">
        <f t="shared" si="116"/>
        <v>60.2</v>
      </c>
      <c r="BP191" s="62">
        <f t="shared" si="119"/>
        <v>0.84499999999999997</v>
      </c>
      <c r="BQ191" s="62">
        <f t="shared" si="117"/>
        <v>0.55900000000000005</v>
      </c>
      <c r="BS191" s="1">
        <v>2.4</v>
      </c>
      <c r="BT191" s="8"/>
      <c r="BV191" s="8"/>
      <c r="BW191" s="16">
        <f t="shared" si="120"/>
        <v>13.79</v>
      </c>
      <c r="BX191" s="16">
        <f t="shared" si="121"/>
        <v>28.79</v>
      </c>
      <c r="BY191" s="3">
        <f t="shared" si="122"/>
        <v>8.5</v>
      </c>
      <c r="BZ191" s="3">
        <f t="shared" si="123"/>
        <v>8.5</v>
      </c>
      <c r="CA191" s="3">
        <f t="shared" si="124"/>
        <v>8.4</v>
      </c>
      <c r="CB191" s="3">
        <f t="shared" si="125"/>
        <v>10.3</v>
      </c>
      <c r="CC191" s="3">
        <f t="shared" si="126"/>
        <v>11.3</v>
      </c>
      <c r="CD191" s="3">
        <f t="shared" si="127"/>
        <v>10.4</v>
      </c>
      <c r="CE191" s="3">
        <f t="shared" si="128"/>
        <v>9.1</v>
      </c>
      <c r="CF191" s="23">
        <f t="shared" si="129"/>
        <v>88.3</v>
      </c>
      <c r="CG191" s="1">
        <f t="shared" si="130"/>
        <v>12</v>
      </c>
      <c r="CH191" s="1">
        <f t="shared" si="131"/>
        <v>13</v>
      </c>
      <c r="CI191" s="1">
        <f t="shared" si="132"/>
        <v>15.2</v>
      </c>
      <c r="CJ191" s="1">
        <f t="shared" si="133"/>
        <v>21.3</v>
      </c>
      <c r="CK191" s="1">
        <f t="shared" si="134"/>
        <v>13.5</v>
      </c>
      <c r="CL191" s="1">
        <f t="shared" si="135"/>
        <v>10.7</v>
      </c>
      <c r="CM191" s="1">
        <f t="shared" si="136"/>
        <v>9.1999999999999993</v>
      </c>
      <c r="CN191" s="2">
        <f t="shared" si="137"/>
        <v>97.6</v>
      </c>
      <c r="CO191" s="1">
        <f t="shared" si="138"/>
        <v>4.8</v>
      </c>
      <c r="CP191" s="1">
        <f t="shared" si="139"/>
        <v>4</v>
      </c>
      <c r="CQ191" s="1">
        <f t="shared" si="140"/>
        <v>3.3</v>
      </c>
      <c r="CR191" s="1">
        <f t="shared" si="141"/>
        <v>1.8</v>
      </c>
      <c r="CS191" s="1">
        <f t="shared" si="142"/>
        <v>9.8000000000000007</v>
      </c>
      <c r="CT191" s="1">
        <f t="shared" si="143"/>
        <v>10.199999999999999</v>
      </c>
      <c r="CU191" s="1">
        <f t="shared" si="144"/>
        <v>8.9</v>
      </c>
      <c r="CV191" s="2">
        <f t="shared" si="145"/>
        <v>60.2</v>
      </c>
      <c r="CW191" s="18">
        <f t="shared" si="146"/>
        <v>0</v>
      </c>
      <c r="CX191" s="1">
        <f>ROUND(PPTest!K191,1)</f>
        <v>5</v>
      </c>
      <c r="CY191" s="17">
        <f t="shared" si="147"/>
        <v>1.46</v>
      </c>
      <c r="CZ191" s="17">
        <f t="shared" si="148"/>
        <v>5.0599999999999996</v>
      </c>
      <c r="DA191" s="20">
        <f t="shared" si="149"/>
        <v>0.84499999999999997</v>
      </c>
      <c r="DB191" s="20">
        <f t="shared" si="150"/>
        <v>0.55900000000000005</v>
      </c>
      <c r="DC191" s="16">
        <f t="shared" si="151"/>
        <v>11.91</v>
      </c>
      <c r="DF191" s="1">
        <v>11.1</v>
      </c>
      <c r="DG191" s="1">
        <v>14.5</v>
      </c>
      <c r="DH191" s="1">
        <v>8.6</v>
      </c>
      <c r="DI191" s="1">
        <v>89.5</v>
      </c>
      <c r="DJ191" s="1">
        <v>75</v>
      </c>
      <c r="DW191" s="1">
        <v>8.1999999999999993</v>
      </c>
      <c r="DX191" s="1">
        <v>13</v>
      </c>
      <c r="DY191" s="1">
        <v>2.9</v>
      </c>
    </row>
    <row r="192" spans="1:129" x14ac:dyDescent="0.2">
      <c r="A192" s="40">
        <v>34885</v>
      </c>
      <c r="B192" s="3">
        <v>186</v>
      </c>
      <c r="C192" s="3">
        <v>18.82</v>
      </c>
      <c r="D192" s="3">
        <v>35.28</v>
      </c>
      <c r="E192" s="3">
        <v>9.73</v>
      </c>
      <c r="F192" s="3">
        <v>84.7</v>
      </c>
      <c r="G192" s="3">
        <v>9.7200000000000006</v>
      </c>
      <c r="H192" s="3">
        <v>9.6199999999999992</v>
      </c>
      <c r="I192" s="3">
        <v>10.72</v>
      </c>
      <c r="J192" s="3">
        <v>10.130000000000001</v>
      </c>
      <c r="K192" s="3">
        <v>10.6</v>
      </c>
      <c r="L192" s="3">
        <v>11.69</v>
      </c>
      <c r="M192" s="3">
        <v>10.26</v>
      </c>
      <c r="N192" s="3">
        <v>9.07</v>
      </c>
      <c r="O192" s="3">
        <v>1E-3</v>
      </c>
      <c r="P192" s="16">
        <v>1.3365</v>
      </c>
      <c r="Q192" s="3">
        <v>2</v>
      </c>
      <c r="R192" s="3">
        <v>16.18</v>
      </c>
      <c r="S192" s="3">
        <v>1544</v>
      </c>
      <c r="T192" s="3">
        <v>105.6</v>
      </c>
      <c r="U192" s="3">
        <v>320</v>
      </c>
      <c r="V192" s="3">
        <v>17.309999999999999</v>
      </c>
      <c r="W192" s="3">
        <v>18.16</v>
      </c>
      <c r="X192" s="3">
        <v>17.77</v>
      </c>
      <c r="Y192" s="3">
        <v>22.13</v>
      </c>
      <c r="Z192" s="3">
        <v>20.83</v>
      </c>
      <c r="AA192" s="3">
        <v>14.97</v>
      </c>
      <c r="AB192" s="3">
        <v>10.57</v>
      </c>
      <c r="AC192" s="3">
        <v>9.25</v>
      </c>
      <c r="AD192" s="16">
        <v>4.4608333333333334</v>
      </c>
      <c r="AE192" s="3">
        <v>1516</v>
      </c>
      <c r="AF192" s="3">
        <v>5.952</v>
      </c>
      <c r="AG192" s="3">
        <v>2358</v>
      </c>
      <c r="AH192" s="3">
        <v>41.83</v>
      </c>
      <c r="AI192" s="3">
        <v>1718</v>
      </c>
      <c r="AJ192" s="3">
        <v>5.1980000000000004</v>
      </c>
      <c r="AK192" s="3">
        <v>4.7640000000000002</v>
      </c>
      <c r="AL192" s="3">
        <v>4.3440000000000003</v>
      </c>
      <c r="AM192" s="3">
        <v>4.625</v>
      </c>
      <c r="AN192" s="3">
        <v>4.8220000000000001</v>
      </c>
      <c r="AO192" s="3">
        <v>9.73</v>
      </c>
      <c r="AP192" s="3">
        <v>10.029999999999999</v>
      </c>
      <c r="AQ192" s="3">
        <v>8.92</v>
      </c>
      <c r="AR192" s="3">
        <v>3.9E-2</v>
      </c>
      <c r="AS192" s="3">
        <v>0.16500000000000001</v>
      </c>
      <c r="AT192" s="3">
        <v>0.09</v>
      </c>
      <c r="AU192" s="3">
        <v>7.3999999999999996E-2</v>
      </c>
      <c r="AV192" s="3">
        <v>0.13200000000000001</v>
      </c>
      <c r="AW192" s="3">
        <v>0.33100000000000002</v>
      </c>
      <c r="AX192" s="3">
        <v>0.13700000000000001</v>
      </c>
      <c r="AY192" s="3">
        <v>3.3000000000000002E-2</v>
      </c>
      <c r="AZ192" s="3">
        <v>10.39</v>
      </c>
      <c r="BA192" s="3"/>
      <c r="BB192" s="3">
        <v>11.92</v>
      </c>
      <c r="BC192" s="3">
        <v>2876</v>
      </c>
      <c r="BD192" s="3"/>
      <c r="BE192" s="3"/>
      <c r="BF192" s="3">
        <v>0</v>
      </c>
      <c r="BH192" s="16">
        <v>32.659999999999997</v>
      </c>
      <c r="BI192" s="16">
        <f t="shared" si="111"/>
        <v>65.973199999999991</v>
      </c>
      <c r="BJ192" s="17">
        <f t="shared" si="112"/>
        <v>18.82</v>
      </c>
      <c r="BK192" s="17">
        <f t="shared" si="113"/>
        <v>38.1</v>
      </c>
      <c r="BM192" s="1">
        <f t="shared" si="114"/>
        <v>98.6</v>
      </c>
      <c r="BN192" s="1">
        <f t="shared" si="115"/>
        <v>79.3</v>
      </c>
      <c r="BO192" s="1">
        <f t="shared" si="116"/>
        <v>39.700000000000003</v>
      </c>
      <c r="BP192" s="62">
        <f t="shared" si="119"/>
        <v>0.73</v>
      </c>
      <c r="BQ192" s="62">
        <f t="shared" si="117"/>
        <v>1.109</v>
      </c>
      <c r="BS192" s="1">
        <v>5.0999999999999996</v>
      </c>
      <c r="BT192" s="8"/>
      <c r="BV192" s="8"/>
      <c r="BW192" s="16">
        <f t="shared" si="120"/>
        <v>18.82</v>
      </c>
      <c r="BX192" s="16">
        <f t="shared" si="121"/>
        <v>38.1</v>
      </c>
      <c r="BY192" s="3">
        <f t="shared" si="122"/>
        <v>9.6999999999999993</v>
      </c>
      <c r="BZ192" s="3">
        <f t="shared" si="123"/>
        <v>9.6999999999999993</v>
      </c>
      <c r="CA192" s="3">
        <f t="shared" si="124"/>
        <v>9.6</v>
      </c>
      <c r="CB192" s="3">
        <f t="shared" si="125"/>
        <v>10.7</v>
      </c>
      <c r="CC192" s="3">
        <f t="shared" si="126"/>
        <v>11.7</v>
      </c>
      <c r="CD192" s="3">
        <f t="shared" si="127"/>
        <v>10.3</v>
      </c>
      <c r="CE192" s="3">
        <f t="shared" si="128"/>
        <v>9.1</v>
      </c>
      <c r="CF192" s="23">
        <f t="shared" si="129"/>
        <v>79.3</v>
      </c>
      <c r="CG192" s="1">
        <f t="shared" si="130"/>
        <v>16.2</v>
      </c>
      <c r="CH192" s="1">
        <f t="shared" si="131"/>
        <v>17.3</v>
      </c>
      <c r="CI192" s="1">
        <f t="shared" si="132"/>
        <v>18.2</v>
      </c>
      <c r="CJ192" s="1">
        <f t="shared" si="133"/>
        <v>17.8</v>
      </c>
      <c r="CK192" s="1">
        <f t="shared" si="134"/>
        <v>15</v>
      </c>
      <c r="CL192" s="1">
        <f t="shared" si="135"/>
        <v>10.6</v>
      </c>
      <c r="CM192" s="1">
        <f t="shared" si="136"/>
        <v>9.3000000000000007</v>
      </c>
      <c r="CN192" s="2">
        <f t="shared" si="137"/>
        <v>98.6</v>
      </c>
      <c r="CO192" s="1">
        <f t="shared" si="138"/>
        <v>6</v>
      </c>
      <c r="CP192" s="1">
        <f t="shared" si="139"/>
        <v>5.2</v>
      </c>
      <c r="CQ192" s="1">
        <f t="shared" si="140"/>
        <v>4.8</v>
      </c>
      <c r="CR192" s="1">
        <f t="shared" si="141"/>
        <v>4.3</v>
      </c>
      <c r="CS192" s="1">
        <f t="shared" si="142"/>
        <v>9.6999999999999993</v>
      </c>
      <c r="CT192" s="1">
        <f t="shared" si="143"/>
        <v>10</v>
      </c>
      <c r="CU192" s="1">
        <f t="shared" si="144"/>
        <v>8.9</v>
      </c>
      <c r="CV192" s="2">
        <f t="shared" si="145"/>
        <v>39.700000000000003</v>
      </c>
      <c r="CW192" s="18">
        <f t="shared" si="146"/>
        <v>0</v>
      </c>
      <c r="CX192" s="1">
        <f>ROUND(PPTest!K192,1)</f>
        <v>2</v>
      </c>
      <c r="CY192" s="17">
        <f t="shared" si="147"/>
        <v>1.34</v>
      </c>
      <c r="CZ192" s="17">
        <f t="shared" si="148"/>
        <v>4.46</v>
      </c>
      <c r="DA192" s="20">
        <f t="shared" si="149"/>
        <v>0.73</v>
      </c>
      <c r="DB192" s="20">
        <f t="shared" si="150"/>
        <v>1.109</v>
      </c>
      <c r="DC192" s="16">
        <f t="shared" si="151"/>
        <v>11.92</v>
      </c>
      <c r="DF192" s="1">
        <v>13.1</v>
      </c>
      <c r="DG192" s="1">
        <v>18.399999999999999</v>
      </c>
      <c r="DH192" s="1">
        <v>8.5</v>
      </c>
      <c r="DI192" s="1">
        <v>76.2</v>
      </c>
      <c r="DJ192" s="1">
        <v>53</v>
      </c>
      <c r="DW192" s="1">
        <v>9.8000000000000007</v>
      </c>
      <c r="DX192" s="1">
        <v>17.100000000000001</v>
      </c>
      <c r="DY192" s="1">
        <v>1</v>
      </c>
    </row>
    <row r="193" spans="1:129" x14ac:dyDescent="0.2">
      <c r="A193" s="40">
        <v>34886</v>
      </c>
      <c r="B193" s="3">
        <v>187</v>
      </c>
      <c r="C193" s="3">
        <v>14.15</v>
      </c>
      <c r="D193" s="3">
        <v>27</v>
      </c>
      <c r="E193" s="3">
        <v>10.15</v>
      </c>
      <c r="F193" s="3">
        <v>81.400000000000006</v>
      </c>
      <c r="G193" s="3">
        <v>9.94</v>
      </c>
      <c r="H193" s="3">
        <v>9.83</v>
      </c>
      <c r="I193" s="3">
        <v>10.31</v>
      </c>
      <c r="J193" s="3">
        <v>10.37</v>
      </c>
      <c r="K193" s="3">
        <v>10.58</v>
      </c>
      <c r="L193" s="3">
        <v>10.96</v>
      </c>
      <c r="M193" s="3">
        <v>10.19</v>
      </c>
      <c r="N193" s="3">
        <v>9</v>
      </c>
      <c r="O193" s="3">
        <v>1E-3</v>
      </c>
      <c r="P193" s="16">
        <v>1.4268333333333332</v>
      </c>
      <c r="Q193" s="3">
        <v>3</v>
      </c>
      <c r="R193" s="3">
        <v>15.25</v>
      </c>
      <c r="S193" s="3">
        <v>1254</v>
      </c>
      <c r="T193" s="3">
        <v>102.5</v>
      </c>
      <c r="U193" s="3">
        <v>2227</v>
      </c>
      <c r="V193" s="3">
        <v>16.97</v>
      </c>
      <c r="W193" s="3">
        <v>19.22</v>
      </c>
      <c r="X193" s="3">
        <v>21.57</v>
      </c>
      <c r="Y193" s="3">
        <v>19.440000000000001</v>
      </c>
      <c r="Z193" s="3">
        <v>19.55</v>
      </c>
      <c r="AA193" s="3">
        <v>13.49</v>
      </c>
      <c r="AB193" s="3">
        <v>10.51</v>
      </c>
      <c r="AC193" s="3">
        <v>9.16</v>
      </c>
      <c r="AD193" s="16">
        <v>4.6741666666666664</v>
      </c>
      <c r="AE193" s="3">
        <v>828</v>
      </c>
      <c r="AF193" s="3">
        <v>2.4910000000000001</v>
      </c>
      <c r="AG193" s="3">
        <v>411</v>
      </c>
      <c r="AH193" s="3">
        <v>44.29</v>
      </c>
      <c r="AI193" s="3">
        <v>910</v>
      </c>
      <c r="AJ193" s="3">
        <v>1.786</v>
      </c>
      <c r="AK193" s="3">
        <v>1.113</v>
      </c>
      <c r="AL193" s="3">
        <v>1.056</v>
      </c>
      <c r="AM193" s="3">
        <v>1.1100000000000001</v>
      </c>
      <c r="AN193" s="3">
        <v>1.238</v>
      </c>
      <c r="AO193" s="3">
        <v>8.4600000000000009</v>
      </c>
      <c r="AP193" s="3">
        <v>9.89</v>
      </c>
      <c r="AQ193" s="3">
        <v>8.74</v>
      </c>
      <c r="AR193" s="3">
        <v>0.154</v>
      </c>
      <c r="AS193" s="3">
        <v>0.35299999999999998</v>
      </c>
      <c r="AT193" s="3">
        <v>0.20300000000000001</v>
      </c>
      <c r="AU193" s="3">
        <v>4.2999999999999997E-2</v>
      </c>
      <c r="AV193" s="3">
        <v>5.0999999999999997E-2</v>
      </c>
      <c r="AW193" s="3">
        <v>8.8999999999999996E-2</v>
      </c>
      <c r="AX193" s="3">
        <v>4.7E-2</v>
      </c>
      <c r="AY193" s="3">
        <v>5.8999999999999997E-2</v>
      </c>
      <c r="AZ193" s="3">
        <v>9.89</v>
      </c>
      <c r="BA193" s="3"/>
      <c r="BB193" s="3">
        <v>11.91</v>
      </c>
      <c r="BC193" s="3">
        <v>2876</v>
      </c>
      <c r="BD193" s="3"/>
      <c r="BE193" s="3"/>
      <c r="BF193" s="3">
        <v>0</v>
      </c>
      <c r="BH193" s="16">
        <v>32.590000000000003</v>
      </c>
      <c r="BI193" s="16">
        <f t="shared" si="111"/>
        <v>65.831800000000001</v>
      </c>
      <c r="BJ193" s="17">
        <f t="shared" si="112"/>
        <v>14.15</v>
      </c>
      <c r="BK193" s="17">
        <f t="shared" si="113"/>
        <v>29.16</v>
      </c>
      <c r="BM193" s="1">
        <f t="shared" si="114"/>
        <v>95.7</v>
      </c>
      <c r="BN193" s="1">
        <f t="shared" si="115"/>
        <v>76.2</v>
      </c>
      <c r="BO193" s="1">
        <f t="shared" si="116"/>
        <v>41.9</v>
      </c>
      <c r="BP193" s="62">
        <f t="shared" si="119"/>
        <v>0.72599999999999998</v>
      </c>
      <c r="BQ193" s="62">
        <f t="shared" si="117"/>
        <v>1.0069999999999999</v>
      </c>
      <c r="BS193" s="1">
        <v>3.2</v>
      </c>
      <c r="BT193" s="8"/>
      <c r="BV193" s="8"/>
      <c r="BW193" s="16">
        <f t="shared" si="120"/>
        <v>14.15</v>
      </c>
      <c r="BX193" s="16">
        <f t="shared" si="121"/>
        <v>29.16</v>
      </c>
      <c r="BY193" s="3">
        <f t="shared" si="122"/>
        <v>10.199999999999999</v>
      </c>
      <c r="BZ193" s="3">
        <f t="shared" si="123"/>
        <v>9.9</v>
      </c>
      <c r="CA193" s="3">
        <f t="shared" si="124"/>
        <v>9.8000000000000007</v>
      </c>
      <c r="CB193" s="3">
        <f t="shared" si="125"/>
        <v>10.3</v>
      </c>
      <c r="CC193" s="3">
        <f t="shared" si="126"/>
        <v>11</v>
      </c>
      <c r="CD193" s="3">
        <f t="shared" si="127"/>
        <v>10.199999999999999</v>
      </c>
      <c r="CE193" s="3">
        <f t="shared" si="128"/>
        <v>9</v>
      </c>
      <c r="CF193" s="23">
        <f t="shared" si="129"/>
        <v>76.2</v>
      </c>
      <c r="CG193" s="1">
        <f t="shared" si="130"/>
        <v>15.3</v>
      </c>
      <c r="CH193" s="1">
        <f t="shared" si="131"/>
        <v>17</v>
      </c>
      <c r="CI193" s="1">
        <f t="shared" si="132"/>
        <v>19.2</v>
      </c>
      <c r="CJ193" s="1">
        <f t="shared" si="133"/>
        <v>21.6</v>
      </c>
      <c r="CK193" s="1">
        <f t="shared" si="134"/>
        <v>13.5</v>
      </c>
      <c r="CL193" s="1">
        <f t="shared" si="135"/>
        <v>10.5</v>
      </c>
      <c r="CM193" s="1">
        <f t="shared" si="136"/>
        <v>9.1999999999999993</v>
      </c>
      <c r="CN193" s="2">
        <f t="shared" si="137"/>
        <v>95.7</v>
      </c>
      <c r="CO193" s="1">
        <f t="shared" si="138"/>
        <v>2.5</v>
      </c>
      <c r="CP193" s="1">
        <f t="shared" si="139"/>
        <v>1.8</v>
      </c>
      <c r="CQ193" s="1">
        <f t="shared" si="140"/>
        <v>1.1000000000000001</v>
      </c>
      <c r="CR193" s="1">
        <f t="shared" si="141"/>
        <v>1.1000000000000001</v>
      </c>
      <c r="CS193" s="1">
        <f t="shared" si="142"/>
        <v>8.5</v>
      </c>
      <c r="CT193" s="1">
        <f t="shared" si="143"/>
        <v>9.9</v>
      </c>
      <c r="CU193" s="1">
        <f t="shared" si="144"/>
        <v>8.6999999999999993</v>
      </c>
      <c r="CV193" s="2">
        <f t="shared" si="145"/>
        <v>41.9</v>
      </c>
      <c r="CW193" s="18">
        <f t="shared" si="146"/>
        <v>0</v>
      </c>
      <c r="CX193" s="1">
        <f>ROUND(PPTest!K193,1)</f>
        <v>3</v>
      </c>
      <c r="CY193" s="17">
        <f t="shared" si="147"/>
        <v>1.43</v>
      </c>
      <c r="CZ193" s="17">
        <f t="shared" si="148"/>
        <v>4.67</v>
      </c>
      <c r="DA193" s="20">
        <f t="shared" si="149"/>
        <v>0.72599999999999998</v>
      </c>
      <c r="DB193" s="20">
        <f t="shared" si="150"/>
        <v>1.0069999999999999</v>
      </c>
      <c r="DC193" s="16">
        <f t="shared" si="151"/>
        <v>11.91</v>
      </c>
      <c r="DF193" s="1">
        <v>13.2</v>
      </c>
      <c r="DG193" s="1">
        <v>17.5</v>
      </c>
      <c r="DH193" s="1">
        <v>9.8000000000000007</v>
      </c>
      <c r="DI193" s="1">
        <v>73.900000000000006</v>
      </c>
      <c r="DJ193" s="1">
        <v>56</v>
      </c>
      <c r="DW193" s="1">
        <v>10.8</v>
      </c>
      <c r="DX193" s="1">
        <v>19</v>
      </c>
      <c r="DY193" s="1">
        <v>3.7</v>
      </c>
    </row>
    <row r="194" spans="1:129" x14ac:dyDescent="0.2">
      <c r="A194" s="40">
        <v>34887</v>
      </c>
      <c r="B194" s="3">
        <v>188</v>
      </c>
      <c r="C194" s="3">
        <v>12.26</v>
      </c>
      <c r="D194" s="3">
        <v>23.59</v>
      </c>
      <c r="E194" s="3">
        <v>11.31</v>
      </c>
      <c r="F194" s="3">
        <v>90.4</v>
      </c>
      <c r="G194" s="3">
        <v>11.2</v>
      </c>
      <c r="H194" s="3">
        <v>11.12</v>
      </c>
      <c r="I194" s="3">
        <v>11.8</v>
      </c>
      <c r="J194" s="3">
        <v>11.5</v>
      </c>
      <c r="K194" s="3">
        <v>11.67</v>
      </c>
      <c r="L194" s="3">
        <v>11.73</v>
      </c>
      <c r="M194" s="3">
        <v>10.210000000000001</v>
      </c>
      <c r="N194" s="3">
        <v>9.01</v>
      </c>
      <c r="O194" s="3">
        <v>1E-3</v>
      </c>
      <c r="P194" s="16">
        <v>1.26</v>
      </c>
      <c r="Q194" s="3">
        <v>0</v>
      </c>
      <c r="R194" s="3">
        <v>16.239999999999998</v>
      </c>
      <c r="S194" s="3">
        <v>1404</v>
      </c>
      <c r="T194" s="3">
        <v>104.5</v>
      </c>
      <c r="U194" s="3">
        <v>445</v>
      </c>
      <c r="V194" s="3">
        <v>17.670000000000002</v>
      </c>
      <c r="W194" s="3">
        <v>19.100000000000001</v>
      </c>
      <c r="X194" s="3">
        <v>19.38</v>
      </c>
      <c r="Y194" s="3">
        <v>20.86</v>
      </c>
      <c r="Z194" s="3">
        <v>20.8</v>
      </c>
      <c r="AA194" s="3">
        <v>13.99</v>
      </c>
      <c r="AB194" s="3">
        <v>10.5</v>
      </c>
      <c r="AC194" s="3">
        <v>9.09</v>
      </c>
      <c r="AD194" s="16">
        <v>3.6475</v>
      </c>
      <c r="AE194" s="3">
        <v>1458</v>
      </c>
      <c r="AF194" s="3">
        <v>8.0500000000000007</v>
      </c>
      <c r="AG194" s="3">
        <v>0</v>
      </c>
      <c r="AH194" s="3">
        <v>66.64</v>
      </c>
      <c r="AI194" s="3">
        <v>1625</v>
      </c>
      <c r="AJ194" s="3">
        <v>7.28</v>
      </c>
      <c r="AK194" s="3">
        <v>6.9139999999999997</v>
      </c>
      <c r="AL194" s="3">
        <v>6.351</v>
      </c>
      <c r="AM194" s="3">
        <v>6.8339999999999996</v>
      </c>
      <c r="AN194" s="3">
        <v>7.02</v>
      </c>
      <c r="AO194" s="3">
        <v>10.039999999999999</v>
      </c>
      <c r="AP194" s="3">
        <v>9.9700000000000006</v>
      </c>
      <c r="AQ194" s="3">
        <v>8.92</v>
      </c>
      <c r="AR194" s="3">
        <v>0.17199999999999999</v>
      </c>
      <c r="AS194" s="3">
        <v>0.39</v>
      </c>
      <c r="AT194" s="3">
        <v>0.19700000000000001</v>
      </c>
      <c r="AU194" s="3">
        <v>5.7000000000000002E-2</v>
      </c>
      <c r="AV194" s="3">
        <v>5.0999999999999997E-2</v>
      </c>
      <c r="AW194" s="3">
        <v>5.8000000000000003E-2</v>
      </c>
      <c r="AX194" s="3">
        <v>2.7E-2</v>
      </c>
      <c r="AY194" s="3">
        <v>4.9000000000000002E-2</v>
      </c>
      <c r="AZ194" s="3">
        <v>11.63</v>
      </c>
      <c r="BA194" s="3"/>
      <c r="BB194" s="3">
        <v>11.91</v>
      </c>
      <c r="BC194" s="3">
        <v>2876</v>
      </c>
      <c r="BD194" s="3"/>
      <c r="BE194" s="3"/>
      <c r="BF194" s="3">
        <v>0</v>
      </c>
      <c r="BH194" s="16">
        <v>32.520000000000003</v>
      </c>
      <c r="BI194" s="16">
        <f t="shared" si="111"/>
        <v>65.690400000000011</v>
      </c>
      <c r="BJ194" s="17">
        <f t="shared" si="112"/>
        <v>12.26</v>
      </c>
      <c r="BK194" s="17">
        <f t="shared" si="113"/>
        <v>25.48</v>
      </c>
      <c r="BM194" s="1">
        <f t="shared" si="114"/>
        <v>97.6</v>
      </c>
      <c r="BN194" s="1">
        <f t="shared" si="115"/>
        <v>84.5</v>
      </c>
      <c r="BO194" s="1">
        <f t="shared" si="116"/>
        <v>62.6</v>
      </c>
      <c r="BP194" s="62">
        <f t="shared" si="119"/>
        <v>1.155</v>
      </c>
      <c r="BQ194" s="62">
        <f t="shared" si="117"/>
        <v>0.69</v>
      </c>
      <c r="BS194" s="1">
        <v>3.7</v>
      </c>
      <c r="BT194" s="8"/>
      <c r="BV194" s="8"/>
      <c r="BW194" s="16">
        <f t="shared" si="120"/>
        <v>12.26</v>
      </c>
      <c r="BX194" s="16">
        <f t="shared" si="121"/>
        <v>25.48</v>
      </c>
      <c r="BY194" s="3">
        <f t="shared" si="122"/>
        <v>11.3</v>
      </c>
      <c r="BZ194" s="3">
        <f t="shared" si="123"/>
        <v>11.2</v>
      </c>
      <c r="CA194" s="3">
        <f t="shared" si="124"/>
        <v>11.1</v>
      </c>
      <c r="CB194" s="3">
        <f t="shared" si="125"/>
        <v>11.8</v>
      </c>
      <c r="CC194" s="3">
        <f t="shared" si="126"/>
        <v>11.7</v>
      </c>
      <c r="CD194" s="3">
        <f t="shared" si="127"/>
        <v>10.199999999999999</v>
      </c>
      <c r="CE194" s="3">
        <f t="shared" si="128"/>
        <v>9</v>
      </c>
      <c r="CF194" s="23">
        <f t="shared" si="129"/>
        <v>84.5</v>
      </c>
      <c r="CG194" s="1">
        <f t="shared" si="130"/>
        <v>16.2</v>
      </c>
      <c r="CH194" s="1">
        <f t="shared" si="131"/>
        <v>17.7</v>
      </c>
      <c r="CI194" s="1">
        <f t="shared" si="132"/>
        <v>19.100000000000001</v>
      </c>
      <c r="CJ194" s="1">
        <f t="shared" si="133"/>
        <v>19.399999999999999</v>
      </c>
      <c r="CK194" s="1">
        <f t="shared" si="134"/>
        <v>14</v>
      </c>
      <c r="CL194" s="1">
        <f t="shared" si="135"/>
        <v>10.5</v>
      </c>
      <c r="CM194" s="1">
        <f t="shared" si="136"/>
        <v>9.1</v>
      </c>
      <c r="CN194" s="2">
        <f t="shared" si="137"/>
        <v>97.6</v>
      </c>
      <c r="CO194" s="1">
        <f t="shared" si="138"/>
        <v>8.1</v>
      </c>
      <c r="CP194" s="1">
        <f t="shared" si="139"/>
        <v>7.3</v>
      </c>
      <c r="CQ194" s="1">
        <f t="shared" si="140"/>
        <v>6.9</v>
      </c>
      <c r="CR194" s="1">
        <f t="shared" si="141"/>
        <v>6.4</v>
      </c>
      <c r="CS194" s="1">
        <f t="shared" si="142"/>
        <v>10</v>
      </c>
      <c r="CT194" s="1">
        <f t="shared" si="143"/>
        <v>10</v>
      </c>
      <c r="CU194" s="1">
        <f t="shared" si="144"/>
        <v>8.9</v>
      </c>
      <c r="CV194" s="2">
        <f t="shared" si="145"/>
        <v>62.6</v>
      </c>
      <c r="CW194" s="18">
        <f t="shared" si="146"/>
        <v>0</v>
      </c>
      <c r="CX194" s="1">
        <f>ROUND(PPTest!K194,1)</f>
        <v>0</v>
      </c>
      <c r="CY194" s="17">
        <f t="shared" si="147"/>
        <v>1.26</v>
      </c>
      <c r="CZ194" s="17">
        <f t="shared" si="148"/>
        <v>3.65</v>
      </c>
      <c r="DA194" s="20">
        <f t="shared" si="149"/>
        <v>1.155</v>
      </c>
      <c r="DB194" s="20">
        <f t="shared" si="150"/>
        <v>0.69</v>
      </c>
      <c r="DC194" s="16">
        <f t="shared" si="151"/>
        <v>11.91</v>
      </c>
      <c r="DF194" s="1">
        <v>13.8</v>
      </c>
      <c r="DG194" s="1">
        <v>18.8</v>
      </c>
      <c r="DH194" s="1">
        <v>9.8000000000000007</v>
      </c>
      <c r="DI194" s="1">
        <v>83.1</v>
      </c>
      <c r="DJ194" s="1">
        <v>64</v>
      </c>
      <c r="DW194" s="1">
        <v>12</v>
      </c>
      <c r="DX194" s="1">
        <v>17.2</v>
      </c>
      <c r="DY194" s="1">
        <v>7.3</v>
      </c>
    </row>
    <row r="195" spans="1:129" x14ac:dyDescent="0.2">
      <c r="A195" s="40">
        <v>34888</v>
      </c>
      <c r="B195" s="3">
        <v>189</v>
      </c>
      <c r="C195" s="3">
        <v>14.78</v>
      </c>
      <c r="D195" s="3">
        <v>28.18</v>
      </c>
      <c r="E195" s="3">
        <v>11.85</v>
      </c>
      <c r="F195" s="3">
        <v>84.6</v>
      </c>
      <c r="G195" s="3">
        <v>11.68</v>
      </c>
      <c r="H195" s="3">
        <v>11.56</v>
      </c>
      <c r="I195" s="3">
        <v>12.45</v>
      </c>
      <c r="J195" s="3">
        <v>12.08</v>
      </c>
      <c r="K195" s="3">
        <v>12.28</v>
      </c>
      <c r="L195" s="3">
        <v>11.84</v>
      </c>
      <c r="M195" s="3">
        <v>10.31</v>
      </c>
      <c r="N195" s="3">
        <v>8.9700000000000006</v>
      </c>
      <c r="O195" s="3">
        <v>1E-3</v>
      </c>
      <c r="P195" s="16">
        <v>1.4735</v>
      </c>
      <c r="Q195" s="3">
        <v>0</v>
      </c>
      <c r="R195" s="3">
        <v>18.16</v>
      </c>
      <c r="S195" s="3">
        <v>1625</v>
      </c>
      <c r="T195" s="3">
        <v>103.5</v>
      </c>
      <c r="U195" s="3">
        <v>242</v>
      </c>
      <c r="V195" s="3">
        <v>20.11</v>
      </c>
      <c r="W195" s="3">
        <v>21.06</v>
      </c>
      <c r="X195" s="3">
        <v>24.32</v>
      </c>
      <c r="Y195" s="3">
        <v>20.95</v>
      </c>
      <c r="Z195" s="3">
        <v>20.97</v>
      </c>
      <c r="AA195" s="3">
        <v>14.48</v>
      </c>
      <c r="AB195" s="3">
        <v>10.63</v>
      </c>
      <c r="AC195" s="3">
        <v>9.09</v>
      </c>
      <c r="AD195" s="16">
        <v>3.874166666666667</v>
      </c>
      <c r="AE195" s="3">
        <v>1629</v>
      </c>
      <c r="AF195" s="3">
        <v>6.3460000000000001</v>
      </c>
      <c r="AG195" s="3">
        <v>238</v>
      </c>
      <c r="AH195" s="3">
        <v>51.28</v>
      </c>
      <c r="AI195" s="3">
        <v>1634</v>
      </c>
      <c r="AJ195" s="3">
        <v>5.548</v>
      </c>
      <c r="AK195" s="3">
        <v>5.101</v>
      </c>
      <c r="AL195" s="3">
        <v>4.274</v>
      </c>
      <c r="AM195" s="3">
        <v>5.1289999999999996</v>
      </c>
      <c r="AN195" s="3">
        <v>5.3929999999999998</v>
      </c>
      <c r="AO195" s="3">
        <v>9.76</v>
      </c>
      <c r="AP195" s="3">
        <v>10.039999999999999</v>
      </c>
      <c r="AQ195" s="3">
        <v>8.84</v>
      </c>
      <c r="AR195" s="3">
        <v>2.4E-2</v>
      </c>
      <c r="AS195" s="3">
        <v>0.23899999999999999</v>
      </c>
      <c r="AT195" s="3">
        <v>0.24399999999999999</v>
      </c>
      <c r="AU195" s="3">
        <v>3.2000000000000001E-2</v>
      </c>
      <c r="AV195" s="3">
        <v>7.8E-2</v>
      </c>
      <c r="AW195" s="3">
        <v>0.19700000000000001</v>
      </c>
      <c r="AX195" s="3">
        <v>0.128</v>
      </c>
      <c r="AY195" s="3">
        <v>5.8000000000000003E-2</v>
      </c>
      <c r="AZ195" s="3">
        <v>11.95</v>
      </c>
      <c r="BA195" s="3"/>
      <c r="BB195" s="3">
        <v>11.91</v>
      </c>
      <c r="BC195" s="3">
        <v>2876</v>
      </c>
      <c r="BD195" s="3"/>
      <c r="BE195" s="3"/>
      <c r="BF195" s="3">
        <v>0</v>
      </c>
      <c r="BH195" s="16">
        <v>32.43</v>
      </c>
      <c r="BI195" s="16">
        <f t="shared" si="111"/>
        <v>65.508600000000001</v>
      </c>
      <c r="BJ195" s="17">
        <f t="shared" si="112"/>
        <v>14.78</v>
      </c>
      <c r="BK195" s="17">
        <f t="shared" si="113"/>
        <v>30.43</v>
      </c>
      <c r="BM195" s="1">
        <f t="shared" si="114"/>
        <v>96.6</v>
      </c>
      <c r="BN195" s="1">
        <f t="shared" si="115"/>
        <v>79.2</v>
      </c>
      <c r="BO195" s="1">
        <f t="shared" si="116"/>
        <v>48.4</v>
      </c>
      <c r="BP195" s="62">
        <f t="shared" si="119"/>
        <v>1.0089999999999999</v>
      </c>
      <c r="BQ195" s="62">
        <f t="shared" si="117"/>
        <v>1.0760000000000001</v>
      </c>
      <c r="BS195" s="1">
        <v>0</v>
      </c>
      <c r="BT195" s="8"/>
      <c r="BV195" s="8"/>
      <c r="BW195" s="16">
        <f t="shared" si="120"/>
        <v>14.78</v>
      </c>
      <c r="BX195" s="16">
        <f t="shared" si="121"/>
        <v>30.43</v>
      </c>
      <c r="BY195" s="3">
        <f t="shared" si="122"/>
        <v>11.9</v>
      </c>
      <c r="BZ195" s="3">
        <f t="shared" si="123"/>
        <v>11.7</v>
      </c>
      <c r="CA195" s="3">
        <f t="shared" si="124"/>
        <v>11.6</v>
      </c>
      <c r="CB195" s="3">
        <f t="shared" si="125"/>
        <v>12.5</v>
      </c>
      <c r="CC195" s="3">
        <f t="shared" si="126"/>
        <v>11.8</v>
      </c>
      <c r="CD195" s="3">
        <f t="shared" si="127"/>
        <v>10.3</v>
      </c>
      <c r="CE195" s="3">
        <f t="shared" si="128"/>
        <v>9</v>
      </c>
      <c r="CF195" s="23">
        <f t="shared" si="129"/>
        <v>79.2</v>
      </c>
      <c r="CG195" s="1">
        <f t="shared" si="130"/>
        <v>18.2</v>
      </c>
      <c r="CH195" s="1">
        <f t="shared" si="131"/>
        <v>20.100000000000001</v>
      </c>
      <c r="CI195" s="1">
        <f t="shared" si="132"/>
        <v>21.1</v>
      </c>
      <c r="CJ195" s="1">
        <f t="shared" si="133"/>
        <v>24.3</v>
      </c>
      <c r="CK195" s="1">
        <f t="shared" si="134"/>
        <v>14.5</v>
      </c>
      <c r="CL195" s="1">
        <f t="shared" si="135"/>
        <v>10.6</v>
      </c>
      <c r="CM195" s="1">
        <f t="shared" si="136"/>
        <v>9.1</v>
      </c>
      <c r="CN195" s="2">
        <f t="shared" si="137"/>
        <v>96.6</v>
      </c>
      <c r="CO195" s="1">
        <f t="shared" si="138"/>
        <v>6.3</v>
      </c>
      <c r="CP195" s="1">
        <f t="shared" si="139"/>
        <v>5.5</v>
      </c>
      <c r="CQ195" s="1">
        <f t="shared" si="140"/>
        <v>5.0999999999999996</v>
      </c>
      <c r="CR195" s="1">
        <f t="shared" si="141"/>
        <v>4.3</v>
      </c>
      <c r="CS195" s="1">
        <f t="shared" si="142"/>
        <v>9.8000000000000007</v>
      </c>
      <c r="CT195" s="1">
        <f t="shared" si="143"/>
        <v>10</v>
      </c>
      <c r="CU195" s="1">
        <f t="shared" si="144"/>
        <v>8.8000000000000007</v>
      </c>
      <c r="CV195" s="2">
        <f t="shared" si="145"/>
        <v>48.4</v>
      </c>
      <c r="CW195" s="18">
        <f t="shared" si="146"/>
        <v>0</v>
      </c>
      <c r="CX195" s="1">
        <f>ROUND(PPTest!K195,1)</f>
        <v>0</v>
      </c>
      <c r="CY195" s="17">
        <f t="shared" si="147"/>
        <v>1.47</v>
      </c>
      <c r="CZ195" s="17">
        <f t="shared" si="148"/>
        <v>3.87</v>
      </c>
      <c r="DA195" s="20">
        <f t="shared" si="149"/>
        <v>1.0089999999999999</v>
      </c>
      <c r="DB195" s="20">
        <f t="shared" si="150"/>
        <v>1.0760000000000001</v>
      </c>
      <c r="DC195" s="16">
        <f t="shared" si="151"/>
        <v>11.91</v>
      </c>
      <c r="DF195" s="1">
        <v>15.3</v>
      </c>
      <c r="DG195" s="1">
        <v>20.3</v>
      </c>
      <c r="DH195" s="1">
        <v>11.4</v>
      </c>
      <c r="DI195" s="1">
        <v>75</v>
      </c>
      <c r="DJ195" s="1">
        <v>58</v>
      </c>
      <c r="DW195" s="1">
        <v>12.6</v>
      </c>
      <c r="DX195" s="1">
        <v>18.7</v>
      </c>
      <c r="DY195" s="1">
        <v>6.4</v>
      </c>
    </row>
    <row r="196" spans="1:129" x14ac:dyDescent="0.2">
      <c r="A196" s="40">
        <v>34889</v>
      </c>
      <c r="B196" s="3">
        <v>190</v>
      </c>
      <c r="C196" s="3">
        <v>16</v>
      </c>
      <c r="D196" s="3">
        <v>30.69</v>
      </c>
      <c r="E196" s="3">
        <v>13.84</v>
      </c>
      <c r="F196" s="3">
        <v>81.7</v>
      </c>
      <c r="G196" s="3">
        <v>13.74</v>
      </c>
      <c r="H196" s="3">
        <v>13.63</v>
      </c>
      <c r="I196" s="3">
        <v>14.05</v>
      </c>
      <c r="J196" s="3">
        <v>13.88</v>
      </c>
      <c r="K196" s="3">
        <v>14.1</v>
      </c>
      <c r="L196" s="3">
        <v>12.32</v>
      </c>
      <c r="M196" s="3">
        <v>10.53</v>
      </c>
      <c r="N196" s="3">
        <v>8.99</v>
      </c>
      <c r="O196" s="3">
        <v>1E-3</v>
      </c>
      <c r="P196" s="16">
        <v>1.4775</v>
      </c>
      <c r="Q196" s="3">
        <v>11</v>
      </c>
      <c r="R196" s="3">
        <v>20.149999999999999</v>
      </c>
      <c r="S196" s="3">
        <v>1349</v>
      </c>
      <c r="T196" s="3">
        <v>105.3</v>
      </c>
      <c r="U196" s="3">
        <v>2347</v>
      </c>
      <c r="V196" s="3">
        <v>21.58</v>
      </c>
      <c r="W196" s="3">
        <v>24.5</v>
      </c>
      <c r="X196" s="3">
        <v>28.97</v>
      </c>
      <c r="Y196" s="3">
        <v>23.42</v>
      </c>
      <c r="Z196" s="3">
        <v>23.19</v>
      </c>
      <c r="AA196" s="3">
        <v>14.66</v>
      </c>
      <c r="AB196" s="3">
        <v>10.97</v>
      </c>
      <c r="AC196" s="3">
        <v>9.17</v>
      </c>
      <c r="AD196" s="16">
        <v>4.8075000000000001</v>
      </c>
      <c r="AE196" s="3">
        <v>1359</v>
      </c>
      <c r="AF196" s="3">
        <v>7.8</v>
      </c>
      <c r="AG196" s="3">
        <v>140</v>
      </c>
      <c r="AH196" s="3">
        <v>45.95</v>
      </c>
      <c r="AI196" s="3">
        <v>1035</v>
      </c>
      <c r="AJ196" s="3">
        <v>7.23</v>
      </c>
      <c r="AK196" s="3">
        <v>6.6980000000000004</v>
      </c>
      <c r="AL196" s="3">
        <v>6.3170000000000002</v>
      </c>
      <c r="AM196" s="3">
        <v>6.6760000000000002</v>
      </c>
      <c r="AN196" s="3">
        <v>6.7910000000000004</v>
      </c>
      <c r="AO196" s="3">
        <v>10.220000000000001</v>
      </c>
      <c r="AP196" s="3">
        <v>10.17</v>
      </c>
      <c r="AQ196" s="3">
        <v>8.85</v>
      </c>
      <c r="AR196" s="3">
        <v>8.1000000000000003E-2</v>
      </c>
      <c r="AS196" s="3">
        <v>0.23100000000000001</v>
      </c>
      <c r="AT196" s="3">
        <v>0.23200000000000001</v>
      </c>
      <c r="AU196" s="3">
        <v>9.4E-2</v>
      </c>
      <c r="AV196" s="3">
        <v>7.2999999999999995E-2</v>
      </c>
      <c r="AW196" s="3">
        <v>0.129</v>
      </c>
      <c r="AX196" s="3">
        <v>8.8999999999999996E-2</v>
      </c>
      <c r="AY196" s="3">
        <v>7.0000000000000007E-2</v>
      </c>
      <c r="AZ196" s="3">
        <v>13.83</v>
      </c>
      <c r="BA196" s="3"/>
      <c r="BB196" s="3">
        <v>11.91</v>
      </c>
      <c r="BC196" s="3">
        <v>2876</v>
      </c>
      <c r="BD196" s="3"/>
      <c r="BE196" s="3"/>
      <c r="BF196" s="3">
        <v>0</v>
      </c>
      <c r="BH196" s="16">
        <v>32.35</v>
      </c>
      <c r="BI196" s="16">
        <f t="shared" si="111"/>
        <v>65.347000000000008</v>
      </c>
      <c r="BJ196" s="17">
        <f t="shared" si="112"/>
        <v>16</v>
      </c>
      <c r="BK196" s="17">
        <f t="shared" si="113"/>
        <v>33.15</v>
      </c>
      <c r="BM196" s="1">
        <f t="shared" si="114"/>
        <v>98.3</v>
      </c>
      <c r="BN196" s="1">
        <f t="shared" si="115"/>
        <v>76.5</v>
      </c>
      <c r="BO196" s="1">
        <f t="shared" si="116"/>
        <v>43.5</v>
      </c>
      <c r="BP196" s="62">
        <f t="shared" si="119"/>
        <v>1.026</v>
      </c>
      <c r="BQ196" s="62">
        <f t="shared" si="117"/>
        <v>1.333</v>
      </c>
      <c r="BS196" s="1">
        <v>3.8</v>
      </c>
      <c r="BT196" s="8"/>
      <c r="BV196" s="8"/>
      <c r="BW196" s="16">
        <f t="shared" si="120"/>
        <v>16</v>
      </c>
      <c r="BX196" s="16">
        <f t="shared" si="121"/>
        <v>33.15</v>
      </c>
      <c r="BY196" s="3">
        <f t="shared" si="122"/>
        <v>13.8</v>
      </c>
      <c r="BZ196" s="3">
        <f t="shared" si="123"/>
        <v>13.7</v>
      </c>
      <c r="CA196" s="3">
        <f t="shared" si="124"/>
        <v>13.6</v>
      </c>
      <c r="CB196" s="3">
        <f t="shared" si="125"/>
        <v>14.1</v>
      </c>
      <c r="CC196" s="3">
        <f t="shared" si="126"/>
        <v>12.3</v>
      </c>
      <c r="CD196" s="3">
        <f t="shared" si="127"/>
        <v>10.5</v>
      </c>
      <c r="CE196" s="3">
        <f t="shared" si="128"/>
        <v>9</v>
      </c>
      <c r="CF196" s="23">
        <f t="shared" si="129"/>
        <v>76.5</v>
      </c>
      <c r="CG196" s="1">
        <f t="shared" si="130"/>
        <v>20.2</v>
      </c>
      <c r="CH196" s="1">
        <f t="shared" si="131"/>
        <v>21.6</v>
      </c>
      <c r="CI196" s="1">
        <f t="shared" si="132"/>
        <v>24.5</v>
      </c>
      <c r="CJ196" s="1">
        <f t="shared" si="133"/>
        <v>29</v>
      </c>
      <c r="CK196" s="1">
        <f t="shared" si="134"/>
        <v>14.7</v>
      </c>
      <c r="CL196" s="1">
        <f t="shared" si="135"/>
        <v>11</v>
      </c>
      <c r="CM196" s="1">
        <f t="shared" si="136"/>
        <v>9.1999999999999993</v>
      </c>
      <c r="CN196" s="2">
        <f t="shared" si="137"/>
        <v>98.3</v>
      </c>
      <c r="CO196" s="1">
        <f t="shared" si="138"/>
        <v>7.8</v>
      </c>
      <c r="CP196" s="1">
        <f t="shared" si="139"/>
        <v>7.2</v>
      </c>
      <c r="CQ196" s="1">
        <f t="shared" si="140"/>
        <v>6.7</v>
      </c>
      <c r="CR196" s="1">
        <f t="shared" si="141"/>
        <v>6.3</v>
      </c>
      <c r="CS196" s="1">
        <f t="shared" si="142"/>
        <v>10.199999999999999</v>
      </c>
      <c r="CT196" s="1">
        <f t="shared" si="143"/>
        <v>10.199999999999999</v>
      </c>
      <c r="CU196" s="1">
        <f t="shared" si="144"/>
        <v>8.9</v>
      </c>
      <c r="CV196" s="2">
        <f t="shared" si="145"/>
        <v>43.5</v>
      </c>
      <c r="CW196" s="18">
        <f t="shared" si="146"/>
        <v>0</v>
      </c>
      <c r="CX196" s="1">
        <f>ROUND(PPTest!K196,1)</f>
        <v>11</v>
      </c>
      <c r="CY196" s="17">
        <f t="shared" si="147"/>
        <v>1.48</v>
      </c>
      <c r="CZ196" s="17">
        <f t="shared" si="148"/>
        <v>4.8099999999999996</v>
      </c>
      <c r="DA196" s="20">
        <f t="shared" si="149"/>
        <v>1.026</v>
      </c>
      <c r="DB196" s="20">
        <f t="shared" si="150"/>
        <v>1.333</v>
      </c>
      <c r="DC196" s="16">
        <f t="shared" si="151"/>
        <v>11.91</v>
      </c>
      <c r="DF196" s="1">
        <v>16.2</v>
      </c>
      <c r="DG196" s="1">
        <v>22.2</v>
      </c>
      <c r="DH196" s="1">
        <v>13.3</v>
      </c>
      <c r="DI196" s="1">
        <v>77.900000000000006</v>
      </c>
      <c r="DJ196" s="1">
        <v>56</v>
      </c>
      <c r="DW196" s="1">
        <v>13.9</v>
      </c>
      <c r="DX196" s="1">
        <v>19.600000000000001</v>
      </c>
      <c r="DY196" s="1">
        <v>10.199999999999999</v>
      </c>
    </row>
    <row r="197" spans="1:129" x14ac:dyDescent="0.2">
      <c r="A197" s="40">
        <v>34890</v>
      </c>
      <c r="B197" s="3">
        <v>191</v>
      </c>
      <c r="C197" s="3">
        <v>12.79</v>
      </c>
      <c r="D197" s="3">
        <v>24.44</v>
      </c>
      <c r="E197" s="3">
        <v>9.26</v>
      </c>
      <c r="F197" s="3">
        <v>94.1</v>
      </c>
      <c r="G197" s="3">
        <v>9.23</v>
      </c>
      <c r="H197" s="3">
        <v>9.17</v>
      </c>
      <c r="I197" s="3">
        <v>10.42</v>
      </c>
      <c r="J197" s="3">
        <v>9.24</v>
      </c>
      <c r="K197" s="3">
        <v>9.68</v>
      </c>
      <c r="L197" s="3">
        <v>11.74</v>
      </c>
      <c r="M197" s="3">
        <v>10.69</v>
      </c>
      <c r="N197" s="3">
        <v>9.07</v>
      </c>
      <c r="O197" s="3">
        <v>0</v>
      </c>
      <c r="P197" s="16">
        <v>1.5625</v>
      </c>
      <c r="Q197" s="3">
        <v>5</v>
      </c>
      <c r="R197" s="3">
        <v>13.76</v>
      </c>
      <c r="S197" s="3">
        <v>1722</v>
      </c>
      <c r="T197" s="3">
        <v>105.6</v>
      </c>
      <c r="U197" s="3">
        <v>610</v>
      </c>
      <c r="V197" s="3">
        <v>14.99</v>
      </c>
      <c r="W197" s="3">
        <v>16.190000000000001</v>
      </c>
      <c r="X197" s="3">
        <v>16.309999999999999</v>
      </c>
      <c r="Y197" s="3">
        <v>16.690000000000001</v>
      </c>
      <c r="Z197" s="3">
        <v>17.170000000000002</v>
      </c>
      <c r="AA197" s="3">
        <v>13.38</v>
      </c>
      <c r="AB197" s="3">
        <v>10.96</v>
      </c>
      <c r="AC197" s="3">
        <v>9.25</v>
      </c>
      <c r="AD197" s="16">
        <v>4.0741666666666667</v>
      </c>
      <c r="AE197" s="3">
        <v>547</v>
      </c>
      <c r="AF197" s="3">
        <v>5.4340000000000002</v>
      </c>
      <c r="AG197" s="3">
        <v>2356</v>
      </c>
      <c r="AH197" s="3">
        <v>55.45</v>
      </c>
      <c r="AI197" s="3">
        <v>1723</v>
      </c>
      <c r="AJ197" s="3">
        <v>5.056</v>
      </c>
      <c r="AK197" s="3">
        <v>4.8010000000000002</v>
      </c>
      <c r="AL197" s="3">
        <v>5.3049999999999997</v>
      </c>
      <c r="AM197" s="3">
        <v>4.82</v>
      </c>
      <c r="AN197" s="3">
        <v>4.915</v>
      </c>
      <c r="AO197" s="3">
        <v>10.57</v>
      </c>
      <c r="AP197" s="3">
        <v>10.5</v>
      </c>
      <c r="AQ197" s="3">
        <v>8.9499999999999993</v>
      </c>
      <c r="AR197" s="3">
        <v>6.5000000000000002E-2</v>
      </c>
      <c r="AS197" s="3">
        <v>0.158</v>
      </c>
      <c r="AT197" s="3">
        <v>4.9000000000000002E-2</v>
      </c>
      <c r="AU197" s="3">
        <v>2.8000000000000001E-2</v>
      </c>
      <c r="AV197" s="3">
        <v>0.115</v>
      </c>
      <c r="AW197" s="3">
        <v>0.378</v>
      </c>
      <c r="AX197" s="3">
        <v>0.14399999999999999</v>
      </c>
      <c r="AY197" s="3">
        <v>6.2E-2</v>
      </c>
      <c r="AZ197" s="3">
        <v>9.82</v>
      </c>
      <c r="BA197" s="3"/>
      <c r="BB197" s="3">
        <v>11.88</v>
      </c>
      <c r="BC197" s="3">
        <v>2876</v>
      </c>
      <c r="BD197" s="3"/>
      <c r="BE197" s="3"/>
      <c r="BF197" s="3">
        <v>0</v>
      </c>
      <c r="BH197" s="16">
        <v>32.270000000000003</v>
      </c>
      <c r="BI197" s="16">
        <f t="shared" si="111"/>
        <v>65.185400000000001</v>
      </c>
      <c r="BJ197" s="17">
        <f t="shared" si="112"/>
        <v>12.79</v>
      </c>
      <c r="BK197" s="17">
        <f t="shared" si="113"/>
        <v>26.4</v>
      </c>
      <c r="BM197" s="1">
        <f t="shared" si="114"/>
        <v>98.6</v>
      </c>
      <c r="BN197" s="1">
        <f t="shared" si="115"/>
        <v>87.9</v>
      </c>
      <c r="BO197" s="1">
        <f t="shared" si="116"/>
        <v>52.2</v>
      </c>
      <c r="BP197" s="62">
        <f t="shared" si="119"/>
        <v>0.82099999999999995</v>
      </c>
      <c r="BQ197" s="62">
        <f t="shared" si="117"/>
        <v>0.752</v>
      </c>
      <c r="BS197" s="1">
        <v>6.1</v>
      </c>
      <c r="BT197" s="8"/>
      <c r="BV197" s="8"/>
      <c r="BW197" s="16">
        <f t="shared" si="120"/>
        <v>12.79</v>
      </c>
      <c r="BX197" s="16">
        <f t="shared" si="121"/>
        <v>26.4</v>
      </c>
      <c r="BY197" s="3">
        <f t="shared" si="122"/>
        <v>9.3000000000000007</v>
      </c>
      <c r="BZ197" s="3">
        <f t="shared" si="123"/>
        <v>9.1999999999999993</v>
      </c>
      <c r="CA197" s="3">
        <f t="shared" si="124"/>
        <v>9.1999999999999993</v>
      </c>
      <c r="CB197" s="3">
        <f t="shared" si="125"/>
        <v>10.4</v>
      </c>
      <c r="CC197" s="3">
        <f t="shared" si="126"/>
        <v>11.7</v>
      </c>
      <c r="CD197" s="3">
        <f t="shared" si="127"/>
        <v>10.7</v>
      </c>
      <c r="CE197" s="3">
        <f t="shared" si="128"/>
        <v>9.1</v>
      </c>
      <c r="CF197" s="23">
        <f t="shared" si="129"/>
        <v>87.9</v>
      </c>
      <c r="CG197" s="1">
        <f t="shared" si="130"/>
        <v>13.8</v>
      </c>
      <c r="CH197" s="1">
        <f t="shared" si="131"/>
        <v>15</v>
      </c>
      <c r="CI197" s="1">
        <f t="shared" si="132"/>
        <v>16.2</v>
      </c>
      <c r="CJ197" s="1">
        <f t="shared" si="133"/>
        <v>16.3</v>
      </c>
      <c r="CK197" s="1">
        <f t="shared" si="134"/>
        <v>13.4</v>
      </c>
      <c r="CL197" s="1">
        <f t="shared" si="135"/>
        <v>11</v>
      </c>
      <c r="CM197" s="1">
        <f t="shared" si="136"/>
        <v>9.3000000000000007</v>
      </c>
      <c r="CN197" s="2">
        <f t="shared" si="137"/>
        <v>98.6</v>
      </c>
      <c r="CO197" s="1">
        <f t="shared" si="138"/>
        <v>5.4</v>
      </c>
      <c r="CP197" s="1">
        <f t="shared" si="139"/>
        <v>5.0999999999999996</v>
      </c>
      <c r="CQ197" s="1">
        <f t="shared" si="140"/>
        <v>4.8</v>
      </c>
      <c r="CR197" s="1">
        <f t="shared" si="141"/>
        <v>5.3</v>
      </c>
      <c r="CS197" s="1">
        <f t="shared" si="142"/>
        <v>10.6</v>
      </c>
      <c r="CT197" s="1">
        <f t="shared" si="143"/>
        <v>10.5</v>
      </c>
      <c r="CU197" s="1">
        <f t="shared" si="144"/>
        <v>9</v>
      </c>
      <c r="CV197" s="2">
        <f t="shared" si="145"/>
        <v>52.2</v>
      </c>
      <c r="CW197" s="18">
        <f t="shared" si="146"/>
        <v>0</v>
      </c>
      <c r="CX197" s="1">
        <f>ROUND(PPTest!K197,1)</f>
        <v>5</v>
      </c>
      <c r="CY197" s="17">
        <f t="shared" si="147"/>
        <v>1.56</v>
      </c>
      <c r="CZ197" s="17">
        <f t="shared" si="148"/>
        <v>4.07</v>
      </c>
      <c r="DA197" s="20">
        <f t="shared" si="149"/>
        <v>0.82099999999999995</v>
      </c>
      <c r="DB197" s="20">
        <f t="shared" si="150"/>
        <v>0.752</v>
      </c>
      <c r="DC197" s="16">
        <f t="shared" si="151"/>
        <v>11.88</v>
      </c>
      <c r="DF197" s="1">
        <v>12.5</v>
      </c>
      <c r="DG197" s="1">
        <v>16.8</v>
      </c>
      <c r="DH197" s="1">
        <v>9.4</v>
      </c>
      <c r="DI197" s="1">
        <v>81.5</v>
      </c>
      <c r="DJ197" s="1">
        <v>65</v>
      </c>
      <c r="DW197" s="1">
        <v>10.3</v>
      </c>
      <c r="DX197" s="1">
        <v>15.3</v>
      </c>
      <c r="DY197" s="1">
        <v>3.6</v>
      </c>
    </row>
    <row r="198" spans="1:129" x14ac:dyDescent="0.2">
      <c r="A198" s="40">
        <v>34891</v>
      </c>
      <c r="B198" s="3">
        <v>192</v>
      </c>
      <c r="C198" s="3">
        <v>22.43</v>
      </c>
      <c r="D198" s="3">
        <v>41.89</v>
      </c>
      <c r="E198" s="3">
        <v>8.85</v>
      </c>
      <c r="F198" s="3">
        <v>77.3</v>
      </c>
      <c r="G198" s="3">
        <v>8.75</v>
      </c>
      <c r="H198" s="3">
        <v>8.7100000000000009</v>
      </c>
      <c r="I198" s="3">
        <v>10.19</v>
      </c>
      <c r="J198" s="3">
        <v>9.64</v>
      </c>
      <c r="K198" s="3">
        <v>9.91</v>
      </c>
      <c r="L198" s="3">
        <v>11.2</v>
      </c>
      <c r="M198" s="3">
        <v>10.34</v>
      </c>
      <c r="N198" s="3">
        <v>9.18</v>
      </c>
      <c r="O198" s="3">
        <v>0</v>
      </c>
      <c r="P198" s="16">
        <v>1.9741666666666668</v>
      </c>
      <c r="Q198" s="3">
        <v>0</v>
      </c>
      <c r="R198" s="3">
        <v>14.61</v>
      </c>
      <c r="S198" s="3">
        <v>1539</v>
      </c>
      <c r="T198" s="3">
        <v>104.3</v>
      </c>
      <c r="U198" s="3">
        <v>412</v>
      </c>
      <c r="V198" s="3">
        <v>15.61</v>
      </c>
      <c r="W198" s="3">
        <v>17.170000000000002</v>
      </c>
      <c r="X198" s="3">
        <v>20.76</v>
      </c>
      <c r="Y198" s="3">
        <v>19.36</v>
      </c>
      <c r="Z198" s="3">
        <v>18.87</v>
      </c>
      <c r="AA198" s="3">
        <v>14.01</v>
      </c>
      <c r="AB198" s="3">
        <v>10.61</v>
      </c>
      <c r="AC198" s="3">
        <v>9.4700000000000006</v>
      </c>
      <c r="AD198" s="16">
        <v>5.9541666666666666</v>
      </c>
      <c r="AE198" s="3">
        <v>1218</v>
      </c>
      <c r="AF198" s="3">
        <v>-7.32</v>
      </c>
      <c r="AG198" s="3">
        <v>939</v>
      </c>
      <c r="AH198" s="3">
        <v>38.130000000000003</v>
      </c>
      <c r="AI198" s="3">
        <v>1455</v>
      </c>
      <c r="AJ198" s="3">
        <v>2.077</v>
      </c>
      <c r="AK198" s="3">
        <v>1.296</v>
      </c>
      <c r="AL198" s="3">
        <v>1.546</v>
      </c>
      <c r="AM198" s="3">
        <v>1.2609999999999999</v>
      </c>
      <c r="AN198" s="3">
        <v>1.4910000000000001</v>
      </c>
      <c r="AO198" s="3">
        <v>8.9499999999999993</v>
      </c>
      <c r="AP198" s="3">
        <v>10.11</v>
      </c>
      <c r="AQ198" s="3">
        <v>8.9499999999999993</v>
      </c>
      <c r="AR198" s="3">
        <v>3.5999999999999997E-2</v>
      </c>
      <c r="AS198" s="3">
        <v>0.28799999999999998</v>
      </c>
      <c r="AT198" s="3">
        <v>0.14000000000000001</v>
      </c>
      <c r="AU198" s="3">
        <v>1.9E-2</v>
      </c>
      <c r="AV198" s="3">
        <v>0.09</v>
      </c>
      <c r="AW198" s="3">
        <v>0.251</v>
      </c>
      <c r="AX198" s="3">
        <v>0.13800000000000001</v>
      </c>
      <c r="AY198" s="3">
        <v>3.5999999999999997E-2</v>
      </c>
      <c r="AZ198" s="3">
        <v>9.5</v>
      </c>
      <c r="BA198" s="3"/>
      <c r="BB198" s="3">
        <v>11.9</v>
      </c>
      <c r="BC198" s="3">
        <v>2876</v>
      </c>
      <c r="BD198" s="3"/>
      <c r="BE198" s="3"/>
      <c r="BF198" s="3">
        <v>0</v>
      </c>
      <c r="BH198" s="16">
        <v>32.17</v>
      </c>
      <c r="BI198" s="16">
        <f t="shared" ref="BI198:BI218" si="152">BH198*$BI$1</f>
        <v>64.983400000000003</v>
      </c>
      <c r="BJ198" s="17">
        <f t="shared" si="112"/>
        <v>22.43</v>
      </c>
      <c r="BK198" s="17">
        <f t="shared" si="113"/>
        <v>45.24</v>
      </c>
      <c r="BM198" s="1">
        <f t="shared" si="114"/>
        <v>97.4</v>
      </c>
      <c r="BN198" s="1">
        <f t="shared" si="115"/>
        <v>72.400000000000006</v>
      </c>
      <c r="BO198" s="1">
        <f t="shared" si="116"/>
        <v>36.200000000000003</v>
      </c>
      <c r="BP198" s="62">
        <f t="shared" si="119"/>
        <v>0.60199999999999998</v>
      </c>
      <c r="BQ198" s="62">
        <f t="shared" si="117"/>
        <v>1.0609999999999999</v>
      </c>
      <c r="BS198" s="1">
        <v>0.3</v>
      </c>
      <c r="BT198" s="8"/>
      <c r="BV198" s="8"/>
      <c r="BW198" s="16">
        <f t="shared" si="120"/>
        <v>22.43</v>
      </c>
      <c r="BX198" s="16">
        <f t="shared" si="121"/>
        <v>45.24</v>
      </c>
      <c r="BY198" s="3">
        <f t="shared" si="122"/>
        <v>8.9</v>
      </c>
      <c r="BZ198" s="3">
        <f t="shared" si="123"/>
        <v>8.8000000000000007</v>
      </c>
      <c r="CA198" s="3">
        <f t="shared" si="124"/>
        <v>8.6999999999999993</v>
      </c>
      <c r="CB198" s="3">
        <f t="shared" si="125"/>
        <v>10.199999999999999</v>
      </c>
      <c r="CC198" s="3">
        <f t="shared" si="126"/>
        <v>11.2</v>
      </c>
      <c r="CD198" s="3">
        <f t="shared" si="127"/>
        <v>10.3</v>
      </c>
      <c r="CE198" s="3">
        <f t="shared" si="128"/>
        <v>9.1999999999999993</v>
      </c>
      <c r="CF198" s="23">
        <f t="shared" si="129"/>
        <v>72.400000000000006</v>
      </c>
      <c r="CG198" s="1">
        <f t="shared" si="130"/>
        <v>14.6</v>
      </c>
      <c r="CH198" s="1">
        <f t="shared" si="131"/>
        <v>15.6</v>
      </c>
      <c r="CI198" s="1">
        <f t="shared" si="132"/>
        <v>17.2</v>
      </c>
      <c r="CJ198" s="1">
        <f t="shared" si="133"/>
        <v>20.8</v>
      </c>
      <c r="CK198" s="1">
        <f t="shared" si="134"/>
        <v>14</v>
      </c>
      <c r="CL198" s="1">
        <f t="shared" si="135"/>
        <v>10.6</v>
      </c>
      <c r="CM198" s="1">
        <f t="shared" si="136"/>
        <v>9.5</v>
      </c>
      <c r="CN198" s="2">
        <f t="shared" si="137"/>
        <v>97.4</v>
      </c>
      <c r="CO198" s="1">
        <f t="shared" si="138"/>
        <v>-7.3</v>
      </c>
      <c r="CP198" s="1">
        <f t="shared" si="139"/>
        <v>2.1</v>
      </c>
      <c r="CQ198" s="1">
        <f t="shared" si="140"/>
        <v>1.3</v>
      </c>
      <c r="CR198" s="1">
        <f t="shared" si="141"/>
        <v>1.5</v>
      </c>
      <c r="CS198" s="1">
        <f t="shared" si="142"/>
        <v>9</v>
      </c>
      <c r="CT198" s="1">
        <f t="shared" si="143"/>
        <v>10.1</v>
      </c>
      <c r="CU198" s="1">
        <f t="shared" si="144"/>
        <v>9</v>
      </c>
      <c r="CV198" s="2">
        <f t="shared" si="145"/>
        <v>36.200000000000003</v>
      </c>
      <c r="CW198" s="18">
        <f t="shared" si="146"/>
        <v>0</v>
      </c>
      <c r="CX198" s="1">
        <f>ROUND(PPTest!K198,1)</f>
        <v>0</v>
      </c>
      <c r="CY198" s="17">
        <f t="shared" si="147"/>
        <v>1.97</v>
      </c>
      <c r="CZ198" s="17">
        <f t="shared" si="148"/>
        <v>5.95</v>
      </c>
      <c r="DA198" s="20">
        <f t="shared" si="149"/>
        <v>0.60199999999999998</v>
      </c>
      <c r="DB198" s="20">
        <f t="shared" si="150"/>
        <v>1.0609999999999999</v>
      </c>
      <c r="DC198" s="16">
        <f t="shared" si="151"/>
        <v>11.9</v>
      </c>
      <c r="DF198" s="1">
        <v>12.5</v>
      </c>
      <c r="DG198" s="1">
        <v>17</v>
      </c>
      <c r="DH198" s="1">
        <v>8.5</v>
      </c>
      <c r="DI198" s="1">
        <v>66.099999999999994</v>
      </c>
      <c r="DJ198" s="1">
        <v>47</v>
      </c>
      <c r="DW198" s="1">
        <v>8.3000000000000007</v>
      </c>
      <c r="DX198" s="1">
        <v>14.2</v>
      </c>
      <c r="DY198" s="1">
        <v>0.8</v>
      </c>
    </row>
    <row r="199" spans="1:129" x14ac:dyDescent="0.2">
      <c r="A199" s="40">
        <v>34892</v>
      </c>
      <c r="B199" s="3">
        <v>193</v>
      </c>
      <c r="C199" s="3">
        <v>28.5</v>
      </c>
      <c r="D199" s="3">
        <v>53.04</v>
      </c>
      <c r="E199" s="3">
        <v>8.99</v>
      </c>
      <c r="F199" s="3">
        <v>71.5</v>
      </c>
      <c r="G199" s="3">
        <v>8.9</v>
      </c>
      <c r="H199" s="3">
        <v>8.7200000000000006</v>
      </c>
      <c r="I199" s="3">
        <v>10.55</v>
      </c>
      <c r="J199" s="3">
        <v>10.19</v>
      </c>
      <c r="K199" s="3">
        <v>10.51</v>
      </c>
      <c r="L199" s="3">
        <v>10.84</v>
      </c>
      <c r="M199" s="3">
        <v>10.119999999999999</v>
      </c>
      <c r="N199" s="3">
        <v>9.27</v>
      </c>
      <c r="O199" s="3">
        <v>1E-3</v>
      </c>
      <c r="P199" s="16">
        <v>1.9258333333333335</v>
      </c>
      <c r="Q199" s="3">
        <v>0</v>
      </c>
      <c r="R199" s="3">
        <v>16.43</v>
      </c>
      <c r="S199" s="3">
        <v>1746</v>
      </c>
      <c r="T199" s="3">
        <v>103.2</v>
      </c>
      <c r="U199" s="3">
        <v>327</v>
      </c>
      <c r="V199" s="3">
        <v>17.82</v>
      </c>
      <c r="W199" s="3">
        <v>19.91</v>
      </c>
      <c r="X199" s="3">
        <v>27.83</v>
      </c>
      <c r="Y199" s="3">
        <v>21.5</v>
      </c>
      <c r="Z199" s="3">
        <v>21.75</v>
      </c>
      <c r="AA199" s="3">
        <v>14.56</v>
      </c>
      <c r="AB199" s="3">
        <v>10.48</v>
      </c>
      <c r="AC199" s="3">
        <v>9.56</v>
      </c>
      <c r="AD199" s="16">
        <v>4.980833333333333</v>
      </c>
      <c r="AE199" s="3">
        <v>1128</v>
      </c>
      <c r="AF199" s="3">
        <v>-0.26500000000000001</v>
      </c>
      <c r="AG199" s="3">
        <v>426</v>
      </c>
      <c r="AH199" s="3">
        <v>32.03</v>
      </c>
      <c r="AI199" s="3">
        <v>1616</v>
      </c>
      <c r="AJ199" s="3">
        <v>-0.76500000000000001</v>
      </c>
      <c r="AK199" s="3">
        <v>-1.2130000000000001</v>
      </c>
      <c r="AL199" s="3">
        <v>-0.56899999999999995</v>
      </c>
      <c r="AM199" s="3">
        <v>-0.76800000000000002</v>
      </c>
      <c r="AN199" s="3">
        <v>-0.92700000000000005</v>
      </c>
      <c r="AO199" s="3">
        <v>7.61</v>
      </c>
      <c r="AP199" s="3">
        <v>9.77</v>
      </c>
      <c r="AQ199" s="3">
        <v>8.9700000000000006</v>
      </c>
      <c r="AR199" s="3">
        <v>6.3E-2</v>
      </c>
      <c r="AS199" s="3">
        <v>0.32500000000000001</v>
      </c>
      <c r="AT199" s="3">
        <v>0.20799999999999999</v>
      </c>
      <c r="AU199" s="3">
        <v>3.1E-2</v>
      </c>
      <c r="AV199" s="3">
        <v>9.9000000000000005E-2</v>
      </c>
      <c r="AW199" s="3">
        <v>0.151</v>
      </c>
      <c r="AX199" s="3">
        <v>6.5000000000000002E-2</v>
      </c>
      <c r="AY199" s="3">
        <v>5.6000000000000001E-2</v>
      </c>
      <c r="AZ199" s="3">
        <v>9.73</v>
      </c>
      <c r="BA199" s="3"/>
      <c r="BB199" s="3">
        <v>11.9</v>
      </c>
      <c r="BC199" s="3">
        <v>2876</v>
      </c>
      <c r="BD199" s="3"/>
      <c r="BE199" s="3"/>
      <c r="BF199" s="3">
        <v>0</v>
      </c>
      <c r="BH199" s="16">
        <v>32.08</v>
      </c>
      <c r="BI199" s="16">
        <f t="shared" si="152"/>
        <v>64.801599999999993</v>
      </c>
      <c r="BJ199" s="17">
        <f t="shared" ref="BJ199:BJ262" si="153">ROUND(C199*BJ$2,2)</f>
        <v>28.5</v>
      </c>
      <c r="BK199" s="17">
        <f t="shared" ref="BK199:BK262" si="154">ROUND(D199*BK$2,2)</f>
        <v>57.28</v>
      </c>
      <c r="BM199" s="1">
        <f t="shared" ref="BM199:BM262" si="155">ROUND(T199*BM$3+BM$4,1)</f>
        <v>96.4</v>
      </c>
      <c r="BN199" s="1">
        <f t="shared" ref="BN199:BN262" si="156">ROUND(F199*BM$3+BM$4,1)</f>
        <v>67.099999999999994</v>
      </c>
      <c r="BO199" s="1">
        <f t="shared" ref="BO199:BO262" si="157">ROUND(AH199*BM$3+BM$4,1)</f>
        <v>30.6</v>
      </c>
      <c r="BP199" s="62">
        <f t="shared" si="119"/>
        <v>0.57199999999999995</v>
      </c>
      <c r="BQ199" s="62">
        <f t="shared" ref="BQ199:BQ262" si="158">ROUND((100-BO199)*BP199/BO199,3)</f>
        <v>1.2969999999999999</v>
      </c>
      <c r="BS199" s="1">
        <v>0</v>
      </c>
      <c r="BT199" s="8"/>
      <c r="BV199" s="8"/>
      <c r="BW199" s="16">
        <f t="shared" si="120"/>
        <v>28.5</v>
      </c>
      <c r="BX199" s="16">
        <f t="shared" si="121"/>
        <v>57.28</v>
      </c>
      <c r="BY199" s="3">
        <f t="shared" si="122"/>
        <v>9</v>
      </c>
      <c r="BZ199" s="3">
        <f t="shared" si="123"/>
        <v>8.9</v>
      </c>
      <c r="CA199" s="3">
        <f t="shared" si="124"/>
        <v>8.6999999999999993</v>
      </c>
      <c r="CB199" s="3">
        <f t="shared" si="125"/>
        <v>10.6</v>
      </c>
      <c r="CC199" s="3">
        <f t="shared" si="126"/>
        <v>10.8</v>
      </c>
      <c r="CD199" s="3">
        <f t="shared" si="127"/>
        <v>10.1</v>
      </c>
      <c r="CE199" s="3">
        <f t="shared" si="128"/>
        <v>9.3000000000000007</v>
      </c>
      <c r="CF199" s="23">
        <f t="shared" si="129"/>
        <v>67.099999999999994</v>
      </c>
      <c r="CG199" s="1">
        <f t="shared" si="130"/>
        <v>16.399999999999999</v>
      </c>
      <c r="CH199" s="1">
        <f t="shared" si="131"/>
        <v>17.8</v>
      </c>
      <c r="CI199" s="1">
        <f t="shared" si="132"/>
        <v>19.899999999999999</v>
      </c>
      <c r="CJ199" s="1">
        <f t="shared" si="133"/>
        <v>27.8</v>
      </c>
      <c r="CK199" s="1">
        <f t="shared" si="134"/>
        <v>14.6</v>
      </c>
      <c r="CL199" s="1">
        <f t="shared" si="135"/>
        <v>10.5</v>
      </c>
      <c r="CM199" s="1">
        <f t="shared" si="136"/>
        <v>9.6</v>
      </c>
      <c r="CN199" s="2">
        <f t="shared" si="137"/>
        <v>96.4</v>
      </c>
      <c r="CO199" s="1">
        <f t="shared" si="138"/>
        <v>-0.3</v>
      </c>
      <c r="CP199" s="1">
        <f t="shared" si="139"/>
        <v>-0.8</v>
      </c>
      <c r="CQ199" s="1">
        <f t="shared" si="140"/>
        <v>-1.2</v>
      </c>
      <c r="CR199" s="1">
        <f t="shared" si="141"/>
        <v>-0.6</v>
      </c>
      <c r="CS199" s="1">
        <f t="shared" si="142"/>
        <v>7.6</v>
      </c>
      <c r="CT199" s="1">
        <f t="shared" si="143"/>
        <v>9.8000000000000007</v>
      </c>
      <c r="CU199" s="1">
        <f t="shared" si="144"/>
        <v>9</v>
      </c>
      <c r="CV199" s="2">
        <f t="shared" si="145"/>
        <v>30.6</v>
      </c>
      <c r="CW199" s="18">
        <f t="shared" si="146"/>
        <v>0</v>
      </c>
      <c r="CX199" s="1">
        <f>ROUND(PPTest!K199,1)</f>
        <v>0</v>
      </c>
      <c r="CY199" s="17">
        <f t="shared" si="147"/>
        <v>1.93</v>
      </c>
      <c r="CZ199" s="17">
        <f t="shared" si="148"/>
        <v>4.9800000000000004</v>
      </c>
      <c r="DA199" s="20">
        <f t="shared" si="149"/>
        <v>0.57199999999999995</v>
      </c>
      <c r="DB199" s="20">
        <f t="shared" si="150"/>
        <v>1.2969999999999999</v>
      </c>
      <c r="DC199" s="16">
        <f t="shared" si="151"/>
        <v>11.9</v>
      </c>
      <c r="DF199" s="1">
        <v>13.6</v>
      </c>
      <c r="DG199" s="1">
        <v>18.600000000000001</v>
      </c>
      <c r="DH199" s="1">
        <v>7.5</v>
      </c>
      <c r="DI199" s="1">
        <v>62.7</v>
      </c>
      <c r="DJ199" s="1">
        <v>45</v>
      </c>
      <c r="DW199" s="1">
        <v>9.9</v>
      </c>
      <c r="DX199" s="1">
        <v>17.899999999999999</v>
      </c>
      <c r="DY199" s="1">
        <v>0.3</v>
      </c>
    </row>
    <row r="200" spans="1:129" x14ac:dyDescent="0.2">
      <c r="A200" s="40">
        <v>34893</v>
      </c>
      <c r="B200" s="3">
        <v>194</v>
      </c>
      <c r="C200" s="3">
        <v>24.24</v>
      </c>
      <c r="D200" s="3">
        <v>45.34</v>
      </c>
      <c r="E200" s="3">
        <v>11.33</v>
      </c>
      <c r="F200" s="3">
        <v>66.239999999999995</v>
      </c>
      <c r="G200" s="3">
        <v>11.19</v>
      </c>
      <c r="H200" s="3">
        <v>11.16</v>
      </c>
      <c r="I200" s="3">
        <v>12.39</v>
      </c>
      <c r="J200" s="3">
        <v>12.25</v>
      </c>
      <c r="K200" s="3">
        <v>12.34</v>
      </c>
      <c r="L200" s="3">
        <v>10.96</v>
      </c>
      <c r="M200" s="3">
        <v>10.17</v>
      </c>
      <c r="N200" s="3">
        <v>9.35</v>
      </c>
      <c r="O200" s="3">
        <v>0</v>
      </c>
      <c r="P200" s="16">
        <v>2.0758333333333336</v>
      </c>
      <c r="Q200" s="3">
        <v>0</v>
      </c>
      <c r="R200" s="3">
        <v>17.86</v>
      </c>
      <c r="S200" s="3">
        <v>1535</v>
      </c>
      <c r="T200" s="3">
        <v>102</v>
      </c>
      <c r="U200" s="3">
        <v>436</v>
      </c>
      <c r="V200" s="3">
        <v>19.350000000000001</v>
      </c>
      <c r="W200" s="3">
        <v>21.23</v>
      </c>
      <c r="X200" s="3">
        <v>26.48</v>
      </c>
      <c r="Y200" s="3">
        <v>21.76</v>
      </c>
      <c r="Z200" s="3">
        <v>21.87</v>
      </c>
      <c r="AA200" s="3">
        <v>13.79</v>
      </c>
      <c r="AB200" s="3">
        <v>10.54</v>
      </c>
      <c r="AC200" s="3">
        <v>9.51</v>
      </c>
      <c r="AD200" s="16">
        <v>5.9941666666666658</v>
      </c>
      <c r="AE200" s="3">
        <v>1421</v>
      </c>
      <c r="AF200" s="3">
        <v>1.627</v>
      </c>
      <c r="AG200" s="3">
        <v>434</v>
      </c>
      <c r="AH200" s="3">
        <v>37.700000000000003</v>
      </c>
      <c r="AI200" s="3">
        <v>1421</v>
      </c>
      <c r="AJ200" s="3">
        <v>0.996</v>
      </c>
      <c r="AK200" s="3">
        <v>0.52200000000000002</v>
      </c>
      <c r="AL200" s="3">
        <v>1.105</v>
      </c>
      <c r="AM200" s="3">
        <v>0.60799999999999998</v>
      </c>
      <c r="AN200" s="3">
        <v>0.71799999999999997</v>
      </c>
      <c r="AO200" s="3">
        <v>8.06</v>
      </c>
      <c r="AP200" s="3">
        <v>9.82</v>
      </c>
      <c r="AQ200" s="3">
        <v>9.09</v>
      </c>
      <c r="AR200" s="3">
        <v>1.2E-2</v>
      </c>
      <c r="AS200" s="3">
        <v>0.17199999999999999</v>
      </c>
      <c r="AT200" s="3">
        <v>0.16500000000000001</v>
      </c>
      <c r="AU200" s="3">
        <v>3.5999999999999997E-2</v>
      </c>
      <c r="AV200" s="3">
        <v>0.13400000000000001</v>
      </c>
      <c r="AW200" s="3">
        <v>0.33300000000000002</v>
      </c>
      <c r="AX200" s="3">
        <v>0.114</v>
      </c>
      <c r="AY200" s="3">
        <v>3.3000000000000002E-2</v>
      </c>
      <c r="AZ200" s="3">
        <v>11.5</v>
      </c>
      <c r="BA200" s="3"/>
      <c r="BB200" s="3">
        <v>11.9</v>
      </c>
      <c r="BC200" s="3">
        <v>2876</v>
      </c>
      <c r="BD200" s="3"/>
      <c r="BE200" s="3"/>
      <c r="BF200" s="3">
        <v>0</v>
      </c>
      <c r="BH200" s="16">
        <v>31.97</v>
      </c>
      <c r="BI200" s="16">
        <f t="shared" si="152"/>
        <v>64.579399999999993</v>
      </c>
      <c r="BJ200" s="17">
        <f t="shared" si="153"/>
        <v>24.24</v>
      </c>
      <c r="BK200" s="17">
        <f t="shared" si="154"/>
        <v>48.97</v>
      </c>
      <c r="BM200" s="1">
        <f t="shared" si="155"/>
        <v>95.2</v>
      </c>
      <c r="BN200" s="1">
        <f t="shared" si="156"/>
        <v>62.2</v>
      </c>
      <c r="BO200" s="1">
        <f t="shared" si="157"/>
        <v>35.799999999999997</v>
      </c>
      <c r="BP200" s="62">
        <f t="shared" ref="BP200:BP263" si="159">ROUND(0.6105*(EXP((17.273*R200)/(R200+237.3)))*BO200/100, 3)</f>
        <v>0.73199999999999998</v>
      </c>
      <c r="BQ200" s="62">
        <f t="shared" si="158"/>
        <v>1.3129999999999999</v>
      </c>
      <c r="BS200" s="1">
        <v>0</v>
      </c>
      <c r="BT200" s="8"/>
      <c r="BV200" s="8"/>
      <c r="BW200" s="16">
        <f t="shared" si="120"/>
        <v>24.24</v>
      </c>
      <c r="BX200" s="16">
        <f t="shared" si="121"/>
        <v>48.97</v>
      </c>
      <c r="BY200" s="3">
        <f t="shared" si="122"/>
        <v>11.3</v>
      </c>
      <c r="BZ200" s="3">
        <f t="shared" si="123"/>
        <v>11.2</v>
      </c>
      <c r="CA200" s="3">
        <f t="shared" si="124"/>
        <v>11.2</v>
      </c>
      <c r="CB200" s="3">
        <f t="shared" si="125"/>
        <v>12.4</v>
      </c>
      <c r="CC200" s="3">
        <f t="shared" si="126"/>
        <v>11</v>
      </c>
      <c r="CD200" s="3">
        <f t="shared" si="127"/>
        <v>10.199999999999999</v>
      </c>
      <c r="CE200" s="3">
        <f t="shared" si="128"/>
        <v>9.4</v>
      </c>
      <c r="CF200" s="23">
        <f t="shared" si="129"/>
        <v>62.2</v>
      </c>
      <c r="CG200" s="1">
        <f t="shared" si="130"/>
        <v>17.899999999999999</v>
      </c>
      <c r="CH200" s="1">
        <f t="shared" si="131"/>
        <v>19.399999999999999</v>
      </c>
      <c r="CI200" s="1">
        <f t="shared" si="132"/>
        <v>21.2</v>
      </c>
      <c r="CJ200" s="1">
        <f t="shared" si="133"/>
        <v>26.5</v>
      </c>
      <c r="CK200" s="1">
        <f t="shared" si="134"/>
        <v>13.8</v>
      </c>
      <c r="CL200" s="1">
        <f t="shared" si="135"/>
        <v>10.5</v>
      </c>
      <c r="CM200" s="1">
        <f t="shared" si="136"/>
        <v>9.5</v>
      </c>
      <c r="CN200" s="2">
        <f t="shared" si="137"/>
        <v>95.2</v>
      </c>
      <c r="CO200" s="1">
        <f t="shared" si="138"/>
        <v>1.6</v>
      </c>
      <c r="CP200" s="1">
        <f t="shared" si="139"/>
        <v>1</v>
      </c>
      <c r="CQ200" s="1">
        <f t="shared" si="140"/>
        <v>0.5</v>
      </c>
      <c r="CR200" s="1">
        <f t="shared" si="141"/>
        <v>1.1000000000000001</v>
      </c>
      <c r="CS200" s="1">
        <f t="shared" si="142"/>
        <v>8.1</v>
      </c>
      <c r="CT200" s="1">
        <f t="shared" si="143"/>
        <v>9.8000000000000007</v>
      </c>
      <c r="CU200" s="1">
        <f t="shared" si="144"/>
        <v>9.1</v>
      </c>
      <c r="CV200" s="2">
        <f t="shared" si="145"/>
        <v>35.799999999999997</v>
      </c>
      <c r="CW200" s="18">
        <f t="shared" si="146"/>
        <v>0</v>
      </c>
      <c r="CX200" s="1">
        <f>ROUND(PPTest!K200,1)</f>
        <v>0</v>
      </c>
      <c r="CY200" s="17">
        <f t="shared" si="147"/>
        <v>2.08</v>
      </c>
      <c r="CZ200" s="17">
        <f t="shared" si="148"/>
        <v>5.99</v>
      </c>
      <c r="DA200" s="20">
        <f t="shared" si="149"/>
        <v>0.73199999999999998</v>
      </c>
      <c r="DB200" s="20">
        <f t="shared" si="150"/>
        <v>1.3129999999999999</v>
      </c>
      <c r="DC200" s="16">
        <f t="shared" si="151"/>
        <v>11.9</v>
      </c>
      <c r="DF200" s="1">
        <v>15</v>
      </c>
      <c r="DG200" s="1">
        <v>20.3</v>
      </c>
      <c r="DH200" s="1">
        <v>10.4</v>
      </c>
      <c r="DI200" s="1">
        <v>58.4</v>
      </c>
      <c r="DJ200" s="1">
        <v>49</v>
      </c>
      <c r="DW200" s="1">
        <v>11.4</v>
      </c>
      <c r="DX200" s="1">
        <v>18.399999999999999</v>
      </c>
      <c r="DY200" s="1">
        <v>2.4</v>
      </c>
    </row>
    <row r="201" spans="1:129" x14ac:dyDescent="0.2">
      <c r="A201" s="40">
        <v>34894</v>
      </c>
      <c r="B201" s="3">
        <v>195</v>
      </c>
      <c r="C201" s="3">
        <v>28.35</v>
      </c>
      <c r="D201" s="3">
        <v>53.42</v>
      </c>
      <c r="E201" s="3">
        <v>11.23</v>
      </c>
      <c r="F201" s="3">
        <v>69.81</v>
      </c>
      <c r="G201" s="3">
        <v>11.16</v>
      </c>
      <c r="H201" s="3">
        <v>11.1</v>
      </c>
      <c r="I201" s="3">
        <v>12.99</v>
      </c>
      <c r="J201" s="3">
        <v>12.38</v>
      </c>
      <c r="K201" s="3">
        <v>12.49</v>
      </c>
      <c r="L201" s="3">
        <v>11.8</v>
      </c>
      <c r="M201" s="3">
        <v>10.37</v>
      </c>
      <c r="N201" s="3">
        <v>9.3800000000000008</v>
      </c>
      <c r="O201" s="3">
        <v>1E-3</v>
      </c>
      <c r="P201" s="16">
        <v>1.9058333333333335</v>
      </c>
      <c r="Q201" s="3">
        <v>0</v>
      </c>
      <c r="R201" s="3">
        <v>16.649999999999999</v>
      </c>
      <c r="S201" s="3">
        <v>1353</v>
      </c>
      <c r="T201" s="3">
        <v>97.3</v>
      </c>
      <c r="U201" s="3">
        <v>503</v>
      </c>
      <c r="V201" s="3">
        <v>17.899999999999999</v>
      </c>
      <c r="W201" s="3">
        <v>20.59</v>
      </c>
      <c r="X201" s="3">
        <v>27.42</v>
      </c>
      <c r="Y201" s="3">
        <v>22.14</v>
      </c>
      <c r="Z201" s="3">
        <v>20.440000000000001</v>
      </c>
      <c r="AA201" s="3">
        <v>15</v>
      </c>
      <c r="AB201" s="3">
        <v>10.81</v>
      </c>
      <c r="AC201" s="3">
        <v>9.51</v>
      </c>
      <c r="AD201" s="16">
        <v>5.3008333333333333</v>
      </c>
      <c r="AE201" s="3">
        <v>1409</v>
      </c>
      <c r="AF201" s="3">
        <v>4.8949999999999996</v>
      </c>
      <c r="AG201" s="3">
        <v>501</v>
      </c>
      <c r="AH201" s="3">
        <v>37.5</v>
      </c>
      <c r="AI201" s="3">
        <v>1419</v>
      </c>
      <c r="AJ201" s="3">
        <v>4.0350000000000001</v>
      </c>
      <c r="AK201" s="3">
        <v>3.4510000000000001</v>
      </c>
      <c r="AL201" s="3">
        <v>3.26</v>
      </c>
      <c r="AM201" s="3">
        <v>3.5979999999999999</v>
      </c>
      <c r="AN201" s="3">
        <v>3.8439999999999999</v>
      </c>
      <c r="AO201" s="3">
        <v>9.17</v>
      </c>
      <c r="AP201" s="3">
        <v>10.06</v>
      </c>
      <c r="AQ201" s="3">
        <v>9.17</v>
      </c>
      <c r="AR201" s="3">
        <v>3.6999999999999998E-2</v>
      </c>
      <c r="AS201" s="3">
        <v>0.23799999999999999</v>
      </c>
      <c r="AT201" s="3">
        <v>0.16700000000000001</v>
      </c>
      <c r="AU201" s="3">
        <v>1.0999999999999999E-2</v>
      </c>
      <c r="AV201" s="3">
        <v>0.11899999999999999</v>
      </c>
      <c r="AW201" s="3">
        <v>0.24199999999999999</v>
      </c>
      <c r="AX201" s="3">
        <v>0.124</v>
      </c>
      <c r="AY201" s="3">
        <v>6.0999999999999999E-2</v>
      </c>
      <c r="AZ201" s="3">
        <v>12.2</v>
      </c>
      <c r="BA201" s="3"/>
      <c r="BB201" s="3">
        <v>11.9</v>
      </c>
      <c r="BC201" s="3">
        <v>2876</v>
      </c>
      <c r="BD201" s="3"/>
      <c r="BE201" s="3"/>
      <c r="BF201" s="3">
        <v>0</v>
      </c>
      <c r="BH201" s="16">
        <v>31.87</v>
      </c>
      <c r="BI201" s="16">
        <f t="shared" si="152"/>
        <v>64.377400000000009</v>
      </c>
      <c r="BJ201" s="17">
        <f t="shared" si="153"/>
        <v>28.35</v>
      </c>
      <c r="BK201" s="17">
        <f t="shared" si="154"/>
        <v>57.69</v>
      </c>
      <c r="BM201" s="1">
        <f t="shared" si="155"/>
        <v>90.9</v>
      </c>
      <c r="BN201" s="1">
        <f t="shared" si="156"/>
        <v>65.5</v>
      </c>
      <c r="BO201" s="1">
        <f t="shared" si="157"/>
        <v>35.700000000000003</v>
      </c>
      <c r="BP201" s="62">
        <f t="shared" si="159"/>
        <v>0.67600000000000005</v>
      </c>
      <c r="BQ201" s="62">
        <f t="shared" si="158"/>
        <v>1.218</v>
      </c>
      <c r="BS201" s="1">
        <v>0</v>
      </c>
      <c r="BT201" s="8"/>
      <c r="BV201" s="8"/>
      <c r="BW201" s="16">
        <f t="shared" si="120"/>
        <v>28.35</v>
      </c>
      <c r="BX201" s="16">
        <f t="shared" si="121"/>
        <v>57.69</v>
      </c>
      <c r="BY201" s="3">
        <f t="shared" si="122"/>
        <v>11.2</v>
      </c>
      <c r="BZ201" s="3">
        <f t="shared" si="123"/>
        <v>11.2</v>
      </c>
      <c r="CA201" s="3">
        <f t="shared" si="124"/>
        <v>11.1</v>
      </c>
      <c r="CB201" s="3">
        <f t="shared" si="125"/>
        <v>13</v>
      </c>
      <c r="CC201" s="3">
        <f t="shared" si="126"/>
        <v>11.8</v>
      </c>
      <c r="CD201" s="3">
        <f t="shared" si="127"/>
        <v>10.4</v>
      </c>
      <c r="CE201" s="3">
        <f t="shared" si="128"/>
        <v>9.4</v>
      </c>
      <c r="CF201" s="23">
        <f t="shared" si="129"/>
        <v>65.5</v>
      </c>
      <c r="CG201" s="1">
        <f t="shared" si="130"/>
        <v>16.7</v>
      </c>
      <c r="CH201" s="1">
        <f t="shared" si="131"/>
        <v>17.899999999999999</v>
      </c>
      <c r="CI201" s="1">
        <f t="shared" si="132"/>
        <v>20.6</v>
      </c>
      <c r="CJ201" s="1">
        <f t="shared" si="133"/>
        <v>27.4</v>
      </c>
      <c r="CK201" s="1">
        <f t="shared" si="134"/>
        <v>15</v>
      </c>
      <c r="CL201" s="1">
        <f t="shared" si="135"/>
        <v>10.8</v>
      </c>
      <c r="CM201" s="1">
        <f t="shared" si="136"/>
        <v>9.5</v>
      </c>
      <c r="CN201" s="2">
        <f t="shared" si="137"/>
        <v>90.9</v>
      </c>
      <c r="CO201" s="1">
        <f t="shared" si="138"/>
        <v>4.9000000000000004</v>
      </c>
      <c r="CP201" s="1">
        <f t="shared" si="139"/>
        <v>4</v>
      </c>
      <c r="CQ201" s="1">
        <f t="shared" si="140"/>
        <v>3.5</v>
      </c>
      <c r="CR201" s="1">
        <f t="shared" si="141"/>
        <v>3.3</v>
      </c>
      <c r="CS201" s="1">
        <f t="shared" si="142"/>
        <v>9.1999999999999993</v>
      </c>
      <c r="CT201" s="1">
        <f t="shared" si="143"/>
        <v>10.1</v>
      </c>
      <c r="CU201" s="1">
        <f t="shared" si="144"/>
        <v>9.1999999999999993</v>
      </c>
      <c r="CV201" s="2">
        <f t="shared" si="145"/>
        <v>35.700000000000003</v>
      </c>
      <c r="CW201" s="18">
        <f t="shared" si="146"/>
        <v>0</v>
      </c>
      <c r="CX201" s="1">
        <f>ROUND(PPTest!K201,1)</f>
        <v>0</v>
      </c>
      <c r="CY201" s="17">
        <f t="shared" si="147"/>
        <v>1.91</v>
      </c>
      <c r="CZ201" s="17">
        <f t="shared" si="148"/>
        <v>5.3</v>
      </c>
      <c r="DA201" s="20">
        <f t="shared" si="149"/>
        <v>0.67600000000000005</v>
      </c>
      <c r="DB201" s="20">
        <f t="shared" si="150"/>
        <v>1.218</v>
      </c>
      <c r="DC201" s="16">
        <f t="shared" si="151"/>
        <v>11.9</v>
      </c>
      <c r="DF201" s="1">
        <v>14.7</v>
      </c>
      <c r="DG201" s="1">
        <v>18.7</v>
      </c>
      <c r="DH201" s="1">
        <v>10.4</v>
      </c>
      <c r="DI201" s="1">
        <v>60.3</v>
      </c>
      <c r="DJ201" s="1">
        <v>51</v>
      </c>
      <c r="DW201" s="1">
        <v>11.4</v>
      </c>
      <c r="DX201" s="1">
        <v>17.899999999999999</v>
      </c>
      <c r="DY201" s="1">
        <v>4.4000000000000004</v>
      </c>
    </row>
    <row r="202" spans="1:129" x14ac:dyDescent="0.2">
      <c r="A202" s="40">
        <v>34895</v>
      </c>
      <c r="B202" s="3">
        <v>196</v>
      </c>
      <c r="C202" s="3">
        <v>29.78</v>
      </c>
      <c r="D202" s="3">
        <v>55.75</v>
      </c>
      <c r="E202" s="3">
        <v>11.2</v>
      </c>
      <c r="F202" s="3">
        <v>64.23</v>
      </c>
      <c r="G202" s="3">
        <v>11.03</v>
      </c>
      <c r="H202" s="3">
        <v>10.8</v>
      </c>
      <c r="I202" s="3">
        <v>11.87</v>
      </c>
      <c r="J202" s="3">
        <v>12.21</v>
      </c>
      <c r="K202" s="3">
        <v>12.44</v>
      </c>
      <c r="L202" s="3">
        <v>11.57</v>
      </c>
      <c r="M202" s="3">
        <v>10.45</v>
      </c>
      <c r="N202" s="3">
        <v>9.34</v>
      </c>
      <c r="O202" s="3">
        <v>1E-3</v>
      </c>
      <c r="P202" s="16">
        <v>2.0591666666666666</v>
      </c>
      <c r="Q202" s="3">
        <v>0</v>
      </c>
      <c r="R202" s="3">
        <v>18.510000000000002</v>
      </c>
      <c r="S202" s="3">
        <v>1822</v>
      </c>
      <c r="T202" s="3">
        <v>101.7</v>
      </c>
      <c r="U202" s="3">
        <v>425</v>
      </c>
      <c r="V202" s="3">
        <v>20.13</v>
      </c>
      <c r="W202" s="3">
        <v>20.36</v>
      </c>
      <c r="X202" s="3">
        <v>26.92</v>
      </c>
      <c r="Y202" s="3">
        <v>23.94</v>
      </c>
      <c r="Z202" s="3">
        <v>23.65</v>
      </c>
      <c r="AA202" s="3">
        <v>15.16</v>
      </c>
      <c r="AB202" s="3">
        <v>10.87</v>
      </c>
      <c r="AC202" s="3">
        <v>9.56</v>
      </c>
      <c r="AD202" s="16">
        <v>5.7408333333333337</v>
      </c>
      <c r="AE202" s="3">
        <v>1448</v>
      </c>
      <c r="AF202" s="3">
        <v>2.056</v>
      </c>
      <c r="AG202" s="3">
        <v>356</v>
      </c>
      <c r="AH202" s="3">
        <v>31</v>
      </c>
      <c r="AI202" s="3">
        <v>1640</v>
      </c>
      <c r="AJ202" s="3">
        <v>1.321</v>
      </c>
      <c r="AK202" s="3">
        <v>0.75800000000000001</v>
      </c>
      <c r="AL202" s="3">
        <v>0.58299999999999996</v>
      </c>
      <c r="AM202" s="3">
        <v>0.67500000000000004</v>
      </c>
      <c r="AN202" s="3">
        <v>0.82599999999999996</v>
      </c>
      <c r="AO202" s="3">
        <v>8.49</v>
      </c>
      <c r="AP202" s="3">
        <v>10.09</v>
      </c>
      <c r="AQ202" s="3">
        <v>9.09</v>
      </c>
      <c r="AR202" s="3">
        <v>3.9E-2</v>
      </c>
      <c r="AS202" s="3">
        <v>0.22600000000000001</v>
      </c>
      <c r="AT202" s="3">
        <v>0.24199999999999999</v>
      </c>
      <c r="AU202" s="3">
        <v>1.4999999999999999E-2</v>
      </c>
      <c r="AV202" s="3">
        <v>7.3999999999999996E-2</v>
      </c>
      <c r="AW202" s="3">
        <v>0.223</v>
      </c>
      <c r="AX202" s="3">
        <v>0.113</v>
      </c>
      <c r="AY202" s="3">
        <v>6.8000000000000005E-2</v>
      </c>
      <c r="AZ202" s="3">
        <v>11.68</v>
      </c>
      <c r="BA202" s="3"/>
      <c r="BB202" s="3">
        <v>11.89</v>
      </c>
      <c r="BC202" s="3">
        <v>2876</v>
      </c>
      <c r="BD202" s="3"/>
      <c r="BE202" s="3"/>
      <c r="BF202" s="3">
        <v>0</v>
      </c>
      <c r="BH202" s="16">
        <v>31.77</v>
      </c>
      <c r="BI202" s="16">
        <f t="shared" si="152"/>
        <v>64.175399999999996</v>
      </c>
      <c r="BJ202" s="17">
        <f t="shared" si="153"/>
        <v>29.78</v>
      </c>
      <c r="BK202" s="17">
        <f t="shared" si="154"/>
        <v>60.21</v>
      </c>
      <c r="BM202" s="1">
        <f t="shared" si="155"/>
        <v>95</v>
      </c>
      <c r="BN202" s="1">
        <f t="shared" si="156"/>
        <v>60.3</v>
      </c>
      <c r="BO202" s="1">
        <f t="shared" si="157"/>
        <v>29.6</v>
      </c>
      <c r="BP202" s="62">
        <f t="shared" si="159"/>
        <v>0.63100000000000001</v>
      </c>
      <c r="BQ202" s="62">
        <f t="shared" si="158"/>
        <v>1.5009999999999999</v>
      </c>
      <c r="BS202" s="1">
        <v>0</v>
      </c>
      <c r="BT202" s="8"/>
      <c r="BV202" s="8"/>
      <c r="BW202" s="16">
        <f t="shared" si="120"/>
        <v>29.78</v>
      </c>
      <c r="BX202" s="16">
        <f t="shared" si="121"/>
        <v>60.21</v>
      </c>
      <c r="BY202" s="3">
        <f t="shared" si="122"/>
        <v>11.2</v>
      </c>
      <c r="BZ202" s="3">
        <f t="shared" si="123"/>
        <v>11</v>
      </c>
      <c r="CA202" s="3">
        <f t="shared" si="124"/>
        <v>10.8</v>
      </c>
      <c r="CB202" s="3">
        <f t="shared" si="125"/>
        <v>11.9</v>
      </c>
      <c r="CC202" s="3">
        <f t="shared" si="126"/>
        <v>11.6</v>
      </c>
      <c r="CD202" s="3">
        <f t="shared" si="127"/>
        <v>10.5</v>
      </c>
      <c r="CE202" s="3">
        <f t="shared" si="128"/>
        <v>9.3000000000000007</v>
      </c>
      <c r="CF202" s="23">
        <f t="shared" si="129"/>
        <v>60.3</v>
      </c>
      <c r="CG202" s="1">
        <f t="shared" si="130"/>
        <v>18.5</v>
      </c>
      <c r="CH202" s="1">
        <f t="shared" si="131"/>
        <v>20.100000000000001</v>
      </c>
      <c r="CI202" s="1">
        <f t="shared" si="132"/>
        <v>20.399999999999999</v>
      </c>
      <c r="CJ202" s="1">
        <f t="shared" si="133"/>
        <v>26.9</v>
      </c>
      <c r="CK202" s="1">
        <f t="shared" si="134"/>
        <v>15.2</v>
      </c>
      <c r="CL202" s="1">
        <f t="shared" si="135"/>
        <v>10.9</v>
      </c>
      <c r="CM202" s="1">
        <f t="shared" si="136"/>
        <v>9.6</v>
      </c>
      <c r="CN202" s="2">
        <f t="shared" si="137"/>
        <v>95</v>
      </c>
      <c r="CO202" s="1">
        <f t="shared" si="138"/>
        <v>2.1</v>
      </c>
      <c r="CP202" s="1">
        <f t="shared" si="139"/>
        <v>1.3</v>
      </c>
      <c r="CQ202" s="1">
        <f t="shared" si="140"/>
        <v>0.8</v>
      </c>
      <c r="CR202" s="1">
        <f t="shared" si="141"/>
        <v>0.6</v>
      </c>
      <c r="CS202" s="1">
        <f t="shared" si="142"/>
        <v>8.5</v>
      </c>
      <c r="CT202" s="1">
        <f t="shared" si="143"/>
        <v>10.1</v>
      </c>
      <c r="CU202" s="1">
        <f t="shared" si="144"/>
        <v>9.1</v>
      </c>
      <c r="CV202" s="2">
        <f t="shared" si="145"/>
        <v>29.6</v>
      </c>
      <c r="CW202" s="18">
        <f t="shared" si="146"/>
        <v>0</v>
      </c>
      <c r="CX202" s="1">
        <f>ROUND(PPTest!K202,1)</f>
        <v>0</v>
      </c>
      <c r="CY202" s="17">
        <f t="shared" si="147"/>
        <v>2.06</v>
      </c>
      <c r="CZ202" s="17">
        <f t="shared" si="148"/>
        <v>5.74</v>
      </c>
      <c r="DA202" s="20">
        <f t="shared" si="149"/>
        <v>0.63100000000000001</v>
      </c>
      <c r="DB202" s="20">
        <f t="shared" si="150"/>
        <v>1.5009999999999999</v>
      </c>
      <c r="DC202" s="16">
        <f t="shared" si="151"/>
        <v>11.89</v>
      </c>
      <c r="DF202" s="1">
        <v>15.9</v>
      </c>
      <c r="DG202" s="1">
        <v>21.6</v>
      </c>
      <c r="DH202" s="1">
        <v>9.9</v>
      </c>
      <c r="DI202" s="1">
        <v>53.1</v>
      </c>
      <c r="DJ202" s="1">
        <v>36</v>
      </c>
      <c r="DW202" s="1">
        <v>11.6</v>
      </c>
      <c r="DX202" s="1">
        <v>19.100000000000001</v>
      </c>
      <c r="DY202" s="1">
        <v>2.9</v>
      </c>
    </row>
    <row r="203" spans="1:129" x14ac:dyDescent="0.2">
      <c r="A203" s="40">
        <v>34896</v>
      </c>
      <c r="B203" s="3">
        <v>197</v>
      </c>
      <c r="C203" s="3">
        <v>30.31</v>
      </c>
      <c r="D203" s="3">
        <v>57.29</v>
      </c>
      <c r="E203" s="3">
        <v>13.1</v>
      </c>
      <c r="F203" s="3">
        <v>60.44</v>
      </c>
      <c r="G203" s="3">
        <v>12.99</v>
      </c>
      <c r="H203" s="3">
        <v>12.83</v>
      </c>
      <c r="I203" s="3">
        <v>13.85</v>
      </c>
      <c r="J203" s="3">
        <v>14.24</v>
      </c>
      <c r="K203" s="3">
        <v>14.29</v>
      </c>
      <c r="L203" s="3">
        <v>12.11</v>
      </c>
      <c r="M203" s="3">
        <v>10.6</v>
      </c>
      <c r="N203" s="3">
        <v>9.35</v>
      </c>
      <c r="O203" s="3">
        <v>1E-3</v>
      </c>
      <c r="P203" s="16">
        <v>1.9958333333333336</v>
      </c>
      <c r="Q203" s="3">
        <v>0</v>
      </c>
      <c r="R203" s="3">
        <v>20.239999999999998</v>
      </c>
      <c r="S203" s="3">
        <v>1652</v>
      </c>
      <c r="T203" s="3">
        <v>91.8</v>
      </c>
      <c r="U203" s="3">
        <v>446</v>
      </c>
      <c r="V203" s="3">
        <v>21.78</v>
      </c>
      <c r="W203" s="3">
        <v>22.43</v>
      </c>
      <c r="X203" s="3">
        <v>28.05</v>
      </c>
      <c r="Y203" s="3">
        <v>24.5</v>
      </c>
      <c r="Z203" s="3">
        <v>24.28</v>
      </c>
      <c r="AA203" s="3">
        <v>15.53</v>
      </c>
      <c r="AB203" s="3">
        <v>11.11</v>
      </c>
      <c r="AC203" s="3">
        <v>9.5299999999999994</v>
      </c>
      <c r="AD203" s="16">
        <v>5.2208333333333332</v>
      </c>
      <c r="AE203" s="3">
        <v>1323</v>
      </c>
      <c r="AF203" s="3">
        <v>5.0970000000000004</v>
      </c>
      <c r="AG203" s="3">
        <v>36</v>
      </c>
      <c r="AH203" s="3">
        <v>35.79</v>
      </c>
      <c r="AI203" s="3">
        <v>1622</v>
      </c>
      <c r="AJ203" s="3">
        <v>4.383</v>
      </c>
      <c r="AK203" s="3">
        <v>3.9039999999999999</v>
      </c>
      <c r="AL203" s="3">
        <v>3.5049999999999999</v>
      </c>
      <c r="AM203" s="3">
        <v>3.7490000000000001</v>
      </c>
      <c r="AN203" s="3">
        <v>3.8849999999999998</v>
      </c>
      <c r="AO203" s="3">
        <v>9.36</v>
      </c>
      <c r="AP203" s="3">
        <v>10.23</v>
      </c>
      <c r="AQ203" s="3">
        <v>9.19</v>
      </c>
      <c r="AR203" s="3">
        <v>5.0999999999999997E-2</v>
      </c>
      <c r="AS203" s="3">
        <v>0.23699999999999999</v>
      </c>
      <c r="AT203" s="3">
        <v>0.19400000000000001</v>
      </c>
      <c r="AU203" s="3">
        <v>2.1999999999999999E-2</v>
      </c>
      <c r="AV203" s="3">
        <v>0.10100000000000001</v>
      </c>
      <c r="AW203" s="3">
        <v>0.19</v>
      </c>
      <c r="AX203" s="3">
        <v>0.128</v>
      </c>
      <c r="AY203" s="3">
        <v>7.6999999999999999E-2</v>
      </c>
      <c r="AZ203" s="3">
        <v>13.71</v>
      </c>
      <c r="BA203" s="3"/>
      <c r="BB203" s="3">
        <v>11.89</v>
      </c>
      <c r="BC203" s="3">
        <v>2876</v>
      </c>
      <c r="BD203" s="3"/>
      <c r="BE203" s="3"/>
      <c r="BF203" s="3">
        <v>0</v>
      </c>
      <c r="BH203" s="16">
        <v>31.65</v>
      </c>
      <c r="BI203" s="16">
        <f t="shared" si="152"/>
        <v>63.933</v>
      </c>
      <c r="BJ203" s="17">
        <f t="shared" si="153"/>
        <v>30.31</v>
      </c>
      <c r="BK203" s="17">
        <f t="shared" si="154"/>
        <v>61.87</v>
      </c>
      <c r="BM203" s="1">
        <f t="shared" si="155"/>
        <v>85.8</v>
      </c>
      <c r="BN203" s="1">
        <f t="shared" si="156"/>
        <v>56.8</v>
      </c>
      <c r="BO203" s="1">
        <f t="shared" si="157"/>
        <v>34.1</v>
      </c>
      <c r="BP203" s="62">
        <f t="shared" si="159"/>
        <v>0.80900000000000005</v>
      </c>
      <c r="BQ203" s="62">
        <f t="shared" si="158"/>
        <v>1.5629999999999999</v>
      </c>
      <c r="BS203" s="1">
        <v>0</v>
      </c>
      <c r="BT203" s="8"/>
      <c r="BV203" s="8"/>
      <c r="BW203" s="16">
        <f t="shared" si="120"/>
        <v>30.31</v>
      </c>
      <c r="BX203" s="16">
        <f t="shared" si="121"/>
        <v>61.87</v>
      </c>
      <c r="BY203" s="3">
        <f t="shared" si="122"/>
        <v>13.1</v>
      </c>
      <c r="BZ203" s="3">
        <f t="shared" si="123"/>
        <v>13</v>
      </c>
      <c r="CA203" s="3">
        <f t="shared" si="124"/>
        <v>12.8</v>
      </c>
      <c r="CB203" s="3">
        <f t="shared" si="125"/>
        <v>13.9</v>
      </c>
      <c r="CC203" s="3">
        <f t="shared" si="126"/>
        <v>12.1</v>
      </c>
      <c r="CD203" s="3">
        <f t="shared" si="127"/>
        <v>10.6</v>
      </c>
      <c r="CE203" s="3">
        <f t="shared" si="128"/>
        <v>9.4</v>
      </c>
      <c r="CF203" s="23">
        <f t="shared" si="129"/>
        <v>56.8</v>
      </c>
      <c r="CG203" s="1">
        <f t="shared" si="130"/>
        <v>20.2</v>
      </c>
      <c r="CH203" s="1">
        <f t="shared" si="131"/>
        <v>21.8</v>
      </c>
      <c r="CI203" s="1">
        <f t="shared" si="132"/>
        <v>22.4</v>
      </c>
      <c r="CJ203" s="1">
        <f t="shared" si="133"/>
        <v>28.1</v>
      </c>
      <c r="CK203" s="1">
        <f t="shared" si="134"/>
        <v>15.5</v>
      </c>
      <c r="CL203" s="1">
        <f t="shared" si="135"/>
        <v>11.1</v>
      </c>
      <c r="CM203" s="1">
        <f t="shared" si="136"/>
        <v>9.5</v>
      </c>
      <c r="CN203" s="2">
        <f t="shared" si="137"/>
        <v>85.8</v>
      </c>
      <c r="CO203" s="1">
        <f t="shared" si="138"/>
        <v>5.0999999999999996</v>
      </c>
      <c r="CP203" s="1">
        <f t="shared" si="139"/>
        <v>4.4000000000000004</v>
      </c>
      <c r="CQ203" s="1">
        <f t="shared" si="140"/>
        <v>3.9</v>
      </c>
      <c r="CR203" s="1">
        <f t="shared" si="141"/>
        <v>3.5</v>
      </c>
      <c r="CS203" s="1">
        <f t="shared" si="142"/>
        <v>9.4</v>
      </c>
      <c r="CT203" s="1">
        <f t="shared" si="143"/>
        <v>10.199999999999999</v>
      </c>
      <c r="CU203" s="1">
        <f t="shared" si="144"/>
        <v>9.1999999999999993</v>
      </c>
      <c r="CV203" s="2">
        <f t="shared" si="145"/>
        <v>34.1</v>
      </c>
      <c r="CW203" s="18">
        <f t="shared" si="146"/>
        <v>0</v>
      </c>
      <c r="CX203" s="1">
        <f>ROUND(PPTest!K203,1)</f>
        <v>0</v>
      </c>
      <c r="CY203" s="17">
        <f t="shared" si="147"/>
        <v>2</v>
      </c>
      <c r="CZ203" s="17">
        <f t="shared" si="148"/>
        <v>5.22</v>
      </c>
      <c r="DA203" s="20">
        <f t="shared" si="149"/>
        <v>0.80900000000000005</v>
      </c>
      <c r="DB203" s="20">
        <f t="shared" si="150"/>
        <v>1.5629999999999999</v>
      </c>
      <c r="DC203" s="16">
        <f t="shared" si="151"/>
        <v>11.89</v>
      </c>
      <c r="DF203" s="1">
        <v>17.600000000000001</v>
      </c>
      <c r="DG203" s="1">
        <v>22.4</v>
      </c>
      <c r="DH203" s="1">
        <v>13.3</v>
      </c>
      <c r="DI203" s="1">
        <v>45.9</v>
      </c>
      <c r="DJ203" s="1">
        <v>39</v>
      </c>
      <c r="DW203" s="1">
        <v>13.5</v>
      </c>
      <c r="DX203" s="1">
        <v>20.3</v>
      </c>
      <c r="DY203" s="1">
        <v>5.6</v>
      </c>
    </row>
    <row r="204" spans="1:129" x14ac:dyDescent="0.2">
      <c r="A204" s="40">
        <v>34897</v>
      </c>
      <c r="B204" s="3">
        <v>198</v>
      </c>
      <c r="C204" s="3">
        <v>30.36</v>
      </c>
      <c r="D204" s="3">
        <v>58</v>
      </c>
      <c r="E204" s="3">
        <v>13.59</v>
      </c>
      <c r="F204" s="3">
        <v>63.95</v>
      </c>
      <c r="G204" s="3">
        <v>13.4</v>
      </c>
      <c r="H204" s="3">
        <v>13.19</v>
      </c>
      <c r="I204" s="3">
        <v>14.03</v>
      </c>
      <c r="J204" s="3">
        <v>14.64</v>
      </c>
      <c r="K204" s="3">
        <v>14.7</v>
      </c>
      <c r="L204" s="3">
        <v>12.28</v>
      </c>
      <c r="M204" s="3">
        <v>10.75</v>
      </c>
      <c r="N204" s="3">
        <v>9.33</v>
      </c>
      <c r="O204" s="3">
        <v>1E-3</v>
      </c>
      <c r="P204" s="16">
        <v>2.0958333333333332</v>
      </c>
      <c r="Q204" s="3">
        <v>0</v>
      </c>
      <c r="R204" s="3">
        <v>21.09</v>
      </c>
      <c r="S204" s="3">
        <v>1556</v>
      </c>
      <c r="T204" s="3">
        <v>98.9</v>
      </c>
      <c r="U204" s="3">
        <v>414</v>
      </c>
      <c r="V204" s="3">
        <v>22.67</v>
      </c>
      <c r="W204" s="3">
        <v>24.26</v>
      </c>
      <c r="X204" s="3">
        <v>29.68</v>
      </c>
      <c r="Y204" s="3">
        <v>26.07</v>
      </c>
      <c r="Z204" s="3">
        <v>25.12</v>
      </c>
      <c r="AA204" s="3">
        <v>15.92</v>
      </c>
      <c r="AB204" s="3">
        <v>11.26</v>
      </c>
      <c r="AC204" s="3">
        <v>9.5500000000000007</v>
      </c>
      <c r="AD204" s="16">
        <v>4.9675000000000002</v>
      </c>
      <c r="AE204" s="3">
        <v>1704</v>
      </c>
      <c r="AF204" s="3">
        <v>3.5129999999999999</v>
      </c>
      <c r="AG204" s="3">
        <v>401</v>
      </c>
      <c r="AH204" s="3">
        <v>35.65</v>
      </c>
      <c r="AI204" s="3">
        <v>1641</v>
      </c>
      <c r="AJ204" s="3">
        <v>2.7189999999999999</v>
      </c>
      <c r="AK204" s="3">
        <v>2.0739999999999998</v>
      </c>
      <c r="AL204" s="3">
        <v>1.891</v>
      </c>
      <c r="AM204" s="3">
        <v>2.0059999999999998</v>
      </c>
      <c r="AN204" s="3">
        <v>2.1560000000000001</v>
      </c>
      <c r="AO204" s="3">
        <v>9.0299999999999994</v>
      </c>
      <c r="AP204" s="3">
        <v>10.35</v>
      </c>
      <c r="AQ204" s="3">
        <v>9.11</v>
      </c>
      <c r="AR204" s="3">
        <v>4.9000000000000002E-2</v>
      </c>
      <c r="AS204" s="3">
        <v>0.253</v>
      </c>
      <c r="AT204" s="3">
        <v>0.218</v>
      </c>
      <c r="AU204" s="3">
        <v>2.4E-2</v>
      </c>
      <c r="AV204" s="3">
        <v>8.2000000000000003E-2</v>
      </c>
      <c r="AW204" s="3">
        <v>0.19900000000000001</v>
      </c>
      <c r="AX204" s="3">
        <v>0.108</v>
      </c>
      <c r="AY204" s="3">
        <v>6.8000000000000005E-2</v>
      </c>
      <c r="AZ204" s="3">
        <v>13.93</v>
      </c>
      <c r="BA204" s="3"/>
      <c r="BB204" s="3">
        <v>11.89</v>
      </c>
      <c r="BC204" s="3">
        <v>2876</v>
      </c>
      <c r="BD204" s="3"/>
      <c r="BE204" s="3"/>
      <c r="BF204" s="3">
        <v>0</v>
      </c>
      <c r="BH204" s="16">
        <v>31.54</v>
      </c>
      <c r="BI204" s="16">
        <f t="shared" si="152"/>
        <v>63.710799999999999</v>
      </c>
      <c r="BJ204" s="17">
        <f t="shared" si="153"/>
        <v>30.36</v>
      </c>
      <c r="BK204" s="17">
        <f t="shared" si="154"/>
        <v>62.64</v>
      </c>
      <c r="BM204" s="1">
        <f t="shared" si="155"/>
        <v>92.4</v>
      </c>
      <c r="BN204" s="1">
        <f t="shared" si="156"/>
        <v>60.1</v>
      </c>
      <c r="BO204" s="1">
        <f t="shared" si="157"/>
        <v>33.9</v>
      </c>
      <c r="BP204" s="62">
        <f t="shared" si="159"/>
        <v>0.84799999999999998</v>
      </c>
      <c r="BQ204" s="62">
        <f t="shared" si="158"/>
        <v>1.653</v>
      </c>
      <c r="BS204" s="1">
        <v>0</v>
      </c>
      <c r="BT204" s="8"/>
      <c r="BV204" s="8"/>
      <c r="BW204" s="16">
        <f t="shared" si="120"/>
        <v>30.36</v>
      </c>
      <c r="BX204" s="16">
        <f t="shared" si="121"/>
        <v>62.64</v>
      </c>
      <c r="BY204" s="3">
        <f t="shared" si="122"/>
        <v>13.6</v>
      </c>
      <c r="BZ204" s="3">
        <f t="shared" si="123"/>
        <v>13.4</v>
      </c>
      <c r="CA204" s="3">
        <f t="shared" si="124"/>
        <v>13.2</v>
      </c>
      <c r="CB204" s="3">
        <f t="shared" si="125"/>
        <v>14</v>
      </c>
      <c r="CC204" s="3">
        <f t="shared" si="126"/>
        <v>12.3</v>
      </c>
      <c r="CD204" s="3">
        <f t="shared" si="127"/>
        <v>10.8</v>
      </c>
      <c r="CE204" s="3">
        <f t="shared" si="128"/>
        <v>9.3000000000000007</v>
      </c>
      <c r="CF204" s="23">
        <f t="shared" si="129"/>
        <v>60.1</v>
      </c>
      <c r="CG204" s="1">
        <f t="shared" si="130"/>
        <v>21.1</v>
      </c>
      <c r="CH204" s="1">
        <f t="shared" si="131"/>
        <v>22.7</v>
      </c>
      <c r="CI204" s="1">
        <f t="shared" si="132"/>
        <v>24.3</v>
      </c>
      <c r="CJ204" s="1">
        <f t="shared" si="133"/>
        <v>29.7</v>
      </c>
      <c r="CK204" s="1">
        <f t="shared" si="134"/>
        <v>15.9</v>
      </c>
      <c r="CL204" s="1">
        <f t="shared" si="135"/>
        <v>11.3</v>
      </c>
      <c r="CM204" s="1">
        <f t="shared" si="136"/>
        <v>9.6</v>
      </c>
      <c r="CN204" s="2">
        <f t="shared" si="137"/>
        <v>92.4</v>
      </c>
      <c r="CO204" s="1">
        <f t="shared" si="138"/>
        <v>3.5</v>
      </c>
      <c r="CP204" s="1">
        <f t="shared" si="139"/>
        <v>2.7</v>
      </c>
      <c r="CQ204" s="1">
        <f t="shared" si="140"/>
        <v>2.1</v>
      </c>
      <c r="CR204" s="1">
        <f t="shared" si="141"/>
        <v>1.9</v>
      </c>
      <c r="CS204" s="1">
        <f t="shared" si="142"/>
        <v>9</v>
      </c>
      <c r="CT204" s="1">
        <f t="shared" si="143"/>
        <v>10.4</v>
      </c>
      <c r="CU204" s="1">
        <f t="shared" si="144"/>
        <v>9.1</v>
      </c>
      <c r="CV204" s="2">
        <f t="shared" si="145"/>
        <v>33.9</v>
      </c>
      <c r="CW204" s="18">
        <f t="shared" si="146"/>
        <v>0</v>
      </c>
      <c r="CX204" s="1">
        <f>ROUND(PPTest!K204,1)</f>
        <v>0</v>
      </c>
      <c r="CY204" s="17">
        <f t="shared" si="147"/>
        <v>2.1</v>
      </c>
      <c r="CZ204" s="17">
        <f t="shared" si="148"/>
        <v>4.97</v>
      </c>
      <c r="DA204" s="20">
        <f t="shared" si="149"/>
        <v>0.84799999999999998</v>
      </c>
      <c r="DB204" s="20">
        <f t="shared" si="150"/>
        <v>1.653</v>
      </c>
      <c r="DC204" s="16">
        <f t="shared" si="151"/>
        <v>11.89</v>
      </c>
      <c r="DF204" s="1">
        <v>18.600000000000001</v>
      </c>
      <c r="DG204" s="1">
        <v>24.2</v>
      </c>
      <c r="DH204" s="1">
        <v>12.6</v>
      </c>
      <c r="DI204" s="1">
        <v>50.3</v>
      </c>
      <c r="DJ204" s="1">
        <v>40</v>
      </c>
      <c r="DW204" s="1">
        <v>14.3</v>
      </c>
      <c r="DX204" s="1">
        <v>22</v>
      </c>
      <c r="DY204" s="1">
        <v>5</v>
      </c>
    </row>
    <row r="205" spans="1:129" x14ac:dyDescent="0.2">
      <c r="A205" s="40">
        <v>34898</v>
      </c>
      <c r="B205" s="3">
        <v>199</v>
      </c>
      <c r="C205" s="3">
        <v>29.57</v>
      </c>
      <c r="D205" s="3">
        <v>56.05</v>
      </c>
      <c r="E205" s="3">
        <v>13.66</v>
      </c>
      <c r="F205" s="3">
        <v>63.44</v>
      </c>
      <c r="G205" s="3">
        <v>13.47</v>
      </c>
      <c r="H205" s="3">
        <v>13.33</v>
      </c>
      <c r="I205" s="3">
        <v>14.41</v>
      </c>
      <c r="J205" s="3">
        <v>14.55</v>
      </c>
      <c r="K205" s="3">
        <v>14.8</v>
      </c>
      <c r="L205" s="3">
        <v>12.48</v>
      </c>
      <c r="M205" s="3">
        <v>10.93</v>
      </c>
      <c r="N205" s="3">
        <v>9.36</v>
      </c>
      <c r="O205" s="3">
        <v>1E-3</v>
      </c>
      <c r="P205" s="16">
        <v>2.0775000000000001</v>
      </c>
      <c r="Q205" s="3">
        <v>0</v>
      </c>
      <c r="R205" s="3">
        <v>20.93</v>
      </c>
      <c r="S205" s="3">
        <v>1734</v>
      </c>
      <c r="T205" s="3">
        <v>95.8</v>
      </c>
      <c r="U205" s="3">
        <v>444</v>
      </c>
      <c r="V205" s="3">
        <v>22.1</v>
      </c>
      <c r="W205" s="3">
        <v>23.35</v>
      </c>
      <c r="X205" s="3">
        <v>29.44</v>
      </c>
      <c r="Y205" s="3">
        <v>24.76</v>
      </c>
      <c r="Z205" s="3">
        <v>26.24</v>
      </c>
      <c r="AA205" s="3">
        <v>15.75</v>
      </c>
      <c r="AB205" s="3">
        <v>11.4</v>
      </c>
      <c r="AC205" s="3">
        <v>9.57</v>
      </c>
      <c r="AD205" s="16">
        <v>5.2608333333333333</v>
      </c>
      <c r="AE205" s="3">
        <v>1531</v>
      </c>
      <c r="AF205" s="3">
        <v>5.508</v>
      </c>
      <c r="AG205" s="3">
        <v>158</v>
      </c>
      <c r="AH205" s="3">
        <v>30.05</v>
      </c>
      <c r="AI205" s="3">
        <v>1553</v>
      </c>
      <c r="AJ205" s="3">
        <v>4.6740000000000004</v>
      </c>
      <c r="AK205" s="3">
        <v>3.8439999999999999</v>
      </c>
      <c r="AL205" s="3">
        <v>3.7429999999999999</v>
      </c>
      <c r="AM205" s="3">
        <v>3.9039999999999999</v>
      </c>
      <c r="AN205" s="3">
        <v>4.0869999999999997</v>
      </c>
      <c r="AO205" s="3">
        <v>9.7200000000000006</v>
      </c>
      <c r="AP205" s="3">
        <v>10.56</v>
      </c>
      <c r="AQ205" s="3">
        <v>9.18</v>
      </c>
      <c r="AR205" s="3">
        <v>4.7E-2</v>
      </c>
      <c r="AS205" s="3">
        <v>0.3</v>
      </c>
      <c r="AT205" s="3">
        <v>0.19500000000000001</v>
      </c>
      <c r="AU205" s="3">
        <v>1.0999999999999999E-2</v>
      </c>
      <c r="AV205" s="3">
        <v>6.6000000000000003E-2</v>
      </c>
      <c r="AW205" s="3">
        <v>0.20300000000000001</v>
      </c>
      <c r="AX205" s="3">
        <v>0.113</v>
      </c>
      <c r="AY205" s="3">
        <v>6.5000000000000002E-2</v>
      </c>
      <c r="AZ205" s="3">
        <v>14.15</v>
      </c>
      <c r="BA205" s="3"/>
      <c r="BB205" s="3">
        <v>11.89</v>
      </c>
      <c r="BC205" s="3">
        <v>2876</v>
      </c>
      <c r="BD205" s="3"/>
      <c r="BE205" s="3"/>
      <c r="BF205" s="3">
        <v>0</v>
      </c>
      <c r="BH205" s="16">
        <v>31.42</v>
      </c>
      <c r="BI205" s="16">
        <f t="shared" si="152"/>
        <v>63.468400000000003</v>
      </c>
      <c r="BJ205" s="17">
        <f t="shared" si="153"/>
        <v>29.57</v>
      </c>
      <c r="BK205" s="17">
        <f t="shared" si="154"/>
        <v>60.53</v>
      </c>
      <c r="BM205" s="1">
        <f t="shared" si="155"/>
        <v>89.5</v>
      </c>
      <c r="BN205" s="1">
        <f t="shared" si="156"/>
        <v>59.6</v>
      </c>
      <c r="BO205" s="1">
        <f t="shared" si="157"/>
        <v>28.8</v>
      </c>
      <c r="BP205" s="62">
        <f t="shared" si="159"/>
        <v>0.71299999999999997</v>
      </c>
      <c r="BQ205" s="62">
        <f t="shared" si="158"/>
        <v>1.7629999999999999</v>
      </c>
      <c r="BS205" s="1">
        <v>0</v>
      </c>
      <c r="BT205" s="8"/>
      <c r="BV205" s="8"/>
      <c r="BW205" s="16">
        <f t="shared" si="120"/>
        <v>29.57</v>
      </c>
      <c r="BX205" s="16">
        <f t="shared" si="121"/>
        <v>60.53</v>
      </c>
      <c r="BY205" s="3">
        <f t="shared" si="122"/>
        <v>13.7</v>
      </c>
      <c r="BZ205" s="3">
        <f t="shared" si="123"/>
        <v>13.5</v>
      </c>
      <c r="CA205" s="3">
        <f t="shared" si="124"/>
        <v>13.3</v>
      </c>
      <c r="CB205" s="3">
        <f t="shared" si="125"/>
        <v>14.4</v>
      </c>
      <c r="CC205" s="3">
        <f t="shared" si="126"/>
        <v>12.5</v>
      </c>
      <c r="CD205" s="3">
        <f t="shared" si="127"/>
        <v>10.9</v>
      </c>
      <c r="CE205" s="3">
        <f t="shared" si="128"/>
        <v>9.4</v>
      </c>
      <c r="CF205" s="23">
        <f t="shared" si="129"/>
        <v>59.6</v>
      </c>
      <c r="CG205" s="1">
        <f t="shared" si="130"/>
        <v>20.9</v>
      </c>
      <c r="CH205" s="1">
        <f t="shared" si="131"/>
        <v>22.1</v>
      </c>
      <c r="CI205" s="1">
        <f t="shared" si="132"/>
        <v>23.4</v>
      </c>
      <c r="CJ205" s="1">
        <f t="shared" si="133"/>
        <v>29.4</v>
      </c>
      <c r="CK205" s="1">
        <f t="shared" si="134"/>
        <v>15.8</v>
      </c>
      <c r="CL205" s="1">
        <f t="shared" si="135"/>
        <v>11.4</v>
      </c>
      <c r="CM205" s="1">
        <f t="shared" si="136"/>
        <v>9.6</v>
      </c>
      <c r="CN205" s="2">
        <f t="shared" si="137"/>
        <v>89.5</v>
      </c>
      <c r="CO205" s="1">
        <f t="shared" si="138"/>
        <v>5.5</v>
      </c>
      <c r="CP205" s="1">
        <f t="shared" si="139"/>
        <v>4.7</v>
      </c>
      <c r="CQ205" s="1">
        <f t="shared" si="140"/>
        <v>3.8</v>
      </c>
      <c r="CR205" s="1">
        <f t="shared" si="141"/>
        <v>3.7</v>
      </c>
      <c r="CS205" s="1">
        <f t="shared" si="142"/>
        <v>9.6999999999999993</v>
      </c>
      <c r="CT205" s="1">
        <f t="shared" si="143"/>
        <v>10.6</v>
      </c>
      <c r="CU205" s="1">
        <f t="shared" si="144"/>
        <v>9.1999999999999993</v>
      </c>
      <c r="CV205" s="2">
        <f t="shared" si="145"/>
        <v>28.8</v>
      </c>
      <c r="CW205" s="18">
        <f t="shared" si="146"/>
        <v>0</v>
      </c>
      <c r="CX205" s="1">
        <f>ROUND(PPTest!K205,1)</f>
        <v>0</v>
      </c>
      <c r="CY205" s="17">
        <f t="shared" si="147"/>
        <v>2.08</v>
      </c>
      <c r="CZ205" s="17">
        <f t="shared" si="148"/>
        <v>5.26</v>
      </c>
      <c r="DA205" s="20">
        <f t="shared" si="149"/>
        <v>0.71299999999999997</v>
      </c>
      <c r="DB205" s="20">
        <f t="shared" si="150"/>
        <v>1.7629999999999999</v>
      </c>
      <c r="DC205" s="16">
        <f t="shared" si="151"/>
        <v>11.89</v>
      </c>
      <c r="DF205" s="1">
        <v>18.8</v>
      </c>
      <c r="DG205" s="1">
        <v>23.8</v>
      </c>
      <c r="DH205" s="1">
        <v>14.7</v>
      </c>
      <c r="DI205" s="1">
        <v>47.5</v>
      </c>
      <c r="DJ205" s="1">
        <v>36</v>
      </c>
      <c r="DW205" s="1">
        <v>15</v>
      </c>
      <c r="DX205" s="1">
        <v>21.9</v>
      </c>
      <c r="DY205" s="1">
        <v>7</v>
      </c>
    </row>
    <row r="206" spans="1:129" x14ac:dyDescent="0.2">
      <c r="A206" s="40">
        <v>34899</v>
      </c>
      <c r="B206" s="3">
        <v>200</v>
      </c>
      <c r="C206" s="3">
        <v>30.06</v>
      </c>
      <c r="D206" s="3">
        <v>56.81</v>
      </c>
      <c r="E206" s="3">
        <v>14.4</v>
      </c>
      <c r="F206" s="3">
        <v>57.56</v>
      </c>
      <c r="G206" s="3">
        <v>14.18</v>
      </c>
      <c r="H206" s="3">
        <v>13.96</v>
      </c>
      <c r="I206" s="3">
        <v>14.33</v>
      </c>
      <c r="J206" s="3">
        <v>15.36</v>
      </c>
      <c r="K206" s="3">
        <v>15.54</v>
      </c>
      <c r="L206" s="3">
        <v>12.34</v>
      </c>
      <c r="M206" s="3">
        <v>10.96</v>
      </c>
      <c r="N206" s="3">
        <v>9.3800000000000008</v>
      </c>
      <c r="O206" s="3">
        <v>1E-3</v>
      </c>
      <c r="P206" s="16">
        <v>2.1225000000000001</v>
      </c>
      <c r="Q206" s="3">
        <v>0</v>
      </c>
      <c r="R206" s="3">
        <v>22.91</v>
      </c>
      <c r="S206" s="3">
        <v>1633</v>
      </c>
      <c r="T206" s="3">
        <v>97.3</v>
      </c>
      <c r="U206" s="3">
        <v>438</v>
      </c>
      <c r="V206" s="3">
        <v>24.83</v>
      </c>
      <c r="W206" s="3">
        <v>24.91</v>
      </c>
      <c r="X206" s="3">
        <v>31.32</v>
      </c>
      <c r="Y206" s="3">
        <v>27.27</v>
      </c>
      <c r="Z206" s="3">
        <v>27.67</v>
      </c>
      <c r="AA206" s="3">
        <v>15.78</v>
      </c>
      <c r="AB206" s="3">
        <v>11.42</v>
      </c>
      <c r="AC206" s="3">
        <v>9.6300000000000008</v>
      </c>
      <c r="AD206" s="16">
        <v>4.9675000000000002</v>
      </c>
      <c r="AE206" s="3">
        <v>1323</v>
      </c>
      <c r="AF206" s="3">
        <v>3.8769999999999998</v>
      </c>
      <c r="AG206" s="3">
        <v>437</v>
      </c>
      <c r="AH206" s="3">
        <v>18.03</v>
      </c>
      <c r="AI206" s="3">
        <v>1410</v>
      </c>
      <c r="AJ206" s="3">
        <v>3.113</v>
      </c>
      <c r="AK206" s="3">
        <v>2.504</v>
      </c>
      <c r="AL206" s="3">
        <v>2.3809999999999998</v>
      </c>
      <c r="AM206" s="3">
        <v>2.399</v>
      </c>
      <c r="AN206" s="3">
        <v>2.5139999999999998</v>
      </c>
      <c r="AO206" s="3">
        <v>9.23</v>
      </c>
      <c r="AP206" s="3">
        <v>10.57</v>
      </c>
      <c r="AQ206" s="3">
        <v>9.15</v>
      </c>
      <c r="AR206" s="3">
        <v>1.9E-2</v>
      </c>
      <c r="AS206" s="3">
        <v>0.24199999999999999</v>
      </c>
      <c r="AT206" s="3">
        <v>0.247</v>
      </c>
      <c r="AU206" s="3">
        <v>1.2999999999999999E-2</v>
      </c>
      <c r="AV206" s="3">
        <v>0.111</v>
      </c>
      <c r="AW206" s="3">
        <v>0.224</v>
      </c>
      <c r="AX206" s="3">
        <v>9.7000000000000003E-2</v>
      </c>
      <c r="AY206" s="3">
        <v>4.7E-2</v>
      </c>
      <c r="AZ206" s="3">
        <v>14.62</v>
      </c>
      <c r="BA206" s="3"/>
      <c r="BB206" s="3">
        <v>11.88</v>
      </c>
      <c r="BC206" s="3">
        <v>2876</v>
      </c>
      <c r="BD206" s="3"/>
      <c r="BE206" s="3"/>
      <c r="BF206" s="3">
        <v>0</v>
      </c>
      <c r="BH206" s="16">
        <v>31.29</v>
      </c>
      <c r="BI206" s="16">
        <f t="shared" si="152"/>
        <v>63.205799999999996</v>
      </c>
      <c r="BJ206" s="17">
        <f t="shared" si="153"/>
        <v>30.06</v>
      </c>
      <c r="BK206" s="17">
        <f t="shared" si="154"/>
        <v>61.35</v>
      </c>
      <c r="BM206" s="1">
        <f t="shared" si="155"/>
        <v>90.9</v>
      </c>
      <c r="BN206" s="1">
        <f t="shared" si="156"/>
        <v>54.2</v>
      </c>
      <c r="BO206" s="1">
        <f t="shared" si="157"/>
        <v>17.7</v>
      </c>
      <c r="BP206" s="62">
        <f t="shared" si="159"/>
        <v>0.49399999999999999</v>
      </c>
      <c r="BQ206" s="62">
        <f t="shared" si="158"/>
        <v>2.2970000000000002</v>
      </c>
      <c r="BS206" s="1">
        <v>0</v>
      </c>
      <c r="BT206" s="8"/>
      <c r="BV206" s="8"/>
      <c r="BW206" s="16">
        <f t="shared" si="120"/>
        <v>30.06</v>
      </c>
      <c r="BX206" s="16">
        <f t="shared" si="121"/>
        <v>61.35</v>
      </c>
      <c r="BY206" s="3">
        <f t="shared" si="122"/>
        <v>14.4</v>
      </c>
      <c r="BZ206" s="3">
        <f t="shared" si="123"/>
        <v>14.2</v>
      </c>
      <c r="CA206" s="3">
        <f t="shared" si="124"/>
        <v>14</v>
      </c>
      <c r="CB206" s="3">
        <f t="shared" si="125"/>
        <v>14.3</v>
      </c>
      <c r="CC206" s="3">
        <f t="shared" si="126"/>
        <v>12.3</v>
      </c>
      <c r="CD206" s="3">
        <f t="shared" si="127"/>
        <v>11</v>
      </c>
      <c r="CE206" s="3">
        <f t="shared" si="128"/>
        <v>9.4</v>
      </c>
      <c r="CF206" s="23">
        <f t="shared" si="129"/>
        <v>54.2</v>
      </c>
      <c r="CG206" s="1">
        <f t="shared" si="130"/>
        <v>22.9</v>
      </c>
      <c r="CH206" s="1">
        <f t="shared" si="131"/>
        <v>24.8</v>
      </c>
      <c r="CI206" s="1">
        <f t="shared" si="132"/>
        <v>24.9</v>
      </c>
      <c r="CJ206" s="1">
        <f t="shared" si="133"/>
        <v>31.3</v>
      </c>
      <c r="CK206" s="1">
        <f t="shared" si="134"/>
        <v>15.8</v>
      </c>
      <c r="CL206" s="1">
        <f t="shared" si="135"/>
        <v>11.4</v>
      </c>
      <c r="CM206" s="1">
        <f t="shared" si="136"/>
        <v>9.6</v>
      </c>
      <c r="CN206" s="2">
        <f t="shared" si="137"/>
        <v>90.9</v>
      </c>
      <c r="CO206" s="1">
        <f t="shared" si="138"/>
        <v>3.9</v>
      </c>
      <c r="CP206" s="1">
        <f t="shared" si="139"/>
        <v>3.1</v>
      </c>
      <c r="CQ206" s="1">
        <f t="shared" si="140"/>
        <v>2.5</v>
      </c>
      <c r="CR206" s="1">
        <f t="shared" si="141"/>
        <v>2.4</v>
      </c>
      <c r="CS206" s="1">
        <f t="shared" si="142"/>
        <v>9.1999999999999993</v>
      </c>
      <c r="CT206" s="1">
        <f t="shared" si="143"/>
        <v>10.6</v>
      </c>
      <c r="CU206" s="1">
        <f t="shared" si="144"/>
        <v>9.1999999999999993</v>
      </c>
      <c r="CV206" s="2">
        <f t="shared" si="145"/>
        <v>17.7</v>
      </c>
      <c r="CW206" s="18">
        <f t="shared" si="146"/>
        <v>0</v>
      </c>
      <c r="CX206" s="1">
        <f>ROUND(PPTest!K206,1)</f>
        <v>0</v>
      </c>
      <c r="CY206" s="17">
        <f t="shared" si="147"/>
        <v>2.12</v>
      </c>
      <c r="CZ206" s="17">
        <f t="shared" si="148"/>
        <v>4.97</v>
      </c>
      <c r="DA206" s="20">
        <f t="shared" si="149"/>
        <v>0.49399999999999999</v>
      </c>
      <c r="DB206" s="20">
        <f t="shared" si="150"/>
        <v>2.2970000000000002</v>
      </c>
      <c r="DC206" s="16">
        <f t="shared" si="151"/>
        <v>11.88</v>
      </c>
      <c r="DF206" s="1">
        <v>19.8</v>
      </c>
      <c r="DG206" s="1">
        <v>25.6</v>
      </c>
      <c r="DH206" s="1">
        <v>13.6</v>
      </c>
      <c r="DI206" s="1">
        <v>42.6</v>
      </c>
      <c r="DJ206" s="1">
        <v>32</v>
      </c>
      <c r="DW206" s="1">
        <v>16.100000000000001</v>
      </c>
      <c r="DX206" s="1">
        <v>24.1</v>
      </c>
      <c r="DY206" s="1">
        <v>6.3</v>
      </c>
    </row>
    <row r="207" spans="1:129" x14ac:dyDescent="0.2">
      <c r="A207" s="40">
        <v>34900</v>
      </c>
      <c r="B207" s="3">
        <v>201</v>
      </c>
      <c r="C207" s="3">
        <v>16.559999999999999</v>
      </c>
      <c r="D207" s="3">
        <v>32.26</v>
      </c>
      <c r="E207" s="3">
        <v>15.56</v>
      </c>
      <c r="F207" s="3">
        <v>60.72</v>
      </c>
      <c r="G207" s="3">
        <v>15.24</v>
      </c>
      <c r="H207" s="3">
        <v>15.05</v>
      </c>
      <c r="I207" s="3">
        <v>15.12</v>
      </c>
      <c r="J207" s="3">
        <v>15.4</v>
      </c>
      <c r="K207" s="3">
        <v>15.9</v>
      </c>
      <c r="L207" s="3">
        <v>12.2</v>
      </c>
      <c r="M207" s="3">
        <v>11.04</v>
      </c>
      <c r="N207" s="3">
        <v>9.4499999999999993</v>
      </c>
      <c r="O207" s="3">
        <v>1E-3</v>
      </c>
      <c r="P207" s="16">
        <v>2.2574999999999998</v>
      </c>
      <c r="Q207" s="3">
        <v>0</v>
      </c>
      <c r="R207" s="3">
        <v>21.05</v>
      </c>
      <c r="S207" s="3">
        <v>1722</v>
      </c>
      <c r="T207" s="3">
        <v>87.5</v>
      </c>
      <c r="U207" s="3">
        <v>436</v>
      </c>
      <c r="V207" s="3">
        <v>21.96</v>
      </c>
      <c r="W207" s="3">
        <v>23.31</v>
      </c>
      <c r="X207" s="3">
        <v>29.83</v>
      </c>
      <c r="Y207" s="3">
        <v>23.52</v>
      </c>
      <c r="Z207" s="3">
        <v>23.94</v>
      </c>
      <c r="AA207" s="3">
        <v>13.78</v>
      </c>
      <c r="AB207" s="3">
        <v>11.31</v>
      </c>
      <c r="AC207" s="3">
        <v>9.59</v>
      </c>
      <c r="AD207" s="16">
        <v>5.5274999999999999</v>
      </c>
      <c r="AE207" s="3">
        <v>926</v>
      </c>
      <c r="AF207" s="3">
        <v>7.09</v>
      </c>
      <c r="AG207" s="3">
        <v>146</v>
      </c>
      <c r="AH207" s="3">
        <v>38.58</v>
      </c>
      <c r="AI207" s="3">
        <v>1722</v>
      </c>
      <c r="AJ207" s="3">
        <v>6.1950000000000003</v>
      </c>
      <c r="AK207" s="3">
        <v>5.4290000000000003</v>
      </c>
      <c r="AL207" s="3">
        <v>4.5970000000000004</v>
      </c>
      <c r="AM207" s="3">
        <v>5.4219999999999997</v>
      </c>
      <c r="AN207" s="3">
        <v>5.6840000000000002</v>
      </c>
      <c r="AO207" s="3">
        <v>10.34</v>
      </c>
      <c r="AP207" s="3">
        <v>10.78</v>
      </c>
      <c r="AQ207" s="3">
        <v>9.34</v>
      </c>
      <c r="AR207" s="3">
        <v>0.03</v>
      </c>
      <c r="AS207" s="3">
        <v>0.182</v>
      </c>
      <c r="AT207" s="3">
        <v>0.19400000000000001</v>
      </c>
      <c r="AU207" s="3">
        <v>2.5000000000000001E-2</v>
      </c>
      <c r="AV207" s="3">
        <v>0.108</v>
      </c>
      <c r="AW207" s="3">
        <v>0.35099999999999998</v>
      </c>
      <c r="AX207" s="3">
        <v>8.3000000000000004E-2</v>
      </c>
      <c r="AY207" s="3">
        <v>2.7E-2</v>
      </c>
      <c r="AZ207" s="3">
        <v>14.98</v>
      </c>
      <c r="BA207" s="3"/>
      <c r="BB207" s="3">
        <v>11.87</v>
      </c>
      <c r="BC207" s="3">
        <v>2876</v>
      </c>
      <c r="BD207" s="3"/>
      <c r="BE207" s="3"/>
      <c r="BF207" s="3">
        <v>0</v>
      </c>
      <c r="BH207" s="16">
        <v>31.17</v>
      </c>
      <c r="BI207" s="16">
        <f t="shared" si="152"/>
        <v>62.963400000000007</v>
      </c>
      <c r="BJ207" s="17">
        <f t="shared" si="153"/>
        <v>16.559999999999999</v>
      </c>
      <c r="BK207" s="17">
        <f t="shared" si="154"/>
        <v>34.840000000000003</v>
      </c>
      <c r="BM207" s="1">
        <f t="shared" si="155"/>
        <v>81.900000000000006</v>
      </c>
      <c r="BN207" s="1">
        <f t="shared" si="156"/>
        <v>57.1</v>
      </c>
      <c r="BO207" s="1">
        <f t="shared" si="157"/>
        <v>36.6</v>
      </c>
      <c r="BP207" s="62">
        <f t="shared" si="159"/>
        <v>0.91300000000000003</v>
      </c>
      <c r="BQ207" s="62">
        <f t="shared" si="158"/>
        <v>1.5820000000000001</v>
      </c>
      <c r="BS207" s="1">
        <v>0.3</v>
      </c>
      <c r="BT207" s="8"/>
      <c r="BV207" s="8"/>
      <c r="BW207" s="16">
        <f t="shared" si="120"/>
        <v>16.559999999999999</v>
      </c>
      <c r="BX207" s="16">
        <f t="shared" si="121"/>
        <v>34.840000000000003</v>
      </c>
      <c r="BY207" s="3">
        <f t="shared" si="122"/>
        <v>15.6</v>
      </c>
      <c r="BZ207" s="3">
        <f t="shared" si="123"/>
        <v>15.2</v>
      </c>
      <c r="CA207" s="3">
        <f t="shared" si="124"/>
        <v>15.1</v>
      </c>
      <c r="CB207" s="3">
        <f t="shared" si="125"/>
        <v>15.1</v>
      </c>
      <c r="CC207" s="3">
        <f t="shared" si="126"/>
        <v>12.2</v>
      </c>
      <c r="CD207" s="3">
        <f t="shared" si="127"/>
        <v>11</v>
      </c>
      <c r="CE207" s="3">
        <f t="shared" si="128"/>
        <v>9.5</v>
      </c>
      <c r="CF207" s="23">
        <f t="shared" si="129"/>
        <v>57.1</v>
      </c>
      <c r="CG207" s="1">
        <f t="shared" si="130"/>
        <v>21.1</v>
      </c>
      <c r="CH207" s="1">
        <f t="shared" si="131"/>
        <v>22</v>
      </c>
      <c r="CI207" s="1">
        <f t="shared" si="132"/>
        <v>23.3</v>
      </c>
      <c r="CJ207" s="1">
        <f t="shared" si="133"/>
        <v>29.8</v>
      </c>
      <c r="CK207" s="1">
        <f t="shared" si="134"/>
        <v>13.8</v>
      </c>
      <c r="CL207" s="1">
        <f t="shared" si="135"/>
        <v>11.3</v>
      </c>
      <c r="CM207" s="1">
        <f t="shared" si="136"/>
        <v>9.6</v>
      </c>
      <c r="CN207" s="2">
        <f t="shared" si="137"/>
        <v>81.900000000000006</v>
      </c>
      <c r="CO207" s="1">
        <f t="shared" si="138"/>
        <v>7.1</v>
      </c>
      <c r="CP207" s="1">
        <f t="shared" si="139"/>
        <v>6.2</v>
      </c>
      <c r="CQ207" s="1">
        <f t="shared" si="140"/>
        <v>5.4</v>
      </c>
      <c r="CR207" s="1">
        <f t="shared" si="141"/>
        <v>4.5999999999999996</v>
      </c>
      <c r="CS207" s="1">
        <f t="shared" si="142"/>
        <v>10.3</v>
      </c>
      <c r="CT207" s="1">
        <f t="shared" si="143"/>
        <v>10.8</v>
      </c>
      <c r="CU207" s="1">
        <f t="shared" si="144"/>
        <v>9.3000000000000007</v>
      </c>
      <c r="CV207" s="2">
        <f t="shared" si="145"/>
        <v>36.6</v>
      </c>
      <c r="CW207" s="18">
        <f t="shared" si="146"/>
        <v>0</v>
      </c>
      <c r="CX207" s="1">
        <f>ROUND(PPTest!K207,1)</f>
        <v>0</v>
      </c>
      <c r="CY207" s="17">
        <f t="shared" si="147"/>
        <v>2.2599999999999998</v>
      </c>
      <c r="CZ207" s="17">
        <f t="shared" si="148"/>
        <v>5.53</v>
      </c>
      <c r="DA207" s="20">
        <f t="shared" si="149"/>
        <v>0.91300000000000003</v>
      </c>
      <c r="DB207" s="20">
        <f t="shared" si="150"/>
        <v>1.5820000000000001</v>
      </c>
      <c r="DC207" s="16">
        <f t="shared" si="151"/>
        <v>11.87</v>
      </c>
      <c r="DF207" s="1">
        <v>20.399999999999999</v>
      </c>
      <c r="DG207" s="1">
        <v>24.6</v>
      </c>
      <c r="DH207" s="1">
        <v>15.4</v>
      </c>
      <c r="DI207" s="1">
        <v>45.3</v>
      </c>
      <c r="DJ207" s="1">
        <v>38</v>
      </c>
      <c r="DW207" s="1">
        <v>17.2</v>
      </c>
      <c r="DX207" s="1">
        <v>23.4</v>
      </c>
      <c r="DY207" s="1">
        <v>9.1</v>
      </c>
    </row>
    <row r="208" spans="1:129" x14ac:dyDescent="0.2">
      <c r="A208" s="40">
        <v>34901</v>
      </c>
      <c r="B208" s="3">
        <v>202</v>
      </c>
      <c r="C208" s="41">
        <v>23.56</v>
      </c>
      <c r="D208" s="3">
        <v>45.33</v>
      </c>
      <c r="E208" s="3">
        <v>12.96</v>
      </c>
      <c r="F208" s="3">
        <v>70.5</v>
      </c>
      <c r="G208" s="3">
        <v>12.73</v>
      </c>
      <c r="H208" s="3">
        <v>12.58</v>
      </c>
      <c r="I208" s="3">
        <v>13.31</v>
      </c>
      <c r="J208" s="3">
        <v>13.55</v>
      </c>
      <c r="K208" s="3">
        <v>13.78</v>
      </c>
      <c r="L208" s="3">
        <v>12.19</v>
      </c>
      <c r="M208" s="3">
        <v>11</v>
      </c>
      <c r="N208" s="3">
        <v>9.49</v>
      </c>
      <c r="O208" s="3">
        <v>1E-3</v>
      </c>
      <c r="P208" s="16">
        <v>1.924166666666667</v>
      </c>
      <c r="Q208" s="3">
        <v>0</v>
      </c>
      <c r="R208" s="3">
        <v>19.04</v>
      </c>
      <c r="S208" s="3">
        <v>1640</v>
      </c>
      <c r="T208" s="3">
        <v>96.1</v>
      </c>
      <c r="U208" s="3">
        <v>510</v>
      </c>
      <c r="V208" s="3">
        <v>21.41</v>
      </c>
      <c r="W208" s="3">
        <v>21.86</v>
      </c>
      <c r="X208" s="3">
        <v>29.16</v>
      </c>
      <c r="Y208" s="3">
        <v>23.48</v>
      </c>
      <c r="Z208" s="3">
        <v>22.49</v>
      </c>
      <c r="AA208" s="3">
        <v>14.76</v>
      </c>
      <c r="AB208" s="3">
        <v>11.3</v>
      </c>
      <c r="AC208" s="3">
        <v>9.66</v>
      </c>
      <c r="AD208" s="16">
        <v>5.9541666666666666</v>
      </c>
      <c r="AE208" s="3">
        <v>1202</v>
      </c>
      <c r="AF208" s="3">
        <v>6.61</v>
      </c>
      <c r="AG208" s="3">
        <v>0</v>
      </c>
      <c r="AH208" s="3">
        <v>36.200000000000003</v>
      </c>
      <c r="AI208" s="3">
        <v>1540</v>
      </c>
      <c r="AJ208" s="3">
        <v>5.6660000000000004</v>
      </c>
      <c r="AK208" s="3">
        <v>4.9340000000000002</v>
      </c>
      <c r="AL208" s="3">
        <v>4.867</v>
      </c>
      <c r="AM208" s="3">
        <v>5.3010000000000002</v>
      </c>
      <c r="AN208" s="3">
        <v>5.5629999999999997</v>
      </c>
      <c r="AO208" s="3">
        <v>10.26</v>
      </c>
      <c r="AP208" s="3">
        <v>10.72</v>
      </c>
      <c r="AQ208" s="3">
        <v>9.39</v>
      </c>
      <c r="AR208" s="3">
        <v>5.8000000000000003E-2</v>
      </c>
      <c r="AS208" s="3">
        <v>0.32400000000000001</v>
      </c>
      <c r="AT208" s="3">
        <v>0.16900000000000001</v>
      </c>
      <c r="AU208" s="3">
        <v>7.0000000000000001E-3</v>
      </c>
      <c r="AV208" s="3">
        <v>7.2999999999999995E-2</v>
      </c>
      <c r="AW208" s="3">
        <v>0.20599999999999999</v>
      </c>
      <c r="AX208" s="3">
        <v>0.108</v>
      </c>
      <c r="AY208" s="3">
        <v>5.5E-2</v>
      </c>
      <c r="AZ208" s="3">
        <v>13.29</v>
      </c>
      <c r="BA208" s="3"/>
      <c r="BB208" s="3">
        <v>11.87</v>
      </c>
      <c r="BC208" s="3">
        <v>2876</v>
      </c>
      <c r="BD208" s="3"/>
      <c r="BE208" s="3"/>
      <c r="BF208" s="3">
        <v>0</v>
      </c>
      <c r="BH208" s="16">
        <v>31.03</v>
      </c>
      <c r="BI208" s="16">
        <f t="shared" si="152"/>
        <v>62.680600000000005</v>
      </c>
      <c r="BJ208" s="17">
        <f t="shared" si="153"/>
        <v>23.56</v>
      </c>
      <c r="BK208" s="17">
        <f t="shared" si="154"/>
        <v>48.96</v>
      </c>
      <c r="BM208" s="1">
        <f t="shared" si="155"/>
        <v>89.8</v>
      </c>
      <c r="BN208" s="1">
        <f t="shared" si="156"/>
        <v>66.099999999999994</v>
      </c>
      <c r="BO208" s="1">
        <f t="shared" si="157"/>
        <v>34.4</v>
      </c>
      <c r="BP208" s="62">
        <f t="shared" si="159"/>
        <v>0.75800000000000001</v>
      </c>
      <c r="BQ208" s="62">
        <f t="shared" si="158"/>
        <v>1.4450000000000001</v>
      </c>
      <c r="BS208" s="1">
        <v>0.8</v>
      </c>
      <c r="BT208" s="8"/>
      <c r="BV208" s="8"/>
      <c r="BW208" s="16">
        <f t="shared" si="120"/>
        <v>23.56</v>
      </c>
      <c r="BX208" s="16">
        <f t="shared" si="121"/>
        <v>48.96</v>
      </c>
      <c r="BY208" s="3">
        <f t="shared" si="122"/>
        <v>13</v>
      </c>
      <c r="BZ208" s="3">
        <f t="shared" si="123"/>
        <v>12.7</v>
      </c>
      <c r="CA208" s="3">
        <f t="shared" si="124"/>
        <v>12.6</v>
      </c>
      <c r="CB208" s="3">
        <f t="shared" si="125"/>
        <v>13.3</v>
      </c>
      <c r="CC208" s="3">
        <f t="shared" si="126"/>
        <v>12.2</v>
      </c>
      <c r="CD208" s="3">
        <f t="shared" si="127"/>
        <v>11</v>
      </c>
      <c r="CE208" s="3">
        <f t="shared" si="128"/>
        <v>9.5</v>
      </c>
      <c r="CF208" s="23">
        <f t="shared" si="129"/>
        <v>66.099999999999994</v>
      </c>
      <c r="CG208" s="1">
        <f t="shared" si="130"/>
        <v>19</v>
      </c>
      <c r="CH208" s="1">
        <f t="shared" si="131"/>
        <v>21.4</v>
      </c>
      <c r="CI208" s="1">
        <f t="shared" si="132"/>
        <v>21.9</v>
      </c>
      <c r="CJ208" s="1">
        <f t="shared" si="133"/>
        <v>29.2</v>
      </c>
      <c r="CK208" s="1">
        <f t="shared" si="134"/>
        <v>14.8</v>
      </c>
      <c r="CL208" s="1">
        <f t="shared" si="135"/>
        <v>11.3</v>
      </c>
      <c r="CM208" s="1">
        <f t="shared" si="136"/>
        <v>9.6999999999999993</v>
      </c>
      <c r="CN208" s="2">
        <f t="shared" si="137"/>
        <v>89.8</v>
      </c>
      <c r="CO208" s="1">
        <f t="shared" si="138"/>
        <v>6.6</v>
      </c>
      <c r="CP208" s="1">
        <f t="shared" si="139"/>
        <v>5.7</v>
      </c>
      <c r="CQ208" s="1">
        <f t="shared" si="140"/>
        <v>4.9000000000000004</v>
      </c>
      <c r="CR208" s="1">
        <f t="shared" si="141"/>
        <v>4.9000000000000004</v>
      </c>
      <c r="CS208" s="1">
        <f t="shared" si="142"/>
        <v>10.3</v>
      </c>
      <c r="CT208" s="1">
        <f t="shared" si="143"/>
        <v>10.7</v>
      </c>
      <c r="CU208" s="1">
        <f t="shared" si="144"/>
        <v>9.4</v>
      </c>
      <c r="CV208" s="2">
        <f t="shared" si="145"/>
        <v>34.4</v>
      </c>
      <c r="CW208" s="18">
        <f t="shared" si="146"/>
        <v>0</v>
      </c>
      <c r="CX208" s="1">
        <f>ROUND(PPTest!K208,1)</f>
        <v>0</v>
      </c>
      <c r="CY208" s="17">
        <f t="shared" si="147"/>
        <v>1.92</v>
      </c>
      <c r="CZ208" s="17">
        <f t="shared" si="148"/>
        <v>5.95</v>
      </c>
      <c r="DA208" s="20">
        <f t="shared" si="149"/>
        <v>0.75800000000000001</v>
      </c>
      <c r="DB208" s="20">
        <f t="shared" si="150"/>
        <v>1.4450000000000001</v>
      </c>
      <c r="DC208" s="16">
        <f t="shared" si="151"/>
        <v>11.87</v>
      </c>
      <c r="DF208" s="1">
        <v>16.8</v>
      </c>
      <c r="DG208" s="1">
        <v>21.2</v>
      </c>
      <c r="DH208" s="1">
        <v>13.8</v>
      </c>
      <c r="DI208" s="1">
        <v>57.2</v>
      </c>
      <c r="DJ208" s="1">
        <v>44</v>
      </c>
      <c r="DW208" s="1">
        <v>13.9</v>
      </c>
      <c r="DX208" s="1">
        <v>19.3</v>
      </c>
      <c r="DY208" s="1">
        <v>6.9</v>
      </c>
    </row>
    <row r="209" spans="1:129" x14ac:dyDescent="0.2">
      <c r="A209" s="40">
        <v>34902</v>
      </c>
      <c r="B209" s="3">
        <v>203</v>
      </c>
      <c r="C209" s="41">
        <v>25.3</v>
      </c>
      <c r="D209" s="3">
        <v>47.79</v>
      </c>
      <c r="E209" s="3">
        <v>14.32</v>
      </c>
      <c r="F209" s="3">
        <v>65.22</v>
      </c>
      <c r="G209" s="3">
        <v>14.18</v>
      </c>
      <c r="H209" s="3">
        <v>14.08</v>
      </c>
      <c r="I209" s="3">
        <v>15.13</v>
      </c>
      <c r="J209" s="3">
        <v>14.81</v>
      </c>
      <c r="K209" s="3">
        <v>15.11</v>
      </c>
      <c r="L209" s="3">
        <v>12.16</v>
      </c>
      <c r="M209" s="3">
        <v>10.9</v>
      </c>
      <c r="N209" s="3">
        <v>9.48</v>
      </c>
      <c r="O209" s="3">
        <v>1E-3</v>
      </c>
      <c r="P209" s="16">
        <v>2.2258333333333331</v>
      </c>
      <c r="Q209" s="3">
        <v>1</v>
      </c>
      <c r="R209" s="3">
        <v>21.46</v>
      </c>
      <c r="S209" s="3">
        <v>1641</v>
      </c>
      <c r="T209" s="3">
        <v>99</v>
      </c>
      <c r="U209" s="3">
        <v>313</v>
      </c>
      <c r="V209" s="3">
        <v>22.65</v>
      </c>
      <c r="W209" s="3">
        <v>23.2</v>
      </c>
      <c r="X209" s="3">
        <v>28.81</v>
      </c>
      <c r="Y209" s="3">
        <v>23.76</v>
      </c>
      <c r="Z209" s="3">
        <v>24.45</v>
      </c>
      <c r="AA209" s="3">
        <v>14.79</v>
      </c>
      <c r="AB209" s="3">
        <v>11.36</v>
      </c>
      <c r="AC209" s="3">
        <v>9.64</v>
      </c>
      <c r="AD209" s="16">
        <v>5.8608333333333329</v>
      </c>
      <c r="AE209" s="3">
        <v>1654</v>
      </c>
      <c r="AF209" s="3">
        <v>4.2309999999999999</v>
      </c>
      <c r="AG209" s="3">
        <v>253</v>
      </c>
      <c r="AH209" s="3">
        <v>37.35</v>
      </c>
      <c r="AI209" s="3">
        <v>1629</v>
      </c>
      <c r="AJ209" s="3">
        <v>3.5059999999999998</v>
      </c>
      <c r="AK209" s="3">
        <v>2.831</v>
      </c>
      <c r="AL209" s="3">
        <v>1.8480000000000001</v>
      </c>
      <c r="AM209" s="3">
        <v>2.8839999999999999</v>
      </c>
      <c r="AN209" s="3">
        <v>3.056</v>
      </c>
      <c r="AO209" s="3">
        <v>9.4700000000000006</v>
      </c>
      <c r="AP209" s="3">
        <v>10.57</v>
      </c>
      <c r="AQ209" s="3">
        <v>9.32</v>
      </c>
      <c r="AR209" s="3">
        <v>1.4999999999999999E-2</v>
      </c>
      <c r="AS209" s="3">
        <v>0.151</v>
      </c>
      <c r="AT209" s="3">
        <v>0.191</v>
      </c>
      <c r="AU209" s="3">
        <v>2.9000000000000001E-2</v>
      </c>
      <c r="AV209" s="3">
        <v>0.14599999999999999</v>
      </c>
      <c r="AW209" s="3">
        <v>0.33500000000000002</v>
      </c>
      <c r="AX209" s="3">
        <v>0.11</v>
      </c>
      <c r="AY209" s="3">
        <v>2.3E-2</v>
      </c>
      <c r="AZ209" s="3">
        <v>14.35</v>
      </c>
      <c r="BA209" s="3"/>
      <c r="BB209" s="3">
        <v>11.87</v>
      </c>
      <c r="BC209" s="3">
        <v>2876</v>
      </c>
      <c r="BD209" s="3"/>
      <c r="BE209" s="3"/>
      <c r="BF209" s="3">
        <v>0</v>
      </c>
      <c r="BH209" s="16">
        <v>30.9</v>
      </c>
      <c r="BI209" s="16">
        <f t="shared" si="152"/>
        <v>62.417999999999999</v>
      </c>
      <c r="BJ209" s="17">
        <f t="shared" si="153"/>
        <v>25.3</v>
      </c>
      <c r="BK209" s="17">
        <f t="shared" si="154"/>
        <v>51.61</v>
      </c>
      <c r="BM209" s="1">
        <f t="shared" si="155"/>
        <v>92.5</v>
      </c>
      <c r="BN209" s="1">
        <f t="shared" si="156"/>
        <v>61.3</v>
      </c>
      <c r="BO209" s="1">
        <f t="shared" si="157"/>
        <v>35.5</v>
      </c>
      <c r="BP209" s="62">
        <f t="shared" si="159"/>
        <v>0.90800000000000003</v>
      </c>
      <c r="BQ209" s="62">
        <f t="shared" si="158"/>
        <v>1.65</v>
      </c>
      <c r="BS209" s="1">
        <v>1.8</v>
      </c>
      <c r="BT209" s="8"/>
      <c r="BV209" s="8"/>
      <c r="BW209" s="16">
        <f t="shared" si="120"/>
        <v>25.3</v>
      </c>
      <c r="BX209" s="16">
        <f t="shared" si="121"/>
        <v>51.61</v>
      </c>
      <c r="BY209" s="3">
        <f t="shared" si="122"/>
        <v>14.3</v>
      </c>
      <c r="BZ209" s="3">
        <f t="shared" si="123"/>
        <v>14.2</v>
      </c>
      <c r="CA209" s="3">
        <f t="shared" si="124"/>
        <v>14.1</v>
      </c>
      <c r="CB209" s="3">
        <f t="shared" si="125"/>
        <v>15.1</v>
      </c>
      <c r="CC209" s="3">
        <f t="shared" si="126"/>
        <v>12.2</v>
      </c>
      <c r="CD209" s="3">
        <f t="shared" si="127"/>
        <v>10.9</v>
      </c>
      <c r="CE209" s="3">
        <f t="shared" si="128"/>
        <v>9.5</v>
      </c>
      <c r="CF209" s="23">
        <f t="shared" si="129"/>
        <v>61.3</v>
      </c>
      <c r="CG209" s="1">
        <f t="shared" si="130"/>
        <v>21.5</v>
      </c>
      <c r="CH209" s="1">
        <f t="shared" si="131"/>
        <v>22.7</v>
      </c>
      <c r="CI209" s="1">
        <f t="shared" si="132"/>
        <v>23.2</v>
      </c>
      <c r="CJ209" s="1">
        <f t="shared" si="133"/>
        <v>28.8</v>
      </c>
      <c r="CK209" s="1">
        <f t="shared" si="134"/>
        <v>14.8</v>
      </c>
      <c r="CL209" s="1">
        <f t="shared" si="135"/>
        <v>11.4</v>
      </c>
      <c r="CM209" s="1">
        <f t="shared" si="136"/>
        <v>9.6</v>
      </c>
      <c r="CN209" s="2">
        <f t="shared" si="137"/>
        <v>92.5</v>
      </c>
      <c r="CO209" s="1">
        <f t="shared" si="138"/>
        <v>4.2</v>
      </c>
      <c r="CP209" s="1">
        <f t="shared" si="139"/>
        <v>3.5</v>
      </c>
      <c r="CQ209" s="1">
        <f t="shared" si="140"/>
        <v>2.8</v>
      </c>
      <c r="CR209" s="1">
        <f t="shared" si="141"/>
        <v>1.8</v>
      </c>
      <c r="CS209" s="1">
        <f t="shared" si="142"/>
        <v>9.5</v>
      </c>
      <c r="CT209" s="1">
        <f t="shared" si="143"/>
        <v>10.6</v>
      </c>
      <c r="CU209" s="1">
        <f t="shared" si="144"/>
        <v>9.3000000000000007</v>
      </c>
      <c r="CV209" s="2">
        <f t="shared" si="145"/>
        <v>35.5</v>
      </c>
      <c r="CW209" s="18">
        <f t="shared" si="146"/>
        <v>0</v>
      </c>
      <c r="CX209" s="1">
        <f>ROUND(PPTest!K209,1)</f>
        <v>1</v>
      </c>
      <c r="CY209" s="17">
        <f t="shared" si="147"/>
        <v>2.23</v>
      </c>
      <c r="CZ209" s="17">
        <f t="shared" si="148"/>
        <v>5.86</v>
      </c>
      <c r="DA209" s="20">
        <f t="shared" si="149"/>
        <v>0.90800000000000003</v>
      </c>
      <c r="DB209" s="20">
        <f t="shared" si="150"/>
        <v>1.65</v>
      </c>
      <c r="DC209" s="16">
        <f t="shared" si="151"/>
        <v>11.87</v>
      </c>
      <c r="DF209" s="1">
        <v>18.3</v>
      </c>
      <c r="DG209" s="1">
        <v>24.1</v>
      </c>
      <c r="DH209" s="1">
        <v>13.1</v>
      </c>
      <c r="DI209" s="1">
        <v>58.1</v>
      </c>
      <c r="DJ209" s="1">
        <v>42</v>
      </c>
      <c r="DW209" s="1">
        <v>14.3</v>
      </c>
      <c r="DX209" s="1">
        <v>22.2</v>
      </c>
      <c r="DY209" s="1">
        <v>4.8</v>
      </c>
    </row>
    <row r="210" spans="1:129" x14ac:dyDescent="0.2">
      <c r="A210" s="40">
        <v>34903</v>
      </c>
      <c r="B210" s="3">
        <v>204</v>
      </c>
      <c r="C210" s="41">
        <v>12.06</v>
      </c>
      <c r="D210" s="3">
        <v>23.66</v>
      </c>
      <c r="E210" s="3">
        <v>11.49</v>
      </c>
      <c r="F210" s="3">
        <v>85.1</v>
      </c>
      <c r="G210" s="3">
        <v>11.33</v>
      </c>
      <c r="H210" s="3">
        <v>11.27</v>
      </c>
      <c r="I210" s="3">
        <v>11.9</v>
      </c>
      <c r="J210" s="3">
        <v>11.56</v>
      </c>
      <c r="K210" s="3">
        <v>11.83</v>
      </c>
      <c r="L210" s="3">
        <v>11.99</v>
      </c>
      <c r="M210" s="3">
        <v>11.1</v>
      </c>
      <c r="N210" s="3">
        <v>9.57</v>
      </c>
      <c r="O210" s="3">
        <v>1E-3</v>
      </c>
      <c r="P210" s="16">
        <v>1.2931666666666666</v>
      </c>
      <c r="Q210" s="3">
        <v>4</v>
      </c>
      <c r="R210" s="3">
        <v>14.66</v>
      </c>
      <c r="S210" s="3">
        <v>1225</v>
      </c>
      <c r="T210" s="3">
        <v>104.2</v>
      </c>
      <c r="U210" s="3">
        <v>2352</v>
      </c>
      <c r="V210" s="3">
        <v>15.61</v>
      </c>
      <c r="W210" s="3">
        <v>18.47</v>
      </c>
      <c r="X210" s="3">
        <v>19.95</v>
      </c>
      <c r="Y210" s="3">
        <v>18.07</v>
      </c>
      <c r="Z210" s="3">
        <v>18.25</v>
      </c>
      <c r="AA210" s="3">
        <v>13.13</v>
      </c>
      <c r="AB210" s="3">
        <v>11.34</v>
      </c>
      <c r="AC210" s="3">
        <v>9.66</v>
      </c>
      <c r="AD210" s="16">
        <v>4.4208333333333334</v>
      </c>
      <c r="AE210" s="3">
        <v>1030</v>
      </c>
      <c r="AF210" s="3">
        <v>8.25</v>
      </c>
      <c r="AG210" s="3">
        <v>442</v>
      </c>
      <c r="AH210" s="3">
        <v>55.77</v>
      </c>
      <c r="AI210" s="3">
        <v>1231</v>
      </c>
      <c r="AJ210" s="3">
        <v>7.56</v>
      </c>
      <c r="AK210" s="3">
        <v>6.915</v>
      </c>
      <c r="AL210" s="3">
        <v>6.375</v>
      </c>
      <c r="AM210" s="3">
        <v>6.9249999999999998</v>
      </c>
      <c r="AN210" s="3">
        <v>7.13</v>
      </c>
      <c r="AO210" s="3">
        <v>10.79</v>
      </c>
      <c r="AP210" s="3">
        <v>10.93</v>
      </c>
      <c r="AQ210" s="3">
        <v>9.4600000000000009</v>
      </c>
      <c r="AR210" s="3">
        <v>9.1999999999999998E-2</v>
      </c>
      <c r="AS210" s="3">
        <v>0.19700000000000001</v>
      </c>
      <c r="AT210" s="3">
        <v>0.14899999999999999</v>
      </c>
      <c r="AU210" s="3">
        <v>3.6999999999999998E-2</v>
      </c>
      <c r="AV210" s="3">
        <v>0.11600000000000001</v>
      </c>
      <c r="AW210" s="3">
        <v>0.246</v>
      </c>
      <c r="AX210" s="3">
        <v>0.10299999999999999</v>
      </c>
      <c r="AY210" s="3">
        <v>0.06</v>
      </c>
      <c r="AZ210" s="3">
        <v>11.77</v>
      </c>
      <c r="BA210" s="3"/>
      <c r="BB210" s="3">
        <v>11.84</v>
      </c>
      <c r="BC210" s="3">
        <v>2876</v>
      </c>
      <c r="BD210" s="3"/>
      <c r="BE210" s="3"/>
      <c r="BF210" s="3">
        <v>0</v>
      </c>
      <c r="BH210" s="16">
        <v>30.76</v>
      </c>
      <c r="BI210" s="16">
        <f t="shared" si="152"/>
        <v>62.135200000000005</v>
      </c>
      <c r="BJ210" s="17">
        <f t="shared" si="153"/>
        <v>12.06</v>
      </c>
      <c r="BK210" s="17">
        <f t="shared" si="154"/>
        <v>25.55</v>
      </c>
      <c r="BM210" s="1">
        <f t="shared" si="155"/>
        <v>97.3</v>
      </c>
      <c r="BN210" s="1">
        <f t="shared" si="156"/>
        <v>79.599999999999994</v>
      </c>
      <c r="BO210" s="1">
        <f t="shared" si="157"/>
        <v>52.5</v>
      </c>
      <c r="BP210" s="62">
        <f t="shared" si="159"/>
        <v>0.876</v>
      </c>
      <c r="BQ210" s="62">
        <f t="shared" si="158"/>
        <v>0.79300000000000004</v>
      </c>
      <c r="BS210" s="1">
        <v>5.4</v>
      </c>
      <c r="BT210" s="8"/>
      <c r="BV210" s="8"/>
      <c r="BW210" s="16">
        <f t="shared" si="120"/>
        <v>12.06</v>
      </c>
      <c r="BX210" s="16">
        <f t="shared" si="121"/>
        <v>25.55</v>
      </c>
      <c r="BY210" s="3">
        <f t="shared" si="122"/>
        <v>11.5</v>
      </c>
      <c r="BZ210" s="3">
        <f t="shared" si="123"/>
        <v>11.3</v>
      </c>
      <c r="CA210" s="3">
        <f t="shared" si="124"/>
        <v>11.3</v>
      </c>
      <c r="CB210" s="3">
        <f t="shared" si="125"/>
        <v>11.9</v>
      </c>
      <c r="CC210" s="3">
        <f t="shared" si="126"/>
        <v>12</v>
      </c>
      <c r="CD210" s="3">
        <f t="shared" si="127"/>
        <v>11.1</v>
      </c>
      <c r="CE210" s="3">
        <f t="shared" si="128"/>
        <v>9.6</v>
      </c>
      <c r="CF210" s="23">
        <f t="shared" si="129"/>
        <v>79.599999999999994</v>
      </c>
      <c r="CG210" s="1">
        <f t="shared" si="130"/>
        <v>14.7</v>
      </c>
      <c r="CH210" s="1">
        <f t="shared" si="131"/>
        <v>15.6</v>
      </c>
      <c r="CI210" s="1">
        <f t="shared" si="132"/>
        <v>18.5</v>
      </c>
      <c r="CJ210" s="1">
        <f t="shared" si="133"/>
        <v>20</v>
      </c>
      <c r="CK210" s="1">
        <f t="shared" si="134"/>
        <v>13.1</v>
      </c>
      <c r="CL210" s="1">
        <f t="shared" si="135"/>
        <v>11.3</v>
      </c>
      <c r="CM210" s="1">
        <f t="shared" si="136"/>
        <v>9.6999999999999993</v>
      </c>
      <c r="CN210" s="2">
        <f t="shared" si="137"/>
        <v>97.3</v>
      </c>
      <c r="CO210" s="1">
        <f t="shared" si="138"/>
        <v>8.3000000000000007</v>
      </c>
      <c r="CP210" s="1">
        <f t="shared" si="139"/>
        <v>7.6</v>
      </c>
      <c r="CQ210" s="1">
        <f t="shared" si="140"/>
        <v>6.9</v>
      </c>
      <c r="CR210" s="1">
        <f t="shared" si="141"/>
        <v>6.4</v>
      </c>
      <c r="CS210" s="1">
        <f t="shared" si="142"/>
        <v>10.8</v>
      </c>
      <c r="CT210" s="1">
        <f t="shared" si="143"/>
        <v>10.9</v>
      </c>
      <c r="CU210" s="1">
        <f t="shared" si="144"/>
        <v>9.5</v>
      </c>
      <c r="CV210" s="2">
        <f t="shared" si="145"/>
        <v>52.5</v>
      </c>
      <c r="CW210" s="18">
        <f t="shared" si="146"/>
        <v>0</v>
      </c>
      <c r="CX210" s="1">
        <f>ROUND(PPTest!K210,1)</f>
        <v>4</v>
      </c>
      <c r="CY210" s="17">
        <f t="shared" si="147"/>
        <v>1.29</v>
      </c>
      <c r="CZ210" s="17">
        <f t="shared" si="148"/>
        <v>4.42</v>
      </c>
      <c r="DA210" s="20">
        <f t="shared" si="149"/>
        <v>0.876</v>
      </c>
      <c r="DB210" s="20">
        <f t="shared" si="150"/>
        <v>0.79300000000000004</v>
      </c>
      <c r="DC210" s="16">
        <f t="shared" si="151"/>
        <v>11.84</v>
      </c>
      <c r="DF210" s="1">
        <v>13.3</v>
      </c>
      <c r="DG210" s="1">
        <v>16.600000000000001</v>
      </c>
      <c r="DH210" s="1">
        <v>10.5</v>
      </c>
      <c r="DI210" s="1">
        <v>84.8</v>
      </c>
      <c r="DJ210" s="1">
        <v>70</v>
      </c>
      <c r="DW210" s="1">
        <v>11.9</v>
      </c>
      <c r="DX210" s="1">
        <v>16.899999999999999</v>
      </c>
      <c r="DY210" s="1">
        <v>5.6</v>
      </c>
    </row>
    <row r="211" spans="1:129" x14ac:dyDescent="0.2">
      <c r="A211" s="40">
        <v>34904</v>
      </c>
      <c r="B211" s="3">
        <v>205</v>
      </c>
      <c r="C211" s="3">
        <v>14.68</v>
      </c>
      <c r="D211" s="3">
        <v>28.3</v>
      </c>
      <c r="E211" s="3">
        <v>11.59</v>
      </c>
      <c r="F211" s="3">
        <v>92.5</v>
      </c>
      <c r="G211" s="3">
        <v>11.56</v>
      </c>
      <c r="H211" s="3">
        <v>11.61</v>
      </c>
      <c r="I211" s="3">
        <v>13.02</v>
      </c>
      <c r="J211" s="3">
        <v>12.12</v>
      </c>
      <c r="K211" s="3">
        <v>12.3</v>
      </c>
      <c r="L211" s="3">
        <v>11.97</v>
      </c>
      <c r="M211" s="3">
        <v>10.94</v>
      </c>
      <c r="N211" s="3">
        <v>9.61</v>
      </c>
      <c r="O211" s="3">
        <v>1E-3</v>
      </c>
      <c r="P211" s="16">
        <v>1.3679999999999999</v>
      </c>
      <c r="Q211" s="3">
        <v>1</v>
      </c>
      <c r="R211" s="3">
        <v>15.61</v>
      </c>
      <c r="S211" s="3">
        <v>1616</v>
      </c>
      <c r="T211" s="3">
        <v>105.7</v>
      </c>
      <c r="U211" s="3">
        <v>335</v>
      </c>
      <c r="V211" s="3">
        <v>16.53</v>
      </c>
      <c r="W211" s="3">
        <v>18.48</v>
      </c>
      <c r="X211" s="3">
        <v>21.44</v>
      </c>
      <c r="Y211" s="3">
        <v>18.510000000000002</v>
      </c>
      <c r="Z211" s="3">
        <v>18.39</v>
      </c>
      <c r="AA211" s="3">
        <v>13.32</v>
      </c>
      <c r="AB211" s="3">
        <v>11.11</v>
      </c>
      <c r="AC211" s="3">
        <v>9.6999999999999993</v>
      </c>
      <c r="AD211" s="16">
        <v>4.8608333333333338</v>
      </c>
      <c r="AE211" s="3">
        <v>1156</v>
      </c>
      <c r="AF211" s="3">
        <v>8.57</v>
      </c>
      <c r="AG211" s="3">
        <v>411</v>
      </c>
      <c r="AH211" s="3">
        <v>65.099999999999994</v>
      </c>
      <c r="AI211" s="3">
        <v>1409</v>
      </c>
      <c r="AJ211" s="3">
        <v>8.1999999999999993</v>
      </c>
      <c r="AK211" s="3">
        <v>7.95</v>
      </c>
      <c r="AL211" s="3">
        <v>8.16</v>
      </c>
      <c r="AM211" s="3">
        <v>8</v>
      </c>
      <c r="AN211" s="3">
        <v>8.09</v>
      </c>
      <c r="AO211" s="3">
        <v>10.58</v>
      </c>
      <c r="AP211" s="3">
        <v>10.73</v>
      </c>
      <c r="AQ211" s="3">
        <v>9.5399999999999991</v>
      </c>
      <c r="AR211" s="3">
        <v>5.5E-2</v>
      </c>
      <c r="AS211" s="3">
        <v>0.11700000000000001</v>
      </c>
      <c r="AT211" s="3">
        <v>0.16</v>
      </c>
      <c r="AU211" s="3">
        <v>0.02</v>
      </c>
      <c r="AV211" s="3">
        <v>0.108</v>
      </c>
      <c r="AW211" s="3">
        <v>0.36399999999999999</v>
      </c>
      <c r="AX211" s="3">
        <v>0.14499999999999999</v>
      </c>
      <c r="AY211" s="3">
        <v>3.2000000000000001E-2</v>
      </c>
      <c r="AZ211" s="3">
        <v>12.35</v>
      </c>
      <c r="BA211" s="3"/>
      <c r="BB211" s="3">
        <v>11.83</v>
      </c>
      <c r="BC211" s="3">
        <v>2876</v>
      </c>
      <c r="BD211" s="3"/>
      <c r="BE211" s="3"/>
      <c r="BF211" s="3">
        <v>0</v>
      </c>
      <c r="BH211" s="16">
        <v>30.62</v>
      </c>
      <c r="BI211" s="16">
        <f t="shared" si="152"/>
        <v>61.852400000000003</v>
      </c>
      <c r="BJ211" s="17">
        <f t="shared" si="153"/>
        <v>14.68</v>
      </c>
      <c r="BK211" s="17">
        <f t="shared" si="154"/>
        <v>30.56</v>
      </c>
      <c r="BM211" s="1">
        <f t="shared" si="155"/>
        <v>98.7</v>
      </c>
      <c r="BN211" s="1">
        <f t="shared" si="156"/>
        <v>86.5</v>
      </c>
      <c r="BO211" s="1">
        <f t="shared" si="157"/>
        <v>61.2</v>
      </c>
      <c r="BP211" s="62">
        <f t="shared" si="159"/>
        <v>1.085</v>
      </c>
      <c r="BQ211" s="62">
        <f t="shared" si="158"/>
        <v>0.68799999999999994</v>
      </c>
      <c r="BS211" s="1">
        <v>0</v>
      </c>
      <c r="BT211" s="8"/>
      <c r="BV211" s="8"/>
      <c r="BW211" s="16">
        <f t="shared" si="120"/>
        <v>14.68</v>
      </c>
      <c r="BX211" s="16">
        <f t="shared" si="121"/>
        <v>30.56</v>
      </c>
      <c r="BY211" s="3">
        <f t="shared" si="122"/>
        <v>11.6</v>
      </c>
      <c r="BZ211" s="3">
        <f t="shared" si="123"/>
        <v>11.6</v>
      </c>
      <c r="CA211" s="3">
        <f t="shared" si="124"/>
        <v>11.6</v>
      </c>
      <c r="CB211" s="3">
        <f t="shared" si="125"/>
        <v>13</v>
      </c>
      <c r="CC211" s="3">
        <f t="shared" si="126"/>
        <v>12</v>
      </c>
      <c r="CD211" s="3">
        <f t="shared" si="127"/>
        <v>10.9</v>
      </c>
      <c r="CE211" s="3">
        <f t="shared" si="128"/>
        <v>9.6</v>
      </c>
      <c r="CF211" s="23">
        <f t="shared" si="129"/>
        <v>86.5</v>
      </c>
      <c r="CG211" s="1">
        <f t="shared" si="130"/>
        <v>15.6</v>
      </c>
      <c r="CH211" s="1">
        <f t="shared" si="131"/>
        <v>16.5</v>
      </c>
      <c r="CI211" s="1">
        <f t="shared" si="132"/>
        <v>18.5</v>
      </c>
      <c r="CJ211" s="1">
        <f t="shared" si="133"/>
        <v>21.4</v>
      </c>
      <c r="CK211" s="1">
        <f t="shared" si="134"/>
        <v>13.3</v>
      </c>
      <c r="CL211" s="1">
        <f t="shared" si="135"/>
        <v>11.1</v>
      </c>
      <c r="CM211" s="1">
        <f t="shared" si="136"/>
        <v>9.6999999999999993</v>
      </c>
      <c r="CN211" s="2">
        <f t="shared" si="137"/>
        <v>98.7</v>
      </c>
      <c r="CO211" s="1">
        <f t="shared" si="138"/>
        <v>8.6</v>
      </c>
      <c r="CP211" s="1">
        <f t="shared" si="139"/>
        <v>8.1999999999999993</v>
      </c>
      <c r="CQ211" s="1">
        <f t="shared" si="140"/>
        <v>8</v>
      </c>
      <c r="CR211" s="1">
        <f t="shared" si="141"/>
        <v>8.1999999999999993</v>
      </c>
      <c r="CS211" s="1">
        <f t="shared" si="142"/>
        <v>10.6</v>
      </c>
      <c r="CT211" s="1">
        <f t="shared" si="143"/>
        <v>10.7</v>
      </c>
      <c r="CU211" s="1">
        <f t="shared" si="144"/>
        <v>9.5</v>
      </c>
      <c r="CV211" s="2">
        <f t="shared" si="145"/>
        <v>61.2</v>
      </c>
      <c r="CW211" s="18">
        <f t="shared" si="146"/>
        <v>0</v>
      </c>
      <c r="CX211" s="1">
        <f>ROUND(PPTest!K211,1)</f>
        <v>1</v>
      </c>
      <c r="CY211" s="17">
        <f t="shared" si="147"/>
        <v>1.37</v>
      </c>
      <c r="CZ211" s="17">
        <f t="shared" si="148"/>
        <v>4.8600000000000003</v>
      </c>
      <c r="DA211" s="20">
        <f t="shared" si="149"/>
        <v>1.085</v>
      </c>
      <c r="DB211" s="20">
        <f t="shared" si="150"/>
        <v>0.68799999999999994</v>
      </c>
      <c r="DC211" s="16">
        <f t="shared" si="151"/>
        <v>11.83</v>
      </c>
      <c r="DF211" s="1">
        <v>13.8</v>
      </c>
      <c r="DG211" s="1">
        <v>17.5</v>
      </c>
      <c r="DH211" s="1">
        <v>10.5</v>
      </c>
      <c r="DI211" s="1">
        <v>89.4</v>
      </c>
      <c r="DJ211" s="1">
        <v>70</v>
      </c>
      <c r="DW211" s="1">
        <v>11.5</v>
      </c>
      <c r="DX211" s="1">
        <v>17.399999999999999</v>
      </c>
      <c r="DY211" s="1">
        <v>5.2</v>
      </c>
    </row>
    <row r="212" spans="1:129" x14ac:dyDescent="0.2">
      <c r="A212" s="40">
        <v>34905</v>
      </c>
      <c r="B212" s="3">
        <v>206</v>
      </c>
      <c r="C212" s="3">
        <v>7.93</v>
      </c>
      <c r="D212" s="3">
        <v>15.72</v>
      </c>
      <c r="E212" s="3">
        <v>10.72</v>
      </c>
      <c r="F212" s="3">
        <v>99</v>
      </c>
      <c r="G212" s="3">
        <v>10.63</v>
      </c>
      <c r="H212" s="3">
        <v>10.53</v>
      </c>
      <c r="I212" s="3">
        <v>11.48</v>
      </c>
      <c r="J212" s="3">
        <v>10.51</v>
      </c>
      <c r="K212" s="3">
        <v>10.58</v>
      </c>
      <c r="L212" s="3">
        <v>11.58</v>
      </c>
      <c r="M212" s="3">
        <v>10.91</v>
      </c>
      <c r="N212" s="3">
        <v>9.6300000000000008</v>
      </c>
      <c r="O212" s="3">
        <v>1E-3</v>
      </c>
      <c r="P212" s="16">
        <v>1.8458333333333334</v>
      </c>
      <c r="Q212" s="3">
        <v>8</v>
      </c>
      <c r="R212" s="3">
        <v>14.05</v>
      </c>
      <c r="S212" s="3">
        <v>1142</v>
      </c>
      <c r="T212" s="3">
        <v>104.5</v>
      </c>
      <c r="U212" s="3">
        <v>949</v>
      </c>
      <c r="V212" s="3">
        <v>14.97</v>
      </c>
      <c r="W212" s="3">
        <v>16.079999999999998</v>
      </c>
      <c r="X212" s="3">
        <v>18.649999999999999</v>
      </c>
      <c r="Y212" s="3">
        <v>16.14</v>
      </c>
      <c r="Z212" s="3">
        <v>17.510000000000002</v>
      </c>
      <c r="AA212" s="3">
        <v>12.56</v>
      </c>
      <c r="AB212" s="3">
        <v>11.09</v>
      </c>
      <c r="AC212" s="3">
        <v>9.6999999999999993</v>
      </c>
      <c r="AD212" s="16">
        <v>6.1675000000000004</v>
      </c>
      <c r="AE212" s="3">
        <v>2232</v>
      </c>
      <c r="AF212" s="3">
        <v>8.91</v>
      </c>
      <c r="AG212" s="3">
        <v>403</v>
      </c>
      <c r="AH212" s="3">
        <v>82.2</v>
      </c>
      <c r="AI212" s="3">
        <v>1126</v>
      </c>
      <c r="AJ212" s="3">
        <v>8.51</v>
      </c>
      <c r="AK212" s="3">
        <v>8.25</v>
      </c>
      <c r="AL212" s="3">
        <v>8.06</v>
      </c>
      <c r="AM212" s="3">
        <v>8.25</v>
      </c>
      <c r="AN212" s="3">
        <v>8.34</v>
      </c>
      <c r="AO212" s="3">
        <v>10.75</v>
      </c>
      <c r="AP212" s="3">
        <v>10.75</v>
      </c>
      <c r="AQ212" s="3">
        <v>9.56</v>
      </c>
      <c r="AR212" s="3">
        <v>2.5999999999999999E-2</v>
      </c>
      <c r="AS212" s="3">
        <v>0.06</v>
      </c>
      <c r="AT212" s="3">
        <v>5.8000000000000003E-2</v>
      </c>
      <c r="AU212" s="3">
        <v>3.7999999999999999E-2</v>
      </c>
      <c r="AV212" s="3">
        <v>0.19</v>
      </c>
      <c r="AW212" s="3">
        <v>0.439</v>
      </c>
      <c r="AX212" s="3">
        <v>0.14699999999999999</v>
      </c>
      <c r="AY212" s="3">
        <v>4.2000000000000003E-2</v>
      </c>
      <c r="AZ212" s="3">
        <v>10.85</v>
      </c>
      <c r="BA212" s="3"/>
      <c r="BB212" s="3">
        <v>11.82</v>
      </c>
      <c r="BC212" s="3">
        <v>2876</v>
      </c>
      <c r="BD212" s="3"/>
      <c r="BE212" s="3"/>
      <c r="BF212" s="3">
        <v>0</v>
      </c>
      <c r="BH212" s="16">
        <v>30.47</v>
      </c>
      <c r="BI212" s="16">
        <f t="shared" si="152"/>
        <v>61.549399999999999</v>
      </c>
      <c r="BJ212" s="17">
        <f t="shared" si="153"/>
        <v>7.93</v>
      </c>
      <c r="BK212" s="17">
        <f t="shared" si="154"/>
        <v>16.98</v>
      </c>
      <c r="BM212" s="1">
        <f t="shared" si="155"/>
        <v>97.6</v>
      </c>
      <c r="BN212" s="1">
        <f t="shared" si="156"/>
        <v>92.5</v>
      </c>
      <c r="BO212" s="1">
        <f t="shared" si="157"/>
        <v>77</v>
      </c>
      <c r="BP212" s="62">
        <f t="shared" si="159"/>
        <v>1.2350000000000001</v>
      </c>
      <c r="BQ212" s="62">
        <f t="shared" si="158"/>
        <v>0.36899999999999999</v>
      </c>
      <c r="BS212" s="1">
        <v>9.1</v>
      </c>
      <c r="BT212" s="8"/>
      <c r="BV212" s="8"/>
      <c r="BW212" s="16">
        <f t="shared" si="120"/>
        <v>7.93</v>
      </c>
      <c r="BX212" s="16">
        <f t="shared" si="121"/>
        <v>16.98</v>
      </c>
      <c r="BY212" s="3">
        <f t="shared" si="122"/>
        <v>10.7</v>
      </c>
      <c r="BZ212" s="3">
        <f t="shared" si="123"/>
        <v>10.6</v>
      </c>
      <c r="CA212" s="3">
        <f t="shared" si="124"/>
        <v>10.5</v>
      </c>
      <c r="CB212" s="3">
        <f t="shared" si="125"/>
        <v>11.5</v>
      </c>
      <c r="CC212" s="3">
        <f t="shared" si="126"/>
        <v>11.6</v>
      </c>
      <c r="CD212" s="3">
        <f t="shared" si="127"/>
        <v>10.9</v>
      </c>
      <c r="CE212" s="3">
        <f t="shared" si="128"/>
        <v>9.6</v>
      </c>
      <c r="CF212" s="23">
        <f t="shared" si="129"/>
        <v>92.5</v>
      </c>
      <c r="CG212" s="1">
        <f t="shared" si="130"/>
        <v>14.1</v>
      </c>
      <c r="CH212" s="1">
        <f t="shared" si="131"/>
        <v>15</v>
      </c>
      <c r="CI212" s="1">
        <f t="shared" si="132"/>
        <v>16.100000000000001</v>
      </c>
      <c r="CJ212" s="1">
        <f t="shared" si="133"/>
        <v>18.7</v>
      </c>
      <c r="CK212" s="1">
        <f t="shared" si="134"/>
        <v>12.6</v>
      </c>
      <c r="CL212" s="1">
        <f t="shared" si="135"/>
        <v>11.1</v>
      </c>
      <c r="CM212" s="1">
        <f t="shared" si="136"/>
        <v>9.6999999999999993</v>
      </c>
      <c r="CN212" s="2">
        <f t="shared" si="137"/>
        <v>97.6</v>
      </c>
      <c r="CO212" s="1">
        <f t="shared" si="138"/>
        <v>8.9</v>
      </c>
      <c r="CP212" s="1">
        <f t="shared" si="139"/>
        <v>8.5</v>
      </c>
      <c r="CQ212" s="1">
        <f t="shared" si="140"/>
        <v>8.3000000000000007</v>
      </c>
      <c r="CR212" s="1">
        <f t="shared" si="141"/>
        <v>8.1</v>
      </c>
      <c r="CS212" s="1">
        <f t="shared" si="142"/>
        <v>10.8</v>
      </c>
      <c r="CT212" s="1">
        <f t="shared" si="143"/>
        <v>10.8</v>
      </c>
      <c r="CU212" s="1">
        <f t="shared" si="144"/>
        <v>9.6</v>
      </c>
      <c r="CV212" s="2">
        <f t="shared" si="145"/>
        <v>77</v>
      </c>
      <c r="CW212" s="18">
        <f t="shared" si="146"/>
        <v>0</v>
      </c>
      <c r="CX212" s="1">
        <f>ROUND(PPTest!K212,1)</f>
        <v>8</v>
      </c>
      <c r="CY212" s="17">
        <f t="shared" si="147"/>
        <v>1.85</v>
      </c>
      <c r="CZ212" s="17">
        <f t="shared" si="148"/>
        <v>6.17</v>
      </c>
      <c r="DA212" s="20">
        <f t="shared" si="149"/>
        <v>1.2350000000000001</v>
      </c>
      <c r="DB212" s="20">
        <f t="shared" si="150"/>
        <v>0.36899999999999999</v>
      </c>
      <c r="DC212" s="16">
        <f t="shared" si="151"/>
        <v>11.82</v>
      </c>
      <c r="DF212" s="1">
        <v>12.7</v>
      </c>
      <c r="DG212" s="1">
        <v>14.7</v>
      </c>
      <c r="DH212" s="1">
        <v>11.3</v>
      </c>
      <c r="DI212" s="1">
        <v>95</v>
      </c>
      <c r="DJ212" s="1">
        <v>88</v>
      </c>
      <c r="DW212" s="1">
        <v>11.6</v>
      </c>
      <c r="DX212" s="1">
        <v>14.3</v>
      </c>
      <c r="DY212" s="1">
        <v>7.9</v>
      </c>
    </row>
    <row r="213" spans="1:129" x14ac:dyDescent="0.2">
      <c r="A213" s="40">
        <v>34906</v>
      </c>
      <c r="B213" s="3">
        <v>207</v>
      </c>
      <c r="C213" s="3">
        <v>11.71</v>
      </c>
      <c r="D213" s="3">
        <v>22.66</v>
      </c>
      <c r="E213" s="3">
        <v>10.91</v>
      </c>
      <c r="F213" s="3">
        <v>85.7</v>
      </c>
      <c r="G213" s="3">
        <v>10.85</v>
      </c>
      <c r="H213" s="3">
        <v>10.77</v>
      </c>
      <c r="I213" s="3">
        <v>11.01</v>
      </c>
      <c r="J213" s="3">
        <v>10.85</v>
      </c>
      <c r="K213" s="3">
        <v>11.01</v>
      </c>
      <c r="L213" s="3">
        <v>11.29</v>
      </c>
      <c r="M213" s="3">
        <v>10.74</v>
      </c>
      <c r="N213" s="3">
        <v>9.68</v>
      </c>
      <c r="O213" s="3">
        <v>1E-3</v>
      </c>
      <c r="P213" s="16">
        <v>3.5208333333333335</v>
      </c>
      <c r="Q213" s="3">
        <v>10</v>
      </c>
      <c r="R213" s="3">
        <v>14.46</v>
      </c>
      <c r="S213" s="3">
        <v>1508</v>
      </c>
      <c r="T213" s="3">
        <v>102.9</v>
      </c>
      <c r="U213" s="3">
        <v>710</v>
      </c>
      <c r="V213" s="3">
        <v>15.2</v>
      </c>
      <c r="W213" s="3">
        <v>16.149999999999999</v>
      </c>
      <c r="X213" s="3">
        <v>17.64</v>
      </c>
      <c r="Y213" s="3">
        <v>16.579999999999998</v>
      </c>
      <c r="Z213" s="3">
        <v>16.66</v>
      </c>
      <c r="AA213" s="3">
        <v>12.74</v>
      </c>
      <c r="AB213" s="3">
        <v>10.91</v>
      </c>
      <c r="AC213" s="3">
        <v>9.77</v>
      </c>
      <c r="AD213" s="16">
        <v>8.0608333333333331</v>
      </c>
      <c r="AE213" s="3">
        <v>1450</v>
      </c>
      <c r="AF213" s="3">
        <v>8.6</v>
      </c>
      <c r="AG213" s="3">
        <v>2343</v>
      </c>
      <c r="AH213" s="3">
        <v>65.010000000000005</v>
      </c>
      <c r="AI213" s="3">
        <v>1846</v>
      </c>
      <c r="AJ213" s="3">
        <v>8.18</v>
      </c>
      <c r="AK213" s="3">
        <v>7.51</v>
      </c>
      <c r="AL213" s="3">
        <v>6.3170000000000002</v>
      </c>
      <c r="AM213" s="3">
        <v>7.84</v>
      </c>
      <c r="AN213" s="3">
        <v>7.94</v>
      </c>
      <c r="AO213" s="3">
        <v>10.48</v>
      </c>
      <c r="AP213" s="3">
        <v>10.55</v>
      </c>
      <c r="AQ213" s="3">
        <v>9.6199999999999992</v>
      </c>
      <c r="AR213" s="3">
        <v>0</v>
      </c>
      <c r="AS213" s="3">
        <v>2E-3</v>
      </c>
      <c r="AT213" s="3">
        <v>4.0000000000000001E-3</v>
      </c>
      <c r="AU213" s="3">
        <v>2.5999999999999999E-2</v>
      </c>
      <c r="AV213" s="3">
        <v>0.34100000000000003</v>
      </c>
      <c r="AW213" s="3">
        <v>0.57299999999999995</v>
      </c>
      <c r="AX213" s="3">
        <v>4.9000000000000002E-2</v>
      </c>
      <c r="AY213" s="3">
        <v>6.0000000000000001E-3</v>
      </c>
      <c r="AZ213" s="3">
        <v>11.12</v>
      </c>
      <c r="BA213" s="3"/>
      <c r="BB213" s="3">
        <v>11.8</v>
      </c>
      <c r="BC213" s="3">
        <v>2876</v>
      </c>
      <c r="BD213" s="3"/>
      <c r="BE213" s="3"/>
      <c r="BF213" s="3">
        <v>0</v>
      </c>
      <c r="BH213" s="16">
        <v>30.32</v>
      </c>
      <c r="BI213" s="16">
        <f t="shared" si="152"/>
        <v>61.246400000000001</v>
      </c>
      <c r="BJ213" s="17">
        <f t="shared" si="153"/>
        <v>11.71</v>
      </c>
      <c r="BK213" s="17">
        <f t="shared" si="154"/>
        <v>24.47</v>
      </c>
      <c r="BM213" s="1">
        <f t="shared" si="155"/>
        <v>96.1</v>
      </c>
      <c r="BN213" s="1">
        <f t="shared" si="156"/>
        <v>80.2</v>
      </c>
      <c r="BO213" s="1">
        <f t="shared" si="157"/>
        <v>61.1</v>
      </c>
      <c r="BP213" s="62">
        <f t="shared" si="159"/>
        <v>1.006</v>
      </c>
      <c r="BQ213" s="62">
        <f t="shared" si="158"/>
        <v>0.64</v>
      </c>
      <c r="BS213" s="1">
        <v>4.5999999999999996</v>
      </c>
      <c r="BT213" s="8"/>
      <c r="BV213" s="8"/>
      <c r="BW213" s="16">
        <f t="shared" si="120"/>
        <v>11.71</v>
      </c>
      <c r="BX213" s="16">
        <f t="shared" si="121"/>
        <v>24.47</v>
      </c>
      <c r="BY213" s="3">
        <f t="shared" si="122"/>
        <v>10.9</v>
      </c>
      <c r="BZ213" s="3">
        <f t="shared" si="123"/>
        <v>10.9</v>
      </c>
      <c r="CA213" s="3">
        <f t="shared" si="124"/>
        <v>10.8</v>
      </c>
      <c r="CB213" s="3">
        <f t="shared" si="125"/>
        <v>11</v>
      </c>
      <c r="CC213" s="3">
        <f t="shared" si="126"/>
        <v>11.3</v>
      </c>
      <c r="CD213" s="3">
        <f t="shared" si="127"/>
        <v>10.7</v>
      </c>
      <c r="CE213" s="3">
        <f t="shared" si="128"/>
        <v>9.6999999999999993</v>
      </c>
      <c r="CF213" s="23">
        <f t="shared" si="129"/>
        <v>80.2</v>
      </c>
      <c r="CG213" s="1">
        <f t="shared" si="130"/>
        <v>14.5</v>
      </c>
      <c r="CH213" s="1">
        <f t="shared" si="131"/>
        <v>15.2</v>
      </c>
      <c r="CI213" s="1">
        <f t="shared" si="132"/>
        <v>16.2</v>
      </c>
      <c r="CJ213" s="1">
        <f t="shared" si="133"/>
        <v>17.600000000000001</v>
      </c>
      <c r="CK213" s="1">
        <f t="shared" si="134"/>
        <v>12.7</v>
      </c>
      <c r="CL213" s="1">
        <f t="shared" si="135"/>
        <v>10.9</v>
      </c>
      <c r="CM213" s="1">
        <f t="shared" si="136"/>
        <v>9.8000000000000007</v>
      </c>
      <c r="CN213" s="2">
        <f t="shared" si="137"/>
        <v>96.1</v>
      </c>
      <c r="CO213" s="1">
        <f t="shared" si="138"/>
        <v>8.6</v>
      </c>
      <c r="CP213" s="1">
        <f t="shared" si="139"/>
        <v>8.1999999999999993</v>
      </c>
      <c r="CQ213" s="1">
        <f t="shared" si="140"/>
        <v>7.5</v>
      </c>
      <c r="CR213" s="1">
        <f t="shared" si="141"/>
        <v>6.3</v>
      </c>
      <c r="CS213" s="1">
        <f t="shared" si="142"/>
        <v>10.5</v>
      </c>
      <c r="CT213" s="1">
        <f t="shared" si="143"/>
        <v>10.6</v>
      </c>
      <c r="CU213" s="1">
        <f t="shared" si="144"/>
        <v>9.6</v>
      </c>
      <c r="CV213" s="2">
        <f t="shared" si="145"/>
        <v>61.1</v>
      </c>
      <c r="CW213" s="18">
        <f t="shared" si="146"/>
        <v>0</v>
      </c>
      <c r="CX213" s="1">
        <f>ROUND(PPTest!K213,1)</f>
        <v>10</v>
      </c>
      <c r="CY213" s="17">
        <f t="shared" si="147"/>
        <v>3.52</v>
      </c>
      <c r="CZ213" s="17">
        <f t="shared" si="148"/>
        <v>8.06</v>
      </c>
      <c r="DA213" s="20">
        <f t="shared" si="149"/>
        <v>1.006</v>
      </c>
      <c r="DB213" s="20">
        <f t="shared" si="150"/>
        <v>0.64</v>
      </c>
      <c r="DC213" s="16">
        <f t="shared" si="151"/>
        <v>11.8</v>
      </c>
      <c r="DF213" s="1">
        <v>13</v>
      </c>
      <c r="DG213" s="1">
        <v>16.600000000000001</v>
      </c>
      <c r="DH213" s="1">
        <v>10.9</v>
      </c>
      <c r="DI213" s="1">
        <v>85.9</v>
      </c>
      <c r="DJ213" s="1">
        <v>67</v>
      </c>
      <c r="DW213" s="1">
        <v>10.4</v>
      </c>
      <c r="DX213" s="1">
        <v>13.8</v>
      </c>
      <c r="DY213" s="1">
        <v>7.1</v>
      </c>
    </row>
    <row r="214" spans="1:129" x14ac:dyDescent="0.2">
      <c r="A214" s="40">
        <v>34907</v>
      </c>
      <c r="B214" s="3">
        <v>208</v>
      </c>
      <c r="C214" s="3">
        <v>20.43</v>
      </c>
      <c r="D214" s="3">
        <v>38.340000000000003</v>
      </c>
      <c r="E214" s="3">
        <v>7.69</v>
      </c>
      <c r="F214" s="3">
        <v>76.7</v>
      </c>
      <c r="G214" s="3">
        <v>7.71</v>
      </c>
      <c r="H214" s="3">
        <v>7.59</v>
      </c>
      <c r="I214" s="3">
        <v>8.2899999999999991</v>
      </c>
      <c r="J214" s="3">
        <v>8.34</v>
      </c>
      <c r="K214" s="3">
        <v>8.67</v>
      </c>
      <c r="L214" s="3">
        <v>10.76</v>
      </c>
      <c r="M214" s="3">
        <v>10.45</v>
      </c>
      <c r="N214" s="3">
        <v>9.61</v>
      </c>
      <c r="O214" s="3">
        <v>1E-3</v>
      </c>
      <c r="P214" s="16">
        <v>2.4541666666666671</v>
      </c>
      <c r="Q214" s="3">
        <v>3</v>
      </c>
      <c r="R214" s="3">
        <v>12.77</v>
      </c>
      <c r="S214" s="3">
        <v>1759</v>
      </c>
      <c r="T214" s="3">
        <v>102</v>
      </c>
      <c r="U214" s="3">
        <v>1039</v>
      </c>
      <c r="V214" s="3">
        <v>14.13</v>
      </c>
      <c r="W214" s="3">
        <v>15.71</v>
      </c>
      <c r="X214" s="3">
        <v>15.73</v>
      </c>
      <c r="Y214" s="3">
        <v>17.77</v>
      </c>
      <c r="Z214" s="3">
        <v>17.21</v>
      </c>
      <c r="AA214" s="3">
        <v>13.39</v>
      </c>
      <c r="AB214" s="3">
        <v>10.77</v>
      </c>
      <c r="AC214" s="3">
        <v>9.76</v>
      </c>
      <c r="AD214" s="16">
        <v>6.1541666666666659</v>
      </c>
      <c r="AE214" s="3">
        <v>323</v>
      </c>
      <c r="AF214" s="3">
        <v>1.284</v>
      </c>
      <c r="AG214" s="3">
        <v>0</v>
      </c>
      <c r="AH214" s="3">
        <v>44.21</v>
      </c>
      <c r="AI214" s="3">
        <v>1604</v>
      </c>
      <c r="AJ214" s="3">
        <v>0.61599999999999999</v>
      </c>
      <c r="AK214" s="3">
        <v>0.153</v>
      </c>
      <c r="AL214" s="3">
        <v>0.78700000000000003</v>
      </c>
      <c r="AM214" s="3">
        <v>9.6000000000000002E-2</v>
      </c>
      <c r="AN214" s="3">
        <v>0.35</v>
      </c>
      <c r="AO214" s="3">
        <v>9.26</v>
      </c>
      <c r="AP214" s="3">
        <v>10.220000000000001</v>
      </c>
      <c r="AQ214" s="3">
        <v>9.39</v>
      </c>
      <c r="AR214" s="3">
        <v>4.2000000000000003E-2</v>
      </c>
      <c r="AS214" s="3">
        <v>0.186</v>
      </c>
      <c r="AT214" s="3">
        <v>3.1E-2</v>
      </c>
      <c r="AU214" s="3">
        <v>1.7999999999999999E-2</v>
      </c>
      <c r="AV214" s="3">
        <v>0.18099999999999999</v>
      </c>
      <c r="AW214" s="3">
        <v>0.38600000000000001</v>
      </c>
      <c r="AX214" s="3">
        <v>0.11</v>
      </c>
      <c r="AY214" s="3">
        <v>4.7E-2</v>
      </c>
      <c r="AZ214" s="3">
        <v>8.76</v>
      </c>
      <c r="BA214" s="3"/>
      <c r="BB214" s="3">
        <v>11.78</v>
      </c>
      <c r="BC214" s="3">
        <v>2876</v>
      </c>
      <c r="BD214" s="3"/>
      <c r="BE214" s="3"/>
      <c r="BF214" s="3">
        <v>0</v>
      </c>
      <c r="BH214" s="16">
        <v>30.17</v>
      </c>
      <c r="BI214" s="16">
        <f t="shared" si="152"/>
        <v>60.943400000000004</v>
      </c>
      <c r="BJ214" s="17">
        <f t="shared" si="153"/>
        <v>20.43</v>
      </c>
      <c r="BK214" s="17">
        <f t="shared" si="154"/>
        <v>41.41</v>
      </c>
      <c r="BM214" s="1">
        <f t="shared" si="155"/>
        <v>95.2</v>
      </c>
      <c r="BN214" s="1">
        <f t="shared" si="156"/>
        <v>71.900000000000006</v>
      </c>
      <c r="BO214" s="1">
        <f t="shared" si="157"/>
        <v>41.9</v>
      </c>
      <c r="BP214" s="62">
        <f t="shared" si="159"/>
        <v>0.61799999999999999</v>
      </c>
      <c r="BQ214" s="62">
        <f t="shared" si="158"/>
        <v>0.85699999999999998</v>
      </c>
      <c r="BS214" s="1">
        <v>4.3</v>
      </c>
      <c r="BT214" s="8"/>
      <c r="BV214" s="8"/>
      <c r="BW214" s="16">
        <f t="shared" si="120"/>
        <v>20.43</v>
      </c>
      <c r="BX214" s="16">
        <f t="shared" si="121"/>
        <v>41.41</v>
      </c>
      <c r="BY214" s="3">
        <f t="shared" si="122"/>
        <v>7.7</v>
      </c>
      <c r="BZ214" s="3">
        <f t="shared" si="123"/>
        <v>7.7</v>
      </c>
      <c r="CA214" s="3">
        <f t="shared" si="124"/>
        <v>7.6</v>
      </c>
      <c r="CB214" s="3">
        <f t="shared" si="125"/>
        <v>8.3000000000000007</v>
      </c>
      <c r="CC214" s="3">
        <f t="shared" si="126"/>
        <v>10.8</v>
      </c>
      <c r="CD214" s="3">
        <f t="shared" si="127"/>
        <v>10.5</v>
      </c>
      <c r="CE214" s="3">
        <f t="shared" si="128"/>
        <v>9.6</v>
      </c>
      <c r="CF214" s="23">
        <f t="shared" si="129"/>
        <v>71.900000000000006</v>
      </c>
      <c r="CG214" s="1">
        <f t="shared" si="130"/>
        <v>12.8</v>
      </c>
      <c r="CH214" s="1">
        <f t="shared" si="131"/>
        <v>14.1</v>
      </c>
      <c r="CI214" s="1">
        <f t="shared" si="132"/>
        <v>15.7</v>
      </c>
      <c r="CJ214" s="1">
        <f t="shared" si="133"/>
        <v>15.7</v>
      </c>
      <c r="CK214" s="1">
        <f t="shared" si="134"/>
        <v>13.4</v>
      </c>
      <c r="CL214" s="1">
        <f t="shared" si="135"/>
        <v>10.8</v>
      </c>
      <c r="CM214" s="1">
        <f t="shared" si="136"/>
        <v>9.8000000000000007</v>
      </c>
      <c r="CN214" s="2">
        <f t="shared" si="137"/>
        <v>95.2</v>
      </c>
      <c r="CO214" s="1">
        <f t="shared" si="138"/>
        <v>1.3</v>
      </c>
      <c r="CP214" s="1">
        <f t="shared" si="139"/>
        <v>0.6</v>
      </c>
      <c r="CQ214" s="1">
        <f t="shared" si="140"/>
        <v>0.2</v>
      </c>
      <c r="CR214" s="1">
        <f t="shared" si="141"/>
        <v>0.8</v>
      </c>
      <c r="CS214" s="1">
        <f t="shared" si="142"/>
        <v>9.3000000000000007</v>
      </c>
      <c r="CT214" s="1">
        <f t="shared" si="143"/>
        <v>10.199999999999999</v>
      </c>
      <c r="CU214" s="1">
        <f t="shared" si="144"/>
        <v>9.4</v>
      </c>
      <c r="CV214" s="2">
        <f t="shared" si="145"/>
        <v>41.9</v>
      </c>
      <c r="CW214" s="18">
        <f t="shared" si="146"/>
        <v>0</v>
      </c>
      <c r="CX214" s="1">
        <f>ROUND(PPTest!K214,1)</f>
        <v>3</v>
      </c>
      <c r="CY214" s="17">
        <f t="shared" si="147"/>
        <v>2.4500000000000002</v>
      </c>
      <c r="CZ214" s="17">
        <f t="shared" si="148"/>
        <v>6.15</v>
      </c>
      <c r="DA214" s="20">
        <f t="shared" si="149"/>
        <v>0.61799999999999999</v>
      </c>
      <c r="DB214" s="20">
        <f t="shared" si="150"/>
        <v>0.85699999999999998</v>
      </c>
      <c r="DC214" s="16">
        <f t="shared" si="151"/>
        <v>11.78</v>
      </c>
      <c r="DF214" s="1">
        <v>11</v>
      </c>
      <c r="DG214" s="1">
        <v>15.4</v>
      </c>
      <c r="DH214" s="1">
        <v>7.2</v>
      </c>
      <c r="DI214" s="1">
        <v>71.599999999999994</v>
      </c>
      <c r="DJ214" s="1">
        <v>57</v>
      </c>
      <c r="DW214" s="1">
        <v>9.3000000000000007</v>
      </c>
      <c r="DX214" s="1">
        <v>15.2</v>
      </c>
      <c r="DY214" s="1">
        <v>3.8</v>
      </c>
    </row>
    <row r="215" spans="1:129" x14ac:dyDescent="0.2">
      <c r="A215" s="40">
        <v>34908</v>
      </c>
      <c r="B215" s="3">
        <v>209</v>
      </c>
      <c r="C215" s="3">
        <v>19.62</v>
      </c>
      <c r="D215" s="3">
        <v>36.9</v>
      </c>
      <c r="E215" s="3">
        <v>9.83</v>
      </c>
      <c r="F215" s="3">
        <v>75.400000000000006</v>
      </c>
      <c r="G215" s="3">
        <v>9.64</v>
      </c>
      <c r="H215" s="3">
        <v>9.6</v>
      </c>
      <c r="I215" s="3">
        <v>10.52</v>
      </c>
      <c r="J215" s="3">
        <v>10.35</v>
      </c>
      <c r="K215" s="3">
        <v>10.33</v>
      </c>
      <c r="L215" s="3">
        <v>10.31</v>
      </c>
      <c r="M215" s="3">
        <v>10.15</v>
      </c>
      <c r="N215" s="3">
        <v>9.52</v>
      </c>
      <c r="O215" s="3">
        <v>0</v>
      </c>
      <c r="P215" s="16">
        <v>2.1508333333333334</v>
      </c>
      <c r="Q215" s="3">
        <v>2</v>
      </c>
      <c r="R215" s="3">
        <v>16.21</v>
      </c>
      <c r="S215" s="3">
        <v>1121</v>
      </c>
      <c r="T215" s="3">
        <v>102.3</v>
      </c>
      <c r="U215" s="3">
        <v>141</v>
      </c>
      <c r="V215" s="3">
        <v>17.510000000000002</v>
      </c>
      <c r="W215" s="3">
        <v>19.8</v>
      </c>
      <c r="X215" s="3">
        <v>24.8</v>
      </c>
      <c r="Y215" s="3">
        <v>21.18</v>
      </c>
      <c r="Z215" s="3">
        <v>21.55</v>
      </c>
      <c r="AA215" s="3">
        <v>12.75</v>
      </c>
      <c r="AB215" s="3">
        <v>10.41</v>
      </c>
      <c r="AC215" s="3">
        <v>9.66</v>
      </c>
      <c r="AD215" s="16">
        <v>6.3408333333333333</v>
      </c>
      <c r="AE215" s="3">
        <v>1158</v>
      </c>
      <c r="AF215" s="3">
        <v>0.49099999999999999</v>
      </c>
      <c r="AG215" s="3">
        <v>130</v>
      </c>
      <c r="AH215" s="3">
        <v>41.27</v>
      </c>
      <c r="AI215" s="3">
        <v>852</v>
      </c>
      <c r="AJ215" s="3">
        <v>-0.111</v>
      </c>
      <c r="AK215" s="3">
        <v>-0.64800000000000002</v>
      </c>
      <c r="AL215" s="3">
        <v>7.6999999999999999E-2</v>
      </c>
      <c r="AM215" s="3">
        <v>-0.78700000000000003</v>
      </c>
      <c r="AN215" s="3">
        <v>-0.61299999999999999</v>
      </c>
      <c r="AO215" s="3">
        <v>7.7</v>
      </c>
      <c r="AP215" s="3">
        <v>9.85</v>
      </c>
      <c r="AQ215" s="3">
        <v>9.3000000000000007</v>
      </c>
      <c r="AR215" s="3">
        <v>6.7000000000000004E-2</v>
      </c>
      <c r="AS215" s="3">
        <v>0.32600000000000001</v>
      </c>
      <c r="AT215" s="3">
        <v>0.221</v>
      </c>
      <c r="AU215" s="3">
        <v>0.11799999999999999</v>
      </c>
      <c r="AV215" s="3">
        <v>0.13700000000000001</v>
      </c>
      <c r="AW215" s="3">
        <v>9.9000000000000005E-2</v>
      </c>
      <c r="AX215" s="3">
        <v>2.3E-2</v>
      </c>
      <c r="AY215" s="3">
        <v>8.9999999999999993E-3</v>
      </c>
      <c r="AZ215" s="3">
        <v>9.6199999999999992</v>
      </c>
      <c r="BA215" s="3"/>
      <c r="BB215" s="3">
        <v>11.66</v>
      </c>
      <c r="BC215" s="3">
        <v>2876</v>
      </c>
      <c r="BD215" s="3"/>
      <c r="BE215" s="3"/>
      <c r="BF215" s="3">
        <v>0</v>
      </c>
      <c r="BH215" s="16">
        <v>30</v>
      </c>
      <c r="BI215" s="16">
        <f t="shared" si="152"/>
        <v>60.6</v>
      </c>
      <c r="BJ215" s="17">
        <f t="shared" si="153"/>
        <v>19.62</v>
      </c>
      <c r="BK215" s="17">
        <f t="shared" si="154"/>
        <v>39.85</v>
      </c>
      <c r="BM215" s="1">
        <f t="shared" si="155"/>
        <v>95.5</v>
      </c>
      <c r="BN215" s="1">
        <f t="shared" si="156"/>
        <v>70.7</v>
      </c>
      <c r="BO215" s="1">
        <f t="shared" si="157"/>
        <v>39.1</v>
      </c>
      <c r="BP215" s="62">
        <f t="shared" si="159"/>
        <v>0.72</v>
      </c>
      <c r="BQ215" s="62">
        <f t="shared" si="158"/>
        <v>1.121</v>
      </c>
      <c r="BS215" s="1">
        <v>0.6</v>
      </c>
      <c r="BT215" s="8"/>
      <c r="BV215" s="8"/>
      <c r="BW215" s="16">
        <f t="shared" si="120"/>
        <v>19.62</v>
      </c>
      <c r="BX215" s="16">
        <f t="shared" si="121"/>
        <v>39.85</v>
      </c>
      <c r="BY215" s="3">
        <f t="shared" si="122"/>
        <v>9.8000000000000007</v>
      </c>
      <c r="BZ215" s="3">
        <f t="shared" si="123"/>
        <v>9.6</v>
      </c>
      <c r="CA215" s="3">
        <f t="shared" si="124"/>
        <v>9.6</v>
      </c>
      <c r="CB215" s="3">
        <f t="shared" si="125"/>
        <v>10.5</v>
      </c>
      <c r="CC215" s="3">
        <f t="shared" si="126"/>
        <v>10.3</v>
      </c>
      <c r="CD215" s="3">
        <f t="shared" si="127"/>
        <v>10.199999999999999</v>
      </c>
      <c r="CE215" s="3">
        <f t="shared" si="128"/>
        <v>9.5</v>
      </c>
      <c r="CF215" s="23">
        <f t="shared" si="129"/>
        <v>70.7</v>
      </c>
      <c r="CG215" s="1">
        <f t="shared" si="130"/>
        <v>16.2</v>
      </c>
      <c r="CH215" s="1">
        <f t="shared" si="131"/>
        <v>17.5</v>
      </c>
      <c r="CI215" s="1">
        <f t="shared" si="132"/>
        <v>19.8</v>
      </c>
      <c r="CJ215" s="1">
        <f t="shared" si="133"/>
        <v>24.8</v>
      </c>
      <c r="CK215" s="1">
        <f t="shared" si="134"/>
        <v>12.8</v>
      </c>
      <c r="CL215" s="1">
        <f t="shared" si="135"/>
        <v>10.4</v>
      </c>
      <c r="CM215" s="1">
        <f t="shared" si="136"/>
        <v>9.6999999999999993</v>
      </c>
      <c r="CN215" s="2">
        <f t="shared" si="137"/>
        <v>95.5</v>
      </c>
      <c r="CO215" s="1">
        <f t="shared" si="138"/>
        <v>0.5</v>
      </c>
      <c r="CP215" s="1">
        <f t="shared" si="139"/>
        <v>-0.1</v>
      </c>
      <c r="CQ215" s="1">
        <f t="shared" si="140"/>
        <v>-0.6</v>
      </c>
      <c r="CR215" s="1">
        <f t="shared" si="141"/>
        <v>0.1</v>
      </c>
      <c r="CS215" s="1">
        <f t="shared" si="142"/>
        <v>7.7</v>
      </c>
      <c r="CT215" s="1">
        <f t="shared" si="143"/>
        <v>9.9</v>
      </c>
      <c r="CU215" s="1">
        <f t="shared" si="144"/>
        <v>9.3000000000000007</v>
      </c>
      <c r="CV215" s="2">
        <f t="shared" si="145"/>
        <v>39.1</v>
      </c>
      <c r="CW215" s="18">
        <f t="shared" si="146"/>
        <v>0</v>
      </c>
      <c r="CX215" s="1">
        <f>ROUND(PPTest!K215,1)</f>
        <v>2</v>
      </c>
      <c r="CY215" s="17">
        <f t="shared" si="147"/>
        <v>2.15</v>
      </c>
      <c r="CZ215" s="17">
        <f t="shared" si="148"/>
        <v>6.34</v>
      </c>
      <c r="DA215" s="20">
        <f t="shared" si="149"/>
        <v>0.72</v>
      </c>
      <c r="DB215" s="20">
        <f t="shared" si="150"/>
        <v>1.121</v>
      </c>
      <c r="DC215" s="16">
        <f t="shared" si="151"/>
        <v>11.66</v>
      </c>
      <c r="DF215" s="1">
        <v>13.7</v>
      </c>
      <c r="DG215" s="1">
        <v>18.600000000000001</v>
      </c>
      <c r="DH215" s="1">
        <v>8.6999999999999993</v>
      </c>
      <c r="DI215" s="1">
        <v>63.3</v>
      </c>
      <c r="DJ215" s="1">
        <v>53</v>
      </c>
      <c r="DW215" s="1">
        <v>11.3</v>
      </c>
      <c r="DX215" s="1">
        <v>17.2</v>
      </c>
      <c r="DY215" s="1">
        <v>3.4</v>
      </c>
    </row>
    <row r="216" spans="1:129" x14ac:dyDescent="0.2">
      <c r="A216" s="40">
        <v>34909</v>
      </c>
      <c r="B216" s="3">
        <v>210</v>
      </c>
      <c r="C216" s="3">
        <v>4.9249999999999998</v>
      </c>
      <c r="D216" s="3">
        <v>9.6999999999999993</v>
      </c>
      <c r="E216" s="3">
        <v>5.1589999999999998</v>
      </c>
      <c r="F216" s="3">
        <v>91.8</v>
      </c>
      <c r="G216" s="3">
        <v>5.01</v>
      </c>
      <c r="H216" s="3">
        <v>4.97</v>
      </c>
      <c r="I216" s="3">
        <v>6.0419999999999998</v>
      </c>
      <c r="J216" s="3">
        <v>4.8559999999999999</v>
      </c>
      <c r="K216" s="3">
        <v>5.0060000000000002</v>
      </c>
      <c r="L216" s="3">
        <v>8.94</v>
      </c>
      <c r="M216" s="3">
        <v>9.8800000000000008</v>
      </c>
      <c r="N216" s="3">
        <v>9.4</v>
      </c>
      <c r="O216" s="3">
        <v>1E-3</v>
      </c>
      <c r="P216" s="16">
        <v>2.2991666666666668</v>
      </c>
      <c r="Q216" s="3">
        <v>3</v>
      </c>
      <c r="R216" s="3">
        <v>8.82</v>
      </c>
      <c r="S216" s="3">
        <v>109</v>
      </c>
      <c r="T216" s="3">
        <v>105.8</v>
      </c>
      <c r="U216" s="3">
        <v>2215</v>
      </c>
      <c r="V216" s="3">
        <v>8.4600000000000009</v>
      </c>
      <c r="W216" s="3">
        <v>9.08</v>
      </c>
      <c r="X216" s="3">
        <v>8.3699999999999992</v>
      </c>
      <c r="Y216" s="3">
        <v>7.02</v>
      </c>
      <c r="Z216" s="3">
        <v>7.18</v>
      </c>
      <c r="AA216" s="3">
        <v>10.5</v>
      </c>
      <c r="AB216" s="3">
        <v>10.35</v>
      </c>
      <c r="AC216" s="3">
        <v>9.51</v>
      </c>
      <c r="AD216" s="16">
        <v>5.3008333333333333</v>
      </c>
      <c r="AE216" s="3">
        <v>1058</v>
      </c>
      <c r="AF216" s="3">
        <v>3.2149999999999999</v>
      </c>
      <c r="AG216" s="3">
        <v>1301</v>
      </c>
      <c r="AH216" s="3">
        <v>64.319999999999993</v>
      </c>
      <c r="AI216" s="3">
        <v>304</v>
      </c>
      <c r="AJ216" s="3">
        <v>3.125</v>
      </c>
      <c r="AK216" s="3">
        <v>2.915</v>
      </c>
      <c r="AL216" s="3">
        <v>2.8820000000000001</v>
      </c>
      <c r="AM216" s="3">
        <v>3.2989999999999999</v>
      </c>
      <c r="AN216" s="3">
        <v>3.3380000000000001</v>
      </c>
      <c r="AO216" s="3">
        <v>8.2200000000000006</v>
      </c>
      <c r="AP216" s="3">
        <v>9.41</v>
      </c>
      <c r="AQ216" s="3">
        <v>9.34</v>
      </c>
      <c r="AR216" s="3">
        <v>6.0000000000000001E-3</v>
      </c>
      <c r="AS216" s="3">
        <v>1.4E-2</v>
      </c>
      <c r="AT216" s="3">
        <v>8.0000000000000002E-3</v>
      </c>
      <c r="AU216" s="3">
        <v>2.1999999999999999E-2</v>
      </c>
      <c r="AV216" s="3">
        <v>0.23699999999999999</v>
      </c>
      <c r="AW216" s="3">
        <v>0.625</v>
      </c>
      <c r="AX216" s="3">
        <v>7.8E-2</v>
      </c>
      <c r="AY216" s="3">
        <v>1.0999999999999999E-2</v>
      </c>
      <c r="AZ216" s="3">
        <v>5.1230000000000002</v>
      </c>
      <c r="BA216" s="3"/>
      <c r="BB216" s="3">
        <v>11.39</v>
      </c>
      <c r="BC216" s="3">
        <v>2876</v>
      </c>
      <c r="BD216" s="3"/>
      <c r="BE216" s="3"/>
      <c r="BF216" s="3">
        <v>0</v>
      </c>
      <c r="BH216" s="16">
        <v>29.84</v>
      </c>
      <c r="BI216" s="16">
        <f t="shared" si="152"/>
        <v>60.276800000000001</v>
      </c>
      <c r="BJ216" s="17">
        <f t="shared" si="153"/>
        <v>4.93</v>
      </c>
      <c r="BK216" s="17">
        <f t="shared" si="154"/>
        <v>10.48</v>
      </c>
      <c r="BM216" s="1">
        <f t="shared" si="155"/>
        <v>98.8</v>
      </c>
      <c r="BN216" s="1">
        <f t="shared" si="156"/>
        <v>85.8</v>
      </c>
      <c r="BO216" s="1">
        <f t="shared" si="157"/>
        <v>60.4</v>
      </c>
      <c r="BP216" s="62">
        <f t="shared" si="159"/>
        <v>0.68500000000000005</v>
      </c>
      <c r="BQ216" s="62">
        <f t="shared" si="158"/>
        <v>0.44900000000000001</v>
      </c>
      <c r="BS216" s="1">
        <v>6.4</v>
      </c>
      <c r="BT216" s="8"/>
      <c r="BV216" s="8"/>
      <c r="BW216" s="16">
        <f t="shared" si="120"/>
        <v>4.93</v>
      </c>
      <c r="BX216" s="16">
        <f t="shared" si="121"/>
        <v>10.48</v>
      </c>
      <c r="BY216" s="3">
        <f t="shared" si="122"/>
        <v>5.2</v>
      </c>
      <c r="BZ216" s="3">
        <f t="shared" si="123"/>
        <v>5</v>
      </c>
      <c r="CA216" s="3">
        <f t="shared" si="124"/>
        <v>5</v>
      </c>
      <c r="CB216" s="3">
        <f t="shared" si="125"/>
        <v>6</v>
      </c>
      <c r="CC216" s="3">
        <f t="shared" si="126"/>
        <v>8.9</v>
      </c>
      <c r="CD216" s="3">
        <f t="shared" si="127"/>
        <v>9.9</v>
      </c>
      <c r="CE216" s="3">
        <f t="shared" si="128"/>
        <v>9.4</v>
      </c>
      <c r="CF216" s="23">
        <f t="shared" si="129"/>
        <v>85.8</v>
      </c>
      <c r="CG216" s="1">
        <f t="shared" si="130"/>
        <v>8.8000000000000007</v>
      </c>
      <c r="CH216" s="1">
        <f t="shared" si="131"/>
        <v>8.5</v>
      </c>
      <c r="CI216" s="1">
        <f t="shared" si="132"/>
        <v>9.1</v>
      </c>
      <c r="CJ216" s="1">
        <f t="shared" si="133"/>
        <v>8.4</v>
      </c>
      <c r="CK216" s="1">
        <f t="shared" si="134"/>
        <v>10.5</v>
      </c>
      <c r="CL216" s="1">
        <f t="shared" si="135"/>
        <v>10.4</v>
      </c>
      <c r="CM216" s="1">
        <f t="shared" si="136"/>
        <v>9.5</v>
      </c>
      <c r="CN216" s="2">
        <f t="shared" si="137"/>
        <v>98.8</v>
      </c>
      <c r="CO216" s="1">
        <f t="shared" si="138"/>
        <v>3.2</v>
      </c>
      <c r="CP216" s="1">
        <f t="shared" si="139"/>
        <v>3.1</v>
      </c>
      <c r="CQ216" s="1">
        <f t="shared" si="140"/>
        <v>2.9</v>
      </c>
      <c r="CR216" s="1">
        <f t="shared" si="141"/>
        <v>2.9</v>
      </c>
      <c r="CS216" s="1">
        <f t="shared" si="142"/>
        <v>8.1999999999999993</v>
      </c>
      <c r="CT216" s="1">
        <f t="shared" si="143"/>
        <v>9.4</v>
      </c>
      <c r="CU216" s="1">
        <f t="shared" si="144"/>
        <v>9.3000000000000007</v>
      </c>
      <c r="CV216" s="2">
        <f t="shared" si="145"/>
        <v>60.4</v>
      </c>
      <c r="CW216" s="18">
        <f t="shared" si="146"/>
        <v>0</v>
      </c>
      <c r="CX216" s="1">
        <f>ROUND(PPTest!K216,1)</f>
        <v>3</v>
      </c>
      <c r="CY216" s="17">
        <f t="shared" si="147"/>
        <v>2.2999999999999998</v>
      </c>
      <c r="CZ216" s="17">
        <f t="shared" si="148"/>
        <v>5.3</v>
      </c>
      <c r="DA216" s="20">
        <f t="shared" si="149"/>
        <v>0.68500000000000005</v>
      </c>
      <c r="DB216" s="20">
        <f t="shared" si="150"/>
        <v>0.44900000000000001</v>
      </c>
      <c r="DC216" s="16">
        <f t="shared" si="151"/>
        <v>11.39</v>
      </c>
      <c r="DF216" s="1">
        <v>7.6</v>
      </c>
      <c r="DG216" s="1">
        <v>11.3</v>
      </c>
      <c r="DH216" s="1">
        <v>6.1</v>
      </c>
      <c r="DI216" s="1">
        <v>89</v>
      </c>
      <c r="DJ216" s="1">
        <v>67</v>
      </c>
      <c r="DW216" s="1">
        <v>5.8</v>
      </c>
      <c r="DX216" s="1">
        <v>8.5</v>
      </c>
      <c r="DY216" s="1">
        <v>3.9</v>
      </c>
    </row>
    <row r="217" spans="1:129" x14ac:dyDescent="0.2">
      <c r="A217" s="40">
        <v>34910</v>
      </c>
      <c r="B217" s="3">
        <v>211</v>
      </c>
      <c r="C217" s="3">
        <v>19.3</v>
      </c>
      <c r="D217" s="3">
        <v>36.61</v>
      </c>
      <c r="E217" s="3">
        <v>8.6</v>
      </c>
      <c r="F217" s="3">
        <v>85.9</v>
      </c>
      <c r="G217" s="3">
        <v>8.6999999999999993</v>
      </c>
      <c r="H217" s="3">
        <v>8.7200000000000006</v>
      </c>
      <c r="I217" s="3">
        <v>9.94</v>
      </c>
      <c r="J217" s="3">
        <v>9.61</v>
      </c>
      <c r="K217" s="3">
        <v>9.77</v>
      </c>
      <c r="L217" s="3">
        <v>10</v>
      </c>
      <c r="M217" s="3">
        <v>9.43</v>
      </c>
      <c r="N217" s="3">
        <v>9.3699999999999992</v>
      </c>
      <c r="O217" s="3">
        <v>1E-3</v>
      </c>
      <c r="P217" s="16">
        <v>1.6541666666666668</v>
      </c>
      <c r="Q217" s="3">
        <v>0</v>
      </c>
      <c r="R217" s="3">
        <v>14.47</v>
      </c>
      <c r="S217" s="3">
        <v>1609</v>
      </c>
      <c r="T217" s="3">
        <v>106.1</v>
      </c>
      <c r="U217" s="3">
        <v>514</v>
      </c>
      <c r="V217" s="3">
        <v>16.66</v>
      </c>
      <c r="W217" s="3">
        <v>17.61</v>
      </c>
      <c r="X217" s="3">
        <v>18.149999999999999</v>
      </c>
      <c r="Y217" s="3">
        <v>18.61</v>
      </c>
      <c r="Z217" s="3">
        <v>19.100000000000001</v>
      </c>
      <c r="AA217" s="3">
        <v>12.85</v>
      </c>
      <c r="AB217" s="3">
        <v>9.86</v>
      </c>
      <c r="AC217" s="3">
        <v>9.4700000000000006</v>
      </c>
      <c r="AD217" s="16">
        <v>4.9941666666666666</v>
      </c>
      <c r="AE217" s="3">
        <v>1431</v>
      </c>
      <c r="AF217" s="3">
        <v>4.9400000000000004</v>
      </c>
      <c r="AG217" s="3">
        <v>527</v>
      </c>
      <c r="AH217" s="3">
        <v>43.46</v>
      </c>
      <c r="AI217" s="3">
        <v>1637</v>
      </c>
      <c r="AJ217" s="3">
        <v>4.7329999999999997</v>
      </c>
      <c r="AK217" s="3">
        <v>4.516</v>
      </c>
      <c r="AL217" s="3">
        <v>4.5170000000000003</v>
      </c>
      <c r="AM217" s="3">
        <v>4.6689999999999996</v>
      </c>
      <c r="AN217" s="3">
        <v>4.6870000000000003</v>
      </c>
      <c r="AO217" s="3">
        <v>8.0500000000000007</v>
      </c>
      <c r="AP217" s="3">
        <v>9.19</v>
      </c>
      <c r="AQ217" s="3">
        <v>9.1999999999999993</v>
      </c>
      <c r="AR217" s="3">
        <v>3.2000000000000001E-2</v>
      </c>
      <c r="AS217" s="3">
        <v>0.16700000000000001</v>
      </c>
      <c r="AT217" s="3">
        <v>3.3000000000000002E-2</v>
      </c>
      <c r="AU217" s="3">
        <v>2.1999999999999999E-2</v>
      </c>
      <c r="AV217" s="3">
        <v>0.13200000000000001</v>
      </c>
      <c r="AW217" s="3">
        <v>0.38500000000000001</v>
      </c>
      <c r="AX217" s="3">
        <v>0.16800000000000001</v>
      </c>
      <c r="AY217" s="3">
        <v>6.0999999999999999E-2</v>
      </c>
      <c r="AZ217" s="3">
        <v>9.9</v>
      </c>
      <c r="BA217" s="3"/>
      <c r="BB217" s="3">
        <v>11.33</v>
      </c>
      <c r="BC217" s="3">
        <v>2876</v>
      </c>
      <c r="BD217" s="3"/>
      <c r="BE217" s="3"/>
      <c r="BF217" s="3">
        <v>0</v>
      </c>
      <c r="BH217" s="16">
        <v>29.68</v>
      </c>
      <c r="BI217" s="16">
        <f t="shared" si="152"/>
        <v>59.953600000000002</v>
      </c>
      <c r="BJ217" s="17">
        <f t="shared" si="153"/>
        <v>19.3</v>
      </c>
      <c r="BK217" s="17">
        <f t="shared" si="154"/>
        <v>39.54</v>
      </c>
      <c r="BM217" s="1">
        <f t="shared" si="155"/>
        <v>99</v>
      </c>
      <c r="BN217" s="1">
        <f t="shared" si="156"/>
        <v>80.400000000000006</v>
      </c>
      <c r="BO217" s="1">
        <f t="shared" si="157"/>
        <v>41.2</v>
      </c>
      <c r="BP217" s="62">
        <f t="shared" si="159"/>
        <v>0.67900000000000005</v>
      </c>
      <c r="BQ217" s="62">
        <f t="shared" si="158"/>
        <v>0.96899999999999997</v>
      </c>
      <c r="BS217" s="1">
        <v>0</v>
      </c>
      <c r="BT217" s="8"/>
      <c r="BV217" s="8"/>
      <c r="BW217" s="16">
        <f t="shared" ref="BW217:BW280" si="160">BJ217</f>
        <v>19.3</v>
      </c>
      <c r="BX217" s="16">
        <f t="shared" ref="BX217:BX280" si="161">BK217</f>
        <v>39.54</v>
      </c>
      <c r="BY217" s="3">
        <f t="shared" ref="BY217:BY280" si="162">ROUND(E217,1)</f>
        <v>8.6</v>
      </c>
      <c r="BZ217" s="3">
        <f t="shared" ref="BZ217:BZ280" si="163">ROUND(G217,1)</f>
        <v>8.6999999999999993</v>
      </c>
      <c r="CA217" s="3">
        <f t="shared" ref="CA217:CA280" si="164">ROUND(H217,1)</f>
        <v>8.6999999999999993</v>
      </c>
      <c r="CB217" s="3">
        <f t="shared" ref="CB217:CB280" si="165">ROUND(I217,1)</f>
        <v>9.9</v>
      </c>
      <c r="CC217" s="3">
        <f t="shared" ref="CC217:CC280" si="166">ROUND(L217,1)</f>
        <v>10</v>
      </c>
      <c r="CD217" s="3">
        <f t="shared" ref="CD217:CD280" si="167">ROUND(M217,1)</f>
        <v>9.4</v>
      </c>
      <c r="CE217" s="3">
        <f t="shared" ref="CE217:CE280" si="168">ROUND(N217,1)</f>
        <v>9.4</v>
      </c>
      <c r="CF217" s="23">
        <f t="shared" ref="CF217:CF280" si="169">ROUND(BN217,1)</f>
        <v>80.400000000000006</v>
      </c>
      <c r="CG217" s="1">
        <f t="shared" ref="CG217:CG280" si="170">ROUND(R217,1)</f>
        <v>14.5</v>
      </c>
      <c r="CH217" s="1">
        <f t="shared" ref="CH217:CH280" si="171">ROUND(V217,1)</f>
        <v>16.7</v>
      </c>
      <c r="CI217" s="1">
        <f t="shared" ref="CI217:CI280" si="172">ROUND(W217,1)</f>
        <v>17.600000000000001</v>
      </c>
      <c r="CJ217" s="1">
        <f t="shared" ref="CJ217:CJ280" si="173">ROUND(X217,1)</f>
        <v>18.2</v>
      </c>
      <c r="CK217" s="1">
        <f t="shared" ref="CK217:CK280" si="174">ROUND(AA217,1)</f>
        <v>12.9</v>
      </c>
      <c r="CL217" s="1">
        <f t="shared" ref="CL217:CL280" si="175">ROUND(AB217,1)</f>
        <v>9.9</v>
      </c>
      <c r="CM217" s="1">
        <f t="shared" ref="CM217:CM280" si="176">ROUND(AC217,1)</f>
        <v>9.5</v>
      </c>
      <c r="CN217" s="2">
        <f t="shared" ref="CN217:CN280" si="177">ROUND(BM217,1)</f>
        <v>99</v>
      </c>
      <c r="CO217" s="1">
        <f t="shared" ref="CO217:CO280" si="178">ROUND(AF217,1)</f>
        <v>4.9000000000000004</v>
      </c>
      <c r="CP217" s="1">
        <f t="shared" ref="CP217:CP280" si="179">ROUND(AJ217,1)</f>
        <v>4.7</v>
      </c>
      <c r="CQ217" s="1">
        <f t="shared" ref="CQ217:CQ280" si="180">ROUND(AK217,1)</f>
        <v>4.5</v>
      </c>
      <c r="CR217" s="1">
        <f t="shared" ref="CR217:CR280" si="181">ROUND(AL217,1)</f>
        <v>4.5</v>
      </c>
      <c r="CS217" s="1">
        <f t="shared" ref="CS217:CS280" si="182">ROUND(AO217,1)</f>
        <v>8.1</v>
      </c>
      <c r="CT217" s="1">
        <f t="shared" ref="CT217:CT280" si="183">ROUND(AP217,1)</f>
        <v>9.1999999999999993</v>
      </c>
      <c r="CU217" s="1">
        <f t="shared" ref="CU217:CU280" si="184">ROUND(AQ217,1)</f>
        <v>9.1999999999999993</v>
      </c>
      <c r="CV217" s="2">
        <f t="shared" ref="CV217:CV280" si="185">ROUND(BO217,1)</f>
        <v>41.2</v>
      </c>
      <c r="CW217" s="18">
        <f t="shared" ref="CW217:CW280" si="186">BF217</f>
        <v>0</v>
      </c>
      <c r="CX217" s="1">
        <f>ROUND(PPTest!K217,1)</f>
        <v>0</v>
      </c>
      <c r="CY217" s="17">
        <f t="shared" ref="CY217:CY280" si="187">ROUND(P217,2)</f>
        <v>1.65</v>
      </c>
      <c r="CZ217" s="17">
        <f t="shared" ref="CZ217:CZ280" si="188">ROUND(AD217,2)</f>
        <v>4.99</v>
      </c>
      <c r="DA217" s="20">
        <f t="shared" ref="DA217:DA280" si="189">BP217</f>
        <v>0.67900000000000005</v>
      </c>
      <c r="DB217" s="20">
        <f t="shared" ref="DB217:DB280" si="190">BQ217</f>
        <v>0.96899999999999997</v>
      </c>
      <c r="DC217" s="16">
        <f t="shared" ref="DC217:DC280" si="191">BB217</f>
        <v>11.33</v>
      </c>
      <c r="DF217" s="1">
        <v>11.6</v>
      </c>
      <c r="DG217" s="1">
        <v>17.5</v>
      </c>
      <c r="DH217" s="1">
        <v>6.9</v>
      </c>
      <c r="DI217" s="1">
        <v>79.7</v>
      </c>
      <c r="DJ217" s="1">
        <v>53</v>
      </c>
      <c r="DW217" s="1">
        <v>9.8000000000000007</v>
      </c>
      <c r="DX217" s="1">
        <v>16.2</v>
      </c>
      <c r="DY217" s="1">
        <v>4.5999999999999996</v>
      </c>
    </row>
    <row r="218" spans="1:129" x14ac:dyDescent="0.2">
      <c r="A218" s="40">
        <v>34911</v>
      </c>
      <c r="B218" s="3">
        <v>212</v>
      </c>
      <c r="C218" s="3">
        <v>16.22</v>
      </c>
      <c r="D218" s="3">
        <v>30.98</v>
      </c>
      <c r="E218" s="3">
        <v>10.7</v>
      </c>
      <c r="F218" s="3">
        <v>81.400000000000006</v>
      </c>
      <c r="G218" s="3">
        <v>10.6</v>
      </c>
      <c r="H218" s="3">
        <v>10.53</v>
      </c>
      <c r="I218" s="3">
        <v>11.75</v>
      </c>
      <c r="J218" s="3">
        <v>11.38</v>
      </c>
      <c r="K218" s="3">
        <v>11.55</v>
      </c>
      <c r="L218" s="3">
        <v>10.82</v>
      </c>
      <c r="M218" s="3">
        <v>9.86</v>
      </c>
      <c r="N218" s="3">
        <v>9.25</v>
      </c>
      <c r="O218" s="3">
        <v>1E-3</v>
      </c>
      <c r="P218" s="16">
        <v>1.3688333333333333</v>
      </c>
      <c r="Q218" s="3">
        <v>2</v>
      </c>
      <c r="R218" s="3">
        <v>15.75</v>
      </c>
      <c r="S218" s="3">
        <v>1600</v>
      </c>
      <c r="T218" s="3">
        <v>104.6</v>
      </c>
      <c r="U218" s="3">
        <v>2341</v>
      </c>
      <c r="V218" s="3">
        <v>17.07</v>
      </c>
      <c r="W218" s="3">
        <v>18.829999999999998</v>
      </c>
      <c r="X218" s="3">
        <v>22.81</v>
      </c>
      <c r="Y218" s="3">
        <v>20.350000000000001</v>
      </c>
      <c r="Z218" s="3">
        <v>19.98</v>
      </c>
      <c r="AA218" s="3">
        <v>12.65</v>
      </c>
      <c r="AB218" s="3">
        <v>10.17</v>
      </c>
      <c r="AC218" s="3">
        <v>9.33</v>
      </c>
      <c r="AD218" s="16">
        <v>4.0341666666666667</v>
      </c>
      <c r="AE218" s="3">
        <v>1233</v>
      </c>
      <c r="AF218" s="3">
        <v>6.0529999999999999</v>
      </c>
      <c r="AG218" s="3">
        <v>2356</v>
      </c>
      <c r="AH218" s="3">
        <v>50.15</v>
      </c>
      <c r="AI218" s="3">
        <v>1147</v>
      </c>
      <c r="AJ218" s="3">
        <v>5.1130000000000004</v>
      </c>
      <c r="AK218" s="3">
        <v>4.4770000000000003</v>
      </c>
      <c r="AL218" s="3">
        <v>4.194</v>
      </c>
      <c r="AM218" s="3">
        <v>4.4779999999999998</v>
      </c>
      <c r="AN218" s="3">
        <v>4.718</v>
      </c>
      <c r="AO218" s="3">
        <v>9.18</v>
      </c>
      <c r="AP218" s="3">
        <v>9.6300000000000008</v>
      </c>
      <c r="AQ218" s="3">
        <v>9.1199999999999992</v>
      </c>
      <c r="AR218" s="3">
        <v>0.106</v>
      </c>
      <c r="AS218" s="3">
        <v>0.313</v>
      </c>
      <c r="AT218" s="3">
        <v>0.159</v>
      </c>
      <c r="AU218" s="3">
        <v>1.7000000000000001E-2</v>
      </c>
      <c r="AV218" s="3">
        <v>6.9000000000000006E-2</v>
      </c>
      <c r="AW218" s="3">
        <v>0.183</v>
      </c>
      <c r="AX218" s="3">
        <v>0.10100000000000001</v>
      </c>
      <c r="AY218" s="3">
        <v>5.2999999999999999E-2</v>
      </c>
      <c r="AZ218" s="3">
        <v>11.27</v>
      </c>
      <c r="BA218" s="3"/>
      <c r="BB218" s="3">
        <v>11.32</v>
      </c>
      <c r="BC218" s="3">
        <v>2876</v>
      </c>
      <c r="BD218" s="3"/>
      <c r="BE218" s="3"/>
      <c r="BF218" s="3">
        <v>0</v>
      </c>
      <c r="BH218" s="16">
        <v>29.51</v>
      </c>
      <c r="BI218" s="16">
        <f t="shared" si="152"/>
        <v>59.610200000000006</v>
      </c>
      <c r="BJ218" s="17">
        <f t="shared" si="153"/>
        <v>16.22</v>
      </c>
      <c r="BK218" s="17">
        <f t="shared" si="154"/>
        <v>33.46</v>
      </c>
      <c r="BM218" s="1">
        <f t="shared" si="155"/>
        <v>97.7</v>
      </c>
      <c r="BN218" s="1">
        <f t="shared" si="156"/>
        <v>76.2</v>
      </c>
      <c r="BO218" s="1">
        <f t="shared" si="157"/>
        <v>47.3</v>
      </c>
      <c r="BP218" s="62">
        <f t="shared" si="159"/>
        <v>0.84599999999999997</v>
      </c>
      <c r="BQ218" s="62">
        <f t="shared" si="158"/>
        <v>0.94299999999999995</v>
      </c>
      <c r="BS218" s="1">
        <v>0.3</v>
      </c>
      <c r="BT218" s="8"/>
      <c r="BV218" s="8"/>
      <c r="BW218" s="16">
        <f t="shared" si="160"/>
        <v>16.22</v>
      </c>
      <c r="BX218" s="16">
        <f t="shared" si="161"/>
        <v>33.46</v>
      </c>
      <c r="BY218" s="3">
        <f t="shared" si="162"/>
        <v>10.7</v>
      </c>
      <c r="BZ218" s="3">
        <f t="shared" si="163"/>
        <v>10.6</v>
      </c>
      <c r="CA218" s="3">
        <f t="shared" si="164"/>
        <v>10.5</v>
      </c>
      <c r="CB218" s="3">
        <f t="shared" si="165"/>
        <v>11.8</v>
      </c>
      <c r="CC218" s="3">
        <f t="shared" si="166"/>
        <v>10.8</v>
      </c>
      <c r="CD218" s="3">
        <f t="shared" si="167"/>
        <v>9.9</v>
      </c>
      <c r="CE218" s="3">
        <f t="shared" si="168"/>
        <v>9.3000000000000007</v>
      </c>
      <c r="CF218" s="23">
        <f t="shared" si="169"/>
        <v>76.2</v>
      </c>
      <c r="CG218" s="1">
        <f t="shared" si="170"/>
        <v>15.8</v>
      </c>
      <c r="CH218" s="1">
        <f t="shared" si="171"/>
        <v>17.100000000000001</v>
      </c>
      <c r="CI218" s="1">
        <f t="shared" si="172"/>
        <v>18.8</v>
      </c>
      <c r="CJ218" s="1">
        <f t="shared" si="173"/>
        <v>22.8</v>
      </c>
      <c r="CK218" s="1">
        <f t="shared" si="174"/>
        <v>12.7</v>
      </c>
      <c r="CL218" s="1">
        <f t="shared" si="175"/>
        <v>10.199999999999999</v>
      </c>
      <c r="CM218" s="1">
        <f t="shared" si="176"/>
        <v>9.3000000000000007</v>
      </c>
      <c r="CN218" s="2">
        <f t="shared" si="177"/>
        <v>97.7</v>
      </c>
      <c r="CO218" s="1">
        <f t="shared" si="178"/>
        <v>6.1</v>
      </c>
      <c r="CP218" s="1">
        <f t="shared" si="179"/>
        <v>5.0999999999999996</v>
      </c>
      <c r="CQ218" s="1">
        <f t="shared" si="180"/>
        <v>4.5</v>
      </c>
      <c r="CR218" s="1">
        <f t="shared" si="181"/>
        <v>4.2</v>
      </c>
      <c r="CS218" s="1">
        <f t="shared" si="182"/>
        <v>9.1999999999999993</v>
      </c>
      <c r="CT218" s="1">
        <f t="shared" si="183"/>
        <v>9.6</v>
      </c>
      <c r="CU218" s="1">
        <f t="shared" si="184"/>
        <v>9.1</v>
      </c>
      <c r="CV218" s="2">
        <f t="shared" si="185"/>
        <v>47.3</v>
      </c>
      <c r="CW218" s="18">
        <f t="shared" si="186"/>
        <v>0</v>
      </c>
      <c r="CX218" s="1">
        <f>ROUND(PPTest!K218,1)</f>
        <v>2</v>
      </c>
      <c r="CY218" s="17">
        <f t="shared" si="187"/>
        <v>1.37</v>
      </c>
      <c r="CZ218" s="17">
        <f t="shared" si="188"/>
        <v>4.03</v>
      </c>
      <c r="DA218" s="20">
        <f t="shared" si="189"/>
        <v>0.84599999999999997</v>
      </c>
      <c r="DB218" s="20">
        <f t="shared" si="190"/>
        <v>0.94299999999999995</v>
      </c>
      <c r="DC218" s="16">
        <f t="shared" si="191"/>
        <v>11.32</v>
      </c>
      <c r="DF218" s="1">
        <v>13.8</v>
      </c>
      <c r="DG218" s="1">
        <v>18.100000000000001</v>
      </c>
      <c r="DH218" s="1">
        <v>10.6</v>
      </c>
      <c r="DI218" s="1">
        <v>71.599999999999994</v>
      </c>
      <c r="DJ218" s="1">
        <v>58</v>
      </c>
      <c r="DW218" s="1">
        <v>12.6</v>
      </c>
      <c r="DX218" s="1">
        <v>19.2</v>
      </c>
      <c r="DY218" s="1">
        <v>1.7</v>
      </c>
    </row>
    <row r="219" spans="1:129" x14ac:dyDescent="0.2">
      <c r="A219" s="40">
        <v>34912</v>
      </c>
      <c r="B219" s="3">
        <v>213</v>
      </c>
      <c r="C219" s="3">
        <v>11.7</v>
      </c>
      <c r="D219" s="3">
        <v>22.62</v>
      </c>
      <c r="E219" s="3">
        <v>9.92</v>
      </c>
      <c r="F219" s="3">
        <v>92.4</v>
      </c>
      <c r="G219" s="3">
        <v>9.7899999999999991</v>
      </c>
      <c r="H219" s="3">
        <v>9.7200000000000006</v>
      </c>
      <c r="I219" s="3">
        <v>10.56</v>
      </c>
      <c r="J219" s="3">
        <v>10.08</v>
      </c>
      <c r="K219" s="3">
        <v>10.29</v>
      </c>
      <c r="L219" s="3">
        <v>10.62</v>
      </c>
      <c r="M219" s="3">
        <v>9.9700000000000006</v>
      </c>
      <c r="N219" s="3">
        <v>9.2100000000000009</v>
      </c>
      <c r="O219" s="3">
        <v>1E-3</v>
      </c>
      <c r="P219" s="16">
        <v>1.4478333333333333</v>
      </c>
      <c r="Q219" s="3">
        <v>3</v>
      </c>
      <c r="R219" s="3">
        <v>14.25</v>
      </c>
      <c r="S219" s="3">
        <v>1429</v>
      </c>
      <c r="T219" s="3">
        <v>105.7</v>
      </c>
      <c r="U219" s="3">
        <v>229</v>
      </c>
      <c r="V219" s="3">
        <v>15.17</v>
      </c>
      <c r="W219" s="3">
        <v>16.45</v>
      </c>
      <c r="X219" s="3">
        <v>16.350000000000001</v>
      </c>
      <c r="Y219" s="3">
        <v>17.37</v>
      </c>
      <c r="Z219" s="3">
        <v>17.64</v>
      </c>
      <c r="AA219" s="3">
        <v>12.24</v>
      </c>
      <c r="AB219" s="3">
        <v>10.130000000000001</v>
      </c>
      <c r="AC219" s="3">
        <v>9.32</v>
      </c>
      <c r="AD219" s="16">
        <v>4.2341666666666669</v>
      </c>
      <c r="AE219" s="3">
        <v>1055</v>
      </c>
      <c r="AF219" s="3">
        <v>5.431</v>
      </c>
      <c r="AG219" s="3">
        <v>245</v>
      </c>
      <c r="AH219" s="3">
        <v>61.88</v>
      </c>
      <c r="AI219" s="3">
        <v>1434</v>
      </c>
      <c r="AJ219" s="3">
        <v>4.6319999999999997</v>
      </c>
      <c r="AK219" s="3">
        <v>3.3969999999999998</v>
      </c>
      <c r="AL219" s="3">
        <v>3.4060000000000001</v>
      </c>
      <c r="AM219" s="3">
        <v>3.5819999999999999</v>
      </c>
      <c r="AN219" s="3">
        <v>3.9660000000000002</v>
      </c>
      <c r="AO219" s="3">
        <v>9.15</v>
      </c>
      <c r="AP219" s="3">
        <v>9.8000000000000007</v>
      </c>
      <c r="AQ219" s="3">
        <v>9.07</v>
      </c>
      <c r="AR219" s="3">
        <v>5.1999999999999998E-2</v>
      </c>
      <c r="AS219" s="3">
        <v>0.24299999999999999</v>
      </c>
      <c r="AT219" s="3">
        <v>7.0000000000000007E-2</v>
      </c>
      <c r="AU219" s="3">
        <v>2.5999999999999999E-2</v>
      </c>
      <c r="AV219" s="3">
        <v>0.11</v>
      </c>
      <c r="AW219" s="3">
        <v>0.32900000000000001</v>
      </c>
      <c r="AX219" s="3">
        <v>0.13</v>
      </c>
      <c r="AY219" s="3">
        <v>0.04</v>
      </c>
      <c r="AZ219" s="3">
        <v>10.14</v>
      </c>
      <c r="BA219" s="3"/>
      <c r="BB219" s="3">
        <v>11.29</v>
      </c>
      <c r="BC219" s="3">
        <v>2876</v>
      </c>
      <c r="BD219" s="3"/>
      <c r="BE219" s="3"/>
      <c r="BF219" s="3">
        <v>0</v>
      </c>
      <c r="BH219" s="16">
        <v>29.34</v>
      </c>
      <c r="BI219" s="16">
        <f t="shared" ref="BI219:BI261" si="192">BH219*$BI$1</f>
        <v>59.266800000000003</v>
      </c>
      <c r="BJ219" s="17">
        <f t="shared" si="153"/>
        <v>11.7</v>
      </c>
      <c r="BK219" s="17">
        <f t="shared" si="154"/>
        <v>24.43</v>
      </c>
      <c r="BM219" s="1">
        <f t="shared" si="155"/>
        <v>98.7</v>
      </c>
      <c r="BN219" s="1">
        <f t="shared" si="156"/>
        <v>86.4</v>
      </c>
      <c r="BO219" s="1">
        <f t="shared" si="157"/>
        <v>58.2</v>
      </c>
      <c r="BP219" s="62">
        <f t="shared" si="159"/>
        <v>0.94499999999999995</v>
      </c>
      <c r="BQ219" s="62">
        <f t="shared" si="158"/>
        <v>0.67900000000000005</v>
      </c>
      <c r="BS219" s="1">
        <v>2.2999999999999998</v>
      </c>
      <c r="BT219" s="8"/>
      <c r="BV219" s="8"/>
      <c r="BW219" s="16">
        <f t="shared" si="160"/>
        <v>11.7</v>
      </c>
      <c r="BX219" s="16">
        <f t="shared" si="161"/>
        <v>24.43</v>
      </c>
      <c r="BY219" s="3">
        <f t="shared" si="162"/>
        <v>9.9</v>
      </c>
      <c r="BZ219" s="3">
        <f t="shared" si="163"/>
        <v>9.8000000000000007</v>
      </c>
      <c r="CA219" s="3">
        <f t="shared" si="164"/>
        <v>9.6999999999999993</v>
      </c>
      <c r="CB219" s="3">
        <f t="shared" si="165"/>
        <v>10.6</v>
      </c>
      <c r="CC219" s="3">
        <f t="shared" si="166"/>
        <v>10.6</v>
      </c>
      <c r="CD219" s="3">
        <f t="shared" si="167"/>
        <v>10</v>
      </c>
      <c r="CE219" s="3">
        <f t="shared" si="168"/>
        <v>9.1999999999999993</v>
      </c>
      <c r="CF219" s="23">
        <f t="shared" si="169"/>
        <v>86.4</v>
      </c>
      <c r="CG219" s="1">
        <f t="shared" si="170"/>
        <v>14.3</v>
      </c>
      <c r="CH219" s="1">
        <f t="shared" si="171"/>
        <v>15.2</v>
      </c>
      <c r="CI219" s="1">
        <f t="shared" si="172"/>
        <v>16.5</v>
      </c>
      <c r="CJ219" s="1">
        <f t="shared" si="173"/>
        <v>16.399999999999999</v>
      </c>
      <c r="CK219" s="1">
        <f t="shared" si="174"/>
        <v>12.2</v>
      </c>
      <c r="CL219" s="1">
        <f t="shared" si="175"/>
        <v>10.1</v>
      </c>
      <c r="CM219" s="1">
        <f t="shared" si="176"/>
        <v>9.3000000000000007</v>
      </c>
      <c r="CN219" s="2">
        <f t="shared" si="177"/>
        <v>98.7</v>
      </c>
      <c r="CO219" s="1">
        <f t="shared" si="178"/>
        <v>5.4</v>
      </c>
      <c r="CP219" s="1">
        <f t="shared" si="179"/>
        <v>4.5999999999999996</v>
      </c>
      <c r="CQ219" s="1">
        <f t="shared" si="180"/>
        <v>3.4</v>
      </c>
      <c r="CR219" s="1">
        <f t="shared" si="181"/>
        <v>3.4</v>
      </c>
      <c r="CS219" s="1">
        <f t="shared" si="182"/>
        <v>9.1999999999999993</v>
      </c>
      <c r="CT219" s="1">
        <f t="shared" si="183"/>
        <v>9.8000000000000007</v>
      </c>
      <c r="CU219" s="1">
        <f t="shared" si="184"/>
        <v>9.1</v>
      </c>
      <c r="CV219" s="2">
        <f t="shared" si="185"/>
        <v>58.2</v>
      </c>
      <c r="CW219" s="18">
        <f t="shared" si="186"/>
        <v>0</v>
      </c>
      <c r="CX219" s="1">
        <f>ROUND(PPTest!K219,1)</f>
        <v>3</v>
      </c>
      <c r="CY219" s="17">
        <f t="shared" si="187"/>
        <v>1.45</v>
      </c>
      <c r="CZ219" s="17">
        <f t="shared" si="188"/>
        <v>4.2300000000000004</v>
      </c>
      <c r="DA219" s="20">
        <f t="shared" si="189"/>
        <v>0.94499999999999995</v>
      </c>
      <c r="DB219" s="20">
        <f t="shared" si="190"/>
        <v>0.67900000000000005</v>
      </c>
      <c r="DC219" s="16">
        <f t="shared" si="191"/>
        <v>11.29</v>
      </c>
      <c r="DF219" s="1">
        <v>13.1</v>
      </c>
      <c r="DG219" s="1">
        <v>17.3</v>
      </c>
      <c r="DH219" s="1">
        <v>10.3</v>
      </c>
      <c r="DI219" s="1">
        <v>86</v>
      </c>
      <c r="DJ219" s="1">
        <v>68</v>
      </c>
      <c r="DW219" s="1">
        <v>12.3</v>
      </c>
      <c r="DX219" s="1">
        <v>18</v>
      </c>
      <c r="DY219" s="1">
        <v>7.3</v>
      </c>
    </row>
    <row r="220" spans="1:129" x14ac:dyDescent="0.2">
      <c r="A220" s="40">
        <v>34913</v>
      </c>
      <c r="B220" s="3">
        <v>214</v>
      </c>
      <c r="C220" s="3">
        <v>16.39</v>
      </c>
      <c r="D220" s="3">
        <v>31.55</v>
      </c>
      <c r="E220" s="3">
        <v>10.07</v>
      </c>
      <c r="F220" s="3">
        <v>85</v>
      </c>
      <c r="G220" s="3">
        <v>9.9499999999999993</v>
      </c>
      <c r="H220" s="3">
        <v>9.8699999999999992</v>
      </c>
      <c r="I220" s="3">
        <v>10.96</v>
      </c>
      <c r="J220" s="3">
        <v>10.63</v>
      </c>
      <c r="K220" s="3">
        <v>10.91</v>
      </c>
      <c r="L220" s="3">
        <v>10.8</v>
      </c>
      <c r="M220" s="3">
        <v>10.050000000000001</v>
      </c>
      <c r="N220" s="3">
        <v>9.2100000000000009</v>
      </c>
      <c r="O220" s="3">
        <v>1E-3</v>
      </c>
      <c r="P220" s="16">
        <v>1.337</v>
      </c>
      <c r="Q220" s="3">
        <v>0</v>
      </c>
      <c r="R220" s="3">
        <v>14.07</v>
      </c>
      <c r="S220" s="3">
        <v>1158</v>
      </c>
      <c r="T220" s="3">
        <v>105.7</v>
      </c>
      <c r="U220" s="3">
        <v>545</v>
      </c>
      <c r="V220" s="3">
        <v>16.02</v>
      </c>
      <c r="W220" s="3">
        <v>17.82</v>
      </c>
      <c r="X220" s="3">
        <v>20.98</v>
      </c>
      <c r="Y220" s="3">
        <v>18.75</v>
      </c>
      <c r="Z220" s="3">
        <v>18.78</v>
      </c>
      <c r="AA220" s="3">
        <v>12.33</v>
      </c>
      <c r="AB220" s="3">
        <v>10.26</v>
      </c>
      <c r="AC220" s="3">
        <v>9.31</v>
      </c>
      <c r="AD220" s="16">
        <v>3.9408333333333334</v>
      </c>
      <c r="AE220" s="3">
        <v>1138</v>
      </c>
      <c r="AF220" s="3">
        <v>4.641</v>
      </c>
      <c r="AG220" s="3">
        <v>459</v>
      </c>
      <c r="AH220" s="3">
        <v>45.71</v>
      </c>
      <c r="AI220" s="3">
        <v>1158</v>
      </c>
      <c r="AJ220" s="3">
        <v>4.0469999999999997</v>
      </c>
      <c r="AK220" s="3">
        <v>3.4039999999999999</v>
      </c>
      <c r="AL220" s="3">
        <v>3.194</v>
      </c>
      <c r="AM220" s="3">
        <v>3.577</v>
      </c>
      <c r="AN220" s="3">
        <v>3.8290000000000002</v>
      </c>
      <c r="AO220" s="3">
        <v>9.08</v>
      </c>
      <c r="AP220" s="3">
        <v>9.86</v>
      </c>
      <c r="AQ220" s="3">
        <v>9.02</v>
      </c>
      <c r="AR220" s="3">
        <v>5.6000000000000001E-2</v>
      </c>
      <c r="AS220" s="3">
        <v>0.26200000000000001</v>
      </c>
      <c r="AT220" s="3">
        <v>0.192</v>
      </c>
      <c r="AU220" s="3">
        <v>2.1999999999999999E-2</v>
      </c>
      <c r="AV220" s="3">
        <v>0.11</v>
      </c>
      <c r="AW220" s="3">
        <v>0.26</v>
      </c>
      <c r="AX220" s="3">
        <v>7.3999999999999996E-2</v>
      </c>
      <c r="AY220" s="3">
        <v>2.3E-2</v>
      </c>
      <c r="AZ220" s="3">
        <v>10.62</v>
      </c>
      <c r="BA220" s="3"/>
      <c r="BB220" s="3">
        <v>11.27</v>
      </c>
      <c r="BC220" s="3">
        <v>2876</v>
      </c>
      <c r="BD220" s="3"/>
      <c r="BE220" s="3"/>
      <c r="BF220" s="3">
        <v>0</v>
      </c>
      <c r="BH220" s="16">
        <v>29.17</v>
      </c>
      <c r="BI220" s="16">
        <f t="shared" si="192"/>
        <v>58.923400000000001</v>
      </c>
      <c r="BJ220" s="17">
        <f t="shared" si="153"/>
        <v>16.39</v>
      </c>
      <c r="BK220" s="17">
        <f t="shared" si="154"/>
        <v>34.07</v>
      </c>
      <c r="BM220" s="1">
        <f t="shared" si="155"/>
        <v>98.7</v>
      </c>
      <c r="BN220" s="1">
        <f t="shared" si="156"/>
        <v>79.5</v>
      </c>
      <c r="BO220" s="1">
        <f t="shared" si="157"/>
        <v>43.2</v>
      </c>
      <c r="BP220" s="62">
        <f t="shared" si="159"/>
        <v>0.69399999999999995</v>
      </c>
      <c r="BQ220" s="62">
        <f t="shared" si="158"/>
        <v>0.91200000000000003</v>
      </c>
      <c r="BS220" s="1">
        <v>0</v>
      </c>
      <c r="BT220" s="8"/>
      <c r="BV220" s="8"/>
      <c r="BW220" s="16">
        <f t="shared" si="160"/>
        <v>16.39</v>
      </c>
      <c r="BX220" s="16">
        <f t="shared" si="161"/>
        <v>34.07</v>
      </c>
      <c r="BY220" s="3">
        <f t="shared" si="162"/>
        <v>10.1</v>
      </c>
      <c r="BZ220" s="3">
        <f t="shared" si="163"/>
        <v>10</v>
      </c>
      <c r="CA220" s="3">
        <f t="shared" si="164"/>
        <v>9.9</v>
      </c>
      <c r="CB220" s="3">
        <f t="shared" si="165"/>
        <v>11</v>
      </c>
      <c r="CC220" s="3">
        <f t="shared" si="166"/>
        <v>10.8</v>
      </c>
      <c r="CD220" s="3">
        <f t="shared" si="167"/>
        <v>10.1</v>
      </c>
      <c r="CE220" s="3">
        <f t="shared" si="168"/>
        <v>9.1999999999999993</v>
      </c>
      <c r="CF220" s="23">
        <f t="shared" si="169"/>
        <v>79.5</v>
      </c>
      <c r="CG220" s="1">
        <f t="shared" si="170"/>
        <v>14.1</v>
      </c>
      <c r="CH220" s="1">
        <f t="shared" si="171"/>
        <v>16</v>
      </c>
      <c r="CI220" s="1">
        <f t="shared" si="172"/>
        <v>17.8</v>
      </c>
      <c r="CJ220" s="1">
        <f t="shared" si="173"/>
        <v>21</v>
      </c>
      <c r="CK220" s="1">
        <f t="shared" si="174"/>
        <v>12.3</v>
      </c>
      <c r="CL220" s="1">
        <f t="shared" si="175"/>
        <v>10.3</v>
      </c>
      <c r="CM220" s="1">
        <f t="shared" si="176"/>
        <v>9.3000000000000007</v>
      </c>
      <c r="CN220" s="2">
        <f t="shared" si="177"/>
        <v>98.7</v>
      </c>
      <c r="CO220" s="1">
        <f t="shared" si="178"/>
        <v>4.5999999999999996</v>
      </c>
      <c r="CP220" s="1">
        <f t="shared" si="179"/>
        <v>4</v>
      </c>
      <c r="CQ220" s="1">
        <f t="shared" si="180"/>
        <v>3.4</v>
      </c>
      <c r="CR220" s="1">
        <f t="shared" si="181"/>
        <v>3.2</v>
      </c>
      <c r="CS220" s="1">
        <f t="shared" si="182"/>
        <v>9.1</v>
      </c>
      <c r="CT220" s="1">
        <f t="shared" si="183"/>
        <v>9.9</v>
      </c>
      <c r="CU220" s="1">
        <f t="shared" si="184"/>
        <v>9</v>
      </c>
      <c r="CV220" s="2">
        <f t="shared" si="185"/>
        <v>43.2</v>
      </c>
      <c r="CW220" s="18">
        <f t="shared" si="186"/>
        <v>0</v>
      </c>
      <c r="CX220" s="1">
        <f>ROUND(PPTest!K220,1)</f>
        <v>0</v>
      </c>
      <c r="CY220" s="17">
        <f t="shared" si="187"/>
        <v>1.34</v>
      </c>
      <c r="CZ220" s="17">
        <f t="shared" si="188"/>
        <v>3.94</v>
      </c>
      <c r="DA220" s="20">
        <f t="shared" si="189"/>
        <v>0.69399999999999995</v>
      </c>
      <c r="DB220" s="20">
        <f t="shared" si="190"/>
        <v>0.91200000000000003</v>
      </c>
      <c r="DC220" s="16">
        <f t="shared" si="191"/>
        <v>11.27</v>
      </c>
      <c r="DF220" s="1">
        <v>13</v>
      </c>
      <c r="DG220" s="1">
        <v>16.5</v>
      </c>
      <c r="DH220" s="1">
        <v>9.8000000000000007</v>
      </c>
      <c r="DI220" s="1">
        <v>82</v>
      </c>
      <c r="DJ220" s="1">
        <v>57</v>
      </c>
      <c r="DW220" s="1">
        <v>11.5</v>
      </c>
      <c r="DX220" s="1">
        <v>16.600000000000001</v>
      </c>
      <c r="DY220" s="1">
        <v>6.9</v>
      </c>
    </row>
    <row r="221" spans="1:129" x14ac:dyDescent="0.2">
      <c r="A221" s="40">
        <v>34914</v>
      </c>
      <c r="B221" s="3">
        <v>215</v>
      </c>
      <c r="C221" s="3">
        <v>26.52</v>
      </c>
      <c r="D221" s="3">
        <v>50.25</v>
      </c>
      <c r="E221" s="3">
        <v>11.88</v>
      </c>
      <c r="F221" s="3">
        <v>80.599999999999994</v>
      </c>
      <c r="G221" s="3">
        <v>11.85</v>
      </c>
      <c r="H221" s="3">
        <v>11.77</v>
      </c>
      <c r="I221" s="3">
        <v>12.98</v>
      </c>
      <c r="J221" s="3">
        <v>13.09</v>
      </c>
      <c r="K221" s="3">
        <v>13.37</v>
      </c>
      <c r="L221" s="3">
        <v>11.5</v>
      </c>
      <c r="M221" s="3">
        <v>10.09</v>
      </c>
      <c r="N221" s="3">
        <v>9.17</v>
      </c>
      <c r="O221" s="3">
        <v>1E-3</v>
      </c>
      <c r="P221" s="16">
        <v>1.9441666666666668</v>
      </c>
      <c r="Q221" s="3">
        <v>0</v>
      </c>
      <c r="R221" s="3">
        <v>19.190000000000001</v>
      </c>
      <c r="S221" s="3">
        <v>1709</v>
      </c>
      <c r="T221" s="3">
        <v>103.3</v>
      </c>
      <c r="U221" s="3">
        <v>302</v>
      </c>
      <c r="V221" s="3">
        <v>21.05</v>
      </c>
      <c r="W221" s="3">
        <v>22.48</v>
      </c>
      <c r="X221" s="3">
        <v>26.4</v>
      </c>
      <c r="Y221" s="3">
        <v>23</v>
      </c>
      <c r="Z221" s="3">
        <v>24.15</v>
      </c>
      <c r="AA221" s="3">
        <v>14.9</v>
      </c>
      <c r="AB221" s="3">
        <v>10.65</v>
      </c>
      <c r="AC221" s="3">
        <v>9.39</v>
      </c>
      <c r="AD221" s="16">
        <v>4.9275000000000002</v>
      </c>
      <c r="AE221" s="3">
        <v>1553</v>
      </c>
      <c r="AF221" s="3">
        <v>4.3579999999999997</v>
      </c>
      <c r="AG221" s="3">
        <v>319</v>
      </c>
      <c r="AH221" s="3">
        <v>44.04</v>
      </c>
      <c r="AI221" s="3">
        <v>1713</v>
      </c>
      <c r="AJ221" s="3">
        <v>3.714</v>
      </c>
      <c r="AK221" s="3">
        <v>2.9710000000000001</v>
      </c>
      <c r="AL221" s="3">
        <v>2.2370000000000001</v>
      </c>
      <c r="AM221" s="3">
        <v>3.01</v>
      </c>
      <c r="AN221" s="3">
        <v>3.1930000000000001</v>
      </c>
      <c r="AO221" s="3">
        <v>8.67</v>
      </c>
      <c r="AP221" s="3">
        <v>9.74</v>
      </c>
      <c r="AQ221" s="3">
        <v>9.0299999999999994</v>
      </c>
      <c r="AR221" s="3">
        <v>2.1000000000000001E-2</v>
      </c>
      <c r="AS221" s="3">
        <v>0.252</v>
      </c>
      <c r="AT221" s="3">
        <v>0.248</v>
      </c>
      <c r="AU221" s="3">
        <v>0.01</v>
      </c>
      <c r="AV221" s="3">
        <v>9.8000000000000004E-2</v>
      </c>
      <c r="AW221" s="3">
        <v>0.24</v>
      </c>
      <c r="AX221" s="3">
        <v>8.5000000000000006E-2</v>
      </c>
      <c r="AY221" s="3">
        <v>4.5999999999999999E-2</v>
      </c>
      <c r="AZ221" s="3">
        <v>12.83</v>
      </c>
      <c r="BA221" s="3"/>
      <c r="BB221" s="3">
        <v>11.25</v>
      </c>
      <c r="BC221" s="3">
        <v>2876</v>
      </c>
      <c r="BD221" s="3"/>
      <c r="BE221" s="3"/>
      <c r="BF221" s="3">
        <v>0</v>
      </c>
      <c r="BH221" s="16">
        <v>28.99</v>
      </c>
      <c r="BI221" s="16">
        <f t="shared" si="192"/>
        <v>58.559799999999996</v>
      </c>
      <c r="BJ221" s="17">
        <f t="shared" si="153"/>
        <v>26.52</v>
      </c>
      <c r="BK221" s="17">
        <f t="shared" si="154"/>
        <v>54.27</v>
      </c>
      <c r="BM221" s="1">
        <f t="shared" si="155"/>
        <v>96.4</v>
      </c>
      <c r="BN221" s="1">
        <f t="shared" si="156"/>
        <v>75.5</v>
      </c>
      <c r="BO221" s="1">
        <f t="shared" si="157"/>
        <v>41.7</v>
      </c>
      <c r="BP221" s="62">
        <f t="shared" si="159"/>
        <v>0.92700000000000005</v>
      </c>
      <c r="BQ221" s="62">
        <f t="shared" si="158"/>
        <v>1.296</v>
      </c>
      <c r="BS221" s="1">
        <v>0</v>
      </c>
      <c r="BT221" s="8"/>
      <c r="BV221" s="8"/>
      <c r="BW221" s="16">
        <f t="shared" si="160"/>
        <v>26.52</v>
      </c>
      <c r="BX221" s="16">
        <f t="shared" si="161"/>
        <v>54.27</v>
      </c>
      <c r="BY221" s="3">
        <f t="shared" si="162"/>
        <v>11.9</v>
      </c>
      <c r="BZ221" s="3">
        <f t="shared" si="163"/>
        <v>11.9</v>
      </c>
      <c r="CA221" s="3">
        <f t="shared" si="164"/>
        <v>11.8</v>
      </c>
      <c r="CB221" s="3">
        <f t="shared" si="165"/>
        <v>13</v>
      </c>
      <c r="CC221" s="3">
        <f t="shared" si="166"/>
        <v>11.5</v>
      </c>
      <c r="CD221" s="3">
        <f t="shared" si="167"/>
        <v>10.1</v>
      </c>
      <c r="CE221" s="3">
        <f t="shared" si="168"/>
        <v>9.1999999999999993</v>
      </c>
      <c r="CF221" s="23">
        <f t="shared" si="169"/>
        <v>75.5</v>
      </c>
      <c r="CG221" s="1">
        <f t="shared" si="170"/>
        <v>19.2</v>
      </c>
      <c r="CH221" s="1">
        <f t="shared" si="171"/>
        <v>21.1</v>
      </c>
      <c r="CI221" s="1">
        <f t="shared" si="172"/>
        <v>22.5</v>
      </c>
      <c r="CJ221" s="1">
        <f t="shared" si="173"/>
        <v>26.4</v>
      </c>
      <c r="CK221" s="1">
        <f t="shared" si="174"/>
        <v>14.9</v>
      </c>
      <c r="CL221" s="1">
        <f t="shared" si="175"/>
        <v>10.7</v>
      </c>
      <c r="CM221" s="1">
        <f t="shared" si="176"/>
        <v>9.4</v>
      </c>
      <c r="CN221" s="2">
        <f t="shared" si="177"/>
        <v>96.4</v>
      </c>
      <c r="CO221" s="1">
        <f t="shared" si="178"/>
        <v>4.4000000000000004</v>
      </c>
      <c r="CP221" s="1">
        <f t="shared" si="179"/>
        <v>3.7</v>
      </c>
      <c r="CQ221" s="1">
        <f t="shared" si="180"/>
        <v>3</v>
      </c>
      <c r="CR221" s="1">
        <f t="shared" si="181"/>
        <v>2.2000000000000002</v>
      </c>
      <c r="CS221" s="1">
        <f t="shared" si="182"/>
        <v>8.6999999999999993</v>
      </c>
      <c r="CT221" s="1">
        <f t="shared" si="183"/>
        <v>9.6999999999999993</v>
      </c>
      <c r="CU221" s="1">
        <f t="shared" si="184"/>
        <v>9</v>
      </c>
      <c r="CV221" s="2">
        <f t="shared" si="185"/>
        <v>41.7</v>
      </c>
      <c r="CW221" s="18">
        <f t="shared" si="186"/>
        <v>0</v>
      </c>
      <c r="CX221" s="1">
        <f>ROUND(PPTest!K221,1)</f>
        <v>0</v>
      </c>
      <c r="CY221" s="17">
        <f t="shared" si="187"/>
        <v>1.94</v>
      </c>
      <c r="CZ221" s="17">
        <f t="shared" si="188"/>
        <v>4.93</v>
      </c>
      <c r="DA221" s="20">
        <f t="shared" si="189"/>
        <v>0.92700000000000005</v>
      </c>
      <c r="DB221" s="20">
        <f t="shared" si="190"/>
        <v>1.296</v>
      </c>
      <c r="DC221" s="16">
        <f t="shared" si="191"/>
        <v>11.25</v>
      </c>
      <c r="DF221" s="1">
        <v>16.100000000000001</v>
      </c>
      <c r="DG221" s="1">
        <v>21.6</v>
      </c>
      <c r="DH221" s="1">
        <v>11.7</v>
      </c>
      <c r="DI221" s="1">
        <v>69.7</v>
      </c>
      <c r="DJ221" s="1">
        <v>54</v>
      </c>
      <c r="DW221" s="1">
        <v>12.6</v>
      </c>
      <c r="DX221" s="1">
        <v>19.7</v>
      </c>
      <c r="DY221" s="1">
        <v>6.2</v>
      </c>
    </row>
    <row r="222" spans="1:129" x14ac:dyDescent="0.2">
      <c r="A222" s="40">
        <v>34915</v>
      </c>
      <c r="B222" s="3">
        <v>216</v>
      </c>
      <c r="C222" s="3">
        <v>26.99</v>
      </c>
      <c r="D222" s="3">
        <v>51.02</v>
      </c>
      <c r="E222" s="3">
        <v>16.12</v>
      </c>
      <c r="F222" s="3">
        <v>63.6</v>
      </c>
      <c r="G222" s="3">
        <v>15.97</v>
      </c>
      <c r="H222" s="3">
        <v>15.92</v>
      </c>
      <c r="I222" s="3">
        <v>15.07</v>
      </c>
      <c r="J222" s="3">
        <v>17.3</v>
      </c>
      <c r="K222" s="3">
        <v>17.239999999999998</v>
      </c>
      <c r="L222" s="3">
        <v>12.4</v>
      </c>
      <c r="M222" s="3">
        <v>10.57</v>
      </c>
      <c r="N222" s="3">
        <v>9.19</v>
      </c>
      <c r="O222" s="3">
        <v>0</v>
      </c>
      <c r="P222" s="16">
        <v>2.3041666666666667</v>
      </c>
      <c r="Q222" s="3">
        <v>0</v>
      </c>
      <c r="R222" s="3">
        <v>23.83</v>
      </c>
      <c r="S222" s="3">
        <v>1637</v>
      </c>
      <c r="T222" s="3">
        <v>102.9</v>
      </c>
      <c r="U222" s="3">
        <v>445</v>
      </c>
      <c r="V222" s="3">
        <v>25.2</v>
      </c>
      <c r="W222" s="3">
        <v>24.96</v>
      </c>
      <c r="X222" s="3">
        <v>27.73</v>
      </c>
      <c r="Y222" s="3">
        <v>27.91</v>
      </c>
      <c r="Z222" s="3">
        <v>27.23</v>
      </c>
      <c r="AA222" s="3">
        <v>15.73</v>
      </c>
      <c r="AB222" s="3">
        <v>11.24</v>
      </c>
      <c r="AC222" s="3">
        <v>9.3800000000000008</v>
      </c>
      <c r="AD222" s="16">
        <v>6.7541666666666664</v>
      </c>
      <c r="AE222" s="3">
        <v>1836</v>
      </c>
      <c r="AF222" s="3">
        <v>5.5640000000000001</v>
      </c>
      <c r="AG222" s="3">
        <v>442</v>
      </c>
      <c r="AH222" s="3">
        <v>28.7</v>
      </c>
      <c r="AI222" s="3">
        <v>1841</v>
      </c>
      <c r="AJ222" s="3">
        <v>4.8109999999999999</v>
      </c>
      <c r="AK222" s="3">
        <v>4.3620000000000001</v>
      </c>
      <c r="AL222" s="3">
        <v>3.464</v>
      </c>
      <c r="AM222" s="3">
        <v>4.335</v>
      </c>
      <c r="AN222" s="3">
        <v>4.508</v>
      </c>
      <c r="AO222" s="3">
        <v>9.32</v>
      </c>
      <c r="AP222" s="3">
        <v>10.17</v>
      </c>
      <c r="AQ222" s="3">
        <v>9.02</v>
      </c>
      <c r="AR222" s="3">
        <v>1.4999999999999999E-2</v>
      </c>
      <c r="AS222" s="3">
        <v>0.12</v>
      </c>
      <c r="AT222" s="3">
        <v>0.219</v>
      </c>
      <c r="AU222" s="3">
        <v>2.5999999999999999E-2</v>
      </c>
      <c r="AV222" s="3">
        <v>0.16200000000000001</v>
      </c>
      <c r="AW222" s="3">
        <v>0.31900000000000001</v>
      </c>
      <c r="AX222" s="3">
        <v>0.112</v>
      </c>
      <c r="AY222" s="3">
        <v>2.5999999999999999E-2</v>
      </c>
      <c r="AZ222" s="3">
        <v>16.18</v>
      </c>
      <c r="BA222" s="3"/>
      <c r="BB222" s="3">
        <v>10.7</v>
      </c>
      <c r="BC222" s="3">
        <v>2876</v>
      </c>
      <c r="BD222" s="3"/>
      <c r="BE222" s="3"/>
      <c r="BF222" s="3">
        <v>0</v>
      </c>
      <c r="BH222" s="16">
        <v>28.81</v>
      </c>
      <c r="BI222" s="16">
        <f t="shared" si="192"/>
        <v>58.196199999999997</v>
      </c>
      <c r="BJ222" s="17">
        <f t="shared" si="153"/>
        <v>26.99</v>
      </c>
      <c r="BK222" s="17">
        <f t="shared" si="154"/>
        <v>55.1</v>
      </c>
      <c r="BM222" s="1">
        <f t="shared" si="155"/>
        <v>96.1</v>
      </c>
      <c r="BN222" s="1">
        <f t="shared" si="156"/>
        <v>59.8</v>
      </c>
      <c r="BO222" s="1">
        <f t="shared" si="157"/>
        <v>27.5</v>
      </c>
      <c r="BP222" s="62">
        <f t="shared" si="159"/>
        <v>0.81200000000000006</v>
      </c>
      <c r="BQ222" s="62">
        <f t="shared" si="158"/>
        <v>2.141</v>
      </c>
      <c r="BS222" s="1">
        <v>0</v>
      </c>
      <c r="BT222" s="8"/>
      <c r="BV222" s="8"/>
      <c r="BW222" s="16">
        <f t="shared" si="160"/>
        <v>26.99</v>
      </c>
      <c r="BX222" s="16">
        <f t="shared" si="161"/>
        <v>55.1</v>
      </c>
      <c r="BY222" s="3">
        <f t="shared" si="162"/>
        <v>16.100000000000001</v>
      </c>
      <c r="BZ222" s="3">
        <f t="shared" si="163"/>
        <v>16</v>
      </c>
      <c r="CA222" s="3">
        <f t="shared" si="164"/>
        <v>15.9</v>
      </c>
      <c r="CB222" s="3">
        <f t="shared" si="165"/>
        <v>15.1</v>
      </c>
      <c r="CC222" s="3">
        <f t="shared" si="166"/>
        <v>12.4</v>
      </c>
      <c r="CD222" s="3">
        <f t="shared" si="167"/>
        <v>10.6</v>
      </c>
      <c r="CE222" s="3">
        <f t="shared" si="168"/>
        <v>9.1999999999999993</v>
      </c>
      <c r="CF222" s="23">
        <f t="shared" si="169"/>
        <v>59.8</v>
      </c>
      <c r="CG222" s="1">
        <f t="shared" si="170"/>
        <v>23.8</v>
      </c>
      <c r="CH222" s="1">
        <f t="shared" si="171"/>
        <v>25.2</v>
      </c>
      <c r="CI222" s="1">
        <f t="shared" si="172"/>
        <v>25</v>
      </c>
      <c r="CJ222" s="1">
        <f t="shared" si="173"/>
        <v>27.7</v>
      </c>
      <c r="CK222" s="1">
        <f t="shared" si="174"/>
        <v>15.7</v>
      </c>
      <c r="CL222" s="1">
        <f t="shared" si="175"/>
        <v>11.2</v>
      </c>
      <c r="CM222" s="1">
        <f t="shared" si="176"/>
        <v>9.4</v>
      </c>
      <c r="CN222" s="2">
        <f t="shared" si="177"/>
        <v>96.1</v>
      </c>
      <c r="CO222" s="1">
        <f t="shared" si="178"/>
        <v>5.6</v>
      </c>
      <c r="CP222" s="1">
        <f t="shared" si="179"/>
        <v>4.8</v>
      </c>
      <c r="CQ222" s="1">
        <f t="shared" si="180"/>
        <v>4.4000000000000004</v>
      </c>
      <c r="CR222" s="1">
        <f t="shared" si="181"/>
        <v>3.5</v>
      </c>
      <c r="CS222" s="1">
        <f t="shared" si="182"/>
        <v>9.3000000000000007</v>
      </c>
      <c r="CT222" s="1">
        <f t="shared" si="183"/>
        <v>10.199999999999999</v>
      </c>
      <c r="CU222" s="1">
        <f t="shared" si="184"/>
        <v>9</v>
      </c>
      <c r="CV222" s="2">
        <f t="shared" si="185"/>
        <v>27.5</v>
      </c>
      <c r="CW222" s="18">
        <f t="shared" si="186"/>
        <v>0</v>
      </c>
      <c r="CX222" s="1">
        <f>ROUND(PPTest!K222,1)</f>
        <v>0</v>
      </c>
      <c r="CY222" s="17">
        <f t="shared" si="187"/>
        <v>2.2999999999999998</v>
      </c>
      <c r="CZ222" s="17">
        <f t="shared" si="188"/>
        <v>6.75</v>
      </c>
      <c r="DA222" s="20">
        <f t="shared" si="189"/>
        <v>0.81200000000000006</v>
      </c>
      <c r="DB222" s="20">
        <f t="shared" si="190"/>
        <v>2.141</v>
      </c>
      <c r="DC222" s="16">
        <f t="shared" si="191"/>
        <v>10.7</v>
      </c>
      <c r="DF222" s="1">
        <v>20.2</v>
      </c>
      <c r="DG222" s="1">
        <v>26.1</v>
      </c>
      <c r="DH222" s="1">
        <v>13.6</v>
      </c>
      <c r="DI222" s="1">
        <v>55.1</v>
      </c>
      <c r="DJ222" s="1">
        <v>35</v>
      </c>
      <c r="DW222" s="1">
        <v>16.399999999999999</v>
      </c>
      <c r="DX222" s="1">
        <v>24.2</v>
      </c>
      <c r="DY222" s="1">
        <v>5.9</v>
      </c>
    </row>
    <row r="223" spans="1:129" x14ac:dyDescent="0.2">
      <c r="A223" s="40">
        <v>34916</v>
      </c>
      <c r="B223" s="3">
        <v>217</v>
      </c>
      <c r="C223" s="3">
        <v>8.0399999999999991</v>
      </c>
      <c r="D223" s="3">
        <v>15.68</v>
      </c>
      <c r="E223" s="3">
        <v>12.28</v>
      </c>
      <c r="F223" s="3">
        <v>77.5</v>
      </c>
      <c r="G223" s="3">
        <v>11.98</v>
      </c>
      <c r="H223" s="3">
        <v>11.84</v>
      </c>
      <c r="I223" s="3">
        <v>11.28</v>
      </c>
      <c r="J223" s="3">
        <v>11.83</v>
      </c>
      <c r="K223" s="3">
        <v>12.16</v>
      </c>
      <c r="L223" s="3">
        <v>11.85</v>
      </c>
      <c r="M223" s="3">
        <v>11.04</v>
      </c>
      <c r="N223" s="3">
        <v>9.35</v>
      </c>
      <c r="O223" s="3">
        <v>1E-3</v>
      </c>
      <c r="P223" s="16">
        <v>2.4224999999999999</v>
      </c>
      <c r="Q223" s="3">
        <v>2</v>
      </c>
      <c r="R223" s="3">
        <v>15.59</v>
      </c>
      <c r="S223" s="3">
        <v>31</v>
      </c>
      <c r="T223" s="3">
        <v>104.6</v>
      </c>
      <c r="U223" s="3">
        <v>2351</v>
      </c>
      <c r="V223" s="3">
        <v>15.18</v>
      </c>
      <c r="W223" s="3">
        <v>15.62</v>
      </c>
      <c r="X223" s="3">
        <v>16.190000000000001</v>
      </c>
      <c r="Y223" s="3">
        <v>16.38</v>
      </c>
      <c r="Z223" s="3">
        <v>16.690000000000001</v>
      </c>
      <c r="AA223" s="3">
        <v>12.67</v>
      </c>
      <c r="AB223" s="3">
        <v>11.26</v>
      </c>
      <c r="AC223" s="3">
        <v>9.43</v>
      </c>
      <c r="AD223" s="16">
        <v>6.2874999999999996</v>
      </c>
      <c r="AE223" s="3">
        <v>1739</v>
      </c>
      <c r="AF223" s="3">
        <v>5.3049999999999997</v>
      </c>
      <c r="AG223" s="3">
        <v>2257</v>
      </c>
      <c r="AH223" s="3">
        <v>62.27</v>
      </c>
      <c r="AI223" s="3">
        <v>1341</v>
      </c>
      <c r="AJ223" s="3">
        <v>5.1079999999999997</v>
      </c>
      <c r="AK223" s="3">
        <v>4.8220000000000001</v>
      </c>
      <c r="AL223" s="3">
        <v>5.952</v>
      </c>
      <c r="AM223" s="3">
        <v>4.9930000000000003</v>
      </c>
      <c r="AN223" s="3">
        <v>5.0140000000000002</v>
      </c>
      <c r="AO223" s="3">
        <v>10.16</v>
      </c>
      <c r="AP223" s="3">
        <v>10.78</v>
      </c>
      <c r="AQ223" s="3">
        <v>9.27</v>
      </c>
      <c r="AR223" s="3">
        <v>2.9000000000000001E-2</v>
      </c>
      <c r="AS223" s="3">
        <v>4.2999999999999997E-2</v>
      </c>
      <c r="AT223" s="3">
        <v>2.1999999999999999E-2</v>
      </c>
      <c r="AU223" s="3">
        <v>4.8000000000000001E-2</v>
      </c>
      <c r="AV223" s="3">
        <v>0.253</v>
      </c>
      <c r="AW223" s="3">
        <v>0.48</v>
      </c>
      <c r="AX223" s="3">
        <v>0.10299999999999999</v>
      </c>
      <c r="AY223" s="3">
        <v>2.1999999999999999E-2</v>
      </c>
      <c r="AZ223" s="3">
        <v>11.99</v>
      </c>
      <c r="BA223" s="3"/>
      <c r="BB223" s="3">
        <v>10.59</v>
      </c>
      <c r="BC223" s="3">
        <v>2876</v>
      </c>
      <c r="BD223" s="3"/>
      <c r="BE223" s="3"/>
      <c r="BF223" s="3">
        <v>0</v>
      </c>
      <c r="BH223" s="16">
        <v>28.63</v>
      </c>
      <c r="BI223" s="16">
        <f t="shared" si="192"/>
        <v>57.832599999999999</v>
      </c>
      <c r="BJ223" s="17">
        <f t="shared" si="153"/>
        <v>8.0399999999999991</v>
      </c>
      <c r="BK223" s="17">
        <f t="shared" si="154"/>
        <v>16.93</v>
      </c>
      <c r="BM223" s="1">
        <f t="shared" si="155"/>
        <v>97.7</v>
      </c>
      <c r="BN223" s="1">
        <f t="shared" si="156"/>
        <v>72.599999999999994</v>
      </c>
      <c r="BO223" s="1">
        <f t="shared" si="157"/>
        <v>58.5</v>
      </c>
      <c r="BP223" s="62">
        <f t="shared" si="159"/>
        <v>1.036</v>
      </c>
      <c r="BQ223" s="62">
        <f t="shared" si="158"/>
        <v>0.73499999999999999</v>
      </c>
      <c r="BS223" s="1">
        <v>5.0999999999999996</v>
      </c>
      <c r="BT223" s="8"/>
      <c r="BV223" s="8"/>
      <c r="BW223" s="16">
        <f t="shared" si="160"/>
        <v>8.0399999999999991</v>
      </c>
      <c r="BX223" s="16">
        <f t="shared" si="161"/>
        <v>16.93</v>
      </c>
      <c r="BY223" s="3">
        <f t="shared" si="162"/>
        <v>12.3</v>
      </c>
      <c r="BZ223" s="3">
        <f t="shared" si="163"/>
        <v>12</v>
      </c>
      <c r="CA223" s="3">
        <f t="shared" si="164"/>
        <v>11.8</v>
      </c>
      <c r="CB223" s="3">
        <f t="shared" si="165"/>
        <v>11.3</v>
      </c>
      <c r="CC223" s="3">
        <f t="shared" si="166"/>
        <v>11.9</v>
      </c>
      <c r="CD223" s="3">
        <f t="shared" si="167"/>
        <v>11</v>
      </c>
      <c r="CE223" s="3">
        <f t="shared" si="168"/>
        <v>9.4</v>
      </c>
      <c r="CF223" s="23">
        <f t="shared" si="169"/>
        <v>72.599999999999994</v>
      </c>
      <c r="CG223" s="1">
        <f t="shared" si="170"/>
        <v>15.6</v>
      </c>
      <c r="CH223" s="1">
        <f t="shared" si="171"/>
        <v>15.2</v>
      </c>
      <c r="CI223" s="1">
        <f t="shared" si="172"/>
        <v>15.6</v>
      </c>
      <c r="CJ223" s="1">
        <f t="shared" si="173"/>
        <v>16.2</v>
      </c>
      <c r="CK223" s="1">
        <f t="shared" si="174"/>
        <v>12.7</v>
      </c>
      <c r="CL223" s="1">
        <f t="shared" si="175"/>
        <v>11.3</v>
      </c>
      <c r="CM223" s="1">
        <f t="shared" si="176"/>
        <v>9.4</v>
      </c>
      <c r="CN223" s="2">
        <f t="shared" si="177"/>
        <v>97.7</v>
      </c>
      <c r="CO223" s="1">
        <f t="shared" si="178"/>
        <v>5.3</v>
      </c>
      <c r="CP223" s="1">
        <f t="shared" si="179"/>
        <v>5.0999999999999996</v>
      </c>
      <c r="CQ223" s="1">
        <f t="shared" si="180"/>
        <v>4.8</v>
      </c>
      <c r="CR223" s="1">
        <f t="shared" si="181"/>
        <v>6</v>
      </c>
      <c r="CS223" s="1">
        <f t="shared" si="182"/>
        <v>10.199999999999999</v>
      </c>
      <c r="CT223" s="1">
        <f t="shared" si="183"/>
        <v>10.8</v>
      </c>
      <c r="CU223" s="1">
        <f t="shared" si="184"/>
        <v>9.3000000000000007</v>
      </c>
      <c r="CV223" s="2">
        <f t="shared" si="185"/>
        <v>58.5</v>
      </c>
      <c r="CW223" s="18">
        <f t="shared" si="186"/>
        <v>0</v>
      </c>
      <c r="CX223" s="1">
        <f>ROUND(PPTest!K223,1)</f>
        <v>2</v>
      </c>
      <c r="CY223" s="17">
        <f t="shared" si="187"/>
        <v>2.42</v>
      </c>
      <c r="CZ223" s="17">
        <f t="shared" si="188"/>
        <v>6.29</v>
      </c>
      <c r="DA223" s="20">
        <f t="shared" si="189"/>
        <v>1.036</v>
      </c>
      <c r="DB223" s="20">
        <f t="shared" si="190"/>
        <v>0.73499999999999999</v>
      </c>
      <c r="DC223" s="16">
        <f t="shared" si="191"/>
        <v>10.59</v>
      </c>
      <c r="DF223" s="1">
        <v>14</v>
      </c>
      <c r="DG223" s="1">
        <v>17.8</v>
      </c>
      <c r="DH223" s="1">
        <v>7</v>
      </c>
      <c r="DI223" s="1">
        <v>74.8</v>
      </c>
      <c r="DJ223" s="1">
        <v>56</v>
      </c>
      <c r="DW223" s="1">
        <v>13.1</v>
      </c>
      <c r="DX223" s="1">
        <v>16.100000000000001</v>
      </c>
      <c r="DY223" s="1">
        <v>8.6999999999999993</v>
      </c>
    </row>
    <row r="224" spans="1:129" x14ac:dyDescent="0.2">
      <c r="A224" s="40">
        <v>34917</v>
      </c>
      <c r="B224" s="3">
        <v>218</v>
      </c>
      <c r="C224" s="3">
        <v>7.18</v>
      </c>
      <c r="D224" s="3">
        <v>14.22</v>
      </c>
      <c r="E224" s="3">
        <v>5.4340000000000002</v>
      </c>
      <c r="F224" s="3">
        <v>98.1</v>
      </c>
      <c r="G224" s="3">
        <v>5.3810000000000002</v>
      </c>
      <c r="H224" s="3">
        <v>5.27</v>
      </c>
      <c r="I224" s="3">
        <v>6.7779999999999996</v>
      </c>
      <c r="J224" s="3">
        <v>5.2190000000000003</v>
      </c>
      <c r="K224" s="3">
        <v>5.4109999999999996</v>
      </c>
      <c r="L224" s="3">
        <v>9.3699999999999992</v>
      </c>
      <c r="M224" s="3">
        <v>10.19</v>
      </c>
      <c r="N224" s="3">
        <v>9.36</v>
      </c>
      <c r="O224" s="3">
        <v>1E-3</v>
      </c>
      <c r="P224" s="16">
        <v>1.6308333333333334</v>
      </c>
      <c r="Q224" s="3">
        <v>5</v>
      </c>
      <c r="R224" s="3">
        <v>7.58</v>
      </c>
      <c r="S224" s="3">
        <v>2346</v>
      </c>
      <c r="T224" s="3">
        <v>105.4</v>
      </c>
      <c r="U224" s="3">
        <v>242</v>
      </c>
      <c r="V224" s="3">
        <v>7.62</v>
      </c>
      <c r="W224" s="3">
        <v>8.58</v>
      </c>
      <c r="X224" s="3">
        <v>9.89</v>
      </c>
      <c r="Y224" s="3">
        <v>7.3</v>
      </c>
      <c r="Z224" s="3">
        <v>8.3000000000000007</v>
      </c>
      <c r="AA224" s="3">
        <v>10.16</v>
      </c>
      <c r="AB224" s="3">
        <v>10.8</v>
      </c>
      <c r="AC224" s="3">
        <v>9.4700000000000006</v>
      </c>
      <c r="AD224" s="16">
        <v>4.5674999999999999</v>
      </c>
      <c r="AE224" s="3">
        <v>851</v>
      </c>
      <c r="AF224" s="3">
        <v>4.1470000000000002</v>
      </c>
      <c r="AG224" s="3">
        <v>629</v>
      </c>
      <c r="AH224" s="3">
        <v>78.2</v>
      </c>
      <c r="AI224" s="3">
        <v>1634</v>
      </c>
      <c r="AJ224" s="3">
        <v>4.0270000000000001</v>
      </c>
      <c r="AK224" s="3">
        <v>3.4649999999999999</v>
      </c>
      <c r="AL224" s="3">
        <v>5.3520000000000003</v>
      </c>
      <c r="AM224" s="3">
        <v>3.8210000000000002</v>
      </c>
      <c r="AN224" s="3">
        <v>3.8319999999999999</v>
      </c>
      <c r="AO224" s="3">
        <v>8.85</v>
      </c>
      <c r="AP224" s="3">
        <v>9.7899999999999991</v>
      </c>
      <c r="AQ224" s="3">
        <v>9.2799999999999994</v>
      </c>
      <c r="AR224" s="3">
        <v>0.13900000000000001</v>
      </c>
      <c r="AS224" s="3">
        <v>0.19</v>
      </c>
      <c r="AT224" s="3">
        <v>8.1000000000000003E-2</v>
      </c>
      <c r="AU224" s="3">
        <v>6.4000000000000001E-2</v>
      </c>
      <c r="AV224" s="3">
        <v>0.16500000000000001</v>
      </c>
      <c r="AW224" s="3">
        <v>0.28499999999999998</v>
      </c>
      <c r="AX224" s="3">
        <v>4.7E-2</v>
      </c>
      <c r="AY224" s="3">
        <v>3.1E-2</v>
      </c>
      <c r="AZ224" s="3">
        <v>5.6870000000000003</v>
      </c>
      <c r="BA224" s="3"/>
      <c r="BB224" s="3">
        <v>10.3</v>
      </c>
      <c r="BC224" s="3">
        <v>2876</v>
      </c>
      <c r="BD224" s="3"/>
      <c r="BE224" s="3"/>
      <c r="BF224" s="3">
        <v>0</v>
      </c>
      <c r="BH224" s="16">
        <v>28.45</v>
      </c>
      <c r="BI224" s="16">
        <f t="shared" si="192"/>
        <v>57.469000000000001</v>
      </c>
      <c r="BJ224" s="17">
        <f t="shared" si="153"/>
        <v>7.18</v>
      </c>
      <c r="BK224" s="17">
        <f t="shared" si="154"/>
        <v>15.36</v>
      </c>
      <c r="BM224" s="1">
        <f t="shared" si="155"/>
        <v>98.4</v>
      </c>
      <c r="BN224" s="1">
        <f t="shared" si="156"/>
        <v>91.6</v>
      </c>
      <c r="BO224" s="1">
        <f t="shared" si="157"/>
        <v>73.3</v>
      </c>
      <c r="BP224" s="62">
        <f t="shared" si="159"/>
        <v>0.76400000000000001</v>
      </c>
      <c r="BQ224" s="62">
        <f t="shared" si="158"/>
        <v>0.27800000000000002</v>
      </c>
      <c r="BS224" s="1">
        <v>13.6</v>
      </c>
      <c r="BT224" s="8"/>
      <c r="BV224" s="8"/>
      <c r="BW224" s="16">
        <f t="shared" si="160"/>
        <v>7.18</v>
      </c>
      <c r="BX224" s="16">
        <f t="shared" si="161"/>
        <v>15.36</v>
      </c>
      <c r="BY224" s="3">
        <f t="shared" si="162"/>
        <v>5.4</v>
      </c>
      <c r="BZ224" s="3">
        <f t="shared" si="163"/>
        <v>5.4</v>
      </c>
      <c r="CA224" s="3">
        <f t="shared" si="164"/>
        <v>5.3</v>
      </c>
      <c r="CB224" s="3">
        <f t="shared" si="165"/>
        <v>6.8</v>
      </c>
      <c r="CC224" s="3">
        <f t="shared" si="166"/>
        <v>9.4</v>
      </c>
      <c r="CD224" s="3">
        <f t="shared" si="167"/>
        <v>10.199999999999999</v>
      </c>
      <c r="CE224" s="3">
        <f t="shared" si="168"/>
        <v>9.4</v>
      </c>
      <c r="CF224" s="23">
        <f t="shared" si="169"/>
        <v>91.6</v>
      </c>
      <c r="CG224" s="1">
        <f t="shared" si="170"/>
        <v>7.6</v>
      </c>
      <c r="CH224" s="1">
        <f t="shared" si="171"/>
        <v>7.6</v>
      </c>
      <c r="CI224" s="1">
        <f t="shared" si="172"/>
        <v>8.6</v>
      </c>
      <c r="CJ224" s="1">
        <f t="shared" si="173"/>
        <v>9.9</v>
      </c>
      <c r="CK224" s="1">
        <f t="shared" si="174"/>
        <v>10.199999999999999</v>
      </c>
      <c r="CL224" s="1">
        <f t="shared" si="175"/>
        <v>10.8</v>
      </c>
      <c r="CM224" s="1">
        <f t="shared" si="176"/>
        <v>9.5</v>
      </c>
      <c r="CN224" s="2">
        <f t="shared" si="177"/>
        <v>98.4</v>
      </c>
      <c r="CO224" s="1">
        <f t="shared" si="178"/>
        <v>4.0999999999999996</v>
      </c>
      <c r="CP224" s="1">
        <f t="shared" si="179"/>
        <v>4</v>
      </c>
      <c r="CQ224" s="1">
        <f t="shared" si="180"/>
        <v>3.5</v>
      </c>
      <c r="CR224" s="1">
        <f t="shared" si="181"/>
        <v>5.4</v>
      </c>
      <c r="CS224" s="1">
        <f t="shared" si="182"/>
        <v>8.9</v>
      </c>
      <c r="CT224" s="1">
        <f t="shared" si="183"/>
        <v>9.8000000000000007</v>
      </c>
      <c r="CU224" s="1">
        <f t="shared" si="184"/>
        <v>9.3000000000000007</v>
      </c>
      <c r="CV224" s="2">
        <f t="shared" si="185"/>
        <v>73.3</v>
      </c>
      <c r="CW224" s="18">
        <f t="shared" si="186"/>
        <v>0</v>
      </c>
      <c r="CX224" s="1">
        <f>ROUND(PPTest!K224,1)</f>
        <v>5</v>
      </c>
      <c r="CY224" s="17">
        <f t="shared" si="187"/>
        <v>1.63</v>
      </c>
      <c r="CZ224" s="17">
        <f t="shared" si="188"/>
        <v>4.57</v>
      </c>
      <c r="DA224" s="20">
        <f t="shared" si="189"/>
        <v>0.76400000000000001</v>
      </c>
      <c r="DB224" s="20">
        <f t="shared" si="190"/>
        <v>0.27800000000000002</v>
      </c>
      <c r="DC224" s="16">
        <f t="shared" si="191"/>
        <v>10.3</v>
      </c>
      <c r="DF224" s="1">
        <v>7.3</v>
      </c>
      <c r="DG224" s="1">
        <v>8.9</v>
      </c>
      <c r="DH224" s="1">
        <v>6.5</v>
      </c>
      <c r="DI224" s="1">
        <v>97.2</v>
      </c>
      <c r="DJ224" s="1">
        <v>91</v>
      </c>
      <c r="DW224" s="1">
        <v>6.2</v>
      </c>
      <c r="DX224" s="1">
        <v>9.1</v>
      </c>
      <c r="DY224" s="1">
        <v>4</v>
      </c>
    </row>
    <row r="225" spans="1:129" x14ac:dyDescent="0.2">
      <c r="A225" s="40">
        <v>34918</v>
      </c>
      <c r="B225" s="3">
        <v>219</v>
      </c>
      <c r="C225" s="3">
        <v>9.57</v>
      </c>
      <c r="D225" s="3">
        <v>18.260000000000002</v>
      </c>
      <c r="E225" s="3">
        <v>6.65</v>
      </c>
      <c r="F225" s="3">
        <v>100.2</v>
      </c>
      <c r="G225" s="3">
        <v>6.6059999999999999</v>
      </c>
      <c r="H225" s="3">
        <v>6.548</v>
      </c>
      <c r="I225" s="3">
        <v>7.39</v>
      </c>
      <c r="J225" s="3">
        <v>6.609</v>
      </c>
      <c r="K225" s="3">
        <v>6.7809999999999997</v>
      </c>
      <c r="L225" s="3">
        <v>8.7799999999999994</v>
      </c>
      <c r="M225" s="3">
        <v>9.5500000000000007</v>
      </c>
      <c r="N225" s="3">
        <v>9.4</v>
      </c>
      <c r="O225" s="3">
        <v>1E-3</v>
      </c>
      <c r="P225" s="16">
        <v>1.6541666666666668</v>
      </c>
      <c r="Q225" s="3">
        <v>3</v>
      </c>
      <c r="R225" s="3">
        <v>9.5</v>
      </c>
      <c r="S225" s="3">
        <v>1433</v>
      </c>
      <c r="T225" s="3">
        <v>106.1</v>
      </c>
      <c r="U225" s="3">
        <v>2312</v>
      </c>
      <c r="V225" s="3">
        <v>11.03</v>
      </c>
      <c r="W225" s="3">
        <v>12.72</v>
      </c>
      <c r="X225" s="3">
        <v>13.97</v>
      </c>
      <c r="Y225" s="3">
        <v>11.81</v>
      </c>
      <c r="Z225" s="3">
        <v>11.37</v>
      </c>
      <c r="AA225" s="3">
        <v>10.38</v>
      </c>
      <c r="AB225" s="3">
        <v>9.82</v>
      </c>
      <c r="AC225" s="3">
        <v>9.51</v>
      </c>
      <c r="AD225" s="16">
        <v>5.4741666666666671</v>
      </c>
      <c r="AE225" s="3">
        <v>1908</v>
      </c>
      <c r="AF225" s="3">
        <v>2.621</v>
      </c>
      <c r="AG225" s="3">
        <v>2030</v>
      </c>
      <c r="AH225" s="3">
        <v>77.599999999999994</v>
      </c>
      <c r="AI225" s="3">
        <v>1503</v>
      </c>
      <c r="AJ225" s="3">
        <v>2.29</v>
      </c>
      <c r="AK225" s="3">
        <v>1.964</v>
      </c>
      <c r="AL225" s="3">
        <v>0.64500000000000002</v>
      </c>
      <c r="AM225" s="3">
        <v>1.988</v>
      </c>
      <c r="AN225" s="3">
        <v>2.298</v>
      </c>
      <c r="AO225" s="3">
        <v>6.085</v>
      </c>
      <c r="AP225" s="3">
        <v>9.0399999999999991</v>
      </c>
      <c r="AQ225" s="3">
        <v>9.23</v>
      </c>
      <c r="AR225" s="3">
        <v>6.9000000000000006E-2</v>
      </c>
      <c r="AS225" s="3">
        <v>0.158</v>
      </c>
      <c r="AT225" s="3">
        <v>0.10100000000000001</v>
      </c>
      <c r="AU225" s="3">
        <v>5.2999999999999999E-2</v>
      </c>
      <c r="AV225" s="3">
        <v>0.12</v>
      </c>
      <c r="AW225" s="3">
        <v>0.35799999999999998</v>
      </c>
      <c r="AX225" s="3">
        <v>9.2999999999999999E-2</v>
      </c>
      <c r="AY225" s="3">
        <v>4.8000000000000001E-2</v>
      </c>
      <c r="AZ225" s="3">
        <v>7.22</v>
      </c>
      <c r="BA225" s="3"/>
      <c r="BB225" s="3">
        <v>10.08</v>
      </c>
      <c r="BC225" s="3">
        <v>2876</v>
      </c>
      <c r="BD225" s="3"/>
      <c r="BE225" s="3"/>
      <c r="BF225" s="3">
        <v>0</v>
      </c>
      <c r="BH225" s="16">
        <v>28.26</v>
      </c>
      <c r="BI225" s="16">
        <f t="shared" si="192"/>
        <v>57.0852</v>
      </c>
      <c r="BJ225" s="17">
        <f t="shared" si="153"/>
        <v>9.57</v>
      </c>
      <c r="BK225" s="17">
        <f t="shared" si="154"/>
        <v>19.72</v>
      </c>
      <c r="BM225" s="1">
        <f t="shared" si="155"/>
        <v>99</v>
      </c>
      <c r="BN225" s="1">
        <f t="shared" si="156"/>
        <v>93.6</v>
      </c>
      <c r="BO225" s="1">
        <f t="shared" si="157"/>
        <v>72.7</v>
      </c>
      <c r="BP225" s="62">
        <f t="shared" si="159"/>
        <v>0.86299999999999999</v>
      </c>
      <c r="BQ225" s="62">
        <f t="shared" si="158"/>
        <v>0.32400000000000001</v>
      </c>
      <c r="BS225" s="1">
        <v>16.7</v>
      </c>
      <c r="BT225" s="8"/>
      <c r="BV225" s="8"/>
      <c r="BW225" s="16">
        <f t="shared" si="160"/>
        <v>9.57</v>
      </c>
      <c r="BX225" s="16">
        <f t="shared" si="161"/>
        <v>19.72</v>
      </c>
      <c r="BY225" s="3">
        <f t="shared" si="162"/>
        <v>6.7</v>
      </c>
      <c r="BZ225" s="3">
        <f t="shared" si="163"/>
        <v>6.6</v>
      </c>
      <c r="CA225" s="3">
        <f t="shared" si="164"/>
        <v>6.5</v>
      </c>
      <c r="CB225" s="3">
        <f t="shared" si="165"/>
        <v>7.4</v>
      </c>
      <c r="CC225" s="3">
        <f t="shared" si="166"/>
        <v>8.8000000000000007</v>
      </c>
      <c r="CD225" s="3">
        <f t="shared" si="167"/>
        <v>9.6</v>
      </c>
      <c r="CE225" s="3">
        <f t="shared" si="168"/>
        <v>9.4</v>
      </c>
      <c r="CF225" s="23">
        <f t="shared" si="169"/>
        <v>93.6</v>
      </c>
      <c r="CG225" s="1">
        <f t="shared" si="170"/>
        <v>9.5</v>
      </c>
      <c r="CH225" s="1">
        <f t="shared" si="171"/>
        <v>11</v>
      </c>
      <c r="CI225" s="1">
        <f t="shared" si="172"/>
        <v>12.7</v>
      </c>
      <c r="CJ225" s="1">
        <f t="shared" si="173"/>
        <v>14</v>
      </c>
      <c r="CK225" s="1">
        <f t="shared" si="174"/>
        <v>10.4</v>
      </c>
      <c r="CL225" s="1">
        <f t="shared" si="175"/>
        <v>9.8000000000000007</v>
      </c>
      <c r="CM225" s="1">
        <f t="shared" si="176"/>
        <v>9.5</v>
      </c>
      <c r="CN225" s="2">
        <f t="shared" si="177"/>
        <v>99</v>
      </c>
      <c r="CO225" s="1">
        <f t="shared" si="178"/>
        <v>2.6</v>
      </c>
      <c r="CP225" s="1">
        <f t="shared" si="179"/>
        <v>2.2999999999999998</v>
      </c>
      <c r="CQ225" s="1">
        <f t="shared" si="180"/>
        <v>2</v>
      </c>
      <c r="CR225" s="1">
        <f t="shared" si="181"/>
        <v>0.6</v>
      </c>
      <c r="CS225" s="1">
        <f t="shared" si="182"/>
        <v>6.1</v>
      </c>
      <c r="CT225" s="1">
        <f t="shared" si="183"/>
        <v>9</v>
      </c>
      <c r="CU225" s="1">
        <f t="shared" si="184"/>
        <v>9.1999999999999993</v>
      </c>
      <c r="CV225" s="2">
        <f t="shared" si="185"/>
        <v>72.7</v>
      </c>
      <c r="CW225" s="18">
        <f t="shared" si="186"/>
        <v>0</v>
      </c>
      <c r="CX225" s="1">
        <f>ROUND(PPTest!K225,1)</f>
        <v>3</v>
      </c>
      <c r="CY225" s="17">
        <f t="shared" si="187"/>
        <v>1.65</v>
      </c>
      <c r="CZ225" s="17">
        <f t="shared" si="188"/>
        <v>5.47</v>
      </c>
      <c r="DA225" s="20">
        <f t="shared" si="189"/>
        <v>0.86299999999999999</v>
      </c>
      <c r="DB225" s="20">
        <f t="shared" si="190"/>
        <v>0.32400000000000001</v>
      </c>
      <c r="DC225" s="16">
        <f t="shared" si="191"/>
        <v>10.08</v>
      </c>
      <c r="DF225" s="1">
        <v>8.6</v>
      </c>
      <c r="DG225" s="1">
        <v>11</v>
      </c>
      <c r="DH225" s="1">
        <v>6.9</v>
      </c>
      <c r="DI225" s="1">
        <v>97.6</v>
      </c>
      <c r="DJ225" s="1">
        <v>90</v>
      </c>
      <c r="DW225" s="1">
        <v>6.8</v>
      </c>
      <c r="DX225" s="1">
        <v>10.3</v>
      </c>
      <c r="DY225" s="1">
        <v>4.4000000000000004</v>
      </c>
    </row>
    <row r="226" spans="1:129" x14ac:dyDescent="0.2">
      <c r="A226" s="40">
        <v>34919</v>
      </c>
      <c r="B226" s="3">
        <v>220</v>
      </c>
      <c r="C226" s="3">
        <v>4.0679999999999996</v>
      </c>
      <c r="D226" s="3">
        <v>7.85</v>
      </c>
      <c r="E226" s="3">
        <v>5.7880000000000003</v>
      </c>
      <c r="F226" s="3">
        <v>104.8</v>
      </c>
      <c r="G226" s="3">
        <v>5.6429999999999998</v>
      </c>
      <c r="H226" s="3">
        <v>5.5780000000000003</v>
      </c>
      <c r="I226" s="3">
        <v>6.3310000000000004</v>
      </c>
      <c r="J226" s="3">
        <v>5.6559999999999997</v>
      </c>
      <c r="K226" s="3">
        <v>5.718</v>
      </c>
      <c r="L226" s="3">
        <v>7.06</v>
      </c>
      <c r="M226" s="3">
        <v>8.32</v>
      </c>
      <c r="N226" s="3">
        <v>9.1999999999999993</v>
      </c>
      <c r="O226" s="3">
        <v>1E-3</v>
      </c>
      <c r="P226" s="16">
        <v>1.8991666666666669</v>
      </c>
      <c r="Q226" s="3">
        <v>2</v>
      </c>
      <c r="R226" s="3">
        <v>8.9600000000000009</v>
      </c>
      <c r="S226" s="3">
        <v>1625</v>
      </c>
      <c r="T226" s="3">
        <v>106.4</v>
      </c>
      <c r="U226" s="3">
        <v>1027</v>
      </c>
      <c r="V226" s="3">
        <v>9.94</v>
      </c>
      <c r="W226" s="3">
        <v>10.07</v>
      </c>
      <c r="X226" s="3">
        <v>10.85</v>
      </c>
      <c r="Y226" s="3">
        <v>9.42</v>
      </c>
      <c r="Z226" s="3">
        <v>10.119999999999999</v>
      </c>
      <c r="AA226" s="3">
        <v>8.2200000000000006</v>
      </c>
      <c r="AB226" s="3">
        <v>9.0399999999999991</v>
      </c>
      <c r="AC226" s="3">
        <v>9.2799999999999994</v>
      </c>
      <c r="AD226" s="16">
        <v>4.8208333333333337</v>
      </c>
      <c r="AE226" s="3">
        <v>636</v>
      </c>
      <c r="AF226" s="3">
        <v>4.2300000000000004</v>
      </c>
      <c r="AG226" s="3">
        <v>650</v>
      </c>
      <c r="AH226" s="3">
        <v>95.2</v>
      </c>
      <c r="AI226" s="3">
        <v>1831</v>
      </c>
      <c r="AJ226" s="3">
        <v>4.0250000000000004</v>
      </c>
      <c r="AK226" s="3">
        <v>3.831</v>
      </c>
      <c r="AL226" s="3">
        <v>2.5950000000000002</v>
      </c>
      <c r="AM226" s="3">
        <v>4.0970000000000004</v>
      </c>
      <c r="AN226" s="3">
        <v>4.1630000000000003</v>
      </c>
      <c r="AO226" s="3">
        <v>5.9169999999999998</v>
      </c>
      <c r="AP226" s="3">
        <v>8.07</v>
      </c>
      <c r="AQ226" s="3">
        <v>8.99</v>
      </c>
      <c r="AR226" s="3">
        <v>2.4E-2</v>
      </c>
      <c r="AS226" s="3">
        <v>7.2999999999999995E-2</v>
      </c>
      <c r="AT226" s="3">
        <v>0.06</v>
      </c>
      <c r="AU226" s="3">
        <v>7.0000000000000001E-3</v>
      </c>
      <c r="AV226" s="3">
        <v>0.109</v>
      </c>
      <c r="AW226" s="3">
        <v>0.58499999999999996</v>
      </c>
      <c r="AX226" s="3">
        <v>0.13</v>
      </c>
      <c r="AY226" s="3">
        <v>1.2E-2</v>
      </c>
      <c r="AZ226" s="3">
        <v>5.7670000000000003</v>
      </c>
      <c r="BA226" s="3"/>
      <c r="BB226" s="3">
        <v>9.91</v>
      </c>
      <c r="BC226" s="3">
        <v>2876</v>
      </c>
      <c r="BD226" s="3"/>
      <c r="BE226" s="3"/>
      <c r="BF226" s="3">
        <v>0</v>
      </c>
      <c r="BH226" s="16">
        <v>28.06</v>
      </c>
      <c r="BI226" s="16">
        <f t="shared" si="192"/>
        <v>56.681199999999997</v>
      </c>
      <c r="BJ226" s="17">
        <f t="shared" si="153"/>
        <v>4.07</v>
      </c>
      <c r="BK226" s="17">
        <f t="shared" si="154"/>
        <v>8.48</v>
      </c>
      <c r="BM226" s="1">
        <f t="shared" si="155"/>
        <v>99.3</v>
      </c>
      <c r="BN226" s="1">
        <f t="shared" si="156"/>
        <v>97.8</v>
      </c>
      <c r="BO226" s="1">
        <f t="shared" si="157"/>
        <v>89</v>
      </c>
      <c r="BP226" s="62">
        <f t="shared" si="159"/>
        <v>1.0189999999999999</v>
      </c>
      <c r="BQ226" s="62">
        <f t="shared" si="158"/>
        <v>0.126</v>
      </c>
      <c r="BS226" s="1">
        <v>4.0999999999999996</v>
      </c>
      <c r="BT226" s="8"/>
      <c r="BV226" s="8"/>
      <c r="BW226" s="16">
        <f t="shared" si="160"/>
        <v>4.07</v>
      </c>
      <c r="BX226" s="16">
        <f t="shared" si="161"/>
        <v>8.48</v>
      </c>
      <c r="BY226" s="3">
        <f t="shared" si="162"/>
        <v>5.8</v>
      </c>
      <c r="BZ226" s="3">
        <f t="shared" si="163"/>
        <v>5.6</v>
      </c>
      <c r="CA226" s="3">
        <f t="shared" si="164"/>
        <v>5.6</v>
      </c>
      <c r="CB226" s="3">
        <f t="shared" si="165"/>
        <v>6.3</v>
      </c>
      <c r="CC226" s="3">
        <f t="shared" si="166"/>
        <v>7.1</v>
      </c>
      <c r="CD226" s="3">
        <f t="shared" si="167"/>
        <v>8.3000000000000007</v>
      </c>
      <c r="CE226" s="3">
        <f t="shared" si="168"/>
        <v>9.1999999999999993</v>
      </c>
      <c r="CF226" s="23">
        <f t="shared" si="169"/>
        <v>97.8</v>
      </c>
      <c r="CG226" s="1">
        <f t="shared" si="170"/>
        <v>9</v>
      </c>
      <c r="CH226" s="1">
        <f t="shared" si="171"/>
        <v>9.9</v>
      </c>
      <c r="CI226" s="1">
        <f t="shared" si="172"/>
        <v>10.1</v>
      </c>
      <c r="CJ226" s="1">
        <f t="shared" si="173"/>
        <v>10.9</v>
      </c>
      <c r="CK226" s="1">
        <f t="shared" si="174"/>
        <v>8.1999999999999993</v>
      </c>
      <c r="CL226" s="1">
        <f t="shared" si="175"/>
        <v>9</v>
      </c>
      <c r="CM226" s="1">
        <f t="shared" si="176"/>
        <v>9.3000000000000007</v>
      </c>
      <c r="CN226" s="2">
        <f t="shared" si="177"/>
        <v>99.3</v>
      </c>
      <c r="CO226" s="1">
        <f t="shared" si="178"/>
        <v>4.2</v>
      </c>
      <c r="CP226" s="1">
        <f t="shared" si="179"/>
        <v>4</v>
      </c>
      <c r="CQ226" s="1">
        <f t="shared" si="180"/>
        <v>3.8</v>
      </c>
      <c r="CR226" s="1">
        <f t="shared" si="181"/>
        <v>2.6</v>
      </c>
      <c r="CS226" s="1">
        <f t="shared" si="182"/>
        <v>5.9</v>
      </c>
      <c r="CT226" s="1">
        <f t="shared" si="183"/>
        <v>8.1</v>
      </c>
      <c r="CU226" s="1">
        <f t="shared" si="184"/>
        <v>9</v>
      </c>
      <c r="CV226" s="2">
        <f t="shared" si="185"/>
        <v>89</v>
      </c>
      <c r="CW226" s="18">
        <f t="shared" si="186"/>
        <v>0</v>
      </c>
      <c r="CX226" s="1">
        <f>ROUND(PPTest!K226,1)</f>
        <v>2</v>
      </c>
      <c r="CY226" s="17">
        <f t="shared" si="187"/>
        <v>1.9</v>
      </c>
      <c r="CZ226" s="17">
        <f t="shared" si="188"/>
        <v>4.82</v>
      </c>
      <c r="DA226" s="20">
        <f t="shared" si="189"/>
        <v>1.0189999999999999</v>
      </c>
      <c r="DB226" s="20">
        <f t="shared" si="190"/>
        <v>0.126</v>
      </c>
      <c r="DC226" s="16">
        <f t="shared" si="191"/>
        <v>9.91</v>
      </c>
      <c r="DF226" s="1">
        <v>8.9</v>
      </c>
      <c r="DG226" s="1">
        <v>13.2</v>
      </c>
      <c r="DH226" s="1">
        <v>6.7</v>
      </c>
      <c r="DI226" s="1">
        <v>96</v>
      </c>
      <c r="DJ226" s="1">
        <v>84</v>
      </c>
      <c r="DW226" s="1">
        <v>6.3</v>
      </c>
      <c r="DX226" s="1">
        <v>11.7</v>
      </c>
      <c r="DY226" s="1">
        <v>0.4</v>
      </c>
    </row>
    <row r="227" spans="1:129" x14ac:dyDescent="0.2">
      <c r="A227" s="40">
        <v>34920</v>
      </c>
      <c r="B227" s="3">
        <v>221</v>
      </c>
      <c r="C227" s="3">
        <v>15.83</v>
      </c>
      <c r="D227" s="3">
        <v>29.69</v>
      </c>
      <c r="E227" s="3">
        <v>8.43</v>
      </c>
      <c r="F227" s="3">
        <v>91.2</v>
      </c>
      <c r="G227" s="3">
        <v>8.42</v>
      </c>
      <c r="H227" s="3">
        <v>8.27</v>
      </c>
      <c r="I227" s="3">
        <v>8.92</v>
      </c>
      <c r="J227" s="3">
        <v>8.94</v>
      </c>
      <c r="K227" s="3">
        <v>9.49</v>
      </c>
      <c r="L227" s="3">
        <v>9.02</v>
      </c>
      <c r="M227" s="3">
        <v>8.32</v>
      </c>
      <c r="N227" s="3">
        <v>8.89</v>
      </c>
      <c r="O227" s="3">
        <v>1E-3</v>
      </c>
      <c r="P227" s="16">
        <v>1.3438333333333334</v>
      </c>
      <c r="Q227" s="3">
        <v>4</v>
      </c>
      <c r="R227" s="3">
        <v>15.09</v>
      </c>
      <c r="S227" s="3">
        <v>1626</v>
      </c>
      <c r="T227" s="3">
        <v>106.3</v>
      </c>
      <c r="U227" s="3">
        <v>128</v>
      </c>
      <c r="V227" s="3">
        <v>16.55</v>
      </c>
      <c r="W227" s="3">
        <v>17.2</v>
      </c>
      <c r="X227" s="3">
        <v>15.54</v>
      </c>
      <c r="Y227" s="3">
        <v>18.97</v>
      </c>
      <c r="Z227" s="3">
        <v>19.46</v>
      </c>
      <c r="AA227" s="3">
        <v>11.59</v>
      </c>
      <c r="AB227" s="3">
        <v>8.77</v>
      </c>
      <c r="AC227" s="3">
        <v>9.01</v>
      </c>
      <c r="AD227" s="16">
        <v>3.7141666666666668</v>
      </c>
      <c r="AE227" s="3">
        <v>1442</v>
      </c>
      <c r="AF227" s="3">
        <v>3.5990000000000002</v>
      </c>
      <c r="AG227" s="3">
        <v>2359</v>
      </c>
      <c r="AH227" s="3">
        <v>54.88</v>
      </c>
      <c r="AI227" s="3">
        <v>1658</v>
      </c>
      <c r="AJ227" s="3">
        <v>2.7440000000000002</v>
      </c>
      <c r="AK227" s="3">
        <v>2.1160000000000001</v>
      </c>
      <c r="AL227" s="3">
        <v>2.698</v>
      </c>
      <c r="AM227" s="3">
        <v>2.2749999999999999</v>
      </c>
      <c r="AN227" s="3">
        <v>2.4929999999999999</v>
      </c>
      <c r="AO227" s="3">
        <v>7.25</v>
      </c>
      <c r="AP227" s="3">
        <v>8.07</v>
      </c>
      <c r="AQ227" s="3">
        <v>8.6300000000000008</v>
      </c>
      <c r="AR227" s="3">
        <v>0.159</v>
      </c>
      <c r="AS227" s="3">
        <v>0.438</v>
      </c>
      <c r="AT227" s="3">
        <v>0.154</v>
      </c>
      <c r="AU227" s="3">
        <v>1.7000000000000001E-2</v>
      </c>
      <c r="AV227" s="3">
        <v>3.9E-2</v>
      </c>
      <c r="AW227" s="3">
        <v>8.1000000000000003E-2</v>
      </c>
      <c r="AX227" s="3">
        <v>4.3999999999999997E-2</v>
      </c>
      <c r="AY227" s="3">
        <v>6.8000000000000005E-2</v>
      </c>
      <c r="AZ227" s="3">
        <v>9.23</v>
      </c>
      <c r="BA227" s="3"/>
      <c r="BB227" s="3">
        <v>9.85</v>
      </c>
      <c r="BC227" s="3">
        <v>2876</v>
      </c>
      <c r="BD227" s="3"/>
      <c r="BE227" s="3"/>
      <c r="BF227" s="3">
        <v>0</v>
      </c>
      <c r="BH227" s="16">
        <v>27.87</v>
      </c>
      <c r="BI227" s="16">
        <f t="shared" si="192"/>
        <v>56.297400000000003</v>
      </c>
      <c r="BJ227" s="17">
        <f t="shared" si="153"/>
        <v>15.83</v>
      </c>
      <c r="BK227" s="17">
        <f t="shared" si="154"/>
        <v>32.07</v>
      </c>
      <c r="BM227" s="1">
        <f t="shared" si="155"/>
        <v>99.2</v>
      </c>
      <c r="BN227" s="1">
        <f t="shared" si="156"/>
        <v>85.3</v>
      </c>
      <c r="BO227" s="1">
        <f t="shared" si="157"/>
        <v>51.7</v>
      </c>
      <c r="BP227" s="62">
        <f t="shared" si="159"/>
        <v>0.88700000000000001</v>
      </c>
      <c r="BQ227" s="62">
        <f t="shared" si="158"/>
        <v>0.82899999999999996</v>
      </c>
      <c r="BS227" s="1">
        <v>0.5</v>
      </c>
      <c r="BT227" s="8"/>
      <c r="BV227" s="8"/>
      <c r="BW227" s="16">
        <f t="shared" si="160"/>
        <v>15.83</v>
      </c>
      <c r="BX227" s="16">
        <f t="shared" si="161"/>
        <v>32.07</v>
      </c>
      <c r="BY227" s="3">
        <f t="shared" si="162"/>
        <v>8.4</v>
      </c>
      <c r="BZ227" s="3">
        <f t="shared" si="163"/>
        <v>8.4</v>
      </c>
      <c r="CA227" s="3">
        <f t="shared" si="164"/>
        <v>8.3000000000000007</v>
      </c>
      <c r="CB227" s="3">
        <f t="shared" si="165"/>
        <v>8.9</v>
      </c>
      <c r="CC227" s="3">
        <f t="shared" si="166"/>
        <v>9</v>
      </c>
      <c r="CD227" s="3">
        <f t="shared" si="167"/>
        <v>8.3000000000000007</v>
      </c>
      <c r="CE227" s="3">
        <f t="shared" si="168"/>
        <v>8.9</v>
      </c>
      <c r="CF227" s="23">
        <f t="shared" si="169"/>
        <v>85.3</v>
      </c>
      <c r="CG227" s="1">
        <f t="shared" si="170"/>
        <v>15.1</v>
      </c>
      <c r="CH227" s="1">
        <f t="shared" si="171"/>
        <v>16.600000000000001</v>
      </c>
      <c r="CI227" s="1">
        <f t="shared" si="172"/>
        <v>17.2</v>
      </c>
      <c r="CJ227" s="1">
        <f t="shared" si="173"/>
        <v>15.5</v>
      </c>
      <c r="CK227" s="1">
        <f t="shared" si="174"/>
        <v>11.6</v>
      </c>
      <c r="CL227" s="1">
        <f t="shared" si="175"/>
        <v>8.8000000000000007</v>
      </c>
      <c r="CM227" s="1">
        <f t="shared" si="176"/>
        <v>9</v>
      </c>
      <c r="CN227" s="2">
        <f t="shared" si="177"/>
        <v>99.2</v>
      </c>
      <c r="CO227" s="1">
        <f t="shared" si="178"/>
        <v>3.6</v>
      </c>
      <c r="CP227" s="1">
        <f t="shared" si="179"/>
        <v>2.7</v>
      </c>
      <c r="CQ227" s="1">
        <f t="shared" si="180"/>
        <v>2.1</v>
      </c>
      <c r="CR227" s="1">
        <f t="shared" si="181"/>
        <v>2.7</v>
      </c>
      <c r="CS227" s="1">
        <f t="shared" si="182"/>
        <v>7.3</v>
      </c>
      <c r="CT227" s="1">
        <f t="shared" si="183"/>
        <v>8.1</v>
      </c>
      <c r="CU227" s="1">
        <f t="shared" si="184"/>
        <v>8.6</v>
      </c>
      <c r="CV227" s="2">
        <f t="shared" si="185"/>
        <v>51.7</v>
      </c>
      <c r="CW227" s="18">
        <f t="shared" si="186"/>
        <v>0</v>
      </c>
      <c r="CX227" s="1">
        <f>ROUND(PPTest!K227,1)</f>
        <v>4</v>
      </c>
      <c r="CY227" s="17">
        <f t="shared" si="187"/>
        <v>1.34</v>
      </c>
      <c r="CZ227" s="17">
        <f t="shared" si="188"/>
        <v>3.71</v>
      </c>
      <c r="DA227" s="20">
        <f t="shared" si="189"/>
        <v>0.88700000000000001</v>
      </c>
      <c r="DB227" s="20">
        <f t="shared" si="190"/>
        <v>0.82899999999999996</v>
      </c>
      <c r="DC227" s="16">
        <f t="shared" si="191"/>
        <v>9.85</v>
      </c>
      <c r="DF227" s="1">
        <v>11.8</v>
      </c>
      <c r="DG227" s="1">
        <v>16.899999999999999</v>
      </c>
      <c r="DH227" s="1">
        <v>7.4</v>
      </c>
      <c r="DI227" s="1">
        <v>81.7</v>
      </c>
      <c r="DJ227" s="1">
        <v>58</v>
      </c>
      <c r="DW227" s="1">
        <v>8.4</v>
      </c>
      <c r="DX227" s="1">
        <v>16.100000000000001</v>
      </c>
      <c r="DY227" s="1">
        <v>-0.7</v>
      </c>
    </row>
    <row r="228" spans="1:129" x14ac:dyDescent="0.2">
      <c r="A228" s="40">
        <v>34921</v>
      </c>
      <c r="B228" s="3">
        <v>222</v>
      </c>
      <c r="C228" s="3">
        <v>15.75</v>
      </c>
      <c r="D228" s="3">
        <v>29.5</v>
      </c>
      <c r="E228" s="3">
        <v>10.08</v>
      </c>
      <c r="F228" s="3">
        <v>79.400000000000006</v>
      </c>
      <c r="G228" s="3">
        <v>9.73</v>
      </c>
      <c r="H228" s="3">
        <v>9.66</v>
      </c>
      <c r="I228" s="3">
        <v>10.11</v>
      </c>
      <c r="J228" s="3">
        <v>10.53</v>
      </c>
      <c r="K228" s="3">
        <v>10.53</v>
      </c>
      <c r="L228" s="3">
        <v>9.19</v>
      </c>
      <c r="M228" s="3">
        <v>8.77</v>
      </c>
      <c r="N228" s="3">
        <v>8.75</v>
      </c>
      <c r="O228" s="3">
        <v>0</v>
      </c>
      <c r="P228" s="16">
        <v>1.844166666666667</v>
      </c>
      <c r="Q228" s="3">
        <v>3</v>
      </c>
      <c r="R228" s="3">
        <v>16.260000000000002</v>
      </c>
      <c r="S228" s="3">
        <v>1237</v>
      </c>
      <c r="T228" s="3">
        <v>105.4</v>
      </c>
      <c r="U228" s="3">
        <v>445</v>
      </c>
      <c r="V228" s="3">
        <v>16.649999999999999</v>
      </c>
      <c r="W228" s="3">
        <v>17.79</v>
      </c>
      <c r="X228" s="3">
        <v>19.760000000000002</v>
      </c>
      <c r="Y228" s="3">
        <v>19.79</v>
      </c>
      <c r="Z228" s="3">
        <v>19.2</v>
      </c>
      <c r="AA228" s="3">
        <v>11.01</v>
      </c>
      <c r="AB228" s="3">
        <v>9.1300000000000008</v>
      </c>
      <c r="AC228" s="3">
        <v>8.9</v>
      </c>
      <c r="AD228" s="16">
        <v>4.5408333333333335</v>
      </c>
      <c r="AE228" s="3">
        <v>1027</v>
      </c>
      <c r="AF228" s="3">
        <v>1.333</v>
      </c>
      <c r="AG228" s="3">
        <v>431</v>
      </c>
      <c r="AH228" s="3">
        <v>41.91</v>
      </c>
      <c r="AI228" s="3">
        <v>1047</v>
      </c>
      <c r="AJ228" s="3">
        <v>0.68700000000000006</v>
      </c>
      <c r="AK228" s="3">
        <v>0.376</v>
      </c>
      <c r="AL228" s="3">
        <v>0.97399999999999998</v>
      </c>
      <c r="AM228" s="3">
        <v>0.311</v>
      </c>
      <c r="AN228" s="3">
        <v>0.432</v>
      </c>
      <c r="AO228" s="3">
        <v>6.9130000000000003</v>
      </c>
      <c r="AP228" s="3">
        <v>8.52</v>
      </c>
      <c r="AQ228" s="3">
        <v>8.52</v>
      </c>
      <c r="AR228" s="3">
        <v>9.9000000000000005E-2</v>
      </c>
      <c r="AS228" s="3">
        <v>0.36599999999999999</v>
      </c>
      <c r="AT228" s="3">
        <v>0.255</v>
      </c>
      <c r="AU228" s="3">
        <v>0.04</v>
      </c>
      <c r="AV228" s="3">
        <v>4.7E-2</v>
      </c>
      <c r="AW228" s="3">
        <v>0.126</v>
      </c>
      <c r="AX228" s="3">
        <v>3.3000000000000002E-2</v>
      </c>
      <c r="AY228" s="3">
        <v>3.5999999999999997E-2</v>
      </c>
      <c r="AZ228" s="3">
        <v>9.57</v>
      </c>
      <c r="BA228" s="3"/>
      <c r="BB228" s="3">
        <v>9.77</v>
      </c>
      <c r="BC228" s="3">
        <v>2876</v>
      </c>
      <c r="BD228" s="3"/>
      <c r="BE228" s="3"/>
      <c r="BF228" s="3">
        <v>0</v>
      </c>
      <c r="BH228" s="16">
        <v>27.67</v>
      </c>
      <c r="BI228" s="16">
        <f t="shared" si="192"/>
        <v>55.893400000000007</v>
      </c>
      <c r="BJ228" s="17">
        <f t="shared" si="153"/>
        <v>15.75</v>
      </c>
      <c r="BK228" s="17">
        <f t="shared" si="154"/>
        <v>31.86</v>
      </c>
      <c r="BM228" s="1">
        <f t="shared" si="155"/>
        <v>98.4</v>
      </c>
      <c r="BN228" s="1">
        <f t="shared" si="156"/>
        <v>74.400000000000006</v>
      </c>
      <c r="BO228" s="1">
        <f t="shared" si="157"/>
        <v>39.700000000000003</v>
      </c>
      <c r="BP228" s="62">
        <f t="shared" si="159"/>
        <v>0.73399999999999999</v>
      </c>
      <c r="BQ228" s="62">
        <f t="shared" si="158"/>
        <v>1.115</v>
      </c>
      <c r="BS228" s="1">
        <v>4.9000000000000004</v>
      </c>
      <c r="BT228" s="8"/>
      <c r="BV228" s="8"/>
      <c r="BW228" s="16">
        <f t="shared" si="160"/>
        <v>15.75</v>
      </c>
      <c r="BX228" s="16">
        <f t="shared" si="161"/>
        <v>31.86</v>
      </c>
      <c r="BY228" s="3">
        <f t="shared" si="162"/>
        <v>10.1</v>
      </c>
      <c r="BZ228" s="3">
        <f t="shared" si="163"/>
        <v>9.6999999999999993</v>
      </c>
      <c r="CA228" s="3">
        <f t="shared" si="164"/>
        <v>9.6999999999999993</v>
      </c>
      <c r="CB228" s="3">
        <f t="shared" si="165"/>
        <v>10.1</v>
      </c>
      <c r="CC228" s="3">
        <f t="shared" si="166"/>
        <v>9.1999999999999993</v>
      </c>
      <c r="CD228" s="3">
        <f t="shared" si="167"/>
        <v>8.8000000000000007</v>
      </c>
      <c r="CE228" s="3">
        <f t="shared" si="168"/>
        <v>8.8000000000000007</v>
      </c>
      <c r="CF228" s="23">
        <f t="shared" si="169"/>
        <v>74.400000000000006</v>
      </c>
      <c r="CG228" s="1">
        <f t="shared" si="170"/>
        <v>16.3</v>
      </c>
      <c r="CH228" s="1">
        <f t="shared" si="171"/>
        <v>16.7</v>
      </c>
      <c r="CI228" s="1">
        <f t="shared" si="172"/>
        <v>17.8</v>
      </c>
      <c r="CJ228" s="1">
        <f t="shared" si="173"/>
        <v>19.8</v>
      </c>
      <c r="CK228" s="1">
        <f t="shared" si="174"/>
        <v>11</v>
      </c>
      <c r="CL228" s="1">
        <f t="shared" si="175"/>
        <v>9.1</v>
      </c>
      <c r="CM228" s="1">
        <f t="shared" si="176"/>
        <v>8.9</v>
      </c>
      <c r="CN228" s="2">
        <f t="shared" si="177"/>
        <v>98.4</v>
      </c>
      <c r="CO228" s="1">
        <f t="shared" si="178"/>
        <v>1.3</v>
      </c>
      <c r="CP228" s="1">
        <f t="shared" si="179"/>
        <v>0.7</v>
      </c>
      <c r="CQ228" s="1">
        <f t="shared" si="180"/>
        <v>0.4</v>
      </c>
      <c r="CR228" s="1">
        <f t="shared" si="181"/>
        <v>1</v>
      </c>
      <c r="CS228" s="1">
        <f t="shared" si="182"/>
        <v>6.9</v>
      </c>
      <c r="CT228" s="1">
        <f t="shared" si="183"/>
        <v>8.5</v>
      </c>
      <c r="CU228" s="1">
        <f t="shared" si="184"/>
        <v>8.5</v>
      </c>
      <c r="CV228" s="2">
        <f t="shared" si="185"/>
        <v>39.700000000000003</v>
      </c>
      <c r="CW228" s="18">
        <f t="shared" si="186"/>
        <v>0</v>
      </c>
      <c r="CX228" s="1">
        <f>ROUND(PPTest!K228,1)</f>
        <v>3</v>
      </c>
      <c r="CY228" s="17">
        <f t="shared" si="187"/>
        <v>1.84</v>
      </c>
      <c r="CZ228" s="17">
        <f t="shared" si="188"/>
        <v>4.54</v>
      </c>
      <c r="DA228" s="20">
        <f t="shared" si="189"/>
        <v>0.73399999999999999</v>
      </c>
      <c r="DB228" s="20">
        <f t="shared" si="190"/>
        <v>1.115</v>
      </c>
      <c r="DC228" s="16">
        <f t="shared" si="191"/>
        <v>9.77</v>
      </c>
      <c r="DF228" s="1">
        <v>13.3</v>
      </c>
      <c r="DG228" s="1">
        <v>17.899999999999999</v>
      </c>
      <c r="DH228" s="1">
        <v>9.3000000000000007</v>
      </c>
      <c r="DI228" s="1">
        <v>72.400000000000006</v>
      </c>
      <c r="DJ228" s="1">
        <v>55</v>
      </c>
      <c r="DW228" s="1">
        <v>9.4</v>
      </c>
      <c r="DX228" s="1">
        <v>14.7</v>
      </c>
      <c r="DY228" s="1">
        <v>2.9</v>
      </c>
    </row>
    <row r="229" spans="1:129" x14ac:dyDescent="0.2">
      <c r="A229" s="40">
        <v>34922</v>
      </c>
      <c r="B229" s="3">
        <v>223</v>
      </c>
      <c r="C229" s="3">
        <v>6.0880000000000001</v>
      </c>
      <c r="D229" s="3">
        <v>11.62</v>
      </c>
      <c r="E229" s="3">
        <v>8.26</v>
      </c>
      <c r="F229" s="3">
        <v>99.4</v>
      </c>
      <c r="G229" s="3">
        <v>8.15</v>
      </c>
      <c r="H229" s="3">
        <v>7.99</v>
      </c>
      <c r="I229" s="3">
        <v>8.93</v>
      </c>
      <c r="J229" s="3">
        <v>8.11</v>
      </c>
      <c r="K229" s="3">
        <v>8.4600000000000009</v>
      </c>
      <c r="L229" s="3">
        <v>9.31</v>
      </c>
      <c r="M229" s="3">
        <v>9.1300000000000008</v>
      </c>
      <c r="N229" s="3">
        <v>8.8800000000000008</v>
      </c>
      <c r="O229" s="3">
        <v>1E-3</v>
      </c>
      <c r="P229" s="16">
        <v>1.8891666666666669</v>
      </c>
      <c r="Q229" s="3">
        <v>1</v>
      </c>
      <c r="R229" s="3">
        <v>12.15</v>
      </c>
      <c r="S229" s="3">
        <v>1737</v>
      </c>
      <c r="T229" s="3">
        <v>106.1</v>
      </c>
      <c r="U229" s="3">
        <v>444</v>
      </c>
      <c r="V229" s="3">
        <v>13.8</v>
      </c>
      <c r="W229" s="3">
        <v>13.65</v>
      </c>
      <c r="X229" s="3">
        <v>12.63</v>
      </c>
      <c r="Y229" s="3">
        <v>14.62</v>
      </c>
      <c r="Z229" s="3">
        <v>16.14</v>
      </c>
      <c r="AA229" s="3">
        <v>10.220000000000001</v>
      </c>
      <c r="AB229" s="3">
        <v>9.27</v>
      </c>
      <c r="AC229" s="3">
        <v>9.1</v>
      </c>
      <c r="AD229" s="16">
        <v>4.0608333333333331</v>
      </c>
      <c r="AE229" s="3">
        <v>1512</v>
      </c>
      <c r="AF229" s="3">
        <v>5.5670000000000002</v>
      </c>
      <c r="AG229" s="3">
        <v>2026</v>
      </c>
      <c r="AH229" s="3">
        <v>69.87</v>
      </c>
      <c r="AI229" s="3">
        <v>1815</v>
      </c>
      <c r="AJ229" s="3">
        <v>5.0720000000000001</v>
      </c>
      <c r="AK229" s="3">
        <v>4.3620000000000001</v>
      </c>
      <c r="AL229" s="3">
        <v>4.7450000000000001</v>
      </c>
      <c r="AM229" s="3">
        <v>4.7050000000000001</v>
      </c>
      <c r="AN229" s="3">
        <v>4.8879999999999999</v>
      </c>
      <c r="AO229" s="3">
        <v>8.77</v>
      </c>
      <c r="AP229" s="3">
        <v>9.06</v>
      </c>
      <c r="AQ229" s="3">
        <v>8.7899999999999991</v>
      </c>
      <c r="AR229" s="3">
        <v>3.3000000000000002E-2</v>
      </c>
      <c r="AS229" s="3">
        <v>8.5000000000000006E-2</v>
      </c>
      <c r="AT229" s="3">
        <v>4.7E-2</v>
      </c>
      <c r="AU229" s="3">
        <v>2.5000000000000001E-2</v>
      </c>
      <c r="AV229" s="3">
        <v>0.129</v>
      </c>
      <c r="AW229" s="3">
        <v>0.54800000000000004</v>
      </c>
      <c r="AX229" s="3">
        <v>0.11</v>
      </c>
      <c r="AY229" s="3">
        <v>2.3E-2</v>
      </c>
      <c r="AZ229" s="3">
        <v>8.48</v>
      </c>
      <c r="BA229" s="3"/>
      <c r="BB229" s="3">
        <v>9.2799999999999994</v>
      </c>
      <c r="BC229" s="3">
        <v>2876</v>
      </c>
      <c r="BD229" s="3"/>
      <c r="BE229" s="3"/>
      <c r="BF229" s="3">
        <v>0</v>
      </c>
      <c r="BH229" s="16">
        <v>27.47</v>
      </c>
      <c r="BI229" s="16">
        <f t="shared" si="192"/>
        <v>55.489399999999996</v>
      </c>
      <c r="BJ229" s="17">
        <f t="shared" si="153"/>
        <v>6.09</v>
      </c>
      <c r="BK229" s="17">
        <f t="shared" si="154"/>
        <v>12.55</v>
      </c>
      <c r="BM229" s="1">
        <f t="shared" si="155"/>
        <v>99</v>
      </c>
      <c r="BN229" s="1">
        <f t="shared" si="156"/>
        <v>92.8</v>
      </c>
      <c r="BO229" s="1">
        <f t="shared" si="157"/>
        <v>65.599999999999994</v>
      </c>
      <c r="BP229" s="62">
        <f t="shared" si="159"/>
        <v>0.92900000000000005</v>
      </c>
      <c r="BQ229" s="62">
        <f t="shared" si="158"/>
        <v>0.48699999999999999</v>
      </c>
      <c r="BS229" s="1">
        <v>13.8</v>
      </c>
      <c r="BT229" s="8"/>
      <c r="BV229" s="8"/>
      <c r="BW229" s="16">
        <f t="shared" si="160"/>
        <v>6.09</v>
      </c>
      <c r="BX229" s="16">
        <f t="shared" si="161"/>
        <v>12.55</v>
      </c>
      <c r="BY229" s="3">
        <f t="shared" si="162"/>
        <v>8.3000000000000007</v>
      </c>
      <c r="BZ229" s="3">
        <f t="shared" si="163"/>
        <v>8.1999999999999993</v>
      </c>
      <c r="CA229" s="3">
        <f t="shared" si="164"/>
        <v>8</v>
      </c>
      <c r="CB229" s="3">
        <f t="shared" si="165"/>
        <v>8.9</v>
      </c>
      <c r="CC229" s="3">
        <f t="shared" si="166"/>
        <v>9.3000000000000007</v>
      </c>
      <c r="CD229" s="3">
        <f t="shared" si="167"/>
        <v>9.1</v>
      </c>
      <c r="CE229" s="3">
        <f t="shared" si="168"/>
        <v>8.9</v>
      </c>
      <c r="CF229" s="23">
        <f t="shared" si="169"/>
        <v>92.8</v>
      </c>
      <c r="CG229" s="1">
        <f t="shared" si="170"/>
        <v>12.2</v>
      </c>
      <c r="CH229" s="1">
        <f t="shared" si="171"/>
        <v>13.8</v>
      </c>
      <c r="CI229" s="1">
        <f t="shared" si="172"/>
        <v>13.7</v>
      </c>
      <c r="CJ229" s="1">
        <f t="shared" si="173"/>
        <v>12.6</v>
      </c>
      <c r="CK229" s="1">
        <f t="shared" si="174"/>
        <v>10.199999999999999</v>
      </c>
      <c r="CL229" s="1">
        <f t="shared" si="175"/>
        <v>9.3000000000000007</v>
      </c>
      <c r="CM229" s="1">
        <f t="shared" si="176"/>
        <v>9.1</v>
      </c>
      <c r="CN229" s="2">
        <f t="shared" si="177"/>
        <v>99</v>
      </c>
      <c r="CO229" s="1">
        <f t="shared" si="178"/>
        <v>5.6</v>
      </c>
      <c r="CP229" s="1">
        <f t="shared" si="179"/>
        <v>5.0999999999999996</v>
      </c>
      <c r="CQ229" s="1">
        <f t="shared" si="180"/>
        <v>4.4000000000000004</v>
      </c>
      <c r="CR229" s="1">
        <f t="shared" si="181"/>
        <v>4.7</v>
      </c>
      <c r="CS229" s="1">
        <f t="shared" si="182"/>
        <v>8.8000000000000007</v>
      </c>
      <c r="CT229" s="1">
        <f t="shared" si="183"/>
        <v>9.1</v>
      </c>
      <c r="CU229" s="1">
        <f t="shared" si="184"/>
        <v>8.8000000000000007</v>
      </c>
      <c r="CV229" s="2">
        <f t="shared" si="185"/>
        <v>65.599999999999994</v>
      </c>
      <c r="CW229" s="18">
        <f t="shared" si="186"/>
        <v>0</v>
      </c>
      <c r="CX229" s="1">
        <f>ROUND(PPTest!K229,1)</f>
        <v>1</v>
      </c>
      <c r="CY229" s="17">
        <f t="shared" si="187"/>
        <v>1.89</v>
      </c>
      <c r="CZ229" s="17">
        <f t="shared" si="188"/>
        <v>4.0599999999999996</v>
      </c>
      <c r="DA229" s="20">
        <f t="shared" si="189"/>
        <v>0.92900000000000005</v>
      </c>
      <c r="DB229" s="20">
        <f t="shared" si="190"/>
        <v>0.48699999999999999</v>
      </c>
      <c r="DC229" s="16">
        <f t="shared" si="191"/>
        <v>9.2799999999999994</v>
      </c>
      <c r="DF229" s="1">
        <v>10.5</v>
      </c>
      <c r="DG229" s="1">
        <v>13.9</v>
      </c>
      <c r="DH229" s="1">
        <v>8.5</v>
      </c>
      <c r="DI229" s="1">
        <v>93.6</v>
      </c>
      <c r="DJ229" s="1">
        <v>79</v>
      </c>
      <c r="DW229" s="1">
        <v>8.9</v>
      </c>
      <c r="DX229" s="1">
        <v>13.8</v>
      </c>
      <c r="DY229" s="1">
        <v>4.9000000000000004</v>
      </c>
    </row>
    <row r="230" spans="1:129" x14ac:dyDescent="0.2">
      <c r="A230" s="40">
        <v>34923</v>
      </c>
      <c r="B230" s="3">
        <v>224</v>
      </c>
      <c r="C230" s="41">
        <v>6.2759999999999998</v>
      </c>
      <c r="D230" s="3">
        <v>12.33</v>
      </c>
      <c r="E230" s="3">
        <v>4.5990000000000002</v>
      </c>
      <c r="F230" s="3">
        <v>104</v>
      </c>
      <c r="G230" s="3">
        <v>4.5</v>
      </c>
      <c r="H230" s="3">
        <v>4.4870000000000001</v>
      </c>
      <c r="I230" s="3">
        <v>6.3780000000000001</v>
      </c>
      <c r="J230" s="3">
        <v>4.62</v>
      </c>
      <c r="K230" s="3">
        <v>4.6369999999999996</v>
      </c>
      <c r="L230" s="3">
        <v>7.99</v>
      </c>
      <c r="M230" s="3">
        <v>8.82</v>
      </c>
      <c r="N230" s="3">
        <v>8.9600000000000009</v>
      </c>
      <c r="O230" s="3">
        <v>1E-3</v>
      </c>
      <c r="P230" s="16">
        <v>2.0208333333333335</v>
      </c>
      <c r="Q230" s="3">
        <v>1</v>
      </c>
      <c r="R230" s="3">
        <v>5.6630000000000003</v>
      </c>
      <c r="S230" s="3">
        <v>1</v>
      </c>
      <c r="T230" s="3">
        <v>106.3</v>
      </c>
      <c r="U230" s="3">
        <v>2101</v>
      </c>
      <c r="V230" s="3">
        <v>5.9169999999999998</v>
      </c>
      <c r="W230" s="3">
        <v>6.8810000000000002</v>
      </c>
      <c r="X230" s="3">
        <v>9.3000000000000007</v>
      </c>
      <c r="Y230" s="3">
        <v>6.0869999999999997</v>
      </c>
      <c r="Z230" s="3">
        <v>6.1550000000000002</v>
      </c>
      <c r="AA230" s="3">
        <v>8.7799999999999994</v>
      </c>
      <c r="AB230" s="3">
        <v>9.15</v>
      </c>
      <c r="AC230" s="3">
        <v>9.0500000000000007</v>
      </c>
      <c r="AD230" s="16">
        <v>5.3141666666666669</v>
      </c>
      <c r="AE230" s="3">
        <v>1133</v>
      </c>
      <c r="AF230" s="3">
        <v>3.5219999999999998</v>
      </c>
      <c r="AG230" s="3">
        <v>434</v>
      </c>
      <c r="AH230" s="3">
        <v>91.7</v>
      </c>
      <c r="AI230" s="3">
        <v>1</v>
      </c>
      <c r="AJ230" s="3">
        <v>2.9790000000000001</v>
      </c>
      <c r="AK230" s="3">
        <v>2.83</v>
      </c>
      <c r="AL230" s="3">
        <v>3.41</v>
      </c>
      <c r="AM230" s="3">
        <v>2.9209999999999998</v>
      </c>
      <c r="AN230" s="3">
        <v>3.024</v>
      </c>
      <c r="AO230" s="3">
        <v>7.65</v>
      </c>
      <c r="AP230" s="3">
        <v>8.56</v>
      </c>
      <c r="AQ230" s="3">
        <v>8.8699999999999992</v>
      </c>
      <c r="AR230" s="3">
        <v>2.8000000000000001E-2</v>
      </c>
      <c r="AS230" s="3">
        <v>7.8E-2</v>
      </c>
      <c r="AT230" s="3">
        <v>3.7999999999999999E-2</v>
      </c>
      <c r="AU230" s="3">
        <v>3.5999999999999997E-2</v>
      </c>
      <c r="AV230" s="3">
        <v>0.14099999999999999</v>
      </c>
      <c r="AW230" s="3">
        <v>0.56499999999999995</v>
      </c>
      <c r="AX230" s="3">
        <v>9.9000000000000005E-2</v>
      </c>
      <c r="AY230" s="3">
        <v>1.4999999999999999E-2</v>
      </c>
      <c r="AZ230" s="3">
        <v>4.9050000000000002</v>
      </c>
      <c r="BA230" s="3"/>
      <c r="BB230" s="3">
        <v>9.4700000000000006</v>
      </c>
      <c r="BC230" s="3">
        <v>2876</v>
      </c>
      <c r="BD230" s="3"/>
      <c r="BE230" s="3"/>
      <c r="BF230" s="3">
        <v>0</v>
      </c>
      <c r="BH230" s="16">
        <v>27.27</v>
      </c>
      <c r="BI230" s="16">
        <f t="shared" si="192"/>
        <v>55.0854</v>
      </c>
      <c r="BJ230" s="17">
        <f t="shared" si="153"/>
        <v>6.28</v>
      </c>
      <c r="BK230" s="17">
        <f t="shared" si="154"/>
        <v>13.32</v>
      </c>
      <c r="BM230" s="1">
        <f t="shared" si="155"/>
        <v>99.2</v>
      </c>
      <c r="BN230" s="1">
        <f t="shared" si="156"/>
        <v>97.1</v>
      </c>
      <c r="BO230" s="1">
        <f t="shared" si="157"/>
        <v>85.7</v>
      </c>
      <c r="BP230" s="62">
        <f t="shared" si="159"/>
        <v>0.78300000000000003</v>
      </c>
      <c r="BQ230" s="62">
        <f t="shared" si="158"/>
        <v>0.13100000000000001</v>
      </c>
      <c r="BS230" s="1">
        <v>9.4</v>
      </c>
      <c r="BT230" s="8"/>
      <c r="BV230" s="8"/>
      <c r="BW230" s="16">
        <f t="shared" si="160"/>
        <v>6.28</v>
      </c>
      <c r="BX230" s="16">
        <f t="shared" si="161"/>
        <v>13.32</v>
      </c>
      <c r="BY230" s="3">
        <f t="shared" si="162"/>
        <v>4.5999999999999996</v>
      </c>
      <c r="BZ230" s="3">
        <f t="shared" si="163"/>
        <v>4.5</v>
      </c>
      <c r="CA230" s="3">
        <f t="shared" si="164"/>
        <v>4.5</v>
      </c>
      <c r="CB230" s="3">
        <f t="shared" si="165"/>
        <v>6.4</v>
      </c>
      <c r="CC230" s="3">
        <f t="shared" si="166"/>
        <v>8</v>
      </c>
      <c r="CD230" s="3">
        <f t="shared" si="167"/>
        <v>8.8000000000000007</v>
      </c>
      <c r="CE230" s="3">
        <f t="shared" si="168"/>
        <v>9</v>
      </c>
      <c r="CF230" s="23">
        <f t="shared" si="169"/>
        <v>97.1</v>
      </c>
      <c r="CG230" s="1">
        <f t="shared" si="170"/>
        <v>5.7</v>
      </c>
      <c r="CH230" s="1">
        <f t="shared" si="171"/>
        <v>5.9</v>
      </c>
      <c r="CI230" s="1">
        <f t="shared" si="172"/>
        <v>6.9</v>
      </c>
      <c r="CJ230" s="1">
        <f t="shared" si="173"/>
        <v>9.3000000000000007</v>
      </c>
      <c r="CK230" s="1">
        <f t="shared" si="174"/>
        <v>8.8000000000000007</v>
      </c>
      <c r="CL230" s="1">
        <f t="shared" si="175"/>
        <v>9.1999999999999993</v>
      </c>
      <c r="CM230" s="1">
        <f t="shared" si="176"/>
        <v>9.1</v>
      </c>
      <c r="CN230" s="2">
        <f t="shared" si="177"/>
        <v>99.2</v>
      </c>
      <c r="CO230" s="1">
        <f t="shared" si="178"/>
        <v>3.5</v>
      </c>
      <c r="CP230" s="1">
        <f t="shared" si="179"/>
        <v>3</v>
      </c>
      <c r="CQ230" s="1">
        <f t="shared" si="180"/>
        <v>2.8</v>
      </c>
      <c r="CR230" s="1">
        <f t="shared" si="181"/>
        <v>3.4</v>
      </c>
      <c r="CS230" s="1">
        <f t="shared" si="182"/>
        <v>7.7</v>
      </c>
      <c r="CT230" s="1">
        <f t="shared" si="183"/>
        <v>8.6</v>
      </c>
      <c r="CU230" s="1">
        <f t="shared" si="184"/>
        <v>8.9</v>
      </c>
      <c r="CV230" s="2">
        <f t="shared" si="185"/>
        <v>85.7</v>
      </c>
      <c r="CW230" s="18">
        <f t="shared" si="186"/>
        <v>0</v>
      </c>
      <c r="CX230" s="1">
        <f>ROUND(PPTest!K230,1)</f>
        <v>1</v>
      </c>
      <c r="CY230" s="17">
        <f t="shared" si="187"/>
        <v>2.02</v>
      </c>
      <c r="CZ230" s="17">
        <f t="shared" si="188"/>
        <v>5.31</v>
      </c>
      <c r="DA230" s="20">
        <f t="shared" si="189"/>
        <v>0.78300000000000003</v>
      </c>
      <c r="DB230" s="20">
        <f t="shared" si="190"/>
        <v>0.13100000000000001</v>
      </c>
      <c r="DC230" s="16">
        <f t="shared" si="191"/>
        <v>9.4700000000000006</v>
      </c>
      <c r="DF230" s="1">
        <v>7</v>
      </c>
      <c r="DG230" s="1">
        <v>8.3000000000000007</v>
      </c>
      <c r="DH230" s="1">
        <v>5.8</v>
      </c>
      <c r="DI230" s="1">
        <v>98.7</v>
      </c>
      <c r="DJ230" s="1">
        <v>96</v>
      </c>
      <c r="DW230" s="1">
        <v>5.8</v>
      </c>
      <c r="DX230" s="1">
        <v>10.8</v>
      </c>
      <c r="DY230" s="1">
        <v>2.1</v>
      </c>
    </row>
    <row r="231" spans="1:129" x14ac:dyDescent="0.2">
      <c r="A231" s="40">
        <v>34924</v>
      </c>
      <c r="B231" s="3">
        <v>225</v>
      </c>
      <c r="C231" s="3">
        <v>17.170000000000002</v>
      </c>
      <c r="D231" s="3">
        <v>32.69</v>
      </c>
      <c r="E231" s="3">
        <v>7.57</v>
      </c>
      <c r="F231" s="3">
        <v>92.9</v>
      </c>
      <c r="G231" s="3">
        <v>7.56</v>
      </c>
      <c r="H231" s="3">
        <v>7.54</v>
      </c>
      <c r="I231" s="3">
        <v>8.9700000000000006</v>
      </c>
      <c r="J231" s="3">
        <v>8.39</v>
      </c>
      <c r="K231" s="3">
        <v>8.61</v>
      </c>
      <c r="L231" s="3">
        <v>9.07</v>
      </c>
      <c r="M231" s="3">
        <v>8.6300000000000008</v>
      </c>
      <c r="N231" s="3">
        <v>9</v>
      </c>
      <c r="O231" s="3">
        <v>1E-3</v>
      </c>
      <c r="P231" s="16">
        <v>1.8758333333333335</v>
      </c>
      <c r="Q231" s="3">
        <v>2</v>
      </c>
      <c r="R231" s="3">
        <v>13.92</v>
      </c>
      <c r="S231" s="3">
        <v>1717</v>
      </c>
      <c r="T231" s="3">
        <v>106.1</v>
      </c>
      <c r="U231" s="3">
        <v>1</v>
      </c>
      <c r="V231" s="3">
        <v>15.58</v>
      </c>
      <c r="W231" s="3">
        <v>15.53</v>
      </c>
      <c r="X231" s="3">
        <v>16.43</v>
      </c>
      <c r="Y231" s="3">
        <v>18.09</v>
      </c>
      <c r="Z231" s="3">
        <v>18.22</v>
      </c>
      <c r="AA231" s="3">
        <v>11.44</v>
      </c>
      <c r="AB231" s="3">
        <v>8.9700000000000006</v>
      </c>
      <c r="AC231" s="3">
        <v>9.15</v>
      </c>
      <c r="AD231" s="16">
        <v>4.4474999999999998</v>
      </c>
      <c r="AE231" s="3">
        <v>1200</v>
      </c>
      <c r="AF231" s="3">
        <v>3.7810000000000001</v>
      </c>
      <c r="AG231" s="3">
        <v>2309</v>
      </c>
      <c r="AH231" s="3">
        <v>55.04</v>
      </c>
      <c r="AI231" s="3">
        <v>1659</v>
      </c>
      <c r="AJ231" s="3">
        <v>3.0179999999999998</v>
      </c>
      <c r="AK231" s="3">
        <v>2.48</v>
      </c>
      <c r="AL231" s="3">
        <v>2.8540000000000001</v>
      </c>
      <c r="AM231" s="3">
        <v>2.4860000000000002</v>
      </c>
      <c r="AN231" s="3">
        <v>2.6360000000000001</v>
      </c>
      <c r="AO231" s="3">
        <v>7.5</v>
      </c>
      <c r="AP231" s="3">
        <v>8.42</v>
      </c>
      <c r="AQ231" s="3">
        <v>8.7899999999999991</v>
      </c>
      <c r="AR231" s="3">
        <v>7.0999999999999994E-2</v>
      </c>
      <c r="AS231" s="3">
        <v>0.189</v>
      </c>
      <c r="AT231" s="3">
        <v>5.3999999999999999E-2</v>
      </c>
      <c r="AU231" s="3">
        <v>6.0000000000000001E-3</v>
      </c>
      <c r="AV231" s="3">
        <v>6.8000000000000005E-2</v>
      </c>
      <c r="AW231" s="3">
        <v>0.40500000000000003</v>
      </c>
      <c r="AX231" s="3">
        <v>0.16200000000000001</v>
      </c>
      <c r="AY231" s="3">
        <v>4.4999999999999998E-2</v>
      </c>
      <c r="AZ231" s="3">
        <v>8.66</v>
      </c>
      <c r="BA231" s="3"/>
      <c r="BB231" s="3">
        <v>9.5500000000000007</v>
      </c>
      <c r="BC231" s="3">
        <v>2876</v>
      </c>
      <c r="BD231" s="3"/>
      <c r="BE231" s="3"/>
      <c r="BF231" s="3">
        <v>0</v>
      </c>
      <c r="BH231" s="16">
        <v>27.06</v>
      </c>
      <c r="BI231" s="16">
        <f t="shared" si="192"/>
        <v>54.661200000000001</v>
      </c>
      <c r="BJ231" s="17">
        <f t="shared" si="153"/>
        <v>17.170000000000002</v>
      </c>
      <c r="BK231" s="17">
        <f t="shared" si="154"/>
        <v>35.31</v>
      </c>
      <c r="BM231" s="1">
        <f t="shared" si="155"/>
        <v>99</v>
      </c>
      <c r="BN231" s="1">
        <f t="shared" si="156"/>
        <v>86.8</v>
      </c>
      <c r="BO231" s="1">
        <f t="shared" si="157"/>
        <v>51.9</v>
      </c>
      <c r="BP231" s="62">
        <f t="shared" si="159"/>
        <v>0.82499999999999996</v>
      </c>
      <c r="BQ231" s="62">
        <f t="shared" si="158"/>
        <v>0.76500000000000001</v>
      </c>
      <c r="BS231" s="1">
        <v>0</v>
      </c>
      <c r="BT231" s="8"/>
      <c r="BV231" s="8"/>
      <c r="BW231" s="16">
        <f t="shared" si="160"/>
        <v>17.170000000000002</v>
      </c>
      <c r="BX231" s="16">
        <f t="shared" si="161"/>
        <v>35.31</v>
      </c>
      <c r="BY231" s="3">
        <f t="shared" si="162"/>
        <v>7.6</v>
      </c>
      <c r="BZ231" s="3">
        <f t="shared" si="163"/>
        <v>7.6</v>
      </c>
      <c r="CA231" s="3">
        <f t="shared" si="164"/>
        <v>7.5</v>
      </c>
      <c r="CB231" s="3">
        <f t="shared" si="165"/>
        <v>9</v>
      </c>
      <c r="CC231" s="3">
        <f t="shared" si="166"/>
        <v>9.1</v>
      </c>
      <c r="CD231" s="3">
        <f t="shared" si="167"/>
        <v>8.6</v>
      </c>
      <c r="CE231" s="3">
        <f t="shared" si="168"/>
        <v>9</v>
      </c>
      <c r="CF231" s="23">
        <f t="shared" si="169"/>
        <v>86.8</v>
      </c>
      <c r="CG231" s="1">
        <f t="shared" si="170"/>
        <v>13.9</v>
      </c>
      <c r="CH231" s="1">
        <f t="shared" si="171"/>
        <v>15.6</v>
      </c>
      <c r="CI231" s="1">
        <f t="shared" si="172"/>
        <v>15.5</v>
      </c>
      <c r="CJ231" s="1">
        <f t="shared" si="173"/>
        <v>16.399999999999999</v>
      </c>
      <c r="CK231" s="1">
        <f t="shared" si="174"/>
        <v>11.4</v>
      </c>
      <c r="CL231" s="1">
        <f t="shared" si="175"/>
        <v>9</v>
      </c>
      <c r="CM231" s="1">
        <f t="shared" si="176"/>
        <v>9.1999999999999993</v>
      </c>
      <c r="CN231" s="2">
        <f t="shared" si="177"/>
        <v>99</v>
      </c>
      <c r="CO231" s="1">
        <f t="shared" si="178"/>
        <v>3.8</v>
      </c>
      <c r="CP231" s="1">
        <f t="shared" si="179"/>
        <v>3</v>
      </c>
      <c r="CQ231" s="1">
        <f t="shared" si="180"/>
        <v>2.5</v>
      </c>
      <c r="CR231" s="1">
        <f t="shared" si="181"/>
        <v>2.9</v>
      </c>
      <c r="CS231" s="1">
        <f t="shared" si="182"/>
        <v>7.5</v>
      </c>
      <c r="CT231" s="1">
        <f t="shared" si="183"/>
        <v>8.4</v>
      </c>
      <c r="CU231" s="1">
        <f t="shared" si="184"/>
        <v>8.8000000000000007</v>
      </c>
      <c r="CV231" s="2">
        <f t="shared" si="185"/>
        <v>51.9</v>
      </c>
      <c r="CW231" s="18">
        <f t="shared" si="186"/>
        <v>0</v>
      </c>
      <c r="CX231" s="1">
        <f>ROUND(PPTest!K231,1)</f>
        <v>2</v>
      </c>
      <c r="CY231" s="17">
        <f t="shared" si="187"/>
        <v>1.88</v>
      </c>
      <c r="CZ231" s="17">
        <f t="shared" si="188"/>
        <v>4.45</v>
      </c>
      <c r="DA231" s="20">
        <f t="shared" si="189"/>
        <v>0.82499999999999996</v>
      </c>
      <c r="DB231" s="20">
        <f t="shared" si="190"/>
        <v>0.76500000000000001</v>
      </c>
      <c r="DC231" s="16">
        <f t="shared" si="191"/>
        <v>9.5500000000000007</v>
      </c>
      <c r="DF231" s="1">
        <v>10.1</v>
      </c>
      <c r="DG231" s="1">
        <v>14.8</v>
      </c>
      <c r="DH231" s="1">
        <v>6.5</v>
      </c>
      <c r="DI231" s="1">
        <v>88.2</v>
      </c>
      <c r="DJ231" s="1">
        <v>74</v>
      </c>
      <c r="DW231" s="1">
        <v>8.5</v>
      </c>
      <c r="DX231" s="1">
        <v>15.3</v>
      </c>
      <c r="DY231" s="1">
        <v>3.4</v>
      </c>
    </row>
    <row r="232" spans="1:129" x14ac:dyDescent="0.2">
      <c r="A232" s="40">
        <v>34925</v>
      </c>
      <c r="B232" s="3">
        <v>226</v>
      </c>
      <c r="C232" s="3">
        <v>5.5389999999999997</v>
      </c>
      <c r="D232" s="3">
        <v>11.07</v>
      </c>
      <c r="E232" s="3">
        <v>8.4</v>
      </c>
      <c r="F232" s="3">
        <v>78.900000000000006</v>
      </c>
      <c r="G232" s="3">
        <v>8.01</v>
      </c>
      <c r="H232" s="3">
        <v>7.85</v>
      </c>
      <c r="I232" s="3">
        <v>7.06</v>
      </c>
      <c r="J232" s="3">
        <v>7.43</v>
      </c>
      <c r="K232" s="3">
        <v>7.78</v>
      </c>
      <c r="L232" s="3">
        <v>8.5</v>
      </c>
      <c r="M232" s="3">
        <v>8.86</v>
      </c>
      <c r="N232" s="3">
        <v>8.93</v>
      </c>
      <c r="O232" s="3">
        <v>0</v>
      </c>
      <c r="P232" s="16">
        <v>2.2258333333333331</v>
      </c>
      <c r="Q232" s="3">
        <v>2</v>
      </c>
      <c r="R232" s="3">
        <v>10.01</v>
      </c>
      <c r="S232" s="3">
        <v>1511</v>
      </c>
      <c r="T232" s="3">
        <v>102.5</v>
      </c>
      <c r="U232" s="3">
        <v>7</v>
      </c>
      <c r="V232" s="3">
        <v>11.64</v>
      </c>
      <c r="W232" s="3">
        <v>13.21</v>
      </c>
      <c r="X232" s="3">
        <v>11.78</v>
      </c>
      <c r="Y232" s="3">
        <v>12.27</v>
      </c>
      <c r="Z232" s="3">
        <v>12.79</v>
      </c>
      <c r="AA232" s="3">
        <v>9.26</v>
      </c>
      <c r="AB232" s="3">
        <v>8.98</v>
      </c>
      <c r="AC232" s="3">
        <v>9.06</v>
      </c>
      <c r="AD232" s="16">
        <v>5.2874999999999996</v>
      </c>
      <c r="AE232" s="3">
        <v>835</v>
      </c>
      <c r="AF232" s="3">
        <v>4.1929999999999996</v>
      </c>
      <c r="AG232" s="3">
        <v>6</v>
      </c>
      <c r="AH232" s="3">
        <v>60.25</v>
      </c>
      <c r="AI232" s="3">
        <v>833</v>
      </c>
      <c r="AJ232" s="3">
        <v>3.367</v>
      </c>
      <c r="AK232" s="3">
        <v>3.08</v>
      </c>
      <c r="AL232" s="3">
        <v>3.37</v>
      </c>
      <c r="AM232" s="3">
        <v>3.0219999999999998</v>
      </c>
      <c r="AN232" s="3">
        <v>3.1480000000000001</v>
      </c>
      <c r="AO232" s="3">
        <v>8.18</v>
      </c>
      <c r="AP232" s="3">
        <v>8.74</v>
      </c>
      <c r="AQ232" s="3">
        <v>8.7799999999999994</v>
      </c>
      <c r="AR232" s="3">
        <v>1.6E-2</v>
      </c>
      <c r="AS232" s="3">
        <v>2.5999999999999999E-2</v>
      </c>
      <c r="AT232" s="3">
        <v>0.06</v>
      </c>
      <c r="AU232" s="3">
        <v>0.13900000000000001</v>
      </c>
      <c r="AV232" s="3">
        <v>0.28699999999999998</v>
      </c>
      <c r="AW232" s="3">
        <v>0.36599999999999999</v>
      </c>
      <c r="AX232" s="3">
        <v>8.4000000000000005E-2</v>
      </c>
      <c r="AY232" s="3">
        <v>2.1999999999999999E-2</v>
      </c>
      <c r="AZ232" s="3">
        <v>7.1</v>
      </c>
      <c r="BA232" s="3"/>
      <c r="BB232" s="3">
        <v>9.59</v>
      </c>
      <c r="BC232" s="3">
        <v>2876</v>
      </c>
      <c r="BD232" s="3"/>
      <c r="BE232" s="3"/>
      <c r="BF232" s="3">
        <v>0</v>
      </c>
      <c r="BH232" s="16">
        <v>26.86</v>
      </c>
      <c r="BI232" s="16">
        <f t="shared" si="192"/>
        <v>54.257199999999997</v>
      </c>
      <c r="BJ232" s="17">
        <f t="shared" si="153"/>
        <v>5.54</v>
      </c>
      <c r="BK232" s="17">
        <f t="shared" si="154"/>
        <v>11.96</v>
      </c>
      <c r="BM232" s="1">
        <f t="shared" si="155"/>
        <v>95.7</v>
      </c>
      <c r="BN232" s="1">
        <f t="shared" si="156"/>
        <v>73.900000000000006</v>
      </c>
      <c r="BO232" s="1">
        <f t="shared" si="157"/>
        <v>56.7</v>
      </c>
      <c r="BP232" s="62">
        <f t="shared" si="159"/>
        <v>0.69599999999999995</v>
      </c>
      <c r="BQ232" s="62">
        <f t="shared" si="158"/>
        <v>0.53200000000000003</v>
      </c>
      <c r="BS232" s="1">
        <v>3.2</v>
      </c>
      <c r="BT232" s="8"/>
      <c r="BV232" s="8"/>
      <c r="BW232" s="16">
        <f t="shared" si="160"/>
        <v>5.54</v>
      </c>
      <c r="BX232" s="16">
        <f t="shared" si="161"/>
        <v>11.96</v>
      </c>
      <c r="BY232" s="3">
        <f t="shared" si="162"/>
        <v>8.4</v>
      </c>
      <c r="BZ232" s="3">
        <f t="shared" si="163"/>
        <v>8</v>
      </c>
      <c r="CA232" s="3">
        <f t="shared" si="164"/>
        <v>7.9</v>
      </c>
      <c r="CB232" s="3">
        <f t="shared" si="165"/>
        <v>7.1</v>
      </c>
      <c r="CC232" s="3">
        <f t="shared" si="166"/>
        <v>8.5</v>
      </c>
      <c r="CD232" s="3">
        <f t="shared" si="167"/>
        <v>8.9</v>
      </c>
      <c r="CE232" s="3">
        <f t="shared" si="168"/>
        <v>8.9</v>
      </c>
      <c r="CF232" s="23">
        <f t="shared" si="169"/>
        <v>73.900000000000006</v>
      </c>
      <c r="CG232" s="1">
        <f t="shared" si="170"/>
        <v>10</v>
      </c>
      <c r="CH232" s="1">
        <f t="shared" si="171"/>
        <v>11.6</v>
      </c>
      <c r="CI232" s="1">
        <f t="shared" si="172"/>
        <v>13.2</v>
      </c>
      <c r="CJ232" s="1">
        <f t="shared" si="173"/>
        <v>11.8</v>
      </c>
      <c r="CK232" s="1">
        <f t="shared" si="174"/>
        <v>9.3000000000000007</v>
      </c>
      <c r="CL232" s="1">
        <f t="shared" si="175"/>
        <v>9</v>
      </c>
      <c r="CM232" s="1">
        <f t="shared" si="176"/>
        <v>9.1</v>
      </c>
      <c r="CN232" s="2">
        <f t="shared" si="177"/>
        <v>95.7</v>
      </c>
      <c r="CO232" s="1">
        <f t="shared" si="178"/>
        <v>4.2</v>
      </c>
      <c r="CP232" s="1">
        <f t="shared" si="179"/>
        <v>3.4</v>
      </c>
      <c r="CQ232" s="1">
        <f t="shared" si="180"/>
        <v>3.1</v>
      </c>
      <c r="CR232" s="1">
        <f t="shared" si="181"/>
        <v>3.4</v>
      </c>
      <c r="CS232" s="1">
        <f t="shared" si="182"/>
        <v>8.1999999999999993</v>
      </c>
      <c r="CT232" s="1">
        <f t="shared" si="183"/>
        <v>8.6999999999999993</v>
      </c>
      <c r="CU232" s="1">
        <f t="shared" si="184"/>
        <v>8.8000000000000007</v>
      </c>
      <c r="CV232" s="2">
        <f t="shared" si="185"/>
        <v>56.7</v>
      </c>
      <c r="CW232" s="18">
        <f t="shared" si="186"/>
        <v>0</v>
      </c>
      <c r="CX232" s="1">
        <f>ROUND(PPTest!K232,1)</f>
        <v>2</v>
      </c>
      <c r="CY232" s="17">
        <f t="shared" si="187"/>
        <v>2.23</v>
      </c>
      <c r="CZ232" s="17">
        <f t="shared" si="188"/>
        <v>5.29</v>
      </c>
      <c r="DA232" s="20">
        <f t="shared" si="189"/>
        <v>0.69599999999999995</v>
      </c>
      <c r="DB232" s="20">
        <f t="shared" si="190"/>
        <v>0.53200000000000003</v>
      </c>
      <c r="DC232" s="16">
        <f t="shared" si="191"/>
        <v>9.59</v>
      </c>
      <c r="DF232" s="1">
        <v>9.6</v>
      </c>
      <c r="DG232" s="1">
        <v>10.7</v>
      </c>
      <c r="DH232" s="1">
        <v>8.4</v>
      </c>
      <c r="DI232" s="1">
        <v>88</v>
      </c>
      <c r="DJ232" s="1">
        <v>78</v>
      </c>
      <c r="DW232" s="1">
        <v>7.4</v>
      </c>
      <c r="DX232" s="1">
        <v>11.1</v>
      </c>
      <c r="DY232" s="1">
        <v>3.4</v>
      </c>
    </row>
    <row r="233" spans="1:129" x14ac:dyDescent="0.2">
      <c r="A233" s="40">
        <v>34926</v>
      </c>
      <c r="B233" s="3">
        <v>227</v>
      </c>
      <c r="C233" s="3">
        <v>8.7899999999999991</v>
      </c>
      <c r="D233" s="3">
        <v>17.16</v>
      </c>
      <c r="E233" s="3">
        <v>6.3310000000000004</v>
      </c>
      <c r="F233" s="3">
        <v>96</v>
      </c>
      <c r="G233" s="3">
        <v>6.1029999999999998</v>
      </c>
      <c r="H233" s="3">
        <v>6.0190000000000001</v>
      </c>
      <c r="I233" s="3">
        <v>7.05</v>
      </c>
      <c r="J233" s="3">
        <v>6.0789999999999997</v>
      </c>
      <c r="K233" s="3">
        <v>6.1840000000000002</v>
      </c>
      <c r="L233" s="3">
        <v>8.35</v>
      </c>
      <c r="M233" s="3">
        <v>8.64</v>
      </c>
      <c r="N233" s="3">
        <v>8.9499999999999993</v>
      </c>
      <c r="O233" s="3">
        <v>1E-3</v>
      </c>
      <c r="P233" s="16">
        <v>1.5198333333333334</v>
      </c>
      <c r="Q233" s="3">
        <v>1</v>
      </c>
      <c r="R233" s="3">
        <v>9.9499999999999993</v>
      </c>
      <c r="S233" s="3">
        <v>1312</v>
      </c>
      <c r="T233" s="3">
        <v>105.3</v>
      </c>
      <c r="U233" s="3">
        <v>1116</v>
      </c>
      <c r="V233" s="3">
        <v>11.19</v>
      </c>
      <c r="W233" s="3">
        <v>13.49</v>
      </c>
      <c r="X233" s="3">
        <v>14.72</v>
      </c>
      <c r="Y233" s="3">
        <v>11.76</v>
      </c>
      <c r="Z233" s="3">
        <v>12.88</v>
      </c>
      <c r="AA233" s="3">
        <v>9.6199999999999992</v>
      </c>
      <c r="AB233" s="3">
        <v>8.8000000000000007</v>
      </c>
      <c r="AC233" s="3">
        <v>9.14</v>
      </c>
      <c r="AD233" s="16">
        <v>5.6608333333333336</v>
      </c>
      <c r="AE233" s="3">
        <v>1156</v>
      </c>
      <c r="AF233" s="3">
        <v>2.8029999999999999</v>
      </c>
      <c r="AG233" s="3">
        <v>525</v>
      </c>
      <c r="AH233" s="3">
        <v>78.400000000000006</v>
      </c>
      <c r="AI233" s="3">
        <v>732</v>
      </c>
      <c r="AJ233" s="3">
        <v>1.9510000000000001</v>
      </c>
      <c r="AK233" s="3">
        <v>1.3680000000000001</v>
      </c>
      <c r="AL233" s="3">
        <v>1.446</v>
      </c>
      <c r="AM233" s="3">
        <v>1.4930000000000001</v>
      </c>
      <c r="AN233" s="3">
        <v>1.768</v>
      </c>
      <c r="AO233" s="3">
        <v>7.25</v>
      </c>
      <c r="AP233" s="3">
        <v>8.5299999999999994</v>
      </c>
      <c r="AQ233" s="3">
        <v>8.7799999999999994</v>
      </c>
      <c r="AR233" s="3">
        <v>0.13200000000000001</v>
      </c>
      <c r="AS233" s="3">
        <v>0.221</v>
      </c>
      <c r="AT233" s="3">
        <v>8.3000000000000004E-2</v>
      </c>
      <c r="AU233" s="3">
        <v>0.02</v>
      </c>
      <c r="AV233" s="3">
        <v>0.109</v>
      </c>
      <c r="AW233" s="3">
        <v>0.28199999999999997</v>
      </c>
      <c r="AX233" s="3">
        <v>9.4E-2</v>
      </c>
      <c r="AY233" s="3">
        <v>0.06</v>
      </c>
      <c r="AZ233" s="3">
        <v>6.3019999999999996</v>
      </c>
      <c r="BA233" s="3"/>
      <c r="BB233" s="3">
        <v>9.61</v>
      </c>
      <c r="BC233" s="3">
        <v>2876</v>
      </c>
      <c r="BD233" s="3"/>
      <c r="BE233" s="3"/>
      <c r="BF233" s="3">
        <v>0</v>
      </c>
      <c r="BH233" s="16">
        <v>26.64</v>
      </c>
      <c r="BI233" s="16">
        <f t="shared" si="192"/>
        <v>53.812800000000003</v>
      </c>
      <c r="BJ233" s="17">
        <f t="shared" si="153"/>
        <v>8.7899999999999991</v>
      </c>
      <c r="BK233" s="17">
        <f t="shared" si="154"/>
        <v>18.53</v>
      </c>
      <c r="BM233" s="1">
        <f t="shared" si="155"/>
        <v>98.3</v>
      </c>
      <c r="BN233" s="1">
        <f t="shared" si="156"/>
        <v>89.7</v>
      </c>
      <c r="BO233" s="1">
        <f t="shared" si="157"/>
        <v>73.400000000000006</v>
      </c>
      <c r="BP233" s="62">
        <f t="shared" si="159"/>
        <v>0.89800000000000002</v>
      </c>
      <c r="BQ233" s="62">
        <f t="shared" si="158"/>
        <v>0.32500000000000001</v>
      </c>
      <c r="BS233" s="1">
        <v>6.4</v>
      </c>
      <c r="BT233" s="8"/>
      <c r="BV233" s="8"/>
      <c r="BW233" s="16">
        <f t="shared" si="160"/>
        <v>8.7899999999999991</v>
      </c>
      <c r="BX233" s="16">
        <f t="shared" si="161"/>
        <v>18.53</v>
      </c>
      <c r="BY233" s="3">
        <f t="shared" si="162"/>
        <v>6.3</v>
      </c>
      <c r="BZ233" s="3">
        <f t="shared" si="163"/>
        <v>6.1</v>
      </c>
      <c r="CA233" s="3">
        <f t="shared" si="164"/>
        <v>6</v>
      </c>
      <c r="CB233" s="3">
        <f t="shared" si="165"/>
        <v>7.1</v>
      </c>
      <c r="CC233" s="3">
        <f t="shared" si="166"/>
        <v>8.4</v>
      </c>
      <c r="CD233" s="3">
        <f t="shared" si="167"/>
        <v>8.6</v>
      </c>
      <c r="CE233" s="3">
        <f t="shared" si="168"/>
        <v>9</v>
      </c>
      <c r="CF233" s="23">
        <f t="shared" si="169"/>
        <v>89.7</v>
      </c>
      <c r="CG233" s="1">
        <f t="shared" si="170"/>
        <v>10</v>
      </c>
      <c r="CH233" s="1">
        <f t="shared" si="171"/>
        <v>11.2</v>
      </c>
      <c r="CI233" s="1">
        <f t="shared" si="172"/>
        <v>13.5</v>
      </c>
      <c r="CJ233" s="1">
        <f t="shared" si="173"/>
        <v>14.7</v>
      </c>
      <c r="CK233" s="1">
        <f t="shared" si="174"/>
        <v>9.6</v>
      </c>
      <c r="CL233" s="1">
        <f t="shared" si="175"/>
        <v>8.8000000000000007</v>
      </c>
      <c r="CM233" s="1">
        <f t="shared" si="176"/>
        <v>9.1</v>
      </c>
      <c r="CN233" s="2">
        <f t="shared" si="177"/>
        <v>98.3</v>
      </c>
      <c r="CO233" s="1">
        <f t="shared" si="178"/>
        <v>2.8</v>
      </c>
      <c r="CP233" s="1">
        <f t="shared" si="179"/>
        <v>2</v>
      </c>
      <c r="CQ233" s="1">
        <f t="shared" si="180"/>
        <v>1.4</v>
      </c>
      <c r="CR233" s="1">
        <f t="shared" si="181"/>
        <v>1.4</v>
      </c>
      <c r="CS233" s="1">
        <f t="shared" si="182"/>
        <v>7.3</v>
      </c>
      <c r="CT233" s="1">
        <f t="shared" si="183"/>
        <v>8.5</v>
      </c>
      <c r="CU233" s="1">
        <f t="shared" si="184"/>
        <v>8.8000000000000007</v>
      </c>
      <c r="CV233" s="2">
        <f t="shared" si="185"/>
        <v>73.400000000000006</v>
      </c>
      <c r="CW233" s="18">
        <f t="shared" si="186"/>
        <v>0</v>
      </c>
      <c r="CX233" s="1">
        <f>ROUND(PPTest!K233,1)</f>
        <v>1</v>
      </c>
      <c r="CY233" s="17">
        <f t="shared" si="187"/>
        <v>1.52</v>
      </c>
      <c r="CZ233" s="17">
        <f t="shared" si="188"/>
        <v>5.66</v>
      </c>
      <c r="DA233" s="20">
        <f t="shared" si="189"/>
        <v>0.89800000000000002</v>
      </c>
      <c r="DB233" s="20">
        <f t="shared" si="190"/>
        <v>0.32500000000000001</v>
      </c>
      <c r="DC233" s="16">
        <f t="shared" si="191"/>
        <v>9.61</v>
      </c>
      <c r="DF233" s="1">
        <v>8.9</v>
      </c>
      <c r="DG233" s="1">
        <v>11.6</v>
      </c>
      <c r="DH233" s="1">
        <v>7</v>
      </c>
      <c r="DI233" s="1">
        <v>93.5</v>
      </c>
      <c r="DJ233" s="1">
        <v>87</v>
      </c>
      <c r="DW233" s="1">
        <v>6.8</v>
      </c>
      <c r="DX233" s="1">
        <v>13</v>
      </c>
      <c r="DY233" s="1">
        <v>1</v>
      </c>
    </row>
    <row r="234" spans="1:129" x14ac:dyDescent="0.2">
      <c r="A234" s="40">
        <v>34927</v>
      </c>
      <c r="B234" s="3">
        <v>228</v>
      </c>
      <c r="C234" s="3">
        <v>14.6</v>
      </c>
      <c r="D234" s="3">
        <v>27.44</v>
      </c>
      <c r="E234" s="3">
        <v>5.4589999999999996</v>
      </c>
      <c r="F234" s="3">
        <v>91.2</v>
      </c>
      <c r="G234" s="3">
        <v>5.4160000000000004</v>
      </c>
      <c r="H234" s="3">
        <v>5.4530000000000003</v>
      </c>
      <c r="I234" s="3">
        <v>6.8550000000000004</v>
      </c>
      <c r="J234" s="3">
        <v>6.0960000000000001</v>
      </c>
      <c r="K234" s="3">
        <v>6.4020000000000001</v>
      </c>
      <c r="L234" s="3">
        <v>8.43</v>
      </c>
      <c r="M234" s="3">
        <v>8.5399999999999991</v>
      </c>
      <c r="N234" s="3">
        <v>8.9</v>
      </c>
      <c r="O234" s="3">
        <v>1E-3</v>
      </c>
      <c r="P234" s="16">
        <v>1.6074999999999999</v>
      </c>
      <c r="Q234" s="3">
        <v>1</v>
      </c>
      <c r="R234" s="3">
        <v>10.02</v>
      </c>
      <c r="S234" s="3">
        <v>1440</v>
      </c>
      <c r="T234" s="3">
        <v>106</v>
      </c>
      <c r="U234" s="3">
        <v>548</v>
      </c>
      <c r="V234" s="3">
        <v>11.69</v>
      </c>
      <c r="W234" s="3">
        <v>14.32</v>
      </c>
      <c r="X234" s="3">
        <v>13.72</v>
      </c>
      <c r="Y234" s="3">
        <v>15.24</v>
      </c>
      <c r="Z234" s="3">
        <v>14.25</v>
      </c>
      <c r="AA234" s="3">
        <v>10.36</v>
      </c>
      <c r="AB234" s="3">
        <v>8.73</v>
      </c>
      <c r="AC234" s="3">
        <v>9.09</v>
      </c>
      <c r="AD234" s="16">
        <v>4.6341666666666672</v>
      </c>
      <c r="AE234" s="3">
        <v>1238</v>
      </c>
      <c r="AF234" s="3">
        <v>1.8520000000000001</v>
      </c>
      <c r="AG234" s="3">
        <v>2243</v>
      </c>
      <c r="AH234" s="3">
        <v>55.6</v>
      </c>
      <c r="AI234" s="3">
        <v>1709</v>
      </c>
      <c r="AJ234" s="3">
        <v>1.1180000000000001</v>
      </c>
      <c r="AK234" s="3">
        <v>0.73799999999999999</v>
      </c>
      <c r="AL234" s="3">
        <v>1.3520000000000001</v>
      </c>
      <c r="AM234" s="3">
        <v>0.81399999999999995</v>
      </c>
      <c r="AN234" s="3">
        <v>0.95799999999999996</v>
      </c>
      <c r="AO234" s="3">
        <v>7.1</v>
      </c>
      <c r="AP234" s="3">
        <v>8.41</v>
      </c>
      <c r="AQ234" s="3">
        <v>8.7200000000000006</v>
      </c>
      <c r="AR234" s="3">
        <v>9.9000000000000005E-2</v>
      </c>
      <c r="AS234" s="3">
        <v>0.24199999999999999</v>
      </c>
      <c r="AT234" s="3">
        <v>0.14199999999999999</v>
      </c>
      <c r="AU234" s="3">
        <v>2.5000000000000001E-2</v>
      </c>
      <c r="AV234" s="3">
        <v>9.1999999999999998E-2</v>
      </c>
      <c r="AW234" s="3">
        <v>0.22900000000000001</v>
      </c>
      <c r="AX234" s="3">
        <v>0.128</v>
      </c>
      <c r="AY234" s="3">
        <v>4.2999999999999997E-2</v>
      </c>
      <c r="AZ234" s="3">
        <v>6.3920000000000003</v>
      </c>
      <c r="BA234" s="3"/>
      <c r="BB234" s="3">
        <v>9.64</v>
      </c>
      <c r="BC234" s="3">
        <v>2876</v>
      </c>
      <c r="BD234" s="3"/>
      <c r="BE234" s="3"/>
      <c r="BF234" s="3">
        <v>0</v>
      </c>
      <c r="BH234" s="16">
        <v>26.43</v>
      </c>
      <c r="BI234" s="16">
        <f t="shared" si="192"/>
        <v>53.388599999999997</v>
      </c>
      <c r="BJ234" s="17">
        <f t="shared" si="153"/>
        <v>14.6</v>
      </c>
      <c r="BK234" s="17">
        <f t="shared" si="154"/>
        <v>29.64</v>
      </c>
      <c r="BM234" s="1">
        <f t="shared" si="155"/>
        <v>98.9</v>
      </c>
      <c r="BN234" s="1">
        <f t="shared" si="156"/>
        <v>85.3</v>
      </c>
      <c r="BO234" s="1">
        <f t="shared" si="157"/>
        <v>52.4</v>
      </c>
      <c r="BP234" s="62">
        <f t="shared" si="159"/>
        <v>0.64400000000000002</v>
      </c>
      <c r="BQ234" s="62">
        <f t="shared" si="158"/>
        <v>0.58499999999999996</v>
      </c>
      <c r="BS234" s="1">
        <v>0</v>
      </c>
      <c r="BT234" s="8"/>
      <c r="BV234" s="8"/>
      <c r="BW234" s="16">
        <f t="shared" si="160"/>
        <v>14.6</v>
      </c>
      <c r="BX234" s="16">
        <f t="shared" si="161"/>
        <v>29.64</v>
      </c>
      <c r="BY234" s="3">
        <f t="shared" si="162"/>
        <v>5.5</v>
      </c>
      <c r="BZ234" s="3">
        <f t="shared" si="163"/>
        <v>5.4</v>
      </c>
      <c r="CA234" s="3">
        <f t="shared" si="164"/>
        <v>5.5</v>
      </c>
      <c r="CB234" s="3">
        <f t="shared" si="165"/>
        <v>6.9</v>
      </c>
      <c r="CC234" s="3">
        <f t="shared" si="166"/>
        <v>8.4</v>
      </c>
      <c r="CD234" s="3">
        <f t="shared" si="167"/>
        <v>8.5</v>
      </c>
      <c r="CE234" s="3">
        <f t="shared" si="168"/>
        <v>8.9</v>
      </c>
      <c r="CF234" s="23">
        <f t="shared" si="169"/>
        <v>85.3</v>
      </c>
      <c r="CG234" s="1">
        <f t="shared" si="170"/>
        <v>10</v>
      </c>
      <c r="CH234" s="1">
        <f t="shared" si="171"/>
        <v>11.7</v>
      </c>
      <c r="CI234" s="1">
        <f t="shared" si="172"/>
        <v>14.3</v>
      </c>
      <c r="CJ234" s="1">
        <f t="shared" si="173"/>
        <v>13.7</v>
      </c>
      <c r="CK234" s="1">
        <f t="shared" si="174"/>
        <v>10.4</v>
      </c>
      <c r="CL234" s="1">
        <f t="shared" si="175"/>
        <v>8.6999999999999993</v>
      </c>
      <c r="CM234" s="1">
        <f t="shared" si="176"/>
        <v>9.1</v>
      </c>
      <c r="CN234" s="2">
        <f t="shared" si="177"/>
        <v>98.9</v>
      </c>
      <c r="CO234" s="1">
        <f t="shared" si="178"/>
        <v>1.9</v>
      </c>
      <c r="CP234" s="1">
        <f t="shared" si="179"/>
        <v>1.1000000000000001</v>
      </c>
      <c r="CQ234" s="1">
        <f t="shared" si="180"/>
        <v>0.7</v>
      </c>
      <c r="CR234" s="1">
        <f t="shared" si="181"/>
        <v>1.4</v>
      </c>
      <c r="CS234" s="1">
        <f t="shared" si="182"/>
        <v>7.1</v>
      </c>
      <c r="CT234" s="1">
        <f t="shared" si="183"/>
        <v>8.4</v>
      </c>
      <c r="CU234" s="1">
        <f t="shared" si="184"/>
        <v>8.6999999999999993</v>
      </c>
      <c r="CV234" s="2">
        <f t="shared" si="185"/>
        <v>52.4</v>
      </c>
      <c r="CW234" s="18">
        <f t="shared" si="186"/>
        <v>0</v>
      </c>
      <c r="CX234" s="1">
        <f>ROUND(PPTest!K234,1)</f>
        <v>1</v>
      </c>
      <c r="CY234" s="17">
        <f t="shared" si="187"/>
        <v>1.61</v>
      </c>
      <c r="CZ234" s="17">
        <f t="shared" si="188"/>
        <v>4.63</v>
      </c>
      <c r="DA234" s="20">
        <f t="shared" si="189"/>
        <v>0.64400000000000002</v>
      </c>
      <c r="DB234" s="20">
        <f t="shared" si="190"/>
        <v>0.58499999999999996</v>
      </c>
      <c r="DC234" s="16">
        <f t="shared" si="191"/>
        <v>9.64</v>
      </c>
      <c r="DF234" s="1">
        <v>7.8</v>
      </c>
      <c r="DG234" s="1">
        <v>12.4</v>
      </c>
      <c r="DH234" s="1">
        <v>5.2</v>
      </c>
      <c r="DI234" s="1">
        <v>87.9</v>
      </c>
      <c r="DJ234" s="1">
        <v>70</v>
      </c>
      <c r="DW234" s="1">
        <v>6</v>
      </c>
      <c r="DX234" s="1">
        <v>11.8</v>
      </c>
      <c r="DY234" s="1">
        <v>0.8</v>
      </c>
    </row>
    <row r="235" spans="1:129" x14ac:dyDescent="0.2">
      <c r="A235" s="40">
        <v>34928</v>
      </c>
      <c r="B235" s="3">
        <v>229</v>
      </c>
      <c r="C235" s="3">
        <v>5.3819999999999997</v>
      </c>
      <c r="D235" s="3">
        <v>10.72</v>
      </c>
      <c r="E235" s="3">
        <v>3.6150000000000002</v>
      </c>
      <c r="F235" s="3">
        <v>103</v>
      </c>
      <c r="G235" s="3">
        <v>3.4260000000000002</v>
      </c>
      <c r="H235" s="3">
        <v>3.3540000000000001</v>
      </c>
      <c r="I235" s="3">
        <v>4.88</v>
      </c>
      <c r="J235" s="3">
        <v>3.6080000000000001</v>
      </c>
      <c r="K235" s="3">
        <v>3.6059999999999999</v>
      </c>
      <c r="L235" s="3">
        <v>7.22</v>
      </c>
      <c r="M235" s="3">
        <v>8.3000000000000007</v>
      </c>
      <c r="N235" s="3">
        <v>8.77</v>
      </c>
      <c r="O235" s="3">
        <v>0</v>
      </c>
      <c r="P235" s="16">
        <v>1.4906666666666666</v>
      </c>
      <c r="Q235" s="3">
        <v>1</v>
      </c>
      <c r="R235" s="3">
        <v>6.9109999999999996</v>
      </c>
      <c r="S235" s="3">
        <v>737</v>
      </c>
      <c r="T235" s="3">
        <v>106.1</v>
      </c>
      <c r="U235" s="3">
        <v>2024</v>
      </c>
      <c r="V235" s="3">
        <v>7.27</v>
      </c>
      <c r="W235" s="3">
        <v>8.16</v>
      </c>
      <c r="X235" s="3">
        <v>8.8699999999999992</v>
      </c>
      <c r="Y235" s="3">
        <v>8.9600000000000009</v>
      </c>
      <c r="Z235" s="3">
        <v>8.83</v>
      </c>
      <c r="AA235" s="3">
        <v>7.78</v>
      </c>
      <c r="AB235" s="3">
        <v>8.61</v>
      </c>
      <c r="AC235" s="3">
        <v>8.86</v>
      </c>
      <c r="AD235" s="16">
        <v>4.1008333333333331</v>
      </c>
      <c r="AE235" s="3">
        <v>2038</v>
      </c>
      <c r="AF235" s="3">
        <v>1.2290000000000001</v>
      </c>
      <c r="AG235" s="3">
        <v>248</v>
      </c>
      <c r="AH235" s="3">
        <v>86.6</v>
      </c>
      <c r="AI235" s="3">
        <v>733</v>
      </c>
      <c r="AJ235" s="3">
        <v>0.77300000000000002</v>
      </c>
      <c r="AK235" s="3">
        <v>0.5</v>
      </c>
      <c r="AL235" s="3">
        <v>1.3240000000000001</v>
      </c>
      <c r="AM235" s="3">
        <v>0.49399999999999999</v>
      </c>
      <c r="AN235" s="3">
        <v>0.58899999999999997</v>
      </c>
      <c r="AO235" s="3">
        <v>6.7489999999999997</v>
      </c>
      <c r="AP235" s="3">
        <v>8.02</v>
      </c>
      <c r="AQ235" s="3">
        <v>8.68</v>
      </c>
      <c r="AR235" s="3">
        <v>2.1999999999999999E-2</v>
      </c>
      <c r="AS235" s="3">
        <v>0.17799999999999999</v>
      </c>
      <c r="AT235" s="3">
        <v>0.13700000000000001</v>
      </c>
      <c r="AU235" s="3">
        <v>1.4E-2</v>
      </c>
      <c r="AV235" s="3">
        <v>0.115</v>
      </c>
      <c r="AW235" s="3">
        <v>0.41</v>
      </c>
      <c r="AX235" s="3">
        <v>0.107</v>
      </c>
      <c r="AY235" s="3">
        <v>1.7999999999999999E-2</v>
      </c>
      <c r="AZ235" s="3">
        <v>3.5049999999999999</v>
      </c>
      <c r="BA235" s="3"/>
      <c r="BB235" s="3">
        <v>9.64</v>
      </c>
      <c r="BC235" s="3">
        <v>2876</v>
      </c>
      <c r="BD235" s="3"/>
      <c r="BE235" s="3"/>
      <c r="BF235" s="3">
        <v>0</v>
      </c>
      <c r="BH235" s="16">
        <v>26.22</v>
      </c>
      <c r="BI235" s="16">
        <f t="shared" si="192"/>
        <v>52.964399999999998</v>
      </c>
      <c r="BJ235" s="17">
        <f t="shared" si="153"/>
        <v>5.38</v>
      </c>
      <c r="BK235" s="17">
        <f t="shared" si="154"/>
        <v>11.58</v>
      </c>
      <c r="BM235" s="1">
        <f t="shared" si="155"/>
        <v>99</v>
      </c>
      <c r="BN235" s="1">
        <f t="shared" si="156"/>
        <v>96.2</v>
      </c>
      <c r="BO235" s="1">
        <f t="shared" si="157"/>
        <v>81</v>
      </c>
      <c r="BP235" s="62">
        <f t="shared" si="159"/>
        <v>0.80600000000000005</v>
      </c>
      <c r="BQ235" s="62">
        <f t="shared" si="158"/>
        <v>0.189</v>
      </c>
      <c r="BS235" s="1">
        <v>7</v>
      </c>
      <c r="BT235" s="8"/>
      <c r="BV235" s="8"/>
      <c r="BW235" s="16">
        <f t="shared" si="160"/>
        <v>5.38</v>
      </c>
      <c r="BX235" s="16">
        <f t="shared" si="161"/>
        <v>11.58</v>
      </c>
      <c r="BY235" s="3">
        <f t="shared" si="162"/>
        <v>3.6</v>
      </c>
      <c r="BZ235" s="3">
        <f t="shared" si="163"/>
        <v>3.4</v>
      </c>
      <c r="CA235" s="3">
        <f t="shared" si="164"/>
        <v>3.4</v>
      </c>
      <c r="CB235" s="3">
        <f t="shared" si="165"/>
        <v>4.9000000000000004</v>
      </c>
      <c r="CC235" s="3">
        <f t="shared" si="166"/>
        <v>7.2</v>
      </c>
      <c r="CD235" s="3">
        <f t="shared" si="167"/>
        <v>8.3000000000000007</v>
      </c>
      <c r="CE235" s="3">
        <f t="shared" si="168"/>
        <v>8.8000000000000007</v>
      </c>
      <c r="CF235" s="23">
        <f t="shared" si="169"/>
        <v>96.2</v>
      </c>
      <c r="CG235" s="1">
        <f t="shared" si="170"/>
        <v>6.9</v>
      </c>
      <c r="CH235" s="1">
        <f t="shared" si="171"/>
        <v>7.3</v>
      </c>
      <c r="CI235" s="1">
        <f t="shared" si="172"/>
        <v>8.1999999999999993</v>
      </c>
      <c r="CJ235" s="1">
        <f t="shared" si="173"/>
        <v>8.9</v>
      </c>
      <c r="CK235" s="1">
        <f t="shared" si="174"/>
        <v>7.8</v>
      </c>
      <c r="CL235" s="1">
        <f t="shared" si="175"/>
        <v>8.6</v>
      </c>
      <c r="CM235" s="1">
        <f t="shared" si="176"/>
        <v>8.9</v>
      </c>
      <c r="CN235" s="2">
        <f t="shared" si="177"/>
        <v>99</v>
      </c>
      <c r="CO235" s="1">
        <f t="shared" si="178"/>
        <v>1.2</v>
      </c>
      <c r="CP235" s="1">
        <f t="shared" si="179"/>
        <v>0.8</v>
      </c>
      <c r="CQ235" s="1">
        <f t="shared" si="180"/>
        <v>0.5</v>
      </c>
      <c r="CR235" s="1">
        <f t="shared" si="181"/>
        <v>1.3</v>
      </c>
      <c r="CS235" s="1">
        <f t="shared" si="182"/>
        <v>6.7</v>
      </c>
      <c r="CT235" s="1">
        <f t="shared" si="183"/>
        <v>8</v>
      </c>
      <c r="CU235" s="1">
        <f t="shared" si="184"/>
        <v>8.6999999999999993</v>
      </c>
      <c r="CV235" s="2">
        <f t="shared" si="185"/>
        <v>81</v>
      </c>
      <c r="CW235" s="18">
        <f t="shared" si="186"/>
        <v>0</v>
      </c>
      <c r="CX235" s="1">
        <f>ROUND(PPTest!K235,1)</f>
        <v>1</v>
      </c>
      <c r="CY235" s="17">
        <f t="shared" si="187"/>
        <v>1.49</v>
      </c>
      <c r="CZ235" s="17">
        <f t="shared" si="188"/>
        <v>4.0999999999999996</v>
      </c>
      <c r="DA235" s="20">
        <f t="shared" si="189"/>
        <v>0.80600000000000005</v>
      </c>
      <c r="DB235" s="20">
        <f t="shared" si="190"/>
        <v>0.189</v>
      </c>
      <c r="DC235" s="16">
        <f t="shared" si="191"/>
        <v>9.64</v>
      </c>
      <c r="DF235" s="1">
        <v>6.1</v>
      </c>
      <c r="DG235" s="1">
        <v>7.3</v>
      </c>
      <c r="DH235" s="1">
        <v>5.3</v>
      </c>
      <c r="DI235" s="1">
        <v>98.7</v>
      </c>
      <c r="DJ235" s="1">
        <v>92</v>
      </c>
      <c r="DW235" s="1">
        <v>3.4</v>
      </c>
      <c r="DX235" s="1">
        <v>5.8</v>
      </c>
      <c r="DY235" s="1">
        <v>0.5</v>
      </c>
    </row>
    <row r="236" spans="1:129" x14ac:dyDescent="0.2">
      <c r="A236" s="40">
        <v>34929</v>
      </c>
      <c r="B236" s="3">
        <v>230</v>
      </c>
      <c r="C236" s="3">
        <v>9.5399999999999991</v>
      </c>
      <c r="D236" s="3">
        <v>18.23</v>
      </c>
      <c r="E236" s="3">
        <v>5.774</v>
      </c>
      <c r="F236" s="3">
        <v>95.3</v>
      </c>
      <c r="G236" s="3">
        <v>5.6760000000000002</v>
      </c>
      <c r="H236" s="3">
        <v>5.66</v>
      </c>
      <c r="I236" s="3">
        <v>6.944</v>
      </c>
      <c r="J236" s="3">
        <v>5.9359999999999999</v>
      </c>
      <c r="K236" s="3">
        <v>6.0389999999999997</v>
      </c>
      <c r="L236" s="3">
        <v>7.67</v>
      </c>
      <c r="M236" s="3">
        <v>8</v>
      </c>
      <c r="N236" s="3">
        <v>8.73</v>
      </c>
      <c r="O236" s="3">
        <v>0</v>
      </c>
      <c r="P236" s="16">
        <v>1.6658333333333333</v>
      </c>
      <c r="Q236" s="3">
        <v>0</v>
      </c>
      <c r="R236" s="3">
        <v>9.4499999999999993</v>
      </c>
      <c r="S236" s="3">
        <v>1601</v>
      </c>
      <c r="T236" s="3">
        <v>105.9</v>
      </c>
      <c r="U236" s="3">
        <v>328</v>
      </c>
      <c r="V236" s="3">
        <v>9.91</v>
      </c>
      <c r="W236" s="3">
        <v>11.39</v>
      </c>
      <c r="X236" s="3">
        <v>12.97</v>
      </c>
      <c r="Y236" s="3">
        <v>11.65</v>
      </c>
      <c r="Z236" s="3">
        <v>11.75</v>
      </c>
      <c r="AA236" s="3">
        <v>9.1</v>
      </c>
      <c r="AB236" s="3">
        <v>8.1300000000000008</v>
      </c>
      <c r="AC236" s="3">
        <v>8.84</v>
      </c>
      <c r="AD236" s="16">
        <v>4.7808333333333337</v>
      </c>
      <c r="AE236" s="3">
        <v>2008</v>
      </c>
      <c r="AF236" s="3">
        <v>3.6880000000000002</v>
      </c>
      <c r="AG236" s="3">
        <v>1</v>
      </c>
      <c r="AH236" s="3">
        <v>67.47</v>
      </c>
      <c r="AI236" s="3">
        <v>1557</v>
      </c>
      <c r="AJ236" s="3">
        <v>3.3479999999999999</v>
      </c>
      <c r="AK236" s="3">
        <v>3.21</v>
      </c>
      <c r="AL236" s="3">
        <v>3.8620000000000001</v>
      </c>
      <c r="AM236" s="3">
        <v>2.9289999999999998</v>
      </c>
      <c r="AN236" s="3">
        <v>2.9980000000000002</v>
      </c>
      <c r="AO236" s="3">
        <v>6.7110000000000003</v>
      </c>
      <c r="AP236" s="3">
        <v>7.81</v>
      </c>
      <c r="AQ236" s="3">
        <v>8.59</v>
      </c>
      <c r="AR236" s="3">
        <v>8.0000000000000002E-3</v>
      </c>
      <c r="AS236" s="3">
        <v>8.9999999999999993E-3</v>
      </c>
      <c r="AT236" s="3">
        <v>2.3E-2</v>
      </c>
      <c r="AU236" s="3">
        <v>6.5000000000000002E-2</v>
      </c>
      <c r="AV236" s="3">
        <v>0.22600000000000001</v>
      </c>
      <c r="AW236" s="3">
        <v>0.48699999999999999</v>
      </c>
      <c r="AX236" s="3">
        <v>0.156</v>
      </c>
      <c r="AY236" s="3">
        <v>2.5999999999999999E-2</v>
      </c>
      <c r="AZ236" s="3">
        <v>6.093</v>
      </c>
      <c r="BA236" s="3"/>
      <c r="BB236" s="3">
        <v>9.6999999999999993</v>
      </c>
      <c r="BC236" s="3">
        <v>2876</v>
      </c>
      <c r="BD236" s="3"/>
      <c r="BE236" s="3"/>
      <c r="BF236" s="3">
        <v>0</v>
      </c>
      <c r="BH236" s="16">
        <v>25.99</v>
      </c>
      <c r="BI236" s="16">
        <f t="shared" si="192"/>
        <v>52.4998</v>
      </c>
      <c r="BJ236" s="17">
        <f t="shared" si="153"/>
        <v>9.5399999999999991</v>
      </c>
      <c r="BK236" s="17">
        <f t="shared" si="154"/>
        <v>19.690000000000001</v>
      </c>
      <c r="BM236" s="1">
        <f t="shared" si="155"/>
        <v>98.9</v>
      </c>
      <c r="BN236" s="1">
        <f t="shared" si="156"/>
        <v>89.1</v>
      </c>
      <c r="BO236" s="1">
        <f t="shared" si="157"/>
        <v>63.3</v>
      </c>
      <c r="BP236" s="62">
        <f t="shared" si="159"/>
        <v>0.749</v>
      </c>
      <c r="BQ236" s="62">
        <f t="shared" si="158"/>
        <v>0.434</v>
      </c>
      <c r="BS236" s="1">
        <v>4.9000000000000004</v>
      </c>
      <c r="BT236" s="8"/>
      <c r="BV236" s="8"/>
      <c r="BW236" s="16">
        <f t="shared" si="160"/>
        <v>9.5399999999999991</v>
      </c>
      <c r="BX236" s="16">
        <f t="shared" si="161"/>
        <v>19.690000000000001</v>
      </c>
      <c r="BY236" s="3">
        <f t="shared" si="162"/>
        <v>5.8</v>
      </c>
      <c r="BZ236" s="3">
        <f t="shared" si="163"/>
        <v>5.7</v>
      </c>
      <c r="CA236" s="3">
        <f t="shared" si="164"/>
        <v>5.7</v>
      </c>
      <c r="CB236" s="3">
        <f t="shared" si="165"/>
        <v>6.9</v>
      </c>
      <c r="CC236" s="3">
        <f t="shared" si="166"/>
        <v>7.7</v>
      </c>
      <c r="CD236" s="3">
        <f t="shared" si="167"/>
        <v>8</v>
      </c>
      <c r="CE236" s="3">
        <f t="shared" si="168"/>
        <v>8.6999999999999993</v>
      </c>
      <c r="CF236" s="23">
        <f t="shared" si="169"/>
        <v>89.1</v>
      </c>
      <c r="CG236" s="1">
        <f t="shared" si="170"/>
        <v>9.5</v>
      </c>
      <c r="CH236" s="1">
        <f t="shared" si="171"/>
        <v>9.9</v>
      </c>
      <c r="CI236" s="1">
        <f t="shared" si="172"/>
        <v>11.4</v>
      </c>
      <c r="CJ236" s="1">
        <f t="shared" si="173"/>
        <v>13</v>
      </c>
      <c r="CK236" s="1">
        <f t="shared" si="174"/>
        <v>9.1</v>
      </c>
      <c r="CL236" s="1">
        <f t="shared" si="175"/>
        <v>8.1</v>
      </c>
      <c r="CM236" s="1">
        <f t="shared" si="176"/>
        <v>8.8000000000000007</v>
      </c>
      <c r="CN236" s="2">
        <f t="shared" si="177"/>
        <v>98.9</v>
      </c>
      <c r="CO236" s="1">
        <f t="shared" si="178"/>
        <v>3.7</v>
      </c>
      <c r="CP236" s="1">
        <f t="shared" si="179"/>
        <v>3.3</v>
      </c>
      <c r="CQ236" s="1">
        <f t="shared" si="180"/>
        <v>3.2</v>
      </c>
      <c r="CR236" s="1">
        <f t="shared" si="181"/>
        <v>3.9</v>
      </c>
      <c r="CS236" s="1">
        <f t="shared" si="182"/>
        <v>6.7</v>
      </c>
      <c r="CT236" s="1">
        <f t="shared" si="183"/>
        <v>7.8</v>
      </c>
      <c r="CU236" s="1">
        <f t="shared" si="184"/>
        <v>8.6</v>
      </c>
      <c r="CV236" s="2">
        <f t="shared" si="185"/>
        <v>63.3</v>
      </c>
      <c r="CW236" s="18">
        <f t="shared" si="186"/>
        <v>0</v>
      </c>
      <c r="CX236" s="1">
        <f>ROUND(PPTest!K236,1)</f>
        <v>0</v>
      </c>
      <c r="CY236" s="17">
        <f t="shared" si="187"/>
        <v>1.67</v>
      </c>
      <c r="CZ236" s="17">
        <f t="shared" si="188"/>
        <v>4.78</v>
      </c>
      <c r="DA236" s="20">
        <f t="shared" si="189"/>
        <v>0.749</v>
      </c>
      <c r="DB236" s="20">
        <f t="shared" si="190"/>
        <v>0.434</v>
      </c>
      <c r="DC236" s="16">
        <f t="shared" si="191"/>
        <v>9.6999999999999993</v>
      </c>
      <c r="DF236" s="1">
        <v>8.1</v>
      </c>
      <c r="DG236" s="1">
        <v>11.1</v>
      </c>
      <c r="DH236" s="1">
        <v>6.2</v>
      </c>
      <c r="DI236" s="1">
        <v>91.1</v>
      </c>
      <c r="DJ236" s="1">
        <v>77</v>
      </c>
      <c r="DW236" s="1">
        <v>5.8</v>
      </c>
      <c r="DX236" s="1">
        <v>9.1</v>
      </c>
      <c r="DY236" s="1">
        <v>1.2</v>
      </c>
    </row>
    <row r="237" spans="1:129" x14ac:dyDescent="0.2">
      <c r="A237" s="40">
        <v>34930</v>
      </c>
      <c r="B237" s="3">
        <v>231</v>
      </c>
      <c r="C237" s="41">
        <v>16.75</v>
      </c>
      <c r="D237" s="3">
        <v>31.53</v>
      </c>
      <c r="E237" s="3">
        <v>7.97</v>
      </c>
      <c r="F237" s="3">
        <v>86.9</v>
      </c>
      <c r="G237" s="3">
        <v>7.83</v>
      </c>
      <c r="H237" s="3">
        <v>7.79</v>
      </c>
      <c r="I237" s="3">
        <v>8.4700000000000006</v>
      </c>
      <c r="J237" s="3">
        <v>8.26</v>
      </c>
      <c r="K237" s="3">
        <v>8.6300000000000008</v>
      </c>
      <c r="L237" s="3">
        <v>8.7100000000000009</v>
      </c>
      <c r="M237" s="3">
        <v>8.1999999999999993</v>
      </c>
      <c r="N237" s="3">
        <v>8.6</v>
      </c>
      <c r="O237" s="3">
        <v>1E-3</v>
      </c>
      <c r="P237" s="16">
        <v>2.1541666666666668</v>
      </c>
      <c r="Q237" s="3">
        <v>1</v>
      </c>
      <c r="R237" s="3">
        <v>13.51</v>
      </c>
      <c r="S237" s="3">
        <v>1624</v>
      </c>
      <c r="T237" s="3">
        <v>102.7</v>
      </c>
      <c r="U237" s="3">
        <v>39</v>
      </c>
      <c r="V237" s="3">
        <v>14.83</v>
      </c>
      <c r="W237" s="3">
        <v>16.100000000000001</v>
      </c>
      <c r="X237" s="3">
        <v>15.13</v>
      </c>
      <c r="Y237" s="3">
        <v>17.739999999999998</v>
      </c>
      <c r="Z237" s="3">
        <v>17.29</v>
      </c>
      <c r="AA237" s="3">
        <v>11.13</v>
      </c>
      <c r="AB237" s="3">
        <v>8.52</v>
      </c>
      <c r="AC237" s="3">
        <v>8.77</v>
      </c>
      <c r="AD237" s="16">
        <v>6.0875000000000004</v>
      </c>
      <c r="AE237" s="3">
        <v>1438</v>
      </c>
      <c r="AF237" s="3">
        <v>4.3150000000000004</v>
      </c>
      <c r="AG237" s="3">
        <v>2220</v>
      </c>
      <c r="AH237" s="3">
        <v>55.38</v>
      </c>
      <c r="AI237" s="3">
        <v>1536</v>
      </c>
      <c r="AJ237" s="3">
        <v>3.6890000000000001</v>
      </c>
      <c r="AK237" s="3">
        <v>3.2480000000000002</v>
      </c>
      <c r="AL237" s="3">
        <v>3.2450000000000001</v>
      </c>
      <c r="AM237" s="3">
        <v>3.431</v>
      </c>
      <c r="AN237" s="3">
        <v>3.5779999999999998</v>
      </c>
      <c r="AO237" s="3">
        <v>7.19</v>
      </c>
      <c r="AP237" s="3">
        <v>7.99</v>
      </c>
      <c r="AQ237" s="3">
        <v>8.44</v>
      </c>
      <c r="AR237" s="3">
        <v>2.7E-2</v>
      </c>
      <c r="AS237" s="3">
        <v>0.14000000000000001</v>
      </c>
      <c r="AT237" s="3">
        <v>0.122</v>
      </c>
      <c r="AU237" s="3">
        <v>3.9E-2</v>
      </c>
      <c r="AV237" s="3">
        <v>0.13300000000000001</v>
      </c>
      <c r="AW237" s="3">
        <v>0.37</v>
      </c>
      <c r="AX237" s="3">
        <v>0.13100000000000001</v>
      </c>
      <c r="AY237" s="3">
        <v>3.6999999999999998E-2</v>
      </c>
      <c r="AZ237" s="3">
        <v>8.48</v>
      </c>
      <c r="BA237" s="3"/>
      <c r="BB237" s="3">
        <v>9.74</v>
      </c>
      <c r="BC237" s="3">
        <v>2876</v>
      </c>
      <c r="BD237" s="3"/>
      <c r="BE237" s="3"/>
      <c r="BF237" s="3">
        <v>0</v>
      </c>
      <c r="BH237" s="16">
        <v>25.77</v>
      </c>
      <c r="BI237" s="16">
        <f t="shared" si="192"/>
        <v>52.055399999999999</v>
      </c>
      <c r="BJ237" s="17">
        <f t="shared" si="153"/>
        <v>16.75</v>
      </c>
      <c r="BK237" s="17">
        <f t="shared" si="154"/>
        <v>34.049999999999997</v>
      </c>
      <c r="BM237" s="1">
        <f t="shared" si="155"/>
        <v>95.9</v>
      </c>
      <c r="BN237" s="1">
        <f t="shared" si="156"/>
        <v>81.3</v>
      </c>
      <c r="BO237" s="1">
        <f t="shared" si="157"/>
        <v>52.2</v>
      </c>
      <c r="BP237" s="62">
        <f t="shared" si="159"/>
        <v>0.80800000000000005</v>
      </c>
      <c r="BQ237" s="62">
        <f t="shared" si="158"/>
        <v>0.74</v>
      </c>
      <c r="BS237" s="1">
        <v>1.1000000000000001</v>
      </c>
      <c r="BT237" s="8"/>
      <c r="BV237" s="8"/>
      <c r="BW237" s="16">
        <f t="shared" si="160"/>
        <v>16.75</v>
      </c>
      <c r="BX237" s="16">
        <f t="shared" si="161"/>
        <v>34.049999999999997</v>
      </c>
      <c r="BY237" s="3">
        <f t="shared" si="162"/>
        <v>8</v>
      </c>
      <c r="BZ237" s="3">
        <f t="shared" si="163"/>
        <v>7.8</v>
      </c>
      <c r="CA237" s="3">
        <f t="shared" si="164"/>
        <v>7.8</v>
      </c>
      <c r="CB237" s="3">
        <f t="shared" si="165"/>
        <v>8.5</v>
      </c>
      <c r="CC237" s="3">
        <f t="shared" si="166"/>
        <v>8.6999999999999993</v>
      </c>
      <c r="CD237" s="3">
        <f t="shared" si="167"/>
        <v>8.1999999999999993</v>
      </c>
      <c r="CE237" s="3">
        <f t="shared" si="168"/>
        <v>8.6</v>
      </c>
      <c r="CF237" s="23">
        <f t="shared" si="169"/>
        <v>81.3</v>
      </c>
      <c r="CG237" s="1">
        <f t="shared" si="170"/>
        <v>13.5</v>
      </c>
      <c r="CH237" s="1">
        <f t="shared" si="171"/>
        <v>14.8</v>
      </c>
      <c r="CI237" s="1">
        <f t="shared" si="172"/>
        <v>16.100000000000001</v>
      </c>
      <c r="CJ237" s="1">
        <f t="shared" si="173"/>
        <v>15.1</v>
      </c>
      <c r="CK237" s="1">
        <f t="shared" si="174"/>
        <v>11.1</v>
      </c>
      <c r="CL237" s="1">
        <f t="shared" si="175"/>
        <v>8.5</v>
      </c>
      <c r="CM237" s="1">
        <f t="shared" si="176"/>
        <v>8.8000000000000007</v>
      </c>
      <c r="CN237" s="2">
        <f t="shared" si="177"/>
        <v>95.9</v>
      </c>
      <c r="CO237" s="1">
        <f t="shared" si="178"/>
        <v>4.3</v>
      </c>
      <c r="CP237" s="1">
        <f t="shared" si="179"/>
        <v>3.7</v>
      </c>
      <c r="CQ237" s="1">
        <f t="shared" si="180"/>
        <v>3.2</v>
      </c>
      <c r="CR237" s="1">
        <f t="shared" si="181"/>
        <v>3.2</v>
      </c>
      <c r="CS237" s="1">
        <f t="shared" si="182"/>
        <v>7.2</v>
      </c>
      <c r="CT237" s="1">
        <f t="shared" si="183"/>
        <v>8</v>
      </c>
      <c r="CU237" s="1">
        <f t="shared" si="184"/>
        <v>8.4</v>
      </c>
      <c r="CV237" s="2">
        <f t="shared" si="185"/>
        <v>52.2</v>
      </c>
      <c r="CW237" s="18">
        <f t="shared" si="186"/>
        <v>0</v>
      </c>
      <c r="CX237" s="1">
        <f>ROUND(PPTest!K237,1)</f>
        <v>1</v>
      </c>
      <c r="CY237" s="17">
        <f t="shared" si="187"/>
        <v>2.15</v>
      </c>
      <c r="CZ237" s="17">
        <f t="shared" si="188"/>
        <v>6.09</v>
      </c>
      <c r="DA237" s="20">
        <f t="shared" si="189"/>
        <v>0.80800000000000005</v>
      </c>
      <c r="DB237" s="20">
        <f t="shared" si="190"/>
        <v>0.74</v>
      </c>
      <c r="DC237" s="16">
        <f t="shared" si="191"/>
        <v>9.74</v>
      </c>
      <c r="DF237" s="1">
        <v>10.199999999999999</v>
      </c>
      <c r="DG237" s="1">
        <v>14.7</v>
      </c>
      <c r="DH237" s="1">
        <v>6.3</v>
      </c>
      <c r="DI237" s="1">
        <v>87.8</v>
      </c>
      <c r="DJ237" s="1">
        <v>69</v>
      </c>
      <c r="DW237" s="1">
        <v>7.8</v>
      </c>
      <c r="DX237" s="1">
        <v>14.1</v>
      </c>
      <c r="DY237" s="1">
        <v>1</v>
      </c>
    </row>
    <row r="238" spans="1:129" x14ac:dyDescent="0.2">
      <c r="A238" s="40">
        <v>34931</v>
      </c>
      <c r="B238" s="3">
        <v>232</v>
      </c>
      <c r="C238" s="41">
        <v>21.41</v>
      </c>
      <c r="D238" s="3">
        <v>40.36</v>
      </c>
      <c r="E238" s="3">
        <v>9.9</v>
      </c>
      <c r="F238" s="3">
        <v>79.3</v>
      </c>
      <c r="G238" s="3">
        <v>9.6</v>
      </c>
      <c r="H238" s="3">
        <v>9.5</v>
      </c>
      <c r="I238" s="3">
        <v>9.69</v>
      </c>
      <c r="J238" s="3">
        <v>10.92</v>
      </c>
      <c r="K238" s="3">
        <v>10.77</v>
      </c>
      <c r="L238" s="3">
        <v>9.27</v>
      </c>
      <c r="M238" s="3">
        <v>8.52</v>
      </c>
      <c r="N238" s="3">
        <v>8.52</v>
      </c>
      <c r="O238" s="3">
        <v>0</v>
      </c>
      <c r="P238" s="16">
        <v>1.7124999999999999</v>
      </c>
      <c r="Q238" s="3">
        <v>14</v>
      </c>
      <c r="R238" s="3">
        <v>17.37</v>
      </c>
      <c r="S238" s="3">
        <v>1601</v>
      </c>
      <c r="T238" s="3">
        <v>105.3</v>
      </c>
      <c r="U238" s="3">
        <v>520</v>
      </c>
      <c r="V238" s="3">
        <v>18.920000000000002</v>
      </c>
      <c r="W238" s="3">
        <v>20.45</v>
      </c>
      <c r="X238" s="3">
        <v>22.35</v>
      </c>
      <c r="Y238" s="3">
        <v>23.37</v>
      </c>
      <c r="Z238" s="3">
        <v>22.06</v>
      </c>
      <c r="AA238" s="3">
        <v>12.36</v>
      </c>
      <c r="AB238" s="3">
        <v>9.0500000000000007</v>
      </c>
      <c r="AC238" s="3">
        <v>8.73</v>
      </c>
      <c r="AD238" s="16">
        <v>5.5808333333333335</v>
      </c>
      <c r="AE238" s="3">
        <v>2254</v>
      </c>
      <c r="AF238" s="3">
        <v>0.46700000000000003</v>
      </c>
      <c r="AG238" s="3">
        <v>509</v>
      </c>
      <c r="AH238" s="3">
        <v>41.97</v>
      </c>
      <c r="AI238" s="3">
        <v>2335</v>
      </c>
      <c r="AJ238" s="3">
        <v>-0.14799999999999999</v>
      </c>
      <c r="AK238" s="3">
        <v>-0.46500000000000002</v>
      </c>
      <c r="AL238" s="3">
        <v>3.7999999999999999E-2</v>
      </c>
      <c r="AM238" s="3">
        <v>-0.57499999999999996</v>
      </c>
      <c r="AN238" s="3">
        <v>-0.48199999999999998</v>
      </c>
      <c r="AO238" s="3">
        <v>6.4139999999999997</v>
      </c>
      <c r="AP238" s="3">
        <v>8.18</v>
      </c>
      <c r="AQ238" s="3">
        <v>8.27</v>
      </c>
      <c r="AR238" s="3">
        <v>6.8000000000000005E-2</v>
      </c>
      <c r="AS238" s="3">
        <v>0.28999999999999998</v>
      </c>
      <c r="AT238" s="3">
        <v>0.34200000000000003</v>
      </c>
      <c r="AU238" s="3">
        <v>4.3999999999999997E-2</v>
      </c>
      <c r="AV238" s="3">
        <v>7.1999999999999995E-2</v>
      </c>
      <c r="AW238" s="3">
        <v>9.5000000000000001E-2</v>
      </c>
      <c r="AX238" s="3">
        <v>4.3999999999999997E-2</v>
      </c>
      <c r="AY238" s="3">
        <v>4.3999999999999997E-2</v>
      </c>
      <c r="AZ238" s="3">
        <v>9.83</v>
      </c>
      <c r="BA238" s="3"/>
      <c r="BB238" s="3">
        <v>9.7799999999999994</v>
      </c>
      <c r="BC238" s="3">
        <v>2876</v>
      </c>
      <c r="BD238" s="3"/>
      <c r="BE238" s="3"/>
      <c r="BF238" s="3">
        <v>0</v>
      </c>
      <c r="BH238" s="16">
        <v>25.55</v>
      </c>
      <c r="BI238" s="16">
        <f t="shared" si="192"/>
        <v>51.611000000000004</v>
      </c>
      <c r="BJ238" s="17">
        <f t="shared" si="153"/>
        <v>21.41</v>
      </c>
      <c r="BK238" s="17">
        <f t="shared" si="154"/>
        <v>43.59</v>
      </c>
      <c r="BM238" s="1">
        <f t="shared" si="155"/>
        <v>98.3</v>
      </c>
      <c r="BN238" s="1">
        <f t="shared" si="156"/>
        <v>74.3</v>
      </c>
      <c r="BO238" s="1">
        <f t="shared" si="157"/>
        <v>39.799999999999997</v>
      </c>
      <c r="BP238" s="62">
        <f t="shared" si="159"/>
        <v>0.78900000000000003</v>
      </c>
      <c r="BQ238" s="62">
        <f t="shared" si="158"/>
        <v>1.1930000000000001</v>
      </c>
      <c r="BS238" s="1">
        <v>0</v>
      </c>
      <c r="BT238" s="8"/>
      <c r="BV238" s="8"/>
      <c r="BW238" s="16">
        <f t="shared" si="160"/>
        <v>21.41</v>
      </c>
      <c r="BX238" s="16">
        <f t="shared" si="161"/>
        <v>43.59</v>
      </c>
      <c r="BY238" s="3">
        <f t="shared" si="162"/>
        <v>9.9</v>
      </c>
      <c r="BZ238" s="3">
        <f t="shared" si="163"/>
        <v>9.6</v>
      </c>
      <c r="CA238" s="3">
        <f t="shared" si="164"/>
        <v>9.5</v>
      </c>
      <c r="CB238" s="3">
        <f t="shared" si="165"/>
        <v>9.6999999999999993</v>
      </c>
      <c r="CC238" s="3">
        <f t="shared" si="166"/>
        <v>9.3000000000000007</v>
      </c>
      <c r="CD238" s="3">
        <f t="shared" si="167"/>
        <v>8.5</v>
      </c>
      <c r="CE238" s="3">
        <f t="shared" si="168"/>
        <v>8.5</v>
      </c>
      <c r="CF238" s="23">
        <f t="shared" si="169"/>
        <v>74.3</v>
      </c>
      <c r="CG238" s="1">
        <f t="shared" si="170"/>
        <v>17.399999999999999</v>
      </c>
      <c r="CH238" s="1">
        <f t="shared" si="171"/>
        <v>18.899999999999999</v>
      </c>
      <c r="CI238" s="1">
        <f t="shared" si="172"/>
        <v>20.5</v>
      </c>
      <c r="CJ238" s="1">
        <f t="shared" si="173"/>
        <v>22.4</v>
      </c>
      <c r="CK238" s="1">
        <f t="shared" si="174"/>
        <v>12.4</v>
      </c>
      <c r="CL238" s="1">
        <f t="shared" si="175"/>
        <v>9.1</v>
      </c>
      <c r="CM238" s="1">
        <f t="shared" si="176"/>
        <v>8.6999999999999993</v>
      </c>
      <c r="CN238" s="2">
        <f t="shared" si="177"/>
        <v>98.3</v>
      </c>
      <c r="CO238" s="1">
        <f t="shared" si="178"/>
        <v>0.5</v>
      </c>
      <c r="CP238" s="1">
        <f t="shared" si="179"/>
        <v>-0.1</v>
      </c>
      <c r="CQ238" s="1">
        <f t="shared" si="180"/>
        <v>-0.5</v>
      </c>
      <c r="CR238" s="1">
        <f t="shared" si="181"/>
        <v>0</v>
      </c>
      <c r="CS238" s="1">
        <f t="shared" si="182"/>
        <v>6.4</v>
      </c>
      <c r="CT238" s="1">
        <f t="shared" si="183"/>
        <v>8.1999999999999993</v>
      </c>
      <c r="CU238" s="1">
        <f t="shared" si="184"/>
        <v>8.3000000000000007</v>
      </c>
      <c r="CV238" s="2">
        <f t="shared" si="185"/>
        <v>39.799999999999997</v>
      </c>
      <c r="CW238" s="18">
        <f t="shared" si="186"/>
        <v>0</v>
      </c>
      <c r="CX238" s="1">
        <f>ROUND(PPTest!K238,1)</f>
        <v>14</v>
      </c>
      <c r="CY238" s="17">
        <f t="shared" si="187"/>
        <v>1.71</v>
      </c>
      <c r="CZ238" s="17">
        <f t="shared" si="188"/>
        <v>5.58</v>
      </c>
      <c r="DA238" s="20">
        <f t="shared" si="189"/>
        <v>0.78900000000000003</v>
      </c>
      <c r="DB238" s="20">
        <f t="shared" si="190"/>
        <v>1.1930000000000001</v>
      </c>
      <c r="DC238" s="16">
        <f t="shared" si="191"/>
        <v>9.7799999999999994</v>
      </c>
      <c r="DF238" s="1">
        <v>13.3</v>
      </c>
      <c r="DG238" s="1">
        <v>18.5</v>
      </c>
      <c r="DH238" s="1">
        <v>7.2</v>
      </c>
      <c r="DI238" s="1">
        <v>70</v>
      </c>
      <c r="DJ238" s="1">
        <v>47</v>
      </c>
      <c r="DW238" s="1">
        <v>10.8</v>
      </c>
      <c r="DX238" s="1">
        <v>19.5</v>
      </c>
      <c r="DY238" s="1">
        <v>1.6</v>
      </c>
    </row>
    <row r="239" spans="1:129" x14ac:dyDescent="0.2">
      <c r="A239" s="40">
        <v>34932</v>
      </c>
      <c r="B239" s="3">
        <v>233</v>
      </c>
      <c r="C239" s="41">
        <v>21.28</v>
      </c>
      <c r="D239" s="3">
        <v>39.1</v>
      </c>
      <c r="E239" s="3">
        <v>12.33</v>
      </c>
      <c r="F239" s="3">
        <v>64.47</v>
      </c>
      <c r="G239" s="3">
        <v>11.9</v>
      </c>
      <c r="H239" s="3">
        <v>11.67</v>
      </c>
      <c r="I239" s="3">
        <v>11.47</v>
      </c>
      <c r="J239" s="3">
        <v>12.73</v>
      </c>
      <c r="K239" s="3">
        <v>13.11</v>
      </c>
      <c r="L239" s="3">
        <v>10.33</v>
      </c>
      <c r="M239" s="3">
        <v>9.1</v>
      </c>
      <c r="N239" s="3">
        <v>8.6</v>
      </c>
      <c r="O239" s="3">
        <v>1E-3</v>
      </c>
      <c r="P239" s="16">
        <v>2.0691666666666668</v>
      </c>
      <c r="Q239" s="3">
        <v>29</v>
      </c>
      <c r="R239" s="3">
        <v>18.89</v>
      </c>
      <c r="S239" s="3">
        <v>1439</v>
      </c>
      <c r="T239" s="3">
        <v>98</v>
      </c>
      <c r="U239" s="3">
        <v>539</v>
      </c>
      <c r="V239" s="3">
        <v>20.55</v>
      </c>
      <c r="W239" s="3">
        <v>23.26</v>
      </c>
      <c r="X239" s="3">
        <v>25.32</v>
      </c>
      <c r="Y239" s="3">
        <v>23.36</v>
      </c>
      <c r="Z239" s="3">
        <v>22.39</v>
      </c>
      <c r="AA239" s="3">
        <v>12.9</v>
      </c>
      <c r="AB239" s="3">
        <v>9.5399999999999991</v>
      </c>
      <c r="AC239" s="3">
        <v>8.84</v>
      </c>
      <c r="AD239" s="16">
        <v>5.9141666666666666</v>
      </c>
      <c r="AE239" s="3">
        <v>1301</v>
      </c>
      <c r="AF239" s="3">
        <v>4.8070000000000004</v>
      </c>
      <c r="AG239" s="3">
        <v>2339</v>
      </c>
      <c r="AH239" s="3">
        <v>27.03</v>
      </c>
      <c r="AI239" s="3">
        <v>1020</v>
      </c>
      <c r="AJ239" s="3">
        <v>3.5329999999999999</v>
      </c>
      <c r="AK239" s="3">
        <v>2.573</v>
      </c>
      <c r="AL239" s="3">
        <v>1.903</v>
      </c>
      <c r="AM239" s="3">
        <v>2.782</v>
      </c>
      <c r="AN239" s="3">
        <v>3.0059999999999998</v>
      </c>
      <c r="AO239" s="3">
        <v>8.1300000000000008</v>
      </c>
      <c r="AP239" s="3">
        <v>8.82</v>
      </c>
      <c r="AQ239" s="3">
        <v>8.42</v>
      </c>
      <c r="AR239" s="3">
        <v>2.5000000000000001E-2</v>
      </c>
      <c r="AS239" s="3">
        <v>0.31900000000000001</v>
      </c>
      <c r="AT239" s="3">
        <v>0.20200000000000001</v>
      </c>
      <c r="AU239" s="3">
        <v>0.01</v>
      </c>
      <c r="AV239" s="3">
        <v>6.5000000000000002E-2</v>
      </c>
      <c r="AW239" s="3">
        <v>0.23699999999999999</v>
      </c>
      <c r="AX239" s="3">
        <v>0.10100000000000001</v>
      </c>
      <c r="AY239" s="3">
        <v>0.04</v>
      </c>
      <c r="AZ239" s="3">
        <v>12.31</v>
      </c>
      <c r="BA239" s="3"/>
      <c r="BB239" s="3">
        <v>9.74</v>
      </c>
      <c r="BC239" s="3">
        <v>2876</v>
      </c>
      <c r="BD239" s="3"/>
      <c r="BE239" s="3"/>
      <c r="BF239" s="3">
        <v>0</v>
      </c>
      <c r="BH239" s="16">
        <v>25.32</v>
      </c>
      <c r="BI239" s="16">
        <f t="shared" si="192"/>
        <v>51.1464</v>
      </c>
      <c r="BJ239" s="17">
        <f t="shared" si="153"/>
        <v>21.28</v>
      </c>
      <c r="BK239" s="17">
        <f t="shared" si="154"/>
        <v>42.23</v>
      </c>
      <c r="BM239" s="1">
        <f t="shared" si="155"/>
        <v>91.6</v>
      </c>
      <c r="BN239" s="1">
        <f t="shared" si="156"/>
        <v>60.6</v>
      </c>
      <c r="BO239" s="1">
        <f t="shared" si="157"/>
        <v>26</v>
      </c>
      <c r="BP239" s="62">
        <f t="shared" si="159"/>
        <v>0.56699999999999995</v>
      </c>
      <c r="BQ239" s="62">
        <f t="shared" si="158"/>
        <v>1.6140000000000001</v>
      </c>
      <c r="BS239" s="1">
        <v>0</v>
      </c>
      <c r="BT239" s="8"/>
      <c r="BV239" s="8"/>
      <c r="BW239" s="16">
        <f t="shared" si="160"/>
        <v>21.28</v>
      </c>
      <c r="BX239" s="16">
        <f t="shared" si="161"/>
        <v>42.23</v>
      </c>
      <c r="BY239" s="3">
        <f t="shared" si="162"/>
        <v>12.3</v>
      </c>
      <c r="BZ239" s="3">
        <f t="shared" si="163"/>
        <v>11.9</v>
      </c>
      <c r="CA239" s="3">
        <f t="shared" si="164"/>
        <v>11.7</v>
      </c>
      <c r="CB239" s="3">
        <f t="shared" si="165"/>
        <v>11.5</v>
      </c>
      <c r="CC239" s="3">
        <f t="shared" si="166"/>
        <v>10.3</v>
      </c>
      <c r="CD239" s="3">
        <f t="shared" si="167"/>
        <v>9.1</v>
      </c>
      <c r="CE239" s="3">
        <f t="shared" si="168"/>
        <v>8.6</v>
      </c>
      <c r="CF239" s="23">
        <f t="shared" si="169"/>
        <v>60.6</v>
      </c>
      <c r="CG239" s="1">
        <f t="shared" si="170"/>
        <v>18.899999999999999</v>
      </c>
      <c r="CH239" s="1">
        <f t="shared" si="171"/>
        <v>20.6</v>
      </c>
      <c r="CI239" s="1">
        <f t="shared" si="172"/>
        <v>23.3</v>
      </c>
      <c r="CJ239" s="1">
        <f t="shared" si="173"/>
        <v>25.3</v>
      </c>
      <c r="CK239" s="1">
        <f t="shared" si="174"/>
        <v>12.9</v>
      </c>
      <c r="CL239" s="1">
        <f t="shared" si="175"/>
        <v>9.5</v>
      </c>
      <c r="CM239" s="1">
        <f t="shared" si="176"/>
        <v>8.8000000000000007</v>
      </c>
      <c r="CN239" s="2">
        <f t="shared" si="177"/>
        <v>91.6</v>
      </c>
      <c r="CO239" s="1">
        <f t="shared" si="178"/>
        <v>4.8</v>
      </c>
      <c r="CP239" s="1">
        <f t="shared" si="179"/>
        <v>3.5</v>
      </c>
      <c r="CQ239" s="1">
        <f t="shared" si="180"/>
        <v>2.6</v>
      </c>
      <c r="CR239" s="1">
        <f t="shared" si="181"/>
        <v>1.9</v>
      </c>
      <c r="CS239" s="1">
        <f t="shared" si="182"/>
        <v>8.1</v>
      </c>
      <c r="CT239" s="1">
        <f t="shared" si="183"/>
        <v>8.8000000000000007</v>
      </c>
      <c r="CU239" s="1">
        <f t="shared" si="184"/>
        <v>8.4</v>
      </c>
      <c r="CV239" s="2">
        <f t="shared" si="185"/>
        <v>26</v>
      </c>
      <c r="CW239" s="18">
        <f t="shared" si="186"/>
        <v>0</v>
      </c>
      <c r="CX239" s="1">
        <f>ROUND(PPTest!K239,1)</f>
        <v>29</v>
      </c>
      <c r="CY239" s="17">
        <f t="shared" si="187"/>
        <v>2.0699999999999998</v>
      </c>
      <c r="CZ239" s="17">
        <f t="shared" si="188"/>
        <v>5.91</v>
      </c>
      <c r="DA239" s="20">
        <f t="shared" si="189"/>
        <v>0.56699999999999995</v>
      </c>
      <c r="DB239" s="20">
        <f t="shared" si="190"/>
        <v>1.6140000000000001</v>
      </c>
      <c r="DC239" s="16">
        <f t="shared" si="191"/>
        <v>9.74</v>
      </c>
      <c r="DF239" s="1">
        <v>15.8</v>
      </c>
      <c r="DG239" s="1">
        <v>19.8</v>
      </c>
      <c r="DH239" s="1">
        <v>12.1</v>
      </c>
      <c r="DI239" s="1">
        <v>55.2</v>
      </c>
      <c r="DJ239" s="1">
        <v>40</v>
      </c>
      <c r="DW239" s="1">
        <v>12.8</v>
      </c>
      <c r="DX239" s="1">
        <v>20.399999999999999</v>
      </c>
      <c r="DY239" s="1">
        <v>3.9</v>
      </c>
    </row>
    <row r="240" spans="1:129" x14ac:dyDescent="0.2">
      <c r="A240" s="40">
        <v>34933</v>
      </c>
      <c r="B240" s="3">
        <v>234</v>
      </c>
      <c r="C240" s="3">
        <v>23.63</v>
      </c>
      <c r="D240" s="3">
        <v>43.43</v>
      </c>
      <c r="E240" s="3">
        <v>9.48</v>
      </c>
      <c r="F240" s="3">
        <v>73.5</v>
      </c>
      <c r="G240" s="3">
        <v>9.1999999999999993</v>
      </c>
      <c r="H240" s="3">
        <v>9.0500000000000007</v>
      </c>
      <c r="I240" s="3">
        <v>9.84</v>
      </c>
      <c r="J240" s="3">
        <v>10.23</v>
      </c>
      <c r="K240" s="3">
        <v>10.37</v>
      </c>
      <c r="L240" s="3">
        <v>9.93</v>
      </c>
      <c r="M240" s="3">
        <v>9.2899999999999991</v>
      </c>
      <c r="N240" s="3">
        <v>8.69</v>
      </c>
      <c r="O240" s="3">
        <v>1E-3</v>
      </c>
      <c r="P240" s="16">
        <v>2.0274999999999999</v>
      </c>
      <c r="Q240" s="3">
        <v>12</v>
      </c>
      <c r="R240" s="3">
        <v>18.05</v>
      </c>
      <c r="S240" s="3">
        <v>1712</v>
      </c>
      <c r="T240" s="3">
        <v>99.7</v>
      </c>
      <c r="U240" s="3">
        <v>503</v>
      </c>
      <c r="V240" s="3">
        <v>20.07</v>
      </c>
      <c r="W240" s="3">
        <v>20.05</v>
      </c>
      <c r="X240" s="3">
        <v>22.85</v>
      </c>
      <c r="Y240" s="3">
        <v>22.13</v>
      </c>
      <c r="Z240" s="3">
        <v>21.9</v>
      </c>
      <c r="AA240" s="3">
        <v>12.87</v>
      </c>
      <c r="AB240" s="3">
        <v>9.67</v>
      </c>
      <c r="AC240" s="3">
        <v>9.01</v>
      </c>
      <c r="AD240" s="16">
        <v>5.0075000000000003</v>
      </c>
      <c r="AE240" s="3">
        <v>1359</v>
      </c>
      <c r="AF240" s="3">
        <v>2.8490000000000002</v>
      </c>
      <c r="AG240" s="3">
        <v>2353</v>
      </c>
      <c r="AH240" s="3">
        <v>24.12</v>
      </c>
      <c r="AI240" s="3">
        <v>1511</v>
      </c>
      <c r="AJ240" s="3">
        <v>1.9359999999999999</v>
      </c>
      <c r="AK240" s="3">
        <v>1.355</v>
      </c>
      <c r="AL240" s="3">
        <v>0.75700000000000001</v>
      </c>
      <c r="AM240" s="3">
        <v>1.135</v>
      </c>
      <c r="AN240" s="3">
        <v>1.319</v>
      </c>
      <c r="AO240" s="3">
        <v>7.59</v>
      </c>
      <c r="AP240" s="3">
        <v>9.0299999999999994</v>
      </c>
      <c r="AQ240" s="3">
        <v>8.49</v>
      </c>
      <c r="AR240" s="3">
        <v>1.9E-2</v>
      </c>
      <c r="AS240" s="3">
        <v>0.27400000000000002</v>
      </c>
      <c r="AT240" s="3">
        <v>0.28399999999999997</v>
      </c>
      <c r="AU240" s="3">
        <v>1E-3</v>
      </c>
      <c r="AV240" s="3">
        <v>3.2000000000000001E-2</v>
      </c>
      <c r="AW240" s="3">
        <v>0.20799999999999999</v>
      </c>
      <c r="AX240" s="3">
        <v>0.14000000000000001</v>
      </c>
      <c r="AY240" s="3">
        <v>4.2000000000000003E-2</v>
      </c>
      <c r="AZ240" s="3">
        <v>9.7200000000000006</v>
      </c>
      <c r="BA240" s="3"/>
      <c r="BB240" s="3">
        <v>9.7200000000000006</v>
      </c>
      <c r="BC240" s="3">
        <v>2876</v>
      </c>
      <c r="BD240" s="3"/>
      <c r="BE240" s="3"/>
      <c r="BF240" s="3">
        <v>0</v>
      </c>
      <c r="BH240" s="16">
        <v>25.09</v>
      </c>
      <c r="BI240" s="16">
        <f t="shared" si="192"/>
        <v>50.681800000000003</v>
      </c>
      <c r="BJ240" s="17">
        <f t="shared" si="153"/>
        <v>23.63</v>
      </c>
      <c r="BK240" s="17">
        <f t="shared" si="154"/>
        <v>46.9</v>
      </c>
      <c r="BM240" s="1">
        <f t="shared" si="155"/>
        <v>93.1</v>
      </c>
      <c r="BN240" s="1">
        <f t="shared" si="156"/>
        <v>68.900000000000006</v>
      </c>
      <c r="BO240" s="1">
        <f t="shared" si="157"/>
        <v>23.3</v>
      </c>
      <c r="BP240" s="62">
        <f t="shared" si="159"/>
        <v>0.48199999999999998</v>
      </c>
      <c r="BQ240" s="62">
        <f t="shared" si="158"/>
        <v>1.587</v>
      </c>
      <c r="BS240" s="1">
        <v>0</v>
      </c>
      <c r="BT240" s="8"/>
      <c r="BV240" s="8"/>
      <c r="BW240" s="16">
        <f t="shared" si="160"/>
        <v>23.63</v>
      </c>
      <c r="BX240" s="16">
        <f t="shared" si="161"/>
        <v>46.9</v>
      </c>
      <c r="BY240" s="3">
        <f t="shared" si="162"/>
        <v>9.5</v>
      </c>
      <c r="BZ240" s="3">
        <f t="shared" si="163"/>
        <v>9.1999999999999993</v>
      </c>
      <c r="CA240" s="3">
        <f t="shared" si="164"/>
        <v>9.1</v>
      </c>
      <c r="CB240" s="3">
        <f t="shared" si="165"/>
        <v>9.8000000000000007</v>
      </c>
      <c r="CC240" s="3">
        <f t="shared" si="166"/>
        <v>9.9</v>
      </c>
      <c r="CD240" s="3">
        <f t="shared" si="167"/>
        <v>9.3000000000000007</v>
      </c>
      <c r="CE240" s="3">
        <f t="shared" si="168"/>
        <v>8.6999999999999993</v>
      </c>
      <c r="CF240" s="23">
        <f t="shared" si="169"/>
        <v>68.900000000000006</v>
      </c>
      <c r="CG240" s="1">
        <f t="shared" si="170"/>
        <v>18.100000000000001</v>
      </c>
      <c r="CH240" s="1">
        <f t="shared" si="171"/>
        <v>20.100000000000001</v>
      </c>
      <c r="CI240" s="1">
        <f t="shared" si="172"/>
        <v>20.100000000000001</v>
      </c>
      <c r="CJ240" s="1">
        <f t="shared" si="173"/>
        <v>22.9</v>
      </c>
      <c r="CK240" s="1">
        <f t="shared" si="174"/>
        <v>12.9</v>
      </c>
      <c r="CL240" s="1">
        <f t="shared" si="175"/>
        <v>9.6999999999999993</v>
      </c>
      <c r="CM240" s="1">
        <f t="shared" si="176"/>
        <v>9</v>
      </c>
      <c r="CN240" s="2">
        <f t="shared" si="177"/>
        <v>93.1</v>
      </c>
      <c r="CO240" s="1">
        <f t="shared" si="178"/>
        <v>2.8</v>
      </c>
      <c r="CP240" s="1">
        <f t="shared" si="179"/>
        <v>1.9</v>
      </c>
      <c r="CQ240" s="1">
        <f t="shared" si="180"/>
        <v>1.4</v>
      </c>
      <c r="CR240" s="1">
        <f t="shared" si="181"/>
        <v>0.8</v>
      </c>
      <c r="CS240" s="1">
        <f t="shared" si="182"/>
        <v>7.6</v>
      </c>
      <c r="CT240" s="1">
        <f t="shared" si="183"/>
        <v>9</v>
      </c>
      <c r="CU240" s="1">
        <f t="shared" si="184"/>
        <v>8.5</v>
      </c>
      <c r="CV240" s="2">
        <f t="shared" si="185"/>
        <v>23.3</v>
      </c>
      <c r="CW240" s="18">
        <f t="shared" si="186"/>
        <v>0</v>
      </c>
      <c r="CX240" s="1">
        <f>ROUND(PPTest!K240,1)</f>
        <v>12</v>
      </c>
      <c r="CY240" s="17">
        <f t="shared" si="187"/>
        <v>2.0299999999999998</v>
      </c>
      <c r="CZ240" s="17">
        <f t="shared" si="188"/>
        <v>5.01</v>
      </c>
      <c r="DA240" s="20">
        <f t="shared" si="189"/>
        <v>0.48199999999999998</v>
      </c>
      <c r="DB240" s="20">
        <f t="shared" si="190"/>
        <v>1.587</v>
      </c>
      <c r="DC240" s="16">
        <f t="shared" si="191"/>
        <v>9.7200000000000006</v>
      </c>
      <c r="DF240" s="1">
        <v>14.6</v>
      </c>
      <c r="DG240" s="1">
        <v>20.9</v>
      </c>
      <c r="DH240" s="1">
        <v>9.6999999999999993</v>
      </c>
      <c r="DI240" s="1">
        <v>55.3</v>
      </c>
      <c r="DJ240" s="1">
        <v>35</v>
      </c>
      <c r="DW240" s="1">
        <v>11.7</v>
      </c>
      <c r="DX240" s="1">
        <v>20</v>
      </c>
      <c r="DY240" s="1">
        <v>4</v>
      </c>
    </row>
    <row r="241" spans="1:129" x14ac:dyDescent="0.2">
      <c r="A241" s="40">
        <v>34934</v>
      </c>
      <c r="B241" s="3">
        <v>235</v>
      </c>
      <c r="C241" s="3">
        <v>23.09</v>
      </c>
      <c r="D241" s="3">
        <v>42.37</v>
      </c>
      <c r="E241" s="3">
        <v>9.7899999999999991</v>
      </c>
      <c r="F241" s="3">
        <v>66.97</v>
      </c>
      <c r="G241" s="3">
        <v>9.5399999999999991</v>
      </c>
      <c r="H241" s="3">
        <v>9.6199999999999992</v>
      </c>
      <c r="I241" s="3">
        <v>10.77</v>
      </c>
      <c r="J241" s="3">
        <v>10.69</v>
      </c>
      <c r="K241" s="3">
        <v>10.58</v>
      </c>
      <c r="L241" s="3">
        <v>9.74</v>
      </c>
      <c r="M241" s="3">
        <v>9.32</v>
      </c>
      <c r="N241" s="3">
        <v>8.85</v>
      </c>
      <c r="O241" s="3">
        <v>0</v>
      </c>
      <c r="P241" s="16">
        <v>2.5625</v>
      </c>
      <c r="Q241" s="3">
        <v>2</v>
      </c>
      <c r="R241" s="3">
        <v>17.64</v>
      </c>
      <c r="S241" s="3">
        <v>958</v>
      </c>
      <c r="T241" s="3">
        <v>98.8</v>
      </c>
      <c r="U241" s="3">
        <v>412</v>
      </c>
      <c r="V241" s="3">
        <v>18.2</v>
      </c>
      <c r="W241" s="3">
        <v>20.67</v>
      </c>
      <c r="X241" s="3">
        <v>24.28</v>
      </c>
      <c r="Y241" s="3">
        <v>22.11</v>
      </c>
      <c r="Z241" s="3">
        <v>21.57</v>
      </c>
      <c r="AA241" s="3">
        <v>12.93</v>
      </c>
      <c r="AB241" s="3">
        <v>9.67</v>
      </c>
      <c r="AC241" s="3">
        <v>9.09</v>
      </c>
      <c r="AD241" s="16">
        <v>6.3674999999999997</v>
      </c>
      <c r="AE241" s="3">
        <v>1236</v>
      </c>
      <c r="AF241" s="3">
        <v>0.34499999999999997</v>
      </c>
      <c r="AG241" s="3">
        <v>423</v>
      </c>
      <c r="AH241" s="3">
        <v>29.47</v>
      </c>
      <c r="AI241" s="3">
        <v>1006</v>
      </c>
      <c r="AJ241" s="3">
        <v>-0.40899999999999997</v>
      </c>
      <c r="AK241" s="3">
        <v>-0.81799999999999995</v>
      </c>
      <c r="AL241" s="3">
        <v>-0.23499999999999999</v>
      </c>
      <c r="AM241" s="3">
        <v>-0.72799999999999998</v>
      </c>
      <c r="AN241" s="3">
        <v>-0.68200000000000005</v>
      </c>
      <c r="AO241" s="3">
        <v>6.9050000000000002</v>
      </c>
      <c r="AP241" s="3">
        <v>9.06</v>
      </c>
      <c r="AQ241" s="3">
        <v>8.56</v>
      </c>
      <c r="AR241" s="3">
        <v>4.0000000000000001E-3</v>
      </c>
      <c r="AS241" s="3">
        <v>0.16700000000000001</v>
      </c>
      <c r="AT241" s="3">
        <v>0.14699999999999999</v>
      </c>
      <c r="AU241" s="3">
        <v>1.7000000000000001E-2</v>
      </c>
      <c r="AV241" s="3">
        <v>8.8999999999999996E-2</v>
      </c>
      <c r="AW241" s="3">
        <v>0.40799999999999997</v>
      </c>
      <c r="AX241" s="3">
        <v>0.151</v>
      </c>
      <c r="AY241" s="3">
        <v>1.7000000000000001E-2</v>
      </c>
      <c r="AZ241" s="3">
        <v>9.8800000000000008</v>
      </c>
      <c r="BA241" s="3"/>
      <c r="BB241" s="3">
        <v>9.75</v>
      </c>
      <c r="BC241" s="3">
        <v>2876</v>
      </c>
      <c r="BD241" s="3"/>
      <c r="BE241" s="3"/>
      <c r="BF241" s="3">
        <v>0</v>
      </c>
      <c r="BH241" s="16">
        <v>24.86</v>
      </c>
      <c r="BI241" s="16">
        <f t="shared" si="192"/>
        <v>50.217199999999998</v>
      </c>
      <c r="BJ241" s="17">
        <f t="shared" si="153"/>
        <v>23.09</v>
      </c>
      <c r="BK241" s="17">
        <f t="shared" si="154"/>
        <v>45.76</v>
      </c>
      <c r="BM241" s="1">
        <f t="shared" si="155"/>
        <v>92.3</v>
      </c>
      <c r="BN241" s="1">
        <f t="shared" si="156"/>
        <v>62.9</v>
      </c>
      <c r="BO241" s="1">
        <f t="shared" si="157"/>
        <v>28.2</v>
      </c>
      <c r="BP241" s="62">
        <f t="shared" si="159"/>
        <v>0.56899999999999995</v>
      </c>
      <c r="BQ241" s="62">
        <f t="shared" si="158"/>
        <v>1.4490000000000001</v>
      </c>
      <c r="BS241" s="1">
        <v>0</v>
      </c>
      <c r="BT241" s="8"/>
      <c r="BV241" s="8"/>
      <c r="BW241" s="16">
        <f t="shared" si="160"/>
        <v>23.09</v>
      </c>
      <c r="BX241" s="16">
        <f t="shared" si="161"/>
        <v>45.76</v>
      </c>
      <c r="BY241" s="3">
        <f t="shared" si="162"/>
        <v>9.8000000000000007</v>
      </c>
      <c r="BZ241" s="3">
        <f t="shared" si="163"/>
        <v>9.5</v>
      </c>
      <c r="CA241" s="3">
        <f t="shared" si="164"/>
        <v>9.6</v>
      </c>
      <c r="CB241" s="3">
        <f t="shared" si="165"/>
        <v>10.8</v>
      </c>
      <c r="CC241" s="3">
        <f t="shared" si="166"/>
        <v>9.6999999999999993</v>
      </c>
      <c r="CD241" s="3">
        <f t="shared" si="167"/>
        <v>9.3000000000000007</v>
      </c>
      <c r="CE241" s="3">
        <f t="shared" si="168"/>
        <v>8.9</v>
      </c>
      <c r="CF241" s="23">
        <f t="shared" si="169"/>
        <v>62.9</v>
      </c>
      <c r="CG241" s="1">
        <f t="shared" si="170"/>
        <v>17.600000000000001</v>
      </c>
      <c r="CH241" s="1">
        <f t="shared" si="171"/>
        <v>18.2</v>
      </c>
      <c r="CI241" s="1">
        <f t="shared" si="172"/>
        <v>20.7</v>
      </c>
      <c r="CJ241" s="1">
        <f t="shared" si="173"/>
        <v>24.3</v>
      </c>
      <c r="CK241" s="1">
        <f t="shared" si="174"/>
        <v>12.9</v>
      </c>
      <c r="CL241" s="1">
        <f t="shared" si="175"/>
        <v>9.6999999999999993</v>
      </c>
      <c r="CM241" s="1">
        <f t="shared" si="176"/>
        <v>9.1</v>
      </c>
      <c r="CN241" s="2">
        <f t="shared" si="177"/>
        <v>92.3</v>
      </c>
      <c r="CO241" s="1">
        <f t="shared" si="178"/>
        <v>0.3</v>
      </c>
      <c r="CP241" s="1">
        <f t="shared" si="179"/>
        <v>-0.4</v>
      </c>
      <c r="CQ241" s="1">
        <f t="shared" si="180"/>
        <v>-0.8</v>
      </c>
      <c r="CR241" s="1">
        <f t="shared" si="181"/>
        <v>-0.2</v>
      </c>
      <c r="CS241" s="1">
        <f t="shared" si="182"/>
        <v>6.9</v>
      </c>
      <c r="CT241" s="1">
        <f t="shared" si="183"/>
        <v>9.1</v>
      </c>
      <c r="CU241" s="1">
        <f t="shared" si="184"/>
        <v>8.6</v>
      </c>
      <c r="CV241" s="2">
        <f t="shared" si="185"/>
        <v>28.2</v>
      </c>
      <c r="CW241" s="18">
        <f t="shared" si="186"/>
        <v>0</v>
      </c>
      <c r="CX241" s="1">
        <f>ROUND(PPTest!K241,1)</f>
        <v>2</v>
      </c>
      <c r="CY241" s="17">
        <f t="shared" si="187"/>
        <v>2.56</v>
      </c>
      <c r="CZ241" s="17">
        <f t="shared" si="188"/>
        <v>6.37</v>
      </c>
      <c r="DA241" s="20">
        <f t="shared" si="189"/>
        <v>0.56899999999999995</v>
      </c>
      <c r="DB241" s="20">
        <f t="shared" si="190"/>
        <v>1.4490000000000001</v>
      </c>
      <c r="DC241" s="16">
        <f t="shared" si="191"/>
        <v>9.75</v>
      </c>
      <c r="DF241" s="1">
        <v>12.8</v>
      </c>
      <c r="DG241" s="1">
        <v>18.2</v>
      </c>
      <c r="DH241" s="1">
        <v>9.1</v>
      </c>
      <c r="DI241" s="1">
        <v>59.4</v>
      </c>
      <c r="DJ241" s="1">
        <v>44</v>
      </c>
      <c r="DW241" s="1">
        <v>10</v>
      </c>
      <c r="DX241" s="1">
        <v>17.8</v>
      </c>
      <c r="DY241" s="1">
        <v>2.1</v>
      </c>
    </row>
    <row r="242" spans="1:129" x14ac:dyDescent="0.2">
      <c r="A242" s="40">
        <v>34935</v>
      </c>
      <c r="B242" s="3">
        <v>236</v>
      </c>
      <c r="C242" s="3">
        <v>16.03</v>
      </c>
      <c r="D242" s="3">
        <v>29.72</v>
      </c>
      <c r="E242" s="3">
        <v>6.1130000000000004</v>
      </c>
      <c r="F242" s="3">
        <v>82.4</v>
      </c>
      <c r="G242" s="3">
        <v>5.8730000000000002</v>
      </c>
      <c r="H242" s="3">
        <v>5.7779999999999996</v>
      </c>
      <c r="I242" s="3">
        <v>7.15</v>
      </c>
      <c r="J242" s="3">
        <v>6.6059999999999999</v>
      </c>
      <c r="K242" s="3">
        <v>6.8849999999999998</v>
      </c>
      <c r="L242" s="3">
        <v>9.3800000000000008</v>
      </c>
      <c r="M242" s="3">
        <v>9.3800000000000008</v>
      </c>
      <c r="N242" s="3">
        <v>8.9499999999999993</v>
      </c>
      <c r="O242" s="3">
        <v>1E-3</v>
      </c>
      <c r="P242" s="16">
        <v>1.9808333333333337</v>
      </c>
      <c r="Q242" s="3">
        <v>0</v>
      </c>
      <c r="R242" s="3">
        <v>11.56</v>
      </c>
      <c r="S242" s="3">
        <v>1358</v>
      </c>
      <c r="T242" s="3">
        <v>101.9</v>
      </c>
      <c r="U242" s="3">
        <v>2330</v>
      </c>
      <c r="V242" s="3">
        <v>12.83</v>
      </c>
      <c r="W242" s="3">
        <v>15.81</v>
      </c>
      <c r="X242" s="3">
        <v>20.059999999999999</v>
      </c>
      <c r="Y242" s="3">
        <v>16.559999999999999</v>
      </c>
      <c r="Z242" s="3">
        <v>15.98</v>
      </c>
      <c r="AA242" s="3">
        <v>11.56</v>
      </c>
      <c r="AB242" s="3">
        <v>9.66</v>
      </c>
      <c r="AC242" s="3">
        <v>9.19</v>
      </c>
      <c r="AD242" s="16">
        <v>4.2341666666666669</v>
      </c>
      <c r="AE242" s="3">
        <v>1336</v>
      </c>
      <c r="AF242" s="3">
        <v>-1.002</v>
      </c>
      <c r="AG242" s="3">
        <v>0</v>
      </c>
      <c r="AH242" s="3">
        <v>44.42</v>
      </c>
      <c r="AI242" s="3">
        <v>1402</v>
      </c>
      <c r="AJ242" s="3">
        <v>-1.7170000000000001</v>
      </c>
      <c r="AK242" s="3">
        <v>-2.202</v>
      </c>
      <c r="AL242" s="3">
        <v>-1.8320000000000001</v>
      </c>
      <c r="AM242" s="3">
        <v>-1.0229999999999999</v>
      </c>
      <c r="AN242" s="3">
        <v>-1.365</v>
      </c>
      <c r="AO242" s="3">
        <v>7.39</v>
      </c>
      <c r="AP242" s="3">
        <v>9.1999999999999993</v>
      </c>
      <c r="AQ242" s="3">
        <v>8.7899999999999991</v>
      </c>
      <c r="AR242" s="3">
        <v>2.8000000000000001E-2</v>
      </c>
      <c r="AS242" s="3">
        <v>0.16</v>
      </c>
      <c r="AT242" s="3">
        <v>9.6000000000000002E-2</v>
      </c>
      <c r="AU242" s="3">
        <v>1.4E-2</v>
      </c>
      <c r="AV242" s="3">
        <v>0.125</v>
      </c>
      <c r="AW242" s="3">
        <v>0.45100000000000001</v>
      </c>
      <c r="AX242" s="3">
        <v>9.7000000000000003E-2</v>
      </c>
      <c r="AY242" s="3">
        <v>2.8000000000000001E-2</v>
      </c>
      <c r="AZ242" s="3">
        <v>6.72</v>
      </c>
      <c r="BA242" s="3"/>
      <c r="BB242" s="3">
        <v>12.43</v>
      </c>
      <c r="BC242" s="3">
        <v>2876</v>
      </c>
      <c r="BD242" s="3"/>
      <c r="BE242" s="3"/>
      <c r="BF242" s="3">
        <v>0</v>
      </c>
      <c r="BH242" s="16">
        <v>24.62</v>
      </c>
      <c r="BI242" s="16">
        <f t="shared" si="192"/>
        <v>49.732400000000005</v>
      </c>
      <c r="BJ242" s="17">
        <f t="shared" si="153"/>
        <v>16.03</v>
      </c>
      <c r="BK242" s="17">
        <f t="shared" si="154"/>
        <v>32.1</v>
      </c>
      <c r="BM242" s="1">
        <f t="shared" si="155"/>
        <v>95.2</v>
      </c>
      <c r="BN242" s="1">
        <f t="shared" si="156"/>
        <v>77.099999999999994</v>
      </c>
      <c r="BO242" s="1">
        <f t="shared" si="157"/>
        <v>42</v>
      </c>
      <c r="BP242" s="62">
        <f t="shared" si="159"/>
        <v>0.57199999999999995</v>
      </c>
      <c r="BQ242" s="62">
        <f t="shared" si="158"/>
        <v>0.79</v>
      </c>
      <c r="BS242" s="1">
        <v>0</v>
      </c>
      <c r="BT242" s="8"/>
      <c r="BV242" s="8"/>
      <c r="BW242" s="16">
        <f t="shared" si="160"/>
        <v>16.03</v>
      </c>
      <c r="BX242" s="16">
        <f t="shared" si="161"/>
        <v>32.1</v>
      </c>
      <c r="BY242" s="3">
        <f t="shared" si="162"/>
        <v>6.1</v>
      </c>
      <c r="BZ242" s="3">
        <f t="shared" si="163"/>
        <v>5.9</v>
      </c>
      <c r="CA242" s="3">
        <f t="shared" si="164"/>
        <v>5.8</v>
      </c>
      <c r="CB242" s="3">
        <f t="shared" si="165"/>
        <v>7.2</v>
      </c>
      <c r="CC242" s="3">
        <f t="shared" si="166"/>
        <v>9.4</v>
      </c>
      <c r="CD242" s="3">
        <f t="shared" si="167"/>
        <v>9.4</v>
      </c>
      <c r="CE242" s="3">
        <f t="shared" si="168"/>
        <v>9</v>
      </c>
      <c r="CF242" s="23">
        <f t="shared" si="169"/>
        <v>77.099999999999994</v>
      </c>
      <c r="CG242" s="1">
        <f t="shared" si="170"/>
        <v>11.6</v>
      </c>
      <c r="CH242" s="1">
        <f t="shared" si="171"/>
        <v>12.8</v>
      </c>
      <c r="CI242" s="1">
        <f t="shared" si="172"/>
        <v>15.8</v>
      </c>
      <c r="CJ242" s="1">
        <f t="shared" si="173"/>
        <v>20.100000000000001</v>
      </c>
      <c r="CK242" s="1">
        <f t="shared" si="174"/>
        <v>11.6</v>
      </c>
      <c r="CL242" s="1">
        <f t="shared" si="175"/>
        <v>9.6999999999999993</v>
      </c>
      <c r="CM242" s="1">
        <f t="shared" si="176"/>
        <v>9.1999999999999993</v>
      </c>
      <c r="CN242" s="2">
        <f t="shared" si="177"/>
        <v>95.2</v>
      </c>
      <c r="CO242" s="1">
        <f t="shared" si="178"/>
        <v>-1</v>
      </c>
      <c r="CP242" s="1">
        <f t="shared" si="179"/>
        <v>-1.7</v>
      </c>
      <c r="CQ242" s="1">
        <f t="shared" si="180"/>
        <v>-2.2000000000000002</v>
      </c>
      <c r="CR242" s="1">
        <f t="shared" si="181"/>
        <v>-1.8</v>
      </c>
      <c r="CS242" s="1">
        <f t="shared" si="182"/>
        <v>7.4</v>
      </c>
      <c r="CT242" s="1">
        <f t="shared" si="183"/>
        <v>9.1999999999999993</v>
      </c>
      <c r="CU242" s="1">
        <f t="shared" si="184"/>
        <v>8.8000000000000007</v>
      </c>
      <c r="CV242" s="2">
        <f t="shared" si="185"/>
        <v>42</v>
      </c>
      <c r="CW242" s="18">
        <f t="shared" si="186"/>
        <v>0</v>
      </c>
      <c r="CX242" s="1">
        <f>ROUND(PPTest!K242,1)</f>
        <v>0</v>
      </c>
      <c r="CY242" s="17">
        <f t="shared" si="187"/>
        <v>1.98</v>
      </c>
      <c r="CZ242" s="17">
        <f t="shared" si="188"/>
        <v>4.2300000000000004</v>
      </c>
      <c r="DA242" s="20">
        <f t="shared" si="189"/>
        <v>0.57199999999999995</v>
      </c>
      <c r="DB242" s="20">
        <f t="shared" si="190"/>
        <v>0.79</v>
      </c>
      <c r="DC242" s="16">
        <f t="shared" si="191"/>
        <v>12.43</v>
      </c>
      <c r="DF242" s="1">
        <v>9.1</v>
      </c>
      <c r="DG242" s="1">
        <v>13.4</v>
      </c>
      <c r="DH242" s="1">
        <v>6.4</v>
      </c>
      <c r="DI242" s="1">
        <v>81.3</v>
      </c>
      <c r="DJ242" s="1">
        <v>66</v>
      </c>
      <c r="DW242" s="1">
        <v>5.9</v>
      </c>
      <c r="DX242" s="1">
        <v>12.9</v>
      </c>
      <c r="DY242" s="1">
        <v>-1.4</v>
      </c>
    </row>
    <row r="243" spans="1:129" x14ac:dyDescent="0.2">
      <c r="A243" s="40">
        <v>34936</v>
      </c>
      <c r="B243" s="3">
        <v>237</v>
      </c>
      <c r="C243" s="3">
        <v>23.1</v>
      </c>
      <c r="D243" s="3">
        <v>42.26</v>
      </c>
      <c r="E243" s="3">
        <v>6.8460000000000001</v>
      </c>
      <c r="F243" s="3">
        <v>72.900000000000006</v>
      </c>
      <c r="G243" s="3">
        <v>6.6660000000000004</v>
      </c>
      <c r="H243" s="3">
        <v>6.4829999999999997</v>
      </c>
      <c r="I243" s="3">
        <v>7.49</v>
      </c>
      <c r="J243" s="3">
        <v>7.96</v>
      </c>
      <c r="K243" s="3">
        <v>7.65</v>
      </c>
      <c r="L243" s="3">
        <v>8.4700000000000006</v>
      </c>
      <c r="M243" s="3">
        <v>8.8699999999999992</v>
      </c>
      <c r="N243" s="3">
        <v>8.94</v>
      </c>
      <c r="O243" s="3">
        <v>0</v>
      </c>
      <c r="P243" s="16">
        <v>1.9291666666666669</v>
      </c>
      <c r="Q243" s="3">
        <v>0</v>
      </c>
      <c r="R243" s="3">
        <v>15.19</v>
      </c>
      <c r="S243" s="3">
        <v>1458</v>
      </c>
      <c r="T243" s="3">
        <v>103.8</v>
      </c>
      <c r="U243" s="3">
        <v>505</v>
      </c>
      <c r="V243" s="3">
        <v>16.079999999999998</v>
      </c>
      <c r="W243" s="3">
        <v>17.809999999999999</v>
      </c>
      <c r="X243" s="3">
        <v>20.69</v>
      </c>
      <c r="Y243" s="3">
        <v>21.23</v>
      </c>
      <c r="Z243" s="3">
        <v>20.04</v>
      </c>
      <c r="AA243" s="3">
        <v>11.73</v>
      </c>
      <c r="AB243" s="3">
        <v>9.1999999999999993</v>
      </c>
      <c r="AC243" s="3">
        <v>9.2200000000000006</v>
      </c>
      <c r="AD243" s="16">
        <v>4.2474999999999996</v>
      </c>
      <c r="AE243" s="3">
        <v>1126</v>
      </c>
      <c r="AF243" s="3">
        <v>-2.419</v>
      </c>
      <c r="AG243" s="3">
        <v>459</v>
      </c>
      <c r="AH243" s="3">
        <v>35.68</v>
      </c>
      <c r="AI243" s="3">
        <v>1526</v>
      </c>
      <c r="AJ243" s="3">
        <v>-3.125</v>
      </c>
      <c r="AK243" s="3">
        <v>-3.5070000000000001</v>
      </c>
      <c r="AL243" s="3">
        <v>-3.3119999999999998</v>
      </c>
      <c r="AM243" s="3">
        <v>-3.2690000000000001</v>
      </c>
      <c r="AN243" s="3">
        <v>-3.073</v>
      </c>
      <c r="AO243" s="3">
        <v>5.5609999999999999</v>
      </c>
      <c r="AP243" s="3">
        <v>8.57</v>
      </c>
      <c r="AQ243" s="3">
        <v>8.68</v>
      </c>
      <c r="AR243" s="3">
        <v>0.11600000000000001</v>
      </c>
      <c r="AS243" s="3">
        <v>0.39200000000000002</v>
      </c>
      <c r="AT243" s="3">
        <v>0.24299999999999999</v>
      </c>
      <c r="AU243" s="3">
        <v>1.4999999999999999E-2</v>
      </c>
      <c r="AV243" s="3">
        <v>1.9E-2</v>
      </c>
      <c r="AW243" s="3">
        <v>3.4000000000000002E-2</v>
      </c>
      <c r="AX243" s="3">
        <v>5.6000000000000001E-2</v>
      </c>
      <c r="AY243" s="3">
        <v>0.125</v>
      </c>
      <c r="AZ243" s="3">
        <v>6.9790000000000001</v>
      </c>
      <c r="BA243" s="3"/>
      <c r="BB243" s="3">
        <v>12.42</v>
      </c>
      <c r="BC243" s="3">
        <v>2876</v>
      </c>
      <c r="BD243" s="3"/>
      <c r="BE243" s="3"/>
      <c r="BF243" s="3">
        <v>0</v>
      </c>
      <c r="BH243" s="16">
        <v>24.39</v>
      </c>
      <c r="BI243" s="16">
        <f t="shared" si="192"/>
        <v>49.267800000000001</v>
      </c>
      <c r="BJ243" s="17">
        <f t="shared" si="153"/>
        <v>23.1</v>
      </c>
      <c r="BK243" s="17">
        <f t="shared" si="154"/>
        <v>45.64</v>
      </c>
      <c r="BM243" s="1">
        <f t="shared" si="155"/>
        <v>96.9</v>
      </c>
      <c r="BN243" s="1">
        <f t="shared" si="156"/>
        <v>68.400000000000006</v>
      </c>
      <c r="BO243" s="1">
        <f t="shared" si="157"/>
        <v>34</v>
      </c>
      <c r="BP243" s="62">
        <f t="shared" si="159"/>
        <v>0.58699999999999997</v>
      </c>
      <c r="BQ243" s="62">
        <f t="shared" si="158"/>
        <v>1.139</v>
      </c>
      <c r="BS243" s="1">
        <v>0</v>
      </c>
      <c r="BT243" s="8"/>
      <c r="BV243" s="8"/>
      <c r="BW243" s="16">
        <f t="shared" si="160"/>
        <v>23.1</v>
      </c>
      <c r="BX243" s="16">
        <f t="shared" si="161"/>
        <v>45.64</v>
      </c>
      <c r="BY243" s="3">
        <f t="shared" si="162"/>
        <v>6.8</v>
      </c>
      <c r="BZ243" s="3">
        <f t="shared" si="163"/>
        <v>6.7</v>
      </c>
      <c r="CA243" s="3">
        <f t="shared" si="164"/>
        <v>6.5</v>
      </c>
      <c r="CB243" s="3">
        <f t="shared" si="165"/>
        <v>7.5</v>
      </c>
      <c r="CC243" s="3">
        <f t="shared" si="166"/>
        <v>8.5</v>
      </c>
      <c r="CD243" s="3">
        <f t="shared" si="167"/>
        <v>8.9</v>
      </c>
      <c r="CE243" s="3">
        <f t="shared" si="168"/>
        <v>8.9</v>
      </c>
      <c r="CF243" s="23">
        <f t="shared" si="169"/>
        <v>68.400000000000006</v>
      </c>
      <c r="CG243" s="1">
        <f t="shared" si="170"/>
        <v>15.2</v>
      </c>
      <c r="CH243" s="1">
        <f t="shared" si="171"/>
        <v>16.100000000000001</v>
      </c>
      <c r="CI243" s="1">
        <f t="shared" si="172"/>
        <v>17.8</v>
      </c>
      <c r="CJ243" s="1">
        <f t="shared" si="173"/>
        <v>20.7</v>
      </c>
      <c r="CK243" s="1">
        <f t="shared" si="174"/>
        <v>11.7</v>
      </c>
      <c r="CL243" s="1">
        <f t="shared" si="175"/>
        <v>9.1999999999999993</v>
      </c>
      <c r="CM243" s="1">
        <f t="shared" si="176"/>
        <v>9.1999999999999993</v>
      </c>
      <c r="CN243" s="2">
        <f t="shared" si="177"/>
        <v>96.9</v>
      </c>
      <c r="CO243" s="1">
        <f t="shared" si="178"/>
        <v>-2.4</v>
      </c>
      <c r="CP243" s="1">
        <f t="shared" si="179"/>
        <v>-3.1</v>
      </c>
      <c r="CQ243" s="1">
        <f t="shared" si="180"/>
        <v>-3.5</v>
      </c>
      <c r="CR243" s="1">
        <f t="shared" si="181"/>
        <v>-3.3</v>
      </c>
      <c r="CS243" s="1">
        <f t="shared" si="182"/>
        <v>5.6</v>
      </c>
      <c r="CT243" s="1">
        <f t="shared" si="183"/>
        <v>8.6</v>
      </c>
      <c r="CU243" s="1">
        <f t="shared" si="184"/>
        <v>8.6999999999999993</v>
      </c>
      <c r="CV243" s="2">
        <f t="shared" si="185"/>
        <v>34</v>
      </c>
      <c r="CW243" s="18">
        <f t="shared" si="186"/>
        <v>0</v>
      </c>
      <c r="CX243" s="1">
        <f>ROUND(PPTest!K243,1)</f>
        <v>0</v>
      </c>
      <c r="CY243" s="17">
        <f t="shared" si="187"/>
        <v>1.93</v>
      </c>
      <c r="CZ243" s="17">
        <f t="shared" si="188"/>
        <v>4.25</v>
      </c>
      <c r="DA243" s="20">
        <f t="shared" si="189"/>
        <v>0.58699999999999997</v>
      </c>
      <c r="DB243" s="20">
        <f t="shared" si="190"/>
        <v>1.139</v>
      </c>
      <c r="DC243" s="16">
        <f t="shared" si="191"/>
        <v>12.42</v>
      </c>
      <c r="DF243" s="1">
        <v>11.3</v>
      </c>
      <c r="DG243" s="1">
        <v>16.899999999999999</v>
      </c>
      <c r="DH243" s="1">
        <v>4.5</v>
      </c>
      <c r="DI243" s="1">
        <v>63</v>
      </c>
      <c r="DJ243" s="1">
        <v>42</v>
      </c>
      <c r="DW243" s="1">
        <v>8.1</v>
      </c>
      <c r="DX243" s="1">
        <v>15.8</v>
      </c>
      <c r="DY243" s="1">
        <v>-0.2</v>
      </c>
    </row>
    <row r="244" spans="1:129" x14ac:dyDescent="0.2">
      <c r="A244" s="40">
        <v>34937</v>
      </c>
      <c r="B244" s="3">
        <v>238</v>
      </c>
      <c r="C244" s="3">
        <v>18.63</v>
      </c>
      <c r="D244" s="3">
        <v>34.630000000000003</v>
      </c>
      <c r="E244" s="3">
        <v>7.52</v>
      </c>
      <c r="F244" s="3">
        <v>76.3</v>
      </c>
      <c r="G244" s="3">
        <v>7.29</v>
      </c>
      <c r="H244" s="3">
        <v>7.1</v>
      </c>
      <c r="I244" s="3">
        <v>7.97</v>
      </c>
      <c r="J244" s="3">
        <v>8.18</v>
      </c>
      <c r="K244" s="3">
        <v>8.5</v>
      </c>
      <c r="L244" s="3">
        <v>8.86</v>
      </c>
      <c r="M244" s="3">
        <v>8.93</v>
      </c>
      <c r="N244" s="3">
        <v>8.93</v>
      </c>
      <c r="O244" s="3">
        <v>1E-3</v>
      </c>
      <c r="P244" s="16">
        <v>2.0408333333333335</v>
      </c>
      <c r="Q244" s="3">
        <v>0</v>
      </c>
      <c r="R244" s="3">
        <v>13.2</v>
      </c>
      <c r="S244" s="3">
        <v>1624</v>
      </c>
      <c r="T244" s="3">
        <v>100.3</v>
      </c>
      <c r="U244" s="3">
        <v>2310</v>
      </c>
      <c r="V244" s="3">
        <v>13.93</v>
      </c>
      <c r="W244" s="3">
        <v>15.84</v>
      </c>
      <c r="X244" s="3">
        <v>23.68</v>
      </c>
      <c r="Y244" s="3">
        <v>18.28</v>
      </c>
      <c r="Z244" s="3">
        <v>18.16</v>
      </c>
      <c r="AA244" s="3">
        <v>11.19</v>
      </c>
      <c r="AB244" s="3">
        <v>9.14</v>
      </c>
      <c r="AC244" s="3">
        <v>9.14</v>
      </c>
      <c r="AD244" s="16">
        <v>5.0608333333333331</v>
      </c>
      <c r="AE244" s="3">
        <v>1507</v>
      </c>
      <c r="AF244" s="3">
        <v>0.84299999999999997</v>
      </c>
      <c r="AG244" s="3">
        <v>0</v>
      </c>
      <c r="AH244" s="3">
        <v>45.7</v>
      </c>
      <c r="AI244" s="3">
        <v>1655</v>
      </c>
      <c r="AJ244" s="3">
        <v>5.0000000000000001E-3</v>
      </c>
      <c r="AK244" s="3">
        <v>-0.59599999999999997</v>
      </c>
      <c r="AL244" s="3">
        <v>-0.49399999999999999</v>
      </c>
      <c r="AM244" s="3">
        <v>-0.50900000000000001</v>
      </c>
      <c r="AN244" s="3">
        <v>-0.27800000000000002</v>
      </c>
      <c r="AO244" s="3">
        <v>7.01</v>
      </c>
      <c r="AP244" s="3">
        <v>8.73</v>
      </c>
      <c r="AQ244" s="3">
        <v>8.7200000000000006</v>
      </c>
      <c r="AR244" s="3">
        <v>0.01</v>
      </c>
      <c r="AS244" s="3">
        <v>0.28000000000000003</v>
      </c>
      <c r="AT244" s="3">
        <v>0.26</v>
      </c>
      <c r="AU244" s="3">
        <v>0.01</v>
      </c>
      <c r="AV244" s="3">
        <v>0.08</v>
      </c>
      <c r="AW244" s="3">
        <v>0.23799999999999999</v>
      </c>
      <c r="AX244" s="3">
        <v>0.10100000000000001</v>
      </c>
      <c r="AY244" s="3">
        <v>2.1999999999999999E-2</v>
      </c>
      <c r="AZ244" s="3">
        <v>7.81</v>
      </c>
      <c r="BA244" s="3"/>
      <c r="BB244" s="3">
        <v>12.4</v>
      </c>
      <c r="BC244" s="3">
        <v>2876</v>
      </c>
      <c r="BD244" s="3"/>
      <c r="BE244" s="3"/>
      <c r="BF244" s="3">
        <v>0</v>
      </c>
      <c r="BH244" s="16">
        <v>24.16</v>
      </c>
      <c r="BI244" s="16">
        <f t="shared" si="192"/>
        <v>48.803200000000004</v>
      </c>
      <c r="BJ244" s="17">
        <f t="shared" si="153"/>
        <v>18.63</v>
      </c>
      <c r="BK244" s="17">
        <f t="shared" si="154"/>
        <v>37.4</v>
      </c>
      <c r="BM244" s="1">
        <f t="shared" si="155"/>
        <v>93.7</v>
      </c>
      <c r="BN244" s="1">
        <f t="shared" si="156"/>
        <v>71.5</v>
      </c>
      <c r="BO244" s="1">
        <f t="shared" si="157"/>
        <v>43.2</v>
      </c>
      <c r="BP244" s="62">
        <f t="shared" si="159"/>
        <v>0.65500000000000003</v>
      </c>
      <c r="BQ244" s="62">
        <f t="shared" si="158"/>
        <v>0.86099999999999999</v>
      </c>
      <c r="BS244" s="1">
        <v>0.3</v>
      </c>
      <c r="BT244" s="8"/>
      <c r="BV244" s="8"/>
      <c r="BW244" s="16">
        <f t="shared" si="160"/>
        <v>18.63</v>
      </c>
      <c r="BX244" s="16">
        <f t="shared" si="161"/>
        <v>37.4</v>
      </c>
      <c r="BY244" s="3">
        <f t="shared" si="162"/>
        <v>7.5</v>
      </c>
      <c r="BZ244" s="3">
        <f t="shared" si="163"/>
        <v>7.3</v>
      </c>
      <c r="CA244" s="3">
        <f t="shared" si="164"/>
        <v>7.1</v>
      </c>
      <c r="CB244" s="3">
        <f t="shared" si="165"/>
        <v>8</v>
      </c>
      <c r="CC244" s="3">
        <f t="shared" si="166"/>
        <v>8.9</v>
      </c>
      <c r="CD244" s="3">
        <f t="shared" si="167"/>
        <v>8.9</v>
      </c>
      <c r="CE244" s="3">
        <f t="shared" si="168"/>
        <v>8.9</v>
      </c>
      <c r="CF244" s="23">
        <f t="shared" si="169"/>
        <v>71.5</v>
      </c>
      <c r="CG244" s="1">
        <f t="shared" si="170"/>
        <v>13.2</v>
      </c>
      <c r="CH244" s="1">
        <f t="shared" si="171"/>
        <v>13.9</v>
      </c>
      <c r="CI244" s="1">
        <f t="shared" si="172"/>
        <v>15.8</v>
      </c>
      <c r="CJ244" s="1">
        <f t="shared" si="173"/>
        <v>23.7</v>
      </c>
      <c r="CK244" s="1">
        <f t="shared" si="174"/>
        <v>11.2</v>
      </c>
      <c r="CL244" s="1">
        <f t="shared" si="175"/>
        <v>9.1</v>
      </c>
      <c r="CM244" s="1">
        <f t="shared" si="176"/>
        <v>9.1</v>
      </c>
      <c r="CN244" s="2">
        <f t="shared" si="177"/>
        <v>93.7</v>
      </c>
      <c r="CO244" s="1">
        <f t="shared" si="178"/>
        <v>0.8</v>
      </c>
      <c r="CP244" s="1">
        <f t="shared" si="179"/>
        <v>0</v>
      </c>
      <c r="CQ244" s="1">
        <f t="shared" si="180"/>
        <v>-0.6</v>
      </c>
      <c r="CR244" s="1">
        <f t="shared" si="181"/>
        <v>-0.5</v>
      </c>
      <c r="CS244" s="1">
        <f t="shared" si="182"/>
        <v>7</v>
      </c>
      <c r="CT244" s="1">
        <f t="shared" si="183"/>
        <v>8.6999999999999993</v>
      </c>
      <c r="CU244" s="1">
        <f t="shared" si="184"/>
        <v>8.6999999999999993</v>
      </c>
      <c r="CV244" s="2">
        <f t="shared" si="185"/>
        <v>43.2</v>
      </c>
      <c r="CW244" s="18">
        <f t="shared" si="186"/>
        <v>0</v>
      </c>
      <c r="CX244" s="1">
        <f>ROUND(PPTest!K244,1)</f>
        <v>0</v>
      </c>
      <c r="CY244" s="17">
        <f t="shared" si="187"/>
        <v>2.04</v>
      </c>
      <c r="CZ244" s="17">
        <f t="shared" si="188"/>
        <v>5.0599999999999996</v>
      </c>
      <c r="DA244" s="20">
        <f t="shared" si="189"/>
        <v>0.65500000000000003</v>
      </c>
      <c r="DB244" s="20">
        <f t="shared" si="190"/>
        <v>0.86099999999999999</v>
      </c>
      <c r="DC244" s="16">
        <f t="shared" si="191"/>
        <v>12.4</v>
      </c>
      <c r="DF244" s="1">
        <v>11.3</v>
      </c>
      <c r="DG244" s="1">
        <v>14.8</v>
      </c>
      <c r="DH244" s="1">
        <v>7.5</v>
      </c>
      <c r="DI244" s="1">
        <v>63.8</v>
      </c>
      <c r="DJ244" s="1">
        <v>46</v>
      </c>
      <c r="DW244" s="1">
        <v>7.1</v>
      </c>
      <c r="DX244" s="1">
        <v>13.2</v>
      </c>
      <c r="DY244" s="1">
        <v>0.4</v>
      </c>
    </row>
    <row r="245" spans="1:129" x14ac:dyDescent="0.2">
      <c r="A245" s="40">
        <v>34938</v>
      </c>
      <c r="B245" s="3">
        <v>239</v>
      </c>
      <c r="C245" s="3">
        <v>19.52</v>
      </c>
      <c r="D245" s="3">
        <v>36.35</v>
      </c>
      <c r="E245" s="3">
        <v>8.24</v>
      </c>
      <c r="F245" s="3">
        <v>76.7</v>
      </c>
      <c r="G245" s="3">
        <v>8.0299999999999994</v>
      </c>
      <c r="H245" s="3">
        <v>7.79</v>
      </c>
      <c r="I245" s="3">
        <v>8.8800000000000008</v>
      </c>
      <c r="J245" s="3">
        <v>9.2100000000000009</v>
      </c>
      <c r="K245" s="3">
        <v>8.8000000000000007</v>
      </c>
      <c r="L245" s="3">
        <v>8.57</v>
      </c>
      <c r="M245" s="3">
        <v>8.7200000000000006</v>
      </c>
      <c r="N245" s="3">
        <v>8.84</v>
      </c>
      <c r="O245" s="3">
        <v>0</v>
      </c>
      <c r="P245" s="16">
        <v>1.7741666666666667</v>
      </c>
      <c r="Q245" s="3">
        <v>1</v>
      </c>
      <c r="R245" s="3">
        <v>15.24</v>
      </c>
      <c r="S245" s="3">
        <v>1429</v>
      </c>
      <c r="T245" s="3">
        <v>104.7</v>
      </c>
      <c r="U245" s="3">
        <v>417</v>
      </c>
      <c r="V245" s="3">
        <v>16.41</v>
      </c>
      <c r="W245" s="3">
        <v>19.39</v>
      </c>
      <c r="X245" s="3">
        <v>23.39</v>
      </c>
      <c r="Y245" s="3">
        <v>20.8</v>
      </c>
      <c r="Z245" s="3">
        <v>18.98</v>
      </c>
      <c r="AA245" s="3">
        <v>11.31</v>
      </c>
      <c r="AB245" s="3">
        <v>9.02</v>
      </c>
      <c r="AC245" s="3">
        <v>9.02</v>
      </c>
      <c r="AD245" s="16">
        <v>4.6608333333333336</v>
      </c>
      <c r="AE245" s="3">
        <v>1100</v>
      </c>
      <c r="AF245" s="3">
        <v>-1.3320000000000001</v>
      </c>
      <c r="AG245" s="3">
        <v>437</v>
      </c>
      <c r="AH245" s="3">
        <v>43.61</v>
      </c>
      <c r="AI245" s="3">
        <v>1212</v>
      </c>
      <c r="AJ245" s="3">
        <v>-2.0659999999999998</v>
      </c>
      <c r="AK245" s="3">
        <v>-2.5339999999999998</v>
      </c>
      <c r="AL245" s="3">
        <v>-2.0030000000000001</v>
      </c>
      <c r="AM245" s="3">
        <v>-1.788</v>
      </c>
      <c r="AN245" s="3">
        <v>-1.171</v>
      </c>
      <c r="AO245" s="3">
        <v>5.7809999999999997</v>
      </c>
      <c r="AP245" s="3">
        <v>8.44</v>
      </c>
      <c r="AQ245" s="3">
        <v>8.58</v>
      </c>
      <c r="AR245" s="3">
        <v>0.13500000000000001</v>
      </c>
      <c r="AS245" s="3">
        <v>0.33200000000000002</v>
      </c>
      <c r="AT245" s="3">
        <v>0.30199999999999999</v>
      </c>
      <c r="AU245" s="3">
        <v>1.9E-2</v>
      </c>
      <c r="AV245" s="3">
        <v>1.6E-2</v>
      </c>
      <c r="AW245" s="3">
        <v>3.3000000000000002E-2</v>
      </c>
      <c r="AX245" s="3">
        <v>4.9000000000000002E-2</v>
      </c>
      <c r="AY245" s="3">
        <v>0.112</v>
      </c>
      <c r="AZ245" s="3">
        <v>8.08</v>
      </c>
      <c r="BA245" s="3"/>
      <c r="BB245" s="3">
        <v>12.41</v>
      </c>
      <c r="BC245" s="3">
        <v>2876</v>
      </c>
      <c r="BD245" s="3"/>
      <c r="BE245" s="3"/>
      <c r="BF245" s="3">
        <v>0</v>
      </c>
      <c r="BH245" s="16">
        <v>23.92</v>
      </c>
      <c r="BI245" s="16">
        <f t="shared" si="192"/>
        <v>48.318400000000004</v>
      </c>
      <c r="BJ245" s="17">
        <f t="shared" si="153"/>
        <v>19.52</v>
      </c>
      <c r="BK245" s="17">
        <f t="shared" si="154"/>
        <v>39.26</v>
      </c>
      <c r="BM245" s="1">
        <f t="shared" si="155"/>
        <v>97.7</v>
      </c>
      <c r="BN245" s="1">
        <f t="shared" si="156"/>
        <v>71.900000000000006</v>
      </c>
      <c r="BO245" s="1">
        <f t="shared" si="157"/>
        <v>41.3</v>
      </c>
      <c r="BP245" s="62">
        <f t="shared" si="159"/>
        <v>0.71499999999999997</v>
      </c>
      <c r="BQ245" s="62">
        <f t="shared" si="158"/>
        <v>1.016</v>
      </c>
      <c r="BS245" s="1">
        <v>0.3</v>
      </c>
      <c r="BT245" s="8"/>
      <c r="BV245" s="8"/>
      <c r="BW245" s="16">
        <f t="shared" si="160"/>
        <v>19.52</v>
      </c>
      <c r="BX245" s="16">
        <f t="shared" si="161"/>
        <v>39.26</v>
      </c>
      <c r="BY245" s="3">
        <f t="shared" si="162"/>
        <v>8.1999999999999993</v>
      </c>
      <c r="BZ245" s="3">
        <f t="shared" si="163"/>
        <v>8</v>
      </c>
      <c r="CA245" s="3">
        <f t="shared" si="164"/>
        <v>7.8</v>
      </c>
      <c r="CB245" s="3">
        <f t="shared" si="165"/>
        <v>8.9</v>
      </c>
      <c r="CC245" s="3">
        <f t="shared" si="166"/>
        <v>8.6</v>
      </c>
      <c r="CD245" s="3">
        <f t="shared" si="167"/>
        <v>8.6999999999999993</v>
      </c>
      <c r="CE245" s="3">
        <f t="shared" si="168"/>
        <v>8.8000000000000007</v>
      </c>
      <c r="CF245" s="23">
        <f t="shared" si="169"/>
        <v>71.900000000000006</v>
      </c>
      <c r="CG245" s="1">
        <f t="shared" si="170"/>
        <v>15.2</v>
      </c>
      <c r="CH245" s="1">
        <f t="shared" si="171"/>
        <v>16.399999999999999</v>
      </c>
      <c r="CI245" s="1">
        <f t="shared" si="172"/>
        <v>19.399999999999999</v>
      </c>
      <c r="CJ245" s="1">
        <f t="shared" si="173"/>
        <v>23.4</v>
      </c>
      <c r="CK245" s="1">
        <f t="shared" si="174"/>
        <v>11.3</v>
      </c>
      <c r="CL245" s="1">
        <f t="shared" si="175"/>
        <v>9</v>
      </c>
      <c r="CM245" s="1">
        <f t="shared" si="176"/>
        <v>9</v>
      </c>
      <c r="CN245" s="2">
        <f t="shared" si="177"/>
        <v>97.7</v>
      </c>
      <c r="CO245" s="1">
        <f t="shared" si="178"/>
        <v>-1.3</v>
      </c>
      <c r="CP245" s="1">
        <f t="shared" si="179"/>
        <v>-2.1</v>
      </c>
      <c r="CQ245" s="1">
        <f t="shared" si="180"/>
        <v>-2.5</v>
      </c>
      <c r="CR245" s="1">
        <f t="shared" si="181"/>
        <v>-2</v>
      </c>
      <c r="CS245" s="1">
        <f t="shared" si="182"/>
        <v>5.8</v>
      </c>
      <c r="CT245" s="1">
        <f t="shared" si="183"/>
        <v>8.4</v>
      </c>
      <c r="CU245" s="1">
        <f t="shared" si="184"/>
        <v>8.6</v>
      </c>
      <c r="CV245" s="2">
        <f t="shared" si="185"/>
        <v>41.3</v>
      </c>
      <c r="CW245" s="18">
        <f t="shared" si="186"/>
        <v>0</v>
      </c>
      <c r="CX245" s="1">
        <f>ROUND(PPTest!K245,1)</f>
        <v>1</v>
      </c>
      <c r="CY245" s="17">
        <f t="shared" si="187"/>
        <v>1.77</v>
      </c>
      <c r="CZ245" s="17">
        <f t="shared" si="188"/>
        <v>4.66</v>
      </c>
      <c r="DA245" s="20">
        <f t="shared" si="189"/>
        <v>0.71499999999999997</v>
      </c>
      <c r="DB245" s="20">
        <f t="shared" si="190"/>
        <v>1.016</v>
      </c>
      <c r="DC245" s="16">
        <f t="shared" si="191"/>
        <v>12.41</v>
      </c>
      <c r="DF245" s="1">
        <v>11.9</v>
      </c>
      <c r="DG245" s="1">
        <v>17.8</v>
      </c>
      <c r="DH245" s="1">
        <v>6</v>
      </c>
      <c r="DI245" s="1">
        <v>69.7</v>
      </c>
      <c r="DJ245" s="1">
        <v>48</v>
      </c>
      <c r="DW245" s="1">
        <v>7.9</v>
      </c>
      <c r="DX245" s="1">
        <v>16</v>
      </c>
      <c r="DY245" s="1">
        <v>-1.5</v>
      </c>
    </row>
    <row r="246" spans="1:129" x14ac:dyDescent="0.2">
      <c r="A246" s="40">
        <v>34939</v>
      </c>
      <c r="B246" s="3">
        <v>240</v>
      </c>
      <c r="C246" s="3">
        <v>23.2</v>
      </c>
      <c r="D246" s="3">
        <v>43.09</v>
      </c>
      <c r="E246" s="3">
        <v>9.7899999999999991</v>
      </c>
      <c r="F246" s="3">
        <v>74.8</v>
      </c>
      <c r="G246" s="3">
        <v>9.7799999999999994</v>
      </c>
      <c r="H246" s="3">
        <v>9.58</v>
      </c>
      <c r="I246" s="3">
        <v>10.47</v>
      </c>
      <c r="J246" s="3">
        <v>10.96</v>
      </c>
      <c r="K246" s="3">
        <v>10.89</v>
      </c>
      <c r="L246" s="3">
        <v>9.59</v>
      </c>
      <c r="M246" s="3">
        <v>8.92</v>
      </c>
      <c r="N246" s="3">
        <v>8.77</v>
      </c>
      <c r="O246" s="3">
        <v>1E-3</v>
      </c>
      <c r="P246" s="16">
        <v>2.0158333333333331</v>
      </c>
      <c r="Q246" s="3">
        <v>7</v>
      </c>
      <c r="R246" s="3">
        <v>17.54</v>
      </c>
      <c r="S246" s="3">
        <v>1624</v>
      </c>
      <c r="T246" s="3">
        <v>105.2</v>
      </c>
      <c r="U246" s="3">
        <v>2320</v>
      </c>
      <c r="V246" s="3">
        <v>17.88</v>
      </c>
      <c r="W246" s="3">
        <v>20.39</v>
      </c>
      <c r="X246" s="3">
        <v>23.47</v>
      </c>
      <c r="Y246" s="3">
        <v>22.02</v>
      </c>
      <c r="Z246" s="3">
        <v>22.26</v>
      </c>
      <c r="AA246" s="3">
        <v>12.45</v>
      </c>
      <c r="AB246" s="3">
        <v>9.36</v>
      </c>
      <c r="AC246" s="3">
        <v>8.99</v>
      </c>
      <c r="AD246" s="16">
        <v>4.4741666666666671</v>
      </c>
      <c r="AE246" s="3">
        <v>1204</v>
      </c>
      <c r="AF246" s="3">
        <v>0.63600000000000001</v>
      </c>
      <c r="AG246" s="3">
        <v>541</v>
      </c>
      <c r="AH246" s="3">
        <v>37.57</v>
      </c>
      <c r="AI246" s="3">
        <v>1610</v>
      </c>
      <c r="AJ246" s="3">
        <v>-6.3E-2</v>
      </c>
      <c r="AK246" s="3">
        <v>-0.55100000000000005</v>
      </c>
      <c r="AL246" s="3">
        <v>-2.4E-2</v>
      </c>
      <c r="AM246" s="3">
        <v>-0.67100000000000004</v>
      </c>
      <c r="AN246" s="3">
        <v>-0.54100000000000004</v>
      </c>
      <c r="AO246" s="3">
        <v>6.7960000000000003</v>
      </c>
      <c r="AP246" s="3">
        <v>8.6199999999999992</v>
      </c>
      <c r="AQ246" s="3">
        <v>8.52</v>
      </c>
      <c r="AR246" s="3">
        <v>3.3000000000000002E-2</v>
      </c>
      <c r="AS246" s="3">
        <v>0.214</v>
      </c>
      <c r="AT246" s="3">
        <v>0.17599999999999999</v>
      </c>
      <c r="AU246" s="3">
        <v>0.05</v>
      </c>
      <c r="AV246" s="3">
        <v>0.108</v>
      </c>
      <c r="AW246" s="3">
        <v>0.28999999999999998</v>
      </c>
      <c r="AX246" s="3">
        <v>0.1</v>
      </c>
      <c r="AY246" s="3">
        <v>0.03</v>
      </c>
      <c r="AZ246" s="3">
        <v>10.39</v>
      </c>
      <c r="BA246" s="3"/>
      <c r="BB246" s="3">
        <v>12.41</v>
      </c>
      <c r="BC246" s="3">
        <v>2876</v>
      </c>
      <c r="BD246" s="3"/>
      <c r="BE246" s="3"/>
      <c r="BF246" s="3">
        <v>0</v>
      </c>
      <c r="BH246" s="16">
        <v>23.67</v>
      </c>
      <c r="BI246" s="16">
        <f t="shared" si="192"/>
        <v>47.813400000000001</v>
      </c>
      <c r="BJ246" s="17">
        <f t="shared" si="153"/>
        <v>23.2</v>
      </c>
      <c r="BK246" s="17">
        <f t="shared" si="154"/>
        <v>46.54</v>
      </c>
      <c r="BM246" s="1">
        <f t="shared" si="155"/>
        <v>98.2</v>
      </c>
      <c r="BN246" s="1">
        <f t="shared" si="156"/>
        <v>70.099999999999994</v>
      </c>
      <c r="BO246" s="1">
        <f t="shared" si="157"/>
        <v>35.700000000000003</v>
      </c>
      <c r="BP246" s="62">
        <f t="shared" si="159"/>
        <v>0.71599999999999997</v>
      </c>
      <c r="BQ246" s="62">
        <f t="shared" si="158"/>
        <v>1.29</v>
      </c>
      <c r="BS246" s="1">
        <v>7.8</v>
      </c>
      <c r="BT246" s="8"/>
      <c r="BV246" s="8"/>
      <c r="BW246" s="16">
        <f t="shared" si="160"/>
        <v>23.2</v>
      </c>
      <c r="BX246" s="16">
        <f t="shared" si="161"/>
        <v>46.54</v>
      </c>
      <c r="BY246" s="3">
        <f t="shared" si="162"/>
        <v>9.8000000000000007</v>
      </c>
      <c r="BZ246" s="3">
        <f t="shared" si="163"/>
        <v>9.8000000000000007</v>
      </c>
      <c r="CA246" s="3">
        <f t="shared" si="164"/>
        <v>9.6</v>
      </c>
      <c r="CB246" s="3">
        <f t="shared" si="165"/>
        <v>10.5</v>
      </c>
      <c r="CC246" s="3">
        <f t="shared" si="166"/>
        <v>9.6</v>
      </c>
      <c r="CD246" s="3">
        <f t="shared" si="167"/>
        <v>8.9</v>
      </c>
      <c r="CE246" s="3">
        <f t="shared" si="168"/>
        <v>8.8000000000000007</v>
      </c>
      <c r="CF246" s="23">
        <f t="shared" si="169"/>
        <v>70.099999999999994</v>
      </c>
      <c r="CG246" s="1">
        <f t="shared" si="170"/>
        <v>17.5</v>
      </c>
      <c r="CH246" s="1">
        <f t="shared" si="171"/>
        <v>17.899999999999999</v>
      </c>
      <c r="CI246" s="1">
        <f t="shared" si="172"/>
        <v>20.399999999999999</v>
      </c>
      <c r="CJ246" s="1">
        <f t="shared" si="173"/>
        <v>23.5</v>
      </c>
      <c r="CK246" s="1">
        <f t="shared" si="174"/>
        <v>12.5</v>
      </c>
      <c r="CL246" s="1">
        <f t="shared" si="175"/>
        <v>9.4</v>
      </c>
      <c r="CM246" s="1">
        <f t="shared" si="176"/>
        <v>9</v>
      </c>
      <c r="CN246" s="2">
        <f t="shared" si="177"/>
        <v>98.2</v>
      </c>
      <c r="CO246" s="1">
        <f t="shared" si="178"/>
        <v>0.6</v>
      </c>
      <c r="CP246" s="1">
        <f t="shared" si="179"/>
        <v>-0.1</v>
      </c>
      <c r="CQ246" s="1">
        <f t="shared" si="180"/>
        <v>-0.6</v>
      </c>
      <c r="CR246" s="1">
        <f t="shared" si="181"/>
        <v>0</v>
      </c>
      <c r="CS246" s="1">
        <f t="shared" si="182"/>
        <v>6.8</v>
      </c>
      <c r="CT246" s="1">
        <f t="shared" si="183"/>
        <v>8.6</v>
      </c>
      <c r="CU246" s="1">
        <f t="shared" si="184"/>
        <v>8.5</v>
      </c>
      <c r="CV246" s="2">
        <f t="shared" si="185"/>
        <v>35.700000000000003</v>
      </c>
      <c r="CW246" s="18">
        <f t="shared" si="186"/>
        <v>0</v>
      </c>
      <c r="CX246" s="1">
        <f>ROUND(PPTest!K246,1)</f>
        <v>7</v>
      </c>
      <c r="CY246" s="17">
        <f t="shared" si="187"/>
        <v>2.02</v>
      </c>
      <c r="CZ246" s="17">
        <f t="shared" si="188"/>
        <v>4.47</v>
      </c>
      <c r="DA246" s="20">
        <f t="shared" si="189"/>
        <v>0.71599999999999997</v>
      </c>
      <c r="DB246" s="20">
        <f t="shared" si="190"/>
        <v>1.29</v>
      </c>
      <c r="DC246" s="16">
        <f t="shared" si="191"/>
        <v>12.41</v>
      </c>
      <c r="DF246" s="1">
        <v>13</v>
      </c>
      <c r="DG246" s="1">
        <v>18.8</v>
      </c>
      <c r="DH246" s="1">
        <v>8</v>
      </c>
      <c r="DI246" s="1">
        <v>69.2</v>
      </c>
      <c r="DJ246" s="1">
        <v>47</v>
      </c>
      <c r="DW246" s="1">
        <v>10</v>
      </c>
      <c r="DX246" s="1">
        <v>18</v>
      </c>
      <c r="DY246" s="1">
        <v>0.4</v>
      </c>
    </row>
    <row r="247" spans="1:129" x14ac:dyDescent="0.2">
      <c r="A247" s="40">
        <v>34940</v>
      </c>
      <c r="B247" s="3">
        <v>241</v>
      </c>
      <c r="C247" s="3">
        <v>9.4600000000000009</v>
      </c>
      <c r="D247" s="3">
        <v>17.899999999999999</v>
      </c>
      <c r="E247" s="3">
        <v>5.69</v>
      </c>
      <c r="F247" s="3">
        <v>103</v>
      </c>
      <c r="G247" s="3">
        <v>5.4829999999999997</v>
      </c>
      <c r="H247" s="3">
        <v>5.3230000000000004</v>
      </c>
      <c r="I247" s="3">
        <v>6.3209999999999997</v>
      </c>
      <c r="J247" s="3">
        <v>5.4640000000000004</v>
      </c>
      <c r="K247" s="3">
        <v>5.7009999999999996</v>
      </c>
      <c r="L247" s="3">
        <v>8.7799999999999994</v>
      </c>
      <c r="M247" s="3">
        <v>9.02</v>
      </c>
      <c r="N247" s="3">
        <v>8.7100000000000009</v>
      </c>
      <c r="O247" s="3">
        <v>1E-3</v>
      </c>
      <c r="P247" s="16">
        <v>1.5774999999999999</v>
      </c>
      <c r="Q247" s="3">
        <v>12</v>
      </c>
      <c r="R247" s="3">
        <v>9.8000000000000007</v>
      </c>
      <c r="S247" s="3">
        <v>1709</v>
      </c>
      <c r="T247" s="3">
        <v>106.5</v>
      </c>
      <c r="U247" s="3">
        <v>510</v>
      </c>
      <c r="V247" s="3">
        <v>10.87</v>
      </c>
      <c r="W247" s="3">
        <v>12.47</v>
      </c>
      <c r="X247" s="3">
        <v>15.01</v>
      </c>
      <c r="Y247" s="3">
        <v>11.52</v>
      </c>
      <c r="Z247" s="3">
        <v>11.61</v>
      </c>
      <c r="AA247" s="3">
        <v>9.98</v>
      </c>
      <c r="AB247" s="3">
        <v>9.35</v>
      </c>
      <c r="AC247" s="3">
        <v>8.89</v>
      </c>
      <c r="AD247" s="16">
        <v>4.9541666666666666</v>
      </c>
      <c r="AE247" s="3">
        <v>1025</v>
      </c>
      <c r="AF247" s="3">
        <v>1.839</v>
      </c>
      <c r="AG247" s="3">
        <v>2354</v>
      </c>
      <c r="AH247" s="3">
        <v>81.099999999999994</v>
      </c>
      <c r="AI247" s="3">
        <v>1714</v>
      </c>
      <c r="AJ247" s="3">
        <v>1.0089999999999999</v>
      </c>
      <c r="AK247" s="3">
        <v>0.52600000000000002</v>
      </c>
      <c r="AL247" s="3">
        <v>0.67</v>
      </c>
      <c r="AM247" s="3">
        <v>0.60199999999999998</v>
      </c>
      <c r="AN247" s="3">
        <v>0.81100000000000005</v>
      </c>
      <c r="AO247" s="3">
        <v>7.54</v>
      </c>
      <c r="AP247" s="3">
        <v>8.7799999999999994</v>
      </c>
      <c r="AQ247" s="3">
        <v>8.5399999999999991</v>
      </c>
      <c r="AR247" s="3">
        <v>4.5999999999999999E-2</v>
      </c>
      <c r="AS247" s="3">
        <v>0.30099999999999999</v>
      </c>
      <c r="AT247" s="3">
        <v>0.21</v>
      </c>
      <c r="AU247" s="3">
        <v>1.0999999999999999E-2</v>
      </c>
      <c r="AV247" s="3">
        <v>5.2999999999999999E-2</v>
      </c>
      <c r="AW247" s="3">
        <v>0.26400000000000001</v>
      </c>
      <c r="AX247" s="3">
        <v>8.6999999999999994E-2</v>
      </c>
      <c r="AY247" s="3">
        <v>2.8000000000000001E-2</v>
      </c>
      <c r="AZ247" s="3">
        <v>5.86</v>
      </c>
      <c r="BA247" s="3"/>
      <c r="BB247" s="3">
        <v>12.38</v>
      </c>
      <c r="BC247" s="3">
        <v>2876</v>
      </c>
      <c r="BD247" s="3"/>
      <c r="BE247" s="3"/>
      <c r="BF247" s="3">
        <v>0</v>
      </c>
      <c r="BH247" s="16">
        <v>23.43</v>
      </c>
      <c r="BI247" s="16">
        <f t="shared" si="192"/>
        <v>47.328600000000002</v>
      </c>
      <c r="BJ247" s="17">
        <f t="shared" si="153"/>
        <v>9.4600000000000009</v>
      </c>
      <c r="BK247" s="17">
        <f t="shared" si="154"/>
        <v>19.329999999999998</v>
      </c>
      <c r="BM247" s="1">
        <f t="shared" si="155"/>
        <v>99.4</v>
      </c>
      <c r="BN247" s="1">
        <f t="shared" si="156"/>
        <v>96.2</v>
      </c>
      <c r="BO247" s="1">
        <f t="shared" si="157"/>
        <v>75.900000000000006</v>
      </c>
      <c r="BP247" s="62">
        <f t="shared" si="159"/>
        <v>0.91900000000000004</v>
      </c>
      <c r="BQ247" s="62">
        <f t="shared" si="158"/>
        <v>0.29199999999999998</v>
      </c>
      <c r="BS247" s="1">
        <v>8.9</v>
      </c>
      <c r="BT247" s="8"/>
      <c r="BV247" s="8"/>
      <c r="BW247" s="16">
        <f t="shared" si="160"/>
        <v>9.4600000000000009</v>
      </c>
      <c r="BX247" s="16">
        <f t="shared" si="161"/>
        <v>19.329999999999998</v>
      </c>
      <c r="BY247" s="3">
        <f t="shared" si="162"/>
        <v>5.7</v>
      </c>
      <c r="BZ247" s="3">
        <f t="shared" si="163"/>
        <v>5.5</v>
      </c>
      <c r="CA247" s="3">
        <f t="shared" si="164"/>
        <v>5.3</v>
      </c>
      <c r="CB247" s="3">
        <f t="shared" si="165"/>
        <v>6.3</v>
      </c>
      <c r="CC247" s="3">
        <f t="shared" si="166"/>
        <v>8.8000000000000007</v>
      </c>
      <c r="CD247" s="3">
        <f t="shared" si="167"/>
        <v>9</v>
      </c>
      <c r="CE247" s="3">
        <f t="shared" si="168"/>
        <v>8.6999999999999993</v>
      </c>
      <c r="CF247" s="23">
        <f t="shared" si="169"/>
        <v>96.2</v>
      </c>
      <c r="CG247" s="1">
        <f t="shared" si="170"/>
        <v>9.8000000000000007</v>
      </c>
      <c r="CH247" s="1">
        <f t="shared" si="171"/>
        <v>10.9</v>
      </c>
      <c r="CI247" s="1">
        <f t="shared" si="172"/>
        <v>12.5</v>
      </c>
      <c r="CJ247" s="1">
        <f t="shared" si="173"/>
        <v>15</v>
      </c>
      <c r="CK247" s="1">
        <f t="shared" si="174"/>
        <v>10</v>
      </c>
      <c r="CL247" s="1">
        <f t="shared" si="175"/>
        <v>9.4</v>
      </c>
      <c r="CM247" s="1">
        <f t="shared" si="176"/>
        <v>8.9</v>
      </c>
      <c r="CN247" s="2">
        <f t="shared" si="177"/>
        <v>99.4</v>
      </c>
      <c r="CO247" s="1">
        <f t="shared" si="178"/>
        <v>1.8</v>
      </c>
      <c r="CP247" s="1">
        <f t="shared" si="179"/>
        <v>1</v>
      </c>
      <c r="CQ247" s="1">
        <f t="shared" si="180"/>
        <v>0.5</v>
      </c>
      <c r="CR247" s="1">
        <f t="shared" si="181"/>
        <v>0.7</v>
      </c>
      <c r="CS247" s="1">
        <f t="shared" si="182"/>
        <v>7.5</v>
      </c>
      <c r="CT247" s="1">
        <f t="shared" si="183"/>
        <v>8.8000000000000007</v>
      </c>
      <c r="CU247" s="1">
        <f t="shared" si="184"/>
        <v>8.5</v>
      </c>
      <c r="CV247" s="2">
        <f t="shared" si="185"/>
        <v>75.900000000000006</v>
      </c>
      <c r="CW247" s="18">
        <f t="shared" si="186"/>
        <v>0</v>
      </c>
      <c r="CX247" s="1">
        <f>ROUND(PPTest!K247,1)</f>
        <v>12</v>
      </c>
      <c r="CY247" s="17">
        <f t="shared" si="187"/>
        <v>1.58</v>
      </c>
      <c r="CZ247" s="17">
        <f t="shared" si="188"/>
        <v>4.95</v>
      </c>
      <c r="DA247" s="20">
        <f t="shared" si="189"/>
        <v>0.91900000000000004</v>
      </c>
      <c r="DB247" s="20">
        <f t="shared" si="190"/>
        <v>0.29199999999999998</v>
      </c>
      <c r="DC247" s="16">
        <f t="shared" si="191"/>
        <v>12.38</v>
      </c>
      <c r="DF247" s="1">
        <v>8.6</v>
      </c>
      <c r="DG247" s="1">
        <v>10.6</v>
      </c>
      <c r="DH247" s="1">
        <v>7.2</v>
      </c>
      <c r="DI247" s="1">
        <v>98.7</v>
      </c>
      <c r="DJ247" s="1">
        <v>90</v>
      </c>
      <c r="DW247" s="1">
        <v>5.4</v>
      </c>
      <c r="DX247" s="1">
        <v>10.4</v>
      </c>
      <c r="DY247" s="1">
        <v>0.3</v>
      </c>
    </row>
    <row r="248" spans="1:129" x14ac:dyDescent="0.2">
      <c r="A248" s="40">
        <v>34941</v>
      </c>
      <c r="B248" s="3">
        <v>242</v>
      </c>
      <c r="C248" s="3">
        <v>19.86</v>
      </c>
      <c r="D248" s="3">
        <v>36.79</v>
      </c>
      <c r="E248" s="3">
        <v>6.6950000000000003</v>
      </c>
      <c r="F248" s="3">
        <v>91.7</v>
      </c>
      <c r="G248" s="3">
        <v>6.569</v>
      </c>
      <c r="H248" s="3">
        <v>6.4550000000000001</v>
      </c>
      <c r="I248" s="3">
        <v>7.39</v>
      </c>
      <c r="J248" s="3">
        <v>7.79</v>
      </c>
      <c r="K248" s="3">
        <v>7.97</v>
      </c>
      <c r="L248" s="3">
        <v>8.8800000000000008</v>
      </c>
      <c r="M248" s="3">
        <v>8.67</v>
      </c>
      <c r="N248" s="3">
        <v>8.6999999999999993</v>
      </c>
      <c r="O248" s="3">
        <v>1E-3</v>
      </c>
      <c r="P248" s="16">
        <v>1.6158333333333335</v>
      </c>
      <c r="Q248" s="3">
        <v>1</v>
      </c>
      <c r="R248" s="3">
        <v>13.73</v>
      </c>
      <c r="S248" s="3">
        <v>1536</v>
      </c>
      <c r="T248" s="3">
        <v>106.3</v>
      </c>
      <c r="U248" s="3">
        <v>128</v>
      </c>
      <c r="V248" s="3">
        <v>14.99</v>
      </c>
      <c r="W248" s="3">
        <v>18.03</v>
      </c>
      <c r="X248" s="3">
        <v>18.95</v>
      </c>
      <c r="Y248" s="3">
        <v>22.37</v>
      </c>
      <c r="Z248" s="3">
        <v>20.69</v>
      </c>
      <c r="AA248" s="3">
        <v>12.31</v>
      </c>
      <c r="AB248" s="3">
        <v>8.99</v>
      </c>
      <c r="AC248" s="3">
        <v>8.9499999999999993</v>
      </c>
      <c r="AD248" s="16">
        <v>4.1941666666666668</v>
      </c>
      <c r="AE248" s="3">
        <v>1413</v>
      </c>
      <c r="AF248" s="3">
        <v>0.33600000000000002</v>
      </c>
      <c r="AG248" s="3">
        <v>0</v>
      </c>
      <c r="AH248" s="3">
        <v>52.59</v>
      </c>
      <c r="AI248" s="3">
        <v>1655</v>
      </c>
      <c r="AJ248" s="3">
        <v>-0.30499999999999999</v>
      </c>
      <c r="AK248" s="3">
        <v>-0.67200000000000004</v>
      </c>
      <c r="AL248" s="3">
        <v>2E-3</v>
      </c>
      <c r="AM248" s="3">
        <v>-0.72299999999999998</v>
      </c>
      <c r="AN248" s="3">
        <v>-0.73499999999999999</v>
      </c>
      <c r="AO248" s="3">
        <v>6.7720000000000002</v>
      </c>
      <c r="AP248" s="3">
        <v>8.4499999999999993</v>
      </c>
      <c r="AQ248" s="3">
        <v>8.5299999999999994</v>
      </c>
      <c r="AR248" s="3">
        <v>0.06</v>
      </c>
      <c r="AS248" s="3">
        <v>0.36299999999999999</v>
      </c>
      <c r="AT248" s="3">
        <v>0.217</v>
      </c>
      <c r="AU248" s="3">
        <v>2.3E-2</v>
      </c>
      <c r="AV248" s="3">
        <v>9.1999999999999998E-2</v>
      </c>
      <c r="AW248" s="3">
        <v>0.14399999999999999</v>
      </c>
      <c r="AX248" s="3">
        <v>4.3999999999999997E-2</v>
      </c>
      <c r="AY248" s="3">
        <v>5.6000000000000001E-2</v>
      </c>
      <c r="AZ248" s="3">
        <v>7.49</v>
      </c>
      <c r="BA248" s="3"/>
      <c r="BB248" s="3">
        <v>12.39</v>
      </c>
      <c r="BC248" s="3">
        <v>2876</v>
      </c>
      <c r="BD248" s="3"/>
      <c r="BE248" s="3"/>
      <c r="BF248" s="3">
        <v>0</v>
      </c>
      <c r="BH248" s="16">
        <v>23.19</v>
      </c>
      <c r="BI248" s="16">
        <f t="shared" si="192"/>
        <v>46.843800000000002</v>
      </c>
      <c r="BJ248" s="17">
        <f t="shared" si="153"/>
        <v>19.86</v>
      </c>
      <c r="BK248" s="17">
        <f t="shared" si="154"/>
        <v>39.729999999999997</v>
      </c>
      <c r="BM248" s="1">
        <f t="shared" si="155"/>
        <v>99.2</v>
      </c>
      <c r="BN248" s="1">
        <f t="shared" si="156"/>
        <v>85.7</v>
      </c>
      <c r="BO248" s="1">
        <f t="shared" si="157"/>
        <v>49.6</v>
      </c>
      <c r="BP248" s="62">
        <f t="shared" si="159"/>
        <v>0.77900000000000003</v>
      </c>
      <c r="BQ248" s="62">
        <f t="shared" si="158"/>
        <v>0.79200000000000004</v>
      </c>
      <c r="BS248" s="1">
        <v>2.6</v>
      </c>
      <c r="BT248" s="8"/>
      <c r="BV248" s="8"/>
      <c r="BW248" s="16">
        <f t="shared" si="160"/>
        <v>19.86</v>
      </c>
      <c r="BX248" s="16">
        <f t="shared" si="161"/>
        <v>39.729999999999997</v>
      </c>
      <c r="BY248" s="3">
        <f t="shared" si="162"/>
        <v>6.7</v>
      </c>
      <c r="BZ248" s="3">
        <f t="shared" si="163"/>
        <v>6.6</v>
      </c>
      <c r="CA248" s="3">
        <f t="shared" si="164"/>
        <v>6.5</v>
      </c>
      <c r="CB248" s="3">
        <f t="shared" si="165"/>
        <v>7.4</v>
      </c>
      <c r="CC248" s="3">
        <f t="shared" si="166"/>
        <v>8.9</v>
      </c>
      <c r="CD248" s="3">
        <f t="shared" si="167"/>
        <v>8.6999999999999993</v>
      </c>
      <c r="CE248" s="3">
        <f t="shared" si="168"/>
        <v>8.6999999999999993</v>
      </c>
      <c r="CF248" s="23">
        <f t="shared" si="169"/>
        <v>85.7</v>
      </c>
      <c r="CG248" s="1">
        <f t="shared" si="170"/>
        <v>13.7</v>
      </c>
      <c r="CH248" s="1">
        <f t="shared" si="171"/>
        <v>15</v>
      </c>
      <c r="CI248" s="1">
        <f t="shared" si="172"/>
        <v>18</v>
      </c>
      <c r="CJ248" s="1">
        <f t="shared" si="173"/>
        <v>19</v>
      </c>
      <c r="CK248" s="1">
        <f t="shared" si="174"/>
        <v>12.3</v>
      </c>
      <c r="CL248" s="1">
        <f t="shared" si="175"/>
        <v>9</v>
      </c>
      <c r="CM248" s="1">
        <f t="shared" si="176"/>
        <v>9</v>
      </c>
      <c r="CN248" s="2">
        <f t="shared" si="177"/>
        <v>99.2</v>
      </c>
      <c r="CO248" s="1">
        <f t="shared" si="178"/>
        <v>0.3</v>
      </c>
      <c r="CP248" s="1">
        <f t="shared" si="179"/>
        <v>-0.3</v>
      </c>
      <c r="CQ248" s="1">
        <f t="shared" si="180"/>
        <v>-0.7</v>
      </c>
      <c r="CR248" s="1">
        <f t="shared" si="181"/>
        <v>0</v>
      </c>
      <c r="CS248" s="1">
        <f t="shared" si="182"/>
        <v>6.8</v>
      </c>
      <c r="CT248" s="1">
        <f t="shared" si="183"/>
        <v>8.5</v>
      </c>
      <c r="CU248" s="1">
        <f t="shared" si="184"/>
        <v>8.5</v>
      </c>
      <c r="CV248" s="2">
        <f t="shared" si="185"/>
        <v>49.6</v>
      </c>
      <c r="CW248" s="18">
        <f t="shared" si="186"/>
        <v>0</v>
      </c>
      <c r="CX248" s="1">
        <f>ROUND(PPTest!K248,1)</f>
        <v>1</v>
      </c>
      <c r="CY248" s="17">
        <f t="shared" si="187"/>
        <v>1.62</v>
      </c>
      <c r="CZ248" s="17">
        <f t="shared" si="188"/>
        <v>4.1900000000000004</v>
      </c>
      <c r="DA248" s="20">
        <f t="shared" si="189"/>
        <v>0.77900000000000003</v>
      </c>
      <c r="DB248" s="20">
        <f t="shared" si="190"/>
        <v>0.79200000000000004</v>
      </c>
      <c r="DC248" s="16">
        <f t="shared" si="191"/>
        <v>12.39</v>
      </c>
      <c r="DF248" s="1">
        <v>10.199999999999999</v>
      </c>
      <c r="DG248" s="1">
        <v>14.7</v>
      </c>
      <c r="DH248" s="1">
        <v>7.4</v>
      </c>
      <c r="DI248" s="1">
        <v>91.2</v>
      </c>
      <c r="DJ248" s="1">
        <v>70</v>
      </c>
      <c r="DW248" s="1">
        <v>7</v>
      </c>
      <c r="DX248" s="1">
        <v>15.7</v>
      </c>
      <c r="DY248" s="1">
        <v>-1</v>
      </c>
    </row>
    <row r="249" spans="1:129" x14ac:dyDescent="0.2">
      <c r="A249" s="40">
        <v>34942</v>
      </c>
      <c r="B249" s="3">
        <v>243</v>
      </c>
      <c r="C249" s="3">
        <v>23.05</v>
      </c>
      <c r="D249" s="3">
        <v>42.13</v>
      </c>
      <c r="E249" s="3">
        <v>7.98</v>
      </c>
      <c r="F249" s="3">
        <v>76.2</v>
      </c>
      <c r="G249" s="3">
        <v>7.78</v>
      </c>
      <c r="H249" s="3">
        <v>7.49</v>
      </c>
      <c r="I249" s="3">
        <v>8.08</v>
      </c>
      <c r="J249" s="3">
        <v>9.1999999999999993</v>
      </c>
      <c r="K249" s="3">
        <v>9.09</v>
      </c>
      <c r="L249" s="3">
        <v>8.81</v>
      </c>
      <c r="M249" s="3">
        <v>8.6999999999999993</v>
      </c>
      <c r="N249" s="3">
        <v>8.66</v>
      </c>
      <c r="O249" s="3">
        <v>0</v>
      </c>
      <c r="P249" s="16">
        <v>1.9941666666666669</v>
      </c>
      <c r="Q249" s="3">
        <v>0</v>
      </c>
      <c r="R249" s="3">
        <v>17.21</v>
      </c>
      <c r="S249" s="3">
        <v>1538</v>
      </c>
      <c r="T249" s="3">
        <v>105.8</v>
      </c>
      <c r="U249" s="3">
        <v>416</v>
      </c>
      <c r="V249" s="3">
        <v>17.489999999999998</v>
      </c>
      <c r="W249" s="3">
        <v>20.21</v>
      </c>
      <c r="X249" s="3">
        <v>22.39</v>
      </c>
      <c r="Y249" s="3">
        <v>23.53</v>
      </c>
      <c r="Z249" s="3">
        <v>22.61</v>
      </c>
      <c r="AA249" s="3">
        <v>12.23</v>
      </c>
      <c r="AB249" s="3">
        <v>9.0399999999999991</v>
      </c>
      <c r="AC249" s="3">
        <v>8.9600000000000009</v>
      </c>
      <c r="AD249" s="16">
        <v>4.8608333333333338</v>
      </c>
      <c r="AE249" s="3">
        <v>1252</v>
      </c>
      <c r="AF249" s="3">
        <v>-1.077</v>
      </c>
      <c r="AG249" s="3">
        <v>442</v>
      </c>
      <c r="AH249" s="3">
        <v>34.340000000000003</v>
      </c>
      <c r="AI249" s="3">
        <v>1200</v>
      </c>
      <c r="AJ249" s="3">
        <v>-1.67</v>
      </c>
      <c r="AK249" s="3">
        <v>-1.9810000000000001</v>
      </c>
      <c r="AL249" s="3">
        <v>-1.35</v>
      </c>
      <c r="AM249" s="3">
        <v>-1.4530000000000001</v>
      </c>
      <c r="AN249" s="3">
        <v>-0.875</v>
      </c>
      <c r="AO249" s="3">
        <v>5.9039999999999999</v>
      </c>
      <c r="AP249" s="3">
        <v>8.41</v>
      </c>
      <c r="AQ249" s="3">
        <v>8.41</v>
      </c>
      <c r="AR249" s="3">
        <v>4.2000000000000003E-2</v>
      </c>
      <c r="AS249" s="3">
        <v>0.32100000000000001</v>
      </c>
      <c r="AT249" s="3">
        <v>0.30399999999999999</v>
      </c>
      <c r="AU249" s="3">
        <v>2.1999999999999999E-2</v>
      </c>
      <c r="AV249" s="3">
        <v>6.2E-2</v>
      </c>
      <c r="AW249" s="3">
        <v>0.127</v>
      </c>
      <c r="AX249" s="3">
        <v>6.7000000000000004E-2</v>
      </c>
      <c r="AY249" s="3">
        <v>5.6000000000000001E-2</v>
      </c>
      <c r="AZ249" s="3">
        <v>8.06</v>
      </c>
      <c r="BA249" s="3"/>
      <c r="BB249" s="3">
        <v>12.39</v>
      </c>
      <c r="BC249" s="3">
        <v>2876</v>
      </c>
      <c r="BD249" s="3"/>
      <c r="BE249" s="3"/>
      <c r="BF249" s="3">
        <v>0</v>
      </c>
      <c r="BH249" s="16">
        <v>22.94</v>
      </c>
      <c r="BI249" s="16">
        <f t="shared" si="192"/>
        <v>46.338800000000006</v>
      </c>
      <c r="BJ249" s="17">
        <f t="shared" si="153"/>
        <v>23.05</v>
      </c>
      <c r="BK249" s="17">
        <f t="shared" si="154"/>
        <v>45.5</v>
      </c>
      <c r="BM249" s="1">
        <f t="shared" si="155"/>
        <v>98.8</v>
      </c>
      <c r="BN249" s="1">
        <f t="shared" si="156"/>
        <v>71.400000000000006</v>
      </c>
      <c r="BO249" s="1">
        <f t="shared" si="157"/>
        <v>32.700000000000003</v>
      </c>
      <c r="BP249" s="62">
        <f t="shared" si="159"/>
        <v>0.64200000000000002</v>
      </c>
      <c r="BQ249" s="62">
        <f t="shared" si="158"/>
        <v>1.321</v>
      </c>
      <c r="BS249" s="1">
        <v>0</v>
      </c>
      <c r="BT249" s="8"/>
      <c r="BV249" s="8"/>
      <c r="BW249" s="16">
        <f t="shared" si="160"/>
        <v>23.05</v>
      </c>
      <c r="BX249" s="16">
        <f t="shared" si="161"/>
        <v>45.5</v>
      </c>
      <c r="BY249" s="3">
        <f t="shared" si="162"/>
        <v>8</v>
      </c>
      <c r="BZ249" s="3">
        <f t="shared" si="163"/>
        <v>7.8</v>
      </c>
      <c r="CA249" s="3">
        <f t="shared" si="164"/>
        <v>7.5</v>
      </c>
      <c r="CB249" s="3">
        <f t="shared" si="165"/>
        <v>8.1</v>
      </c>
      <c r="CC249" s="3">
        <f t="shared" si="166"/>
        <v>8.8000000000000007</v>
      </c>
      <c r="CD249" s="3">
        <f t="shared" si="167"/>
        <v>8.6999999999999993</v>
      </c>
      <c r="CE249" s="3">
        <f t="shared" si="168"/>
        <v>8.6999999999999993</v>
      </c>
      <c r="CF249" s="23">
        <f t="shared" si="169"/>
        <v>71.400000000000006</v>
      </c>
      <c r="CG249" s="1">
        <f t="shared" si="170"/>
        <v>17.2</v>
      </c>
      <c r="CH249" s="1">
        <f t="shared" si="171"/>
        <v>17.5</v>
      </c>
      <c r="CI249" s="1">
        <f t="shared" si="172"/>
        <v>20.2</v>
      </c>
      <c r="CJ249" s="1">
        <f t="shared" si="173"/>
        <v>22.4</v>
      </c>
      <c r="CK249" s="1">
        <f t="shared" si="174"/>
        <v>12.2</v>
      </c>
      <c r="CL249" s="1">
        <f t="shared" si="175"/>
        <v>9</v>
      </c>
      <c r="CM249" s="1">
        <f t="shared" si="176"/>
        <v>9</v>
      </c>
      <c r="CN249" s="2">
        <f t="shared" si="177"/>
        <v>98.8</v>
      </c>
      <c r="CO249" s="1">
        <f t="shared" si="178"/>
        <v>-1.1000000000000001</v>
      </c>
      <c r="CP249" s="1">
        <f t="shared" si="179"/>
        <v>-1.7</v>
      </c>
      <c r="CQ249" s="1">
        <f t="shared" si="180"/>
        <v>-2</v>
      </c>
      <c r="CR249" s="1">
        <f t="shared" si="181"/>
        <v>-1.4</v>
      </c>
      <c r="CS249" s="1">
        <f t="shared" si="182"/>
        <v>5.9</v>
      </c>
      <c r="CT249" s="1">
        <f t="shared" si="183"/>
        <v>8.4</v>
      </c>
      <c r="CU249" s="1">
        <f t="shared" si="184"/>
        <v>8.4</v>
      </c>
      <c r="CV249" s="2">
        <f t="shared" si="185"/>
        <v>32.700000000000003</v>
      </c>
      <c r="CW249" s="18">
        <f t="shared" si="186"/>
        <v>0</v>
      </c>
      <c r="CX249" s="1">
        <f>ROUND(PPTest!K249,1)</f>
        <v>0</v>
      </c>
      <c r="CY249" s="17">
        <f t="shared" si="187"/>
        <v>1.99</v>
      </c>
      <c r="CZ249" s="17">
        <f t="shared" si="188"/>
        <v>4.8600000000000003</v>
      </c>
      <c r="DA249" s="20">
        <f t="shared" si="189"/>
        <v>0.64200000000000002</v>
      </c>
      <c r="DB249" s="20">
        <f t="shared" si="190"/>
        <v>1.321</v>
      </c>
      <c r="DC249" s="16">
        <f t="shared" si="191"/>
        <v>12.39</v>
      </c>
      <c r="DF249" s="1">
        <v>13.3</v>
      </c>
      <c r="DG249" s="1">
        <v>19.399999999999999</v>
      </c>
      <c r="DH249" s="1">
        <v>7.1</v>
      </c>
      <c r="DI249" s="1">
        <v>65</v>
      </c>
      <c r="DJ249" s="1">
        <v>43</v>
      </c>
      <c r="DW249" s="1">
        <v>8.6999999999999993</v>
      </c>
      <c r="DX249" s="1">
        <v>20.3</v>
      </c>
      <c r="DY249" s="1">
        <v>4.2</v>
      </c>
    </row>
    <row r="250" spans="1:129" x14ac:dyDescent="0.2">
      <c r="A250" s="40">
        <v>34943</v>
      </c>
      <c r="B250" s="3">
        <v>244</v>
      </c>
      <c r="C250" s="3">
        <v>23.12</v>
      </c>
      <c r="D250" s="3">
        <v>42.09</v>
      </c>
      <c r="E250" s="3">
        <v>9.8800000000000008</v>
      </c>
      <c r="F250" s="3">
        <v>66.86</v>
      </c>
      <c r="G250" s="3">
        <v>9.5399999999999991</v>
      </c>
      <c r="H250" s="3">
        <v>9.26</v>
      </c>
      <c r="I250" s="3">
        <v>9.34</v>
      </c>
      <c r="J250" s="3">
        <v>10.87</v>
      </c>
      <c r="K250" s="3">
        <v>10.75</v>
      </c>
      <c r="L250" s="3">
        <v>9.17</v>
      </c>
      <c r="M250" s="3">
        <v>8.81</v>
      </c>
      <c r="N250" s="3">
        <v>8.66</v>
      </c>
      <c r="O250" s="3">
        <v>0</v>
      </c>
      <c r="P250" s="16">
        <v>2.1458333333333335</v>
      </c>
      <c r="Q250" s="3">
        <v>0</v>
      </c>
      <c r="R250" s="3">
        <v>19.46</v>
      </c>
      <c r="S250" s="3">
        <v>1643</v>
      </c>
      <c r="T250" s="3">
        <v>103.4</v>
      </c>
      <c r="U250" s="3">
        <v>335</v>
      </c>
      <c r="V250" s="3">
        <v>19.62</v>
      </c>
      <c r="W250" s="3">
        <v>22.17</v>
      </c>
      <c r="X250" s="3">
        <v>25.56</v>
      </c>
      <c r="Y250" s="3">
        <v>24.97</v>
      </c>
      <c r="Z250" s="3">
        <v>24.31</v>
      </c>
      <c r="AA250" s="3">
        <v>12.5</v>
      </c>
      <c r="AB250" s="3">
        <v>9.2200000000000006</v>
      </c>
      <c r="AC250" s="3">
        <v>8.9700000000000006</v>
      </c>
      <c r="AD250" s="16">
        <v>4.9408333333333339</v>
      </c>
      <c r="AE250" s="3">
        <v>1533</v>
      </c>
      <c r="AF250" s="3">
        <v>0.32400000000000001</v>
      </c>
      <c r="AG250" s="3">
        <v>520</v>
      </c>
      <c r="AH250" s="3">
        <v>16.21</v>
      </c>
      <c r="AI250" s="3">
        <v>1528</v>
      </c>
      <c r="AJ250" s="3">
        <v>-0.42399999999999999</v>
      </c>
      <c r="AK250" s="3">
        <v>-0.86899999999999999</v>
      </c>
      <c r="AL250" s="3">
        <v>-0.41199999999999998</v>
      </c>
      <c r="AM250" s="3">
        <v>-0.81799999999999995</v>
      </c>
      <c r="AN250" s="3">
        <v>-0.64800000000000002</v>
      </c>
      <c r="AO250" s="3">
        <v>6.2519999999999998</v>
      </c>
      <c r="AP250" s="3">
        <v>8.52</v>
      </c>
      <c r="AQ250" s="3">
        <v>8.43</v>
      </c>
      <c r="AR250" s="3">
        <v>5.0999999999999997E-2</v>
      </c>
      <c r="AS250" s="3">
        <v>0.309</v>
      </c>
      <c r="AT250" s="3">
        <v>0.33100000000000002</v>
      </c>
      <c r="AU250" s="3">
        <v>0.01</v>
      </c>
      <c r="AV250" s="3">
        <v>4.2999999999999997E-2</v>
      </c>
      <c r="AW250" s="3">
        <v>0.13300000000000001</v>
      </c>
      <c r="AX250" s="3">
        <v>8.3000000000000004E-2</v>
      </c>
      <c r="AY250" s="3">
        <v>0.04</v>
      </c>
      <c r="AZ250" s="3">
        <v>9.58</v>
      </c>
      <c r="BA250" s="3"/>
      <c r="BB250" s="3">
        <v>12.39</v>
      </c>
      <c r="BC250" s="3">
        <v>2876</v>
      </c>
      <c r="BD250" s="3"/>
      <c r="BE250" s="3"/>
      <c r="BF250" s="3">
        <v>0</v>
      </c>
      <c r="BH250" s="16">
        <v>22.69</v>
      </c>
      <c r="BI250" s="16">
        <f t="shared" si="192"/>
        <v>45.833800000000004</v>
      </c>
      <c r="BJ250" s="17">
        <f t="shared" si="153"/>
        <v>23.12</v>
      </c>
      <c r="BK250" s="17">
        <f t="shared" si="154"/>
        <v>45.46</v>
      </c>
      <c r="BM250" s="1">
        <f t="shared" si="155"/>
        <v>96.5</v>
      </c>
      <c r="BN250" s="1">
        <f t="shared" si="156"/>
        <v>62.8</v>
      </c>
      <c r="BO250" s="1">
        <f t="shared" si="157"/>
        <v>16</v>
      </c>
      <c r="BP250" s="62">
        <f t="shared" si="159"/>
        <v>0.36199999999999999</v>
      </c>
      <c r="BQ250" s="62">
        <f t="shared" si="158"/>
        <v>1.901</v>
      </c>
      <c r="BS250" s="1">
        <v>0</v>
      </c>
      <c r="BT250" s="8"/>
      <c r="BV250" s="8"/>
      <c r="BW250" s="16">
        <f t="shared" si="160"/>
        <v>23.12</v>
      </c>
      <c r="BX250" s="16">
        <f t="shared" si="161"/>
        <v>45.46</v>
      </c>
      <c r="BY250" s="3">
        <f t="shared" si="162"/>
        <v>9.9</v>
      </c>
      <c r="BZ250" s="3">
        <f t="shared" si="163"/>
        <v>9.5</v>
      </c>
      <c r="CA250" s="3">
        <f t="shared" si="164"/>
        <v>9.3000000000000007</v>
      </c>
      <c r="CB250" s="3">
        <f t="shared" si="165"/>
        <v>9.3000000000000007</v>
      </c>
      <c r="CC250" s="3">
        <f t="shared" si="166"/>
        <v>9.1999999999999993</v>
      </c>
      <c r="CD250" s="3">
        <f t="shared" si="167"/>
        <v>8.8000000000000007</v>
      </c>
      <c r="CE250" s="3">
        <f t="shared" si="168"/>
        <v>8.6999999999999993</v>
      </c>
      <c r="CF250" s="23">
        <f t="shared" si="169"/>
        <v>62.8</v>
      </c>
      <c r="CG250" s="1">
        <f t="shared" si="170"/>
        <v>19.5</v>
      </c>
      <c r="CH250" s="1">
        <f t="shared" si="171"/>
        <v>19.600000000000001</v>
      </c>
      <c r="CI250" s="1">
        <f t="shared" si="172"/>
        <v>22.2</v>
      </c>
      <c r="CJ250" s="1">
        <f t="shared" si="173"/>
        <v>25.6</v>
      </c>
      <c r="CK250" s="1">
        <f t="shared" si="174"/>
        <v>12.5</v>
      </c>
      <c r="CL250" s="1">
        <f t="shared" si="175"/>
        <v>9.1999999999999993</v>
      </c>
      <c r="CM250" s="1">
        <f t="shared" si="176"/>
        <v>9</v>
      </c>
      <c r="CN250" s="2">
        <f t="shared" si="177"/>
        <v>96.5</v>
      </c>
      <c r="CO250" s="1">
        <f t="shared" si="178"/>
        <v>0.3</v>
      </c>
      <c r="CP250" s="1">
        <f t="shared" si="179"/>
        <v>-0.4</v>
      </c>
      <c r="CQ250" s="1">
        <f t="shared" si="180"/>
        <v>-0.9</v>
      </c>
      <c r="CR250" s="1">
        <f t="shared" si="181"/>
        <v>-0.4</v>
      </c>
      <c r="CS250" s="1">
        <f t="shared" si="182"/>
        <v>6.3</v>
      </c>
      <c r="CT250" s="1">
        <f t="shared" si="183"/>
        <v>8.5</v>
      </c>
      <c r="CU250" s="1">
        <f t="shared" si="184"/>
        <v>8.4</v>
      </c>
      <c r="CV250" s="2">
        <f t="shared" si="185"/>
        <v>16</v>
      </c>
      <c r="CW250" s="18">
        <f t="shared" si="186"/>
        <v>0</v>
      </c>
      <c r="CX250" s="1">
        <f>ROUND(PPTest!K250,1)</f>
        <v>0</v>
      </c>
      <c r="CY250" s="17">
        <f t="shared" si="187"/>
        <v>2.15</v>
      </c>
      <c r="CZ250" s="17">
        <f t="shared" si="188"/>
        <v>4.9400000000000004</v>
      </c>
      <c r="DA250" s="20">
        <f t="shared" si="189"/>
        <v>0.36199999999999999</v>
      </c>
      <c r="DB250" s="20">
        <f t="shared" si="190"/>
        <v>1.901</v>
      </c>
      <c r="DC250" s="16">
        <f t="shared" si="191"/>
        <v>12.39</v>
      </c>
      <c r="DF250" s="1">
        <v>15.9</v>
      </c>
      <c r="DG250" s="1">
        <v>21.6</v>
      </c>
      <c r="DH250" s="1">
        <v>10.5</v>
      </c>
      <c r="DI250" s="1">
        <v>47.9</v>
      </c>
      <c r="DJ250" s="1">
        <v>36</v>
      </c>
      <c r="DW250" s="1">
        <v>12.3</v>
      </c>
      <c r="DX250" s="1">
        <v>24</v>
      </c>
      <c r="DY250" s="1">
        <v>2.2999999999999998</v>
      </c>
    </row>
    <row r="251" spans="1:129" x14ac:dyDescent="0.2">
      <c r="A251" s="40">
        <v>34944</v>
      </c>
      <c r="B251" s="3">
        <v>245</v>
      </c>
      <c r="C251" s="3">
        <v>22.96</v>
      </c>
      <c r="D251" s="3">
        <v>41.96</v>
      </c>
      <c r="E251" s="3">
        <v>10.86</v>
      </c>
      <c r="F251" s="3">
        <v>64.849999999999994</v>
      </c>
      <c r="G251" s="3">
        <v>10.56</v>
      </c>
      <c r="H251" s="3">
        <v>10.27</v>
      </c>
      <c r="I251" s="3">
        <v>9.8699999999999992</v>
      </c>
      <c r="J251" s="3">
        <v>11.71</v>
      </c>
      <c r="K251" s="3">
        <v>11.67</v>
      </c>
      <c r="L251" s="3">
        <v>9.4499999999999993</v>
      </c>
      <c r="M251" s="3">
        <v>8.9700000000000006</v>
      </c>
      <c r="N251" s="3">
        <v>8.67</v>
      </c>
      <c r="O251" s="3">
        <v>1E-3</v>
      </c>
      <c r="P251" s="16">
        <v>2.2391666666666667</v>
      </c>
      <c r="Q251" s="3">
        <v>0</v>
      </c>
      <c r="R251" s="3">
        <v>21.47</v>
      </c>
      <c r="S251" s="3">
        <v>1704</v>
      </c>
      <c r="T251" s="3">
        <v>101.5</v>
      </c>
      <c r="U251" s="3">
        <v>548</v>
      </c>
      <c r="V251" s="3">
        <v>21.23</v>
      </c>
      <c r="W251" s="3">
        <v>24.06</v>
      </c>
      <c r="X251" s="3">
        <v>25.36</v>
      </c>
      <c r="Y251" s="3">
        <v>26</v>
      </c>
      <c r="Z251" s="3">
        <v>26.04</v>
      </c>
      <c r="AA251" s="3">
        <v>12.78</v>
      </c>
      <c r="AB251" s="3">
        <v>9.3800000000000008</v>
      </c>
      <c r="AC251" s="3">
        <v>8.9700000000000006</v>
      </c>
      <c r="AD251" s="16">
        <v>5.0875000000000004</v>
      </c>
      <c r="AE251" s="3">
        <v>1246</v>
      </c>
      <c r="AF251" s="3">
        <v>1.609</v>
      </c>
      <c r="AG251" s="3">
        <v>545</v>
      </c>
      <c r="AH251" s="3">
        <v>15.26</v>
      </c>
      <c r="AI251" s="3">
        <v>1550</v>
      </c>
      <c r="AJ251" s="3">
        <v>0.92</v>
      </c>
      <c r="AK251" s="3">
        <v>0.48199999999999998</v>
      </c>
      <c r="AL251" s="3">
        <v>0.47299999999999998</v>
      </c>
      <c r="AM251" s="3">
        <v>0.39200000000000002</v>
      </c>
      <c r="AN251" s="3">
        <v>0.51900000000000002</v>
      </c>
      <c r="AO251" s="3">
        <v>6.68</v>
      </c>
      <c r="AP251" s="3">
        <v>8.68</v>
      </c>
      <c r="AQ251" s="3">
        <v>8.4600000000000009</v>
      </c>
      <c r="AR251" s="3">
        <v>1.4999999999999999E-2</v>
      </c>
      <c r="AS251" s="3">
        <v>0.24199999999999999</v>
      </c>
      <c r="AT251" s="3">
        <v>0.34699999999999998</v>
      </c>
      <c r="AU251" s="3">
        <v>3.0000000000000001E-3</v>
      </c>
      <c r="AV251" s="3">
        <v>5.0999999999999997E-2</v>
      </c>
      <c r="AW251" s="3">
        <v>0.22</v>
      </c>
      <c r="AX251" s="3">
        <v>0.10100000000000001</v>
      </c>
      <c r="AY251" s="3">
        <v>2.1000000000000001E-2</v>
      </c>
      <c r="AZ251" s="3">
        <v>10.49</v>
      </c>
      <c r="BA251" s="3"/>
      <c r="BB251" s="3">
        <v>12.39</v>
      </c>
      <c r="BC251" s="3">
        <v>2876</v>
      </c>
      <c r="BD251" s="3"/>
      <c r="BE251" s="3"/>
      <c r="BF251" s="3">
        <v>0</v>
      </c>
      <c r="BH251" s="16">
        <v>22.45</v>
      </c>
      <c r="BI251" s="16">
        <f t="shared" si="192"/>
        <v>45.348999999999997</v>
      </c>
      <c r="BJ251" s="17">
        <f t="shared" si="153"/>
        <v>22.96</v>
      </c>
      <c r="BK251" s="17">
        <f t="shared" si="154"/>
        <v>45.32</v>
      </c>
      <c r="BM251" s="1">
        <f t="shared" si="155"/>
        <v>94.8</v>
      </c>
      <c r="BN251" s="1">
        <f t="shared" si="156"/>
        <v>60.9</v>
      </c>
      <c r="BO251" s="1">
        <f t="shared" si="157"/>
        <v>15.1</v>
      </c>
      <c r="BP251" s="62">
        <f t="shared" si="159"/>
        <v>0.38600000000000001</v>
      </c>
      <c r="BQ251" s="62">
        <f t="shared" si="158"/>
        <v>2.17</v>
      </c>
      <c r="BS251" s="1">
        <v>0</v>
      </c>
      <c r="BT251" s="8"/>
      <c r="BV251" s="8"/>
      <c r="BW251" s="16">
        <f t="shared" si="160"/>
        <v>22.96</v>
      </c>
      <c r="BX251" s="16">
        <f t="shared" si="161"/>
        <v>45.32</v>
      </c>
      <c r="BY251" s="3">
        <f t="shared" si="162"/>
        <v>10.9</v>
      </c>
      <c r="BZ251" s="3">
        <f t="shared" si="163"/>
        <v>10.6</v>
      </c>
      <c r="CA251" s="3">
        <f t="shared" si="164"/>
        <v>10.3</v>
      </c>
      <c r="CB251" s="3">
        <f t="shared" si="165"/>
        <v>9.9</v>
      </c>
      <c r="CC251" s="3">
        <f t="shared" si="166"/>
        <v>9.5</v>
      </c>
      <c r="CD251" s="3">
        <f t="shared" si="167"/>
        <v>9</v>
      </c>
      <c r="CE251" s="3">
        <f t="shared" si="168"/>
        <v>8.6999999999999993</v>
      </c>
      <c r="CF251" s="23">
        <f t="shared" si="169"/>
        <v>60.9</v>
      </c>
      <c r="CG251" s="1">
        <f t="shared" si="170"/>
        <v>21.5</v>
      </c>
      <c r="CH251" s="1">
        <f t="shared" si="171"/>
        <v>21.2</v>
      </c>
      <c r="CI251" s="1">
        <f t="shared" si="172"/>
        <v>24.1</v>
      </c>
      <c r="CJ251" s="1">
        <f t="shared" si="173"/>
        <v>25.4</v>
      </c>
      <c r="CK251" s="1">
        <f t="shared" si="174"/>
        <v>12.8</v>
      </c>
      <c r="CL251" s="1">
        <f t="shared" si="175"/>
        <v>9.4</v>
      </c>
      <c r="CM251" s="1">
        <f t="shared" si="176"/>
        <v>9</v>
      </c>
      <c r="CN251" s="2">
        <f t="shared" si="177"/>
        <v>94.8</v>
      </c>
      <c r="CO251" s="1">
        <f t="shared" si="178"/>
        <v>1.6</v>
      </c>
      <c r="CP251" s="1">
        <f t="shared" si="179"/>
        <v>0.9</v>
      </c>
      <c r="CQ251" s="1">
        <f t="shared" si="180"/>
        <v>0.5</v>
      </c>
      <c r="CR251" s="1">
        <f t="shared" si="181"/>
        <v>0.5</v>
      </c>
      <c r="CS251" s="1">
        <f t="shared" si="182"/>
        <v>6.7</v>
      </c>
      <c r="CT251" s="1">
        <f t="shared" si="183"/>
        <v>8.6999999999999993</v>
      </c>
      <c r="CU251" s="1">
        <f t="shared" si="184"/>
        <v>8.5</v>
      </c>
      <c r="CV251" s="2">
        <f t="shared" si="185"/>
        <v>15.1</v>
      </c>
      <c r="CW251" s="18">
        <f t="shared" si="186"/>
        <v>0</v>
      </c>
      <c r="CX251" s="1">
        <f>ROUND(PPTest!K251,1)</f>
        <v>0</v>
      </c>
      <c r="CY251" s="17">
        <f t="shared" si="187"/>
        <v>2.2400000000000002</v>
      </c>
      <c r="CZ251" s="17">
        <f t="shared" si="188"/>
        <v>5.09</v>
      </c>
      <c r="DA251" s="20">
        <f t="shared" si="189"/>
        <v>0.38600000000000001</v>
      </c>
      <c r="DB251" s="20">
        <f t="shared" si="190"/>
        <v>2.17</v>
      </c>
      <c r="DC251" s="16">
        <f t="shared" si="191"/>
        <v>12.39</v>
      </c>
      <c r="DF251" s="1">
        <v>17.899999999999999</v>
      </c>
      <c r="DG251" s="1">
        <v>24</v>
      </c>
      <c r="DH251" s="1">
        <v>12.6</v>
      </c>
      <c r="DI251" s="1">
        <v>40.5</v>
      </c>
      <c r="DJ251" s="1">
        <v>30</v>
      </c>
      <c r="DW251" s="1">
        <v>13.8</v>
      </c>
      <c r="DX251" s="1">
        <v>24.9</v>
      </c>
      <c r="DY251" s="1">
        <v>3.3</v>
      </c>
    </row>
    <row r="252" spans="1:129" x14ac:dyDescent="0.2">
      <c r="A252" s="40">
        <v>34945</v>
      </c>
      <c r="B252" s="3">
        <v>246</v>
      </c>
      <c r="C252" s="3">
        <v>22.76</v>
      </c>
      <c r="D252" s="3">
        <v>41.57</v>
      </c>
      <c r="E252" s="3">
        <v>11.29</v>
      </c>
      <c r="F252" s="3">
        <v>58.23</v>
      </c>
      <c r="G252" s="3">
        <v>10.93</v>
      </c>
      <c r="H252" s="3">
        <v>10.57</v>
      </c>
      <c r="I252" s="3">
        <v>9.84</v>
      </c>
      <c r="J252" s="3">
        <v>12.12</v>
      </c>
      <c r="K252" s="3">
        <v>12.04</v>
      </c>
      <c r="L252" s="3">
        <v>9.4499999999999993</v>
      </c>
      <c r="M252" s="3">
        <v>9.0399999999999991</v>
      </c>
      <c r="N252" s="3">
        <v>8.67</v>
      </c>
      <c r="O252" s="3">
        <v>0</v>
      </c>
      <c r="P252" s="16">
        <v>2.019166666666667</v>
      </c>
      <c r="Q252" s="3">
        <v>0</v>
      </c>
      <c r="R252" s="3">
        <v>22.76</v>
      </c>
      <c r="S252" s="3">
        <v>1519</v>
      </c>
      <c r="T252" s="3">
        <v>98</v>
      </c>
      <c r="U252" s="3">
        <v>530</v>
      </c>
      <c r="V252" s="3">
        <v>22.98</v>
      </c>
      <c r="W252" s="3">
        <v>24.83</v>
      </c>
      <c r="X252" s="3">
        <v>27.05</v>
      </c>
      <c r="Y252" s="3">
        <v>28.76</v>
      </c>
      <c r="Z252" s="3">
        <v>27.26</v>
      </c>
      <c r="AA252" s="3">
        <v>12.93</v>
      </c>
      <c r="AB252" s="3">
        <v>9.4499999999999993</v>
      </c>
      <c r="AC252" s="3">
        <v>9</v>
      </c>
      <c r="AD252" s="16">
        <v>4.2474999999999996</v>
      </c>
      <c r="AE252" s="3">
        <v>1139</v>
      </c>
      <c r="AF252" s="3">
        <v>0.67</v>
      </c>
      <c r="AG252" s="3">
        <v>520</v>
      </c>
      <c r="AH252" s="3">
        <v>12.69</v>
      </c>
      <c r="AI252" s="3">
        <v>1348</v>
      </c>
      <c r="AJ252" s="3">
        <v>-0.222</v>
      </c>
      <c r="AK252" s="3">
        <v>-0.78900000000000003</v>
      </c>
      <c r="AL252" s="3">
        <v>-0.71299999999999997</v>
      </c>
      <c r="AM252" s="3">
        <v>-0.73799999999999999</v>
      </c>
      <c r="AN252" s="3">
        <v>-0.61199999999999999</v>
      </c>
      <c r="AO252" s="3">
        <v>6.4790000000000001</v>
      </c>
      <c r="AP252" s="3">
        <v>8.6999999999999993</v>
      </c>
      <c r="AQ252" s="3">
        <v>8.43</v>
      </c>
      <c r="AR252" s="3">
        <v>1.0999999999999999E-2</v>
      </c>
      <c r="AS252" s="3">
        <v>0.23300000000000001</v>
      </c>
      <c r="AT252" s="3">
        <v>0.37</v>
      </c>
      <c r="AU252" s="3">
        <v>1.0999999999999999E-2</v>
      </c>
      <c r="AV252" s="3">
        <v>8.7999999999999995E-2</v>
      </c>
      <c r="AW252" s="3">
        <v>0.17699999999999999</v>
      </c>
      <c r="AX252" s="3">
        <v>8.3000000000000004E-2</v>
      </c>
      <c r="AY252" s="3">
        <v>2.5999999999999999E-2</v>
      </c>
      <c r="AZ252" s="3">
        <v>10.66</v>
      </c>
      <c r="BA252" s="3"/>
      <c r="BB252" s="3">
        <v>12.39</v>
      </c>
      <c r="BC252" s="3">
        <v>2876</v>
      </c>
      <c r="BD252" s="3"/>
      <c r="BE252" s="3"/>
      <c r="BF252" s="3">
        <v>0</v>
      </c>
      <c r="BH252" s="16">
        <v>22.2</v>
      </c>
      <c r="BI252" s="16">
        <f t="shared" si="192"/>
        <v>44.844000000000001</v>
      </c>
      <c r="BJ252" s="17">
        <f t="shared" si="153"/>
        <v>22.76</v>
      </c>
      <c r="BK252" s="17">
        <f t="shared" si="154"/>
        <v>44.9</v>
      </c>
      <c r="BM252" s="1">
        <f t="shared" si="155"/>
        <v>91.6</v>
      </c>
      <c r="BN252" s="1">
        <f t="shared" si="156"/>
        <v>54.8</v>
      </c>
      <c r="BO252" s="1">
        <f t="shared" si="157"/>
        <v>12.7</v>
      </c>
      <c r="BP252" s="62">
        <f t="shared" si="159"/>
        <v>0.35199999999999998</v>
      </c>
      <c r="BQ252" s="62">
        <f t="shared" si="158"/>
        <v>2.42</v>
      </c>
      <c r="BS252" s="1">
        <v>0</v>
      </c>
      <c r="BT252" s="8"/>
      <c r="BV252" s="8"/>
      <c r="BW252" s="16">
        <f t="shared" si="160"/>
        <v>22.76</v>
      </c>
      <c r="BX252" s="16">
        <f t="shared" si="161"/>
        <v>44.9</v>
      </c>
      <c r="BY252" s="3">
        <f t="shared" si="162"/>
        <v>11.3</v>
      </c>
      <c r="BZ252" s="3">
        <f t="shared" si="163"/>
        <v>10.9</v>
      </c>
      <c r="CA252" s="3">
        <f t="shared" si="164"/>
        <v>10.6</v>
      </c>
      <c r="CB252" s="3">
        <f t="shared" si="165"/>
        <v>9.8000000000000007</v>
      </c>
      <c r="CC252" s="3">
        <f t="shared" si="166"/>
        <v>9.5</v>
      </c>
      <c r="CD252" s="3">
        <f t="shared" si="167"/>
        <v>9</v>
      </c>
      <c r="CE252" s="3">
        <f t="shared" si="168"/>
        <v>8.6999999999999993</v>
      </c>
      <c r="CF252" s="23">
        <f t="shared" si="169"/>
        <v>54.8</v>
      </c>
      <c r="CG252" s="1">
        <f t="shared" si="170"/>
        <v>22.8</v>
      </c>
      <c r="CH252" s="1">
        <f t="shared" si="171"/>
        <v>23</v>
      </c>
      <c r="CI252" s="1">
        <f t="shared" si="172"/>
        <v>24.8</v>
      </c>
      <c r="CJ252" s="1">
        <f t="shared" si="173"/>
        <v>27.1</v>
      </c>
      <c r="CK252" s="1">
        <f t="shared" si="174"/>
        <v>12.9</v>
      </c>
      <c r="CL252" s="1">
        <f t="shared" si="175"/>
        <v>9.5</v>
      </c>
      <c r="CM252" s="1">
        <f t="shared" si="176"/>
        <v>9</v>
      </c>
      <c r="CN252" s="2">
        <f t="shared" si="177"/>
        <v>91.6</v>
      </c>
      <c r="CO252" s="1">
        <f t="shared" si="178"/>
        <v>0.7</v>
      </c>
      <c r="CP252" s="1">
        <f t="shared" si="179"/>
        <v>-0.2</v>
      </c>
      <c r="CQ252" s="1">
        <f t="shared" si="180"/>
        <v>-0.8</v>
      </c>
      <c r="CR252" s="1">
        <f t="shared" si="181"/>
        <v>-0.7</v>
      </c>
      <c r="CS252" s="1">
        <f t="shared" si="182"/>
        <v>6.5</v>
      </c>
      <c r="CT252" s="1">
        <f t="shared" si="183"/>
        <v>8.6999999999999993</v>
      </c>
      <c r="CU252" s="1">
        <f t="shared" si="184"/>
        <v>8.4</v>
      </c>
      <c r="CV252" s="2">
        <f t="shared" si="185"/>
        <v>12.7</v>
      </c>
      <c r="CW252" s="18">
        <f t="shared" si="186"/>
        <v>0</v>
      </c>
      <c r="CX252" s="1">
        <f>ROUND(PPTest!K252,1)</f>
        <v>0</v>
      </c>
      <c r="CY252" s="17">
        <f t="shared" si="187"/>
        <v>2.02</v>
      </c>
      <c r="CZ252" s="17">
        <f t="shared" si="188"/>
        <v>4.25</v>
      </c>
      <c r="DA252" s="20">
        <f t="shared" si="189"/>
        <v>0.35199999999999998</v>
      </c>
      <c r="DB252" s="20">
        <f t="shared" si="190"/>
        <v>2.42</v>
      </c>
      <c r="DC252" s="16">
        <f t="shared" si="191"/>
        <v>12.39</v>
      </c>
      <c r="DF252" s="1">
        <v>18.3</v>
      </c>
      <c r="DG252" s="1">
        <v>24.4</v>
      </c>
      <c r="DH252" s="1">
        <v>13.1</v>
      </c>
      <c r="DI252" s="1">
        <v>35.4</v>
      </c>
      <c r="DJ252" s="1">
        <v>25</v>
      </c>
      <c r="DW252" s="1">
        <v>15.4</v>
      </c>
      <c r="DX252" s="1">
        <v>29.1</v>
      </c>
      <c r="DY252" s="1">
        <v>4.3</v>
      </c>
    </row>
    <row r="253" spans="1:129" x14ac:dyDescent="0.2">
      <c r="A253" s="40">
        <v>34946</v>
      </c>
      <c r="B253" s="3">
        <v>247</v>
      </c>
      <c r="C253" s="3">
        <v>19.809999999999999</v>
      </c>
      <c r="D253" s="3">
        <v>36.99</v>
      </c>
      <c r="E253" s="3">
        <v>15.03</v>
      </c>
      <c r="F253" s="3">
        <v>56.83</v>
      </c>
      <c r="G253" s="3">
        <v>14.42</v>
      </c>
      <c r="H253" s="3">
        <v>14.08</v>
      </c>
      <c r="I253" s="3">
        <v>13.31</v>
      </c>
      <c r="J253" s="3">
        <v>14.86</v>
      </c>
      <c r="K253" s="3">
        <v>14.93</v>
      </c>
      <c r="L253" s="3">
        <v>10.42</v>
      </c>
      <c r="M253" s="3">
        <v>9.25</v>
      </c>
      <c r="N253" s="3">
        <v>8.7100000000000009</v>
      </c>
      <c r="O253" s="3">
        <v>0</v>
      </c>
      <c r="P253" s="16">
        <v>2.0708333333333333</v>
      </c>
      <c r="Q253" s="3">
        <v>0</v>
      </c>
      <c r="R253" s="3">
        <v>27.01</v>
      </c>
      <c r="S253" s="3">
        <v>1317</v>
      </c>
      <c r="T253" s="3">
        <v>90.7</v>
      </c>
      <c r="U253" s="3">
        <v>507</v>
      </c>
      <c r="V253" s="3">
        <v>27.78</v>
      </c>
      <c r="W253" s="3">
        <v>30.08</v>
      </c>
      <c r="X253" s="3">
        <v>31.73</v>
      </c>
      <c r="Y253" s="3">
        <v>32.15</v>
      </c>
      <c r="Z253" s="3">
        <v>31.08</v>
      </c>
      <c r="AA253" s="3">
        <v>14.29</v>
      </c>
      <c r="AB253" s="3">
        <v>9.8699999999999992</v>
      </c>
      <c r="AC253" s="3">
        <v>8.9499999999999993</v>
      </c>
      <c r="AD253" s="16">
        <v>5.4208333333333334</v>
      </c>
      <c r="AE253" s="3">
        <v>1300</v>
      </c>
      <c r="AF253" s="3">
        <v>3.3860000000000001</v>
      </c>
      <c r="AG253" s="3">
        <v>507</v>
      </c>
      <c r="AH253" s="3">
        <v>17.82</v>
      </c>
      <c r="AI253" s="3">
        <v>1225</v>
      </c>
      <c r="AJ253" s="3">
        <v>2.448</v>
      </c>
      <c r="AK253" s="3">
        <v>1.748</v>
      </c>
      <c r="AL253" s="3">
        <v>1.5189999999999999</v>
      </c>
      <c r="AM253" s="3">
        <v>1.73</v>
      </c>
      <c r="AN253" s="3">
        <v>1.929</v>
      </c>
      <c r="AO253" s="3">
        <v>7.16</v>
      </c>
      <c r="AP253" s="3">
        <v>8.7799999999999994</v>
      </c>
      <c r="AQ253" s="3">
        <v>8.52</v>
      </c>
      <c r="AR253" s="3">
        <v>4.9000000000000002E-2</v>
      </c>
      <c r="AS253" s="3">
        <v>0.44400000000000001</v>
      </c>
      <c r="AT253" s="3">
        <v>0.34599999999999997</v>
      </c>
      <c r="AU253" s="3">
        <v>5.5E-2</v>
      </c>
      <c r="AV253" s="3">
        <v>5.2999999999999999E-2</v>
      </c>
      <c r="AW253" s="3">
        <v>3.1E-2</v>
      </c>
      <c r="AX253" s="3">
        <v>1.4E-2</v>
      </c>
      <c r="AY253" s="3">
        <v>8.9999999999999993E-3</v>
      </c>
      <c r="AZ253" s="3">
        <v>13.91</v>
      </c>
      <c r="BA253" s="3"/>
      <c r="BB253" s="3">
        <v>12.39</v>
      </c>
      <c r="BC253" s="3">
        <v>2876</v>
      </c>
      <c r="BD253" s="3"/>
      <c r="BE253" s="3"/>
      <c r="BF253" s="3">
        <v>0</v>
      </c>
      <c r="BH253" s="16">
        <v>21.95</v>
      </c>
      <c r="BI253" s="16">
        <f t="shared" si="192"/>
        <v>44.338999999999999</v>
      </c>
      <c r="BJ253" s="17">
        <f t="shared" si="153"/>
        <v>19.809999999999999</v>
      </c>
      <c r="BK253" s="17">
        <f t="shared" si="154"/>
        <v>39.950000000000003</v>
      </c>
      <c r="BM253" s="1">
        <f t="shared" si="155"/>
        <v>84.8</v>
      </c>
      <c r="BN253" s="1">
        <f t="shared" si="156"/>
        <v>53.5</v>
      </c>
      <c r="BO253" s="1">
        <f t="shared" si="157"/>
        <v>17.5</v>
      </c>
      <c r="BP253" s="62">
        <f t="shared" si="159"/>
        <v>0.624</v>
      </c>
      <c r="BQ253" s="62">
        <f t="shared" si="158"/>
        <v>2.9420000000000002</v>
      </c>
      <c r="BS253" s="1">
        <v>0</v>
      </c>
      <c r="BT253" s="8"/>
      <c r="BV253" s="8"/>
      <c r="BW253" s="16">
        <f t="shared" si="160"/>
        <v>19.809999999999999</v>
      </c>
      <c r="BX253" s="16">
        <f t="shared" si="161"/>
        <v>39.950000000000003</v>
      </c>
      <c r="BY253" s="3">
        <f t="shared" si="162"/>
        <v>15</v>
      </c>
      <c r="BZ253" s="3">
        <f t="shared" si="163"/>
        <v>14.4</v>
      </c>
      <c r="CA253" s="3">
        <f t="shared" si="164"/>
        <v>14.1</v>
      </c>
      <c r="CB253" s="3">
        <f t="shared" si="165"/>
        <v>13.3</v>
      </c>
      <c r="CC253" s="3">
        <f t="shared" si="166"/>
        <v>10.4</v>
      </c>
      <c r="CD253" s="3">
        <f t="shared" si="167"/>
        <v>9.3000000000000007</v>
      </c>
      <c r="CE253" s="3">
        <f t="shared" si="168"/>
        <v>8.6999999999999993</v>
      </c>
      <c r="CF253" s="23">
        <f t="shared" si="169"/>
        <v>53.5</v>
      </c>
      <c r="CG253" s="1">
        <f t="shared" si="170"/>
        <v>27</v>
      </c>
      <c r="CH253" s="1">
        <f t="shared" si="171"/>
        <v>27.8</v>
      </c>
      <c r="CI253" s="1">
        <f t="shared" si="172"/>
        <v>30.1</v>
      </c>
      <c r="CJ253" s="1">
        <f t="shared" si="173"/>
        <v>31.7</v>
      </c>
      <c r="CK253" s="1">
        <f t="shared" si="174"/>
        <v>14.3</v>
      </c>
      <c r="CL253" s="1">
        <f t="shared" si="175"/>
        <v>9.9</v>
      </c>
      <c r="CM253" s="1">
        <f t="shared" si="176"/>
        <v>9</v>
      </c>
      <c r="CN253" s="2">
        <f t="shared" si="177"/>
        <v>84.8</v>
      </c>
      <c r="CO253" s="1">
        <f t="shared" si="178"/>
        <v>3.4</v>
      </c>
      <c r="CP253" s="1">
        <f t="shared" si="179"/>
        <v>2.4</v>
      </c>
      <c r="CQ253" s="1">
        <f t="shared" si="180"/>
        <v>1.7</v>
      </c>
      <c r="CR253" s="1">
        <f t="shared" si="181"/>
        <v>1.5</v>
      </c>
      <c r="CS253" s="1">
        <f t="shared" si="182"/>
        <v>7.2</v>
      </c>
      <c r="CT253" s="1">
        <f t="shared" si="183"/>
        <v>8.8000000000000007</v>
      </c>
      <c r="CU253" s="1">
        <f t="shared" si="184"/>
        <v>8.5</v>
      </c>
      <c r="CV253" s="2">
        <f t="shared" si="185"/>
        <v>17.5</v>
      </c>
      <c r="CW253" s="18">
        <f t="shared" si="186"/>
        <v>0</v>
      </c>
      <c r="CX253" s="1">
        <f>ROUND(PPTest!K253,1)</f>
        <v>0</v>
      </c>
      <c r="CY253" s="17">
        <f t="shared" si="187"/>
        <v>2.0699999999999998</v>
      </c>
      <c r="CZ253" s="17">
        <f t="shared" si="188"/>
        <v>5.42</v>
      </c>
      <c r="DA253" s="20">
        <f t="shared" si="189"/>
        <v>0.624</v>
      </c>
      <c r="DB253" s="20">
        <f t="shared" si="190"/>
        <v>2.9420000000000002</v>
      </c>
      <c r="DC253" s="16">
        <f t="shared" si="191"/>
        <v>12.39</v>
      </c>
      <c r="DF253" s="1">
        <v>20.3</v>
      </c>
      <c r="DG253" s="1">
        <v>27.7</v>
      </c>
      <c r="DH253" s="1">
        <v>15.6</v>
      </c>
      <c r="DI253" s="1">
        <v>32.200000000000003</v>
      </c>
      <c r="DJ253" s="1">
        <v>24</v>
      </c>
      <c r="DW253" s="1">
        <v>16.600000000000001</v>
      </c>
      <c r="DX253" s="1">
        <v>25.8</v>
      </c>
      <c r="DY253" s="1">
        <v>8.3000000000000007</v>
      </c>
    </row>
    <row r="254" spans="1:129" x14ac:dyDescent="0.2">
      <c r="A254" s="40">
        <v>34947</v>
      </c>
      <c r="B254" s="3">
        <v>248</v>
      </c>
      <c r="C254" s="3">
        <v>5.3550000000000004</v>
      </c>
      <c r="D254" s="3">
        <v>10.75</v>
      </c>
      <c r="E254" s="3">
        <v>9.39</v>
      </c>
      <c r="F254" s="3">
        <v>95.1</v>
      </c>
      <c r="G254" s="3">
        <v>9.01</v>
      </c>
      <c r="H254" s="3">
        <v>8.74</v>
      </c>
      <c r="I254" s="3">
        <v>8.65</v>
      </c>
      <c r="J254" s="3">
        <v>8.52</v>
      </c>
      <c r="K254" s="3">
        <v>8.73</v>
      </c>
      <c r="L254" s="3">
        <v>9.92</v>
      </c>
      <c r="M254" s="3">
        <v>9.66</v>
      </c>
      <c r="N254" s="3">
        <v>8.82</v>
      </c>
      <c r="O254" s="3">
        <v>1E-3</v>
      </c>
      <c r="P254" s="16">
        <v>1.7608333333333335</v>
      </c>
      <c r="Q254" s="3">
        <v>20</v>
      </c>
      <c r="R254" s="3">
        <v>13.53</v>
      </c>
      <c r="S254" s="3">
        <v>340</v>
      </c>
      <c r="T254" s="3">
        <v>105.8</v>
      </c>
      <c r="U254" s="3">
        <v>2350</v>
      </c>
      <c r="V254" s="3">
        <v>13.1</v>
      </c>
      <c r="W254" s="3">
        <v>13.84</v>
      </c>
      <c r="X254" s="3">
        <v>13.49</v>
      </c>
      <c r="Y254" s="3">
        <v>12.92</v>
      </c>
      <c r="Z254" s="3">
        <v>14.02</v>
      </c>
      <c r="AA254" s="3">
        <v>11.03</v>
      </c>
      <c r="AB254" s="3">
        <v>9.86</v>
      </c>
      <c r="AC254" s="3">
        <v>8.93</v>
      </c>
      <c r="AD254" s="16">
        <v>4.4741666666666671</v>
      </c>
      <c r="AE254" s="3">
        <v>826</v>
      </c>
      <c r="AF254" s="3">
        <v>5.5149999999999997</v>
      </c>
      <c r="AG254" s="3">
        <v>0</v>
      </c>
      <c r="AH254" s="3">
        <v>68.709999999999994</v>
      </c>
      <c r="AI254" s="3">
        <v>335</v>
      </c>
      <c r="AJ254" s="3">
        <v>4.923</v>
      </c>
      <c r="AK254" s="3">
        <v>4.6260000000000003</v>
      </c>
      <c r="AL254" s="3">
        <v>4.3639999999999999</v>
      </c>
      <c r="AM254" s="3">
        <v>4.5819999999999999</v>
      </c>
      <c r="AN254" s="3">
        <v>4.7300000000000004</v>
      </c>
      <c r="AO254" s="3">
        <v>9.01</v>
      </c>
      <c r="AP254" s="3">
        <v>9.5</v>
      </c>
      <c r="AQ254" s="3">
        <v>8.7100000000000009</v>
      </c>
      <c r="AR254" s="3">
        <v>0.11899999999999999</v>
      </c>
      <c r="AS254" s="3">
        <v>0.438</v>
      </c>
      <c r="AT254" s="3">
        <v>0.27900000000000003</v>
      </c>
      <c r="AU254" s="3">
        <v>4.2999999999999997E-2</v>
      </c>
      <c r="AV254" s="3">
        <v>0.04</v>
      </c>
      <c r="AW254" s="3">
        <v>6.0999999999999999E-2</v>
      </c>
      <c r="AX254" s="3">
        <v>7.0000000000000001E-3</v>
      </c>
      <c r="AY254" s="3">
        <v>1.2E-2</v>
      </c>
      <c r="AZ254" s="3">
        <v>8.74</v>
      </c>
      <c r="BA254" s="3"/>
      <c r="BB254" s="3">
        <v>12.36</v>
      </c>
      <c r="BC254" s="3">
        <v>2876</v>
      </c>
      <c r="BD254" s="3"/>
      <c r="BE254" s="3"/>
      <c r="BF254" s="3">
        <v>0</v>
      </c>
      <c r="BH254" s="16">
        <v>21.7</v>
      </c>
      <c r="BI254" s="16">
        <f t="shared" si="192"/>
        <v>43.833999999999996</v>
      </c>
      <c r="BJ254" s="17">
        <f t="shared" si="153"/>
        <v>5.36</v>
      </c>
      <c r="BK254" s="17">
        <f t="shared" si="154"/>
        <v>11.61</v>
      </c>
      <c r="BM254" s="1">
        <f t="shared" si="155"/>
        <v>98.8</v>
      </c>
      <c r="BN254" s="1">
        <f t="shared" si="156"/>
        <v>88.9</v>
      </c>
      <c r="BO254" s="1">
        <f t="shared" si="157"/>
        <v>64.5</v>
      </c>
      <c r="BP254" s="62">
        <f t="shared" si="159"/>
        <v>1</v>
      </c>
      <c r="BQ254" s="62">
        <f t="shared" si="158"/>
        <v>0.55000000000000004</v>
      </c>
      <c r="BS254" s="1">
        <v>15.6</v>
      </c>
      <c r="BT254" s="8"/>
      <c r="BV254" s="8"/>
      <c r="BW254" s="16">
        <f t="shared" si="160"/>
        <v>5.36</v>
      </c>
      <c r="BX254" s="16">
        <f t="shared" si="161"/>
        <v>11.61</v>
      </c>
      <c r="BY254" s="3">
        <f t="shared" si="162"/>
        <v>9.4</v>
      </c>
      <c r="BZ254" s="3">
        <f t="shared" si="163"/>
        <v>9</v>
      </c>
      <c r="CA254" s="3">
        <f t="shared" si="164"/>
        <v>8.6999999999999993</v>
      </c>
      <c r="CB254" s="3">
        <f t="shared" si="165"/>
        <v>8.6999999999999993</v>
      </c>
      <c r="CC254" s="3">
        <f t="shared" si="166"/>
        <v>9.9</v>
      </c>
      <c r="CD254" s="3">
        <f t="shared" si="167"/>
        <v>9.6999999999999993</v>
      </c>
      <c r="CE254" s="3">
        <f t="shared" si="168"/>
        <v>8.8000000000000007</v>
      </c>
      <c r="CF254" s="23">
        <f t="shared" si="169"/>
        <v>88.9</v>
      </c>
      <c r="CG254" s="1">
        <f t="shared" si="170"/>
        <v>13.5</v>
      </c>
      <c r="CH254" s="1">
        <f t="shared" si="171"/>
        <v>13.1</v>
      </c>
      <c r="CI254" s="1">
        <f t="shared" si="172"/>
        <v>13.8</v>
      </c>
      <c r="CJ254" s="1">
        <f t="shared" si="173"/>
        <v>13.5</v>
      </c>
      <c r="CK254" s="1">
        <f t="shared" si="174"/>
        <v>11</v>
      </c>
      <c r="CL254" s="1">
        <f t="shared" si="175"/>
        <v>9.9</v>
      </c>
      <c r="CM254" s="1">
        <f t="shared" si="176"/>
        <v>8.9</v>
      </c>
      <c r="CN254" s="2">
        <f t="shared" si="177"/>
        <v>98.8</v>
      </c>
      <c r="CO254" s="1">
        <f t="shared" si="178"/>
        <v>5.5</v>
      </c>
      <c r="CP254" s="1">
        <f t="shared" si="179"/>
        <v>4.9000000000000004</v>
      </c>
      <c r="CQ254" s="1">
        <f t="shared" si="180"/>
        <v>4.5999999999999996</v>
      </c>
      <c r="CR254" s="1">
        <f t="shared" si="181"/>
        <v>4.4000000000000004</v>
      </c>
      <c r="CS254" s="1">
        <f t="shared" si="182"/>
        <v>9</v>
      </c>
      <c r="CT254" s="1">
        <f t="shared" si="183"/>
        <v>9.5</v>
      </c>
      <c r="CU254" s="1">
        <f t="shared" si="184"/>
        <v>8.6999999999999993</v>
      </c>
      <c r="CV254" s="2">
        <f t="shared" si="185"/>
        <v>64.5</v>
      </c>
      <c r="CW254" s="18">
        <f t="shared" si="186"/>
        <v>0</v>
      </c>
      <c r="CX254" s="1">
        <f>ROUND(PPTest!K254,1)</f>
        <v>20</v>
      </c>
      <c r="CY254" s="17">
        <f t="shared" si="187"/>
        <v>1.76</v>
      </c>
      <c r="CZ254" s="17">
        <f t="shared" si="188"/>
        <v>4.47</v>
      </c>
      <c r="DA254" s="20">
        <f t="shared" si="189"/>
        <v>1</v>
      </c>
      <c r="DB254" s="20">
        <f t="shared" si="190"/>
        <v>0.55000000000000004</v>
      </c>
      <c r="DC254" s="16">
        <f t="shared" si="191"/>
        <v>12.36</v>
      </c>
      <c r="DF254" s="1">
        <v>11.3</v>
      </c>
      <c r="DG254" s="1">
        <v>14.2</v>
      </c>
      <c r="DH254" s="1">
        <v>8.4</v>
      </c>
      <c r="DI254" s="1">
        <v>93.7</v>
      </c>
      <c r="DJ254" s="1">
        <v>69</v>
      </c>
      <c r="DW254" s="1">
        <v>9.6999999999999993</v>
      </c>
      <c r="DX254" s="1">
        <v>15.3</v>
      </c>
      <c r="DY254" s="1">
        <v>5.5</v>
      </c>
    </row>
    <row r="255" spans="1:129" x14ac:dyDescent="0.2">
      <c r="A255" s="40">
        <v>34948</v>
      </c>
      <c r="B255" s="3">
        <v>249</v>
      </c>
      <c r="C255" s="3">
        <v>15.84</v>
      </c>
      <c r="D255" s="3">
        <v>29.87</v>
      </c>
      <c r="E255" s="3">
        <v>9.07</v>
      </c>
      <c r="F255" s="3">
        <v>88.2</v>
      </c>
      <c r="G255" s="3">
        <v>8.8699999999999992</v>
      </c>
      <c r="H255" s="3">
        <v>8.69</v>
      </c>
      <c r="I255" s="3">
        <v>9.1</v>
      </c>
      <c r="J255" s="3">
        <v>9.6199999999999992</v>
      </c>
      <c r="K255" s="3">
        <v>9.8800000000000008</v>
      </c>
      <c r="L255" s="3">
        <v>9.81</v>
      </c>
      <c r="M255" s="3">
        <v>9.36</v>
      </c>
      <c r="N255" s="3">
        <v>8.8800000000000008</v>
      </c>
      <c r="O255" s="3">
        <v>1E-3</v>
      </c>
      <c r="P255" s="16">
        <v>1.7641666666666667</v>
      </c>
      <c r="Q255" s="3">
        <v>0</v>
      </c>
      <c r="R255" s="3">
        <v>15.94</v>
      </c>
      <c r="S255" s="3">
        <v>1623</v>
      </c>
      <c r="T255" s="3">
        <v>106.1</v>
      </c>
      <c r="U255" s="3">
        <v>32</v>
      </c>
      <c r="V255" s="3">
        <v>15.9</v>
      </c>
      <c r="W255" s="3">
        <v>18.25</v>
      </c>
      <c r="X255" s="3">
        <v>18.93</v>
      </c>
      <c r="Y255" s="3">
        <v>19.190000000000001</v>
      </c>
      <c r="Z255" s="3">
        <v>20.75</v>
      </c>
      <c r="AA255" s="3">
        <v>12.28</v>
      </c>
      <c r="AB255" s="3">
        <v>9.61</v>
      </c>
      <c r="AC255" s="3">
        <v>9.1</v>
      </c>
      <c r="AD255" s="16">
        <v>3.7008333333333332</v>
      </c>
      <c r="AE255" s="3">
        <v>1136</v>
      </c>
      <c r="AF255" s="3">
        <v>3.5649999999999999</v>
      </c>
      <c r="AG255" s="3">
        <v>2333</v>
      </c>
      <c r="AH255" s="3">
        <v>53.34</v>
      </c>
      <c r="AI255" s="3">
        <v>1434</v>
      </c>
      <c r="AJ255" s="3">
        <v>2.8069999999999999</v>
      </c>
      <c r="AK255" s="3">
        <v>2.242</v>
      </c>
      <c r="AL255" s="3">
        <v>2.5880000000000001</v>
      </c>
      <c r="AM255" s="3">
        <v>2.238</v>
      </c>
      <c r="AN255" s="3">
        <v>2.4209999999999998</v>
      </c>
      <c r="AO255" s="3">
        <v>8.2200000000000006</v>
      </c>
      <c r="AP255" s="3">
        <v>9.17</v>
      </c>
      <c r="AQ255" s="3">
        <v>8.7100000000000009</v>
      </c>
      <c r="AR255" s="3">
        <v>0.14599999999999999</v>
      </c>
      <c r="AS255" s="3">
        <v>0.52900000000000003</v>
      </c>
      <c r="AT255" s="3">
        <v>0.156</v>
      </c>
      <c r="AU255" s="3">
        <v>1.4999999999999999E-2</v>
      </c>
      <c r="AV255" s="3">
        <v>3.3000000000000002E-2</v>
      </c>
      <c r="AW255" s="3">
        <v>3.1E-2</v>
      </c>
      <c r="AX255" s="3">
        <v>2.9000000000000001E-2</v>
      </c>
      <c r="AY255" s="3">
        <v>6.0999999999999999E-2</v>
      </c>
      <c r="AZ255" s="3">
        <v>9.1999999999999993</v>
      </c>
      <c r="BA255" s="3"/>
      <c r="BB255" s="3">
        <v>12.37</v>
      </c>
      <c r="BC255" s="3">
        <v>2876</v>
      </c>
      <c r="BD255" s="3"/>
      <c r="BE255" s="3"/>
      <c r="BF255" s="3">
        <v>0</v>
      </c>
      <c r="BH255" s="16">
        <v>21.46</v>
      </c>
      <c r="BI255" s="16">
        <f t="shared" si="192"/>
        <v>43.349200000000003</v>
      </c>
      <c r="BJ255" s="17">
        <f t="shared" si="153"/>
        <v>15.84</v>
      </c>
      <c r="BK255" s="17">
        <f t="shared" si="154"/>
        <v>32.26</v>
      </c>
      <c r="BM255" s="1">
        <f t="shared" si="155"/>
        <v>99</v>
      </c>
      <c r="BN255" s="1">
        <f t="shared" si="156"/>
        <v>82.5</v>
      </c>
      <c r="BO255" s="1">
        <f t="shared" si="157"/>
        <v>50.3</v>
      </c>
      <c r="BP255" s="62">
        <f t="shared" si="159"/>
        <v>0.91100000000000003</v>
      </c>
      <c r="BQ255" s="62">
        <f t="shared" si="158"/>
        <v>0.9</v>
      </c>
      <c r="BS255" s="1">
        <v>0.3</v>
      </c>
      <c r="BT255" s="8"/>
      <c r="BV255" s="8"/>
      <c r="BW255" s="16">
        <f t="shared" si="160"/>
        <v>15.84</v>
      </c>
      <c r="BX255" s="16">
        <f t="shared" si="161"/>
        <v>32.26</v>
      </c>
      <c r="BY255" s="3">
        <f t="shared" si="162"/>
        <v>9.1</v>
      </c>
      <c r="BZ255" s="3">
        <f t="shared" si="163"/>
        <v>8.9</v>
      </c>
      <c r="CA255" s="3">
        <f t="shared" si="164"/>
        <v>8.6999999999999993</v>
      </c>
      <c r="CB255" s="3">
        <f t="shared" si="165"/>
        <v>9.1</v>
      </c>
      <c r="CC255" s="3">
        <f t="shared" si="166"/>
        <v>9.8000000000000007</v>
      </c>
      <c r="CD255" s="3">
        <f t="shared" si="167"/>
        <v>9.4</v>
      </c>
      <c r="CE255" s="3">
        <f t="shared" si="168"/>
        <v>8.9</v>
      </c>
      <c r="CF255" s="23">
        <f t="shared" si="169"/>
        <v>82.5</v>
      </c>
      <c r="CG255" s="1">
        <f t="shared" si="170"/>
        <v>15.9</v>
      </c>
      <c r="CH255" s="1">
        <f t="shared" si="171"/>
        <v>15.9</v>
      </c>
      <c r="CI255" s="1">
        <f t="shared" si="172"/>
        <v>18.3</v>
      </c>
      <c r="CJ255" s="1">
        <f t="shared" si="173"/>
        <v>18.899999999999999</v>
      </c>
      <c r="CK255" s="1">
        <f t="shared" si="174"/>
        <v>12.3</v>
      </c>
      <c r="CL255" s="1">
        <f t="shared" si="175"/>
        <v>9.6</v>
      </c>
      <c r="CM255" s="1">
        <f t="shared" si="176"/>
        <v>9.1</v>
      </c>
      <c r="CN255" s="2">
        <f t="shared" si="177"/>
        <v>99</v>
      </c>
      <c r="CO255" s="1">
        <f t="shared" si="178"/>
        <v>3.6</v>
      </c>
      <c r="CP255" s="1">
        <f t="shared" si="179"/>
        <v>2.8</v>
      </c>
      <c r="CQ255" s="1">
        <f t="shared" si="180"/>
        <v>2.2000000000000002</v>
      </c>
      <c r="CR255" s="1">
        <f t="shared" si="181"/>
        <v>2.6</v>
      </c>
      <c r="CS255" s="1">
        <f t="shared" si="182"/>
        <v>8.1999999999999993</v>
      </c>
      <c r="CT255" s="1">
        <f t="shared" si="183"/>
        <v>9.1999999999999993</v>
      </c>
      <c r="CU255" s="1">
        <f t="shared" si="184"/>
        <v>8.6999999999999993</v>
      </c>
      <c r="CV255" s="2">
        <f t="shared" si="185"/>
        <v>50.3</v>
      </c>
      <c r="CW255" s="18">
        <f t="shared" si="186"/>
        <v>0</v>
      </c>
      <c r="CX255" s="1">
        <f>ROUND(PPTest!K255,1)</f>
        <v>0</v>
      </c>
      <c r="CY255" s="17">
        <f t="shared" si="187"/>
        <v>1.76</v>
      </c>
      <c r="CZ255" s="17">
        <f t="shared" si="188"/>
        <v>3.7</v>
      </c>
      <c r="DA255" s="20">
        <f t="shared" si="189"/>
        <v>0.91100000000000003</v>
      </c>
      <c r="DB255" s="20">
        <f t="shared" si="190"/>
        <v>0.9</v>
      </c>
      <c r="DC255" s="16">
        <f t="shared" si="191"/>
        <v>12.37</v>
      </c>
      <c r="DF255" s="1">
        <v>12.2</v>
      </c>
      <c r="DG255" s="1">
        <v>17.2</v>
      </c>
      <c r="DH255" s="1">
        <v>7.9</v>
      </c>
      <c r="DI255" s="1">
        <v>85</v>
      </c>
      <c r="DJ255" s="1">
        <v>59</v>
      </c>
      <c r="DW255" s="1">
        <v>9.6</v>
      </c>
      <c r="DX255" s="1">
        <v>16.899999999999999</v>
      </c>
      <c r="DY255" s="1">
        <v>3.6</v>
      </c>
    </row>
    <row r="256" spans="1:129" x14ac:dyDescent="0.2">
      <c r="A256" s="40">
        <v>34949</v>
      </c>
      <c r="B256" s="3">
        <v>250</v>
      </c>
      <c r="C256" s="3">
        <v>19.27</v>
      </c>
      <c r="D256" s="3">
        <v>36.31</v>
      </c>
      <c r="E256" s="3">
        <v>10</v>
      </c>
      <c r="F256" s="3">
        <v>78.5</v>
      </c>
      <c r="G256" s="3">
        <v>9.6199999999999992</v>
      </c>
      <c r="H256" s="3">
        <v>9.3800000000000008</v>
      </c>
      <c r="I256" s="3">
        <v>9.15</v>
      </c>
      <c r="J256" s="3">
        <v>10.81</v>
      </c>
      <c r="K256" s="3">
        <v>10.68</v>
      </c>
      <c r="L256" s="3">
        <v>9.6999999999999993</v>
      </c>
      <c r="M256" s="3">
        <v>9.31</v>
      </c>
      <c r="N256" s="3">
        <v>8.9</v>
      </c>
      <c r="O256" s="3">
        <v>1E-3</v>
      </c>
      <c r="P256" s="16">
        <v>2.1425000000000001</v>
      </c>
      <c r="Q256" s="3">
        <v>0</v>
      </c>
      <c r="R256" s="3">
        <v>18.78</v>
      </c>
      <c r="S256" s="3">
        <v>1517</v>
      </c>
      <c r="T256" s="3">
        <v>105.2</v>
      </c>
      <c r="U256" s="3">
        <v>344</v>
      </c>
      <c r="V256" s="3">
        <v>19.190000000000001</v>
      </c>
      <c r="W256" s="3">
        <v>21.59</v>
      </c>
      <c r="X256" s="3">
        <v>21.84</v>
      </c>
      <c r="Y256" s="3">
        <v>25.3</v>
      </c>
      <c r="Z256" s="3">
        <v>23.78</v>
      </c>
      <c r="AA256" s="3">
        <v>12.91</v>
      </c>
      <c r="AB256" s="3">
        <v>9.64</v>
      </c>
      <c r="AC256" s="3">
        <v>9.23</v>
      </c>
      <c r="AD256" s="16">
        <v>4.4874999999999998</v>
      </c>
      <c r="AE256" s="3">
        <v>1242</v>
      </c>
      <c r="AF256" s="3">
        <v>1.6559999999999999</v>
      </c>
      <c r="AG256" s="3">
        <v>326</v>
      </c>
      <c r="AH256" s="3">
        <v>41.13</v>
      </c>
      <c r="AI256" s="3">
        <v>1449</v>
      </c>
      <c r="AJ256" s="3">
        <v>0.90400000000000003</v>
      </c>
      <c r="AK256" s="3">
        <v>0.46300000000000002</v>
      </c>
      <c r="AL256" s="3">
        <v>1.0900000000000001</v>
      </c>
      <c r="AM256" s="3">
        <v>0.495</v>
      </c>
      <c r="AN256" s="3">
        <v>0.65600000000000003</v>
      </c>
      <c r="AO256" s="3">
        <v>7.16</v>
      </c>
      <c r="AP256" s="3">
        <v>9.02</v>
      </c>
      <c r="AQ256" s="3">
        <v>8.6999999999999993</v>
      </c>
      <c r="AR256" s="3">
        <v>0.13200000000000001</v>
      </c>
      <c r="AS256" s="3">
        <v>0.44600000000000001</v>
      </c>
      <c r="AT256" s="3">
        <v>0.27300000000000002</v>
      </c>
      <c r="AU256" s="3">
        <v>6.0000000000000001E-3</v>
      </c>
      <c r="AV256" s="3">
        <v>6.0000000000000001E-3</v>
      </c>
      <c r="AW256" s="3">
        <v>1.7000000000000001E-2</v>
      </c>
      <c r="AX256" s="3">
        <v>4.2000000000000003E-2</v>
      </c>
      <c r="AY256" s="3">
        <v>7.8E-2</v>
      </c>
      <c r="AZ256" s="3">
        <v>9.6999999999999993</v>
      </c>
      <c r="BA256" s="3"/>
      <c r="BB256" s="3">
        <v>12.37</v>
      </c>
      <c r="BC256" s="3">
        <v>2876</v>
      </c>
      <c r="BD256" s="3"/>
      <c r="BE256" s="3"/>
      <c r="BF256" s="3">
        <v>0</v>
      </c>
      <c r="BH256" s="16">
        <v>21.21</v>
      </c>
      <c r="BI256" s="16">
        <f t="shared" si="192"/>
        <v>42.844200000000001</v>
      </c>
      <c r="BJ256" s="17">
        <f t="shared" si="153"/>
        <v>19.27</v>
      </c>
      <c r="BK256" s="17">
        <f t="shared" si="154"/>
        <v>39.21</v>
      </c>
      <c r="BM256" s="1">
        <f t="shared" si="155"/>
        <v>98.2</v>
      </c>
      <c r="BN256" s="1">
        <f t="shared" si="156"/>
        <v>73.5</v>
      </c>
      <c r="BO256" s="1">
        <f t="shared" si="157"/>
        <v>39</v>
      </c>
      <c r="BP256" s="62">
        <f t="shared" si="159"/>
        <v>0.84499999999999997</v>
      </c>
      <c r="BQ256" s="62">
        <f t="shared" si="158"/>
        <v>1.3220000000000001</v>
      </c>
      <c r="BS256" s="1">
        <v>0</v>
      </c>
      <c r="BT256" s="8"/>
      <c r="BV256" s="8"/>
      <c r="BW256" s="16">
        <f t="shared" si="160"/>
        <v>19.27</v>
      </c>
      <c r="BX256" s="16">
        <f t="shared" si="161"/>
        <v>39.21</v>
      </c>
      <c r="BY256" s="3">
        <f t="shared" si="162"/>
        <v>10</v>
      </c>
      <c r="BZ256" s="3">
        <f t="shared" si="163"/>
        <v>9.6</v>
      </c>
      <c r="CA256" s="3">
        <f t="shared" si="164"/>
        <v>9.4</v>
      </c>
      <c r="CB256" s="3">
        <f t="shared" si="165"/>
        <v>9.1999999999999993</v>
      </c>
      <c r="CC256" s="3">
        <f t="shared" si="166"/>
        <v>9.6999999999999993</v>
      </c>
      <c r="CD256" s="3">
        <f t="shared" si="167"/>
        <v>9.3000000000000007</v>
      </c>
      <c r="CE256" s="3">
        <f t="shared" si="168"/>
        <v>8.9</v>
      </c>
      <c r="CF256" s="23">
        <f t="shared" si="169"/>
        <v>73.5</v>
      </c>
      <c r="CG256" s="1">
        <f t="shared" si="170"/>
        <v>18.8</v>
      </c>
      <c r="CH256" s="1">
        <f t="shared" si="171"/>
        <v>19.2</v>
      </c>
      <c r="CI256" s="1">
        <f t="shared" si="172"/>
        <v>21.6</v>
      </c>
      <c r="CJ256" s="1">
        <f t="shared" si="173"/>
        <v>21.8</v>
      </c>
      <c r="CK256" s="1">
        <f t="shared" si="174"/>
        <v>12.9</v>
      </c>
      <c r="CL256" s="1">
        <f t="shared" si="175"/>
        <v>9.6</v>
      </c>
      <c r="CM256" s="1">
        <f t="shared" si="176"/>
        <v>9.1999999999999993</v>
      </c>
      <c r="CN256" s="2">
        <f t="shared" si="177"/>
        <v>98.2</v>
      </c>
      <c r="CO256" s="1">
        <f t="shared" si="178"/>
        <v>1.7</v>
      </c>
      <c r="CP256" s="1">
        <f t="shared" si="179"/>
        <v>0.9</v>
      </c>
      <c r="CQ256" s="1">
        <f t="shared" si="180"/>
        <v>0.5</v>
      </c>
      <c r="CR256" s="1">
        <f t="shared" si="181"/>
        <v>1.1000000000000001</v>
      </c>
      <c r="CS256" s="1">
        <f t="shared" si="182"/>
        <v>7.2</v>
      </c>
      <c r="CT256" s="1">
        <f t="shared" si="183"/>
        <v>9</v>
      </c>
      <c r="CU256" s="1">
        <f t="shared" si="184"/>
        <v>8.6999999999999993</v>
      </c>
      <c r="CV256" s="2">
        <f t="shared" si="185"/>
        <v>39</v>
      </c>
      <c r="CW256" s="18">
        <f t="shared" si="186"/>
        <v>0</v>
      </c>
      <c r="CX256" s="1">
        <f>ROUND(PPTest!K256,1)</f>
        <v>0</v>
      </c>
      <c r="CY256" s="17">
        <f t="shared" si="187"/>
        <v>2.14</v>
      </c>
      <c r="CZ256" s="17">
        <f t="shared" si="188"/>
        <v>4.49</v>
      </c>
      <c r="DA256" s="20">
        <f t="shared" si="189"/>
        <v>0.84499999999999997</v>
      </c>
      <c r="DB256" s="20">
        <f t="shared" si="190"/>
        <v>1.3220000000000001</v>
      </c>
      <c r="DC256" s="16">
        <f t="shared" si="191"/>
        <v>12.37</v>
      </c>
      <c r="DF256" s="1">
        <v>14.6</v>
      </c>
      <c r="DG256" s="1">
        <v>19.600000000000001</v>
      </c>
      <c r="DH256" s="1">
        <v>10.3</v>
      </c>
      <c r="DI256" s="1">
        <v>70.3</v>
      </c>
      <c r="DJ256" s="1">
        <v>54</v>
      </c>
      <c r="DW256" s="1">
        <v>12.2</v>
      </c>
      <c r="DX256" s="1">
        <v>19</v>
      </c>
      <c r="DY256" s="1">
        <v>7.3</v>
      </c>
    </row>
    <row r="257" spans="1:129" x14ac:dyDescent="0.2">
      <c r="A257" s="40">
        <v>34950</v>
      </c>
      <c r="B257" s="3">
        <v>251</v>
      </c>
      <c r="C257" s="3">
        <v>19.63</v>
      </c>
      <c r="D257" s="3">
        <v>36.909999999999997</v>
      </c>
      <c r="E257" s="3">
        <v>9.99</v>
      </c>
      <c r="F257" s="3">
        <v>81.099999999999994</v>
      </c>
      <c r="G257" s="3">
        <v>9.82</v>
      </c>
      <c r="H257" s="3">
        <v>9.5399999999999991</v>
      </c>
      <c r="I257" s="3">
        <v>10.18</v>
      </c>
      <c r="J257" s="3">
        <v>10.98</v>
      </c>
      <c r="K257" s="3">
        <v>10.99</v>
      </c>
      <c r="L257" s="3">
        <v>9.86</v>
      </c>
      <c r="M257" s="3">
        <v>9.39</v>
      </c>
      <c r="N257" s="3">
        <v>8.9499999999999993</v>
      </c>
      <c r="O257" s="3">
        <v>1E-3</v>
      </c>
      <c r="P257" s="16">
        <v>2.1158333333333337</v>
      </c>
      <c r="Q257" s="3">
        <v>0</v>
      </c>
      <c r="R257" s="3">
        <v>19.09</v>
      </c>
      <c r="S257" s="3">
        <v>1522</v>
      </c>
      <c r="T257" s="3">
        <v>104.1</v>
      </c>
      <c r="U257" s="3">
        <v>558</v>
      </c>
      <c r="V257" s="3">
        <v>19.5</v>
      </c>
      <c r="W257" s="3">
        <v>21.49</v>
      </c>
      <c r="X257" s="3">
        <v>25.19</v>
      </c>
      <c r="Y257" s="3">
        <v>25.56</v>
      </c>
      <c r="Z257" s="3">
        <v>24.48</v>
      </c>
      <c r="AA257" s="3">
        <v>13.1</v>
      </c>
      <c r="AB257" s="3">
        <v>9.7100000000000009</v>
      </c>
      <c r="AC257" s="3">
        <v>9.2200000000000006</v>
      </c>
      <c r="AD257" s="16">
        <v>4.6475</v>
      </c>
      <c r="AE257" s="3">
        <v>1513</v>
      </c>
      <c r="AF257" s="3">
        <v>1.8069999999999999</v>
      </c>
      <c r="AG257" s="3">
        <v>553</v>
      </c>
      <c r="AH257" s="3">
        <v>46.34</v>
      </c>
      <c r="AI257" s="3">
        <v>1521</v>
      </c>
      <c r="AJ257" s="3">
        <v>1.2</v>
      </c>
      <c r="AK257" s="3">
        <v>0.78700000000000003</v>
      </c>
      <c r="AL257" s="3">
        <v>0.81699999999999995</v>
      </c>
      <c r="AM257" s="3">
        <v>0.66</v>
      </c>
      <c r="AN257" s="3">
        <v>0.751</v>
      </c>
      <c r="AO257" s="3">
        <v>7.2</v>
      </c>
      <c r="AP257" s="3">
        <v>9.1</v>
      </c>
      <c r="AQ257" s="3">
        <v>8.74</v>
      </c>
      <c r="AR257" s="3">
        <v>3.5000000000000003E-2</v>
      </c>
      <c r="AS257" s="3">
        <v>0.33600000000000002</v>
      </c>
      <c r="AT257" s="3">
        <v>0.26600000000000001</v>
      </c>
      <c r="AU257" s="3">
        <v>1.0999999999999999E-2</v>
      </c>
      <c r="AV257" s="3">
        <v>0.11700000000000001</v>
      </c>
      <c r="AW257" s="3">
        <v>0.16700000000000001</v>
      </c>
      <c r="AX257" s="3">
        <v>3.5000000000000003E-2</v>
      </c>
      <c r="AY257" s="3">
        <v>3.3000000000000002E-2</v>
      </c>
      <c r="AZ257" s="3">
        <v>9.99</v>
      </c>
      <c r="BA257" s="3"/>
      <c r="BB257" s="3">
        <v>12.37</v>
      </c>
      <c r="BC257" s="3">
        <v>2876</v>
      </c>
      <c r="BD257" s="3"/>
      <c r="BE257" s="3"/>
      <c r="BF257" s="3">
        <v>0</v>
      </c>
      <c r="BH257" s="16">
        <v>20.95</v>
      </c>
      <c r="BI257" s="16">
        <f t="shared" si="192"/>
        <v>42.318999999999996</v>
      </c>
      <c r="BJ257" s="17">
        <f t="shared" si="153"/>
        <v>19.63</v>
      </c>
      <c r="BK257" s="17">
        <f t="shared" si="154"/>
        <v>39.86</v>
      </c>
      <c r="BM257" s="1">
        <f t="shared" si="155"/>
        <v>97.2</v>
      </c>
      <c r="BN257" s="1">
        <f t="shared" si="156"/>
        <v>75.900000000000006</v>
      </c>
      <c r="BO257" s="1">
        <f t="shared" si="157"/>
        <v>43.8</v>
      </c>
      <c r="BP257" s="62">
        <f t="shared" si="159"/>
        <v>0.96799999999999997</v>
      </c>
      <c r="BQ257" s="62">
        <f t="shared" si="158"/>
        <v>1.242</v>
      </c>
      <c r="BS257" s="1">
        <v>0</v>
      </c>
      <c r="BT257" s="8"/>
      <c r="BV257" s="8"/>
      <c r="BW257" s="16">
        <f t="shared" si="160"/>
        <v>19.63</v>
      </c>
      <c r="BX257" s="16">
        <f t="shared" si="161"/>
        <v>39.86</v>
      </c>
      <c r="BY257" s="3">
        <f t="shared" si="162"/>
        <v>10</v>
      </c>
      <c r="BZ257" s="3">
        <f t="shared" si="163"/>
        <v>9.8000000000000007</v>
      </c>
      <c r="CA257" s="3">
        <f t="shared" si="164"/>
        <v>9.5</v>
      </c>
      <c r="CB257" s="3">
        <f t="shared" si="165"/>
        <v>10.199999999999999</v>
      </c>
      <c r="CC257" s="3">
        <f t="shared" si="166"/>
        <v>9.9</v>
      </c>
      <c r="CD257" s="3">
        <f t="shared" si="167"/>
        <v>9.4</v>
      </c>
      <c r="CE257" s="3">
        <f t="shared" si="168"/>
        <v>9</v>
      </c>
      <c r="CF257" s="23">
        <f t="shared" si="169"/>
        <v>75.900000000000006</v>
      </c>
      <c r="CG257" s="1">
        <f t="shared" si="170"/>
        <v>19.100000000000001</v>
      </c>
      <c r="CH257" s="1">
        <f t="shared" si="171"/>
        <v>19.5</v>
      </c>
      <c r="CI257" s="1">
        <f t="shared" si="172"/>
        <v>21.5</v>
      </c>
      <c r="CJ257" s="1">
        <f t="shared" si="173"/>
        <v>25.2</v>
      </c>
      <c r="CK257" s="1">
        <f t="shared" si="174"/>
        <v>13.1</v>
      </c>
      <c r="CL257" s="1">
        <f t="shared" si="175"/>
        <v>9.6999999999999993</v>
      </c>
      <c r="CM257" s="1">
        <f t="shared" si="176"/>
        <v>9.1999999999999993</v>
      </c>
      <c r="CN257" s="2">
        <f t="shared" si="177"/>
        <v>97.2</v>
      </c>
      <c r="CO257" s="1">
        <f t="shared" si="178"/>
        <v>1.8</v>
      </c>
      <c r="CP257" s="1">
        <f t="shared" si="179"/>
        <v>1.2</v>
      </c>
      <c r="CQ257" s="1">
        <f t="shared" si="180"/>
        <v>0.8</v>
      </c>
      <c r="CR257" s="1">
        <f t="shared" si="181"/>
        <v>0.8</v>
      </c>
      <c r="CS257" s="1">
        <f t="shared" si="182"/>
        <v>7.2</v>
      </c>
      <c r="CT257" s="1">
        <f t="shared" si="183"/>
        <v>9.1</v>
      </c>
      <c r="CU257" s="1">
        <f t="shared" si="184"/>
        <v>8.6999999999999993</v>
      </c>
      <c r="CV257" s="2">
        <f t="shared" si="185"/>
        <v>43.8</v>
      </c>
      <c r="CW257" s="18">
        <f t="shared" si="186"/>
        <v>0</v>
      </c>
      <c r="CX257" s="1">
        <f>ROUND(PPTest!K257,1)</f>
        <v>0</v>
      </c>
      <c r="CY257" s="17">
        <f t="shared" si="187"/>
        <v>2.12</v>
      </c>
      <c r="CZ257" s="17">
        <f t="shared" si="188"/>
        <v>4.6500000000000004</v>
      </c>
      <c r="DA257" s="20">
        <f t="shared" si="189"/>
        <v>0.96799999999999997</v>
      </c>
      <c r="DB257" s="20">
        <f t="shared" si="190"/>
        <v>1.242</v>
      </c>
      <c r="DC257" s="16">
        <f t="shared" si="191"/>
        <v>12.37</v>
      </c>
      <c r="DF257" s="1">
        <v>15.4</v>
      </c>
      <c r="DG257" s="1">
        <v>21.3</v>
      </c>
      <c r="DH257" s="1">
        <v>10.1</v>
      </c>
      <c r="DI257" s="1">
        <v>70.099999999999994</v>
      </c>
      <c r="DJ257" s="1">
        <v>54</v>
      </c>
      <c r="DW257" s="1">
        <v>11.5</v>
      </c>
      <c r="DX257" s="1">
        <v>20.399999999999999</v>
      </c>
      <c r="DY257" s="1">
        <v>5.0999999999999996</v>
      </c>
    </row>
    <row r="258" spans="1:129" x14ac:dyDescent="0.2">
      <c r="A258" s="40">
        <v>34951</v>
      </c>
      <c r="B258" s="3">
        <v>252</v>
      </c>
      <c r="C258" s="3">
        <v>19.8</v>
      </c>
      <c r="D258" s="3">
        <v>37.159999999999997</v>
      </c>
      <c r="E258" s="3">
        <v>10.42</v>
      </c>
      <c r="F258" s="3">
        <v>78.2</v>
      </c>
      <c r="G258" s="3">
        <v>10.199999999999999</v>
      </c>
      <c r="H258" s="3">
        <v>9.8699999999999992</v>
      </c>
      <c r="I258" s="3">
        <v>9.75</v>
      </c>
      <c r="J258" s="3">
        <v>11.51</v>
      </c>
      <c r="K258" s="3">
        <v>11.3</v>
      </c>
      <c r="L258" s="3">
        <v>9.99</v>
      </c>
      <c r="M258" s="3">
        <v>9.4700000000000006</v>
      </c>
      <c r="N258" s="3">
        <v>8.98</v>
      </c>
      <c r="O258" s="3">
        <v>1E-3</v>
      </c>
      <c r="P258" s="16">
        <v>1.9975000000000001</v>
      </c>
      <c r="Q258" s="3">
        <v>0</v>
      </c>
      <c r="R258" s="3">
        <v>19.63</v>
      </c>
      <c r="S258" s="3">
        <v>1328</v>
      </c>
      <c r="T258" s="3">
        <v>104.6</v>
      </c>
      <c r="U258" s="3">
        <v>545</v>
      </c>
      <c r="V258" s="3">
        <v>20.23</v>
      </c>
      <c r="W258" s="3">
        <v>24.02</v>
      </c>
      <c r="X258" s="3">
        <v>25.82</v>
      </c>
      <c r="Y258" s="3">
        <v>25.77</v>
      </c>
      <c r="Z258" s="3">
        <v>24.29</v>
      </c>
      <c r="AA258" s="3">
        <v>13.23</v>
      </c>
      <c r="AB258" s="3">
        <v>9.82</v>
      </c>
      <c r="AC258" s="3">
        <v>9.25</v>
      </c>
      <c r="AD258" s="16">
        <v>4.1541666666666668</v>
      </c>
      <c r="AE258" s="3">
        <v>1112</v>
      </c>
      <c r="AF258" s="3">
        <v>2.383</v>
      </c>
      <c r="AG258" s="3">
        <v>541</v>
      </c>
      <c r="AH258" s="3">
        <v>34.24</v>
      </c>
      <c r="AI258" s="3">
        <v>1356</v>
      </c>
      <c r="AJ258" s="3">
        <v>1.6879999999999999</v>
      </c>
      <c r="AK258" s="3">
        <v>1.2609999999999999</v>
      </c>
      <c r="AL258" s="3">
        <v>1.3779999999999999</v>
      </c>
      <c r="AM258" s="3">
        <v>1.105</v>
      </c>
      <c r="AN258" s="3">
        <v>1.2430000000000001</v>
      </c>
      <c r="AO258" s="3">
        <v>7.39</v>
      </c>
      <c r="AP258" s="3">
        <v>9.11</v>
      </c>
      <c r="AQ258" s="3">
        <v>8.7799999999999994</v>
      </c>
      <c r="AR258" s="3">
        <v>2.7E-2</v>
      </c>
      <c r="AS258" s="3">
        <v>0.255</v>
      </c>
      <c r="AT258" s="3">
        <v>0.34899999999999998</v>
      </c>
      <c r="AU258" s="3">
        <v>6.0000000000000001E-3</v>
      </c>
      <c r="AV258" s="3">
        <v>8.6999999999999994E-2</v>
      </c>
      <c r="AW258" s="3">
        <v>0.158</v>
      </c>
      <c r="AX258" s="3">
        <v>7.4999999999999997E-2</v>
      </c>
      <c r="AY258" s="3">
        <v>4.3999999999999997E-2</v>
      </c>
      <c r="AZ258" s="3">
        <v>10.31</v>
      </c>
      <c r="BA258" s="3"/>
      <c r="BB258" s="3">
        <v>12.37</v>
      </c>
      <c r="BC258" s="3">
        <v>2876</v>
      </c>
      <c r="BD258" s="3"/>
      <c r="BE258" s="3"/>
      <c r="BF258" s="3">
        <v>0</v>
      </c>
      <c r="BH258" s="16">
        <v>20.7</v>
      </c>
      <c r="BI258" s="16">
        <f t="shared" si="192"/>
        <v>41.814</v>
      </c>
      <c r="BJ258" s="17">
        <f t="shared" si="153"/>
        <v>19.8</v>
      </c>
      <c r="BK258" s="17">
        <f t="shared" si="154"/>
        <v>40.130000000000003</v>
      </c>
      <c r="BM258" s="1">
        <f t="shared" si="155"/>
        <v>97.7</v>
      </c>
      <c r="BN258" s="1">
        <f t="shared" si="156"/>
        <v>73.3</v>
      </c>
      <c r="BO258" s="1">
        <f t="shared" si="157"/>
        <v>32.6</v>
      </c>
      <c r="BP258" s="62">
        <f t="shared" si="159"/>
        <v>0.745</v>
      </c>
      <c r="BQ258" s="62">
        <f t="shared" si="158"/>
        <v>1.54</v>
      </c>
      <c r="BS258" s="1">
        <v>0</v>
      </c>
      <c r="BT258" s="8"/>
      <c r="BV258" s="8"/>
      <c r="BW258" s="16">
        <f t="shared" si="160"/>
        <v>19.8</v>
      </c>
      <c r="BX258" s="16">
        <f t="shared" si="161"/>
        <v>40.130000000000003</v>
      </c>
      <c r="BY258" s="3">
        <f t="shared" si="162"/>
        <v>10.4</v>
      </c>
      <c r="BZ258" s="3">
        <f t="shared" si="163"/>
        <v>10.199999999999999</v>
      </c>
      <c r="CA258" s="3">
        <f t="shared" si="164"/>
        <v>9.9</v>
      </c>
      <c r="CB258" s="3">
        <f t="shared" si="165"/>
        <v>9.8000000000000007</v>
      </c>
      <c r="CC258" s="3">
        <f t="shared" si="166"/>
        <v>10</v>
      </c>
      <c r="CD258" s="3">
        <f t="shared" si="167"/>
        <v>9.5</v>
      </c>
      <c r="CE258" s="3">
        <f t="shared" si="168"/>
        <v>9</v>
      </c>
      <c r="CF258" s="23">
        <f t="shared" si="169"/>
        <v>73.3</v>
      </c>
      <c r="CG258" s="1">
        <f t="shared" si="170"/>
        <v>19.600000000000001</v>
      </c>
      <c r="CH258" s="1">
        <f t="shared" si="171"/>
        <v>20.2</v>
      </c>
      <c r="CI258" s="1">
        <f t="shared" si="172"/>
        <v>24</v>
      </c>
      <c r="CJ258" s="1">
        <f t="shared" si="173"/>
        <v>25.8</v>
      </c>
      <c r="CK258" s="1">
        <f t="shared" si="174"/>
        <v>13.2</v>
      </c>
      <c r="CL258" s="1">
        <f t="shared" si="175"/>
        <v>9.8000000000000007</v>
      </c>
      <c r="CM258" s="1">
        <f t="shared" si="176"/>
        <v>9.3000000000000007</v>
      </c>
      <c r="CN258" s="2">
        <f t="shared" si="177"/>
        <v>97.7</v>
      </c>
      <c r="CO258" s="1">
        <f t="shared" si="178"/>
        <v>2.4</v>
      </c>
      <c r="CP258" s="1">
        <f t="shared" si="179"/>
        <v>1.7</v>
      </c>
      <c r="CQ258" s="1">
        <f t="shared" si="180"/>
        <v>1.3</v>
      </c>
      <c r="CR258" s="1">
        <f t="shared" si="181"/>
        <v>1.4</v>
      </c>
      <c r="CS258" s="1">
        <f t="shared" si="182"/>
        <v>7.4</v>
      </c>
      <c r="CT258" s="1">
        <f t="shared" si="183"/>
        <v>9.1</v>
      </c>
      <c r="CU258" s="1">
        <f t="shared" si="184"/>
        <v>8.8000000000000007</v>
      </c>
      <c r="CV258" s="2">
        <f t="shared" si="185"/>
        <v>32.6</v>
      </c>
      <c r="CW258" s="18">
        <f t="shared" si="186"/>
        <v>0</v>
      </c>
      <c r="CX258" s="1">
        <f>ROUND(PPTest!K258,1)</f>
        <v>0</v>
      </c>
      <c r="CY258" s="17">
        <f t="shared" si="187"/>
        <v>2</v>
      </c>
      <c r="CZ258" s="17">
        <f t="shared" si="188"/>
        <v>4.1500000000000004</v>
      </c>
      <c r="DA258" s="20">
        <f t="shared" si="189"/>
        <v>0.745</v>
      </c>
      <c r="DB258" s="20">
        <f t="shared" si="190"/>
        <v>1.54</v>
      </c>
      <c r="DC258" s="16">
        <f t="shared" si="191"/>
        <v>12.37</v>
      </c>
      <c r="DF258" s="1">
        <v>16.3</v>
      </c>
      <c r="DG258" s="1">
        <v>21.3</v>
      </c>
      <c r="DH258" s="1">
        <v>12</v>
      </c>
      <c r="DI258" s="1">
        <v>62.8</v>
      </c>
      <c r="DJ258" s="1">
        <v>44</v>
      </c>
      <c r="DW258" s="1">
        <v>11.6</v>
      </c>
      <c r="DX258" s="1">
        <v>22.9</v>
      </c>
      <c r="DY258" s="1">
        <v>4.2</v>
      </c>
    </row>
    <row r="259" spans="1:129" x14ac:dyDescent="0.2">
      <c r="A259" s="40">
        <v>34952</v>
      </c>
      <c r="B259" s="3">
        <v>253</v>
      </c>
      <c r="C259" s="3">
        <v>20.41</v>
      </c>
      <c r="D259" s="3">
        <v>38.26</v>
      </c>
      <c r="E259" s="3">
        <v>10.87</v>
      </c>
      <c r="F259" s="3">
        <v>76.7</v>
      </c>
      <c r="G259" s="3">
        <v>10.71</v>
      </c>
      <c r="H259" s="3">
        <v>10.41</v>
      </c>
      <c r="I259" s="3">
        <v>10.43</v>
      </c>
      <c r="J259" s="3">
        <v>12.02</v>
      </c>
      <c r="K259" s="3">
        <v>11.75</v>
      </c>
      <c r="L259" s="3">
        <v>10.029999999999999</v>
      </c>
      <c r="M259" s="3">
        <v>9.51</v>
      </c>
      <c r="N259" s="3">
        <v>8.99</v>
      </c>
      <c r="O259" s="3">
        <v>1E-3</v>
      </c>
      <c r="P259" s="16">
        <v>2.1308333333333334</v>
      </c>
      <c r="Q259" s="3">
        <v>0</v>
      </c>
      <c r="R259" s="3">
        <v>20.22</v>
      </c>
      <c r="S259" s="3">
        <v>1458</v>
      </c>
      <c r="T259" s="3">
        <v>104.2</v>
      </c>
      <c r="U259" s="3">
        <v>606</v>
      </c>
      <c r="V259" s="3">
        <v>20.57</v>
      </c>
      <c r="W259" s="3">
        <v>23.33</v>
      </c>
      <c r="X259" s="3">
        <v>25.92</v>
      </c>
      <c r="Y259" s="3">
        <v>26.2</v>
      </c>
      <c r="Z259" s="3">
        <v>24.71</v>
      </c>
      <c r="AA259" s="3">
        <v>13.25</v>
      </c>
      <c r="AB259" s="3">
        <v>9.8699999999999992</v>
      </c>
      <c r="AC259" s="3">
        <v>9.26</v>
      </c>
      <c r="AD259" s="16">
        <v>4.4208333333333334</v>
      </c>
      <c r="AE259" s="3">
        <v>1347</v>
      </c>
      <c r="AF259" s="3">
        <v>2.3170000000000002</v>
      </c>
      <c r="AG259" s="3">
        <v>511</v>
      </c>
      <c r="AH259" s="3">
        <v>37.200000000000003</v>
      </c>
      <c r="AI259" s="3">
        <v>1507</v>
      </c>
      <c r="AJ259" s="3">
        <v>1.6160000000000001</v>
      </c>
      <c r="AK259" s="3">
        <v>1.145</v>
      </c>
      <c r="AL259" s="3">
        <v>1.0860000000000001</v>
      </c>
      <c r="AM259" s="3">
        <v>1.016</v>
      </c>
      <c r="AN259" s="3">
        <v>1.0920000000000001</v>
      </c>
      <c r="AO259" s="3">
        <v>7.3</v>
      </c>
      <c r="AP259" s="3">
        <v>9.17</v>
      </c>
      <c r="AQ259" s="3">
        <v>8.8000000000000007</v>
      </c>
      <c r="AR259" s="3">
        <v>0.01</v>
      </c>
      <c r="AS259" s="3">
        <v>0.219</v>
      </c>
      <c r="AT259" s="3">
        <v>0.376</v>
      </c>
      <c r="AU259" s="3">
        <v>6.0000000000000001E-3</v>
      </c>
      <c r="AV259" s="3">
        <v>7.3999999999999996E-2</v>
      </c>
      <c r="AW259" s="3">
        <v>0.183</v>
      </c>
      <c r="AX259" s="3">
        <v>0.109</v>
      </c>
      <c r="AY259" s="3">
        <v>2.1999999999999999E-2</v>
      </c>
      <c r="AZ259" s="3">
        <v>10.74</v>
      </c>
      <c r="BA259" s="3"/>
      <c r="BB259" s="3">
        <v>12.37</v>
      </c>
      <c r="BC259" s="3">
        <v>2876</v>
      </c>
      <c r="BD259" s="3"/>
      <c r="BE259" s="3"/>
      <c r="BF259" s="3">
        <v>0</v>
      </c>
      <c r="BH259" s="16">
        <v>20.45</v>
      </c>
      <c r="BI259" s="16">
        <f t="shared" si="192"/>
        <v>41.308999999999997</v>
      </c>
      <c r="BJ259" s="17">
        <f t="shared" si="153"/>
        <v>20.41</v>
      </c>
      <c r="BK259" s="17">
        <f t="shared" si="154"/>
        <v>41.32</v>
      </c>
      <c r="BM259" s="1">
        <f t="shared" si="155"/>
        <v>97.3</v>
      </c>
      <c r="BN259" s="1">
        <f t="shared" si="156"/>
        <v>71.900000000000006</v>
      </c>
      <c r="BO259" s="1">
        <f t="shared" si="157"/>
        <v>35.4</v>
      </c>
      <c r="BP259" s="62">
        <f t="shared" si="159"/>
        <v>0.83899999999999997</v>
      </c>
      <c r="BQ259" s="62">
        <f t="shared" si="158"/>
        <v>1.5309999999999999</v>
      </c>
      <c r="BS259" s="1">
        <v>0</v>
      </c>
      <c r="BT259" s="8"/>
      <c r="BV259" s="8"/>
      <c r="BW259" s="16">
        <f t="shared" si="160"/>
        <v>20.41</v>
      </c>
      <c r="BX259" s="16">
        <f t="shared" si="161"/>
        <v>41.32</v>
      </c>
      <c r="BY259" s="3">
        <f t="shared" si="162"/>
        <v>10.9</v>
      </c>
      <c r="BZ259" s="3">
        <f t="shared" si="163"/>
        <v>10.7</v>
      </c>
      <c r="CA259" s="3">
        <f t="shared" si="164"/>
        <v>10.4</v>
      </c>
      <c r="CB259" s="3">
        <f t="shared" si="165"/>
        <v>10.4</v>
      </c>
      <c r="CC259" s="3">
        <f t="shared" si="166"/>
        <v>10</v>
      </c>
      <c r="CD259" s="3">
        <f t="shared" si="167"/>
        <v>9.5</v>
      </c>
      <c r="CE259" s="3">
        <f t="shared" si="168"/>
        <v>9</v>
      </c>
      <c r="CF259" s="23">
        <f t="shared" si="169"/>
        <v>71.900000000000006</v>
      </c>
      <c r="CG259" s="1">
        <f t="shared" si="170"/>
        <v>20.2</v>
      </c>
      <c r="CH259" s="1">
        <f t="shared" si="171"/>
        <v>20.6</v>
      </c>
      <c r="CI259" s="1">
        <f t="shared" si="172"/>
        <v>23.3</v>
      </c>
      <c r="CJ259" s="1">
        <f t="shared" si="173"/>
        <v>25.9</v>
      </c>
      <c r="CK259" s="1">
        <f t="shared" si="174"/>
        <v>13.3</v>
      </c>
      <c r="CL259" s="1">
        <f t="shared" si="175"/>
        <v>9.9</v>
      </c>
      <c r="CM259" s="1">
        <f t="shared" si="176"/>
        <v>9.3000000000000007</v>
      </c>
      <c r="CN259" s="2">
        <f t="shared" si="177"/>
        <v>97.3</v>
      </c>
      <c r="CO259" s="1">
        <f t="shared" si="178"/>
        <v>2.2999999999999998</v>
      </c>
      <c r="CP259" s="1">
        <f t="shared" si="179"/>
        <v>1.6</v>
      </c>
      <c r="CQ259" s="1">
        <f t="shared" si="180"/>
        <v>1.1000000000000001</v>
      </c>
      <c r="CR259" s="1">
        <f t="shared" si="181"/>
        <v>1.1000000000000001</v>
      </c>
      <c r="CS259" s="1">
        <f t="shared" si="182"/>
        <v>7.3</v>
      </c>
      <c r="CT259" s="1">
        <f t="shared" si="183"/>
        <v>9.1999999999999993</v>
      </c>
      <c r="CU259" s="1">
        <f t="shared" si="184"/>
        <v>8.8000000000000007</v>
      </c>
      <c r="CV259" s="2">
        <f t="shared" si="185"/>
        <v>35.4</v>
      </c>
      <c r="CW259" s="18">
        <f t="shared" si="186"/>
        <v>0</v>
      </c>
      <c r="CX259" s="1">
        <f>ROUND(PPTest!K259,1)</f>
        <v>0</v>
      </c>
      <c r="CY259" s="17">
        <f t="shared" si="187"/>
        <v>2.13</v>
      </c>
      <c r="CZ259" s="17">
        <f t="shared" si="188"/>
        <v>4.42</v>
      </c>
      <c r="DA259" s="20">
        <f t="shared" si="189"/>
        <v>0.83899999999999997</v>
      </c>
      <c r="DB259" s="20">
        <f t="shared" si="190"/>
        <v>1.5309999999999999</v>
      </c>
      <c r="DC259" s="16">
        <f t="shared" si="191"/>
        <v>12.37</v>
      </c>
      <c r="DF259" s="1">
        <v>17.100000000000001</v>
      </c>
      <c r="DG259" s="1">
        <v>22.6</v>
      </c>
      <c r="DH259" s="1">
        <v>11.4</v>
      </c>
      <c r="DI259" s="1">
        <v>60.8</v>
      </c>
      <c r="DJ259" s="1">
        <v>45</v>
      </c>
      <c r="DW259" s="1">
        <v>12.3</v>
      </c>
      <c r="DX259" s="1">
        <v>23.9</v>
      </c>
      <c r="DY259" s="1">
        <v>3.8</v>
      </c>
    </row>
    <row r="260" spans="1:129" x14ac:dyDescent="0.2">
      <c r="A260" s="40">
        <v>34953</v>
      </c>
      <c r="B260" s="3">
        <v>254</v>
      </c>
      <c r="C260" s="3">
        <v>19.11</v>
      </c>
      <c r="D260" s="3">
        <v>36.07</v>
      </c>
      <c r="E260" s="3">
        <v>9.73</v>
      </c>
      <c r="F260" s="3">
        <v>73.099999999999994</v>
      </c>
      <c r="G260" s="3">
        <v>9.5299999999999994</v>
      </c>
      <c r="H260" s="3">
        <v>9.27</v>
      </c>
      <c r="I260" s="3">
        <v>9.32</v>
      </c>
      <c r="J260" s="3">
        <v>10.63</v>
      </c>
      <c r="K260" s="3">
        <v>10.52</v>
      </c>
      <c r="L260" s="3">
        <v>9.74</v>
      </c>
      <c r="M260" s="3">
        <v>9.52</v>
      </c>
      <c r="N260" s="3">
        <v>9.01</v>
      </c>
      <c r="O260" s="3">
        <v>1E-3</v>
      </c>
      <c r="P260" s="16">
        <v>2.0691666666666668</v>
      </c>
      <c r="Q260" s="3">
        <v>0</v>
      </c>
      <c r="R260" s="3">
        <v>19.09</v>
      </c>
      <c r="S260" s="3">
        <v>1620</v>
      </c>
      <c r="T260" s="3">
        <v>103.1</v>
      </c>
      <c r="U260" s="3">
        <v>450</v>
      </c>
      <c r="V260" s="3">
        <v>18.989999999999998</v>
      </c>
      <c r="W260" s="3">
        <v>20.9</v>
      </c>
      <c r="X260" s="3">
        <v>24.65</v>
      </c>
      <c r="Y260" s="3">
        <v>25.22</v>
      </c>
      <c r="Z260" s="3">
        <v>23.72</v>
      </c>
      <c r="AA260" s="3">
        <v>12.54</v>
      </c>
      <c r="AB260" s="3">
        <v>9.7799999999999994</v>
      </c>
      <c r="AC260" s="3">
        <v>9.26</v>
      </c>
      <c r="AD260" s="16">
        <v>4.6608333333333336</v>
      </c>
      <c r="AE260" s="3">
        <v>1242</v>
      </c>
      <c r="AF260" s="3">
        <v>2.121</v>
      </c>
      <c r="AG260" s="3">
        <v>445</v>
      </c>
      <c r="AH260" s="3">
        <v>33.31</v>
      </c>
      <c r="AI260" s="3">
        <v>1638</v>
      </c>
      <c r="AJ260" s="3">
        <v>1.399</v>
      </c>
      <c r="AK260" s="3">
        <v>0.79800000000000004</v>
      </c>
      <c r="AL260" s="3">
        <v>0.51900000000000002</v>
      </c>
      <c r="AM260" s="3">
        <v>0.82599999999999996</v>
      </c>
      <c r="AN260" s="3">
        <v>0.95299999999999996</v>
      </c>
      <c r="AO260" s="3">
        <v>7.39</v>
      </c>
      <c r="AP260" s="3">
        <v>9.24</v>
      </c>
      <c r="AQ260" s="3">
        <v>8.7899999999999991</v>
      </c>
      <c r="AR260" s="3">
        <v>0.01</v>
      </c>
      <c r="AS260" s="3">
        <v>0.222</v>
      </c>
      <c r="AT260" s="3">
        <v>0.35499999999999998</v>
      </c>
      <c r="AU260" s="3">
        <v>8.0000000000000002E-3</v>
      </c>
      <c r="AV260" s="3">
        <v>4.8000000000000001E-2</v>
      </c>
      <c r="AW260" s="3">
        <v>0.215</v>
      </c>
      <c r="AX260" s="3">
        <v>0.11700000000000001</v>
      </c>
      <c r="AY260" s="3">
        <v>2.5999999999999999E-2</v>
      </c>
      <c r="AZ260" s="3">
        <v>9.61</v>
      </c>
      <c r="BA260" s="3"/>
      <c r="BB260" s="3">
        <v>12.36</v>
      </c>
      <c r="BC260" s="3">
        <v>2876</v>
      </c>
      <c r="BD260" s="3"/>
      <c r="BE260" s="3"/>
      <c r="BF260" s="3">
        <v>0</v>
      </c>
      <c r="BH260" s="16">
        <v>20.2</v>
      </c>
      <c r="BI260" s="16">
        <f t="shared" si="192"/>
        <v>40.804000000000002</v>
      </c>
      <c r="BJ260" s="17">
        <f t="shared" si="153"/>
        <v>19.11</v>
      </c>
      <c r="BK260" s="17">
        <f t="shared" si="154"/>
        <v>38.96</v>
      </c>
      <c r="BM260" s="1">
        <f t="shared" si="155"/>
        <v>96.3</v>
      </c>
      <c r="BN260" s="1">
        <f t="shared" si="156"/>
        <v>68.5</v>
      </c>
      <c r="BO260" s="1">
        <f t="shared" si="157"/>
        <v>31.8</v>
      </c>
      <c r="BP260" s="62">
        <f t="shared" si="159"/>
        <v>0.70299999999999996</v>
      </c>
      <c r="BQ260" s="62">
        <f t="shared" si="158"/>
        <v>1.508</v>
      </c>
      <c r="BS260" s="1">
        <v>0</v>
      </c>
      <c r="BT260" s="8"/>
      <c r="BV260" s="8"/>
      <c r="BW260" s="16">
        <f t="shared" si="160"/>
        <v>19.11</v>
      </c>
      <c r="BX260" s="16">
        <f t="shared" si="161"/>
        <v>38.96</v>
      </c>
      <c r="BY260" s="3">
        <f t="shared" si="162"/>
        <v>9.6999999999999993</v>
      </c>
      <c r="BZ260" s="3">
        <f t="shared" si="163"/>
        <v>9.5</v>
      </c>
      <c r="CA260" s="3">
        <f t="shared" si="164"/>
        <v>9.3000000000000007</v>
      </c>
      <c r="CB260" s="3">
        <f t="shared" si="165"/>
        <v>9.3000000000000007</v>
      </c>
      <c r="CC260" s="3">
        <f t="shared" si="166"/>
        <v>9.6999999999999993</v>
      </c>
      <c r="CD260" s="3">
        <f t="shared" si="167"/>
        <v>9.5</v>
      </c>
      <c r="CE260" s="3">
        <f t="shared" si="168"/>
        <v>9</v>
      </c>
      <c r="CF260" s="23">
        <f t="shared" si="169"/>
        <v>68.5</v>
      </c>
      <c r="CG260" s="1">
        <f t="shared" si="170"/>
        <v>19.100000000000001</v>
      </c>
      <c r="CH260" s="1">
        <f t="shared" si="171"/>
        <v>19</v>
      </c>
      <c r="CI260" s="1">
        <f t="shared" si="172"/>
        <v>20.9</v>
      </c>
      <c r="CJ260" s="1">
        <f t="shared" si="173"/>
        <v>24.7</v>
      </c>
      <c r="CK260" s="1">
        <f t="shared" si="174"/>
        <v>12.5</v>
      </c>
      <c r="CL260" s="1">
        <f t="shared" si="175"/>
        <v>9.8000000000000007</v>
      </c>
      <c r="CM260" s="1">
        <f t="shared" si="176"/>
        <v>9.3000000000000007</v>
      </c>
      <c r="CN260" s="2">
        <f t="shared" si="177"/>
        <v>96.3</v>
      </c>
      <c r="CO260" s="1">
        <f t="shared" si="178"/>
        <v>2.1</v>
      </c>
      <c r="CP260" s="1">
        <f t="shared" si="179"/>
        <v>1.4</v>
      </c>
      <c r="CQ260" s="1">
        <f t="shared" si="180"/>
        <v>0.8</v>
      </c>
      <c r="CR260" s="1">
        <f t="shared" si="181"/>
        <v>0.5</v>
      </c>
      <c r="CS260" s="1">
        <f t="shared" si="182"/>
        <v>7.4</v>
      </c>
      <c r="CT260" s="1">
        <f t="shared" si="183"/>
        <v>9.1999999999999993</v>
      </c>
      <c r="CU260" s="1">
        <f t="shared" si="184"/>
        <v>8.8000000000000007</v>
      </c>
      <c r="CV260" s="2">
        <f t="shared" si="185"/>
        <v>31.8</v>
      </c>
      <c r="CW260" s="18">
        <f t="shared" si="186"/>
        <v>0</v>
      </c>
      <c r="CX260" s="1">
        <f>ROUND(PPTest!K260,1)</f>
        <v>0</v>
      </c>
      <c r="CY260" s="17">
        <f t="shared" si="187"/>
        <v>2.0699999999999998</v>
      </c>
      <c r="CZ260" s="17">
        <f t="shared" si="188"/>
        <v>4.66</v>
      </c>
      <c r="DA260" s="20">
        <f t="shared" si="189"/>
        <v>0.70299999999999996</v>
      </c>
      <c r="DB260" s="20">
        <f t="shared" si="190"/>
        <v>1.508</v>
      </c>
      <c r="DC260" s="16">
        <f t="shared" si="191"/>
        <v>12.36</v>
      </c>
      <c r="DF260" s="1">
        <v>16.399999999999999</v>
      </c>
      <c r="DG260" s="1">
        <v>20.6</v>
      </c>
      <c r="DH260" s="1">
        <v>12</v>
      </c>
      <c r="DI260" s="1">
        <v>49.3</v>
      </c>
      <c r="DJ260" s="1">
        <v>40</v>
      </c>
      <c r="DW260" s="1">
        <v>14</v>
      </c>
      <c r="DX260" s="1">
        <v>23.3</v>
      </c>
      <c r="DY260" s="1">
        <v>5.2</v>
      </c>
    </row>
    <row r="261" spans="1:129" x14ac:dyDescent="0.2">
      <c r="A261" s="40">
        <v>34954</v>
      </c>
      <c r="B261" s="3">
        <v>255</v>
      </c>
      <c r="C261" s="3">
        <v>19.57</v>
      </c>
      <c r="D261" s="3">
        <v>37.090000000000003</v>
      </c>
      <c r="E261" s="3">
        <v>9.2100000000000009</v>
      </c>
      <c r="F261" s="3">
        <v>77.099999999999994</v>
      </c>
      <c r="G261" s="3">
        <v>9.0500000000000007</v>
      </c>
      <c r="H261" s="3">
        <v>8.81</v>
      </c>
      <c r="I261" s="3">
        <v>9.3800000000000008</v>
      </c>
      <c r="J261" s="3">
        <v>10.18</v>
      </c>
      <c r="K261" s="3">
        <v>10.08</v>
      </c>
      <c r="L261" s="3">
        <v>9.4600000000000009</v>
      </c>
      <c r="M261" s="3">
        <v>9.34</v>
      </c>
      <c r="N261" s="3">
        <v>8.98</v>
      </c>
      <c r="O261" s="3">
        <v>0</v>
      </c>
      <c r="P261" s="16">
        <v>2.0225</v>
      </c>
      <c r="Q261" s="3">
        <v>0</v>
      </c>
      <c r="R261" s="3">
        <v>17.68</v>
      </c>
      <c r="S261" s="3">
        <v>1658</v>
      </c>
      <c r="T261" s="3">
        <v>100.8</v>
      </c>
      <c r="U261" s="3">
        <v>547</v>
      </c>
      <c r="V261" s="3">
        <v>17.989999999999998</v>
      </c>
      <c r="W261" s="3">
        <v>20.55</v>
      </c>
      <c r="X261" s="3">
        <v>24.65</v>
      </c>
      <c r="Y261" s="3">
        <v>24.99</v>
      </c>
      <c r="Z261" s="3">
        <v>22.42</v>
      </c>
      <c r="AA261" s="3">
        <v>12.57</v>
      </c>
      <c r="AB261" s="3">
        <v>9.61</v>
      </c>
      <c r="AC261" s="3">
        <v>9.24</v>
      </c>
      <c r="AD261" s="16">
        <v>4.314166666666666</v>
      </c>
      <c r="AE261" s="3">
        <v>1310</v>
      </c>
      <c r="AF261" s="3">
        <v>0.53400000000000003</v>
      </c>
      <c r="AG261" s="3">
        <v>542</v>
      </c>
      <c r="AH261" s="3">
        <v>46.82</v>
      </c>
      <c r="AI261" s="3">
        <v>1408</v>
      </c>
      <c r="AJ261" s="3">
        <v>-0.18</v>
      </c>
      <c r="AK261" s="3">
        <v>-0.68700000000000006</v>
      </c>
      <c r="AL261" s="3">
        <v>-0.36</v>
      </c>
      <c r="AM261" s="3">
        <v>-0.61499999999999999</v>
      </c>
      <c r="AN261" s="3">
        <v>-0.51</v>
      </c>
      <c r="AO261" s="3">
        <v>6.8209999999999997</v>
      </c>
      <c r="AP261" s="3">
        <v>9.0500000000000007</v>
      </c>
      <c r="AQ261" s="3">
        <v>8.77</v>
      </c>
      <c r="AR261" s="3">
        <v>2.3E-2</v>
      </c>
      <c r="AS261" s="3">
        <v>0.249</v>
      </c>
      <c r="AT261" s="3">
        <v>0.33800000000000002</v>
      </c>
      <c r="AU261" s="3">
        <v>5.0000000000000001E-3</v>
      </c>
      <c r="AV261" s="3">
        <v>0.115</v>
      </c>
      <c r="AW261" s="3">
        <v>0.189</v>
      </c>
      <c r="AX261" s="3">
        <v>5.5E-2</v>
      </c>
      <c r="AY261" s="3">
        <v>2.7E-2</v>
      </c>
      <c r="AZ261" s="3">
        <v>9.16</v>
      </c>
      <c r="BA261" s="3"/>
      <c r="BB261" s="3">
        <v>12.36</v>
      </c>
      <c r="BC261" s="3">
        <v>2876</v>
      </c>
      <c r="BD261" s="3"/>
      <c r="BE261" s="3"/>
      <c r="BF261" s="3">
        <v>0</v>
      </c>
      <c r="BH261" s="16">
        <v>19.940000000000001</v>
      </c>
      <c r="BI261" s="16">
        <f t="shared" si="192"/>
        <v>40.278800000000004</v>
      </c>
      <c r="BJ261" s="17">
        <f t="shared" si="153"/>
        <v>19.57</v>
      </c>
      <c r="BK261" s="17">
        <f t="shared" si="154"/>
        <v>40.06</v>
      </c>
      <c r="BM261" s="1">
        <f t="shared" si="155"/>
        <v>94.1</v>
      </c>
      <c r="BN261" s="1">
        <f t="shared" si="156"/>
        <v>72.2</v>
      </c>
      <c r="BO261" s="1">
        <f t="shared" si="157"/>
        <v>44.3</v>
      </c>
      <c r="BP261" s="62">
        <f t="shared" si="159"/>
        <v>0.89600000000000002</v>
      </c>
      <c r="BQ261" s="62">
        <f t="shared" si="158"/>
        <v>1.127</v>
      </c>
      <c r="BS261" s="1">
        <v>0</v>
      </c>
      <c r="BT261" s="8"/>
      <c r="BV261" s="8"/>
      <c r="BW261" s="16">
        <f t="shared" si="160"/>
        <v>19.57</v>
      </c>
      <c r="BX261" s="16">
        <f t="shared" si="161"/>
        <v>40.06</v>
      </c>
      <c r="BY261" s="3">
        <f t="shared" si="162"/>
        <v>9.1999999999999993</v>
      </c>
      <c r="BZ261" s="3">
        <f t="shared" si="163"/>
        <v>9.1</v>
      </c>
      <c r="CA261" s="3">
        <f t="shared" si="164"/>
        <v>8.8000000000000007</v>
      </c>
      <c r="CB261" s="3">
        <f t="shared" si="165"/>
        <v>9.4</v>
      </c>
      <c r="CC261" s="3">
        <f t="shared" si="166"/>
        <v>9.5</v>
      </c>
      <c r="CD261" s="3">
        <f t="shared" si="167"/>
        <v>9.3000000000000007</v>
      </c>
      <c r="CE261" s="3">
        <f t="shared" si="168"/>
        <v>9</v>
      </c>
      <c r="CF261" s="23">
        <f t="shared" si="169"/>
        <v>72.2</v>
      </c>
      <c r="CG261" s="1">
        <f t="shared" si="170"/>
        <v>17.7</v>
      </c>
      <c r="CH261" s="1">
        <f t="shared" si="171"/>
        <v>18</v>
      </c>
      <c r="CI261" s="1">
        <f t="shared" si="172"/>
        <v>20.6</v>
      </c>
      <c r="CJ261" s="1">
        <f t="shared" si="173"/>
        <v>24.7</v>
      </c>
      <c r="CK261" s="1">
        <f t="shared" si="174"/>
        <v>12.6</v>
      </c>
      <c r="CL261" s="1">
        <f t="shared" si="175"/>
        <v>9.6</v>
      </c>
      <c r="CM261" s="1">
        <f t="shared" si="176"/>
        <v>9.1999999999999993</v>
      </c>
      <c r="CN261" s="2">
        <f t="shared" si="177"/>
        <v>94.1</v>
      </c>
      <c r="CO261" s="1">
        <f t="shared" si="178"/>
        <v>0.5</v>
      </c>
      <c r="CP261" s="1">
        <f t="shared" si="179"/>
        <v>-0.2</v>
      </c>
      <c r="CQ261" s="1">
        <f t="shared" si="180"/>
        <v>-0.7</v>
      </c>
      <c r="CR261" s="1">
        <f t="shared" si="181"/>
        <v>-0.4</v>
      </c>
      <c r="CS261" s="1">
        <f t="shared" si="182"/>
        <v>6.8</v>
      </c>
      <c r="CT261" s="1">
        <f t="shared" si="183"/>
        <v>9.1</v>
      </c>
      <c r="CU261" s="1">
        <f t="shared" si="184"/>
        <v>8.8000000000000007</v>
      </c>
      <c r="CV261" s="2">
        <f t="shared" si="185"/>
        <v>44.3</v>
      </c>
      <c r="CW261" s="18">
        <f t="shared" si="186"/>
        <v>0</v>
      </c>
      <c r="CX261" s="1">
        <f>ROUND(PPTest!K261,1)</f>
        <v>0</v>
      </c>
      <c r="CY261" s="17">
        <f t="shared" si="187"/>
        <v>2.02</v>
      </c>
      <c r="CZ261" s="17">
        <f t="shared" si="188"/>
        <v>4.3099999999999996</v>
      </c>
      <c r="DA261" s="20">
        <f t="shared" si="189"/>
        <v>0.89600000000000002</v>
      </c>
      <c r="DB261" s="20">
        <f t="shared" si="190"/>
        <v>1.127</v>
      </c>
      <c r="DC261" s="16">
        <f t="shared" si="191"/>
        <v>12.36</v>
      </c>
      <c r="DF261" s="1">
        <v>15.1</v>
      </c>
      <c r="DG261" s="1">
        <v>20.3</v>
      </c>
      <c r="DH261" s="1">
        <v>10.1</v>
      </c>
      <c r="DI261" s="1">
        <v>55.5</v>
      </c>
      <c r="DJ261" s="1">
        <v>42</v>
      </c>
      <c r="DW261" s="1">
        <v>11.5</v>
      </c>
      <c r="DX261" s="1">
        <v>20.7</v>
      </c>
      <c r="DY261" s="1">
        <v>2.8</v>
      </c>
    </row>
    <row r="262" spans="1:129" x14ac:dyDescent="0.2">
      <c r="A262" s="40">
        <v>34955</v>
      </c>
      <c r="B262" s="3">
        <v>256</v>
      </c>
      <c r="C262" s="3">
        <v>18.68</v>
      </c>
      <c r="D262" s="3">
        <v>35.15</v>
      </c>
      <c r="E262" s="3">
        <v>9.39</v>
      </c>
      <c r="F262" s="3">
        <v>76.599999999999994</v>
      </c>
      <c r="G262" s="3">
        <v>9.06</v>
      </c>
      <c r="H262" s="3">
        <v>8.89</v>
      </c>
      <c r="I262" s="3">
        <v>9.39</v>
      </c>
      <c r="J262" s="3">
        <v>9.98</v>
      </c>
      <c r="K262" s="3">
        <v>10.09</v>
      </c>
      <c r="L262" s="3">
        <v>9.6999999999999993</v>
      </c>
      <c r="M262" s="3">
        <v>9.33</v>
      </c>
      <c r="N262" s="3">
        <v>8.9499999999999993</v>
      </c>
      <c r="O262" s="3">
        <v>1E-3</v>
      </c>
      <c r="P262" s="16">
        <v>1.9758333333333333</v>
      </c>
      <c r="Q262" s="3">
        <v>0</v>
      </c>
      <c r="R262" s="3">
        <v>19.09</v>
      </c>
      <c r="S262" s="3">
        <v>1658</v>
      </c>
      <c r="T262" s="3">
        <v>102.7</v>
      </c>
      <c r="U262" s="3">
        <v>431</v>
      </c>
      <c r="V262" s="3">
        <v>19.21</v>
      </c>
      <c r="W262" s="3">
        <v>22.67</v>
      </c>
      <c r="X262" s="3">
        <v>24.61</v>
      </c>
      <c r="Y262" s="3">
        <v>24.6</v>
      </c>
      <c r="Z262" s="3">
        <v>23.44</v>
      </c>
      <c r="AA262" s="3">
        <v>12.73</v>
      </c>
      <c r="AB262" s="3">
        <v>9.67</v>
      </c>
      <c r="AC262" s="3">
        <v>9.2100000000000009</v>
      </c>
      <c r="AD262" s="16">
        <v>4.6074999999999999</v>
      </c>
      <c r="AE262" s="3">
        <v>1240</v>
      </c>
      <c r="AF262" s="3">
        <v>2.093</v>
      </c>
      <c r="AG262" s="3">
        <v>502</v>
      </c>
      <c r="AH262" s="3">
        <v>34.659999999999997</v>
      </c>
      <c r="AI262" s="3">
        <v>1654</v>
      </c>
      <c r="AJ262" s="3">
        <v>1.3480000000000001</v>
      </c>
      <c r="AK262" s="3">
        <v>0.624</v>
      </c>
      <c r="AL262" s="3">
        <v>0.21099999999999999</v>
      </c>
      <c r="AM262" s="3">
        <v>0.47</v>
      </c>
      <c r="AN262" s="3">
        <v>0.62</v>
      </c>
      <c r="AO262" s="3">
        <v>7.35</v>
      </c>
      <c r="AP262" s="3">
        <v>9.09</v>
      </c>
      <c r="AQ262" s="3">
        <v>8.7899999999999991</v>
      </c>
      <c r="AR262" s="3">
        <v>2.1999999999999999E-2</v>
      </c>
      <c r="AS262" s="3">
        <v>0.309</v>
      </c>
      <c r="AT262" s="3">
        <v>0.30099999999999999</v>
      </c>
      <c r="AU262" s="3">
        <v>1.0999999999999999E-2</v>
      </c>
      <c r="AV262" s="3">
        <v>0.122</v>
      </c>
      <c r="AW262" s="3">
        <v>0.188</v>
      </c>
      <c r="AX262" s="3">
        <v>3.1E-2</v>
      </c>
      <c r="AY262" s="3">
        <v>1.7000000000000001E-2</v>
      </c>
      <c r="AZ262" s="3">
        <v>9.36</v>
      </c>
      <c r="BA262" s="3"/>
      <c r="BB262" s="3">
        <v>12.35</v>
      </c>
      <c r="BC262" s="3">
        <v>2876</v>
      </c>
      <c r="BD262" s="3"/>
      <c r="BE262" s="3"/>
      <c r="BF262" s="3">
        <v>0</v>
      </c>
      <c r="BH262" s="16">
        <v>19.68</v>
      </c>
      <c r="BI262" s="16">
        <f t="shared" ref="BI262" si="193">BH262*$BI$1</f>
        <v>39.753599999999999</v>
      </c>
      <c r="BJ262" s="17">
        <f t="shared" si="153"/>
        <v>18.68</v>
      </c>
      <c r="BK262" s="17">
        <f t="shared" si="154"/>
        <v>37.96</v>
      </c>
      <c r="BM262" s="1">
        <f t="shared" si="155"/>
        <v>95.9</v>
      </c>
      <c r="BN262" s="1">
        <f t="shared" si="156"/>
        <v>71.8</v>
      </c>
      <c r="BO262" s="1">
        <f t="shared" si="157"/>
        <v>33</v>
      </c>
      <c r="BP262" s="62">
        <f t="shared" si="159"/>
        <v>0.72899999999999998</v>
      </c>
      <c r="BQ262" s="62">
        <f t="shared" si="158"/>
        <v>1.48</v>
      </c>
      <c r="BS262" s="1">
        <v>0</v>
      </c>
      <c r="BT262" s="8"/>
      <c r="BV262" s="8"/>
      <c r="BW262" s="16">
        <f t="shared" si="160"/>
        <v>18.68</v>
      </c>
      <c r="BX262" s="16">
        <f t="shared" si="161"/>
        <v>37.96</v>
      </c>
      <c r="BY262" s="3">
        <f t="shared" si="162"/>
        <v>9.4</v>
      </c>
      <c r="BZ262" s="3">
        <f t="shared" si="163"/>
        <v>9.1</v>
      </c>
      <c r="CA262" s="3">
        <f t="shared" si="164"/>
        <v>8.9</v>
      </c>
      <c r="CB262" s="3">
        <f t="shared" si="165"/>
        <v>9.4</v>
      </c>
      <c r="CC262" s="3">
        <f t="shared" si="166"/>
        <v>9.6999999999999993</v>
      </c>
      <c r="CD262" s="3">
        <f t="shared" si="167"/>
        <v>9.3000000000000007</v>
      </c>
      <c r="CE262" s="3">
        <f t="shared" si="168"/>
        <v>9</v>
      </c>
      <c r="CF262" s="23">
        <f t="shared" si="169"/>
        <v>71.8</v>
      </c>
      <c r="CG262" s="1">
        <f t="shared" si="170"/>
        <v>19.100000000000001</v>
      </c>
      <c r="CH262" s="1">
        <f t="shared" si="171"/>
        <v>19.2</v>
      </c>
      <c r="CI262" s="1">
        <f t="shared" si="172"/>
        <v>22.7</v>
      </c>
      <c r="CJ262" s="1">
        <f t="shared" si="173"/>
        <v>24.6</v>
      </c>
      <c r="CK262" s="1">
        <f t="shared" si="174"/>
        <v>12.7</v>
      </c>
      <c r="CL262" s="1">
        <f t="shared" si="175"/>
        <v>9.6999999999999993</v>
      </c>
      <c r="CM262" s="1">
        <f t="shared" si="176"/>
        <v>9.1999999999999993</v>
      </c>
      <c r="CN262" s="2">
        <f t="shared" si="177"/>
        <v>95.9</v>
      </c>
      <c r="CO262" s="1">
        <f t="shared" si="178"/>
        <v>2.1</v>
      </c>
      <c r="CP262" s="1">
        <f t="shared" si="179"/>
        <v>1.3</v>
      </c>
      <c r="CQ262" s="1">
        <f t="shared" si="180"/>
        <v>0.6</v>
      </c>
      <c r="CR262" s="1">
        <f t="shared" si="181"/>
        <v>0.2</v>
      </c>
      <c r="CS262" s="1">
        <f t="shared" si="182"/>
        <v>7.4</v>
      </c>
      <c r="CT262" s="1">
        <f t="shared" si="183"/>
        <v>9.1</v>
      </c>
      <c r="CU262" s="1">
        <f t="shared" si="184"/>
        <v>8.8000000000000007</v>
      </c>
      <c r="CV262" s="2">
        <f t="shared" si="185"/>
        <v>33</v>
      </c>
      <c r="CW262" s="18">
        <f t="shared" si="186"/>
        <v>0</v>
      </c>
      <c r="CX262" s="1">
        <f>ROUND(PPTest!K262,1)</f>
        <v>0</v>
      </c>
      <c r="CY262" s="17">
        <f t="shared" si="187"/>
        <v>1.98</v>
      </c>
      <c r="CZ262" s="17">
        <f t="shared" si="188"/>
        <v>4.6100000000000003</v>
      </c>
      <c r="DA262" s="20">
        <f t="shared" si="189"/>
        <v>0.72899999999999998</v>
      </c>
      <c r="DB262" s="20">
        <f t="shared" si="190"/>
        <v>1.48</v>
      </c>
      <c r="DC262" s="16">
        <f t="shared" si="191"/>
        <v>12.35</v>
      </c>
      <c r="DF262" s="1">
        <v>14.9</v>
      </c>
      <c r="DG262" s="1">
        <v>20.7</v>
      </c>
      <c r="DH262" s="1">
        <v>10.4</v>
      </c>
      <c r="DI262" s="1">
        <v>55.6</v>
      </c>
      <c r="DJ262" s="1">
        <v>37</v>
      </c>
      <c r="DW262" s="1">
        <v>12.7</v>
      </c>
      <c r="DX262" s="1">
        <v>22.3</v>
      </c>
      <c r="DY262" s="1">
        <v>5.3</v>
      </c>
    </row>
    <row r="263" spans="1:129" x14ac:dyDescent="0.2">
      <c r="A263" s="40">
        <v>34956</v>
      </c>
      <c r="B263" s="3">
        <v>257</v>
      </c>
      <c r="C263" s="3">
        <v>19.43</v>
      </c>
      <c r="D263" s="3">
        <v>36.25</v>
      </c>
      <c r="E263" s="3">
        <v>8.93</v>
      </c>
      <c r="F263" s="3">
        <v>68.75</v>
      </c>
      <c r="G263" s="3">
        <v>8.75</v>
      </c>
      <c r="H263" s="3">
        <v>8.44</v>
      </c>
      <c r="I263" s="3">
        <v>8.5</v>
      </c>
      <c r="J263" s="3">
        <v>9.92</v>
      </c>
      <c r="K263" s="3">
        <v>9.7200000000000006</v>
      </c>
      <c r="L263" s="3">
        <v>9.1</v>
      </c>
      <c r="M263" s="3">
        <v>9.18</v>
      </c>
      <c r="N263" s="3">
        <v>8.8800000000000008</v>
      </c>
      <c r="O263" s="3">
        <v>0</v>
      </c>
      <c r="P263" s="16">
        <v>2.1425000000000001</v>
      </c>
      <c r="Q263" s="3">
        <v>0</v>
      </c>
      <c r="R263" s="3">
        <v>18.809999999999999</v>
      </c>
      <c r="S263" s="3">
        <v>1606</v>
      </c>
      <c r="T263" s="3">
        <v>101.8</v>
      </c>
      <c r="U263" s="3">
        <v>530</v>
      </c>
      <c r="V263" s="3">
        <v>19.190000000000001</v>
      </c>
      <c r="W263" s="3">
        <v>22.2</v>
      </c>
      <c r="X263" s="3">
        <v>24.37</v>
      </c>
      <c r="Y263" s="3">
        <v>25.24</v>
      </c>
      <c r="Z263" s="3">
        <v>23.52</v>
      </c>
      <c r="AA263" s="3">
        <v>12.2</v>
      </c>
      <c r="AB263" s="3">
        <v>9.4700000000000006</v>
      </c>
      <c r="AC263" s="3">
        <v>9.15</v>
      </c>
      <c r="AD263" s="16">
        <v>4.1275000000000004</v>
      </c>
      <c r="AE263" s="3">
        <v>1246</v>
      </c>
      <c r="AF263" s="3">
        <v>0.50600000000000001</v>
      </c>
      <c r="AG263" s="3">
        <v>606</v>
      </c>
      <c r="AH263" s="3">
        <v>14.32</v>
      </c>
      <c r="AI263" s="3">
        <v>1413</v>
      </c>
      <c r="AJ263" s="3">
        <v>-0.125</v>
      </c>
      <c r="AK263" s="3">
        <v>-0.64600000000000002</v>
      </c>
      <c r="AL263" s="3">
        <v>-0.498</v>
      </c>
      <c r="AM263" s="3">
        <v>-0.73599999999999999</v>
      </c>
      <c r="AN263" s="3">
        <v>-0.59699999999999998</v>
      </c>
      <c r="AO263" s="3">
        <v>6.5970000000000004</v>
      </c>
      <c r="AP263" s="3">
        <v>8.91</v>
      </c>
      <c r="AQ263" s="3">
        <v>8.67</v>
      </c>
      <c r="AR263" s="3">
        <v>1E-3</v>
      </c>
      <c r="AS263" s="3">
        <v>0.22800000000000001</v>
      </c>
      <c r="AT263" s="3">
        <v>0.379</v>
      </c>
      <c r="AU263" s="3">
        <v>2E-3</v>
      </c>
      <c r="AV263" s="3">
        <v>8.2000000000000003E-2</v>
      </c>
      <c r="AW263" s="3">
        <v>0.215</v>
      </c>
      <c r="AX263" s="3">
        <v>7.8E-2</v>
      </c>
      <c r="AY263" s="3">
        <v>1.2999999999999999E-2</v>
      </c>
      <c r="AZ263" s="3">
        <v>8.74</v>
      </c>
      <c r="BA263" s="3"/>
      <c r="BB263" s="3">
        <v>12.35</v>
      </c>
      <c r="BC263" s="3">
        <v>2876</v>
      </c>
      <c r="BD263" s="3"/>
      <c r="BE263" s="3"/>
      <c r="BF263" s="3">
        <v>0</v>
      </c>
      <c r="BH263" s="16">
        <v>19.43</v>
      </c>
      <c r="BI263" s="16">
        <f t="shared" ref="BI263:BI326" si="194">BH263*$BI$1</f>
        <v>39.248600000000003</v>
      </c>
      <c r="BJ263" s="17">
        <f t="shared" ref="BJ263:BJ326" si="195">ROUND(C263*BJ$2,2)</f>
        <v>19.43</v>
      </c>
      <c r="BK263" s="17">
        <f t="shared" ref="BK263:BK326" si="196">ROUND(D263*BK$2,2)</f>
        <v>39.15</v>
      </c>
      <c r="BM263" s="1">
        <f t="shared" ref="BM263:BM326" si="197">ROUND(T263*BM$3+BM$4,1)</f>
        <v>95.1</v>
      </c>
      <c r="BN263" s="1">
        <f t="shared" ref="BN263:BN326" si="198">ROUND(F263*BM$3+BM$4,1)</f>
        <v>64.5</v>
      </c>
      <c r="BO263" s="1">
        <f t="shared" ref="BO263:BO326" si="199">ROUND(AH263*BM$3+BM$4,1)</f>
        <v>14.2</v>
      </c>
      <c r="BP263" s="62">
        <f t="shared" si="159"/>
        <v>0.308</v>
      </c>
      <c r="BQ263" s="62">
        <f t="shared" ref="BQ263:BQ326" si="200">ROUND((100-BO263)*BP263/BO263,3)</f>
        <v>1.861</v>
      </c>
      <c r="BS263" s="1">
        <v>0</v>
      </c>
      <c r="BT263" s="8"/>
      <c r="BV263" s="8"/>
      <c r="BW263" s="16">
        <f t="shared" si="160"/>
        <v>19.43</v>
      </c>
      <c r="BX263" s="16">
        <f t="shared" si="161"/>
        <v>39.15</v>
      </c>
      <c r="BY263" s="3">
        <f t="shared" si="162"/>
        <v>8.9</v>
      </c>
      <c r="BZ263" s="3">
        <f t="shared" si="163"/>
        <v>8.8000000000000007</v>
      </c>
      <c r="CA263" s="3">
        <f t="shared" si="164"/>
        <v>8.4</v>
      </c>
      <c r="CB263" s="3">
        <f t="shared" si="165"/>
        <v>8.5</v>
      </c>
      <c r="CC263" s="3">
        <f t="shared" si="166"/>
        <v>9.1</v>
      </c>
      <c r="CD263" s="3">
        <f t="shared" si="167"/>
        <v>9.1999999999999993</v>
      </c>
      <c r="CE263" s="3">
        <f t="shared" si="168"/>
        <v>8.9</v>
      </c>
      <c r="CF263" s="23">
        <f t="shared" si="169"/>
        <v>64.5</v>
      </c>
      <c r="CG263" s="1">
        <f t="shared" si="170"/>
        <v>18.8</v>
      </c>
      <c r="CH263" s="1">
        <f t="shared" si="171"/>
        <v>19.2</v>
      </c>
      <c r="CI263" s="1">
        <f t="shared" si="172"/>
        <v>22.2</v>
      </c>
      <c r="CJ263" s="1">
        <f t="shared" si="173"/>
        <v>24.4</v>
      </c>
      <c r="CK263" s="1">
        <f t="shared" si="174"/>
        <v>12.2</v>
      </c>
      <c r="CL263" s="1">
        <f t="shared" si="175"/>
        <v>9.5</v>
      </c>
      <c r="CM263" s="1">
        <f t="shared" si="176"/>
        <v>9.1999999999999993</v>
      </c>
      <c r="CN263" s="2">
        <f t="shared" si="177"/>
        <v>95.1</v>
      </c>
      <c r="CO263" s="1">
        <f t="shared" si="178"/>
        <v>0.5</v>
      </c>
      <c r="CP263" s="1">
        <f t="shared" si="179"/>
        <v>-0.1</v>
      </c>
      <c r="CQ263" s="1">
        <f t="shared" si="180"/>
        <v>-0.6</v>
      </c>
      <c r="CR263" s="1">
        <f t="shared" si="181"/>
        <v>-0.5</v>
      </c>
      <c r="CS263" s="1">
        <f t="shared" si="182"/>
        <v>6.6</v>
      </c>
      <c r="CT263" s="1">
        <f t="shared" si="183"/>
        <v>8.9</v>
      </c>
      <c r="CU263" s="1">
        <f t="shared" si="184"/>
        <v>8.6999999999999993</v>
      </c>
      <c r="CV263" s="2">
        <f t="shared" si="185"/>
        <v>14.2</v>
      </c>
      <c r="CW263" s="18">
        <f t="shared" si="186"/>
        <v>0</v>
      </c>
      <c r="CX263" s="1">
        <f>ROUND(PPTest!K263,1)</f>
        <v>0</v>
      </c>
      <c r="CY263" s="17">
        <f t="shared" si="187"/>
        <v>2.14</v>
      </c>
      <c r="CZ263" s="17">
        <f t="shared" si="188"/>
        <v>4.13</v>
      </c>
      <c r="DA263" s="20">
        <f t="shared" si="189"/>
        <v>0.308</v>
      </c>
      <c r="DB263" s="20">
        <f t="shared" si="190"/>
        <v>1.861</v>
      </c>
      <c r="DC263" s="16">
        <f t="shared" si="191"/>
        <v>12.35</v>
      </c>
      <c r="DF263" s="1">
        <v>14.9</v>
      </c>
      <c r="DG263" s="1">
        <v>20.9</v>
      </c>
      <c r="DH263" s="1">
        <v>10.3</v>
      </c>
      <c r="DI263" s="1">
        <v>51.5</v>
      </c>
      <c r="DJ263" s="1">
        <v>38</v>
      </c>
      <c r="DW263" s="1">
        <v>13.1</v>
      </c>
      <c r="DX263" s="1">
        <v>23.4</v>
      </c>
      <c r="DY263" s="1">
        <v>4.7</v>
      </c>
    </row>
    <row r="264" spans="1:129" x14ac:dyDescent="0.2">
      <c r="A264" s="40">
        <v>34957</v>
      </c>
      <c r="B264" s="3">
        <v>258</v>
      </c>
      <c r="C264" s="3">
        <v>19.559999999999999</v>
      </c>
      <c r="D264" s="3">
        <v>36.86</v>
      </c>
      <c r="E264" s="3">
        <v>9.11</v>
      </c>
      <c r="F264" s="3">
        <v>69.709999999999994</v>
      </c>
      <c r="G264" s="3">
        <v>8.9700000000000006</v>
      </c>
      <c r="H264" s="3">
        <v>8.6999999999999993</v>
      </c>
      <c r="I264" s="3">
        <v>8.83</v>
      </c>
      <c r="J264" s="3">
        <v>10.26</v>
      </c>
      <c r="K264" s="3">
        <v>10.08</v>
      </c>
      <c r="L264" s="3">
        <v>9.25</v>
      </c>
      <c r="M264" s="3">
        <v>9.1300000000000008</v>
      </c>
      <c r="N264" s="3">
        <v>8.85</v>
      </c>
      <c r="O264" s="3">
        <v>1E-3</v>
      </c>
      <c r="P264" s="16">
        <v>2.1341666666666668</v>
      </c>
      <c r="Q264" s="3">
        <v>0</v>
      </c>
      <c r="R264" s="3">
        <v>17.11</v>
      </c>
      <c r="S264" s="3">
        <v>1547</v>
      </c>
      <c r="T264" s="3">
        <v>95.6</v>
      </c>
      <c r="U264" s="3">
        <v>2345</v>
      </c>
      <c r="V264" s="3">
        <v>17.47</v>
      </c>
      <c r="W264" s="3">
        <v>19.989999999999998</v>
      </c>
      <c r="X264" s="3">
        <v>23.18</v>
      </c>
      <c r="Y264" s="3">
        <v>23.71</v>
      </c>
      <c r="Z264" s="3">
        <v>22.44</v>
      </c>
      <c r="AA264" s="3">
        <v>12.16</v>
      </c>
      <c r="AB264" s="3">
        <v>9.42</v>
      </c>
      <c r="AC264" s="3">
        <v>9.09</v>
      </c>
      <c r="AD264" s="16">
        <v>4.7941666666666674</v>
      </c>
      <c r="AE264" s="3">
        <v>1242</v>
      </c>
      <c r="AF264" s="3">
        <v>1.2569999999999999</v>
      </c>
      <c r="AG264" s="3">
        <v>0</v>
      </c>
      <c r="AH264" s="3">
        <v>28.85</v>
      </c>
      <c r="AI264" s="3">
        <v>1611</v>
      </c>
      <c r="AJ264" s="3">
        <v>0.378</v>
      </c>
      <c r="AK264" s="3">
        <v>-0.29099999999999998</v>
      </c>
      <c r="AL264" s="3">
        <v>-0.84699999999999998</v>
      </c>
      <c r="AM264" s="3">
        <v>-0.40600000000000003</v>
      </c>
      <c r="AN264" s="3">
        <v>-0.29099999999999998</v>
      </c>
      <c r="AO264" s="3">
        <v>7.44</v>
      </c>
      <c r="AP264" s="3">
        <v>8.9</v>
      </c>
      <c r="AQ264" s="3">
        <v>8.66</v>
      </c>
      <c r="AR264" s="3">
        <v>8.9999999999999993E-3</v>
      </c>
      <c r="AS264" s="3">
        <v>0.26600000000000001</v>
      </c>
      <c r="AT264" s="3">
        <v>0.28899999999999998</v>
      </c>
      <c r="AU264" s="3">
        <v>8.0000000000000002E-3</v>
      </c>
      <c r="AV264" s="3">
        <v>6.8000000000000005E-2</v>
      </c>
      <c r="AW264" s="3">
        <v>0.22</v>
      </c>
      <c r="AX264" s="3">
        <v>0.11600000000000001</v>
      </c>
      <c r="AY264" s="3">
        <v>2.4E-2</v>
      </c>
      <c r="AZ264" s="3">
        <v>9.26</v>
      </c>
      <c r="BA264" s="3"/>
      <c r="BB264" s="3">
        <v>12.34</v>
      </c>
      <c r="BC264" s="3">
        <v>2876</v>
      </c>
      <c r="BD264" s="3"/>
      <c r="BE264" s="3"/>
      <c r="BF264" s="3">
        <v>0</v>
      </c>
      <c r="BH264" s="16">
        <v>19.170000000000002</v>
      </c>
      <c r="BI264" s="16">
        <f t="shared" si="194"/>
        <v>38.723400000000005</v>
      </c>
      <c r="BJ264" s="17">
        <f t="shared" si="195"/>
        <v>19.559999999999999</v>
      </c>
      <c r="BK264" s="17">
        <f t="shared" si="196"/>
        <v>39.81</v>
      </c>
      <c r="BM264" s="1">
        <f t="shared" si="197"/>
        <v>89.3</v>
      </c>
      <c r="BN264" s="1">
        <f t="shared" si="198"/>
        <v>65.400000000000006</v>
      </c>
      <c r="BO264" s="1">
        <f t="shared" si="199"/>
        <v>27.7</v>
      </c>
      <c r="BP264" s="62">
        <f t="shared" ref="BP264:BP327" si="201">ROUND(0.6105*(EXP((17.273*R264)/(R264+237.3)))*BO264/100, 3)</f>
        <v>0.54</v>
      </c>
      <c r="BQ264" s="62">
        <f t="shared" si="200"/>
        <v>1.409</v>
      </c>
      <c r="BS264" s="1">
        <v>0</v>
      </c>
      <c r="BT264" s="8"/>
      <c r="BV264" s="8"/>
      <c r="BW264" s="16">
        <f t="shared" si="160"/>
        <v>19.559999999999999</v>
      </c>
      <c r="BX264" s="16">
        <f t="shared" si="161"/>
        <v>39.81</v>
      </c>
      <c r="BY264" s="3">
        <f t="shared" si="162"/>
        <v>9.1</v>
      </c>
      <c r="BZ264" s="3">
        <f t="shared" si="163"/>
        <v>9</v>
      </c>
      <c r="CA264" s="3">
        <f t="shared" si="164"/>
        <v>8.6999999999999993</v>
      </c>
      <c r="CB264" s="3">
        <f t="shared" si="165"/>
        <v>8.8000000000000007</v>
      </c>
      <c r="CC264" s="3">
        <f t="shared" si="166"/>
        <v>9.3000000000000007</v>
      </c>
      <c r="CD264" s="3">
        <f t="shared" si="167"/>
        <v>9.1</v>
      </c>
      <c r="CE264" s="3">
        <f t="shared" si="168"/>
        <v>8.9</v>
      </c>
      <c r="CF264" s="23">
        <f t="shared" si="169"/>
        <v>65.400000000000006</v>
      </c>
      <c r="CG264" s="1">
        <f t="shared" si="170"/>
        <v>17.100000000000001</v>
      </c>
      <c r="CH264" s="1">
        <f t="shared" si="171"/>
        <v>17.5</v>
      </c>
      <c r="CI264" s="1">
        <f t="shared" si="172"/>
        <v>20</v>
      </c>
      <c r="CJ264" s="1">
        <f t="shared" si="173"/>
        <v>23.2</v>
      </c>
      <c r="CK264" s="1">
        <f t="shared" si="174"/>
        <v>12.2</v>
      </c>
      <c r="CL264" s="1">
        <f t="shared" si="175"/>
        <v>9.4</v>
      </c>
      <c r="CM264" s="1">
        <f t="shared" si="176"/>
        <v>9.1</v>
      </c>
      <c r="CN264" s="2">
        <f t="shared" si="177"/>
        <v>89.3</v>
      </c>
      <c r="CO264" s="1">
        <f t="shared" si="178"/>
        <v>1.3</v>
      </c>
      <c r="CP264" s="1">
        <f t="shared" si="179"/>
        <v>0.4</v>
      </c>
      <c r="CQ264" s="1">
        <f t="shared" si="180"/>
        <v>-0.3</v>
      </c>
      <c r="CR264" s="1">
        <f t="shared" si="181"/>
        <v>-0.8</v>
      </c>
      <c r="CS264" s="1">
        <f t="shared" si="182"/>
        <v>7.4</v>
      </c>
      <c r="CT264" s="1">
        <f t="shared" si="183"/>
        <v>8.9</v>
      </c>
      <c r="CU264" s="1">
        <f t="shared" si="184"/>
        <v>8.6999999999999993</v>
      </c>
      <c r="CV264" s="2">
        <f t="shared" si="185"/>
        <v>27.7</v>
      </c>
      <c r="CW264" s="18">
        <f t="shared" si="186"/>
        <v>0</v>
      </c>
      <c r="CX264" s="1">
        <f>ROUND(PPTest!K264,1)</f>
        <v>0</v>
      </c>
      <c r="CY264" s="17">
        <f t="shared" si="187"/>
        <v>2.13</v>
      </c>
      <c r="CZ264" s="17">
        <f t="shared" si="188"/>
        <v>4.79</v>
      </c>
      <c r="DA264" s="20">
        <f t="shared" si="189"/>
        <v>0.54</v>
      </c>
      <c r="DB264" s="20">
        <f t="shared" si="190"/>
        <v>1.409</v>
      </c>
      <c r="DC264" s="16">
        <f t="shared" si="191"/>
        <v>12.34</v>
      </c>
      <c r="DF264" s="1">
        <v>14.5</v>
      </c>
      <c r="DG264" s="1">
        <v>19.100000000000001</v>
      </c>
      <c r="DH264" s="1">
        <v>9.8000000000000007</v>
      </c>
      <c r="DI264" s="1">
        <v>51.5</v>
      </c>
      <c r="DJ264" s="1">
        <v>34</v>
      </c>
      <c r="DW264" s="1">
        <v>11.6</v>
      </c>
      <c r="DX264" s="1">
        <v>21.8</v>
      </c>
      <c r="DY264" s="1">
        <v>3.8</v>
      </c>
    </row>
    <row r="265" spans="1:129" x14ac:dyDescent="0.2">
      <c r="A265" s="40">
        <v>34958</v>
      </c>
      <c r="B265" s="3">
        <v>259</v>
      </c>
      <c r="C265" s="3">
        <v>19.38</v>
      </c>
      <c r="D265" s="3">
        <v>36.47</v>
      </c>
      <c r="E265" s="3">
        <v>7.18</v>
      </c>
      <c r="F265" s="3">
        <v>77.7</v>
      </c>
      <c r="G265" s="3">
        <v>7.04</v>
      </c>
      <c r="H265" s="3">
        <v>6.726</v>
      </c>
      <c r="I265" s="3">
        <v>7.11</v>
      </c>
      <c r="J265" s="3">
        <v>8.2200000000000006</v>
      </c>
      <c r="K265" s="3">
        <v>8.07</v>
      </c>
      <c r="L265" s="3">
        <v>8.52</v>
      </c>
      <c r="M265" s="3">
        <v>8.8699999999999992</v>
      </c>
      <c r="N265" s="3">
        <v>8.75</v>
      </c>
      <c r="O265" s="3">
        <v>0</v>
      </c>
      <c r="P265" s="16">
        <v>2.1274999999999999</v>
      </c>
      <c r="Q265" s="3">
        <v>0</v>
      </c>
      <c r="R265" s="3">
        <v>16.510000000000002</v>
      </c>
      <c r="S265" s="3">
        <v>1539</v>
      </c>
      <c r="T265" s="3">
        <v>102.4</v>
      </c>
      <c r="U265" s="3">
        <v>550</v>
      </c>
      <c r="V265" s="3">
        <v>16.84</v>
      </c>
      <c r="W265" s="3">
        <v>19.760000000000002</v>
      </c>
      <c r="X265" s="3">
        <v>23.47</v>
      </c>
      <c r="Y265" s="3">
        <v>23.95</v>
      </c>
      <c r="Z265" s="3">
        <v>21.59</v>
      </c>
      <c r="AA265" s="3">
        <v>11.77</v>
      </c>
      <c r="AB265" s="3">
        <v>9.1999999999999993</v>
      </c>
      <c r="AC265" s="3">
        <v>9.0399999999999991</v>
      </c>
      <c r="AD265" s="16">
        <v>4.2208333333333332</v>
      </c>
      <c r="AE265" s="3">
        <v>1303</v>
      </c>
      <c r="AF265" s="3">
        <v>-1.0069999999999999</v>
      </c>
      <c r="AG265" s="3">
        <v>544</v>
      </c>
      <c r="AH265" s="3">
        <v>38.99</v>
      </c>
      <c r="AI265" s="3">
        <v>1651</v>
      </c>
      <c r="AJ265" s="3">
        <v>-1.6559999999999999</v>
      </c>
      <c r="AK265" s="3">
        <v>-2.0950000000000002</v>
      </c>
      <c r="AL265" s="3">
        <v>-2.4060000000000001</v>
      </c>
      <c r="AM265" s="3">
        <v>-1.2430000000000001</v>
      </c>
      <c r="AN265" s="3">
        <v>-0.76300000000000001</v>
      </c>
      <c r="AO265" s="3">
        <v>5.9470000000000001</v>
      </c>
      <c r="AP265" s="3">
        <v>8.6</v>
      </c>
      <c r="AQ265" s="3">
        <v>8.5399999999999991</v>
      </c>
      <c r="AR265" s="3">
        <v>1.4999999999999999E-2</v>
      </c>
      <c r="AS265" s="3">
        <v>0.246</v>
      </c>
      <c r="AT265" s="3">
        <v>0.35099999999999998</v>
      </c>
      <c r="AU265" s="3">
        <v>4.0000000000000001E-3</v>
      </c>
      <c r="AV265" s="3">
        <v>0.113</v>
      </c>
      <c r="AW265" s="3">
        <v>0.20599999999999999</v>
      </c>
      <c r="AX265" s="3">
        <v>4.2999999999999997E-2</v>
      </c>
      <c r="AY265" s="3">
        <v>2.1000000000000001E-2</v>
      </c>
      <c r="AZ265" s="3">
        <v>7.11</v>
      </c>
      <c r="BA265" s="3"/>
      <c r="BB265" s="3">
        <v>12.34</v>
      </c>
      <c r="BC265" s="3">
        <v>2876</v>
      </c>
      <c r="BD265" s="3"/>
      <c r="BE265" s="3"/>
      <c r="BF265" s="3">
        <v>0</v>
      </c>
      <c r="BH265" s="16">
        <v>18.920000000000002</v>
      </c>
      <c r="BI265" s="16">
        <f t="shared" si="194"/>
        <v>38.218400000000003</v>
      </c>
      <c r="BJ265" s="17">
        <f t="shared" si="195"/>
        <v>19.38</v>
      </c>
      <c r="BK265" s="17">
        <f t="shared" si="196"/>
        <v>39.39</v>
      </c>
      <c r="BM265" s="1">
        <f t="shared" si="197"/>
        <v>95.6</v>
      </c>
      <c r="BN265" s="1">
        <f t="shared" si="198"/>
        <v>72.8</v>
      </c>
      <c r="BO265" s="1">
        <f t="shared" si="199"/>
        <v>37</v>
      </c>
      <c r="BP265" s="62">
        <f t="shared" si="201"/>
        <v>0.69499999999999995</v>
      </c>
      <c r="BQ265" s="62">
        <f t="shared" si="200"/>
        <v>1.1830000000000001</v>
      </c>
      <c r="BS265" s="1">
        <v>0</v>
      </c>
      <c r="BT265" s="8"/>
      <c r="BV265" s="8"/>
      <c r="BW265" s="16">
        <f t="shared" si="160"/>
        <v>19.38</v>
      </c>
      <c r="BX265" s="16">
        <f t="shared" si="161"/>
        <v>39.39</v>
      </c>
      <c r="BY265" s="3">
        <f t="shared" si="162"/>
        <v>7.2</v>
      </c>
      <c r="BZ265" s="3">
        <f t="shared" si="163"/>
        <v>7</v>
      </c>
      <c r="CA265" s="3">
        <f t="shared" si="164"/>
        <v>6.7</v>
      </c>
      <c r="CB265" s="3">
        <f t="shared" si="165"/>
        <v>7.1</v>
      </c>
      <c r="CC265" s="3">
        <f t="shared" si="166"/>
        <v>8.5</v>
      </c>
      <c r="CD265" s="3">
        <f t="shared" si="167"/>
        <v>8.9</v>
      </c>
      <c r="CE265" s="3">
        <f t="shared" si="168"/>
        <v>8.8000000000000007</v>
      </c>
      <c r="CF265" s="23">
        <f t="shared" si="169"/>
        <v>72.8</v>
      </c>
      <c r="CG265" s="1">
        <f t="shared" si="170"/>
        <v>16.5</v>
      </c>
      <c r="CH265" s="1">
        <f t="shared" si="171"/>
        <v>16.8</v>
      </c>
      <c r="CI265" s="1">
        <f t="shared" si="172"/>
        <v>19.8</v>
      </c>
      <c r="CJ265" s="1">
        <f t="shared" si="173"/>
        <v>23.5</v>
      </c>
      <c r="CK265" s="1">
        <f t="shared" si="174"/>
        <v>11.8</v>
      </c>
      <c r="CL265" s="1">
        <f t="shared" si="175"/>
        <v>9.1999999999999993</v>
      </c>
      <c r="CM265" s="1">
        <f t="shared" si="176"/>
        <v>9</v>
      </c>
      <c r="CN265" s="2">
        <f t="shared" si="177"/>
        <v>95.6</v>
      </c>
      <c r="CO265" s="1">
        <f t="shared" si="178"/>
        <v>-1</v>
      </c>
      <c r="CP265" s="1">
        <f t="shared" si="179"/>
        <v>-1.7</v>
      </c>
      <c r="CQ265" s="1">
        <f t="shared" si="180"/>
        <v>-2.1</v>
      </c>
      <c r="CR265" s="1">
        <f t="shared" si="181"/>
        <v>-2.4</v>
      </c>
      <c r="CS265" s="1">
        <f t="shared" si="182"/>
        <v>5.9</v>
      </c>
      <c r="CT265" s="1">
        <f t="shared" si="183"/>
        <v>8.6</v>
      </c>
      <c r="CU265" s="1">
        <f t="shared" si="184"/>
        <v>8.5</v>
      </c>
      <c r="CV265" s="2">
        <f t="shared" si="185"/>
        <v>37</v>
      </c>
      <c r="CW265" s="18">
        <f t="shared" si="186"/>
        <v>0</v>
      </c>
      <c r="CX265" s="1">
        <f>ROUND(PPTest!K265,1)</f>
        <v>0</v>
      </c>
      <c r="CY265" s="17">
        <f t="shared" si="187"/>
        <v>2.13</v>
      </c>
      <c r="CZ265" s="17">
        <f t="shared" si="188"/>
        <v>4.22</v>
      </c>
      <c r="DA265" s="20">
        <f t="shared" si="189"/>
        <v>0.69499999999999995</v>
      </c>
      <c r="DB265" s="20">
        <f t="shared" si="190"/>
        <v>1.1830000000000001</v>
      </c>
      <c r="DC265" s="16">
        <f t="shared" si="191"/>
        <v>12.34</v>
      </c>
      <c r="DF265" s="1">
        <v>12.9</v>
      </c>
      <c r="DG265" s="1">
        <v>18.600000000000001</v>
      </c>
      <c r="DH265" s="1">
        <v>9.1999999999999993</v>
      </c>
      <c r="DI265" s="1">
        <v>60.2</v>
      </c>
      <c r="DJ265" s="1">
        <v>45</v>
      </c>
      <c r="DW265" s="1">
        <v>10.4</v>
      </c>
      <c r="DX265" s="1">
        <v>21.6</v>
      </c>
      <c r="DY265" s="1">
        <v>2.6</v>
      </c>
    </row>
    <row r="266" spans="1:129" x14ac:dyDescent="0.2">
      <c r="A266" s="40">
        <v>34959</v>
      </c>
      <c r="B266" s="3">
        <v>260</v>
      </c>
      <c r="C266" s="3">
        <v>19.3</v>
      </c>
      <c r="D266" s="3">
        <v>36.22</v>
      </c>
      <c r="E266" s="3">
        <v>7.24</v>
      </c>
      <c r="F266" s="3">
        <v>69.78</v>
      </c>
      <c r="G266" s="3">
        <v>7.11</v>
      </c>
      <c r="H266" s="3">
        <v>6.8259999999999996</v>
      </c>
      <c r="I266" s="3">
        <v>6.7619999999999996</v>
      </c>
      <c r="J266" s="3">
        <v>8.36</v>
      </c>
      <c r="K266" s="3">
        <v>8.09</v>
      </c>
      <c r="L266" s="3">
        <v>8.14</v>
      </c>
      <c r="M266" s="3">
        <v>8.6199999999999992</v>
      </c>
      <c r="N266" s="3">
        <v>8.66</v>
      </c>
      <c r="O266" s="3">
        <v>0</v>
      </c>
      <c r="P266" s="16">
        <v>2.0491666666666668</v>
      </c>
      <c r="Q266" s="3">
        <v>0</v>
      </c>
      <c r="R266" s="3">
        <v>17.47</v>
      </c>
      <c r="S266" s="3">
        <v>1453</v>
      </c>
      <c r="T266" s="3">
        <v>103.9</v>
      </c>
      <c r="U266" s="3">
        <v>503</v>
      </c>
      <c r="V266" s="3">
        <v>18.04</v>
      </c>
      <c r="W266" s="3">
        <v>20.16</v>
      </c>
      <c r="X266" s="3">
        <v>22.49</v>
      </c>
      <c r="Y266" s="3">
        <v>24.04</v>
      </c>
      <c r="Z266" s="3">
        <v>22.41</v>
      </c>
      <c r="AA266" s="3">
        <v>11.21</v>
      </c>
      <c r="AB266" s="3">
        <v>8.92</v>
      </c>
      <c r="AC266" s="3">
        <v>8.9499999999999993</v>
      </c>
      <c r="AD266" s="16">
        <v>4.0475000000000003</v>
      </c>
      <c r="AE266" s="3">
        <v>1116</v>
      </c>
      <c r="AF266" s="3">
        <v>-1.214</v>
      </c>
      <c r="AG266" s="3">
        <v>554</v>
      </c>
      <c r="AH266" s="3">
        <v>22.56</v>
      </c>
      <c r="AI266" s="3">
        <v>1422</v>
      </c>
      <c r="AJ266" s="3">
        <v>-1.825</v>
      </c>
      <c r="AK266" s="3">
        <v>-2.3570000000000002</v>
      </c>
      <c r="AL266" s="3">
        <v>-2.706</v>
      </c>
      <c r="AM266" s="3">
        <v>-1.387</v>
      </c>
      <c r="AN266" s="3">
        <v>-0.64600000000000002</v>
      </c>
      <c r="AO266" s="3">
        <v>5.6840000000000002</v>
      </c>
      <c r="AP266" s="3">
        <v>8.3699999999999992</v>
      </c>
      <c r="AQ266" s="3">
        <v>8.4700000000000006</v>
      </c>
      <c r="AR266" s="3">
        <v>3.0000000000000001E-3</v>
      </c>
      <c r="AS266" s="3">
        <v>0.192</v>
      </c>
      <c r="AT266" s="3">
        <v>0.41199999999999998</v>
      </c>
      <c r="AU266" s="3">
        <v>3.0000000000000001E-3</v>
      </c>
      <c r="AV266" s="3">
        <v>8.1000000000000003E-2</v>
      </c>
      <c r="AW266" s="3">
        <v>0.224</v>
      </c>
      <c r="AX266" s="3">
        <v>7.1999999999999995E-2</v>
      </c>
      <c r="AY266" s="3">
        <v>1.2E-2</v>
      </c>
      <c r="AZ266" s="3">
        <v>7.08</v>
      </c>
      <c r="BA266" s="3"/>
      <c r="BB266" s="3">
        <v>12.34</v>
      </c>
      <c r="BC266" s="3">
        <v>2876</v>
      </c>
      <c r="BD266" s="3"/>
      <c r="BE266" s="3"/>
      <c r="BF266" s="3">
        <v>0</v>
      </c>
      <c r="BH266" s="16">
        <v>18.66</v>
      </c>
      <c r="BI266" s="16">
        <f t="shared" si="194"/>
        <v>37.693199999999997</v>
      </c>
      <c r="BJ266" s="17">
        <f t="shared" si="195"/>
        <v>19.3</v>
      </c>
      <c r="BK266" s="17">
        <f t="shared" si="196"/>
        <v>39.119999999999997</v>
      </c>
      <c r="BM266" s="1">
        <f t="shared" si="197"/>
        <v>97</v>
      </c>
      <c r="BN266" s="1">
        <f t="shared" si="198"/>
        <v>65.5</v>
      </c>
      <c r="BO266" s="1">
        <f t="shared" si="199"/>
        <v>21.8</v>
      </c>
      <c r="BP266" s="62">
        <f t="shared" si="201"/>
        <v>0.435</v>
      </c>
      <c r="BQ266" s="62">
        <f t="shared" si="200"/>
        <v>1.56</v>
      </c>
      <c r="BS266" s="1">
        <v>0</v>
      </c>
      <c r="BT266" s="8"/>
      <c r="BV266" s="8"/>
      <c r="BW266" s="16">
        <f t="shared" si="160"/>
        <v>19.3</v>
      </c>
      <c r="BX266" s="16">
        <f t="shared" si="161"/>
        <v>39.119999999999997</v>
      </c>
      <c r="BY266" s="3">
        <f t="shared" si="162"/>
        <v>7.2</v>
      </c>
      <c r="BZ266" s="3">
        <f t="shared" si="163"/>
        <v>7.1</v>
      </c>
      <c r="CA266" s="3">
        <f t="shared" si="164"/>
        <v>6.8</v>
      </c>
      <c r="CB266" s="3">
        <f t="shared" si="165"/>
        <v>6.8</v>
      </c>
      <c r="CC266" s="3">
        <f t="shared" si="166"/>
        <v>8.1</v>
      </c>
      <c r="CD266" s="3">
        <f t="shared" si="167"/>
        <v>8.6</v>
      </c>
      <c r="CE266" s="3">
        <f t="shared" si="168"/>
        <v>8.6999999999999993</v>
      </c>
      <c r="CF266" s="23">
        <f t="shared" si="169"/>
        <v>65.5</v>
      </c>
      <c r="CG266" s="1">
        <f t="shared" si="170"/>
        <v>17.5</v>
      </c>
      <c r="CH266" s="1">
        <f t="shared" si="171"/>
        <v>18</v>
      </c>
      <c r="CI266" s="1">
        <f t="shared" si="172"/>
        <v>20.2</v>
      </c>
      <c r="CJ266" s="1">
        <f t="shared" si="173"/>
        <v>22.5</v>
      </c>
      <c r="CK266" s="1">
        <f t="shared" si="174"/>
        <v>11.2</v>
      </c>
      <c r="CL266" s="1">
        <f t="shared" si="175"/>
        <v>8.9</v>
      </c>
      <c r="CM266" s="1">
        <f t="shared" si="176"/>
        <v>9</v>
      </c>
      <c r="CN266" s="2">
        <f t="shared" si="177"/>
        <v>97</v>
      </c>
      <c r="CO266" s="1">
        <f t="shared" si="178"/>
        <v>-1.2</v>
      </c>
      <c r="CP266" s="1">
        <f t="shared" si="179"/>
        <v>-1.8</v>
      </c>
      <c r="CQ266" s="1">
        <f t="shared" si="180"/>
        <v>-2.4</v>
      </c>
      <c r="CR266" s="1">
        <f t="shared" si="181"/>
        <v>-2.7</v>
      </c>
      <c r="CS266" s="1">
        <f t="shared" si="182"/>
        <v>5.7</v>
      </c>
      <c r="CT266" s="1">
        <f t="shared" si="183"/>
        <v>8.4</v>
      </c>
      <c r="CU266" s="1">
        <f t="shared" si="184"/>
        <v>8.5</v>
      </c>
      <c r="CV266" s="2">
        <f t="shared" si="185"/>
        <v>21.8</v>
      </c>
      <c r="CW266" s="18">
        <f t="shared" si="186"/>
        <v>0</v>
      </c>
      <c r="CX266" s="1">
        <f>ROUND(PPTest!K266,1)</f>
        <v>0</v>
      </c>
      <c r="CY266" s="17">
        <f t="shared" si="187"/>
        <v>2.0499999999999998</v>
      </c>
      <c r="CZ266" s="17">
        <f t="shared" si="188"/>
        <v>4.05</v>
      </c>
      <c r="DA266" s="20">
        <f t="shared" si="189"/>
        <v>0.435</v>
      </c>
      <c r="DB266" s="20">
        <f t="shared" si="190"/>
        <v>1.56</v>
      </c>
      <c r="DC266" s="16">
        <f t="shared" si="191"/>
        <v>12.34</v>
      </c>
      <c r="DF266" s="1">
        <v>12.8</v>
      </c>
      <c r="DG266" s="1">
        <v>19.2</v>
      </c>
      <c r="DH266" s="1">
        <v>7.4</v>
      </c>
      <c r="DI266" s="1">
        <v>57.1</v>
      </c>
      <c r="DJ266" s="1">
        <v>33</v>
      </c>
      <c r="DW266" s="1">
        <v>10.6</v>
      </c>
      <c r="DX266" s="1">
        <v>22.6</v>
      </c>
      <c r="DY266" s="1">
        <v>0.4</v>
      </c>
    </row>
    <row r="267" spans="1:129" x14ac:dyDescent="0.2">
      <c r="A267" s="40">
        <v>34960</v>
      </c>
      <c r="B267" s="3">
        <v>261</v>
      </c>
      <c r="C267" s="3">
        <v>12.87</v>
      </c>
      <c r="D267" s="3">
        <v>24.88</v>
      </c>
      <c r="E267" s="3">
        <v>6.7380000000000004</v>
      </c>
      <c r="F267" s="3">
        <v>82.2</v>
      </c>
      <c r="G267" s="3">
        <v>6.5060000000000002</v>
      </c>
      <c r="H267" s="3">
        <v>6.3239999999999998</v>
      </c>
      <c r="I267" s="3">
        <v>7.09</v>
      </c>
      <c r="J267" s="3">
        <v>7.05</v>
      </c>
      <c r="K267" s="3">
        <v>7.04</v>
      </c>
      <c r="L267" s="3">
        <v>8.0399999999999991</v>
      </c>
      <c r="M267" s="3">
        <v>8.48</v>
      </c>
      <c r="N267" s="3">
        <v>8.59</v>
      </c>
      <c r="O267" s="3">
        <v>1E-3</v>
      </c>
      <c r="P267" s="16">
        <v>1.4983333333333333</v>
      </c>
      <c r="Q267" s="3">
        <v>0</v>
      </c>
      <c r="R267" s="3">
        <v>13.24</v>
      </c>
      <c r="S267" s="3">
        <v>1158</v>
      </c>
      <c r="T267" s="3">
        <v>101</v>
      </c>
      <c r="U267" s="3">
        <v>621</v>
      </c>
      <c r="V267" s="3">
        <v>14.37</v>
      </c>
      <c r="W267" s="3">
        <v>16.68</v>
      </c>
      <c r="X267" s="3">
        <v>21.44</v>
      </c>
      <c r="Y267" s="3">
        <v>18.43</v>
      </c>
      <c r="Z267" s="3">
        <v>17.82</v>
      </c>
      <c r="AA267" s="3">
        <v>10.130000000000001</v>
      </c>
      <c r="AB267" s="3">
        <v>8.67</v>
      </c>
      <c r="AC267" s="3">
        <v>8.7899999999999991</v>
      </c>
      <c r="AD267" s="16">
        <v>4.4608333333333334</v>
      </c>
      <c r="AE267" s="3">
        <v>1444</v>
      </c>
      <c r="AF267" s="3">
        <v>0.83299999999999996</v>
      </c>
      <c r="AG267" s="3">
        <v>614</v>
      </c>
      <c r="AH267" s="3">
        <v>57.26</v>
      </c>
      <c r="AI267" s="3">
        <v>1204</v>
      </c>
      <c r="AJ267" s="3">
        <v>3.5000000000000003E-2</v>
      </c>
      <c r="AK267" s="3">
        <v>-0.629</v>
      </c>
      <c r="AL267" s="3">
        <v>-1.58</v>
      </c>
      <c r="AM267" s="3">
        <v>-0.63100000000000001</v>
      </c>
      <c r="AN267" s="3">
        <v>-0.42699999999999999</v>
      </c>
      <c r="AO267" s="3">
        <v>6.1310000000000002</v>
      </c>
      <c r="AP267" s="3">
        <v>8.26</v>
      </c>
      <c r="AQ267" s="3">
        <v>8.4</v>
      </c>
      <c r="AR267" s="3">
        <v>2.8000000000000001E-2</v>
      </c>
      <c r="AS267" s="3">
        <v>0.35</v>
      </c>
      <c r="AT267" s="3">
        <v>0.22800000000000001</v>
      </c>
      <c r="AU267" s="3">
        <v>1.7000000000000001E-2</v>
      </c>
      <c r="AV267" s="3">
        <v>5.0999999999999997E-2</v>
      </c>
      <c r="AW267" s="3">
        <v>0.183</v>
      </c>
      <c r="AX267" s="3">
        <v>9.9000000000000005E-2</v>
      </c>
      <c r="AY267" s="3">
        <v>4.3999999999999997E-2</v>
      </c>
      <c r="AZ267" s="3">
        <v>6.4960000000000004</v>
      </c>
      <c r="BA267" s="3"/>
      <c r="BB267" s="3">
        <v>12.33</v>
      </c>
      <c r="BC267" s="3">
        <v>2876</v>
      </c>
      <c r="BD267" s="3"/>
      <c r="BE267" s="3"/>
      <c r="BF267" s="3">
        <v>0</v>
      </c>
      <c r="BH267" s="16">
        <v>18.399999999999999</v>
      </c>
      <c r="BI267" s="16">
        <f t="shared" si="194"/>
        <v>37.167999999999999</v>
      </c>
      <c r="BJ267" s="17">
        <f t="shared" si="195"/>
        <v>12.87</v>
      </c>
      <c r="BK267" s="17">
        <f t="shared" si="196"/>
        <v>26.87</v>
      </c>
      <c r="BM267" s="1">
        <f t="shared" si="197"/>
        <v>94.3</v>
      </c>
      <c r="BN267" s="1">
        <f t="shared" si="198"/>
        <v>77</v>
      </c>
      <c r="BO267" s="1">
        <f t="shared" si="199"/>
        <v>53.9</v>
      </c>
      <c r="BP267" s="62">
        <f t="shared" si="201"/>
        <v>0.82</v>
      </c>
      <c r="BQ267" s="62">
        <f t="shared" si="200"/>
        <v>0.70099999999999996</v>
      </c>
      <c r="BS267" s="1">
        <v>0</v>
      </c>
      <c r="BT267" s="8"/>
      <c r="BV267" s="8"/>
      <c r="BW267" s="16">
        <f t="shared" si="160"/>
        <v>12.87</v>
      </c>
      <c r="BX267" s="16">
        <f t="shared" si="161"/>
        <v>26.87</v>
      </c>
      <c r="BY267" s="3">
        <f t="shared" si="162"/>
        <v>6.7</v>
      </c>
      <c r="BZ267" s="3">
        <f t="shared" si="163"/>
        <v>6.5</v>
      </c>
      <c r="CA267" s="3">
        <f t="shared" si="164"/>
        <v>6.3</v>
      </c>
      <c r="CB267" s="3">
        <f t="shared" si="165"/>
        <v>7.1</v>
      </c>
      <c r="CC267" s="3">
        <f t="shared" si="166"/>
        <v>8</v>
      </c>
      <c r="CD267" s="3">
        <f t="shared" si="167"/>
        <v>8.5</v>
      </c>
      <c r="CE267" s="3">
        <f t="shared" si="168"/>
        <v>8.6</v>
      </c>
      <c r="CF267" s="23">
        <f t="shared" si="169"/>
        <v>77</v>
      </c>
      <c r="CG267" s="1">
        <f t="shared" si="170"/>
        <v>13.2</v>
      </c>
      <c r="CH267" s="1">
        <f t="shared" si="171"/>
        <v>14.4</v>
      </c>
      <c r="CI267" s="1">
        <f t="shared" si="172"/>
        <v>16.7</v>
      </c>
      <c r="CJ267" s="1">
        <f t="shared" si="173"/>
        <v>21.4</v>
      </c>
      <c r="CK267" s="1">
        <f t="shared" si="174"/>
        <v>10.1</v>
      </c>
      <c r="CL267" s="1">
        <f t="shared" si="175"/>
        <v>8.6999999999999993</v>
      </c>
      <c r="CM267" s="1">
        <f t="shared" si="176"/>
        <v>8.8000000000000007</v>
      </c>
      <c r="CN267" s="2">
        <f t="shared" si="177"/>
        <v>94.3</v>
      </c>
      <c r="CO267" s="1">
        <f t="shared" si="178"/>
        <v>0.8</v>
      </c>
      <c r="CP267" s="1">
        <f t="shared" si="179"/>
        <v>0</v>
      </c>
      <c r="CQ267" s="1">
        <f t="shared" si="180"/>
        <v>-0.6</v>
      </c>
      <c r="CR267" s="1">
        <f t="shared" si="181"/>
        <v>-1.6</v>
      </c>
      <c r="CS267" s="1">
        <f t="shared" si="182"/>
        <v>6.1</v>
      </c>
      <c r="CT267" s="1">
        <f t="shared" si="183"/>
        <v>8.3000000000000007</v>
      </c>
      <c r="CU267" s="1">
        <f t="shared" si="184"/>
        <v>8.4</v>
      </c>
      <c r="CV267" s="2">
        <f t="shared" si="185"/>
        <v>53.9</v>
      </c>
      <c r="CW267" s="18">
        <f t="shared" si="186"/>
        <v>0</v>
      </c>
      <c r="CX267" s="1">
        <f>ROUND(PPTest!K267,1)</f>
        <v>0</v>
      </c>
      <c r="CY267" s="17">
        <f t="shared" si="187"/>
        <v>1.5</v>
      </c>
      <c r="CZ267" s="17">
        <f t="shared" si="188"/>
        <v>4.46</v>
      </c>
      <c r="DA267" s="20">
        <f t="shared" si="189"/>
        <v>0.82</v>
      </c>
      <c r="DB267" s="20">
        <f t="shared" si="190"/>
        <v>0.70099999999999996</v>
      </c>
      <c r="DC267" s="16">
        <f t="shared" si="191"/>
        <v>12.33</v>
      </c>
      <c r="DF267" s="1">
        <v>11</v>
      </c>
      <c r="DG267" s="1">
        <v>14.9</v>
      </c>
      <c r="DH267" s="1">
        <v>7.9</v>
      </c>
      <c r="DI267" s="1">
        <v>69.599999999999994</v>
      </c>
      <c r="DJ267" s="1">
        <v>58</v>
      </c>
      <c r="DW267" s="1">
        <v>9.5</v>
      </c>
      <c r="DX267" s="1">
        <v>15.7</v>
      </c>
      <c r="DY267" s="1">
        <v>4</v>
      </c>
    </row>
    <row r="268" spans="1:129" x14ac:dyDescent="0.2">
      <c r="A268" s="40">
        <v>34961</v>
      </c>
      <c r="B268" s="3">
        <v>262</v>
      </c>
      <c r="C268" s="3">
        <v>18.71</v>
      </c>
      <c r="D268" s="3">
        <v>34.57</v>
      </c>
      <c r="E268" s="3">
        <v>4.9560000000000004</v>
      </c>
      <c r="F268" s="3">
        <v>77.8</v>
      </c>
      <c r="G268" s="3">
        <v>4.8499999999999996</v>
      </c>
      <c r="H268" s="3">
        <v>4.5949999999999998</v>
      </c>
      <c r="I268" s="3">
        <v>5.1589999999999998</v>
      </c>
      <c r="J268" s="3">
        <v>6.3490000000000002</v>
      </c>
      <c r="K268" s="3">
        <v>6.2089999999999996</v>
      </c>
      <c r="L268" s="3">
        <v>7.64</v>
      </c>
      <c r="M268" s="3">
        <v>8.23</v>
      </c>
      <c r="N268" s="3">
        <v>8.4499999999999993</v>
      </c>
      <c r="O268" s="3">
        <v>0</v>
      </c>
      <c r="P268" s="16">
        <v>1.8374999999999999</v>
      </c>
      <c r="Q268" s="3">
        <v>0</v>
      </c>
      <c r="R268" s="3">
        <v>12.27</v>
      </c>
      <c r="S268" s="3">
        <v>1425</v>
      </c>
      <c r="T268" s="3">
        <v>102.9</v>
      </c>
      <c r="U268" s="3">
        <v>448</v>
      </c>
      <c r="V268" s="3">
        <v>13.07</v>
      </c>
      <c r="W268" s="3">
        <v>16.28</v>
      </c>
      <c r="X268" s="3">
        <v>19.09</v>
      </c>
      <c r="Y268" s="3">
        <v>18.62</v>
      </c>
      <c r="Z268" s="3">
        <v>17.13</v>
      </c>
      <c r="AA268" s="3">
        <v>10.42</v>
      </c>
      <c r="AB268" s="3">
        <v>8.4499999999999993</v>
      </c>
      <c r="AC268" s="3">
        <v>8.7100000000000009</v>
      </c>
      <c r="AD268" s="16">
        <v>4.6741666666666664</v>
      </c>
      <c r="AE268" s="3">
        <v>1426</v>
      </c>
      <c r="AF268" s="3">
        <v>-2.4430000000000001</v>
      </c>
      <c r="AG268" s="3">
        <v>0</v>
      </c>
      <c r="AH268" s="3">
        <v>27.64</v>
      </c>
      <c r="AI268" s="3">
        <v>1434</v>
      </c>
      <c r="AJ268" s="3">
        <v>-3.1040000000000001</v>
      </c>
      <c r="AK268" s="3">
        <v>-3.778</v>
      </c>
      <c r="AL268" s="3">
        <v>-4.3570000000000002</v>
      </c>
      <c r="AM268" s="3">
        <v>-2.2709999999999999</v>
      </c>
      <c r="AN268" s="3">
        <v>-1.9930000000000001</v>
      </c>
      <c r="AO268" s="3">
        <v>5.7569999999999997</v>
      </c>
      <c r="AP268" s="3">
        <v>8.0299999999999994</v>
      </c>
      <c r="AQ268" s="3">
        <v>8.25</v>
      </c>
      <c r="AR268" s="3">
        <v>2.5000000000000001E-2</v>
      </c>
      <c r="AS268" s="3">
        <v>0.26900000000000002</v>
      </c>
      <c r="AT268" s="3">
        <v>0.32900000000000001</v>
      </c>
      <c r="AU268" s="3">
        <v>1.7000000000000001E-2</v>
      </c>
      <c r="AV268" s="3">
        <v>7.0999999999999994E-2</v>
      </c>
      <c r="AW268" s="3">
        <v>0.17599999999999999</v>
      </c>
      <c r="AX268" s="3">
        <v>7.8E-2</v>
      </c>
      <c r="AY268" s="3">
        <v>3.4000000000000002E-2</v>
      </c>
      <c r="AZ268" s="3">
        <v>5.2030000000000003</v>
      </c>
      <c r="BA268" s="3"/>
      <c r="BB268" s="3">
        <v>12.32</v>
      </c>
      <c r="BC268" s="3">
        <v>2876</v>
      </c>
      <c r="BD268" s="3"/>
      <c r="BE268" s="3"/>
      <c r="BF268" s="3">
        <v>0</v>
      </c>
      <c r="BH268" s="16">
        <v>18.149999999999999</v>
      </c>
      <c r="BI268" s="16">
        <f t="shared" si="194"/>
        <v>36.662999999999997</v>
      </c>
      <c r="BJ268" s="17">
        <f t="shared" si="195"/>
        <v>18.71</v>
      </c>
      <c r="BK268" s="17">
        <f t="shared" si="196"/>
        <v>37.340000000000003</v>
      </c>
      <c r="BM268" s="1">
        <f t="shared" si="197"/>
        <v>96.1</v>
      </c>
      <c r="BN268" s="1">
        <f t="shared" si="198"/>
        <v>72.900000000000006</v>
      </c>
      <c r="BO268" s="1">
        <f t="shared" si="199"/>
        <v>26.5</v>
      </c>
      <c r="BP268" s="62">
        <f t="shared" si="201"/>
        <v>0.378</v>
      </c>
      <c r="BQ268" s="62">
        <f t="shared" si="200"/>
        <v>1.048</v>
      </c>
      <c r="BS268" s="1">
        <v>0</v>
      </c>
      <c r="BT268" s="8"/>
      <c r="BV268" s="8"/>
      <c r="BW268" s="16">
        <f t="shared" si="160"/>
        <v>18.71</v>
      </c>
      <c r="BX268" s="16">
        <f t="shared" si="161"/>
        <v>37.340000000000003</v>
      </c>
      <c r="BY268" s="3">
        <f t="shared" si="162"/>
        <v>5</v>
      </c>
      <c r="BZ268" s="3">
        <f t="shared" si="163"/>
        <v>4.9000000000000004</v>
      </c>
      <c r="CA268" s="3">
        <f t="shared" si="164"/>
        <v>4.5999999999999996</v>
      </c>
      <c r="CB268" s="3">
        <f t="shared" si="165"/>
        <v>5.2</v>
      </c>
      <c r="CC268" s="3">
        <f t="shared" si="166"/>
        <v>7.6</v>
      </c>
      <c r="CD268" s="3">
        <f t="shared" si="167"/>
        <v>8.1999999999999993</v>
      </c>
      <c r="CE268" s="3">
        <f t="shared" si="168"/>
        <v>8.5</v>
      </c>
      <c r="CF268" s="23">
        <f t="shared" si="169"/>
        <v>72.900000000000006</v>
      </c>
      <c r="CG268" s="1">
        <f t="shared" si="170"/>
        <v>12.3</v>
      </c>
      <c r="CH268" s="1">
        <f t="shared" si="171"/>
        <v>13.1</v>
      </c>
      <c r="CI268" s="1">
        <f t="shared" si="172"/>
        <v>16.3</v>
      </c>
      <c r="CJ268" s="1">
        <f t="shared" si="173"/>
        <v>19.100000000000001</v>
      </c>
      <c r="CK268" s="1">
        <f t="shared" si="174"/>
        <v>10.4</v>
      </c>
      <c r="CL268" s="1">
        <f t="shared" si="175"/>
        <v>8.5</v>
      </c>
      <c r="CM268" s="1">
        <f t="shared" si="176"/>
        <v>8.6999999999999993</v>
      </c>
      <c r="CN268" s="2">
        <f t="shared" si="177"/>
        <v>96.1</v>
      </c>
      <c r="CO268" s="1">
        <f t="shared" si="178"/>
        <v>-2.4</v>
      </c>
      <c r="CP268" s="1">
        <f t="shared" si="179"/>
        <v>-3.1</v>
      </c>
      <c r="CQ268" s="1">
        <f t="shared" si="180"/>
        <v>-3.8</v>
      </c>
      <c r="CR268" s="1">
        <f t="shared" si="181"/>
        <v>-4.4000000000000004</v>
      </c>
      <c r="CS268" s="1">
        <f t="shared" si="182"/>
        <v>5.8</v>
      </c>
      <c r="CT268" s="1">
        <f t="shared" si="183"/>
        <v>8</v>
      </c>
      <c r="CU268" s="1">
        <f t="shared" si="184"/>
        <v>8.3000000000000007</v>
      </c>
      <c r="CV268" s="2">
        <f t="shared" si="185"/>
        <v>26.5</v>
      </c>
      <c r="CW268" s="18">
        <f t="shared" si="186"/>
        <v>0</v>
      </c>
      <c r="CX268" s="1">
        <f>ROUND(PPTest!K268,1)</f>
        <v>0</v>
      </c>
      <c r="CY268" s="17">
        <f t="shared" si="187"/>
        <v>1.84</v>
      </c>
      <c r="CZ268" s="17">
        <f t="shared" si="188"/>
        <v>4.67</v>
      </c>
      <c r="DA268" s="20">
        <f t="shared" si="189"/>
        <v>0.378</v>
      </c>
      <c r="DB268" s="20">
        <f t="shared" si="190"/>
        <v>1.048</v>
      </c>
      <c r="DC268" s="16">
        <f t="shared" si="191"/>
        <v>12.32</v>
      </c>
      <c r="DF268" s="1">
        <v>9.1999999999999993</v>
      </c>
      <c r="DG268" s="1">
        <v>14.4</v>
      </c>
      <c r="DH268" s="1">
        <v>5</v>
      </c>
      <c r="DI268" s="1">
        <v>64.900000000000006</v>
      </c>
      <c r="DJ268" s="1">
        <v>49</v>
      </c>
      <c r="DW268" s="1">
        <v>7.2</v>
      </c>
      <c r="DX268" s="1">
        <v>13.2</v>
      </c>
      <c r="DY268" s="1">
        <v>-0.1</v>
      </c>
    </row>
    <row r="269" spans="1:129" x14ac:dyDescent="0.2">
      <c r="A269" s="40">
        <v>34962</v>
      </c>
      <c r="B269" s="3">
        <v>263</v>
      </c>
      <c r="C269" s="3">
        <v>18.899999999999999</v>
      </c>
      <c r="D269" s="3">
        <v>34.51</v>
      </c>
      <c r="E269" s="3">
        <v>3.448</v>
      </c>
      <c r="F269" s="3">
        <v>63.07</v>
      </c>
      <c r="G269" s="3">
        <v>3.1179999999999999</v>
      </c>
      <c r="H269" s="3">
        <v>2.754</v>
      </c>
      <c r="I269" s="3">
        <v>2.2130000000000001</v>
      </c>
      <c r="J269" s="3">
        <v>4.3209999999999997</v>
      </c>
      <c r="K269" s="3">
        <v>4.2140000000000004</v>
      </c>
      <c r="L269" s="3">
        <v>6.3410000000000002</v>
      </c>
      <c r="M269" s="3">
        <v>7.76</v>
      </c>
      <c r="N269" s="3">
        <v>8.3000000000000007</v>
      </c>
      <c r="O269" s="3">
        <v>0</v>
      </c>
      <c r="P269" s="16">
        <v>2.1208333333333336</v>
      </c>
      <c r="Q269" s="3">
        <v>0</v>
      </c>
      <c r="R269" s="3">
        <v>13.38</v>
      </c>
      <c r="S269" s="3">
        <v>1636</v>
      </c>
      <c r="T269" s="3">
        <v>102.6</v>
      </c>
      <c r="U269" s="3">
        <v>419</v>
      </c>
      <c r="V269" s="3">
        <v>13.28</v>
      </c>
      <c r="W269" s="3">
        <v>16.510000000000002</v>
      </c>
      <c r="X269" s="3">
        <v>18.47</v>
      </c>
      <c r="Y269" s="3">
        <v>20.22</v>
      </c>
      <c r="Z269" s="3">
        <v>18.28</v>
      </c>
      <c r="AA269" s="3">
        <v>9.44</v>
      </c>
      <c r="AB269" s="3">
        <v>8.19</v>
      </c>
      <c r="AC269" s="3">
        <v>8.61</v>
      </c>
      <c r="AD269" s="16">
        <v>4.5941666666666663</v>
      </c>
      <c r="AE269" s="3">
        <v>1234</v>
      </c>
      <c r="AF269" s="3">
        <v>-4.4050000000000002</v>
      </c>
      <c r="AG269" s="3">
        <v>601</v>
      </c>
      <c r="AH269" s="3">
        <v>18.739999999999998</v>
      </c>
      <c r="AI269" s="3">
        <v>1119</v>
      </c>
      <c r="AJ269" s="3">
        <v>-5.1020000000000003</v>
      </c>
      <c r="AK269" s="3">
        <v>-5.7809999999999997</v>
      </c>
      <c r="AL269" s="3">
        <v>-7.41</v>
      </c>
      <c r="AM269" s="3">
        <v>-5.8630000000000004</v>
      </c>
      <c r="AN269" s="3">
        <v>-5.7629999999999999</v>
      </c>
      <c r="AO269" s="3">
        <v>4.0780000000000003</v>
      </c>
      <c r="AP269" s="3">
        <v>7.51</v>
      </c>
      <c r="AQ269" s="3">
        <v>8.1</v>
      </c>
      <c r="AR269" s="3">
        <v>0.108</v>
      </c>
      <c r="AS269" s="3">
        <v>0.44900000000000001</v>
      </c>
      <c r="AT269" s="3">
        <v>0.318</v>
      </c>
      <c r="AU269" s="3">
        <v>5.0000000000000001E-3</v>
      </c>
      <c r="AV269" s="3">
        <v>8.9999999999999993E-3</v>
      </c>
      <c r="AW269" s="3">
        <v>1.9E-2</v>
      </c>
      <c r="AX269" s="3">
        <v>3.7999999999999999E-2</v>
      </c>
      <c r="AY269" s="3">
        <v>5.3999999999999999E-2</v>
      </c>
      <c r="AZ269" s="3">
        <v>2.8010000000000002</v>
      </c>
      <c r="BA269" s="3"/>
      <c r="BB269" s="3">
        <v>12.31</v>
      </c>
      <c r="BC269" s="3">
        <v>2876</v>
      </c>
      <c r="BD269" s="3"/>
      <c r="BE269" s="3"/>
      <c r="BF269" s="3">
        <v>0</v>
      </c>
      <c r="BH269" s="16">
        <v>17.89</v>
      </c>
      <c r="BI269" s="16">
        <f t="shared" si="194"/>
        <v>36.137799999999999</v>
      </c>
      <c r="BJ269" s="17">
        <f t="shared" si="195"/>
        <v>18.899999999999999</v>
      </c>
      <c r="BK269" s="17">
        <f t="shared" si="196"/>
        <v>37.270000000000003</v>
      </c>
      <c r="BM269" s="1">
        <f t="shared" si="197"/>
        <v>95.8</v>
      </c>
      <c r="BN269" s="1">
        <f t="shared" si="198"/>
        <v>59.3</v>
      </c>
      <c r="BO269" s="1">
        <f t="shared" si="199"/>
        <v>18.3</v>
      </c>
      <c r="BP269" s="62">
        <f t="shared" si="201"/>
        <v>0.28100000000000003</v>
      </c>
      <c r="BQ269" s="62">
        <f t="shared" si="200"/>
        <v>1.2549999999999999</v>
      </c>
      <c r="BS269" s="1">
        <v>0</v>
      </c>
      <c r="BT269" s="8"/>
      <c r="BV269" s="8"/>
      <c r="BW269" s="16">
        <f t="shared" si="160"/>
        <v>18.899999999999999</v>
      </c>
      <c r="BX269" s="16">
        <f t="shared" si="161"/>
        <v>37.270000000000003</v>
      </c>
      <c r="BY269" s="3">
        <f t="shared" si="162"/>
        <v>3.4</v>
      </c>
      <c r="BZ269" s="3">
        <f t="shared" si="163"/>
        <v>3.1</v>
      </c>
      <c r="CA269" s="3">
        <f t="shared" si="164"/>
        <v>2.8</v>
      </c>
      <c r="CB269" s="3">
        <f t="shared" si="165"/>
        <v>2.2000000000000002</v>
      </c>
      <c r="CC269" s="3">
        <f t="shared" si="166"/>
        <v>6.3</v>
      </c>
      <c r="CD269" s="3">
        <f t="shared" si="167"/>
        <v>7.8</v>
      </c>
      <c r="CE269" s="3">
        <f t="shared" si="168"/>
        <v>8.3000000000000007</v>
      </c>
      <c r="CF269" s="23">
        <f t="shared" si="169"/>
        <v>59.3</v>
      </c>
      <c r="CG269" s="1">
        <f t="shared" si="170"/>
        <v>13.4</v>
      </c>
      <c r="CH269" s="1">
        <f t="shared" si="171"/>
        <v>13.3</v>
      </c>
      <c r="CI269" s="1">
        <f t="shared" si="172"/>
        <v>16.5</v>
      </c>
      <c r="CJ269" s="1">
        <f t="shared" si="173"/>
        <v>18.5</v>
      </c>
      <c r="CK269" s="1">
        <f t="shared" si="174"/>
        <v>9.4</v>
      </c>
      <c r="CL269" s="1">
        <f t="shared" si="175"/>
        <v>8.1999999999999993</v>
      </c>
      <c r="CM269" s="1">
        <f t="shared" si="176"/>
        <v>8.6</v>
      </c>
      <c r="CN269" s="2">
        <f t="shared" si="177"/>
        <v>95.8</v>
      </c>
      <c r="CO269" s="1">
        <f t="shared" si="178"/>
        <v>-4.4000000000000004</v>
      </c>
      <c r="CP269" s="1">
        <f t="shared" si="179"/>
        <v>-5.0999999999999996</v>
      </c>
      <c r="CQ269" s="1">
        <f t="shared" si="180"/>
        <v>-5.8</v>
      </c>
      <c r="CR269" s="1">
        <f t="shared" si="181"/>
        <v>-7.4</v>
      </c>
      <c r="CS269" s="1">
        <f t="shared" si="182"/>
        <v>4.0999999999999996</v>
      </c>
      <c r="CT269" s="1">
        <f t="shared" si="183"/>
        <v>7.5</v>
      </c>
      <c r="CU269" s="1">
        <f t="shared" si="184"/>
        <v>8.1</v>
      </c>
      <c r="CV269" s="2">
        <f t="shared" si="185"/>
        <v>18.3</v>
      </c>
      <c r="CW269" s="18">
        <f t="shared" si="186"/>
        <v>0</v>
      </c>
      <c r="CX269" s="1">
        <f>ROUND(PPTest!K269,1)</f>
        <v>0</v>
      </c>
      <c r="CY269" s="17">
        <f t="shared" si="187"/>
        <v>2.12</v>
      </c>
      <c r="CZ269" s="17">
        <f t="shared" si="188"/>
        <v>4.59</v>
      </c>
      <c r="DA269" s="20">
        <f t="shared" si="189"/>
        <v>0.28100000000000003</v>
      </c>
      <c r="DB269" s="20">
        <f t="shared" si="190"/>
        <v>1.2549999999999999</v>
      </c>
      <c r="DC269" s="16">
        <f t="shared" si="191"/>
        <v>12.31</v>
      </c>
      <c r="DW269" s="1">
        <v>5.9</v>
      </c>
      <c r="DX269" s="1">
        <v>12.5</v>
      </c>
      <c r="DY269" s="1">
        <v>-2.4</v>
      </c>
    </row>
    <row r="270" spans="1:129" x14ac:dyDescent="0.2">
      <c r="A270" s="40">
        <v>34963</v>
      </c>
      <c r="B270" s="3">
        <v>264</v>
      </c>
      <c r="C270" s="3">
        <v>18.43</v>
      </c>
      <c r="D270" s="3">
        <v>33.840000000000003</v>
      </c>
      <c r="E270" s="3">
        <v>3.3170000000000002</v>
      </c>
      <c r="F270" s="3">
        <v>64.790000000000006</v>
      </c>
      <c r="G270" s="3">
        <v>3.1859999999999999</v>
      </c>
      <c r="H270" s="3">
        <v>2.8420000000000001</v>
      </c>
      <c r="I270" s="3">
        <v>2.8330000000000002</v>
      </c>
      <c r="J270" s="3">
        <v>4.0869999999999997</v>
      </c>
      <c r="K270" s="3">
        <v>4.1050000000000004</v>
      </c>
      <c r="L270" s="3">
        <v>5.87</v>
      </c>
      <c r="M270" s="3">
        <v>7.26</v>
      </c>
      <c r="N270" s="3">
        <v>8.16</v>
      </c>
      <c r="O270" s="3">
        <v>0</v>
      </c>
      <c r="P270" s="16">
        <v>2.1675</v>
      </c>
      <c r="Q270" s="3">
        <v>0</v>
      </c>
      <c r="R270" s="3">
        <v>13.65</v>
      </c>
      <c r="S270" s="3">
        <v>1451</v>
      </c>
      <c r="T270" s="3">
        <v>93.7</v>
      </c>
      <c r="U270" s="3">
        <v>559</v>
      </c>
      <c r="V270" s="3">
        <v>14.52</v>
      </c>
      <c r="W270" s="3">
        <v>16.93</v>
      </c>
      <c r="X270" s="3">
        <v>20.57</v>
      </c>
      <c r="Y270" s="3">
        <v>20.55</v>
      </c>
      <c r="Z270" s="3">
        <v>18.13</v>
      </c>
      <c r="AA270" s="3">
        <v>9.27</v>
      </c>
      <c r="AB270" s="3">
        <v>7.64</v>
      </c>
      <c r="AC270" s="3">
        <v>8.44</v>
      </c>
      <c r="AD270" s="16">
        <v>4.2208333333333332</v>
      </c>
      <c r="AE270" s="3">
        <v>1219</v>
      </c>
      <c r="AF270" s="3">
        <v>-5.2510000000000003</v>
      </c>
      <c r="AG270" s="3">
        <v>559</v>
      </c>
      <c r="AH270" s="3">
        <v>25.89</v>
      </c>
      <c r="AI270" s="3">
        <v>1409</v>
      </c>
      <c r="AJ270" s="3">
        <v>-5.98</v>
      </c>
      <c r="AK270" s="3">
        <v>-6.5720000000000001</v>
      </c>
      <c r="AL270" s="3">
        <v>-7.18</v>
      </c>
      <c r="AM270" s="3">
        <v>-6.7140000000000004</v>
      </c>
      <c r="AN270" s="3">
        <v>-6.62</v>
      </c>
      <c r="AO270" s="3">
        <v>3.3290000000000002</v>
      </c>
      <c r="AP270" s="3">
        <v>6.98</v>
      </c>
      <c r="AQ270" s="3">
        <v>7.93</v>
      </c>
      <c r="AR270" s="3">
        <v>7.0000000000000001E-3</v>
      </c>
      <c r="AS270" s="3">
        <v>0.23699999999999999</v>
      </c>
      <c r="AT270" s="3">
        <v>0.377</v>
      </c>
      <c r="AU270" s="3">
        <v>6.0000000000000001E-3</v>
      </c>
      <c r="AV270" s="3">
        <v>0.129</v>
      </c>
      <c r="AW270" s="3">
        <v>0.20599999999999999</v>
      </c>
      <c r="AX270" s="3">
        <v>2.8000000000000001E-2</v>
      </c>
      <c r="AY270" s="3">
        <v>0.01</v>
      </c>
      <c r="AZ270" s="3">
        <v>2.8519999999999999</v>
      </c>
      <c r="BA270" s="3"/>
      <c r="BB270" s="3">
        <v>12.31</v>
      </c>
      <c r="BC270" s="3">
        <v>2876</v>
      </c>
      <c r="BD270" s="3"/>
      <c r="BE270" s="3"/>
      <c r="BF270" s="3">
        <v>0</v>
      </c>
      <c r="BH270" s="16">
        <v>17.64</v>
      </c>
      <c r="BI270" s="16">
        <f t="shared" si="194"/>
        <v>35.632800000000003</v>
      </c>
      <c r="BJ270" s="17">
        <f t="shared" si="195"/>
        <v>18.43</v>
      </c>
      <c r="BK270" s="17">
        <f t="shared" si="196"/>
        <v>36.549999999999997</v>
      </c>
      <c r="BM270" s="1">
        <f t="shared" si="197"/>
        <v>87.6</v>
      </c>
      <c r="BN270" s="1">
        <f t="shared" si="198"/>
        <v>60.9</v>
      </c>
      <c r="BO270" s="1">
        <f t="shared" si="199"/>
        <v>24.9</v>
      </c>
      <c r="BP270" s="62">
        <f t="shared" si="201"/>
        <v>0.38900000000000001</v>
      </c>
      <c r="BQ270" s="62">
        <f t="shared" si="200"/>
        <v>1.173</v>
      </c>
      <c r="BS270" s="3">
        <v>0</v>
      </c>
      <c r="BT270" s="8"/>
      <c r="BV270" s="8"/>
      <c r="BW270" s="16">
        <f t="shared" si="160"/>
        <v>18.43</v>
      </c>
      <c r="BX270" s="16">
        <f t="shared" si="161"/>
        <v>36.549999999999997</v>
      </c>
      <c r="BY270" s="3">
        <f t="shared" si="162"/>
        <v>3.3</v>
      </c>
      <c r="BZ270" s="3">
        <f t="shared" si="163"/>
        <v>3.2</v>
      </c>
      <c r="CA270" s="3">
        <f t="shared" si="164"/>
        <v>2.8</v>
      </c>
      <c r="CB270" s="3">
        <f t="shared" si="165"/>
        <v>2.8</v>
      </c>
      <c r="CC270" s="3">
        <f t="shared" si="166"/>
        <v>5.9</v>
      </c>
      <c r="CD270" s="3">
        <f t="shared" si="167"/>
        <v>7.3</v>
      </c>
      <c r="CE270" s="3">
        <f t="shared" si="168"/>
        <v>8.1999999999999993</v>
      </c>
      <c r="CF270" s="23">
        <f t="shared" si="169"/>
        <v>60.9</v>
      </c>
      <c r="CG270" s="1">
        <f t="shared" si="170"/>
        <v>13.7</v>
      </c>
      <c r="CH270" s="1">
        <f t="shared" si="171"/>
        <v>14.5</v>
      </c>
      <c r="CI270" s="1">
        <f t="shared" si="172"/>
        <v>16.899999999999999</v>
      </c>
      <c r="CJ270" s="1">
        <f t="shared" si="173"/>
        <v>20.6</v>
      </c>
      <c r="CK270" s="1">
        <f t="shared" si="174"/>
        <v>9.3000000000000007</v>
      </c>
      <c r="CL270" s="1">
        <f t="shared" si="175"/>
        <v>7.6</v>
      </c>
      <c r="CM270" s="1">
        <f t="shared" si="176"/>
        <v>8.4</v>
      </c>
      <c r="CN270" s="2">
        <f t="shared" si="177"/>
        <v>87.6</v>
      </c>
      <c r="CO270" s="1">
        <f t="shared" si="178"/>
        <v>-5.3</v>
      </c>
      <c r="CP270" s="1">
        <f t="shared" si="179"/>
        <v>-6</v>
      </c>
      <c r="CQ270" s="1">
        <f t="shared" si="180"/>
        <v>-6.6</v>
      </c>
      <c r="CR270" s="1">
        <f t="shared" si="181"/>
        <v>-7.2</v>
      </c>
      <c r="CS270" s="1">
        <f t="shared" si="182"/>
        <v>3.3</v>
      </c>
      <c r="CT270" s="1">
        <f t="shared" si="183"/>
        <v>7</v>
      </c>
      <c r="CU270" s="1">
        <f t="shared" si="184"/>
        <v>7.9</v>
      </c>
      <c r="CV270" s="2">
        <f t="shared" si="185"/>
        <v>24.9</v>
      </c>
      <c r="CW270" s="18">
        <f t="shared" si="186"/>
        <v>0</v>
      </c>
      <c r="CX270" s="1">
        <f>ROUND(PPTest!K270,1)</f>
        <v>0</v>
      </c>
      <c r="CY270" s="17">
        <f t="shared" si="187"/>
        <v>2.17</v>
      </c>
      <c r="CZ270" s="17">
        <f t="shared" si="188"/>
        <v>4.22</v>
      </c>
      <c r="DA270" s="20">
        <f t="shared" si="189"/>
        <v>0.38900000000000001</v>
      </c>
      <c r="DB270" s="20">
        <f t="shared" si="190"/>
        <v>1.173</v>
      </c>
      <c r="DC270" s="16">
        <f t="shared" si="191"/>
        <v>12.31</v>
      </c>
      <c r="DW270" s="1">
        <v>4.7</v>
      </c>
      <c r="DX270" s="1">
        <v>16.100000000000001</v>
      </c>
      <c r="DY270" s="1">
        <v>-3.9</v>
      </c>
    </row>
    <row r="271" spans="1:129" x14ac:dyDescent="0.2">
      <c r="A271" s="40">
        <v>34964</v>
      </c>
      <c r="B271" s="3">
        <v>265</v>
      </c>
      <c r="C271" s="3">
        <v>16.239999999999998</v>
      </c>
      <c r="D271" s="3">
        <v>30.39</v>
      </c>
      <c r="E271" s="3">
        <v>4.5919999999999996</v>
      </c>
      <c r="F271" s="3">
        <v>71.2</v>
      </c>
      <c r="G271" s="3">
        <v>4.391</v>
      </c>
      <c r="H271" s="3">
        <v>4.0890000000000004</v>
      </c>
      <c r="I271" s="3">
        <v>4.38</v>
      </c>
      <c r="J271" s="3">
        <v>4.82</v>
      </c>
      <c r="K271" s="3">
        <v>4.9790000000000001</v>
      </c>
      <c r="L271" s="3">
        <v>6.0309999999999997</v>
      </c>
      <c r="M271" s="3">
        <v>7.01</v>
      </c>
      <c r="N271" s="3">
        <v>7.97</v>
      </c>
      <c r="O271" s="3">
        <v>0</v>
      </c>
      <c r="P271" s="16">
        <v>2.1141666666666667</v>
      </c>
      <c r="Q271" s="3">
        <v>0</v>
      </c>
      <c r="R271" s="3">
        <v>15.55</v>
      </c>
      <c r="S271" s="3">
        <v>1508</v>
      </c>
      <c r="T271" s="3">
        <v>97.4</v>
      </c>
      <c r="U271" s="3">
        <v>519</v>
      </c>
      <c r="V271" s="3">
        <v>16.11</v>
      </c>
      <c r="W271" s="3">
        <v>18.16</v>
      </c>
      <c r="X271" s="3">
        <v>20.73</v>
      </c>
      <c r="Y271" s="3">
        <v>21.14</v>
      </c>
      <c r="Z271" s="3">
        <v>19.68</v>
      </c>
      <c r="AA271" s="3">
        <v>9.41</v>
      </c>
      <c r="AB271" s="3">
        <v>7.25</v>
      </c>
      <c r="AC271" s="3">
        <v>8.24</v>
      </c>
      <c r="AD271" s="16">
        <v>3.8208333333333337</v>
      </c>
      <c r="AE271" s="3">
        <v>1246</v>
      </c>
      <c r="AF271" s="3">
        <v>-3.625</v>
      </c>
      <c r="AG271" s="3">
        <v>604</v>
      </c>
      <c r="AH271" s="3">
        <v>33.51</v>
      </c>
      <c r="AI271" s="3">
        <v>1453</v>
      </c>
      <c r="AJ271" s="3">
        <v>-4.3179999999999996</v>
      </c>
      <c r="AK271" s="3">
        <v>-4.9969999999999999</v>
      </c>
      <c r="AL271" s="3">
        <v>-5.9569999999999999</v>
      </c>
      <c r="AM271" s="3">
        <v>-4.9800000000000004</v>
      </c>
      <c r="AN271" s="3">
        <v>-4.9020000000000001</v>
      </c>
      <c r="AO271" s="3">
        <v>3.484</v>
      </c>
      <c r="AP271" s="3">
        <v>6.6890000000000001</v>
      </c>
      <c r="AQ271" s="3">
        <v>7.76</v>
      </c>
      <c r="AR271" s="3">
        <v>8.0000000000000002E-3</v>
      </c>
      <c r="AS271" s="3">
        <v>0.26400000000000001</v>
      </c>
      <c r="AT271" s="3">
        <v>0.36299999999999999</v>
      </c>
      <c r="AU271" s="3">
        <v>3.0000000000000001E-3</v>
      </c>
      <c r="AV271" s="3">
        <v>0.105</v>
      </c>
      <c r="AW271" s="3">
        <v>0.22600000000000001</v>
      </c>
      <c r="AX271" s="3">
        <v>2.5999999999999999E-2</v>
      </c>
      <c r="AY271" s="3">
        <v>6.0000000000000001E-3</v>
      </c>
      <c r="AZ271" s="3">
        <v>4.1710000000000003</v>
      </c>
      <c r="BA271" s="3"/>
      <c r="BB271" s="3">
        <v>12.32</v>
      </c>
      <c r="BC271" s="3">
        <v>2876</v>
      </c>
      <c r="BD271" s="3"/>
      <c r="BE271" s="3"/>
      <c r="BF271" s="3">
        <v>0</v>
      </c>
      <c r="BH271" s="16">
        <v>17.38</v>
      </c>
      <c r="BI271" s="16">
        <f t="shared" si="194"/>
        <v>35.107599999999998</v>
      </c>
      <c r="BJ271" s="17">
        <f t="shared" si="195"/>
        <v>16.239999999999998</v>
      </c>
      <c r="BK271" s="17">
        <f t="shared" si="196"/>
        <v>32.82</v>
      </c>
      <c r="BM271" s="1">
        <f t="shared" si="197"/>
        <v>91</v>
      </c>
      <c r="BN271" s="1">
        <f t="shared" si="198"/>
        <v>66.8</v>
      </c>
      <c r="BO271" s="1">
        <f t="shared" si="199"/>
        <v>32</v>
      </c>
      <c r="BP271" s="62">
        <f t="shared" si="201"/>
        <v>0.56499999999999995</v>
      </c>
      <c r="BQ271" s="62">
        <f t="shared" si="200"/>
        <v>1.2010000000000001</v>
      </c>
      <c r="BS271" s="3">
        <v>0</v>
      </c>
      <c r="BT271" s="8"/>
      <c r="BV271" s="8"/>
      <c r="BW271" s="16">
        <f t="shared" si="160"/>
        <v>16.239999999999998</v>
      </c>
      <c r="BX271" s="16">
        <f t="shared" si="161"/>
        <v>32.82</v>
      </c>
      <c r="BY271" s="3">
        <f t="shared" si="162"/>
        <v>4.5999999999999996</v>
      </c>
      <c r="BZ271" s="3">
        <f t="shared" si="163"/>
        <v>4.4000000000000004</v>
      </c>
      <c r="CA271" s="3">
        <f t="shared" si="164"/>
        <v>4.0999999999999996</v>
      </c>
      <c r="CB271" s="3">
        <f t="shared" si="165"/>
        <v>4.4000000000000004</v>
      </c>
      <c r="CC271" s="3">
        <f t="shared" si="166"/>
        <v>6</v>
      </c>
      <c r="CD271" s="3">
        <f t="shared" si="167"/>
        <v>7</v>
      </c>
      <c r="CE271" s="3">
        <f t="shared" si="168"/>
        <v>8</v>
      </c>
      <c r="CF271" s="23">
        <f t="shared" si="169"/>
        <v>66.8</v>
      </c>
      <c r="CG271" s="1">
        <f t="shared" si="170"/>
        <v>15.6</v>
      </c>
      <c r="CH271" s="1">
        <f t="shared" si="171"/>
        <v>16.100000000000001</v>
      </c>
      <c r="CI271" s="1">
        <f t="shared" si="172"/>
        <v>18.2</v>
      </c>
      <c r="CJ271" s="1">
        <f t="shared" si="173"/>
        <v>20.7</v>
      </c>
      <c r="CK271" s="1">
        <f t="shared" si="174"/>
        <v>9.4</v>
      </c>
      <c r="CL271" s="1">
        <f t="shared" si="175"/>
        <v>7.3</v>
      </c>
      <c r="CM271" s="1">
        <f t="shared" si="176"/>
        <v>8.1999999999999993</v>
      </c>
      <c r="CN271" s="2">
        <f t="shared" si="177"/>
        <v>91</v>
      </c>
      <c r="CO271" s="1">
        <f t="shared" si="178"/>
        <v>-3.6</v>
      </c>
      <c r="CP271" s="1">
        <f t="shared" si="179"/>
        <v>-4.3</v>
      </c>
      <c r="CQ271" s="1">
        <f t="shared" si="180"/>
        <v>-5</v>
      </c>
      <c r="CR271" s="1">
        <f t="shared" si="181"/>
        <v>-6</v>
      </c>
      <c r="CS271" s="1">
        <f t="shared" si="182"/>
        <v>3.5</v>
      </c>
      <c r="CT271" s="1">
        <f t="shared" si="183"/>
        <v>6.7</v>
      </c>
      <c r="CU271" s="1">
        <f t="shared" si="184"/>
        <v>7.8</v>
      </c>
      <c r="CV271" s="2">
        <f t="shared" si="185"/>
        <v>32</v>
      </c>
      <c r="CW271" s="18">
        <f t="shared" si="186"/>
        <v>0</v>
      </c>
      <c r="CX271" s="1">
        <f>ROUND(PPTest!K271,1)</f>
        <v>0</v>
      </c>
      <c r="CY271" s="17">
        <f t="shared" si="187"/>
        <v>2.11</v>
      </c>
      <c r="CZ271" s="17">
        <f t="shared" si="188"/>
        <v>3.82</v>
      </c>
      <c r="DA271" s="20">
        <f t="shared" si="189"/>
        <v>0.56499999999999995</v>
      </c>
      <c r="DB271" s="20">
        <f t="shared" si="190"/>
        <v>1.2010000000000001</v>
      </c>
      <c r="DC271" s="16">
        <f t="shared" si="191"/>
        <v>12.32</v>
      </c>
      <c r="DW271" s="1">
        <v>6.3</v>
      </c>
      <c r="DX271" s="1">
        <v>16.7</v>
      </c>
      <c r="DY271" s="1">
        <v>-3.2</v>
      </c>
    </row>
    <row r="272" spans="1:129" x14ac:dyDescent="0.2">
      <c r="A272" s="40">
        <v>34965</v>
      </c>
      <c r="B272" s="3">
        <v>266</v>
      </c>
      <c r="C272" s="3">
        <v>17.73</v>
      </c>
      <c r="D272" s="3">
        <v>33.11</v>
      </c>
      <c r="E272" s="3">
        <v>7.86</v>
      </c>
      <c r="F272" s="3">
        <v>69.94</v>
      </c>
      <c r="G272" s="3">
        <v>7.57</v>
      </c>
      <c r="H272" s="3">
        <v>7.27</v>
      </c>
      <c r="I272" s="3">
        <v>7.03</v>
      </c>
      <c r="J272" s="3">
        <v>8.66</v>
      </c>
      <c r="K272" s="3">
        <v>8.57</v>
      </c>
      <c r="L272" s="3">
        <v>6.93</v>
      </c>
      <c r="M272" s="3">
        <v>7.07</v>
      </c>
      <c r="N272" s="3">
        <v>7.79</v>
      </c>
      <c r="O272" s="3">
        <v>0</v>
      </c>
      <c r="P272" s="16">
        <v>2.2875000000000001</v>
      </c>
      <c r="Q272" s="3">
        <v>0</v>
      </c>
      <c r="R272" s="3">
        <v>18.77</v>
      </c>
      <c r="S272" s="3">
        <v>1617</v>
      </c>
      <c r="T272" s="3">
        <v>99.8</v>
      </c>
      <c r="U272" s="3">
        <v>509</v>
      </c>
      <c r="V272" s="3">
        <v>19.48</v>
      </c>
      <c r="W272" s="3">
        <v>21.81</v>
      </c>
      <c r="X272" s="3">
        <v>24.47</v>
      </c>
      <c r="Y272" s="3">
        <v>25.63</v>
      </c>
      <c r="Z272" s="3">
        <v>23.83</v>
      </c>
      <c r="AA272" s="3">
        <v>10.46</v>
      </c>
      <c r="AB272" s="3">
        <v>7.49</v>
      </c>
      <c r="AC272" s="3">
        <v>8.08</v>
      </c>
      <c r="AD272" s="16">
        <v>4.7808333333333337</v>
      </c>
      <c r="AE272" s="3">
        <v>1250</v>
      </c>
      <c r="AF272" s="3">
        <v>-1.218</v>
      </c>
      <c r="AG272" s="3">
        <v>507</v>
      </c>
      <c r="AH272" s="3">
        <v>31.81</v>
      </c>
      <c r="AI272" s="3">
        <v>1447</v>
      </c>
      <c r="AJ272" s="3">
        <v>-2.0070000000000001</v>
      </c>
      <c r="AK272" s="3">
        <v>-2.5390000000000001</v>
      </c>
      <c r="AL272" s="3">
        <v>-3.5409999999999999</v>
      </c>
      <c r="AM272" s="3">
        <v>-2.0630000000000002</v>
      </c>
      <c r="AN272" s="3">
        <v>-1.5649999999999999</v>
      </c>
      <c r="AO272" s="3">
        <v>4.2249999999999996</v>
      </c>
      <c r="AP272" s="3">
        <v>6.75</v>
      </c>
      <c r="AQ272" s="3">
        <v>7.62</v>
      </c>
      <c r="AR272" s="3">
        <v>0.01</v>
      </c>
      <c r="AS272" s="3">
        <v>0.27400000000000002</v>
      </c>
      <c r="AT272" s="3">
        <v>0.376</v>
      </c>
      <c r="AU272" s="3">
        <v>8.9999999999999993E-3</v>
      </c>
      <c r="AV272" s="3">
        <v>7.8E-2</v>
      </c>
      <c r="AW272" s="3">
        <v>0.189</v>
      </c>
      <c r="AX272" s="3">
        <v>5.7000000000000002E-2</v>
      </c>
      <c r="AY272" s="3">
        <v>8.0000000000000002E-3</v>
      </c>
      <c r="AZ272" s="3">
        <v>7.47</v>
      </c>
      <c r="BA272" s="3"/>
      <c r="BB272" s="3">
        <v>12.32</v>
      </c>
      <c r="BC272" s="3">
        <v>2876</v>
      </c>
      <c r="BD272" s="3"/>
      <c r="BE272" s="3"/>
      <c r="BF272" s="3">
        <v>0</v>
      </c>
      <c r="BH272" s="16">
        <v>17.13</v>
      </c>
      <c r="BI272" s="16">
        <f t="shared" si="194"/>
        <v>34.602599999999995</v>
      </c>
      <c r="BJ272" s="17">
        <f t="shared" si="195"/>
        <v>17.73</v>
      </c>
      <c r="BK272" s="17">
        <f t="shared" si="196"/>
        <v>35.76</v>
      </c>
      <c r="BM272" s="1">
        <f t="shared" si="197"/>
        <v>93.2</v>
      </c>
      <c r="BN272" s="1">
        <f t="shared" si="198"/>
        <v>65.599999999999994</v>
      </c>
      <c r="BO272" s="1">
        <f t="shared" si="199"/>
        <v>30.4</v>
      </c>
      <c r="BP272" s="62">
        <f t="shared" si="201"/>
        <v>0.65800000000000003</v>
      </c>
      <c r="BQ272" s="62">
        <f t="shared" si="200"/>
        <v>1.506</v>
      </c>
      <c r="BS272" s="3">
        <v>0</v>
      </c>
      <c r="BT272" s="8"/>
      <c r="BV272" s="8"/>
      <c r="BW272" s="16">
        <f t="shared" si="160"/>
        <v>17.73</v>
      </c>
      <c r="BX272" s="16">
        <f t="shared" si="161"/>
        <v>35.76</v>
      </c>
      <c r="BY272" s="3">
        <f t="shared" si="162"/>
        <v>7.9</v>
      </c>
      <c r="BZ272" s="3">
        <f t="shared" si="163"/>
        <v>7.6</v>
      </c>
      <c r="CA272" s="3">
        <f t="shared" si="164"/>
        <v>7.3</v>
      </c>
      <c r="CB272" s="3">
        <f t="shared" si="165"/>
        <v>7</v>
      </c>
      <c r="CC272" s="3">
        <f t="shared" si="166"/>
        <v>6.9</v>
      </c>
      <c r="CD272" s="3">
        <f t="shared" si="167"/>
        <v>7.1</v>
      </c>
      <c r="CE272" s="3">
        <f t="shared" si="168"/>
        <v>7.8</v>
      </c>
      <c r="CF272" s="23">
        <f t="shared" si="169"/>
        <v>65.599999999999994</v>
      </c>
      <c r="CG272" s="1">
        <f t="shared" si="170"/>
        <v>18.8</v>
      </c>
      <c r="CH272" s="1">
        <f t="shared" si="171"/>
        <v>19.5</v>
      </c>
      <c r="CI272" s="1">
        <f t="shared" si="172"/>
        <v>21.8</v>
      </c>
      <c r="CJ272" s="1">
        <f t="shared" si="173"/>
        <v>24.5</v>
      </c>
      <c r="CK272" s="1">
        <f t="shared" si="174"/>
        <v>10.5</v>
      </c>
      <c r="CL272" s="1">
        <f t="shared" si="175"/>
        <v>7.5</v>
      </c>
      <c r="CM272" s="1">
        <f t="shared" si="176"/>
        <v>8.1</v>
      </c>
      <c r="CN272" s="2">
        <f t="shared" si="177"/>
        <v>93.2</v>
      </c>
      <c r="CO272" s="1">
        <f t="shared" si="178"/>
        <v>-1.2</v>
      </c>
      <c r="CP272" s="1">
        <f t="shared" si="179"/>
        <v>-2</v>
      </c>
      <c r="CQ272" s="1">
        <f t="shared" si="180"/>
        <v>-2.5</v>
      </c>
      <c r="CR272" s="1">
        <f t="shared" si="181"/>
        <v>-3.5</v>
      </c>
      <c r="CS272" s="1">
        <f t="shared" si="182"/>
        <v>4.2</v>
      </c>
      <c r="CT272" s="1">
        <f t="shared" si="183"/>
        <v>6.8</v>
      </c>
      <c r="CU272" s="1">
        <f t="shared" si="184"/>
        <v>7.6</v>
      </c>
      <c r="CV272" s="2">
        <f t="shared" si="185"/>
        <v>30.4</v>
      </c>
      <c r="CW272" s="18">
        <f t="shared" si="186"/>
        <v>0</v>
      </c>
      <c r="CX272" s="1">
        <f>ROUND(PPTest!K272,1)</f>
        <v>0</v>
      </c>
      <c r="CY272" s="17">
        <f t="shared" si="187"/>
        <v>2.29</v>
      </c>
      <c r="CZ272" s="17">
        <f t="shared" si="188"/>
        <v>4.78</v>
      </c>
      <c r="DA272" s="20">
        <f t="shared" si="189"/>
        <v>0.65800000000000003</v>
      </c>
      <c r="DB272" s="20">
        <f t="shared" si="190"/>
        <v>1.506</v>
      </c>
      <c r="DC272" s="16">
        <f t="shared" si="191"/>
        <v>12.32</v>
      </c>
      <c r="DW272" s="1">
        <v>8.5</v>
      </c>
      <c r="DX272" s="1">
        <v>20</v>
      </c>
      <c r="DY272" s="1">
        <v>-0.7</v>
      </c>
    </row>
    <row r="273" spans="1:129" x14ac:dyDescent="0.2">
      <c r="A273" s="40">
        <v>34966</v>
      </c>
      <c r="B273" s="3">
        <v>267</v>
      </c>
      <c r="C273" s="3">
        <v>17.440000000000001</v>
      </c>
      <c r="D273" s="3">
        <v>32.659999999999997</v>
      </c>
      <c r="E273" s="3">
        <v>8.06</v>
      </c>
      <c r="F273" s="3">
        <v>69.680000000000007</v>
      </c>
      <c r="G273" s="3">
        <v>7.76</v>
      </c>
      <c r="H273" s="3">
        <v>7.33</v>
      </c>
      <c r="I273" s="3">
        <v>6.8170000000000002</v>
      </c>
      <c r="J273" s="3">
        <v>8.94</v>
      </c>
      <c r="K273" s="3">
        <v>8.76</v>
      </c>
      <c r="L273" s="3">
        <v>7.26</v>
      </c>
      <c r="M273" s="3">
        <v>7.31</v>
      </c>
      <c r="N273" s="3">
        <v>7.67</v>
      </c>
      <c r="O273" s="3">
        <v>0</v>
      </c>
      <c r="P273" s="16">
        <v>2.0924999999999998</v>
      </c>
      <c r="Q273" s="3">
        <v>0</v>
      </c>
      <c r="R273" s="3">
        <v>19.36</v>
      </c>
      <c r="S273" s="3">
        <v>1607</v>
      </c>
      <c r="T273" s="3">
        <v>99.8</v>
      </c>
      <c r="U273" s="3">
        <v>632</v>
      </c>
      <c r="V273" s="3">
        <v>19.23</v>
      </c>
      <c r="W273" s="3">
        <v>21.98</v>
      </c>
      <c r="X273" s="3">
        <v>23.82</v>
      </c>
      <c r="Y273" s="3">
        <v>26.23</v>
      </c>
      <c r="Z273" s="3">
        <v>24.24</v>
      </c>
      <c r="AA273" s="3">
        <v>10.64</v>
      </c>
      <c r="AB273" s="3">
        <v>7.68</v>
      </c>
      <c r="AC273" s="3">
        <v>7.97</v>
      </c>
      <c r="AD273" s="16">
        <v>3.9408333333333334</v>
      </c>
      <c r="AE273" s="3">
        <v>1058</v>
      </c>
      <c r="AF273" s="3">
        <v>-0.54600000000000004</v>
      </c>
      <c r="AG273" s="3">
        <v>611</v>
      </c>
      <c r="AH273" s="3">
        <v>29.18</v>
      </c>
      <c r="AI273" s="3">
        <v>1610</v>
      </c>
      <c r="AJ273" s="3">
        <v>-1.204</v>
      </c>
      <c r="AK273" s="3">
        <v>-1.7849999999999999</v>
      </c>
      <c r="AL273" s="3">
        <v>-2.1360000000000001</v>
      </c>
      <c r="AM273" s="3">
        <v>-1.149</v>
      </c>
      <c r="AN273" s="3">
        <v>-0.83199999999999996</v>
      </c>
      <c r="AO273" s="3">
        <v>4.75</v>
      </c>
      <c r="AP273" s="3">
        <v>7.04</v>
      </c>
      <c r="AQ273" s="3">
        <v>7.48</v>
      </c>
      <c r="AR273" s="3">
        <v>4.2000000000000003E-2</v>
      </c>
      <c r="AS273" s="3">
        <v>0.26200000000000001</v>
      </c>
      <c r="AT273" s="3">
        <v>0.39300000000000002</v>
      </c>
      <c r="AU273" s="3">
        <v>3.2000000000000001E-2</v>
      </c>
      <c r="AV273" s="3">
        <v>7.3999999999999996E-2</v>
      </c>
      <c r="AW273" s="3">
        <v>0.125</v>
      </c>
      <c r="AX273" s="3">
        <v>0.03</v>
      </c>
      <c r="AY273" s="3">
        <v>4.2000000000000003E-2</v>
      </c>
      <c r="AZ273" s="3">
        <v>7.58</v>
      </c>
      <c r="BA273" s="3"/>
      <c r="BB273" s="3">
        <v>12.32</v>
      </c>
      <c r="BC273" s="3">
        <v>2876</v>
      </c>
      <c r="BD273" s="3"/>
      <c r="BE273" s="3"/>
      <c r="BF273" s="3">
        <v>0</v>
      </c>
      <c r="BH273" s="16">
        <v>16.87</v>
      </c>
      <c r="BI273" s="16">
        <f t="shared" si="194"/>
        <v>34.077400000000004</v>
      </c>
      <c r="BJ273" s="17">
        <f t="shared" si="195"/>
        <v>17.440000000000001</v>
      </c>
      <c r="BK273" s="17">
        <f t="shared" si="196"/>
        <v>35.270000000000003</v>
      </c>
      <c r="BM273" s="1">
        <f t="shared" si="197"/>
        <v>93.2</v>
      </c>
      <c r="BN273" s="1">
        <f t="shared" si="198"/>
        <v>65.400000000000006</v>
      </c>
      <c r="BO273" s="1">
        <f t="shared" si="199"/>
        <v>28</v>
      </c>
      <c r="BP273" s="62">
        <f t="shared" si="201"/>
        <v>0.629</v>
      </c>
      <c r="BQ273" s="62">
        <f t="shared" si="200"/>
        <v>1.617</v>
      </c>
      <c r="BS273" s="3">
        <v>0</v>
      </c>
      <c r="BT273" s="8"/>
      <c r="BV273" s="8"/>
      <c r="BW273" s="16">
        <f t="shared" si="160"/>
        <v>17.440000000000001</v>
      </c>
      <c r="BX273" s="16">
        <f t="shared" si="161"/>
        <v>35.270000000000003</v>
      </c>
      <c r="BY273" s="3">
        <f t="shared" si="162"/>
        <v>8.1</v>
      </c>
      <c r="BZ273" s="3">
        <f t="shared" si="163"/>
        <v>7.8</v>
      </c>
      <c r="CA273" s="3">
        <f t="shared" si="164"/>
        <v>7.3</v>
      </c>
      <c r="CB273" s="3">
        <f t="shared" si="165"/>
        <v>6.8</v>
      </c>
      <c r="CC273" s="3">
        <f t="shared" si="166"/>
        <v>7.3</v>
      </c>
      <c r="CD273" s="3">
        <f t="shared" si="167"/>
        <v>7.3</v>
      </c>
      <c r="CE273" s="3">
        <f t="shared" si="168"/>
        <v>7.7</v>
      </c>
      <c r="CF273" s="23">
        <f t="shared" si="169"/>
        <v>65.400000000000006</v>
      </c>
      <c r="CG273" s="1">
        <f t="shared" si="170"/>
        <v>19.399999999999999</v>
      </c>
      <c r="CH273" s="1">
        <f t="shared" si="171"/>
        <v>19.2</v>
      </c>
      <c r="CI273" s="1">
        <f t="shared" si="172"/>
        <v>22</v>
      </c>
      <c r="CJ273" s="1">
        <f t="shared" si="173"/>
        <v>23.8</v>
      </c>
      <c r="CK273" s="1">
        <f t="shared" si="174"/>
        <v>10.6</v>
      </c>
      <c r="CL273" s="1">
        <f t="shared" si="175"/>
        <v>7.7</v>
      </c>
      <c r="CM273" s="1">
        <f t="shared" si="176"/>
        <v>8</v>
      </c>
      <c r="CN273" s="2">
        <f t="shared" si="177"/>
        <v>93.2</v>
      </c>
      <c r="CO273" s="1">
        <f t="shared" si="178"/>
        <v>-0.5</v>
      </c>
      <c r="CP273" s="1">
        <f t="shared" si="179"/>
        <v>-1.2</v>
      </c>
      <c r="CQ273" s="1">
        <f t="shared" si="180"/>
        <v>-1.8</v>
      </c>
      <c r="CR273" s="1">
        <f t="shared" si="181"/>
        <v>-2.1</v>
      </c>
      <c r="CS273" s="1">
        <f t="shared" si="182"/>
        <v>4.8</v>
      </c>
      <c r="CT273" s="1">
        <f t="shared" si="183"/>
        <v>7</v>
      </c>
      <c r="CU273" s="1">
        <f t="shared" si="184"/>
        <v>7.5</v>
      </c>
      <c r="CV273" s="2">
        <f t="shared" si="185"/>
        <v>28</v>
      </c>
      <c r="CW273" s="18">
        <f t="shared" si="186"/>
        <v>0</v>
      </c>
      <c r="CX273" s="1">
        <f>ROUND(PPTest!K273,1)</f>
        <v>0</v>
      </c>
      <c r="CY273" s="17">
        <f t="shared" si="187"/>
        <v>2.09</v>
      </c>
      <c r="CZ273" s="17">
        <f t="shared" si="188"/>
        <v>3.94</v>
      </c>
      <c r="DA273" s="20">
        <f t="shared" si="189"/>
        <v>0.629</v>
      </c>
      <c r="DB273" s="20">
        <f t="shared" si="190"/>
        <v>1.617</v>
      </c>
      <c r="DC273" s="16">
        <f t="shared" si="191"/>
        <v>12.32</v>
      </c>
      <c r="DW273" s="1">
        <v>7.7</v>
      </c>
      <c r="DX273" s="1">
        <v>19</v>
      </c>
      <c r="DY273" s="1">
        <v>-1.9</v>
      </c>
    </row>
    <row r="274" spans="1:129" x14ac:dyDescent="0.2">
      <c r="A274" s="40">
        <v>34967</v>
      </c>
      <c r="B274" s="3">
        <v>268</v>
      </c>
      <c r="C274" s="3">
        <v>15.29</v>
      </c>
      <c r="D274" s="3">
        <v>28.75</v>
      </c>
      <c r="E274" s="3">
        <v>7.05</v>
      </c>
      <c r="F274" s="3">
        <v>66.38</v>
      </c>
      <c r="G274" s="3">
        <v>6.7670000000000003</v>
      </c>
      <c r="H274" s="3">
        <v>6.4050000000000002</v>
      </c>
      <c r="I274" s="3">
        <v>6.6920000000000002</v>
      </c>
      <c r="J274" s="3">
        <v>7.25</v>
      </c>
      <c r="K274" s="3">
        <v>7.37</v>
      </c>
      <c r="L274" s="3">
        <v>6.9109999999999996</v>
      </c>
      <c r="M274" s="3">
        <v>7.32</v>
      </c>
      <c r="N274" s="3">
        <v>7.61</v>
      </c>
      <c r="O274" s="3">
        <v>0</v>
      </c>
      <c r="P274" s="16">
        <v>2.1008333333333331</v>
      </c>
      <c r="Q274" s="3">
        <v>0</v>
      </c>
      <c r="R274" s="3">
        <v>17.29</v>
      </c>
      <c r="S274" s="3">
        <v>1141</v>
      </c>
      <c r="T274" s="3">
        <v>98.3</v>
      </c>
      <c r="U274" s="3">
        <v>316</v>
      </c>
      <c r="V274" s="3">
        <v>18.66</v>
      </c>
      <c r="W274" s="3">
        <v>22.85</v>
      </c>
      <c r="X274" s="3">
        <v>25.72</v>
      </c>
      <c r="Y274" s="3">
        <v>23.79</v>
      </c>
      <c r="Z274" s="3">
        <v>22.86</v>
      </c>
      <c r="AA274" s="3">
        <v>9.75</v>
      </c>
      <c r="AB274" s="3">
        <v>7.58</v>
      </c>
      <c r="AC274" s="3">
        <v>7.87</v>
      </c>
      <c r="AD274" s="16">
        <v>3.874166666666667</v>
      </c>
      <c r="AE274" s="3">
        <v>1340</v>
      </c>
      <c r="AF274" s="3">
        <v>-2.226</v>
      </c>
      <c r="AG274" s="3">
        <v>559</v>
      </c>
      <c r="AH274" s="3">
        <v>25.47</v>
      </c>
      <c r="AI274" s="3">
        <v>1142</v>
      </c>
      <c r="AJ274" s="3">
        <v>-2.9129999999999998</v>
      </c>
      <c r="AK274" s="3">
        <v>-3.4460000000000002</v>
      </c>
      <c r="AL274" s="3">
        <v>-4.2670000000000003</v>
      </c>
      <c r="AM274" s="3">
        <v>-2.887</v>
      </c>
      <c r="AN274" s="3">
        <v>-2.6779999999999999</v>
      </c>
      <c r="AO274" s="3">
        <v>4.3949999999999996</v>
      </c>
      <c r="AP274" s="3">
        <v>6.9989999999999997</v>
      </c>
      <c r="AQ274" s="3">
        <v>7.36</v>
      </c>
      <c r="AR274" s="3">
        <v>4.0000000000000001E-3</v>
      </c>
      <c r="AS274" s="3">
        <v>0.245</v>
      </c>
      <c r="AT274" s="3">
        <v>0.39400000000000002</v>
      </c>
      <c r="AU274" s="3">
        <v>1.2999999999999999E-2</v>
      </c>
      <c r="AV274" s="3">
        <v>0.112</v>
      </c>
      <c r="AW274" s="3">
        <v>0.17499999999999999</v>
      </c>
      <c r="AX274" s="3">
        <v>3.4000000000000002E-2</v>
      </c>
      <c r="AY274" s="3">
        <v>2.1999999999999999E-2</v>
      </c>
      <c r="AZ274" s="3">
        <v>6.46</v>
      </c>
      <c r="BA274" s="3"/>
      <c r="BB274" s="3">
        <v>12.31</v>
      </c>
      <c r="BC274" s="3">
        <v>2876</v>
      </c>
      <c r="BD274" s="3"/>
      <c r="BE274" s="3"/>
      <c r="BF274" s="3">
        <v>0</v>
      </c>
      <c r="BH274" s="16">
        <v>16.62</v>
      </c>
      <c r="BI274" s="16">
        <f t="shared" si="194"/>
        <v>33.572400000000002</v>
      </c>
      <c r="BJ274" s="17">
        <f t="shared" si="195"/>
        <v>15.29</v>
      </c>
      <c r="BK274" s="17">
        <f t="shared" si="196"/>
        <v>31.05</v>
      </c>
      <c r="BM274" s="1">
        <f t="shared" si="197"/>
        <v>91.8</v>
      </c>
      <c r="BN274" s="1">
        <f t="shared" si="198"/>
        <v>62.3</v>
      </c>
      <c r="BO274" s="1">
        <f t="shared" si="199"/>
        <v>24.5</v>
      </c>
      <c r="BP274" s="62">
        <f t="shared" si="201"/>
        <v>0.48299999999999998</v>
      </c>
      <c r="BQ274" s="62">
        <f t="shared" si="200"/>
        <v>1.488</v>
      </c>
      <c r="BS274" s="3">
        <v>0</v>
      </c>
      <c r="BT274" s="8"/>
      <c r="BV274" s="8"/>
      <c r="BW274" s="16">
        <f t="shared" si="160"/>
        <v>15.29</v>
      </c>
      <c r="BX274" s="16">
        <f t="shared" si="161"/>
        <v>31.05</v>
      </c>
      <c r="BY274" s="3">
        <f t="shared" si="162"/>
        <v>7.1</v>
      </c>
      <c r="BZ274" s="3">
        <f t="shared" si="163"/>
        <v>6.8</v>
      </c>
      <c r="CA274" s="3">
        <f t="shared" si="164"/>
        <v>6.4</v>
      </c>
      <c r="CB274" s="3">
        <f t="shared" si="165"/>
        <v>6.7</v>
      </c>
      <c r="CC274" s="3">
        <f t="shared" si="166"/>
        <v>6.9</v>
      </c>
      <c r="CD274" s="3">
        <f t="shared" si="167"/>
        <v>7.3</v>
      </c>
      <c r="CE274" s="3">
        <f t="shared" si="168"/>
        <v>7.6</v>
      </c>
      <c r="CF274" s="23">
        <f t="shared" si="169"/>
        <v>62.3</v>
      </c>
      <c r="CG274" s="1">
        <f t="shared" si="170"/>
        <v>17.3</v>
      </c>
      <c r="CH274" s="1">
        <f t="shared" si="171"/>
        <v>18.7</v>
      </c>
      <c r="CI274" s="1">
        <f t="shared" si="172"/>
        <v>22.9</v>
      </c>
      <c r="CJ274" s="1">
        <f t="shared" si="173"/>
        <v>25.7</v>
      </c>
      <c r="CK274" s="1">
        <f t="shared" si="174"/>
        <v>9.8000000000000007</v>
      </c>
      <c r="CL274" s="1">
        <f t="shared" si="175"/>
        <v>7.6</v>
      </c>
      <c r="CM274" s="1">
        <f t="shared" si="176"/>
        <v>7.9</v>
      </c>
      <c r="CN274" s="2">
        <f t="shared" si="177"/>
        <v>91.8</v>
      </c>
      <c r="CO274" s="1">
        <f t="shared" si="178"/>
        <v>-2.2000000000000002</v>
      </c>
      <c r="CP274" s="1">
        <f t="shared" si="179"/>
        <v>-2.9</v>
      </c>
      <c r="CQ274" s="1">
        <f t="shared" si="180"/>
        <v>-3.4</v>
      </c>
      <c r="CR274" s="1">
        <f t="shared" si="181"/>
        <v>-4.3</v>
      </c>
      <c r="CS274" s="1">
        <f t="shared" si="182"/>
        <v>4.4000000000000004</v>
      </c>
      <c r="CT274" s="1">
        <f t="shared" si="183"/>
        <v>7</v>
      </c>
      <c r="CU274" s="1">
        <f t="shared" si="184"/>
        <v>7.4</v>
      </c>
      <c r="CV274" s="2">
        <f t="shared" si="185"/>
        <v>24.5</v>
      </c>
      <c r="CW274" s="18">
        <f t="shared" si="186"/>
        <v>0</v>
      </c>
      <c r="CX274" s="1">
        <f>ROUND(PPTest!K274,1)</f>
        <v>0</v>
      </c>
      <c r="CY274" s="17">
        <f t="shared" si="187"/>
        <v>2.1</v>
      </c>
      <c r="CZ274" s="17">
        <f t="shared" si="188"/>
        <v>3.87</v>
      </c>
      <c r="DA274" s="20">
        <f t="shared" si="189"/>
        <v>0.48299999999999998</v>
      </c>
      <c r="DB274" s="20">
        <f t="shared" si="190"/>
        <v>1.488</v>
      </c>
      <c r="DC274" s="16">
        <f t="shared" si="191"/>
        <v>12.31</v>
      </c>
      <c r="DW274" s="1">
        <v>8.4</v>
      </c>
      <c r="DX274" s="1">
        <v>21.5</v>
      </c>
      <c r="DY274" s="1">
        <v>-2</v>
      </c>
    </row>
    <row r="275" spans="1:129" x14ac:dyDescent="0.2">
      <c r="A275" s="40">
        <v>34968</v>
      </c>
      <c r="B275" s="3">
        <v>269</v>
      </c>
      <c r="C275" s="3">
        <v>10.66</v>
      </c>
      <c r="D275" s="3">
        <v>20.64</v>
      </c>
      <c r="E275" s="3">
        <v>5.5330000000000004</v>
      </c>
      <c r="F275" s="3">
        <v>80.5</v>
      </c>
      <c r="G275" s="3">
        <v>5.452</v>
      </c>
      <c r="H275" s="3">
        <v>5.2469999999999999</v>
      </c>
      <c r="I275" s="3">
        <v>5.9480000000000004</v>
      </c>
      <c r="J275" s="3">
        <v>5.83</v>
      </c>
      <c r="K275" s="3">
        <v>5.8710000000000004</v>
      </c>
      <c r="L275" s="3">
        <v>6.4880000000000004</v>
      </c>
      <c r="M275" s="3">
        <v>7.19</v>
      </c>
      <c r="N275" s="3">
        <v>7.58</v>
      </c>
      <c r="O275" s="3">
        <v>0</v>
      </c>
      <c r="P275" s="16">
        <v>2.0991666666666666</v>
      </c>
      <c r="Q275" s="3">
        <v>0</v>
      </c>
      <c r="R275" s="3">
        <v>12.16</v>
      </c>
      <c r="S275" s="3">
        <v>844</v>
      </c>
      <c r="T275" s="3">
        <v>97.8</v>
      </c>
      <c r="U275" s="3">
        <v>2357</v>
      </c>
      <c r="V275" s="3">
        <v>13.91</v>
      </c>
      <c r="W275" s="3">
        <v>16.32</v>
      </c>
      <c r="X275" s="3">
        <v>19.98</v>
      </c>
      <c r="Y275" s="3">
        <v>16.46</v>
      </c>
      <c r="Z275" s="3">
        <v>16.82</v>
      </c>
      <c r="AA275" s="3">
        <v>8.26</v>
      </c>
      <c r="AB275" s="3">
        <v>7.43</v>
      </c>
      <c r="AC275" s="3">
        <v>7.8</v>
      </c>
      <c r="AD275" s="16">
        <v>5.980833333333333</v>
      </c>
      <c r="AE275" s="3">
        <v>1315</v>
      </c>
      <c r="AF275" s="3">
        <v>-1.599</v>
      </c>
      <c r="AG275" s="3">
        <v>433</v>
      </c>
      <c r="AH275" s="3">
        <v>46.57</v>
      </c>
      <c r="AI275" s="3">
        <v>923</v>
      </c>
      <c r="AJ275" s="3">
        <v>-2.3239999999999998</v>
      </c>
      <c r="AK275" s="3">
        <v>-2.891</v>
      </c>
      <c r="AL275" s="3">
        <v>-3.5939999999999999</v>
      </c>
      <c r="AM275" s="3">
        <v>-2.145</v>
      </c>
      <c r="AN275" s="3">
        <v>-1.641</v>
      </c>
      <c r="AO275" s="3">
        <v>4.5810000000000004</v>
      </c>
      <c r="AP275" s="3">
        <v>6.9859999999999998</v>
      </c>
      <c r="AQ275" s="3">
        <v>7.37</v>
      </c>
      <c r="AR275" s="3">
        <v>3.0000000000000001E-3</v>
      </c>
      <c r="AS275" s="3">
        <v>0.13900000000000001</v>
      </c>
      <c r="AT275" s="3">
        <v>0.246</v>
      </c>
      <c r="AU275" s="3">
        <v>7.1999999999999995E-2</v>
      </c>
      <c r="AV275" s="3">
        <v>0.16</v>
      </c>
      <c r="AW275" s="3">
        <v>0.27600000000000002</v>
      </c>
      <c r="AX275" s="3">
        <v>9.2999999999999999E-2</v>
      </c>
      <c r="AY275" s="3">
        <v>0.01</v>
      </c>
      <c r="AZ275" s="3">
        <v>5.1159999999999997</v>
      </c>
      <c r="BA275" s="3"/>
      <c r="BB275" s="3">
        <v>12.31</v>
      </c>
      <c r="BC275" s="3">
        <v>2876</v>
      </c>
      <c r="BD275" s="3"/>
      <c r="BE275" s="3"/>
      <c r="BF275" s="3">
        <v>0</v>
      </c>
      <c r="BH275" s="16">
        <v>16.37</v>
      </c>
      <c r="BI275" s="16">
        <f t="shared" si="194"/>
        <v>33.067399999999999</v>
      </c>
      <c r="BJ275" s="17">
        <f t="shared" si="195"/>
        <v>10.66</v>
      </c>
      <c r="BK275" s="17">
        <f t="shared" si="196"/>
        <v>22.29</v>
      </c>
      <c r="BM275" s="1">
        <f t="shared" si="197"/>
        <v>91.4</v>
      </c>
      <c r="BN275" s="1">
        <f t="shared" si="198"/>
        <v>75.400000000000006</v>
      </c>
      <c r="BO275" s="1">
        <f t="shared" si="199"/>
        <v>44</v>
      </c>
      <c r="BP275" s="62">
        <f t="shared" si="201"/>
        <v>0.623</v>
      </c>
      <c r="BQ275" s="62">
        <f t="shared" si="200"/>
        <v>0.79300000000000004</v>
      </c>
      <c r="BS275" s="3">
        <v>0</v>
      </c>
      <c r="BT275" s="8"/>
      <c r="BV275" s="8"/>
      <c r="BW275" s="16">
        <f t="shared" si="160"/>
        <v>10.66</v>
      </c>
      <c r="BX275" s="16">
        <f t="shared" si="161"/>
        <v>22.29</v>
      </c>
      <c r="BY275" s="3">
        <f t="shared" si="162"/>
        <v>5.5</v>
      </c>
      <c r="BZ275" s="3">
        <f t="shared" si="163"/>
        <v>5.5</v>
      </c>
      <c r="CA275" s="3">
        <f t="shared" si="164"/>
        <v>5.2</v>
      </c>
      <c r="CB275" s="3">
        <f t="shared" si="165"/>
        <v>5.9</v>
      </c>
      <c r="CC275" s="3">
        <f t="shared" si="166"/>
        <v>6.5</v>
      </c>
      <c r="CD275" s="3">
        <f t="shared" si="167"/>
        <v>7.2</v>
      </c>
      <c r="CE275" s="3">
        <f t="shared" si="168"/>
        <v>7.6</v>
      </c>
      <c r="CF275" s="23">
        <f t="shared" si="169"/>
        <v>75.400000000000006</v>
      </c>
      <c r="CG275" s="1">
        <f t="shared" si="170"/>
        <v>12.2</v>
      </c>
      <c r="CH275" s="1">
        <f t="shared" si="171"/>
        <v>13.9</v>
      </c>
      <c r="CI275" s="1">
        <f t="shared" si="172"/>
        <v>16.3</v>
      </c>
      <c r="CJ275" s="1">
        <f t="shared" si="173"/>
        <v>20</v>
      </c>
      <c r="CK275" s="1">
        <f t="shared" si="174"/>
        <v>8.3000000000000007</v>
      </c>
      <c r="CL275" s="1">
        <f t="shared" si="175"/>
        <v>7.4</v>
      </c>
      <c r="CM275" s="1">
        <f t="shared" si="176"/>
        <v>7.8</v>
      </c>
      <c r="CN275" s="2">
        <f t="shared" si="177"/>
        <v>91.4</v>
      </c>
      <c r="CO275" s="1">
        <f t="shared" si="178"/>
        <v>-1.6</v>
      </c>
      <c r="CP275" s="1">
        <f t="shared" si="179"/>
        <v>-2.2999999999999998</v>
      </c>
      <c r="CQ275" s="1">
        <f t="shared" si="180"/>
        <v>-2.9</v>
      </c>
      <c r="CR275" s="1">
        <f t="shared" si="181"/>
        <v>-3.6</v>
      </c>
      <c r="CS275" s="1">
        <f t="shared" si="182"/>
        <v>4.5999999999999996</v>
      </c>
      <c r="CT275" s="1">
        <f t="shared" si="183"/>
        <v>7</v>
      </c>
      <c r="CU275" s="1">
        <f t="shared" si="184"/>
        <v>7.4</v>
      </c>
      <c r="CV275" s="2">
        <f t="shared" si="185"/>
        <v>44</v>
      </c>
      <c r="CW275" s="18">
        <f t="shared" si="186"/>
        <v>0</v>
      </c>
      <c r="CX275" s="1">
        <f>ROUND(PPTest!K275,1)</f>
        <v>0</v>
      </c>
      <c r="CY275" s="17">
        <f t="shared" si="187"/>
        <v>2.1</v>
      </c>
      <c r="CZ275" s="17">
        <f t="shared" si="188"/>
        <v>5.98</v>
      </c>
      <c r="DA275" s="20">
        <f t="shared" si="189"/>
        <v>0.623</v>
      </c>
      <c r="DB275" s="20">
        <f t="shared" si="190"/>
        <v>0.79300000000000004</v>
      </c>
      <c r="DC275" s="16">
        <f t="shared" si="191"/>
        <v>12.31</v>
      </c>
      <c r="DW275" s="1">
        <v>5.2</v>
      </c>
      <c r="DX275" s="1">
        <v>10</v>
      </c>
      <c r="DY275" s="1">
        <v>1.2</v>
      </c>
    </row>
    <row r="276" spans="1:129" x14ac:dyDescent="0.2">
      <c r="A276" s="40">
        <v>34969</v>
      </c>
      <c r="B276" s="3">
        <v>270</v>
      </c>
      <c r="C276" s="3">
        <v>6.8940000000000001</v>
      </c>
      <c r="D276" s="3">
        <v>13.65</v>
      </c>
      <c r="E276" s="3">
        <v>6.3470000000000004</v>
      </c>
      <c r="F276" s="3">
        <v>91.5</v>
      </c>
      <c r="G276" s="3">
        <v>6.218</v>
      </c>
      <c r="H276" s="3">
        <v>6.1849999999999996</v>
      </c>
      <c r="I276" s="3">
        <v>6.78</v>
      </c>
      <c r="J276" s="3">
        <v>6.4550000000000001</v>
      </c>
      <c r="K276" s="3">
        <v>6.5090000000000003</v>
      </c>
      <c r="L276" s="3">
        <v>7.17</v>
      </c>
      <c r="M276" s="3">
        <v>7.24</v>
      </c>
      <c r="N276" s="3">
        <v>7.55</v>
      </c>
      <c r="O276" s="3">
        <v>1E-3</v>
      </c>
      <c r="P276" s="16">
        <v>1.3923333333333332</v>
      </c>
      <c r="Q276" s="3">
        <v>0</v>
      </c>
      <c r="R276" s="3">
        <v>10.38</v>
      </c>
      <c r="S276" s="3">
        <v>1307</v>
      </c>
      <c r="T276" s="3">
        <v>101.9</v>
      </c>
      <c r="U276" s="3">
        <v>445</v>
      </c>
      <c r="V276" s="3">
        <v>11.68</v>
      </c>
      <c r="W276" s="3">
        <v>13.6</v>
      </c>
      <c r="X276" s="3">
        <v>16.420000000000002</v>
      </c>
      <c r="Y276" s="3">
        <v>15.51</v>
      </c>
      <c r="Z276" s="3">
        <v>13.82</v>
      </c>
      <c r="AA276" s="3">
        <v>8.6199999999999992</v>
      </c>
      <c r="AB276" s="3">
        <v>7.39</v>
      </c>
      <c r="AC276" s="3">
        <v>7.74</v>
      </c>
      <c r="AD276" s="16">
        <v>4.2874999999999996</v>
      </c>
      <c r="AE276" s="3">
        <v>1314</v>
      </c>
      <c r="AF276" s="3">
        <v>3.01</v>
      </c>
      <c r="AG276" s="3">
        <v>440</v>
      </c>
      <c r="AH276" s="3">
        <v>64.8</v>
      </c>
      <c r="AI276" s="3">
        <v>1314</v>
      </c>
      <c r="AJ276" s="3">
        <v>2.4809999999999999</v>
      </c>
      <c r="AK276" s="3">
        <v>1.58</v>
      </c>
      <c r="AL276" s="3">
        <v>1.62</v>
      </c>
      <c r="AM276" s="3">
        <v>2.0339999999999998</v>
      </c>
      <c r="AN276" s="3">
        <v>2.3260000000000001</v>
      </c>
      <c r="AO276" s="3">
        <v>6.1210000000000004</v>
      </c>
      <c r="AP276" s="3">
        <v>7.09</v>
      </c>
      <c r="AQ276" s="3">
        <v>7.45</v>
      </c>
      <c r="AR276" s="3">
        <v>1.6E-2</v>
      </c>
      <c r="AS276" s="3">
        <v>0.185</v>
      </c>
      <c r="AT276" s="3">
        <v>0.107</v>
      </c>
      <c r="AU276" s="3">
        <v>5.0999999999999997E-2</v>
      </c>
      <c r="AV276" s="3">
        <v>0.14899999999999999</v>
      </c>
      <c r="AW276" s="3">
        <v>0.29399999999999998</v>
      </c>
      <c r="AX276" s="3">
        <v>0.16200000000000001</v>
      </c>
      <c r="AY276" s="3">
        <v>3.5000000000000003E-2</v>
      </c>
      <c r="AZ276" s="3">
        <v>6.3929999999999998</v>
      </c>
      <c r="BA276" s="3"/>
      <c r="BB276" s="3">
        <v>12.31</v>
      </c>
      <c r="BC276" s="3">
        <v>2876</v>
      </c>
      <c r="BD276" s="3"/>
      <c r="BE276" s="3"/>
      <c r="BF276" s="3">
        <v>0</v>
      </c>
      <c r="BH276" s="16">
        <v>16.12</v>
      </c>
      <c r="BI276" s="16">
        <f t="shared" si="194"/>
        <v>32.562400000000004</v>
      </c>
      <c r="BJ276" s="17">
        <f t="shared" si="195"/>
        <v>6.89</v>
      </c>
      <c r="BK276" s="17">
        <f t="shared" si="196"/>
        <v>14.74</v>
      </c>
      <c r="BM276" s="1">
        <f t="shared" si="197"/>
        <v>95.2</v>
      </c>
      <c r="BN276" s="1">
        <f t="shared" si="198"/>
        <v>85.5</v>
      </c>
      <c r="BO276" s="1">
        <f t="shared" si="199"/>
        <v>60.9</v>
      </c>
      <c r="BP276" s="62">
        <f t="shared" si="201"/>
        <v>0.76700000000000002</v>
      </c>
      <c r="BQ276" s="62">
        <f t="shared" si="200"/>
        <v>0.49199999999999999</v>
      </c>
      <c r="BS276" s="3">
        <v>0.30000001192092896</v>
      </c>
      <c r="BT276" s="8"/>
      <c r="BV276" s="8"/>
      <c r="BW276" s="16">
        <f t="shared" si="160"/>
        <v>6.89</v>
      </c>
      <c r="BX276" s="16">
        <f t="shared" si="161"/>
        <v>14.74</v>
      </c>
      <c r="BY276" s="3">
        <f t="shared" si="162"/>
        <v>6.3</v>
      </c>
      <c r="BZ276" s="3">
        <f t="shared" si="163"/>
        <v>6.2</v>
      </c>
      <c r="CA276" s="3">
        <f t="shared" si="164"/>
        <v>6.2</v>
      </c>
      <c r="CB276" s="3">
        <f t="shared" si="165"/>
        <v>6.8</v>
      </c>
      <c r="CC276" s="3">
        <f t="shared" si="166"/>
        <v>7.2</v>
      </c>
      <c r="CD276" s="3">
        <f t="shared" si="167"/>
        <v>7.2</v>
      </c>
      <c r="CE276" s="3">
        <f t="shared" si="168"/>
        <v>7.6</v>
      </c>
      <c r="CF276" s="23">
        <f t="shared" si="169"/>
        <v>85.5</v>
      </c>
      <c r="CG276" s="1">
        <f t="shared" si="170"/>
        <v>10.4</v>
      </c>
      <c r="CH276" s="1">
        <f t="shared" si="171"/>
        <v>11.7</v>
      </c>
      <c r="CI276" s="1">
        <f t="shared" si="172"/>
        <v>13.6</v>
      </c>
      <c r="CJ276" s="1">
        <f t="shared" si="173"/>
        <v>16.399999999999999</v>
      </c>
      <c r="CK276" s="1">
        <f t="shared" si="174"/>
        <v>8.6</v>
      </c>
      <c r="CL276" s="1">
        <f t="shared" si="175"/>
        <v>7.4</v>
      </c>
      <c r="CM276" s="1">
        <f t="shared" si="176"/>
        <v>7.7</v>
      </c>
      <c r="CN276" s="2">
        <f t="shared" si="177"/>
        <v>95.2</v>
      </c>
      <c r="CO276" s="1">
        <f t="shared" si="178"/>
        <v>3</v>
      </c>
      <c r="CP276" s="1">
        <f t="shared" si="179"/>
        <v>2.5</v>
      </c>
      <c r="CQ276" s="1">
        <f t="shared" si="180"/>
        <v>1.6</v>
      </c>
      <c r="CR276" s="1">
        <f t="shared" si="181"/>
        <v>1.6</v>
      </c>
      <c r="CS276" s="1">
        <f t="shared" si="182"/>
        <v>6.1</v>
      </c>
      <c r="CT276" s="1">
        <f t="shared" si="183"/>
        <v>7.1</v>
      </c>
      <c r="CU276" s="1">
        <f t="shared" si="184"/>
        <v>7.5</v>
      </c>
      <c r="CV276" s="2">
        <f t="shared" si="185"/>
        <v>60.9</v>
      </c>
      <c r="CW276" s="18">
        <f t="shared" si="186"/>
        <v>0</v>
      </c>
      <c r="CX276" s="1">
        <f>ROUND(PPTest!K276,1)</f>
        <v>0</v>
      </c>
      <c r="CY276" s="17">
        <f t="shared" si="187"/>
        <v>1.39</v>
      </c>
      <c r="CZ276" s="17">
        <f t="shared" si="188"/>
        <v>4.29</v>
      </c>
      <c r="DA276" s="20">
        <f t="shared" si="189"/>
        <v>0.76700000000000002</v>
      </c>
      <c r="DB276" s="20">
        <f t="shared" si="190"/>
        <v>0.49199999999999999</v>
      </c>
      <c r="DC276" s="16">
        <f t="shared" si="191"/>
        <v>12.31</v>
      </c>
      <c r="DW276" s="1">
        <v>5.9</v>
      </c>
      <c r="DX276" s="1">
        <v>10.3</v>
      </c>
      <c r="DY276" s="1">
        <v>3.5</v>
      </c>
    </row>
    <row r="277" spans="1:129" x14ac:dyDescent="0.2">
      <c r="A277" s="40">
        <v>34970</v>
      </c>
      <c r="B277" s="3">
        <v>271</v>
      </c>
      <c r="C277" s="3">
        <v>8.66</v>
      </c>
      <c r="D277" s="3">
        <v>16.48</v>
      </c>
      <c r="E277" s="3">
        <v>6.2270000000000003</v>
      </c>
      <c r="F277" s="3">
        <v>95.1</v>
      </c>
      <c r="G277" s="3">
        <v>6.1390000000000002</v>
      </c>
      <c r="H277" s="3">
        <v>6.0229999999999997</v>
      </c>
      <c r="I277" s="3">
        <v>6.641</v>
      </c>
      <c r="J277" s="3">
        <v>6.47</v>
      </c>
      <c r="K277" s="3">
        <v>6.5880000000000001</v>
      </c>
      <c r="L277" s="3">
        <v>7.54</v>
      </c>
      <c r="M277" s="3">
        <v>7.39</v>
      </c>
      <c r="N277" s="3">
        <v>7.51</v>
      </c>
      <c r="O277" s="3">
        <v>1E-3</v>
      </c>
      <c r="P277" s="16">
        <v>1.6058333333333334</v>
      </c>
      <c r="Q277" s="3">
        <v>7</v>
      </c>
      <c r="R277" s="3">
        <v>10.41</v>
      </c>
      <c r="S277" s="3">
        <v>1526</v>
      </c>
      <c r="T277" s="3">
        <v>105.7</v>
      </c>
      <c r="U277" s="3">
        <v>2307</v>
      </c>
      <c r="V277" s="3">
        <v>11.29</v>
      </c>
      <c r="W277" s="3">
        <v>13.39</v>
      </c>
      <c r="X277" s="3">
        <v>12.63</v>
      </c>
      <c r="Y277" s="3">
        <v>15.34</v>
      </c>
      <c r="Z277" s="3">
        <v>14.26</v>
      </c>
      <c r="AA277" s="3">
        <v>9.42</v>
      </c>
      <c r="AB277" s="3">
        <v>7.57</v>
      </c>
      <c r="AC277" s="3">
        <v>7.69</v>
      </c>
      <c r="AD277" s="16">
        <v>4.4608333333333334</v>
      </c>
      <c r="AE277" s="3">
        <v>1140</v>
      </c>
      <c r="AF277" s="3">
        <v>3.1349999999999998</v>
      </c>
      <c r="AG277" s="3">
        <v>1844</v>
      </c>
      <c r="AH277" s="3">
        <v>63.45</v>
      </c>
      <c r="AI277" s="3">
        <v>1437</v>
      </c>
      <c r="AJ277" s="3">
        <v>2.5470000000000002</v>
      </c>
      <c r="AK277" s="3">
        <v>1.371</v>
      </c>
      <c r="AL277" s="3">
        <v>0.34699999999999998</v>
      </c>
      <c r="AM277" s="3">
        <v>1.6160000000000001</v>
      </c>
      <c r="AN277" s="3">
        <v>2.0680000000000001</v>
      </c>
      <c r="AO277" s="3">
        <v>6.7679999999999998</v>
      </c>
      <c r="AP277" s="3">
        <v>7.27</v>
      </c>
      <c r="AQ277" s="3">
        <v>7.38</v>
      </c>
      <c r="AR277" s="3">
        <v>0.04</v>
      </c>
      <c r="AS277" s="3">
        <v>0.128</v>
      </c>
      <c r="AT277" s="3">
        <v>7.5999999999999998E-2</v>
      </c>
      <c r="AU277" s="3">
        <v>3.5999999999999997E-2</v>
      </c>
      <c r="AV277" s="3">
        <v>0.17</v>
      </c>
      <c r="AW277" s="3">
        <v>0.379</v>
      </c>
      <c r="AX277" s="3">
        <v>0.126</v>
      </c>
      <c r="AY277" s="3">
        <v>4.3999999999999997E-2</v>
      </c>
      <c r="AZ277" s="3">
        <v>6.6029999999999998</v>
      </c>
      <c r="BA277" s="3"/>
      <c r="BB277" s="3">
        <v>12.3</v>
      </c>
      <c r="BC277" s="3">
        <v>2876</v>
      </c>
      <c r="BD277" s="3"/>
      <c r="BE277" s="3"/>
      <c r="BF277" s="3">
        <v>0</v>
      </c>
      <c r="BH277" s="16">
        <v>15.86</v>
      </c>
      <c r="BI277" s="16">
        <f t="shared" si="194"/>
        <v>32.037199999999999</v>
      </c>
      <c r="BJ277" s="17">
        <f t="shared" si="195"/>
        <v>8.66</v>
      </c>
      <c r="BK277" s="17">
        <f t="shared" si="196"/>
        <v>17.8</v>
      </c>
      <c r="BM277" s="1">
        <f t="shared" si="197"/>
        <v>98.7</v>
      </c>
      <c r="BN277" s="1">
        <f t="shared" si="198"/>
        <v>88.9</v>
      </c>
      <c r="BO277" s="1">
        <f t="shared" si="199"/>
        <v>59.6</v>
      </c>
      <c r="BP277" s="62">
        <f t="shared" si="201"/>
        <v>0.752</v>
      </c>
      <c r="BQ277" s="62">
        <f t="shared" si="200"/>
        <v>0.51</v>
      </c>
      <c r="BS277" s="3">
        <v>13.699999809265137</v>
      </c>
      <c r="BT277" s="8"/>
      <c r="BV277" s="8"/>
      <c r="BW277" s="16">
        <f t="shared" si="160"/>
        <v>8.66</v>
      </c>
      <c r="BX277" s="16">
        <f t="shared" si="161"/>
        <v>17.8</v>
      </c>
      <c r="BY277" s="3">
        <f t="shared" si="162"/>
        <v>6.2</v>
      </c>
      <c r="BZ277" s="3">
        <f t="shared" si="163"/>
        <v>6.1</v>
      </c>
      <c r="CA277" s="3">
        <f t="shared" si="164"/>
        <v>6</v>
      </c>
      <c r="CB277" s="3">
        <f t="shared" si="165"/>
        <v>6.6</v>
      </c>
      <c r="CC277" s="3">
        <f t="shared" si="166"/>
        <v>7.5</v>
      </c>
      <c r="CD277" s="3">
        <f t="shared" si="167"/>
        <v>7.4</v>
      </c>
      <c r="CE277" s="3">
        <f t="shared" si="168"/>
        <v>7.5</v>
      </c>
      <c r="CF277" s="23">
        <f t="shared" si="169"/>
        <v>88.9</v>
      </c>
      <c r="CG277" s="1">
        <f t="shared" si="170"/>
        <v>10.4</v>
      </c>
      <c r="CH277" s="1">
        <f t="shared" si="171"/>
        <v>11.3</v>
      </c>
      <c r="CI277" s="1">
        <f t="shared" si="172"/>
        <v>13.4</v>
      </c>
      <c r="CJ277" s="1">
        <f t="shared" si="173"/>
        <v>12.6</v>
      </c>
      <c r="CK277" s="1">
        <f t="shared" si="174"/>
        <v>9.4</v>
      </c>
      <c r="CL277" s="1">
        <f t="shared" si="175"/>
        <v>7.6</v>
      </c>
      <c r="CM277" s="1">
        <f t="shared" si="176"/>
        <v>7.7</v>
      </c>
      <c r="CN277" s="2">
        <f t="shared" si="177"/>
        <v>98.7</v>
      </c>
      <c r="CO277" s="1">
        <f t="shared" si="178"/>
        <v>3.1</v>
      </c>
      <c r="CP277" s="1">
        <f t="shared" si="179"/>
        <v>2.5</v>
      </c>
      <c r="CQ277" s="1">
        <f t="shared" si="180"/>
        <v>1.4</v>
      </c>
      <c r="CR277" s="1">
        <f t="shared" si="181"/>
        <v>0.3</v>
      </c>
      <c r="CS277" s="1">
        <f t="shared" si="182"/>
        <v>6.8</v>
      </c>
      <c r="CT277" s="1">
        <f t="shared" si="183"/>
        <v>7.3</v>
      </c>
      <c r="CU277" s="1">
        <f t="shared" si="184"/>
        <v>7.4</v>
      </c>
      <c r="CV277" s="2">
        <f t="shared" si="185"/>
        <v>59.6</v>
      </c>
      <c r="CW277" s="18">
        <f t="shared" si="186"/>
        <v>0</v>
      </c>
      <c r="CX277" s="1">
        <f>ROUND(PPTest!K277,1)</f>
        <v>7</v>
      </c>
      <c r="CY277" s="17">
        <f t="shared" si="187"/>
        <v>1.61</v>
      </c>
      <c r="CZ277" s="17">
        <f t="shared" si="188"/>
        <v>4.46</v>
      </c>
      <c r="DA277" s="20">
        <f t="shared" si="189"/>
        <v>0.752</v>
      </c>
      <c r="DB277" s="20">
        <f t="shared" si="190"/>
        <v>0.51</v>
      </c>
      <c r="DC277" s="16">
        <f t="shared" si="191"/>
        <v>12.3</v>
      </c>
      <c r="DW277" s="1">
        <v>5.2</v>
      </c>
      <c r="DX277" s="1">
        <v>10</v>
      </c>
      <c r="DY277" s="1">
        <v>-1.7</v>
      </c>
    </row>
    <row r="278" spans="1:129" x14ac:dyDescent="0.2">
      <c r="A278" s="40">
        <v>34971</v>
      </c>
      <c r="B278" s="3">
        <v>272</v>
      </c>
      <c r="C278" s="3">
        <v>12.76</v>
      </c>
      <c r="D278" s="3">
        <v>23.69</v>
      </c>
      <c r="E278" s="3">
        <v>5.6609999999999996</v>
      </c>
      <c r="F278" s="3">
        <v>95.8</v>
      </c>
      <c r="G278" s="3">
        <v>5.6420000000000003</v>
      </c>
      <c r="H278" s="3">
        <v>5.5750000000000002</v>
      </c>
      <c r="I278" s="3">
        <v>6.7149999999999999</v>
      </c>
      <c r="J278" s="3">
        <v>6.36</v>
      </c>
      <c r="K278" s="3">
        <v>6.4790000000000001</v>
      </c>
      <c r="L278" s="3">
        <v>7.58</v>
      </c>
      <c r="M278" s="3">
        <v>7.44</v>
      </c>
      <c r="N278" s="3">
        <v>7.48</v>
      </c>
      <c r="O278" s="3">
        <v>0</v>
      </c>
      <c r="P278" s="16">
        <v>1.2796666666666665</v>
      </c>
      <c r="Q278" s="3">
        <v>2</v>
      </c>
      <c r="R278" s="3">
        <v>10.82</v>
      </c>
      <c r="S278" s="3">
        <v>1526</v>
      </c>
      <c r="T278" s="3">
        <v>106.4</v>
      </c>
      <c r="U278" s="3">
        <v>513</v>
      </c>
      <c r="V278" s="3">
        <v>11.58</v>
      </c>
      <c r="W278" s="3">
        <v>13.83</v>
      </c>
      <c r="X278" s="3">
        <v>15.76</v>
      </c>
      <c r="Y278" s="3">
        <v>17.559999999999999</v>
      </c>
      <c r="Z278" s="3">
        <v>15.38</v>
      </c>
      <c r="AA278" s="3">
        <v>9.5399999999999991</v>
      </c>
      <c r="AB278" s="3">
        <v>7.63</v>
      </c>
      <c r="AC278" s="3">
        <v>7.68</v>
      </c>
      <c r="AD278" s="16">
        <v>3.6208333333333331</v>
      </c>
      <c r="AE278" s="3">
        <v>1236</v>
      </c>
      <c r="AF278" s="3">
        <v>3.4950000000000001</v>
      </c>
      <c r="AG278" s="3">
        <v>2352</v>
      </c>
      <c r="AH278" s="3">
        <v>58.25</v>
      </c>
      <c r="AI278" s="3">
        <v>1529</v>
      </c>
      <c r="AJ278" s="3">
        <v>2.7629999999999999</v>
      </c>
      <c r="AK278" s="3">
        <v>2.1139999999999999</v>
      </c>
      <c r="AL278" s="3">
        <v>2.069</v>
      </c>
      <c r="AM278" s="3">
        <v>2.3860000000000001</v>
      </c>
      <c r="AN278" s="3">
        <v>2.5019999999999998</v>
      </c>
      <c r="AO278" s="3">
        <v>6.3010000000000002</v>
      </c>
      <c r="AP278" s="3">
        <v>7.28</v>
      </c>
      <c r="AQ278" s="3">
        <v>7.38</v>
      </c>
      <c r="AR278" s="3">
        <v>4.9000000000000002E-2</v>
      </c>
      <c r="AS278" s="3">
        <v>0.16900000000000001</v>
      </c>
      <c r="AT278" s="3">
        <v>0.107</v>
      </c>
      <c r="AU278" s="3">
        <v>6.3E-2</v>
      </c>
      <c r="AV278" s="3">
        <v>0.16</v>
      </c>
      <c r="AW278" s="3">
        <v>0.31900000000000001</v>
      </c>
      <c r="AX278" s="3">
        <v>8.7999999999999995E-2</v>
      </c>
      <c r="AY278" s="3">
        <v>4.3999999999999997E-2</v>
      </c>
      <c r="AZ278" s="3">
        <v>6.4649999999999999</v>
      </c>
      <c r="BA278" s="3"/>
      <c r="BB278" s="3">
        <v>12.3</v>
      </c>
      <c r="BC278" s="3">
        <v>2876</v>
      </c>
      <c r="BD278" s="3"/>
      <c r="BE278" s="3"/>
      <c r="BF278" s="3">
        <v>0</v>
      </c>
      <c r="BH278" s="16">
        <v>15.61</v>
      </c>
      <c r="BI278" s="16">
        <f t="shared" si="194"/>
        <v>31.5322</v>
      </c>
      <c r="BJ278" s="17">
        <f t="shared" si="195"/>
        <v>12.76</v>
      </c>
      <c r="BK278" s="17">
        <f t="shared" si="196"/>
        <v>25.59</v>
      </c>
      <c r="BM278" s="1">
        <f t="shared" si="197"/>
        <v>99.3</v>
      </c>
      <c r="BN278" s="1">
        <f t="shared" si="198"/>
        <v>89.5</v>
      </c>
      <c r="BO278" s="1">
        <f t="shared" si="199"/>
        <v>54.8</v>
      </c>
      <c r="BP278" s="62">
        <f t="shared" si="201"/>
        <v>0.71099999999999997</v>
      </c>
      <c r="BQ278" s="62">
        <f t="shared" si="200"/>
        <v>0.58599999999999997</v>
      </c>
      <c r="BS278" s="3">
        <v>3.5999999046325684</v>
      </c>
      <c r="BT278" s="8"/>
      <c r="BV278" s="8"/>
      <c r="BW278" s="16">
        <f t="shared" si="160"/>
        <v>12.76</v>
      </c>
      <c r="BX278" s="16">
        <f t="shared" si="161"/>
        <v>25.59</v>
      </c>
      <c r="BY278" s="3">
        <f t="shared" si="162"/>
        <v>5.7</v>
      </c>
      <c r="BZ278" s="3">
        <f t="shared" si="163"/>
        <v>5.6</v>
      </c>
      <c r="CA278" s="3">
        <f t="shared" si="164"/>
        <v>5.6</v>
      </c>
      <c r="CB278" s="3">
        <f t="shared" si="165"/>
        <v>6.7</v>
      </c>
      <c r="CC278" s="3">
        <f t="shared" si="166"/>
        <v>7.6</v>
      </c>
      <c r="CD278" s="3">
        <f t="shared" si="167"/>
        <v>7.4</v>
      </c>
      <c r="CE278" s="3">
        <f t="shared" si="168"/>
        <v>7.5</v>
      </c>
      <c r="CF278" s="23">
        <f t="shared" si="169"/>
        <v>89.5</v>
      </c>
      <c r="CG278" s="1">
        <f t="shared" si="170"/>
        <v>10.8</v>
      </c>
      <c r="CH278" s="1">
        <f t="shared" si="171"/>
        <v>11.6</v>
      </c>
      <c r="CI278" s="1">
        <f t="shared" si="172"/>
        <v>13.8</v>
      </c>
      <c r="CJ278" s="1">
        <f t="shared" si="173"/>
        <v>15.8</v>
      </c>
      <c r="CK278" s="1">
        <f t="shared" si="174"/>
        <v>9.5</v>
      </c>
      <c r="CL278" s="1">
        <f t="shared" si="175"/>
        <v>7.6</v>
      </c>
      <c r="CM278" s="1">
        <f t="shared" si="176"/>
        <v>7.7</v>
      </c>
      <c r="CN278" s="2">
        <f t="shared" si="177"/>
        <v>99.3</v>
      </c>
      <c r="CO278" s="1">
        <f t="shared" si="178"/>
        <v>3.5</v>
      </c>
      <c r="CP278" s="1">
        <f t="shared" si="179"/>
        <v>2.8</v>
      </c>
      <c r="CQ278" s="1">
        <f t="shared" si="180"/>
        <v>2.1</v>
      </c>
      <c r="CR278" s="1">
        <f t="shared" si="181"/>
        <v>2.1</v>
      </c>
      <c r="CS278" s="1">
        <f t="shared" si="182"/>
        <v>6.3</v>
      </c>
      <c r="CT278" s="1">
        <f t="shared" si="183"/>
        <v>7.3</v>
      </c>
      <c r="CU278" s="1">
        <f t="shared" si="184"/>
        <v>7.4</v>
      </c>
      <c r="CV278" s="2">
        <f t="shared" si="185"/>
        <v>54.8</v>
      </c>
      <c r="CW278" s="18">
        <f t="shared" si="186"/>
        <v>0</v>
      </c>
      <c r="CX278" s="1">
        <f>ROUND(PPTest!K278,1)</f>
        <v>2</v>
      </c>
      <c r="CY278" s="17">
        <f t="shared" si="187"/>
        <v>1.28</v>
      </c>
      <c r="CZ278" s="17">
        <f t="shared" si="188"/>
        <v>3.62</v>
      </c>
      <c r="DA278" s="20">
        <f t="shared" si="189"/>
        <v>0.71099999999999997</v>
      </c>
      <c r="DB278" s="20">
        <f t="shared" si="190"/>
        <v>0.58599999999999997</v>
      </c>
      <c r="DC278" s="16">
        <f t="shared" si="191"/>
        <v>12.3</v>
      </c>
      <c r="DW278" s="1">
        <v>4.5</v>
      </c>
      <c r="DX278" s="1">
        <v>12.1</v>
      </c>
      <c r="DY278" s="1">
        <v>-2.7</v>
      </c>
    </row>
    <row r="279" spans="1:129" x14ac:dyDescent="0.2">
      <c r="A279" s="40">
        <v>34972</v>
      </c>
      <c r="B279" s="3">
        <v>273</v>
      </c>
      <c r="C279" s="3">
        <v>3.931</v>
      </c>
      <c r="D279" s="3">
        <v>7.62</v>
      </c>
      <c r="E279" s="3">
        <v>3.0979999999999999</v>
      </c>
      <c r="F279" s="3">
        <v>98.4</v>
      </c>
      <c r="G279" s="3">
        <v>2.9460000000000002</v>
      </c>
      <c r="H279" s="3">
        <v>2.8260000000000001</v>
      </c>
      <c r="I279" s="3">
        <v>3.5230000000000001</v>
      </c>
      <c r="J279" s="3">
        <v>2.7570000000000001</v>
      </c>
      <c r="K279" s="3">
        <v>2.8820000000000001</v>
      </c>
      <c r="L279" s="3">
        <v>6.1589999999999998</v>
      </c>
      <c r="M279" s="3">
        <v>7.25</v>
      </c>
      <c r="N279" s="3">
        <v>7.42</v>
      </c>
      <c r="O279" s="3">
        <v>0</v>
      </c>
      <c r="P279" s="16">
        <v>2.2091666666666665</v>
      </c>
      <c r="Q279" s="3">
        <v>3</v>
      </c>
      <c r="R279" s="3">
        <v>7.57</v>
      </c>
      <c r="S279" s="3">
        <v>1308</v>
      </c>
      <c r="T279" s="3">
        <v>106.9</v>
      </c>
      <c r="U279" s="3">
        <v>2357</v>
      </c>
      <c r="V279" s="3">
        <v>8.2100000000000009</v>
      </c>
      <c r="W279" s="3">
        <v>8.94</v>
      </c>
      <c r="X279" s="3">
        <v>9.8000000000000007</v>
      </c>
      <c r="Y279" s="3">
        <v>9.2899999999999991</v>
      </c>
      <c r="Z279" s="3">
        <v>9.44</v>
      </c>
      <c r="AA279" s="3">
        <v>7.59</v>
      </c>
      <c r="AB279" s="3">
        <v>7.55</v>
      </c>
      <c r="AC279" s="3">
        <v>7.61</v>
      </c>
      <c r="AD279" s="16">
        <v>5.9941666666666658</v>
      </c>
      <c r="AE279" s="3">
        <v>1351</v>
      </c>
      <c r="AF279" s="3">
        <v>-0.34</v>
      </c>
      <c r="AG279" s="3">
        <v>0</v>
      </c>
      <c r="AH279" s="3">
        <v>73.2</v>
      </c>
      <c r="AI279" s="3">
        <v>1311</v>
      </c>
      <c r="AJ279" s="3">
        <v>-0.66300000000000003</v>
      </c>
      <c r="AK279" s="3">
        <v>-0.88500000000000001</v>
      </c>
      <c r="AL279" s="3">
        <v>-0.17100000000000001</v>
      </c>
      <c r="AM279" s="3">
        <v>-0.39600000000000002</v>
      </c>
      <c r="AN279" s="3">
        <v>-0.626</v>
      </c>
      <c r="AO279" s="3">
        <v>4.5369999999999999</v>
      </c>
      <c r="AP279" s="3">
        <v>6.7990000000000004</v>
      </c>
      <c r="AQ279" s="3">
        <v>7.32</v>
      </c>
      <c r="AR279" s="3">
        <v>7.0000000000000001E-3</v>
      </c>
      <c r="AS279" s="3">
        <v>2.1000000000000001E-2</v>
      </c>
      <c r="AT279" s="3">
        <v>1.7000000000000001E-2</v>
      </c>
      <c r="AU279" s="3">
        <v>3.6999999999999998E-2</v>
      </c>
      <c r="AV279" s="3">
        <v>0.222</v>
      </c>
      <c r="AW279" s="3">
        <v>0.56999999999999995</v>
      </c>
      <c r="AX279" s="3">
        <v>0.11</v>
      </c>
      <c r="AY279" s="3">
        <v>1.6E-2</v>
      </c>
      <c r="AZ279" s="3">
        <v>3.0369999999999999</v>
      </c>
      <c r="BA279" s="3"/>
      <c r="BB279" s="3">
        <v>12.28</v>
      </c>
      <c r="BC279" s="3">
        <v>2876</v>
      </c>
      <c r="BD279" s="3"/>
      <c r="BE279" s="3"/>
      <c r="BF279" s="3">
        <v>0</v>
      </c>
      <c r="BH279" s="16">
        <v>15.36</v>
      </c>
      <c r="BI279" s="16">
        <f t="shared" si="194"/>
        <v>31.027200000000001</v>
      </c>
      <c r="BJ279" s="17">
        <f t="shared" si="195"/>
        <v>3.93</v>
      </c>
      <c r="BK279" s="17">
        <f t="shared" si="196"/>
        <v>8.23</v>
      </c>
      <c r="BM279" s="1">
        <f t="shared" si="197"/>
        <v>99.8</v>
      </c>
      <c r="BN279" s="1">
        <f t="shared" si="198"/>
        <v>91.9</v>
      </c>
      <c r="BO279" s="1">
        <f t="shared" si="199"/>
        <v>68.599999999999994</v>
      </c>
      <c r="BP279" s="62">
        <f t="shared" si="201"/>
        <v>0.71399999999999997</v>
      </c>
      <c r="BQ279" s="62">
        <f t="shared" si="200"/>
        <v>0.32700000000000001</v>
      </c>
      <c r="BS279" s="3">
        <v>6.3000001907348633</v>
      </c>
      <c r="BT279" s="8"/>
      <c r="BV279" s="8"/>
      <c r="BW279" s="16">
        <f t="shared" si="160"/>
        <v>3.93</v>
      </c>
      <c r="BX279" s="16">
        <f t="shared" si="161"/>
        <v>8.23</v>
      </c>
      <c r="BY279" s="3">
        <f t="shared" si="162"/>
        <v>3.1</v>
      </c>
      <c r="BZ279" s="3">
        <f t="shared" si="163"/>
        <v>2.9</v>
      </c>
      <c r="CA279" s="3">
        <f t="shared" si="164"/>
        <v>2.8</v>
      </c>
      <c r="CB279" s="3">
        <f t="shared" si="165"/>
        <v>3.5</v>
      </c>
      <c r="CC279" s="3">
        <f t="shared" si="166"/>
        <v>6.2</v>
      </c>
      <c r="CD279" s="3">
        <f t="shared" si="167"/>
        <v>7.3</v>
      </c>
      <c r="CE279" s="3">
        <f t="shared" si="168"/>
        <v>7.4</v>
      </c>
      <c r="CF279" s="23">
        <f t="shared" si="169"/>
        <v>91.9</v>
      </c>
      <c r="CG279" s="1">
        <f t="shared" si="170"/>
        <v>7.6</v>
      </c>
      <c r="CH279" s="1">
        <f t="shared" si="171"/>
        <v>8.1999999999999993</v>
      </c>
      <c r="CI279" s="1">
        <f t="shared" si="172"/>
        <v>8.9</v>
      </c>
      <c r="CJ279" s="1">
        <f t="shared" si="173"/>
        <v>9.8000000000000007</v>
      </c>
      <c r="CK279" s="1">
        <f t="shared" si="174"/>
        <v>7.6</v>
      </c>
      <c r="CL279" s="1">
        <f t="shared" si="175"/>
        <v>7.6</v>
      </c>
      <c r="CM279" s="1">
        <f t="shared" si="176"/>
        <v>7.6</v>
      </c>
      <c r="CN279" s="2">
        <f t="shared" si="177"/>
        <v>99.8</v>
      </c>
      <c r="CO279" s="1">
        <f t="shared" si="178"/>
        <v>-0.3</v>
      </c>
      <c r="CP279" s="1">
        <f t="shared" si="179"/>
        <v>-0.7</v>
      </c>
      <c r="CQ279" s="1">
        <f t="shared" si="180"/>
        <v>-0.9</v>
      </c>
      <c r="CR279" s="1">
        <f t="shared" si="181"/>
        <v>-0.2</v>
      </c>
      <c r="CS279" s="1">
        <f t="shared" si="182"/>
        <v>4.5</v>
      </c>
      <c r="CT279" s="1">
        <f t="shared" si="183"/>
        <v>6.8</v>
      </c>
      <c r="CU279" s="1">
        <f t="shared" si="184"/>
        <v>7.3</v>
      </c>
      <c r="CV279" s="2">
        <f t="shared" si="185"/>
        <v>68.599999999999994</v>
      </c>
      <c r="CW279" s="18">
        <f t="shared" si="186"/>
        <v>0</v>
      </c>
      <c r="CX279" s="1">
        <f>ROUND(PPTest!K279,1)</f>
        <v>3</v>
      </c>
      <c r="CY279" s="17">
        <f t="shared" si="187"/>
        <v>2.21</v>
      </c>
      <c r="CZ279" s="17">
        <f t="shared" si="188"/>
        <v>5.99</v>
      </c>
      <c r="DA279" s="20">
        <f t="shared" si="189"/>
        <v>0.71399999999999997</v>
      </c>
      <c r="DB279" s="20">
        <f t="shared" si="190"/>
        <v>0.32700000000000001</v>
      </c>
      <c r="DC279" s="16">
        <f t="shared" si="191"/>
        <v>12.28</v>
      </c>
      <c r="DW279" s="1">
        <v>3</v>
      </c>
      <c r="DX279" s="1">
        <v>10</v>
      </c>
      <c r="DY279" s="1">
        <v>-1.2</v>
      </c>
    </row>
    <row r="280" spans="1:129" x14ac:dyDescent="0.2">
      <c r="A280" s="40">
        <v>34973</v>
      </c>
      <c r="B280" s="3">
        <v>274</v>
      </c>
      <c r="C280" s="3">
        <v>11.44</v>
      </c>
      <c r="D280" s="3">
        <v>23.18</v>
      </c>
      <c r="E280" s="3">
        <v>-0.154</v>
      </c>
      <c r="F280" s="3">
        <v>98.4</v>
      </c>
      <c r="G280" s="3">
        <v>1.4999999999999999E-2</v>
      </c>
      <c r="H280" s="3">
        <v>-0.65400000000000003</v>
      </c>
      <c r="I280" s="3">
        <v>0.59899999999999998</v>
      </c>
      <c r="J280" s="3">
        <v>0.34100000000000003</v>
      </c>
      <c r="K280" s="3">
        <v>0.56100000000000005</v>
      </c>
      <c r="L280" s="3">
        <v>4.319</v>
      </c>
      <c r="M280" s="3">
        <v>6.266</v>
      </c>
      <c r="N280" s="3">
        <v>7.32</v>
      </c>
      <c r="O280" s="3">
        <v>0</v>
      </c>
      <c r="P280" s="16">
        <v>1.341</v>
      </c>
      <c r="Q280" s="3">
        <v>14</v>
      </c>
      <c r="R280" s="3">
        <v>3.7130000000000001</v>
      </c>
      <c r="S280" s="3">
        <v>1431</v>
      </c>
      <c r="T280" s="3">
        <v>107.1</v>
      </c>
      <c r="U280" s="3">
        <v>152</v>
      </c>
      <c r="V280" s="3">
        <v>5.0830000000000002</v>
      </c>
      <c r="W280" s="3">
        <v>7.33</v>
      </c>
      <c r="X280" s="3">
        <v>10.52</v>
      </c>
      <c r="Y280" s="3">
        <v>7.22</v>
      </c>
      <c r="Z280" s="3">
        <v>6.6749999999999998</v>
      </c>
      <c r="AA280" s="3">
        <v>5.61</v>
      </c>
      <c r="AB280" s="3">
        <v>6.8209999999999997</v>
      </c>
      <c r="AC280" s="3">
        <v>7.54</v>
      </c>
      <c r="AD280" s="16">
        <v>3.6608333333333336</v>
      </c>
      <c r="AE280" s="3">
        <v>939</v>
      </c>
      <c r="AF280" s="3">
        <v>-3.82</v>
      </c>
      <c r="AG280" s="3">
        <v>638</v>
      </c>
      <c r="AH280" s="3">
        <v>70.5</v>
      </c>
      <c r="AI280" s="3">
        <v>1241</v>
      </c>
      <c r="AJ280" s="3">
        <v>-5.0049999999999999</v>
      </c>
      <c r="AK280" s="3">
        <v>-6.5670000000000002</v>
      </c>
      <c r="AL280" s="3">
        <v>-5.4080000000000004</v>
      </c>
      <c r="AM280" s="3">
        <v>-5.9059999999999997</v>
      </c>
      <c r="AN280" s="3">
        <v>-5.08</v>
      </c>
      <c r="AO280" s="3">
        <v>3.49</v>
      </c>
      <c r="AP280" s="3">
        <v>5.9240000000000004</v>
      </c>
      <c r="AQ280" s="3">
        <v>7.17</v>
      </c>
      <c r="AR280" s="3">
        <v>1.7000000000000001E-2</v>
      </c>
      <c r="AS280" s="3">
        <v>0.22</v>
      </c>
      <c r="AT280" s="3">
        <v>0.14899999999999999</v>
      </c>
      <c r="AU280" s="3">
        <v>9.9000000000000005E-2</v>
      </c>
      <c r="AV280" s="3">
        <v>0.222</v>
      </c>
      <c r="AW280" s="3">
        <v>0.23699999999999999</v>
      </c>
      <c r="AX280" s="3">
        <v>4.4999999999999998E-2</v>
      </c>
      <c r="AY280" s="3">
        <v>0.01</v>
      </c>
      <c r="AZ280" s="3">
        <v>-0.51100000000000001</v>
      </c>
      <c r="BA280" s="3"/>
      <c r="BB280" s="3">
        <v>12.27</v>
      </c>
      <c r="BC280" s="3">
        <v>2876</v>
      </c>
      <c r="BD280" s="3"/>
      <c r="BE280" s="3"/>
      <c r="BF280" s="3">
        <v>0</v>
      </c>
      <c r="BH280" s="16">
        <v>15.12</v>
      </c>
      <c r="BI280" s="16">
        <f t="shared" si="194"/>
        <v>30.542399999999997</v>
      </c>
      <c r="BJ280" s="17">
        <f t="shared" si="195"/>
        <v>11.44</v>
      </c>
      <c r="BK280" s="17">
        <f t="shared" si="196"/>
        <v>25.03</v>
      </c>
      <c r="BM280" s="1">
        <f t="shared" si="197"/>
        <v>100</v>
      </c>
      <c r="BN280" s="1">
        <f t="shared" si="198"/>
        <v>91.9</v>
      </c>
      <c r="BO280" s="1">
        <f t="shared" si="199"/>
        <v>66.099999999999994</v>
      </c>
      <c r="BP280" s="62">
        <f t="shared" si="201"/>
        <v>0.52700000000000002</v>
      </c>
      <c r="BQ280" s="62">
        <f t="shared" si="200"/>
        <v>0.27</v>
      </c>
      <c r="BS280" s="3">
        <v>9.1000003814697266</v>
      </c>
      <c r="BT280" s="8"/>
      <c r="BV280" s="8"/>
      <c r="BW280" s="16">
        <f t="shared" si="160"/>
        <v>11.44</v>
      </c>
      <c r="BX280" s="16">
        <f t="shared" si="161"/>
        <v>25.03</v>
      </c>
      <c r="BY280" s="3">
        <f t="shared" si="162"/>
        <v>-0.2</v>
      </c>
      <c r="BZ280" s="3">
        <f t="shared" si="163"/>
        <v>0</v>
      </c>
      <c r="CA280" s="3">
        <f t="shared" si="164"/>
        <v>-0.7</v>
      </c>
      <c r="CB280" s="3">
        <f t="shared" si="165"/>
        <v>0.6</v>
      </c>
      <c r="CC280" s="3">
        <f t="shared" si="166"/>
        <v>4.3</v>
      </c>
      <c r="CD280" s="3">
        <f t="shared" si="167"/>
        <v>6.3</v>
      </c>
      <c r="CE280" s="3">
        <f t="shared" si="168"/>
        <v>7.3</v>
      </c>
      <c r="CF280" s="23">
        <f t="shared" si="169"/>
        <v>91.9</v>
      </c>
      <c r="CG280" s="1">
        <f t="shared" si="170"/>
        <v>3.7</v>
      </c>
      <c r="CH280" s="1">
        <f t="shared" si="171"/>
        <v>5.0999999999999996</v>
      </c>
      <c r="CI280" s="1">
        <f t="shared" si="172"/>
        <v>7.3</v>
      </c>
      <c r="CJ280" s="1">
        <f t="shared" si="173"/>
        <v>10.5</v>
      </c>
      <c r="CK280" s="1">
        <f t="shared" si="174"/>
        <v>5.6</v>
      </c>
      <c r="CL280" s="1">
        <f t="shared" si="175"/>
        <v>6.8</v>
      </c>
      <c r="CM280" s="1">
        <f t="shared" si="176"/>
        <v>7.5</v>
      </c>
      <c r="CN280" s="2">
        <f t="shared" si="177"/>
        <v>100</v>
      </c>
      <c r="CO280" s="1">
        <f t="shared" si="178"/>
        <v>-3.8</v>
      </c>
      <c r="CP280" s="1">
        <f t="shared" si="179"/>
        <v>-5</v>
      </c>
      <c r="CQ280" s="1">
        <f t="shared" si="180"/>
        <v>-6.6</v>
      </c>
      <c r="CR280" s="1">
        <f t="shared" si="181"/>
        <v>-5.4</v>
      </c>
      <c r="CS280" s="1">
        <f t="shared" si="182"/>
        <v>3.5</v>
      </c>
      <c r="CT280" s="1">
        <f t="shared" si="183"/>
        <v>5.9</v>
      </c>
      <c r="CU280" s="1">
        <f t="shared" si="184"/>
        <v>7.2</v>
      </c>
      <c r="CV280" s="2">
        <f t="shared" si="185"/>
        <v>66.099999999999994</v>
      </c>
      <c r="CW280" s="18">
        <f t="shared" si="186"/>
        <v>0</v>
      </c>
      <c r="CX280" s="1">
        <f>ROUND(PPTest!K280,1)</f>
        <v>14</v>
      </c>
      <c r="CY280" s="17">
        <f t="shared" si="187"/>
        <v>1.34</v>
      </c>
      <c r="CZ280" s="17">
        <f t="shared" si="188"/>
        <v>3.66</v>
      </c>
      <c r="DA280" s="20">
        <f t="shared" si="189"/>
        <v>0.52700000000000002</v>
      </c>
      <c r="DB280" s="20">
        <f t="shared" si="190"/>
        <v>0.27</v>
      </c>
      <c r="DC280" s="16">
        <f t="shared" si="191"/>
        <v>12.27</v>
      </c>
      <c r="DW280" s="1">
        <v>1.1000000000000001</v>
      </c>
      <c r="DX280" s="1">
        <v>7.1</v>
      </c>
      <c r="DY280" s="1">
        <v>-3</v>
      </c>
    </row>
    <row r="281" spans="1:129" x14ac:dyDescent="0.2">
      <c r="A281" s="40">
        <v>34974</v>
      </c>
      <c r="B281" s="3">
        <v>275</v>
      </c>
      <c r="C281" s="3">
        <v>4.274</v>
      </c>
      <c r="D281" s="3">
        <v>8.26</v>
      </c>
      <c r="E281" s="3">
        <v>2.2810000000000001</v>
      </c>
      <c r="F281" s="3">
        <v>99.4</v>
      </c>
      <c r="G281" s="3">
        <v>2.202</v>
      </c>
      <c r="H281" s="3">
        <v>2.1339999999999999</v>
      </c>
      <c r="I281" s="3">
        <v>3.0489999999999999</v>
      </c>
      <c r="J281" s="3">
        <v>2.0329999999999999</v>
      </c>
      <c r="K281" s="3">
        <v>2.0619999999999998</v>
      </c>
      <c r="L281" s="3">
        <v>4.6070000000000002</v>
      </c>
      <c r="M281" s="3">
        <v>5.8380000000000001</v>
      </c>
      <c r="N281" s="3">
        <v>7.15</v>
      </c>
      <c r="O281" s="3">
        <v>0</v>
      </c>
      <c r="P281" s="16">
        <v>1.3723333333333332</v>
      </c>
      <c r="Q281" s="3">
        <v>1</v>
      </c>
      <c r="R281" s="3">
        <v>4.3019999999999996</v>
      </c>
      <c r="S281" s="3">
        <v>1150</v>
      </c>
      <c r="T281" s="3">
        <v>106.1</v>
      </c>
      <c r="U281" s="3">
        <v>2000</v>
      </c>
      <c r="V281" s="3">
        <v>5.3</v>
      </c>
      <c r="W281" s="3">
        <v>5.7110000000000003</v>
      </c>
      <c r="X281" s="3">
        <v>8.5500000000000007</v>
      </c>
      <c r="Y281" s="3">
        <v>5.9829999999999997</v>
      </c>
      <c r="Z281" s="3">
        <v>6.4459999999999997</v>
      </c>
      <c r="AA281" s="3">
        <v>5.5960000000000001</v>
      </c>
      <c r="AB281" s="3">
        <v>5.944</v>
      </c>
      <c r="AC281" s="3">
        <v>7.23</v>
      </c>
      <c r="AD281" s="16">
        <v>4.1408333333333331</v>
      </c>
      <c r="AE281" s="3">
        <v>1530</v>
      </c>
      <c r="AF281" s="3">
        <v>-0.65900000000000003</v>
      </c>
      <c r="AG281" s="3">
        <v>1</v>
      </c>
      <c r="AH281" s="3">
        <v>85.7</v>
      </c>
      <c r="AI281" s="3">
        <v>1152</v>
      </c>
      <c r="AJ281" s="3">
        <v>-0.878</v>
      </c>
      <c r="AK281" s="3">
        <v>-0.93600000000000005</v>
      </c>
      <c r="AL281" s="3">
        <v>-0.59</v>
      </c>
      <c r="AM281" s="3">
        <v>-1.0289999999999999</v>
      </c>
      <c r="AN281" s="3">
        <v>-0.82099999999999995</v>
      </c>
      <c r="AO281" s="3">
        <v>3.698</v>
      </c>
      <c r="AP281" s="3">
        <v>5.7370000000000001</v>
      </c>
      <c r="AQ281" s="3">
        <v>7.01</v>
      </c>
      <c r="AR281" s="3">
        <v>3.9E-2</v>
      </c>
      <c r="AS281" s="3">
        <v>0.105</v>
      </c>
      <c r="AT281" s="3">
        <v>9.5000000000000001E-2</v>
      </c>
      <c r="AU281" s="3">
        <v>9.6000000000000002E-2</v>
      </c>
      <c r="AV281" s="3">
        <v>0.159</v>
      </c>
      <c r="AW281" s="3">
        <v>0.315</v>
      </c>
      <c r="AX281" s="3">
        <v>0.155</v>
      </c>
      <c r="AY281" s="3">
        <v>3.6999999999999998E-2</v>
      </c>
      <c r="AZ281" s="3">
        <v>2.21</v>
      </c>
      <c r="BA281" s="3"/>
      <c r="BB281" s="3">
        <v>12.28</v>
      </c>
      <c r="BC281" s="3">
        <v>2876</v>
      </c>
      <c r="BD281" s="3"/>
      <c r="BE281" s="3"/>
      <c r="BF281" s="3">
        <v>0</v>
      </c>
      <c r="BH281" s="16">
        <v>14.87</v>
      </c>
      <c r="BI281" s="16">
        <f t="shared" si="194"/>
        <v>30.037399999999998</v>
      </c>
      <c r="BJ281" s="17">
        <f t="shared" si="195"/>
        <v>4.2699999999999996</v>
      </c>
      <c r="BK281" s="17">
        <f t="shared" si="196"/>
        <v>8.92</v>
      </c>
      <c r="BM281" s="1">
        <f t="shared" si="197"/>
        <v>99</v>
      </c>
      <c r="BN281" s="1">
        <f t="shared" si="198"/>
        <v>92.8</v>
      </c>
      <c r="BO281" s="1">
        <f t="shared" si="199"/>
        <v>80.2</v>
      </c>
      <c r="BP281" s="62">
        <f t="shared" si="201"/>
        <v>0.66600000000000004</v>
      </c>
      <c r="BQ281" s="62">
        <f t="shared" si="200"/>
        <v>0.16400000000000001</v>
      </c>
      <c r="BS281" s="3">
        <v>1</v>
      </c>
      <c r="BT281" s="8"/>
      <c r="BV281" s="8"/>
      <c r="BW281" s="16">
        <f t="shared" ref="BW281:BW344" si="202">BJ281</f>
        <v>4.2699999999999996</v>
      </c>
      <c r="BX281" s="16">
        <f t="shared" ref="BX281:BX344" si="203">BK281</f>
        <v>8.92</v>
      </c>
      <c r="BY281" s="3">
        <f t="shared" ref="BY281:BY344" si="204">ROUND(E281,1)</f>
        <v>2.2999999999999998</v>
      </c>
      <c r="BZ281" s="3">
        <f t="shared" ref="BZ281:BZ344" si="205">ROUND(G281,1)</f>
        <v>2.2000000000000002</v>
      </c>
      <c r="CA281" s="3">
        <f t="shared" ref="CA281:CA344" si="206">ROUND(H281,1)</f>
        <v>2.1</v>
      </c>
      <c r="CB281" s="3">
        <f t="shared" ref="CB281:CB344" si="207">ROUND(I281,1)</f>
        <v>3</v>
      </c>
      <c r="CC281" s="3">
        <f t="shared" ref="CC281:CC344" si="208">ROUND(L281,1)</f>
        <v>4.5999999999999996</v>
      </c>
      <c r="CD281" s="3">
        <f t="shared" ref="CD281:CD344" si="209">ROUND(M281,1)</f>
        <v>5.8</v>
      </c>
      <c r="CE281" s="3">
        <f t="shared" ref="CE281:CE344" si="210">ROUND(N281,1)</f>
        <v>7.2</v>
      </c>
      <c r="CF281" s="23">
        <f t="shared" ref="CF281:CF344" si="211">ROUND(BN281,1)</f>
        <v>92.8</v>
      </c>
      <c r="CG281" s="1">
        <f t="shared" ref="CG281:CG344" si="212">ROUND(R281,1)</f>
        <v>4.3</v>
      </c>
      <c r="CH281" s="1">
        <f t="shared" ref="CH281:CH344" si="213">ROUND(V281,1)</f>
        <v>5.3</v>
      </c>
      <c r="CI281" s="1">
        <f t="shared" ref="CI281:CI344" si="214">ROUND(W281,1)</f>
        <v>5.7</v>
      </c>
      <c r="CJ281" s="1">
        <f t="shared" ref="CJ281:CJ344" si="215">ROUND(X281,1)</f>
        <v>8.6</v>
      </c>
      <c r="CK281" s="1">
        <f t="shared" ref="CK281:CK344" si="216">ROUND(AA281,1)</f>
        <v>5.6</v>
      </c>
      <c r="CL281" s="1">
        <f t="shared" ref="CL281:CL344" si="217">ROUND(AB281,1)</f>
        <v>5.9</v>
      </c>
      <c r="CM281" s="1">
        <f t="shared" ref="CM281:CM344" si="218">ROUND(AC281,1)</f>
        <v>7.2</v>
      </c>
      <c r="CN281" s="2">
        <f t="shared" ref="CN281:CN344" si="219">ROUND(BM281,1)</f>
        <v>99</v>
      </c>
      <c r="CO281" s="1">
        <f t="shared" ref="CO281:CO344" si="220">ROUND(AF281,1)</f>
        <v>-0.7</v>
      </c>
      <c r="CP281" s="1">
        <f t="shared" ref="CP281:CP344" si="221">ROUND(AJ281,1)</f>
        <v>-0.9</v>
      </c>
      <c r="CQ281" s="1">
        <f t="shared" ref="CQ281:CQ344" si="222">ROUND(AK281,1)</f>
        <v>-0.9</v>
      </c>
      <c r="CR281" s="1">
        <f t="shared" ref="CR281:CR344" si="223">ROUND(AL281,1)</f>
        <v>-0.6</v>
      </c>
      <c r="CS281" s="1">
        <f t="shared" ref="CS281:CS344" si="224">ROUND(AO281,1)</f>
        <v>3.7</v>
      </c>
      <c r="CT281" s="1">
        <f t="shared" ref="CT281:CT344" si="225">ROUND(AP281,1)</f>
        <v>5.7</v>
      </c>
      <c r="CU281" s="1">
        <f t="shared" ref="CU281:CU344" si="226">ROUND(AQ281,1)</f>
        <v>7</v>
      </c>
      <c r="CV281" s="2">
        <f t="shared" ref="CV281:CV344" si="227">ROUND(BO281,1)</f>
        <v>80.2</v>
      </c>
      <c r="CW281" s="18">
        <f t="shared" ref="CW281:CW344" si="228">BF281</f>
        <v>0</v>
      </c>
      <c r="CX281" s="1">
        <f>ROUND(PPTest!K281,1)</f>
        <v>1</v>
      </c>
      <c r="CY281" s="17">
        <f t="shared" ref="CY281:CY344" si="229">ROUND(P281,2)</f>
        <v>1.37</v>
      </c>
      <c r="CZ281" s="17">
        <f t="shared" ref="CZ281:CZ344" si="230">ROUND(AD281,2)</f>
        <v>4.1399999999999997</v>
      </c>
      <c r="DA281" s="20">
        <f t="shared" ref="DA281:DA344" si="231">BP281</f>
        <v>0.66600000000000004</v>
      </c>
      <c r="DB281" s="20">
        <f t="shared" ref="DB281:DB344" si="232">BQ281</f>
        <v>0.16400000000000001</v>
      </c>
      <c r="DC281" s="16">
        <f t="shared" ref="DC281:DC344" si="233">BB281</f>
        <v>12.28</v>
      </c>
      <c r="DW281" s="1">
        <v>1.8</v>
      </c>
      <c r="DX281" s="1">
        <v>6.3</v>
      </c>
      <c r="DY281" s="1">
        <v>-1.7</v>
      </c>
    </row>
    <row r="282" spans="1:129" x14ac:dyDescent="0.2">
      <c r="A282" s="40">
        <v>34975</v>
      </c>
      <c r="B282" s="3">
        <v>276</v>
      </c>
      <c r="C282" s="3">
        <v>0.92100000000000004</v>
      </c>
      <c r="D282" s="3">
        <v>1.615</v>
      </c>
      <c r="E282" s="3">
        <v>1.107</v>
      </c>
      <c r="F282" s="3">
        <v>102</v>
      </c>
      <c r="G282" s="3">
        <v>0.88900000000000001</v>
      </c>
      <c r="H282" s="3">
        <v>0.745</v>
      </c>
      <c r="I282" s="3">
        <v>0.83099999999999996</v>
      </c>
      <c r="J282" s="3">
        <v>0.71</v>
      </c>
      <c r="K282" s="3">
        <v>0.752</v>
      </c>
      <c r="L282" s="3">
        <v>4.0949999999999998</v>
      </c>
      <c r="M282" s="3">
        <v>5.6680000000000001</v>
      </c>
      <c r="N282" s="3">
        <v>6.8209999999999997</v>
      </c>
      <c r="O282" s="3">
        <v>0</v>
      </c>
      <c r="P282" s="16">
        <v>1.7424999999999999</v>
      </c>
      <c r="Q282" s="3">
        <v>3</v>
      </c>
      <c r="R282" s="3">
        <v>3.84</v>
      </c>
      <c r="S282" s="3">
        <v>125</v>
      </c>
      <c r="T282" s="3">
        <v>106.7</v>
      </c>
      <c r="U282" s="3">
        <v>1338</v>
      </c>
      <c r="V282" s="3">
        <v>3.6059999999999999</v>
      </c>
      <c r="W282" s="3">
        <v>4.04</v>
      </c>
      <c r="X282" s="3">
        <v>3.4449999999999998</v>
      </c>
      <c r="Y282" s="3">
        <v>2.8580000000000001</v>
      </c>
      <c r="Z282" s="3">
        <v>2.9279999999999999</v>
      </c>
      <c r="AA282" s="3">
        <v>5.0709999999999997</v>
      </c>
      <c r="AB282" s="3">
        <v>5.9089999999999998</v>
      </c>
      <c r="AC282" s="3">
        <v>7.02</v>
      </c>
      <c r="AD282" s="16">
        <v>5.5008333333333335</v>
      </c>
      <c r="AE282" s="3">
        <v>546</v>
      </c>
      <c r="AF282" s="3">
        <v>-0.77700000000000002</v>
      </c>
      <c r="AG282" s="3">
        <v>2356</v>
      </c>
      <c r="AH282" s="3">
        <v>93.2</v>
      </c>
      <c r="AI282" s="3">
        <v>220</v>
      </c>
      <c r="AJ282" s="3">
        <v>-1.43</v>
      </c>
      <c r="AK282" s="3">
        <v>-1.454</v>
      </c>
      <c r="AL282" s="3">
        <v>-1.2030000000000001</v>
      </c>
      <c r="AM282" s="3">
        <v>-0.72899999999999998</v>
      </c>
      <c r="AN282" s="3">
        <v>-0.75800000000000001</v>
      </c>
      <c r="AO282" s="3">
        <v>3.5</v>
      </c>
      <c r="AP282" s="3">
        <v>5.2759999999999998</v>
      </c>
      <c r="AQ282" s="3">
        <v>6.6449999999999996</v>
      </c>
      <c r="AR282" s="3">
        <v>1.6E-2</v>
      </c>
      <c r="AS282" s="3">
        <v>1.2999999999999999E-2</v>
      </c>
      <c r="AT282" s="3">
        <v>1.7000000000000001E-2</v>
      </c>
      <c r="AU282" s="3">
        <v>4.4999999999999998E-2</v>
      </c>
      <c r="AV282" s="3">
        <v>0.33700000000000002</v>
      </c>
      <c r="AW282" s="3">
        <v>0.46700000000000003</v>
      </c>
      <c r="AX282" s="3">
        <v>7.8E-2</v>
      </c>
      <c r="AY282" s="3">
        <v>2.8000000000000001E-2</v>
      </c>
      <c r="AZ282" s="3">
        <v>0.748</v>
      </c>
      <c r="BA282" s="3"/>
      <c r="BB282" s="3">
        <v>12.26</v>
      </c>
      <c r="BC282" s="3">
        <v>2876</v>
      </c>
      <c r="BD282" s="3"/>
      <c r="BE282" s="3"/>
      <c r="BF282" s="3">
        <v>0</v>
      </c>
      <c r="BH282" s="16">
        <v>14.63</v>
      </c>
      <c r="BI282" s="16">
        <f t="shared" si="194"/>
        <v>29.552600000000002</v>
      </c>
      <c r="BJ282" s="17">
        <f t="shared" si="195"/>
        <v>0.92</v>
      </c>
      <c r="BK282" s="17">
        <f t="shared" si="196"/>
        <v>1.74</v>
      </c>
      <c r="BM282" s="1">
        <f t="shared" si="197"/>
        <v>99.6</v>
      </c>
      <c r="BN282" s="1">
        <f t="shared" si="198"/>
        <v>95.2</v>
      </c>
      <c r="BO282" s="1">
        <f t="shared" si="199"/>
        <v>87.1</v>
      </c>
      <c r="BP282" s="62">
        <f t="shared" si="201"/>
        <v>0.7</v>
      </c>
      <c r="BQ282" s="62">
        <f t="shared" si="200"/>
        <v>0.104</v>
      </c>
      <c r="BS282" s="3">
        <v>17</v>
      </c>
      <c r="BT282" s="8"/>
      <c r="BV282" s="8"/>
      <c r="BW282" s="16">
        <f t="shared" si="202"/>
        <v>0.92</v>
      </c>
      <c r="BX282" s="16">
        <f t="shared" si="203"/>
        <v>1.74</v>
      </c>
      <c r="BY282" s="3">
        <f t="shared" si="204"/>
        <v>1.1000000000000001</v>
      </c>
      <c r="BZ282" s="3">
        <f t="shared" si="205"/>
        <v>0.9</v>
      </c>
      <c r="CA282" s="3">
        <f t="shared" si="206"/>
        <v>0.7</v>
      </c>
      <c r="CB282" s="3">
        <f t="shared" si="207"/>
        <v>0.8</v>
      </c>
      <c r="CC282" s="3">
        <f t="shared" si="208"/>
        <v>4.0999999999999996</v>
      </c>
      <c r="CD282" s="3">
        <f t="shared" si="209"/>
        <v>5.7</v>
      </c>
      <c r="CE282" s="3">
        <f t="shared" si="210"/>
        <v>6.8</v>
      </c>
      <c r="CF282" s="23">
        <f t="shared" si="211"/>
        <v>95.2</v>
      </c>
      <c r="CG282" s="1">
        <f t="shared" si="212"/>
        <v>3.8</v>
      </c>
      <c r="CH282" s="1">
        <f t="shared" si="213"/>
        <v>3.6</v>
      </c>
      <c r="CI282" s="1">
        <f t="shared" si="214"/>
        <v>4</v>
      </c>
      <c r="CJ282" s="1">
        <f t="shared" si="215"/>
        <v>3.4</v>
      </c>
      <c r="CK282" s="1">
        <f t="shared" si="216"/>
        <v>5.0999999999999996</v>
      </c>
      <c r="CL282" s="1">
        <f t="shared" si="217"/>
        <v>5.9</v>
      </c>
      <c r="CM282" s="1">
        <f t="shared" si="218"/>
        <v>7</v>
      </c>
      <c r="CN282" s="2">
        <f t="shared" si="219"/>
        <v>99.6</v>
      </c>
      <c r="CO282" s="1">
        <f t="shared" si="220"/>
        <v>-0.8</v>
      </c>
      <c r="CP282" s="1">
        <f t="shared" si="221"/>
        <v>-1.4</v>
      </c>
      <c r="CQ282" s="1">
        <f t="shared" si="222"/>
        <v>-1.5</v>
      </c>
      <c r="CR282" s="1">
        <f t="shared" si="223"/>
        <v>-1.2</v>
      </c>
      <c r="CS282" s="1">
        <f t="shared" si="224"/>
        <v>3.5</v>
      </c>
      <c r="CT282" s="1">
        <f t="shared" si="225"/>
        <v>5.3</v>
      </c>
      <c r="CU282" s="1">
        <f t="shared" si="226"/>
        <v>6.6</v>
      </c>
      <c r="CV282" s="2">
        <f t="shared" si="227"/>
        <v>87.1</v>
      </c>
      <c r="CW282" s="18">
        <f t="shared" si="228"/>
        <v>0</v>
      </c>
      <c r="CX282" s="1">
        <f>ROUND(PPTest!K282,1)</f>
        <v>3</v>
      </c>
      <c r="CY282" s="17">
        <f t="shared" si="229"/>
        <v>1.74</v>
      </c>
      <c r="CZ282" s="17">
        <f t="shared" si="230"/>
        <v>5.5</v>
      </c>
      <c r="DA282" s="20">
        <f t="shared" si="231"/>
        <v>0.7</v>
      </c>
      <c r="DB282" s="20">
        <f t="shared" si="232"/>
        <v>0.104</v>
      </c>
      <c r="DC282" s="16">
        <f t="shared" si="233"/>
        <v>12.26</v>
      </c>
      <c r="DW282" s="1">
        <v>0.4</v>
      </c>
      <c r="DX282" s="1">
        <v>2.9</v>
      </c>
      <c r="DY282" s="1">
        <v>-1.3</v>
      </c>
    </row>
    <row r="283" spans="1:129" x14ac:dyDescent="0.2">
      <c r="A283" s="40">
        <v>34976</v>
      </c>
      <c r="B283" s="3">
        <v>277</v>
      </c>
      <c r="C283" s="3">
        <v>14.13</v>
      </c>
      <c r="D283" s="3">
        <v>24.64</v>
      </c>
      <c r="E283" s="3">
        <v>-0.66</v>
      </c>
      <c r="F283" s="3">
        <v>95.9</v>
      </c>
      <c r="G283" s="3">
        <v>-0.58699999999999997</v>
      </c>
      <c r="H283" s="3">
        <v>-1.177</v>
      </c>
      <c r="I283" s="3">
        <v>-0.23799999999999999</v>
      </c>
      <c r="J283" s="3">
        <v>0.375</v>
      </c>
      <c r="K283" s="3">
        <v>0.69099999999999995</v>
      </c>
      <c r="L283" s="3">
        <v>3.6419999999999999</v>
      </c>
      <c r="M283" s="3">
        <v>5.0780000000000003</v>
      </c>
      <c r="N283" s="3">
        <v>6.548</v>
      </c>
      <c r="O283" s="3">
        <v>0</v>
      </c>
      <c r="P283" s="16">
        <v>1.4005000000000001</v>
      </c>
      <c r="Q283" s="3">
        <v>11</v>
      </c>
      <c r="R283" s="3">
        <v>5.4279999999999999</v>
      </c>
      <c r="S283" s="3">
        <v>1603</v>
      </c>
      <c r="T283" s="3">
        <v>106.1</v>
      </c>
      <c r="U283" s="3">
        <v>224</v>
      </c>
      <c r="V283" s="3">
        <v>5.8789999999999996</v>
      </c>
      <c r="W283" s="3">
        <v>7.73</v>
      </c>
      <c r="X283" s="3">
        <v>8.36</v>
      </c>
      <c r="Y283" s="3">
        <v>11.01</v>
      </c>
      <c r="Z283" s="3">
        <v>10.43</v>
      </c>
      <c r="AA283" s="3">
        <v>5.48</v>
      </c>
      <c r="AB283" s="3">
        <v>5.2930000000000001</v>
      </c>
      <c r="AC283" s="3">
        <v>6.7590000000000003</v>
      </c>
      <c r="AD283" s="16">
        <v>3.4874999999999998</v>
      </c>
      <c r="AE283" s="3">
        <v>1238</v>
      </c>
      <c r="AF283" s="3">
        <v>-4.7779999999999996</v>
      </c>
      <c r="AG283" s="3">
        <v>649</v>
      </c>
      <c r="AH283" s="3">
        <v>61.73</v>
      </c>
      <c r="AI283" s="3">
        <v>1603</v>
      </c>
      <c r="AJ283" s="3">
        <v>-5.2690000000000001</v>
      </c>
      <c r="AK283" s="3">
        <v>-6.101</v>
      </c>
      <c r="AL283" s="3">
        <v>-5.2869999999999999</v>
      </c>
      <c r="AM283" s="3">
        <v>-5.88</v>
      </c>
      <c r="AN283" s="3">
        <v>-5.6989999999999998</v>
      </c>
      <c r="AO283" s="3">
        <v>2.681</v>
      </c>
      <c r="AP283" s="3">
        <v>4.9539999999999997</v>
      </c>
      <c r="AQ283" s="3">
        <v>6.3109999999999999</v>
      </c>
      <c r="AR283" s="3">
        <v>2.4E-2</v>
      </c>
      <c r="AS283" s="3">
        <v>0.28299999999999997</v>
      </c>
      <c r="AT283" s="3">
        <v>0.20100000000000001</v>
      </c>
      <c r="AU283" s="3">
        <v>7.5999999999999998E-2</v>
      </c>
      <c r="AV283" s="3">
        <v>0.11</v>
      </c>
      <c r="AW283" s="3">
        <v>0.17799999999999999</v>
      </c>
      <c r="AX283" s="3">
        <v>7.8E-2</v>
      </c>
      <c r="AY283" s="3">
        <v>4.9000000000000002E-2</v>
      </c>
      <c r="AZ283" s="3">
        <v>-0.80900000000000005</v>
      </c>
      <c r="BA283" s="3"/>
      <c r="BB283" s="3">
        <v>12.26</v>
      </c>
      <c r="BC283" s="3">
        <v>2876</v>
      </c>
      <c r="BD283" s="3"/>
      <c r="BE283" s="3"/>
      <c r="BF283" s="3">
        <v>0</v>
      </c>
      <c r="BH283" s="16">
        <v>14.38</v>
      </c>
      <c r="BI283" s="16">
        <f t="shared" si="194"/>
        <v>29.047600000000003</v>
      </c>
      <c r="BJ283" s="17">
        <f t="shared" si="195"/>
        <v>14.13</v>
      </c>
      <c r="BK283" s="17">
        <f t="shared" si="196"/>
        <v>26.61</v>
      </c>
      <c r="BM283" s="1">
        <f t="shared" si="197"/>
        <v>99</v>
      </c>
      <c r="BN283" s="1">
        <f t="shared" si="198"/>
        <v>89.6</v>
      </c>
      <c r="BO283" s="1">
        <f t="shared" si="199"/>
        <v>58</v>
      </c>
      <c r="BP283" s="62">
        <f t="shared" si="201"/>
        <v>0.52100000000000002</v>
      </c>
      <c r="BQ283" s="62">
        <f t="shared" si="200"/>
        <v>0.377</v>
      </c>
      <c r="BS283" s="3">
        <v>0.30000001192092896</v>
      </c>
      <c r="BT283" s="8"/>
      <c r="BV283" s="8"/>
      <c r="BW283" s="16">
        <f t="shared" si="202"/>
        <v>14.13</v>
      </c>
      <c r="BX283" s="16">
        <f t="shared" si="203"/>
        <v>26.61</v>
      </c>
      <c r="BY283" s="3">
        <f t="shared" si="204"/>
        <v>-0.7</v>
      </c>
      <c r="BZ283" s="3">
        <f t="shared" si="205"/>
        <v>-0.6</v>
      </c>
      <c r="CA283" s="3">
        <f t="shared" si="206"/>
        <v>-1.2</v>
      </c>
      <c r="CB283" s="3">
        <f t="shared" si="207"/>
        <v>-0.2</v>
      </c>
      <c r="CC283" s="3">
        <f t="shared" si="208"/>
        <v>3.6</v>
      </c>
      <c r="CD283" s="3">
        <f t="shared" si="209"/>
        <v>5.0999999999999996</v>
      </c>
      <c r="CE283" s="3">
        <f t="shared" si="210"/>
        <v>6.5</v>
      </c>
      <c r="CF283" s="23">
        <f t="shared" si="211"/>
        <v>89.6</v>
      </c>
      <c r="CG283" s="1">
        <f t="shared" si="212"/>
        <v>5.4</v>
      </c>
      <c r="CH283" s="1">
        <f t="shared" si="213"/>
        <v>5.9</v>
      </c>
      <c r="CI283" s="1">
        <f t="shared" si="214"/>
        <v>7.7</v>
      </c>
      <c r="CJ283" s="1">
        <f t="shared" si="215"/>
        <v>8.4</v>
      </c>
      <c r="CK283" s="1">
        <f t="shared" si="216"/>
        <v>5.5</v>
      </c>
      <c r="CL283" s="1">
        <f t="shared" si="217"/>
        <v>5.3</v>
      </c>
      <c r="CM283" s="1">
        <f t="shared" si="218"/>
        <v>6.8</v>
      </c>
      <c r="CN283" s="2">
        <f t="shared" si="219"/>
        <v>99</v>
      </c>
      <c r="CO283" s="1">
        <f t="shared" si="220"/>
        <v>-4.8</v>
      </c>
      <c r="CP283" s="1">
        <f t="shared" si="221"/>
        <v>-5.3</v>
      </c>
      <c r="CQ283" s="1">
        <f t="shared" si="222"/>
        <v>-6.1</v>
      </c>
      <c r="CR283" s="1">
        <f t="shared" si="223"/>
        <v>-5.3</v>
      </c>
      <c r="CS283" s="1">
        <f t="shared" si="224"/>
        <v>2.7</v>
      </c>
      <c r="CT283" s="1">
        <f t="shared" si="225"/>
        <v>5</v>
      </c>
      <c r="CU283" s="1">
        <f t="shared" si="226"/>
        <v>6.3</v>
      </c>
      <c r="CV283" s="2">
        <f t="shared" si="227"/>
        <v>58</v>
      </c>
      <c r="CW283" s="18">
        <f t="shared" si="228"/>
        <v>0</v>
      </c>
      <c r="CX283" s="1">
        <f>ROUND(PPTest!K283,1)</f>
        <v>11</v>
      </c>
      <c r="CY283" s="17">
        <f t="shared" si="229"/>
        <v>1.4</v>
      </c>
      <c r="CZ283" s="17">
        <f t="shared" si="230"/>
        <v>3.49</v>
      </c>
      <c r="DA283" s="20">
        <f t="shared" si="231"/>
        <v>0.52100000000000002</v>
      </c>
      <c r="DB283" s="20">
        <f t="shared" si="232"/>
        <v>0.377</v>
      </c>
      <c r="DC283" s="16">
        <f t="shared" si="233"/>
        <v>12.26</v>
      </c>
      <c r="DW283" s="1">
        <v>0.2</v>
      </c>
      <c r="DX283" s="1">
        <v>8.5</v>
      </c>
      <c r="DY283" s="1">
        <v>-3.8</v>
      </c>
    </row>
    <row r="284" spans="1:129" x14ac:dyDescent="0.2">
      <c r="A284" s="40">
        <v>34977</v>
      </c>
      <c r="B284" s="3">
        <v>278</v>
      </c>
      <c r="C284" s="3">
        <v>6.6779999999999999</v>
      </c>
      <c r="D284" s="3">
        <v>12.76</v>
      </c>
      <c r="E284" s="3">
        <v>2.0470000000000002</v>
      </c>
      <c r="F284" s="3">
        <v>80.8</v>
      </c>
      <c r="G284" s="3">
        <v>1.7789999999999999</v>
      </c>
      <c r="H284" s="3">
        <v>1.64</v>
      </c>
      <c r="I284" s="3">
        <v>1.256</v>
      </c>
      <c r="J284" s="3">
        <v>1.415</v>
      </c>
      <c r="K284" s="3">
        <v>1.4650000000000001</v>
      </c>
      <c r="L284" s="3">
        <v>3.5059999999999998</v>
      </c>
      <c r="M284" s="3">
        <v>4.8490000000000002</v>
      </c>
      <c r="N284" s="3">
        <v>6.2439999999999998</v>
      </c>
      <c r="O284" s="3">
        <v>0</v>
      </c>
      <c r="P284" s="16">
        <v>1.5858333333333334</v>
      </c>
      <c r="Q284" s="3">
        <v>1</v>
      </c>
      <c r="R284" s="3">
        <v>5.5540000000000003</v>
      </c>
      <c r="S284" s="3">
        <v>1416</v>
      </c>
      <c r="T284" s="3">
        <v>104.1</v>
      </c>
      <c r="U284" s="3">
        <v>132</v>
      </c>
      <c r="V284" s="3">
        <v>5.96</v>
      </c>
      <c r="W284" s="3">
        <v>6.766</v>
      </c>
      <c r="X284" s="3">
        <v>7.59</v>
      </c>
      <c r="Y284" s="3">
        <v>7.47</v>
      </c>
      <c r="Z284" s="3">
        <v>7.44</v>
      </c>
      <c r="AA284" s="3">
        <v>4.8680000000000003</v>
      </c>
      <c r="AB284" s="3">
        <v>5.0119999999999996</v>
      </c>
      <c r="AC284" s="3">
        <v>6.3730000000000002</v>
      </c>
      <c r="AD284" s="16">
        <v>4.2341666666666669</v>
      </c>
      <c r="AE284" s="3">
        <v>1008</v>
      </c>
      <c r="AF284" s="3">
        <v>-4.0620000000000003</v>
      </c>
      <c r="AG284" s="3">
        <v>108</v>
      </c>
      <c r="AH284" s="3">
        <v>61.81</v>
      </c>
      <c r="AI284" s="3">
        <v>1248</v>
      </c>
      <c r="AJ284" s="3">
        <v>-4.5629999999999997</v>
      </c>
      <c r="AK284" s="3">
        <v>-5.2409999999999997</v>
      </c>
      <c r="AL284" s="3">
        <v>-4.8259999999999996</v>
      </c>
      <c r="AM284" s="3">
        <v>-5.0049999999999999</v>
      </c>
      <c r="AN284" s="3">
        <v>-5.0049999999999999</v>
      </c>
      <c r="AO284" s="3">
        <v>2.3940000000000001</v>
      </c>
      <c r="AP284" s="3">
        <v>4.7279999999999998</v>
      </c>
      <c r="AQ284" s="3">
        <v>6.0650000000000004</v>
      </c>
      <c r="AR284" s="3">
        <v>6.9000000000000006E-2</v>
      </c>
      <c r="AS284" s="3">
        <v>0.29799999999999999</v>
      </c>
      <c r="AT284" s="3">
        <v>0.24199999999999999</v>
      </c>
      <c r="AU284" s="3">
        <v>0.13600000000000001</v>
      </c>
      <c r="AV284" s="3">
        <v>8.5000000000000006E-2</v>
      </c>
      <c r="AW284" s="3">
        <v>7.5999999999999998E-2</v>
      </c>
      <c r="AX284" s="3">
        <v>4.5999999999999999E-2</v>
      </c>
      <c r="AY284" s="3">
        <v>4.8000000000000001E-2</v>
      </c>
      <c r="AZ284" s="3">
        <v>1.2050000000000001</v>
      </c>
      <c r="BA284" s="3"/>
      <c r="BB284" s="3">
        <v>12.27</v>
      </c>
      <c r="BC284" s="3">
        <v>2876</v>
      </c>
      <c r="BD284" s="3"/>
      <c r="BE284" s="3"/>
      <c r="BF284" s="3">
        <v>0</v>
      </c>
      <c r="BH284" s="16">
        <v>14.15</v>
      </c>
      <c r="BI284" s="16">
        <f t="shared" si="194"/>
        <v>28.583000000000002</v>
      </c>
      <c r="BJ284" s="17">
        <f t="shared" si="195"/>
        <v>6.68</v>
      </c>
      <c r="BK284" s="17">
        <f t="shared" si="196"/>
        <v>13.78</v>
      </c>
      <c r="BM284" s="1">
        <f t="shared" si="197"/>
        <v>97.2</v>
      </c>
      <c r="BN284" s="1">
        <f t="shared" si="198"/>
        <v>75.7</v>
      </c>
      <c r="BO284" s="1">
        <f t="shared" si="199"/>
        <v>58.1</v>
      </c>
      <c r="BP284" s="62">
        <f t="shared" si="201"/>
        <v>0.52700000000000002</v>
      </c>
      <c r="BQ284" s="62">
        <f t="shared" si="200"/>
        <v>0.38</v>
      </c>
      <c r="BS284" s="3">
        <v>0</v>
      </c>
      <c r="BT284" s="8"/>
      <c r="BV284" s="8"/>
      <c r="BW284" s="16">
        <f t="shared" si="202"/>
        <v>6.68</v>
      </c>
      <c r="BX284" s="16">
        <f t="shared" si="203"/>
        <v>13.78</v>
      </c>
      <c r="BY284" s="3">
        <f t="shared" si="204"/>
        <v>2</v>
      </c>
      <c r="BZ284" s="3">
        <f t="shared" si="205"/>
        <v>1.8</v>
      </c>
      <c r="CA284" s="3">
        <f t="shared" si="206"/>
        <v>1.6</v>
      </c>
      <c r="CB284" s="3">
        <f t="shared" si="207"/>
        <v>1.3</v>
      </c>
      <c r="CC284" s="3">
        <f t="shared" si="208"/>
        <v>3.5</v>
      </c>
      <c r="CD284" s="3">
        <f t="shared" si="209"/>
        <v>4.8</v>
      </c>
      <c r="CE284" s="3">
        <f t="shared" si="210"/>
        <v>6.2</v>
      </c>
      <c r="CF284" s="23">
        <f t="shared" si="211"/>
        <v>75.7</v>
      </c>
      <c r="CG284" s="1">
        <f t="shared" si="212"/>
        <v>5.6</v>
      </c>
      <c r="CH284" s="1">
        <f t="shared" si="213"/>
        <v>6</v>
      </c>
      <c r="CI284" s="1">
        <f t="shared" si="214"/>
        <v>6.8</v>
      </c>
      <c r="CJ284" s="1">
        <f t="shared" si="215"/>
        <v>7.6</v>
      </c>
      <c r="CK284" s="1">
        <f t="shared" si="216"/>
        <v>4.9000000000000004</v>
      </c>
      <c r="CL284" s="1">
        <f t="shared" si="217"/>
        <v>5</v>
      </c>
      <c r="CM284" s="1">
        <f t="shared" si="218"/>
        <v>6.4</v>
      </c>
      <c r="CN284" s="2">
        <f t="shared" si="219"/>
        <v>97.2</v>
      </c>
      <c r="CO284" s="1">
        <f t="shared" si="220"/>
        <v>-4.0999999999999996</v>
      </c>
      <c r="CP284" s="1">
        <f t="shared" si="221"/>
        <v>-4.5999999999999996</v>
      </c>
      <c r="CQ284" s="1">
        <f t="shared" si="222"/>
        <v>-5.2</v>
      </c>
      <c r="CR284" s="1">
        <f t="shared" si="223"/>
        <v>-4.8</v>
      </c>
      <c r="CS284" s="1">
        <f t="shared" si="224"/>
        <v>2.4</v>
      </c>
      <c r="CT284" s="1">
        <f t="shared" si="225"/>
        <v>4.7</v>
      </c>
      <c r="CU284" s="1">
        <f t="shared" si="226"/>
        <v>6.1</v>
      </c>
      <c r="CV284" s="2">
        <f t="shared" si="227"/>
        <v>58.1</v>
      </c>
      <c r="CW284" s="18">
        <f t="shared" si="228"/>
        <v>0</v>
      </c>
      <c r="CX284" s="1">
        <f>ROUND(PPTest!K284,1)</f>
        <v>1</v>
      </c>
      <c r="CY284" s="17">
        <f t="shared" si="229"/>
        <v>1.59</v>
      </c>
      <c r="CZ284" s="17">
        <f t="shared" si="230"/>
        <v>4.2300000000000004</v>
      </c>
      <c r="DA284" s="20">
        <f t="shared" si="231"/>
        <v>0.52700000000000002</v>
      </c>
      <c r="DB284" s="20">
        <f t="shared" si="232"/>
        <v>0.38</v>
      </c>
      <c r="DC284" s="16">
        <f t="shared" si="233"/>
        <v>12.27</v>
      </c>
      <c r="DW284" s="1">
        <v>2.4</v>
      </c>
      <c r="DX284" s="1">
        <v>8.8000000000000007</v>
      </c>
      <c r="DY284" s="1">
        <v>-3.7</v>
      </c>
    </row>
    <row r="285" spans="1:129" x14ac:dyDescent="0.2">
      <c r="A285" s="40">
        <v>34978</v>
      </c>
      <c r="B285" s="3">
        <v>279</v>
      </c>
      <c r="C285" s="3">
        <v>5.6429999999999998</v>
      </c>
      <c r="D285" s="3">
        <v>10.47</v>
      </c>
      <c r="E285" s="3">
        <v>2.0430000000000001</v>
      </c>
      <c r="F285" s="3">
        <v>98.4</v>
      </c>
      <c r="G285" s="3">
        <v>1.976</v>
      </c>
      <c r="H285" s="3">
        <v>1.597</v>
      </c>
      <c r="I285" s="3">
        <v>2.726</v>
      </c>
      <c r="J285" s="3">
        <v>1.95</v>
      </c>
      <c r="K285" s="3">
        <v>2.048</v>
      </c>
      <c r="L285" s="3">
        <v>4.2919999999999998</v>
      </c>
      <c r="M285" s="3">
        <v>4.8959999999999999</v>
      </c>
      <c r="N285" s="3">
        <v>5.9359999999999999</v>
      </c>
      <c r="O285" s="3">
        <v>0</v>
      </c>
      <c r="P285" s="16">
        <v>1.1376666666666666</v>
      </c>
      <c r="Q285" s="3">
        <v>5</v>
      </c>
      <c r="R285" s="3">
        <v>5.4909999999999997</v>
      </c>
      <c r="S285" s="3">
        <v>1046</v>
      </c>
      <c r="T285" s="3">
        <v>105.8</v>
      </c>
      <c r="U285" s="3">
        <v>2355</v>
      </c>
      <c r="V285" s="3">
        <v>6.57</v>
      </c>
      <c r="W285" s="3">
        <v>6.4249999999999998</v>
      </c>
      <c r="X285" s="3">
        <v>11.23</v>
      </c>
      <c r="Y285" s="3">
        <v>7.42</v>
      </c>
      <c r="Z285" s="3">
        <v>9.59</v>
      </c>
      <c r="AA285" s="3">
        <v>5.3719999999999999</v>
      </c>
      <c r="AB285" s="3">
        <v>5</v>
      </c>
      <c r="AC285" s="3">
        <v>6.0949999999999998</v>
      </c>
      <c r="AD285" s="16">
        <v>3.9541666666666666</v>
      </c>
      <c r="AE285" s="3">
        <v>1126</v>
      </c>
      <c r="AF285" s="3">
        <v>0.374</v>
      </c>
      <c r="AG285" s="3">
        <v>636</v>
      </c>
      <c r="AH285" s="3">
        <v>72.5</v>
      </c>
      <c r="AI285" s="3">
        <v>1037</v>
      </c>
      <c r="AJ285" s="3">
        <v>0.10299999999999999</v>
      </c>
      <c r="AK285" s="3">
        <v>-0.188</v>
      </c>
      <c r="AL285" s="3">
        <v>0.11799999999999999</v>
      </c>
      <c r="AM285" s="3">
        <v>-4.2999999999999997E-2</v>
      </c>
      <c r="AN285" s="3">
        <v>-5.2999999999999999E-2</v>
      </c>
      <c r="AO285" s="3">
        <v>3.43</v>
      </c>
      <c r="AP285" s="3">
        <v>4.774</v>
      </c>
      <c r="AQ285" s="3">
        <v>5.7450000000000001</v>
      </c>
      <c r="AR285" s="3">
        <v>0.11</v>
      </c>
      <c r="AS285" s="3">
        <v>0.17499999999999999</v>
      </c>
      <c r="AT285" s="3">
        <v>0.157</v>
      </c>
      <c r="AU285" s="3">
        <v>5.2999999999999999E-2</v>
      </c>
      <c r="AV285" s="3">
        <v>0.10100000000000001</v>
      </c>
      <c r="AW285" s="3">
        <v>0.216</v>
      </c>
      <c r="AX285" s="3">
        <v>0.127</v>
      </c>
      <c r="AY285" s="3">
        <v>0.06</v>
      </c>
      <c r="AZ285" s="3">
        <v>2.2120000000000002</v>
      </c>
      <c r="BA285" s="3"/>
      <c r="BB285" s="3">
        <v>12.27</v>
      </c>
      <c r="BC285" s="3">
        <v>2876</v>
      </c>
      <c r="BD285" s="3"/>
      <c r="BE285" s="3"/>
      <c r="BF285" s="3">
        <v>0</v>
      </c>
      <c r="BH285" s="16">
        <v>13.9</v>
      </c>
      <c r="BI285" s="16">
        <f t="shared" si="194"/>
        <v>28.077999999999999</v>
      </c>
      <c r="BJ285" s="17">
        <f t="shared" si="195"/>
        <v>5.64</v>
      </c>
      <c r="BK285" s="17">
        <f t="shared" si="196"/>
        <v>11.31</v>
      </c>
      <c r="BM285" s="1">
        <f t="shared" si="197"/>
        <v>98.8</v>
      </c>
      <c r="BN285" s="1">
        <f t="shared" si="198"/>
        <v>91.9</v>
      </c>
      <c r="BO285" s="1">
        <f t="shared" si="199"/>
        <v>68</v>
      </c>
      <c r="BP285" s="62">
        <f t="shared" si="201"/>
        <v>0.61399999999999999</v>
      </c>
      <c r="BQ285" s="62">
        <f t="shared" si="200"/>
        <v>0.28899999999999998</v>
      </c>
      <c r="BS285" s="3">
        <v>4.3000001907348633</v>
      </c>
      <c r="BT285" s="8"/>
      <c r="BV285" s="8"/>
      <c r="BW285" s="16">
        <f t="shared" si="202"/>
        <v>5.64</v>
      </c>
      <c r="BX285" s="16">
        <f t="shared" si="203"/>
        <v>11.31</v>
      </c>
      <c r="BY285" s="3">
        <f t="shared" si="204"/>
        <v>2</v>
      </c>
      <c r="BZ285" s="3">
        <f t="shared" si="205"/>
        <v>2</v>
      </c>
      <c r="CA285" s="3">
        <f t="shared" si="206"/>
        <v>1.6</v>
      </c>
      <c r="CB285" s="3">
        <f t="shared" si="207"/>
        <v>2.7</v>
      </c>
      <c r="CC285" s="3">
        <f t="shared" si="208"/>
        <v>4.3</v>
      </c>
      <c r="CD285" s="3">
        <f t="shared" si="209"/>
        <v>4.9000000000000004</v>
      </c>
      <c r="CE285" s="3">
        <f t="shared" si="210"/>
        <v>5.9</v>
      </c>
      <c r="CF285" s="23">
        <f t="shared" si="211"/>
        <v>91.9</v>
      </c>
      <c r="CG285" s="1">
        <f t="shared" si="212"/>
        <v>5.5</v>
      </c>
      <c r="CH285" s="1">
        <f t="shared" si="213"/>
        <v>6.6</v>
      </c>
      <c r="CI285" s="1">
        <f t="shared" si="214"/>
        <v>6.4</v>
      </c>
      <c r="CJ285" s="1">
        <f t="shared" si="215"/>
        <v>11.2</v>
      </c>
      <c r="CK285" s="1">
        <f t="shared" si="216"/>
        <v>5.4</v>
      </c>
      <c r="CL285" s="1">
        <f t="shared" si="217"/>
        <v>5</v>
      </c>
      <c r="CM285" s="1">
        <f t="shared" si="218"/>
        <v>6.1</v>
      </c>
      <c r="CN285" s="2">
        <f t="shared" si="219"/>
        <v>98.8</v>
      </c>
      <c r="CO285" s="1">
        <f t="shared" si="220"/>
        <v>0.4</v>
      </c>
      <c r="CP285" s="1">
        <f t="shared" si="221"/>
        <v>0.1</v>
      </c>
      <c r="CQ285" s="1">
        <f t="shared" si="222"/>
        <v>-0.2</v>
      </c>
      <c r="CR285" s="1">
        <f t="shared" si="223"/>
        <v>0.1</v>
      </c>
      <c r="CS285" s="1">
        <f t="shared" si="224"/>
        <v>3.4</v>
      </c>
      <c r="CT285" s="1">
        <f t="shared" si="225"/>
        <v>4.8</v>
      </c>
      <c r="CU285" s="1">
        <f t="shared" si="226"/>
        <v>5.7</v>
      </c>
      <c r="CV285" s="2">
        <f t="shared" si="227"/>
        <v>68</v>
      </c>
      <c r="CW285" s="18">
        <f t="shared" si="228"/>
        <v>0</v>
      </c>
      <c r="CX285" s="1">
        <f>ROUND(PPTest!K285,1)</f>
        <v>5</v>
      </c>
      <c r="CY285" s="17">
        <f t="shared" si="229"/>
        <v>1.1399999999999999</v>
      </c>
      <c r="CZ285" s="17">
        <f t="shared" si="230"/>
        <v>3.95</v>
      </c>
      <c r="DA285" s="20">
        <f t="shared" si="231"/>
        <v>0.61399999999999999</v>
      </c>
      <c r="DB285" s="20">
        <f t="shared" si="232"/>
        <v>0.28899999999999998</v>
      </c>
      <c r="DC285" s="16">
        <f t="shared" si="233"/>
        <v>12.27</v>
      </c>
      <c r="DW285" s="1">
        <v>2</v>
      </c>
      <c r="DX285" s="1">
        <v>8.3000000000000007</v>
      </c>
      <c r="DY285" s="1">
        <v>-2.8</v>
      </c>
    </row>
    <row r="286" spans="1:129" x14ac:dyDescent="0.2">
      <c r="A286" s="40">
        <v>34979</v>
      </c>
      <c r="B286" s="3">
        <v>280</v>
      </c>
      <c r="C286" s="3">
        <v>6.4850000000000003</v>
      </c>
      <c r="D286" s="3">
        <v>12.21</v>
      </c>
      <c r="E286" s="3">
        <v>2.827</v>
      </c>
      <c r="F286" s="3">
        <v>92.5</v>
      </c>
      <c r="G286" s="3">
        <v>2.7759999999999998</v>
      </c>
      <c r="H286" s="3">
        <v>2.6930000000000001</v>
      </c>
      <c r="I286" s="3">
        <v>3.2410000000000001</v>
      </c>
      <c r="J286" s="3">
        <v>2.92</v>
      </c>
      <c r="K286" s="3">
        <v>3.0950000000000002</v>
      </c>
      <c r="L286" s="3">
        <v>4.5999999999999996</v>
      </c>
      <c r="M286" s="3">
        <v>5</v>
      </c>
      <c r="N286" s="3">
        <v>5.742</v>
      </c>
      <c r="O286" s="3">
        <v>0</v>
      </c>
      <c r="P286" s="16">
        <v>1.19</v>
      </c>
      <c r="Q286" s="3">
        <v>0</v>
      </c>
      <c r="R286" s="3">
        <v>5.7089999999999996</v>
      </c>
      <c r="S286" s="3">
        <v>1349</v>
      </c>
      <c r="T286" s="3">
        <v>106.5</v>
      </c>
      <c r="U286" s="3">
        <v>621</v>
      </c>
      <c r="V286" s="3">
        <v>6.7389999999999999</v>
      </c>
      <c r="W286" s="3">
        <v>8.6</v>
      </c>
      <c r="X286" s="3">
        <v>14.23</v>
      </c>
      <c r="Y286" s="3">
        <v>8.6999999999999993</v>
      </c>
      <c r="Z286" s="3">
        <v>9.2899999999999991</v>
      </c>
      <c r="AA286" s="3">
        <v>5.8079999999999998</v>
      </c>
      <c r="AB286" s="3">
        <v>5.1479999999999997</v>
      </c>
      <c r="AC286" s="3">
        <v>5.8689999999999998</v>
      </c>
      <c r="AD286" s="16">
        <v>4.2741666666666669</v>
      </c>
      <c r="AE286" s="3">
        <v>1351</v>
      </c>
      <c r="AF286" s="3">
        <v>0.52900000000000003</v>
      </c>
      <c r="AG286" s="3">
        <v>7</v>
      </c>
      <c r="AH286" s="3">
        <v>71.3</v>
      </c>
      <c r="AI286" s="3">
        <v>1350</v>
      </c>
      <c r="AJ286" s="3">
        <v>0.377</v>
      </c>
      <c r="AK286" s="3">
        <v>0.308</v>
      </c>
      <c r="AL286" s="3">
        <v>0.57699999999999996</v>
      </c>
      <c r="AM286" s="3">
        <v>0.251</v>
      </c>
      <c r="AN286" s="3">
        <v>0.22800000000000001</v>
      </c>
      <c r="AO286" s="3">
        <v>3.7970000000000002</v>
      </c>
      <c r="AP286" s="3">
        <v>4.8620000000000001</v>
      </c>
      <c r="AQ286" s="3">
        <v>5.649</v>
      </c>
      <c r="AR286" s="3">
        <v>4.3999999999999997E-2</v>
      </c>
      <c r="AS286" s="3">
        <v>0.13300000000000001</v>
      </c>
      <c r="AT286" s="3">
        <v>0.17299999999999999</v>
      </c>
      <c r="AU286" s="3">
        <v>0.13200000000000001</v>
      </c>
      <c r="AV286" s="3">
        <v>0.20200000000000001</v>
      </c>
      <c r="AW286" s="3">
        <v>0.23400000000000001</v>
      </c>
      <c r="AX286" s="3">
        <v>6.8000000000000005E-2</v>
      </c>
      <c r="AY286" s="3">
        <v>1.4E-2</v>
      </c>
      <c r="AZ286" s="3">
        <v>2.8860000000000001</v>
      </c>
      <c r="BA286" s="3"/>
      <c r="BB286" s="3">
        <v>12.27</v>
      </c>
      <c r="BC286" s="3">
        <v>2876</v>
      </c>
      <c r="BD286" s="3"/>
      <c r="BE286" s="3"/>
      <c r="BF286" s="3">
        <v>0</v>
      </c>
      <c r="BH286" s="16">
        <v>13.67</v>
      </c>
      <c r="BI286" s="16">
        <f t="shared" si="194"/>
        <v>27.613399999999999</v>
      </c>
      <c r="BJ286" s="17">
        <f t="shared" si="195"/>
        <v>6.49</v>
      </c>
      <c r="BK286" s="17">
        <f t="shared" si="196"/>
        <v>13.19</v>
      </c>
      <c r="BM286" s="1">
        <f t="shared" si="197"/>
        <v>99.4</v>
      </c>
      <c r="BN286" s="1">
        <f t="shared" si="198"/>
        <v>86.5</v>
      </c>
      <c r="BO286" s="1">
        <f t="shared" si="199"/>
        <v>66.900000000000006</v>
      </c>
      <c r="BP286" s="62">
        <f t="shared" si="201"/>
        <v>0.61299999999999999</v>
      </c>
      <c r="BQ286" s="62">
        <f t="shared" si="200"/>
        <v>0.30299999999999999</v>
      </c>
      <c r="BS286" s="3">
        <v>3.2999999523162842</v>
      </c>
      <c r="BT286" s="8"/>
      <c r="BV286" s="8"/>
      <c r="BW286" s="16">
        <f t="shared" si="202"/>
        <v>6.49</v>
      </c>
      <c r="BX286" s="16">
        <f t="shared" si="203"/>
        <v>13.19</v>
      </c>
      <c r="BY286" s="3">
        <f t="shared" si="204"/>
        <v>2.8</v>
      </c>
      <c r="BZ286" s="3">
        <f t="shared" si="205"/>
        <v>2.8</v>
      </c>
      <c r="CA286" s="3">
        <f t="shared" si="206"/>
        <v>2.7</v>
      </c>
      <c r="CB286" s="3">
        <f t="shared" si="207"/>
        <v>3.2</v>
      </c>
      <c r="CC286" s="3">
        <f t="shared" si="208"/>
        <v>4.5999999999999996</v>
      </c>
      <c r="CD286" s="3">
        <f t="shared" si="209"/>
        <v>5</v>
      </c>
      <c r="CE286" s="3">
        <f t="shared" si="210"/>
        <v>5.7</v>
      </c>
      <c r="CF286" s="23">
        <f t="shared" si="211"/>
        <v>86.5</v>
      </c>
      <c r="CG286" s="1">
        <f t="shared" si="212"/>
        <v>5.7</v>
      </c>
      <c r="CH286" s="1">
        <f t="shared" si="213"/>
        <v>6.7</v>
      </c>
      <c r="CI286" s="1">
        <f t="shared" si="214"/>
        <v>8.6</v>
      </c>
      <c r="CJ286" s="1">
        <f t="shared" si="215"/>
        <v>14.2</v>
      </c>
      <c r="CK286" s="1">
        <f t="shared" si="216"/>
        <v>5.8</v>
      </c>
      <c r="CL286" s="1">
        <f t="shared" si="217"/>
        <v>5.0999999999999996</v>
      </c>
      <c r="CM286" s="1">
        <f t="shared" si="218"/>
        <v>5.9</v>
      </c>
      <c r="CN286" s="2">
        <f t="shared" si="219"/>
        <v>99.4</v>
      </c>
      <c r="CO286" s="1">
        <f t="shared" si="220"/>
        <v>0.5</v>
      </c>
      <c r="CP286" s="1">
        <f t="shared" si="221"/>
        <v>0.4</v>
      </c>
      <c r="CQ286" s="1">
        <f t="shared" si="222"/>
        <v>0.3</v>
      </c>
      <c r="CR286" s="1">
        <f t="shared" si="223"/>
        <v>0.6</v>
      </c>
      <c r="CS286" s="1">
        <f t="shared" si="224"/>
        <v>3.8</v>
      </c>
      <c r="CT286" s="1">
        <f t="shared" si="225"/>
        <v>4.9000000000000004</v>
      </c>
      <c r="CU286" s="1">
        <f t="shared" si="226"/>
        <v>5.6</v>
      </c>
      <c r="CV286" s="2">
        <f t="shared" si="227"/>
        <v>66.900000000000006</v>
      </c>
      <c r="CW286" s="18">
        <f t="shared" si="228"/>
        <v>0</v>
      </c>
      <c r="CX286" s="1">
        <f>ROUND(PPTest!K286,1)</f>
        <v>0</v>
      </c>
      <c r="CY286" s="17">
        <f t="shared" si="229"/>
        <v>1.19</v>
      </c>
      <c r="CZ286" s="17">
        <f t="shared" si="230"/>
        <v>4.2699999999999996</v>
      </c>
      <c r="DA286" s="20">
        <f t="shared" si="231"/>
        <v>0.61299999999999999</v>
      </c>
      <c r="DB286" s="20">
        <f t="shared" si="232"/>
        <v>0.30299999999999999</v>
      </c>
      <c r="DC286" s="16">
        <f t="shared" si="233"/>
        <v>12.27</v>
      </c>
      <c r="DW286" s="1">
        <v>2.6</v>
      </c>
      <c r="DX286" s="1">
        <v>9.3000000000000007</v>
      </c>
      <c r="DY286" s="1">
        <v>-4.0999999999999996</v>
      </c>
    </row>
    <row r="287" spans="1:129" x14ac:dyDescent="0.2">
      <c r="A287" s="40">
        <v>34980</v>
      </c>
      <c r="B287" s="3">
        <v>281</v>
      </c>
      <c r="C287" s="3">
        <v>5.0949999999999998</v>
      </c>
      <c r="D287" s="3">
        <v>9.44</v>
      </c>
      <c r="E287" s="3">
        <v>2.121</v>
      </c>
      <c r="F287" s="3">
        <v>96.1</v>
      </c>
      <c r="G287" s="3">
        <v>1.9259999999999999</v>
      </c>
      <c r="H287" s="3">
        <v>1.7390000000000001</v>
      </c>
      <c r="I287" s="3">
        <v>2.0390000000000001</v>
      </c>
      <c r="J287" s="3">
        <v>1.7190000000000001</v>
      </c>
      <c r="K287" s="3">
        <v>1.7929999999999999</v>
      </c>
      <c r="L287" s="3">
        <v>4.1769999999999996</v>
      </c>
      <c r="M287" s="3">
        <v>4.9820000000000002</v>
      </c>
      <c r="N287" s="3">
        <v>5.617</v>
      </c>
      <c r="O287" s="3">
        <v>0</v>
      </c>
      <c r="P287" s="16">
        <v>1.8558333333333337</v>
      </c>
      <c r="Q287" s="3">
        <v>9</v>
      </c>
      <c r="R287" s="3">
        <v>5.2329999999999997</v>
      </c>
      <c r="S287" s="3">
        <v>1316</v>
      </c>
      <c r="T287" s="3">
        <v>105.9</v>
      </c>
      <c r="U287" s="3">
        <v>1913</v>
      </c>
      <c r="V287" s="3">
        <v>5.9720000000000004</v>
      </c>
      <c r="W287" s="3">
        <v>7.55</v>
      </c>
      <c r="X287" s="3">
        <v>10.85</v>
      </c>
      <c r="Y287" s="3">
        <v>9.02</v>
      </c>
      <c r="Z287" s="3">
        <v>7.81</v>
      </c>
      <c r="AA287" s="3">
        <v>5.3940000000000001</v>
      </c>
      <c r="AB287" s="3">
        <v>5.1420000000000003</v>
      </c>
      <c r="AC287" s="3">
        <v>5.78</v>
      </c>
      <c r="AD287" s="16">
        <v>6.5141666666666662</v>
      </c>
      <c r="AE287" s="3">
        <v>852</v>
      </c>
      <c r="AF287" s="3">
        <v>7.3999999999999996E-2</v>
      </c>
      <c r="AG287" s="3">
        <v>1854</v>
      </c>
      <c r="AH287" s="3">
        <v>74.7</v>
      </c>
      <c r="AI287" s="3">
        <v>1325</v>
      </c>
      <c r="AJ287" s="3">
        <v>-0.17899999999999999</v>
      </c>
      <c r="AK287" s="3">
        <v>-0.46100000000000002</v>
      </c>
      <c r="AL287" s="3">
        <v>-0.15</v>
      </c>
      <c r="AM287" s="3">
        <v>-0.4</v>
      </c>
      <c r="AN287" s="3">
        <v>-0.375</v>
      </c>
      <c r="AO287" s="3">
        <v>3.68</v>
      </c>
      <c r="AP287" s="3">
        <v>4.8310000000000004</v>
      </c>
      <c r="AQ287" s="3">
        <v>5.5279999999999996</v>
      </c>
      <c r="AR287" s="3">
        <v>7.2999999999999995E-2</v>
      </c>
      <c r="AS287" s="3">
        <v>8.1000000000000003E-2</v>
      </c>
      <c r="AT287" s="3">
        <v>9.4E-2</v>
      </c>
      <c r="AU287" s="3">
        <v>8.6999999999999994E-2</v>
      </c>
      <c r="AV287" s="3">
        <v>0.19500000000000001</v>
      </c>
      <c r="AW287" s="3">
        <v>0.35599999999999998</v>
      </c>
      <c r="AX287" s="3">
        <v>7.1999999999999995E-2</v>
      </c>
      <c r="AY287" s="3">
        <v>0.04</v>
      </c>
      <c r="AZ287" s="3">
        <v>1.905</v>
      </c>
      <c r="BA287" s="3"/>
      <c r="BB287" s="3">
        <v>12.26</v>
      </c>
      <c r="BC287" s="3">
        <v>2876</v>
      </c>
      <c r="BD287" s="3"/>
      <c r="BE287" s="3"/>
      <c r="BF287" s="3">
        <v>0</v>
      </c>
      <c r="BH287" s="16">
        <v>13.43</v>
      </c>
      <c r="BI287" s="16">
        <f t="shared" si="194"/>
        <v>27.128599999999999</v>
      </c>
      <c r="BJ287" s="17">
        <f t="shared" si="195"/>
        <v>5.0999999999999996</v>
      </c>
      <c r="BK287" s="17">
        <f t="shared" si="196"/>
        <v>10.199999999999999</v>
      </c>
      <c r="BM287" s="1">
        <f t="shared" si="197"/>
        <v>98.9</v>
      </c>
      <c r="BN287" s="1">
        <f t="shared" si="198"/>
        <v>89.8</v>
      </c>
      <c r="BO287" s="1">
        <f t="shared" si="199"/>
        <v>70</v>
      </c>
      <c r="BP287" s="62">
        <f t="shared" si="201"/>
        <v>0.62</v>
      </c>
      <c r="BQ287" s="62">
        <f t="shared" si="200"/>
        <v>0.26600000000000001</v>
      </c>
      <c r="BS287" s="3">
        <v>4.0999999046325684</v>
      </c>
      <c r="BT287" s="8"/>
      <c r="BV287" s="8"/>
      <c r="BW287" s="16">
        <f t="shared" si="202"/>
        <v>5.0999999999999996</v>
      </c>
      <c r="BX287" s="16">
        <f t="shared" si="203"/>
        <v>10.199999999999999</v>
      </c>
      <c r="BY287" s="3">
        <f t="shared" si="204"/>
        <v>2.1</v>
      </c>
      <c r="BZ287" s="3">
        <f t="shared" si="205"/>
        <v>1.9</v>
      </c>
      <c r="CA287" s="3">
        <f t="shared" si="206"/>
        <v>1.7</v>
      </c>
      <c r="CB287" s="3">
        <f t="shared" si="207"/>
        <v>2</v>
      </c>
      <c r="CC287" s="3">
        <f t="shared" si="208"/>
        <v>4.2</v>
      </c>
      <c r="CD287" s="3">
        <f t="shared" si="209"/>
        <v>5</v>
      </c>
      <c r="CE287" s="3">
        <f t="shared" si="210"/>
        <v>5.6</v>
      </c>
      <c r="CF287" s="23">
        <f t="shared" si="211"/>
        <v>89.8</v>
      </c>
      <c r="CG287" s="1">
        <f t="shared" si="212"/>
        <v>5.2</v>
      </c>
      <c r="CH287" s="1">
        <f t="shared" si="213"/>
        <v>6</v>
      </c>
      <c r="CI287" s="1">
        <f t="shared" si="214"/>
        <v>7.6</v>
      </c>
      <c r="CJ287" s="1">
        <f t="shared" si="215"/>
        <v>10.9</v>
      </c>
      <c r="CK287" s="1">
        <f t="shared" si="216"/>
        <v>5.4</v>
      </c>
      <c r="CL287" s="1">
        <f t="shared" si="217"/>
        <v>5.0999999999999996</v>
      </c>
      <c r="CM287" s="1">
        <f t="shared" si="218"/>
        <v>5.8</v>
      </c>
      <c r="CN287" s="2">
        <f t="shared" si="219"/>
        <v>98.9</v>
      </c>
      <c r="CO287" s="1">
        <f t="shared" si="220"/>
        <v>0.1</v>
      </c>
      <c r="CP287" s="1">
        <f t="shared" si="221"/>
        <v>-0.2</v>
      </c>
      <c r="CQ287" s="1">
        <f t="shared" si="222"/>
        <v>-0.5</v>
      </c>
      <c r="CR287" s="1">
        <f t="shared" si="223"/>
        <v>-0.2</v>
      </c>
      <c r="CS287" s="1">
        <f t="shared" si="224"/>
        <v>3.7</v>
      </c>
      <c r="CT287" s="1">
        <f t="shared" si="225"/>
        <v>4.8</v>
      </c>
      <c r="CU287" s="1">
        <f t="shared" si="226"/>
        <v>5.5</v>
      </c>
      <c r="CV287" s="2">
        <f t="shared" si="227"/>
        <v>70</v>
      </c>
      <c r="CW287" s="18">
        <f t="shared" si="228"/>
        <v>0</v>
      </c>
      <c r="CX287" s="1">
        <f>ROUND(PPTest!K287,1)</f>
        <v>9</v>
      </c>
      <c r="CY287" s="17">
        <f t="shared" si="229"/>
        <v>1.86</v>
      </c>
      <c r="CZ287" s="17">
        <f t="shared" si="230"/>
        <v>6.51</v>
      </c>
      <c r="DA287" s="20">
        <f t="shared" si="231"/>
        <v>0.62</v>
      </c>
      <c r="DB287" s="20">
        <f t="shared" si="232"/>
        <v>0.26600000000000001</v>
      </c>
      <c r="DC287" s="16">
        <f t="shared" si="233"/>
        <v>12.26</v>
      </c>
      <c r="DW287" s="1">
        <v>2.1</v>
      </c>
      <c r="DX287" s="1">
        <v>7.8</v>
      </c>
      <c r="DY287" s="1">
        <v>-3.9</v>
      </c>
    </row>
    <row r="288" spans="1:129" x14ac:dyDescent="0.2">
      <c r="A288" s="40">
        <v>34981</v>
      </c>
      <c r="B288" s="3">
        <v>282</v>
      </c>
      <c r="C288" s="3">
        <v>3.476</v>
      </c>
      <c r="D288" s="3">
        <v>6.4580000000000002</v>
      </c>
      <c r="E288" s="3">
        <v>2.056</v>
      </c>
      <c r="F288" s="3">
        <v>91.2</v>
      </c>
      <c r="G288" s="3">
        <v>1.851</v>
      </c>
      <c r="H288" s="3">
        <v>1.7050000000000001</v>
      </c>
      <c r="I288" s="3">
        <v>1.6080000000000001</v>
      </c>
      <c r="J288" s="3">
        <v>1.333</v>
      </c>
      <c r="K288" s="3">
        <v>1.597</v>
      </c>
      <c r="L288" s="3">
        <v>3.6139999999999999</v>
      </c>
      <c r="M288" s="3">
        <v>4.6790000000000003</v>
      </c>
      <c r="N288" s="3">
        <v>5.5460000000000003</v>
      </c>
      <c r="O288" s="3">
        <v>0</v>
      </c>
      <c r="P288" s="16">
        <v>2.1141666666666667</v>
      </c>
      <c r="Q288" s="3">
        <v>1</v>
      </c>
      <c r="R288" s="3">
        <v>3.8109999999999999</v>
      </c>
      <c r="S288" s="3">
        <v>1338</v>
      </c>
      <c r="T288" s="3">
        <v>104.3</v>
      </c>
      <c r="U288" s="3">
        <v>212</v>
      </c>
      <c r="V288" s="3">
        <v>3.9910000000000001</v>
      </c>
      <c r="W288" s="3">
        <v>4.194</v>
      </c>
      <c r="X288" s="3">
        <v>5.3230000000000004</v>
      </c>
      <c r="Y288" s="3">
        <v>3.4510000000000001</v>
      </c>
      <c r="Z288" s="3">
        <v>4.6399999999999997</v>
      </c>
      <c r="AA288" s="3">
        <v>4.16</v>
      </c>
      <c r="AB288" s="3">
        <v>4.8630000000000004</v>
      </c>
      <c r="AC288" s="3">
        <v>5.6260000000000003</v>
      </c>
      <c r="AD288" s="16">
        <v>5.8875000000000002</v>
      </c>
      <c r="AE288" s="3">
        <v>2202</v>
      </c>
      <c r="AF288" s="3">
        <v>-0.93100000000000005</v>
      </c>
      <c r="AG288" s="3">
        <v>208</v>
      </c>
      <c r="AH288" s="3">
        <v>79.7</v>
      </c>
      <c r="AI288" s="3">
        <v>1417</v>
      </c>
      <c r="AJ288" s="3">
        <v>-1.298</v>
      </c>
      <c r="AK288" s="3">
        <v>-1.9359999999999999</v>
      </c>
      <c r="AL288" s="3">
        <v>-0.53</v>
      </c>
      <c r="AM288" s="3">
        <v>-0.82499999999999996</v>
      </c>
      <c r="AN288" s="3">
        <v>-0.83699999999999997</v>
      </c>
      <c r="AO288" s="3">
        <v>3.137</v>
      </c>
      <c r="AP288" s="3">
        <v>4.5979999999999999</v>
      </c>
      <c r="AQ288" s="3">
        <v>5.4909999999999997</v>
      </c>
      <c r="AR288" s="3">
        <v>3.4000000000000002E-2</v>
      </c>
      <c r="AS288" s="3">
        <v>4.2999999999999997E-2</v>
      </c>
      <c r="AT288" s="3">
        <v>4.5999999999999999E-2</v>
      </c>
      <c r="AU288" s="3">
        <v>9.9000000000000005E-2</v>
      </c>
      <c r="AV288" s="3">
        <v>0.24399999999999999</v>
      </c>
      <c r="AW288" s="3">
        <v>0.32400000000000001</v>
      </c>
      <c r="AX288" s="3">
        <v>0.14899999999999999</v>
      </c>
      <c r="AY288" s="3">
        <v>0.06</v>
      </c>
      <c r="AZ288" s="3">
        <v>1.369</v>
      </c>
      <c r="BA288" s="3"/>
      <c r="BB288" s="3">
        <v>12.26</v>
      </c>
      <c r="BC288" s="3">
        <v>2876</v>
      </c>
      <c r="BD288" s="3"/>
      <c r="BE288" s="3"/>
      <c r="BF288" s="3">
        <v>0</v>
      </c>
      <c r="BH288" s="16">
        <v>13.2</v>
      </c>
      <c r="BI288" s="16">
        <f t="shared" si="194"/>
        <v>26.663999999999998</v>
      </c>
      <c r="BJ288" s="17">
        <f t="shared" si="195"/>
        <v>3.48</v>
      </c>
      <c r="BK288" s="17">
        <f t="shared" si="196"/>
        <v>6.97</v>
      </c>
      <c r="BM288" s="1">
        <f t="shared" si="197"/>
        <v>97.4</v>
      </c>
      <c r="BN288" s="1">
        <f t="shared" si="198"/>
        <v>85.3</v>
      </c>
      <c r="BO288" s="1">
        <f t="shared" si="199"/>
        <v>74.599999999999994</v>
      </c>
      <c r="BP288" s="62">
        <f t="shared" si="201"/>
        <v>0.59799999999999998</v>
      </c>
      <c r="BQ288" s="62">
        <f t="shared" si="200"/>
        <v>0.20399999999999999</v>
      </c>
      <c r="BS288" s="3">
        <v>5.5999999046325684</v>
      </c>
      <c r="BT288" s="8"/>
      <c r="BV288" s="8"/>
      <c r="BW288" s="16">
        <f t="shared" si="202"/>
        <v>3.48</v>
      </c>
      <c r="BX288" s="16">
        <f t="shared" si="203"/>
        <v>6.97</v>
      </c>
      <c r="BY288" s="3">
        <f t="shared" si="204"/>
        <v>2.1</v>
      </c>
      <c r="BZ288" s="3">
        <f t="shared" si="205"/>
        <v>1.9</v>
      </c>
      <c r="CA288" s="3">
        <f t="shared" si="206"/>
        <v>1.7</v>
      </c>
      <c r="CB288" s="3">
        <f t="shared" si="207"/>
        <v>1.6</v>
      </c>
      <c r="CC288" s="3">
        <f t="shared" si="208"/>
        <v>3.6</v>
      </c>
      <c r="CD288" s="3">
        <f t="shared" si="209"/>
        <v>4.7</v>
      </c>
      <c r="CE288" s="3">
        <f t="shared" si="210"/>
        <v>5.5</v>
      </c>
      <c r="CF288" s="23">
        <f t="shared" si="211"/>
        <v>85.3</v>
      </c>
      <c r="CG288" s="1">
        <f t="shared" si="212"/>
        <v>3.8</v>
      </c>
      <c r="CH288" s="1">
        <f t="shared" si="213"/>
        <v>4</v>
      </c>
      <c r="CI288" s="1">
        <f t="shared" si="214"/>
        <v>4.2</v>
      </c>
      <c r="CJ288" s="1">
        <f t="shared" si="215"/>
        <v>5.3</v>
      </c>
      <c r="CK288" s="1">
        <f t="shared" si="216"/>
        <v>4.2</v>
      </c>
      <c r="CL288" s="1">
        <f t="shared" si="217"/>
        <v>4.9000000000000004</v>
      </c>
      <c r="CM288" s="1">
        <f t="shared" si="218"/>
        <v>5.6</v>
      </c>
      <c r="CN288" s="2">
        <f t="shared" si="219"/>
        <v>97.4</v>
      </c>
      <c r="CO288" s="1">
        <f t="shared" si="220"/>
        <v>-0.9</v>
      </c>
      <c r="CP288" s="1">
        <f t="shared" si="221"/>
        <v>-1.3</v>
      </c>
      <c r="CQ288" s="1">
        <f t="shared" si="222"/>
        <v>-1.9</v>
      </c>
      <c r="CR288" s="1">
        <f t="shared" si="223"/>
        <v>-0.5</v>
      </c>
      <c r="CS288" s="1">
        <f t="shared" si="224"/>
        <v>3.1</v>
      </c>
      <c r="CT288" s="1">
        <f t="shared" si="225"/>
        <v>4.5999999999999996</v>
      </c>
      <c r="CU288" s="1">
        <f t="shared" si="226"/>
        <v>5.5</v>
      </c>
      <c r="CV288" s="2">
        <f t="shared" si="227"/>
        <v>74.599999999999994</v>
      </c>
      <c r="CW288" s="18">
        <f t="shared" si="228"/>
        <v>0</v>
      </c>
      <c r="CX288" s="1">
        <f>ROUND(PPTest!K288,1)</f>
        <v>1</v>
      </c>
      <c r="CY288" s="17">
        <f t="shared" si="229"/>
        <v>2.11</v>
      </c>
      <c r="CZ288" s="17">
        <f t="shared" si="230"/>
        <v>5.89</v>
      </c>
      <c r="DA288" s="20">
        <f t="shared" si="231"/>
        <v>0.59799999999999998</v>
      </c>
      <c r="DB288" s="20">
        <f t="shared" si="232"/>
        <v>0.20399999999999999</v>
      </c>
      <c r="DC288" s="16">
        <f t="shared" si="233"/>
        <v>12.26</v>
      </c>
      <c r="DW288" s="1">
        <v>1.9</v>
      </c>
      <c r="DX288" s="1">
        <v>8.6</v>
      </c>
      <c r="DY288" s="1">
        <v>-4.0999999999999996</v>
      </c>
    </row>
    <row r="289" spans="1:129" x14ac:dyDescent="0.2">
      <c r="A289" s="40">
        <v>34982</v>
      </c>
      <c r="B289" s="3">
        <v>283</v>
      </c>
      <c r="C289" s="3">
        <v>5.8319999999999999</v>
      </c>
      <c r="D289" s="3">
        <v>10.94</v>
      </c>
      <c r="E289" s="3">
        <v>4.57</v>
      </c>
      <c r="F289" s="3">
        <v>79.400000000000006</v>
      </c>
      <c r="G289" s="3">
        <v>4.3339999999999996</v>
      </c>
      <c r="H289" s="3">
        <v>4.2969999999999997</v>
      </c>
      <c r="I289" s="3">
        <v>3.5939999999999999</v>
      </c>
      <c r="J289" s="3">
        <v>4.3230000000000004</v>
      </c>
      <c r="K289" s="3">
        <v>4.3970000000000002</v>
      </c>
      <c r="L289" s="3">
        <v>4.399</v>
      </c>
      <c r="M289" s="3">
        <v>4.7469999999999999</v>
      </c>
      <c r="N289" s="3">
        <v>5.5220000000000002</v>
      </c>
      <c r="O289" s="3">
        <v>0</v>
      </c>
      <c r="P289" s="16">
        <v>3.6625000000000001</v>
      </c>
      <c r="Q289" s="3">
        <v>1</v>
      </c>
      <c r="R289" s="3">
        <v>8.0399999999999991</v>
      </c>
      <c r="S289" s="3">
        <v>1242</v>
      </c>
      <c r="T289" s="3">
        <v>94.3</v>
      </c>
      <c r="U289" s="3">
        <v>920</v>
      </c>
      <c r="V289" s="3">
        <v>8.52</v>
      </c>
      <c r="W289" s="3">
        <v>10.029999999999999</v>
      </c>
      <c r="X289" s="3">
        <v>11.83</v>
      </c>
      <c r="Y289" s="3">
        <v>10.93</v>
      </c>
      <c r="Z289" s="3">
        <v>9.92</v>
      </c>
      <c r="AA289" s="3">
        <v>5.7770000000000001</v>
      </c>
      <c r="AB289" s="3">
        <v>4.87</v>
      </c>
      <c r="AC289" s="3">
        <v>5.6580000000000004</v>
      </c>
      <c r="AD289" s="16">
        <v>7.7675000000000001</v>
      </c>
      <c r="AE289" s="3">
        <v>831</v>
      </c>
      <c r="AF289" s="3">
        <v>0.2</v>
      </c>
      <c r="AG289" s="3">
        <v>2358</v>
      </c>
      <c r="AH289" s="3">
        <v>63.89</v>
      </c>
      <c r="AI289" s="3">
        <v>1324</v>
      </c>
      <c r="AJ289" s="3">
        <v>-0.41599999999999998</v>
      </c>
      <c r="AK289" s="3">
        <v>-1.0609999999999999</v>
      </c>
      <c r="AL289" s="3">
        <v>-0.81799999999999995</v>
      </c>
      <c r="AM289" s="3">
        <v>-0.69899999999999995</v>
      </c>
      <c r="AN289" s="3">
        <v>-0.44500000000000001</v>
      </c>
      <c r="AO289" s="3">
        <v>3.7250000000000001</v>
      </c>
      <c r="AP289" s="3">
        <v>4.6230000000000002</v>
      </c>
      <c r="AQ289" s="3">
        <v>5.3689999999999998</v>
      </c>
      <c r="AR289" s="3">
        <v>4.0000000000000001E-3</v>
      </c>
      <c r="AS289" s="3">
        <v>6.0000000000000001E-3</v>
      </c>
      <c r="AT289" s="3">
        <v>2.1000000000000001E-2</v>
      </c>
      <c r="AU289" s="3">
        <v>5.8000000000000003E-2</v>
      </c>
      <c r="AV289" s="3">
        <v>0.39200000000000002</v>
      </c>
      <c r="AW289" s="3">
        <v>0.45600000000000002</v>
      </c>
      <c r="AX289" s="3">
        <v>5.1999999999999998E-2</v>
      </c>
      <c r="AY289" s="3">
        <v>1.0999999999999999E-2</v>
      </c>
      <c r="AZ289" s="3">
        <v>4.165</v>
      </c>
      <c r="BA289" s="3"/>
      <c r="BB289" s="3">
        <v>12.26</v>
      </c>
      <c r="BC289" s="3">
        <v>2876</v>
      </c>
      <c r="BD289" s="3"/>
      <c r="BE289" s="3"/>
      <c r="BF289" s="3">
        <v>0</v>
      </c>
      <c r="BH289" s="16">
        <v>12.96</v>
      </c>
      <c r="BI289" s="16">
        <f t="shared" si="194"/>
        <v>26.179200000000002</v>
      </c>
      <c r="BJ289" s="17">
        <f t="shared" si="195"/>
        <v>5.83</v>
      </c>
      <c r="BK289" s="17">
        <f t="shared" si="196"/>
        <v>11.82</v>
      </c>
      <c r="BM289" s="1">
        <f t="shared" si="197"/>
        <v>88.1</v>
      </c>
      <c r="BN289" s="1">
        <f t="shared" si="198"/>
        <v>74.400000000000006</v>
      </c>
      <c r="BO289" s="1">
        <f t="shared" si="199"/>
        <v>60</v>
      </c>
      <c r="BP289" s="62">
        <f t="shared" si="201"/>
        <v>0.64500000000000002</v>
      </c>
      <c r="BQ289" s="62">
        <f t="shared" si="200"/>
        <v>0.43</v>
      </c>
      <c r="BS289" s="3">
        <v>2</v>
      </c>
      <c r="BT289" s="8"/>
      <c r="BV289" s="8"/>
      <c r="BW289" s="16">
        <f t="shared" si="202"/>
        <v>5.83</v>
      </c>
      <c r="BX289" s="16">
        <f t="shared" si="203"/>
        <v>11.82</v>
      </c>
      <c r="BY289" s="3">
        <f t="shared" si="204"/>
        <v>4.5999999999999996</v>
      </c>
      <c r="BZ289" s="3">
        <f t="shared" si="205"/>
        <v>4.3</v>
      </c>
      <c r="CA289" s="3">
        <f t="shared" si="206"/>
        <v>4.3</v>
      </c>
      <c r="CB289" s="3">
        <f t="shared" si="207"/>
        <v>3.6</v>
      </c>
      <c r="CC289" s="3">
        <f t="shared" si="208"/>
        <v>4.4000000000000004</v>
      </c>
      <c r="CD289" s="3">
        <f t="shared" si="209"/>
        <v>4.7</v>
      </c>
      <c r="CE289" s="3">
        <f t="shared" si="210"/>
        <v>5.5</v>
      </c>
      <c r="CF289" s="23">
        <f t="shared" si="211"/>
        <v>74.400000000000006</v>
      </c>
      <c r="CG289" s="1">
        <f t="shared" si="212"/>
        <v>8</v>
      </c>
      <c r="CH289" s="1">
        <f t="shared" si="213"/>
        <v>8.5</v>
      </c>
      <c r="CI289" s="1">
        <f t="shared" si="214"/>
        <v>10</v>
      </c>
      <c r="CJ289" s="1">
        <f t="shared" si="215"/>
        <v>11.8</v>
      </c>
      <c r="CK289" s="1">
        <f t="shared" si="216"/>
        <v>5.8</v>
      </c>
      <c r="CL289" s="1">
        <f t="shared" si="217"/>
        <v>4.9000000000000004</v>
      </c>
      <c r="CM289" s="1">
        <f t="shared" si="218"/>
        <v>5.7</v>
      </c>
      <c r="CN289" s="2">
        <f t="shared" si="219"/>
        <v>88.1</v>
      </c>
      <c r="CO289" s="1">
        <f t="shared" si="220"/>
        <v>0.2</v>
      </c>
      <c r="CP289" s="1">
        <f t="shared" si="221"/>
        <v>-0.4</v>
      </c>
      <c r="CQ289" s="1">
        <f t="shared" si="222"/>
        <v>-1.1000000000000001</v>
      </c>
      <c r="CR289" s="1">
        <f t="shared" si="223"/>
        <v>-0.8</v>
      </c>
      <c r="CS289" s="1">
        <f t="shared" si="224"/>
        <v>3.7</v>
      </c>
      <c r="CT289" s="1">
        <f t="shared" si="225"/>
        <v>4.5999999999999996</v>
      </c>
      <c r="CU289" s="1">
        <f t="shared" si="226"/>
        <v>5.4</v>
      </c>
      <c r="CV289" s="2">
        <f t="shared" si="227"/>
        <v>60</v>
      </c>
      <c r="CW289" s="18">
        <f t="shared" si="228"/>
        <v>0</v>
      </c>
      <c r="CX289" s="1">
        <f>ROUND(PPTest!K289,1)</f>
        <v>1</v>
      </c>
      <c r="CY289" s="17">
        <f t="shared" si="229"/>
        <v>3.66</v>
      </c>
      <c r="CZ289" s="17">
        <f t="shared" si="230"/>
        <v>7.77</v>
      </c>
      <c r="DA289" s="20">
        <f t="shared" si="231"/>
        <v>0.64500000000000002</v>
      </c>
      <c r="DB289" s="20">
        <f t="shared" si="232"/>
        <v>0.43</v>
      </c>
      <c r="DC289" s="16">
        <f t="shared" si="233"/>
        <v>12.26</v>
      </c>
      <c r="DW289" s="1">
        <v>3.6</v>
      </c>
      <c r="DX289" s="1">
        <v>7.9</v>
      </c>
      <c r="DY289" s="1">
        <v>-0.3</v>
      </c>
    </row>
    <row r="290" spans="1:129" x14ac:dyDescent="0.2">
      <c r="A290" s="40">
        <v>34983</v>
      </c>
      <c r="B290" s="3">
        <v>284</v>
      </c>
      <c r="C290" s="3">
        <v>2.738</v>
      </c>
      <c r="D290" s="3">
        <v>5.3479999999999999</v>
      </c>
      <c r="E290" s="3">
        <v>0.85299999999999998</v>
      </c>
      <c r="F290" s="3">
        <v>98.9</v>
      </c>
      <c r="G290" s="3">
        <v>0.65700000000000003</v>
      </c>
      <c r="H290" s="3">
        <v>0.36599999999999999</v>
      </c>
      <c r="I290" s="3">
        <v>0.59299999999999997</v>
      </c>
      <c r="J290" s="3">
        <v>0.58799999999999997</v>
      </c>
      <c r="K290" s="3">
        <v>0.66</v>
      </c>
      <c r="L290" s="3">
        <v>3.4220000000000002</v>
      </c>
      <c r="M290" s="3">
        <v>4.6130000000000004</v>
      </c>
      <c r="N290" s="3">
        <v>5.3440000000000003</v>
      </c>
      <c r="O290" s="3">
        <v>0</v>
      </c>
      <c r="P290" s="16">
        <v>1.3526666666666667</v>
      </c>
      <c r="Q290" s="3">
        <v>7</v>
      </c>
      <c r="R290" s="3">
        <v>2.613</v>
      </c>
      <c r="S290" s="3">
        <v>318</v>
      </c>
      <c r="T290" s="3">
        <v>106.2</v>
      </c>
      <c r="U290" s="3">
        <v>2035</v>
      </c>
      <c r="V290" s="3">
        <v>2.2730000000000001</v>
      </c>
      <c r="W290" s="3">
        <v>2.597</v>
      </c>
      <c r="X290" s="3">
        <v>2.6539999999999999</v>
      </c>
      <c r="Y290" s="3">
        <v>3.242</v>
      </c>
      <c r="Z290" s="3">
        <v>2.9780000000000002</v>
      </c>
      <c r="AA290" s="3">
        <v>3.7570000000000001</v>
      </c>
      <c r="AB290" s="3">
        <v>4.8499999999999996</v>
      </c>
      <c r="AC290" s="3">
        <v>5.41</v>
      </c>
      <c r="AD290" s="16">
        <v>4.8475000000000001</v>
      </c>
      <c r="AE290" s="3">
        <v>1933</v>
      </c>
      <c r="AF290" s="3">
        <v>-0.13800000000000001</v>
      </c>
      <c r="AG290" s="3">
        <v>1945</v>
      </c>
      <c r="AH290" s="3">
        <v>66.010000000000005</v>
      </c>
      <c r="AI290" s="3">
        <v>147</v>
      </c>
      <c r="AJ290" s="3">
        <v>-0.45500000000000002</v>
      </c>
      <c r="AK290" s="3">
        <v>-0.85799999999999998</v>
      </c>
      <c r="AL290" s="3">
        <v>-0.89</v>
      </c>
      <c r="AM290" s="3">
        <v>-0.82099999999999995</v>
      </c>
      <c r="AN290" s="3">
        <v>-0.58799999999999997</v>
      </c>
      <c r="AO290" s="3">
        <v>3.0680000000000001</v>
      </c>
      <c r="AP290" s="3">
        <v>4.42</v>
      </c>
      <c r="AQ290" s="3">
        <v>5.2880000000000003</v>
      </c>
      <c r="AR290" s="3">
        <v>9.1999999999999998E-2</v>
      </c>
      <c r="AS290" s="3">
        <v>9.7000000000000003E-2</v>
      </c>
      <c r="AT290" s="3">
        <v>5.0999999999999997E-2</v>
      </c>
      <c r="AU290" s="3">
        <v>0.06</v>
      </c>
      <c r="AV290" s="3">
        <v>0.27500000000000002</v>
      </c>
      <c r="AW290" s="3">
        <v>0.36</v>
      </c>
      <c r="AX290" s="3">
        <v>5.0999999999999997E-2</v>
      </c>
      <c r="AY290" s="3">
        <v>1.4999999999999999E-2</v>
      </c>
      <c r="AZ290" s="3">
        <v>0.59399999999999997</v>
      </c>
      <c r="BA290" s="3"/>
      <c r="BB290" s="3">
        <v>12.25</v>
      </c>
      <c r="BC290" s="3">
        <v>2876</v>
      </c>
      <c r="BD290" s="3"/>
      <c r="BE290" s="3"/>
      <c r="BF290" s="3">
        <v>0</v>
      </c>
      <c r="BH290" s="16">
        <v>12.74</v>
      </c>
      <c r="BI290" s="16">
        <f t="shared" si="194"/>
        <v>25.7348</v>
      </c>
      <c r="BJ290" s="17">
        <f t="shared" si="195"/>
        <v>2.74</v>
      </c>
      <c r="BK290" s="17">
        <f t="shared" si="196"/>
        <v>5.78</v>
      </c>
      <c r="BM290" s="1">
        <f t="shared" si="197"/>
        <v>99.1</v>
      </c>
      <c r="BN290" s="1">
        <f t="shared" si="198"/>
        <v>92.4</v>
      </c>
      <c r="BO290" s="1">
        <f t="shared" si="199"/>
        <v>62</v>
      </c>
      <c r="BP290" s="62">
        <f t="shared" si="201"/>
        <v>0.45700000000000002</v>
      </c>
      <c r="BQ290" s="62">
        <f t="shared" si="200"/>
        <v>0.28000000000000003</v>
      </c>
      <c r="BS290" s="3">
        <v>7.5999999046325684</v>
      </c>
      <c r="BT290" s="8"/>
      <c r="BV290" s="8"/>
      <c r="BW290" s="16">
        <f t="shared" si="202"/>
        <v>2.74</v>
      </c>
      <c r="BX290" s="16">
        <f t="shared" si="203"/>
        <v>5.78</v>
      </c>
      <c r="BY290" s="3">
        <f t="shared" si="204"/>
        <v>0.9</v>
      </c>
      <c r="BZ290" s="3">
        <f t="shared" si="205"/>
        <v>0.7</v>
      </c>
      <c r="CA290" s="3">
        <f t="shared" si="206"/>
        <v>0.4</v>
      </c>
      <c r="CB290" s="3">
        <f t="shared" si="207"/>
        <v>0.6</v>
      </c>
      <c r="CC290" s="3">
        <f t="shared" si="208"/>
        <v>3.4</v>
      </c>
      <c r="CD290" s="3">
        <f t="shared" si="209"/>
        <v>4.5999999999999996</v>
      </c>
      <c r="CE290" s="3">
        <f t="shared" si="210"/>
        <v>5.3</v>
      </c>
      <c r="CF290" s="23">
        <f t="shared" si="211"/>
        <v>92.4</v>
      </c>
      <c r="CG290" s="1">
        <f t="shared" si="212"/>
        <v>2.6</v>
      </c>
      <c r="CH290" s="1">
        <f t="shared" si="213"/>
        <v>2.2999999999999998</v>
      </c>
      <c r="CI290" s="1">
        <f t="shared" si="214"/>
        <v>2.6</v>
      </c>
      <c r="CJ290" s="1">
        <f t="shared" si="215"/>
        <v>2.7</v>
      </c>
      <c r="CK290" s="1">
        <f t="shared" si="216"/>
        <v>3.8</v>
      </c>
      <c r="CL290" s="1">
        <f t="shared" si="217"/>
        <v>4.9000000000000004</v>
      </c>
      <c r="CM290" s="1">
        <f t="shared" si="218"/>
        <v>5.4</v>
      </c>
      <c r="CN290" s="2">
        <f t="shared" si="219"/>
        <v>99.1</v>
      </c>
      <c r="CO290" s="1">
        <f t="shared" si="220"/>
        <v>-0.1</v>
      </c>
      <c r="CP290" s="1">
        <f t="shared" si="221"/>
        <v>-0.5</v>
      </c>
      <c r="CQ290" s="1">
        <f t="shared" si="222"/>
        <v>-0.9</v>
      </c>
      <c r="CR290" s="1">
        <f t="shared" si="223"/>
        <v>-0.9</v>
      </c>
      <c r="CS290" s="1">
        <f t="shared" si="224"/>
        <v>3.1</v>
      </c>
      <c r="CT290" s="1">
        <f t="shared" si="225"/>
        <v>4.4000000000000004</v>
      </c>
      <c r="CU290" s="1">
        <f t="shared" si="226"/>
        <v>5.3</v>
      </c>
      <c r="CV290" s="2">
        <f t="shared" si="227"/>
        <v>62</v>
      </c>
      <c r="CW290" s="18">
        <f t="shared" si="228"/>
        <v>0</v>
      </c>
      <c r="CX290" s="1">
        <f>ROUND(PPTest!K290,1)</f>
        <v>7</v>
      </c>
      <c r="CY290" s="17">
        <f t="shared" si="229"/>
        <v>1.35</v>
      </c>
      <c r="CZ290" s="17">
        <f t="shared" si="230"/>
        <v>4.8499999999999996</v>
      </c>
      <c r="DA290" s="20">
        <f t="shared" si="231"/>
        <v>0.45700000000000002</v>
      </c>
      <c r="DB290" s="20">
        <f t="shared" si="232"/>
        <v>0.28000000000000003</v>
      </c>
      <c r="DC290" s="16">
        <f t="shared" si="233"/>
        <v>12.25</v>
      </c>
      <c r="DW290" s="1">
        <v>1.1000000000000001</v>
      </c>
      <c r="DX290" s="1">
        <v>6.5</v>
      </c>
      <c r="DY290" s="1">
        <v>-1.2</v>
      </c>
    </row>
    <row r="291" spans="1:129" x14ac:dyDescent="0.2">
      <c r="A291" s="40">
        <v>34984</v>
      </c>
      <c r="B291" s="3">
        <v>285</v>
      </c>
      <c r="C291" s="3">
        <v>3.0049999999999999</v>
      </c>
      <c r="D291" s="3">
        <v>5.1870000000000003</v>
      </c>
      <c r="E291" s="3">
        <v>1.2999999999999999E-2</v>
      </c>
      <c r="F291" s="3">
        <v>103.8</v>
      </c>
      <c r="G291" s="3">
        <v>-0.121</v>
      </c>
      <c r="H291" s="3">
        <v>-0.376</v>
      </c>
      <c r="I291" s="3">
        <v>0.255</v>
      </c>
      <c r="J291" s="3">
        <v>-5.2999999999999999E-2</v>
      </c>
      <c r="K291" s="3">
        <v>4.2000000000000003E-2</v>
      </c>
      <c r="L291" s="3">
        <v>2.8490000000000002</v>
      </c>
      <c r="M291" s="3">
        <v>4.2320000000000002</v>
      </c>
      <c r="N291" s="3">
        <v>5.2539999999999996</v>
      </c>
      <c r="O291" s="3">
        <v>0</v>
      </c>
      <c r="P291" s="16">
        <v>1.4898333333333333</v>
      </c>
      <c r="Q291" s="3">
        <v>3</v>
      </c>
      <c r="R291" s="3">
        <v>2.1120000000000001</v>
      </c>
      <c r="S291" s="3">
        <v>1335</v>
      </c>
      <c r="T291" s="3">
        <v>106.5</v>
      </c>
      <c r="U291" s="3">
        <v>632</v>
      </c>
      <c r="V291" s="3">
        <v>3.8650000000000002</v>
      </c>
      <c r="W291" s="3">
        <v>3.548</v>
      </c>
      <c r="X291" s="3">
        <v>2.0110000000000001</v>
      </c>
      <c r="Y291" s="3">
        <v>3.702</v>
      </c>
      <c r="Z291" s="3">
        <v>4.91</v>
      </c>
      <c r="AA291" s="3">
        <v>3.08</v>
      </c>
      <c r="AB291" s="3">
        <v>4.444</v>
      </c>
      <c r="AC291" s="3">
        <v>5.3250000000000002</v>
      </c>
      <c r="AD291" s="16">
        <v>3.8608333333333333</v>
      </c>
      <c r="AE291" s="3">
        <v>36</v>
      </c>
      <c r="AF291" s="3">
        <v>-1.3120000000000001</v>
      </c>
      <c r="AG291" s="3">
        <v>2324</v>
      </c>
      <c r="AH291" s="3">
        <v>90.9</v>
      </c>
      <c r="AI291" s="3">
        <v>1326</v>
      </c>
      <c r="AJ291" s="3">
        <v>-1.9339999999999999</v>
      </c>
      <c r="AK291" s="3">
        <v>-2.6760000000000002</v>
      </c>
      <c r="AL291" s="3">
        <v>-0.82799999999999996</v>
      </c>
      <c r="AM291" s="3">
        <v>-0.85599999999999998</v>
      </c>
      <c r="AN291" s="3">
        <v>-0.96199999999999997</v>
      </c>
      <c r="AO291" s="3">
        <v>2.698</v>
      </c>
      <c r="AP291" s="3">
        <v>4.0190000000000001</v>
      </c>
      <c r="AQ291" s="3">
        <v>5.1379999999999999</v>
      </c>
      <c r="AR291" s="3">
        <v>3.3000000000000002E-2</v>
      </c>
      <c r="AS291" s="3">
        <v>6.9000000000000006E-2</v>
      </c>
      <c r="AT291" s="3">
        <v>5.6000000000000001E-2</v>
      </c>
      <c r="AU291" s="3">
        <v>4.2000000000000003E-2</v>
      </c>
      <c r="AV291" s="3">
        <v>0.187</v>
      </c>
      <c r="AW291" s="3">
        <v>0.501</v>
      </c>
      <c r="AX291" s="3">
        <v>8.6999999999999994E-2</v>
      </c>
      <c r="AY291" s="3">
        <v>2.5999999999999999E-2</v>
      </c>
      <c r="AZ291" s="3">
        <v>-0.108</v>
      </c>
      <c r="BA291" s="3"/>
      <c r="BB291" s="3">
        <v>12.24</v>
      </c>
      <c r="BC291" s="3">
        <v>2876</v>
      </c>
      <c r="BD291" s="3"/>
      <c r="BE291" s="3"/>
      <c r="BF291" s="3">
        <v>0</v>
      </c>
      <c r="BH291" s="16">
        <v>12.51</v>
      </c>
      <c r="BI291" s="16">
        <f t="shared" si="194"/>
        <v>25.270199999999999</v>
      </c>
      <c r="BJ291" s="17">
        <f t="shared" si="195"/>
        <v>3.01</v>
      </c>
      <c r="BK291" s="17">
        <f t="shared" si="196"/>
        <v>5.6</v>
      </c>
      <c r="BM291" s="1">
        <f t="shared" si="197"/>
        <v>99.4</v>
      </c>
      <c r="BN291" s="1">
        <f t="shared" si="198"/>
        <v>96.9</v>
      </c>
      <c r="BO291" s="1">
        <f t="shared" si="199"/>
        <v>85</v>
      </c>
      <c r="BP291" s="62">
        <f t="shared" si="201"/>
        <v>0.60399999999999998</v>
      </c>
      <c r="BQ291" s="62">
        <f t="shared" si="200"/>
        <v>0.107</v>
      </c>
      <c r="BS291" s="3">
        <v>14.699999809265137</v>
      </c>
      <c r="BT291" s="8"/>
      <c r="BV291" s="8"/>
      <c r="BW291" s="16">
        <f t="shared" si="202"/>
        <v>3.01</v>
      </c>
      <c r="BX291" s="16">
        <f t="shared" si="203"/>
        <v>5.6</v>
      </c>
      <c r="BY291" s="3">
        <f t="shared" si="204"/>
        <v>0</v>
      </c>
      <c r="BZ291" s="3">
        <f t="shared" si="205"/>
        <v>-0.1</v>
      </c>
      <c r="CA291" s="3">
        <f t="shared" si="206"/>
        <v>-0.4</v>
      </c>
      <c r="CB291" s="3">
        <f t="shared" si="207"/>
        <v>0.3</v>
      </c>
      <c r="CC291" s="3">
        <f t="shared" si="208"/>
        <v>2.8</v>
      </c>
      <c r="CD291" s="3">
        <f t="shared" si="209"/>
        <v>4.2</v>
      </c>
      <c r="CE291" s="3">
        <f t="shared" si="210"/>
        <v>5.3</v>
      </c>
      <c r="CF291" s="23">
        <f t="shared" si="211"/>
        <v>96.9</v>
      </c>
      <c r="CG291" s="1">
        <f t="shared" si="212"/>
        <v>2.1</v>
      </c>
      <c r="CH291" s="1">
        <f t="shared" si="213"/>
        <v>3.9</v>
      </c>
      <c r="CI291" s="1">
        <f t="shared" si="214"/>
        <v>3.5</v>
      </c>
      <c r="CJ291" s="1">
        <f t="shared" si="215"/>
        <v>2</v>
      </c>
      <c r="CK291" s="1">
        <f t="shared" si="216"/>
        <v>3.1</v>
      </c>
      <c r="CL291" s="1">
        <f t="shared" si="217"/>
        <v>4.4000000000000004</v>
      </c>
      <c r="CM291" s="1">
        <f t="shared" si="218"/>
        <v>5.3</v>
      </c>
      <c r="CN291" s="2">
        <f t="shared" si="219"/>
        <v>99.4</v>
      </c>
      <c r="CO291" s="1">
        <f t="shared" si="220"/>
        <v>-1.3</v>
      </c>
      <c r="CP291" s="1">
        <f t="shared" si="221"/>
        <v>-1.9</v>
      </c>
      <c r="CQ291" s="1">
        <f t="shared" si="222"/>
        <v>-2.7</v>
      </c>
      <c r="CR291" s="1">
        <f t="shared" si="223"/>
        <v>-0.8</v>
      </c>
      <c r="CS291" s="1">
        <f t="shared" si="224"/>
        <v>2.7</v>
      </c>
      <c r="CT291" s="1">
        <f t="shared" si="225"/>
        <v>4</v>
      </c>
      <c r="CU291" s="1">
        <f t="shared" si="226"/>
        <v>5.0999999999999996</v>
      </c>
      <c r="CV291" s="2">
        <f t="shared" si="227"/>
        <v>85</v>
      </c>
      <c r="CW291" s="18">
        <f t="shared" si="228"/>
        <v>0</v>
      </c>
      <c r="CX291" s="1">
        <f>ROUND(PPTest!K291,1)</f>
        <v>3</v>
      </c>
      <c r="CY291" s="17">
        <f t="shared" si="229"/>
        <v>1.49</v>
      </c>
      <c r="CZ291" s="17">
        <f t="shared" si="230"/>
        <v>3.86</v>
      </c>
      <c r="DA291" s="20">
        <f t="shared" si="231"/>
        <v>0.60399999999999998</v>
      </c>
      <c r="DB291" s="20">
        <f t="shared" si="232"/>
        <v>0.107</v>
      </c>
      <c r="DC291" s="16">
        <f t="shared" si="233"/>
        <v>12.24</v>
      </c>
      <c r="DW291" s="1">
        <v>-0.5</v>
      </c>
      <c r="DX291" s="1">
        <v>5.7</v>
      </c>
      <c r="DY291" s="1">
        <v>-4.5</v>
      </c>
    </row>
    <row r="292" spans="1:129" x14ac:dyDescent="0.2">
      <c r="A292" s="40">
        <v>34985</v>
      </c>
      <c r="B292" s="3">
        <v>286</v>
      </c>
      <c r="C292" s="3">
        <v>0.49299999999999999</v>
      </c>
      <c r="D292" s="3">
        <v>0.98</v>
      </c>
      <c r="E292" s="3">
        <v>-0.41799999999999998</v>
      </c>
      <c r="F292" s="3">
        <v>101.5</v>
      </c>
      <c r="G292" s="3">
        <v>-0.54100000000000004</v>
      </c>
      <c r="H292" s="3">
        <v>-0.82399999999999995</v>
      </c>
      <c r="I292" s="3">
        <v>-3.5999999999999997E-2</v>
      </c>
      <c r="J292" s="3">
        <v>-0.79200000000000004</v>
      </c>
      <c r="K292" s="3">
        <v>-0.67300000000000004</v>
      </c>
      <c r="L292" s="3">
        <v>2.629</v>
      </c>
      <c r="M292" s="3">
        <v>3.9209999999999998</v>
      </c>
      <c r="N292" s="3">
        <v>5.085</v>
      </c>
      <c r="O292" s="3">
        <v>0</v>
      </c>
      <c r="P292" s="16">
        <v>1.0756666666666668</v>
      </c>
      <c r="Q292" s="3">
        <v>1</v>
      </c>
      <c r="R292" s="3">
        <v>0.501</v>
      </c>
      <c r="S292" s="3">
        <v>2300</v>
      </c>
      <c r="T292" s="3">
        <v>106.6</v>
      </c>
      <c r="U292" s="3">
        <v>2332</v>
      </c>
      <c r="V292" s="3">
        <v>0.39500000000000002</v>
      </c>
      <c r="W292" s="3">
        <v>0.41599999999999998</v>
      </c>
      <c r="X292" s="3">
        <v>0.71299999999999997</v>
      </c>
      <c r="Y292" s="3">
        <v>-0.20799999999999999</v>
      </c>
      <c r="Z292" s="3">
        <v>-0.22900000000000001</v>
      </c>
      <c r="AA292" s="3">
        <v>2.7170000000000001</v>
      </c>
      <c r="AB292" s="3">
        <v>4.0430000000000001</v>
      </c>
      <c r="AC292" s="3">
        <v>5.1559999999999997</v>
      </c>
      <c r="AD292" s="16">
        <v>3.1408333333333336</v>
      </c>
      <c r="AE292" s="3">
        <v>655</v>
      </c>
      <c r="AF292" s="3">
        <v>-1.534</v>
      </c>
      <c r="AG292" s="3">
        <v>731</v>
      </c>
      <c r="AH292" s="3">
        <v>88.1</v>
      </c>
      <c r="AI292" s="3">
        <v>318</v>
      </c>
      <c r="AJ292" s="3">
        <v>-1.6930000000000001</v>
      </c>
      <c r="AK292" s="3">
        <v>-2.1190000000000002</v>
      </c>
      <c r="AL292" s="3">
        <v>-1.266</v>
      </c>
      <c r="AM292" s="3">
        <v>-1.85</v>
      </c>
      <c r="AN292" s="3">
        <v>-1.6950000000000001</v>
      </c>
      <c r="AO292" s="3">
        <v>2.5819999999999999</v>
      </c>
      <c r="AP292" s="3">
        <v>3.8239999999999998</v>
      </c>
      <c r="AQ292" s="3">
        <v>4.9960000000000004</v>
      </c>
      <c r="AR292" s="3">
        <v>7.0999999999999994E-2</v>
      </c>
      <c r="AS292" s="3">
        <v>0.10199999999999999</v>
      </c>
      <c r="AT292" s="3">
        <v>8.6999999999999994E-2</v>
      </c>
      <c r="AU292" s="3">
        <v>0.10299999999999999</v>
      </c>
      <c r="AV292" s="3">
        <v>0.16</v>
      </c>
      <c r="AW292" s="3">
        <v>0.22600000000000001</v>
      </c>
      <c r="AX292" s="3">
        <v>0.158</v>
      </c>
      <c r="AY292" s="3">
        <v>9.1999999999999998E-2</v>
      </c>
      <c r="AZ292" s="3">
        <v>-0.81100000000000005</v>
      </c>
      <c r="BA292" s="3"/>
      <c r="BB292" s="3">
        <v>12.24</v>
      </c>
      <c r="BC292" s="3">
        <v>2876</v>
      </c>
      <c r="BD292" s="3"/>
      <c r="BE292" s="3"/>
      <c r="BF292" s="3">
        <v>0</v>
      </c>
      <c r="BH292" s="16">
        <v>12.28</v>
      </c>
      <c r="BI292" s="16">
        <f t="shared" si="194"/>
        <v>24.805599999999998</v>
      </c>
      <c r="BJ292" s="17">
        <f t="shared" si="195"/>
        <v>0.49</v>
      </c>
      <c r="BK292" s="17">
        <f t="shared" si="196"/>
        <v>1.06</v>
      </c>
      <c r="BM292" s="1">
        <f t="shared" si="197"/>
        <v>99.5</v>
      </c>
      <c r="BN292" s="1">
        <f t="shared" si="198"/>
        <v>94.8</v>
      </c>
      <c r="BO292" s="1">
        <f t="shared" si="199"/>
        <v>82.4</v>
      </c>
      <c r="BP292" s="62">
        <f t="shared" si="201"/>
        <v>0.52200000000000002</v>
      </c>
      <c r="BQ292" s="62">
        <f t="shared" si="200"/>
        <v>0.111</v>
      </c>
      <c r="BS292" s="3">
        <v>4.5999999046325684</v>
      </c>
      <c r="BT292" s="8"/>
      <c r="BV292" s="8"/>
      <c r="BW292" s="16">
        <f t="shared" si="202"/>
        <v>0.49</v>
      </c>
      <c r="BX292" s="16">
        <f t="shared" si="203"/>
        <v>1.06</v>
      </c>
      <c r="BY292" s="3">
        <f t="shared" si="204"/>
        <v>-0.4</v>
      </c>
      <c r="BZ292" s="3">
        <f t="shared" si="205"/>
        <v>-0.5</v>
      </c>
      <c r="CA292" s="3">
        <f t="shared" si="206"/>
        <v>-0.8</v>
      </c>
      <c r="CB292" s="3">
        <f t="shared" si="207"/>
        <v>0</v>
      </c>
      <c r="CC292" s="3">
        <f t="shared" si="208"/>
        <v>2.6</v>
      </c>
      <c r="CD292" s="3">
        <f t="shared" si="209"/>
        <v>3.9</v>
      </c>
      <c r="CE292" s="3">
        <f t="shared" si="210"/>
        <v>5.0999999999999996</v>
      </c>
      <c r="CF292" s="23">
        <f t="shared" si="211"/>
        <v>94.8</v>
      </c>
      <c r="CG292" s="1">
        <f t="shared" si="212"/>
        <v>0.5</v>
      </c>
      <c r="CH292" s="1">
        <f t="shared" si="213"/>
        <v>0.4</v>
      </c>
      <c r="CI292" s="1">
        <f t="shared" si="214"/>
        <v>0.4</v>
      </c>
      <c r="CJ292" s="1">
        <f t="shared" si="215"/>
        <v>0.7</v>
      </c>
      <c r="CK292" s="1">
        <f t="shared" si="216"/>
        <v>2.7</v>
      </c>
      <c r="CL292" s="1">
        <f t="shared" si="217"/>
        <v>4</v>
      </c>
      <c r="CM292" s="1">
        <f t="shared" si="218"/>
        <v>5.2</v>
      </c>
      <c r="CN292" s="2">
        <f t="shared" si="219"/>
        <v>99.5</v>
      </c>
      <c r="CO292" s="1">
        <f t="shared" si="220"/>
        <v>-1.5</v>
      </c>
      <c r="CP292" s="1">
        <f t="shared" si="221"/>
        <v>-1.7</v>
      </c>
      <c r="CQ292" s="1">
        <f t="shared" si="222"/>
        <v>-2.1</v>
      </c>
      <c r="CR292" s="1">
        <f t="shared" si="223"/>
        <v>-1.3</v>
      </c>
      <c r="CS292" s="1">
        <f t="shared" si="224"/>
        <v>2.6</v>
      </c>
      <c r="CT292" s="1">
        <f t="shared" si="225"/>
        <v>3.8</v>
      </c>
      <c r="CU292" s="1">
        <f t="shared" si="226"/>
        <v>5</v>
      </c>
      <c r="CV292" s="2">
        <f t="shared" si="227"/>
        <v>82.4</v>
      </c>
      <c r="CW292" s="18">
        <f t="shared" si="228"/>
        <v>0</v>
      </c>
      <c r="CX292" s="1">
        <f>ROUND(PPTest!K292,1)</f>
        <v>1</v>
      </c>
      <c r="CY292" s="17">
        <f t="shared" si="229"/>
        <v>1.08</v>
      </c>
      <c r="CZ292" s="17">
        <f t="shared" si="230"/>
        <v>3.14</v>
      </c>
      <c r="DA292" s="20">
        <f t="shared" si="231"/>
        <v>0.52200000000000002</v>
      </c>
      <c r="DB292" s="20">
        <f t="shared" si="232"/>
        <v>0.111</v>
      </c>
      <c r="DC292" s="16">
        <f t="shared" si="233"/>
        <v>12.24</v>
      </c>
      <c r="DW292" s="1">
        <v>-0.7</v>
      </c>
      <c r="DX292" s="1">
        <v>4.3</v>
      </c>
      <c r="DY292" s="1">
        <v>-4.5</v>
      </c>
    </row>
    <row r="293" spans="1:129" x14ac:dyDescent="0.2">
      <c r="A293" s="40">
        <v>34986</v>
      </c>
      <c r="B293" s="3">
        <v>287</v>
      </c>
      <c r="C293" s="3">
        <v>1.9259999999999999</v>
      </c>
      <c r="D293" s="3">
        <v>3.7330000000000001</v>
      </c>
      <c r="E293" s="3">
        <v>2.9950000000000001</v>
      </c>
      <c r="F293" s="3">
        <v>105.5</v>
      </c>
      <c r="G293" s="3">
        <v>2.593</v>
      </c>
      <c r="H293" s="3">
        <v>2.3530000000000002</v>
      </c>
      <c r="I293" s="3">
        <v>0.94799999999999995</v>
      </c>
      <c r="J293" s="3">
        <v>2.1789999999999998</v>
      </c>
      <c r="K293" s="3">
        <v>2.2919999999999998</v>
      </c>
      <c r="L293" s="3">
        <v>2.484</v>
      </c>
      <c r="M293" s="3">
        <v>3.73</v>
      </c>
      <c r="N293" s="3">
        <v>4.9610000000000003</v>
      </c>
      <c r="O293" s="3">
        <v>0</v>
      </c>
      <c r="P293" s="16">
        <v>1.1619999999999999</v>
      </c>
      <c r="Q293" s="3">
        <v>26</v>
      </c>
      <c r="R293" s="3">
        <v>6.4939999999999998</v>
      </c>
      <c r="S293" s="3">
        <v>1907</v>
      </c>
      <c r="T293" s="3">
        <v>106.8</v>
      </c>
      <c r="U293" s="3">
        <v>204</v>
      </c>
      <c r="V293" s="3">
        <v>6.1970000000000001</v>
      </c>
      <c r="W293" s="3">
        <v>5.4210000000000003</v>
      </c>
      <c r="X293" s="3">
        <v>2.5379999999999998</v>
      </c>
      <c r="Y293" s="3">
        <v>5.2060000000000004</v>
      </c>
      <c r="Z293" s="3">
        <v>5.5220000000000002</v>
      </c>
      <c r="AA293" s="3">
        <v>2.6219999999999999</v>
      </c>
      <c r="AB293" s="3">
        <v>3.8420000000000001</v>
      </c>
      <c r="AC293" s="3">
        <v>5.0309999999999997</v>
      </c>
      <c r="AD293" s="16">
        <v>3.9674999999999998</v>
      </c>
      <c r="AE293" s="3">
        <v>609</v>
      </c>
      <c r="AF293" s="3">
        <v>0.10100000000000001</v>
      </c>
      <c r="AG293" s="3">
        <v>6</v>
      </c>
      <c r="AH293" s="3">
        <v>99</v>
      </c>
      <c r="AI293" s="3">
        <v>1909</v>
      </c>
      <c r="AJ293" s="3">
        <v>-0.124</v>
      </c>
      <c r="AK293" s="3">
        <v>-0.159</v>
      </c>
      <c r="AL293" s="3">
        <v>0.19600000000000001</v>
      </c>
      <c r="AM293" s="3">
        <v>-0.24</v>
      </c>
      <c r="AN293" s="3">
        <v>-0.253</v>
      </c>
      <c r="AO293" s="3">
        <v>2.3340000000000001</v>
      </c>
      <c r="AP293" s="3">
        <v>3.5419999999999998</v>
      </c>
      <c r="AQ293" s="3">
        <v>4.8239999999999998</v>
      </c>
      <c r="AR293" s="3">
        <v>8.6999999999999994E-2</v>
      </c>
      <c r="AS293" s="3">
        <v>0.16</v>
      </c>
      <c r="AT293" s="3">
        <v>0.151</v>
      </c>
      <c r="AU293" s="3">
        <v>0.10100000000000001</v>
      </c>
      <c r="AV293" s="3">
        <v>0.17799999999999999</v>
      </c>
      <c r="AW293" s="3">
        <v>0.16900000000000001</v>
      </c>
      <c r="AX293" s="3">
        <v>9.0999999999999998E-2</v>
      </c>
      <c r="AY293" s="3">
        <v>6.2E-2</v>
      </c>
      <c r="AZ293" s="3">
        <v>2.1629999999999998</v>
      </c>
      <c r="BA293" s="3"/>
      <c r="BB293" s="3">
        <v>12.24</v>
      </c>
      <c r="BC293" s="3">
        <v>2876</v>
      </c>
      <c r="BD293" s="3"/>
      <c r="BE293" s="3"/>
      <c r="BF293" s="3">
        <v>0</v>
      </c>
      <c r="BH293" s="16">
        <v>12.06</v>
      </c>
      <c r="BI293" s="16">
        <f t="shared" si="194"/>
        <v>24.3612</v>
      </c>
      <c r="BJ293" s="17">
        <f t="shared" si="195"/>
        <v>1.93</v>
      </c>
      <c r="BK293" s="17">
        <f t="shared" si="196"/>
        <v>4.03</v>
      </c>
      <c r="BM293" s="1">
        <f t="shared" si="197"/>
        <v>99.7</v>
      </c>
      <c r="BN293" s="1">
        <f t="shared" si="198"/>
        <v>98.5</v>
      </c>
      <c r="BO293" s="1">
        <f t="shared" si="199"/>
        <v>92.5</v>
      </c>
      <c r="BP293" s="62">
        <f t="shared" si="201"/>
        <v>0.89500000000000002</v>
      </c>
      <c r="BQ293" s="62">
        <f t="shared" si="200"/>
        <v>7.2999999999999995E-2</v>
      </c>
      <c r="BS293" s="3">
        <v>17.799999237060547</v>
      </c>
      <c r="BT293" s="8"/>
      <c r="BV293" s="8"/>
      <c r="BW293" s="16">
        <f t="shared" si="202"/>
        <v>1.93</v>
      </c>
      <c r="BX293" s="16">
        <f t="shared" si="203"/>
        <v>4.03</v>
      </c>
      <c r="BY293" s="3">
        <f t="shared" si="204"/>
        <v>3</v>
      </c>
      <c r="BZ293" s="3">
        <f t="shared" si="205"/>
        <v>2.6</v>
      </c>
      <c r="CA293" s="3">
        <f t="shared" si="206"/>
        <v>2.4</v>
      </c>
      <c r="CB293" s="3">
        <f t="shared" si="207"/>
        <v>0.9</v>
      </c>
      <c r="CC293" s="3">
        <f t="shared" si="208"/>
        <v>2.5</v>
      </c>
      <c r="CD293" s="3">
        <f t="shared" si="209"/>
        <v>3.7</v>
      </c>
      <c r="CE293" s="3">
        <f t="shared" si="210"/>
        <v>5</v>
      </c>
      <c r="CF293" s="23">
        <f t="shared" si="211"/>
        <v>98.5</v>
      </c>
      <c r="CG293" s="1">
        <f t="shared" si="212"/>
        <v>6.5</v>
      </c>
      <c r="CH293" s="1">
        <f t="shared" si="213"/>
        <v>6.2</v>
      </c>
      <c r="CI293" s="1">
        <f t="shared" si="214"/>
        <v>5.4</v>
      </c>
      <c r="CJ293" s="1">
        <f t="shared" si="215"/>
        <v>2.5</v>
      </c>
      <c r="CK293" s="1">
        <f t="shared" si="216"/>
        <v>2.6</v>
      </c>
      <c r="CL293" s="1">
        <f t="shared" si="217"/>
        <v>3.8</v>
      </c>
      <c r="CM293" s="1">
        <f t="shared" si="218"/>
        <v>5</v>
      </c>
      <c r="CN293" s="2">
        <f t="shared" si="219"/>
        <v>99.7</v>
      </c>
      <c r="CO293" s="1">
        <f t="shared" si="220"/>
        <v>0.1</v>
      </c>
      <c r="CP293" s="1">
        <f t="shared" si="221"/>
        <v>-0.1</v>
      </c>
      <c r="CQ293" s="1">
        <f t="shared" si="222"/>
        <v>-0.2</v>
      </c>
      <c r="CR293" s="1">
        <f t="shared" si="223"/>
        <v>0.2</v>
      </c>
      <c r="CS293" s="1">
        <f t="shared" si="224"/>
        <v>2.2999999999999998</v>
      </c>
      <c r="CT293" s="1">
        <f t="shared" si="225"/>
        <v>3.5</v>
      </c>
      <c r="CU293" s="1">
        <f t="shared" si="226"/>
        <v>4.8</v>
      </c>
      <c r="CV293" s="2">
        <f t="shared" si="227"/>
        <v>92.5</v>
      </c>
      <c r="CW293" s="18">
        <f t="shared" si="228"/>
        <v>0</v>
      </c>
      <c r="CX293" s="1">
        <f>ROUND(PPTest!K293,1)</f>
        <v>26</v>
      </c>
      <c r="CY293" s="17">
        <f t="shared" si="229"/>
        <v>1.1599999999999999</v>
      </c>
      <c r="CZ293" s="17">
        <f t="shared" si="230"/>
        <v>3.97</v>
      </c>
      <c r="DA293" s="20">
        <f t="shared" si="231"/>
        <v>0.89500000000000002</v>
      </c>
      <c r="DB293" s="20">
        <f t="shared" si="232"/>
        <v>7.2999999999999995E-2</v>
      </c>
      <c r="DC293" s="16">
        <f t="shared" si="233"/>
        <v>12.24</v>
      </c>
      <c r="DW293" s="1">
        <v>3.1</v>
      </c>
      <c r="DX293" s="1">
        <v>10.9</v>
      </c>
      <c r="DY293" s="1">
        <v>-1</v>
      </c>
    </row>
    <row r="294" spans="1:129" x14ac:dyDescent="0.2">
      <c r="A294" s="40">
        <v>34987</v>
      </c>
      <c r="B294" s="3">
        <v>288</v>
      </c>
      <c r="C294" s="3">
        <v>3.3109999999999999</v>
      </c>
      <c r="D294" s="3">
        <v>6.1109999999999998</v>
      </c>
      <c r="E294" s="3">
        <v>4.8310000000000004</v>
      </c>
      <c r="F294" s="3">
        <v>99.4</v>
      </c>
      <c r="G294" s="3">
        <v>4.3479999999999999</v>
      </c>
      <c r="H294" s="3">
        <v>4.1550000000000002</v>
      </c>
      <c r="I294" s="3">
        <v>2.4140000000000001</v>
      </c>
      <c r="J294" s="3">
        <v>3.919</v>
      </c>
      <c r="K294" s="3">
        <v>4.2039999999999997</v>
      </c>
      <c r="L294" s="3">
        <v>2.4550000000000001</v>
      </c>
      <c r="M294" s="3">
        <v>3.51</v>
      </c>
      <c r="N294" s="3">
        <v>4.7619999999999996</v>
      </c>
      <c r="O294" s="3">
        <v>0</v>
      </c>
      <c r="P294" s="16">
        <v>1.323</v>
      </c>
      <c r="Q294" s="3">
        <v>3</v>
      </c>
      <c r="R294" s="3">
        <v>9.4499999999999993</v>
      </c>
      <c r="S294" s="3">
        <v>1821</v>
      </c>
      <c r="T294" s="3">
        <v>106.7</v>
      </c>
      <c r="U294" s="3">
        <v>216</v>
      </c>
      <c r="V294" s="3">
        <v>9.1199999999999992</v>
      </c>
      <c r="W294" s="3">
        <v>10.88</v>
      </c>
      <c r="X294" s="3">
        <v>5.4450000000000003</v>
      </c>
      <c r="Y294" s="3">
        <v>7.36</v>
      </c>
      <c r="Z294" s="3">
        <v>7.96</v>
      </c>
      <c r="AA294" s="3">
        <v>2.6040000000000001</v>
      </c>
      <c r="AB294" s="3">
        <v>3.5830000000000002</v>
      </c>
      <c r="AC294" s="3">
        <v>4.8419999999999996</v>
      </c>
      <c r="AD294" s="16">
        <v>5.8608333333333329</v>
      </c>
      <c r="AE294" s="3">
        <v>2202</v>
      </c>
      <c r="AF294" s="3">
        <v>1.796</v>
      </c>
      <c r="AG294" s="3">
        <v>436</v>
      </c>
      <c r="AH294" s="3">
        <v>73.900000000000006</v>
      </c>
      <c r="AI294" s="3">
        <v>1819</v>
      </c>
      <c r="AJ294" s="3">
        <v>1.2909999999999999</v>
      </c>
      <c r="AK294" s="3">
        <v>1.141</v>
      </c>
      <c r="AL294" s="3">
        <v>0.61299999999999999</v>
      </c>
      <c r="AM294" s="3">
        <v>1.2430000000000001</v>
      </c>
      <c r="AN294" s="3">
        <v>1.329</v>
      </c>
      <c r="AO294" s="3">
        <v>2.323</v>
      </c>
      <c r="AP294" s="3">
        <v>3.4209999999999998</v>
      </c>
      <c r="AQ294" s="3">
        <v>4.641</v>
      </c>
      <c r="AR294" s="3">
        <v>0.13</v>
      </c>
      <c r="AS294" s="3">
        <v>0.314</v>
      </c>
      <c r="AT294" s="3">
        <v>0.224</v>
      </c>
      <c r="AU294" s="3">
        <v>6.5000000000000002E-2</v>
      </c>
      <c r="AV294" s="3">
        <v>7.2999999999999995E-2</v>
      </c>
      <c r="AW294" s="3">
        <v>0.10100000000000001</v>
      </c>
      <c r="AX294" s="3">
        <v>3.2000000000000001E-2</v>
      </c>
      <c r="AY294" s="3">
        <v>6.0999999999999999E-2</v>
      </c>
      <c r="AZ294" s="3">
        <v>3.5840000000000001</v>
      </c>
      <c r="BA294" s="3"/>
      <c r="BB294" s="3">
        <v>12.26</v>
      </c>
      <c r="BC294" s="3">
        <v>2876</v>
      </c>
      <c r="BD294" s="3"/>
      <c r="BE294" s="3"/>
      <c r="BF294" s="3">
        <v>0</v>
      </c>
      <c r="BH294" s="16">
        <v>11.84</v>
      </c>
      <c r="BI294" s="16">
        <f t="shared" si="194"/>
        <v>23.916799999999999</v>
      </c>
      <c r="BJ294" s="17">
        <f t="shared" si="195"/>
        <v>3.31</v>
      </c>
      <c r="BK294" s="17">
        <f t="shared" si="196"/>
        <v>6.6</v>
      </c>
      <c r="BM294" s="1">
        <f t="shared" si="197"/>
        <v>99.6</v>
      </c>
      <c r="BN294" s="1">
        <f t="shared" si="198"/>
        <v>92.8</v>
      </c>
      <c r="BO294" s="1">
        <f t="shared" si="199"/>
        <v>69.3</v>
      </c>
      <c r="BP294" s="62">
        <f t="shared" si="201"/>
        <v>0.82</v>
      </c>
      <c r="BQ294" s="62">
        <f t="shared" si="200"/>
        <v>0.36299999999999999</v>
      </c>
      <c r="BS294" s="3">
        <v>0.30000001192092896</v>
      </c>
      <c r="BT294" s="8"/>
      <c r="BV294" s="8"/>
      <c r="BW294" s="16">
        <f t="shared" si="202"/>
        <v>3.31</v>
      </c>
      <c r="BX294" s="16">
        <f t="shared" si="203"/>
        <v>6.6</v>
      </c>
      <c r="BY294" s="3">
        <f t="shared" si="204"/>
        <v>4.8</v>
      </c>
      <c r="BZ294" s="3">
        <f t="shared" si="205"/>
        <v>4.3</v>
      </c>
      <c r="CA294" s="3">
        <f t="shared" si="206"/>
        <v>4.2</v>
      </c>
      <c r="CB294" s="3">
        <f t="shared" si="207"/>
        <v>2.4</v>
      </c>
      <c r="CC294" s="3">
        <f t="shared" si="208"/>
        <v>2.5</v>
      </c>
      <c r="CD294" s="3">
        <f t="shared" si="209"/>
        <v>3.5</v>
      </c>
      <c r="CE294" s="3">
        <f t="shared" si="210"/>
        <v>4.8</v>
      </c>
      <c r="CF294" s="23">
        <f t="shared" si="211"/>
        <v>92.8</v>
      </c>
      <c r="CG294" s="1">
        <f t="shared" si="212"/>
        <v>9.5</v>
      </c>
      <c r="CH294" s="1">
        <f t="shared" si="213"/>
        <v>9.1</v>
      </c>
      <c r="CI294" s="1">
        <f t="shared" si="214"/>
        <v>10.9</v>
      </c>
      <c r="CJ294" s="1">
        <f t="shared" si="215"/>
        <v>5.4</v>
      </c>
      <c r="CK294" s="1">
        <f t="shared" si="216"/>
        <v>2.6</v>
      </c>
      <c r="CL294" s="1">
        <f t="shared" si="217"/>
        <v>3.6</v>
      </c>
      <c r="CM294" s="1">
        <f t="shared" si="218"/>
        <v>4.8</v>
      </c>
      <c r="CN294" s="2">
        <f t="shared" si="219"/>
        <v>99.6</v>
      </c>
      <c r="CO294" s="1">
        <f t="shared" si="220"/>
        <v>1.8</v>
      </c>
      <c r="CP294" s="1">
        <f t="shared" si="221"/>
        <v>1.3</v>
      </c>
      <c r="CQ294" s="1">
        <f t="shared" si="222"/>
        <v>1.1000000000000001</v>
      </c>
      <c r="CR294" s="1">
        <f t="shared" si="223"/>
        <v>0.6</v>
      </c>
      <c r="CS294" s="1">
        <f t="shared" si="224"/>
        <v>2.2999999999999998</v>
      </c>
      <c r="CT294" s="1">
        <f t="shared" si="225"/>
        <v>3.4</v>
      </c>
      <c r="CU294" s="1">
        <f t="shared" si="226"/>
        <v>4.5999999999999996</v>
      </c>
      <c r="CV294" s="2">
        <f t="shared" si="227"/>
        <v>69.3</v>
      </c>
      <c r="CW294" s="18">
        <f t="shared" si="228"/>
        <v>0</v>
      </c>
      <c r="CX294" s="1">
        <f>ROUND(PPTest!K294,1)</f>
        <v>3</v>
      </c>
      <c r="CY294" s="17">
        <f t="shared" si="229"/>
        <v>1.32</v>
      </c>
      <c r="CZ294" s="17">
        <f t="shared" si="230"/>
        <v>5.86</v>
      </c>
      <c r="DA294" s="20">
        <f t="shared" si="231"/>
        <v>0.82</v>
      </c>
      <c r="DB294" s="20">
        <f t="shared" si="232"/>
        <v>0.36299999999999999</v>
      </c>
      <c r="DC294" s="16">
        <f t="shared" si="233"/>
        <v>12.26</v>
      </c>
      <c r="DW294" s="1">
        <v>5.6</v>
      </c>
      <c r="DX294" s="1">
        <v>14.6</v>
      </c>
      <c r="DY294" s="1">
        <v>-1.1000000000000001</v>
      </c>
    </row>
    <row r="295" spans="1:129" x14ac:dyDescent="0.2">
      <c r="A295" s="40">
        <v>34988</v>
      </c>
      <c r="B295" s="3">
        <v>289</v>
      </c>
      <c r="C295" s="3">
        <v>2.9319999999999999</v>
      </c>
      <c r="D295" s="3">
        <v>5.7770000000000001</v>
      </c>
      <c r="E295" s="3">
        <v>2.2690000000000001</v>
      </c>
      <c r="F295" s="3">
        <v>101.1</v>
      </c>
      <c r="G295" s="3">
        <v>1.972</v>
      </c>
      <c r="H295" s="3">
        <v>1.8680000000000001</v>
      </c>
      <c r="I295" s="3">
        <v>1.883</v>
      </c>
      <c r="J295" s="3">
        <v>1.7729999999999999</v>
      </c>
      <c r="K295" s="3">
        <v>1.718</v>
      </c>
      <c r="L295" s="3">
        <v>2.8620000000000001</v>
      </c>
      <c r="M295" s="3">
        <v>3.395</v>
      </c>
      <c r="N295" s="3">
        <v>4.5250000000000004</v>
      </c>
      <c r="O295" s="3">
        <v>0</v>
      </c>
      <c r="P295" s="16">
        <v>2.5508333333333337</v>
      </c>
      <c r="Q295" s="3">
        <v>9</v>
      </c>
      <c r="R295" s="3">
        <v>5.4569999999999999</v>
      </c>
      <c r="S295" s="3">
        <v>14</v>
      </c>
      <c r="T295" s="3">
        <v>106.6</v>
      </c>
      <c r="U295" s="3">
        <v>1027</v>
      </c>
      <c r="V295" s="3">
        <v>5.27</v>
      </c>
      <c r="W295" s="3">
        <v>5.3090000000000002</v>
      </c>
      <c r="X295" s="3">
        <v>5.9039999999999999</v>
      </c>
      <c r="Y295" s="3">
        <v>5.4329999999999998</v>
      </c>
      <c r="Z295" s="3">
        <v>4.3730000000000002</v>
      </c>
      <c r="AA295" s="3">
        <v>3.4540000000000002</v>
      </c>
      <c r="AB295" s="3">
        <v>3.4830000000000001</v>
      </c>
      <c r="AC295" s="3">
        <v>4.6980000000000004</v>
      </c>
      <c r="AD295" s="16">
        <v>7.7275</v>
      </c>
      <c r="AE295" s="3">
        <v>610</v>
      </c>
      <c r="AF295" s="3">
        <v>-0.19</v>
      </c>
      <c r="AG295" s="3">
        <v>1837</v>
      </c>
      <c r="AH295" s="3">
        <v>81.900000000000006</v>
      </c>
      <c r="AI295" s="3">
        <v>1459</v>
      </c>
      <c r="AJ295" s="3">
        <v>-0.52400000000000002</v>
      </c>
      <c r="AK295" s="3">
        <v>-0.873</v>
      </c>
      <c r="AL295" s="3">
        <v>-0.59499999999999997</v>
      </c>
      <c r="AM295" s="3">
        <v>-0.78900000000000003</v>
      </c>
      <c r="AN295" s="3">
        <v>-0.74299999999999999</v>
      </c>
      <c r="AO295" s="3">
        <v>2.508</v>
      </c>
      <c r="AP295" s="3">
        <v>3.254</v>
      </c>
      <c r="AQ295" s="3">
        <v>4.3710000000000004</v>
      </c>
      <c r="AR295" s="3">
        <v>3.2000000000000001E-2</v>
      </c>
      <c r="AS295" s="3">
        <v>0.13900000000000001</v>
      </c>
      <c r="AT295" s="3">
        <v>7.8E-2</v>
      </c>
      <c r="AU295" s="3">
        <v>2.1999999999999999E-2</v>
      </c>
      <c r="AV295" s="3">
        <v>0.156</v>
      </c>
      <c r="AW295" s="3">
        <v>0.47799999999999998</v>
      </c>
      <c r="AX295" s="3">
        <v>7.8E-2</v>
      </c>
      <c r="AY295" s="3">
        <v>1.7000000000000001E-2</v>
      </c>
      <c r="AZ295" s="3">
        <v>1.915</v>
      </c>
      <c r="BA295" s="3"/>
      <c r="BB295" s="3">
        <v>12.24</v>
      </c>
      <c r="BC295" s="3">
        <v>2876</v>
      </c>
      <c r="BD295" s="3"/>
      <c r="BE295" s="3"/>
      <c r="BF295" s="3">
        <v>0</v>
      </c>
      <c r="BH295" s="16">
        <v>11.62</v>
      </c>
      <c r="BI295" s="16">
        <f t="shared" si="194"/>
        <v>23.4724</v>
      </c>
      <c r="BJ295" s="17">
        <f t="shared" si="195"/>
        <v>2.93</v>
      </c>
      <c r="BK295" s="17">
        <f t="shared" si="196"/>
        <v>6.24</v>
      </c>
      <c r="BM295" s="1">
        <f t="shared" si="197"/>
        <v>99.5</v>
      </c>
      <c r="BN295" s="1">
        <f t="shared" si="198"/>
        <v>94.4</v>
      </c>
      <c r="BO295" s="1">
        <f t="shared" si="199"/>
        <v>76.7</v>
      </c>
      <c r="BP295" s="62">
        <f t="shared" si="201"/>
        <v>0.69</v>
      </c>
      <c r="BQ295" s="62">
        <f t="shared" si="200"/>
        <v>0.21</v>
      </c>
      <c r="BS295" s="3">
        <v>9.3999996185302734</v>
      </c>
      <c r="BT295" s="8"/>
      <c r="BV295" s="8"/>
      <c r="BW295" s="16">
        <f t="shared" si="202"/>
        <v>2.93</v>
      </c>
      <c r="BX295" s="16">
        <f t="shared" si="203"/>
        <v>6.24</v>
      </c>
      <c r="BY295" s="3">
        <f t="shared" si="204"/>
        <v>2.2999999999999998</v>
      </c>
      <c r="BZ295" s="3">
        <f t="shared" si="205"/>
        <v>2</v>
      </c>
      <c r="CA295" s="3">
        <f t="shared" si="206"/>
        <v>1.9</v>
      </c>
      <c r="CB295" s="3">
        <f t="shared" si="207"/>
        <v>1.9</v>
      </c>
      <c r="CC295" s="3">
        <f t="shared" si="208"/>
        <v>2.9</v>
      </c>
      <c r="CD295" s="3">
        <f t="shared" si="209"/>
        <v>3.4</v>
      </c>
      <c r="CE295" s="3">
        <f t="shared" si="210"/>
        <v>4.5</v>
      </c>
      <c r="CF295" s="23">
        <f t="shared" si="211"/>
        <v>94.4</v>
      </c>
      <c r="CG295" s="1">
        <f t="shared" si="212"/>
        <v>5.5</v>
      </c>
      <c r="CH295" s="1">
        <f t="shared" si="213"/>
        <v>5.3</v>
      </c>
      <c r="CI295" s="1">
        <f t="shared" si="214"/>
        <v>5.3</v>
      </c>
      <c r="CJ295" s="1">
        <f t="shared" si="215"/>
        <v>5.9</v>
      </c>
      <c r="CK295" s="1">
        <f t="shared" si="216"/>
        <v>3.5</v>
      </c>
      <c r="CL295" s="1">
        <f t="shared" si="217"/>
        <v>3.5</v>
      </c>
      <c r="CM295" s="1">
        <f t="shared" si="218"/>
        <v>4.7</v>
      </c>
      <c r="CN295" s="2">
        <f t="shared" si="219"/>
        <v>99.5</v>
      </c>
      <c r="CO295" s="1">
        <f t="shared" si="220"/>
        <v>-0.2</v>
      </c>
      <c r="CP295" s="1">
        <f t="shared" si="221"/>
        <v>-0.5</v>
      </c>
      <c r="CQ295" s="1">
        <f t="shared" si="222"/>
        <v>-0.9</v>
      </c>
      <c r="CR295" s="1">
        <f t="shared" si="223"/>
        <v>-0.6</v>
      </c>
      <c r="CS295" s="1">
        <f t="shared" si="224"/>
        <v>2.5</v>
      </c>
      <c r="CT295" s="1">
        <f t="shared" si="225"/>
        <v>3.3</v>
      </c>
      <c r="CU295" s="1">
        <f t="shared" si="226"/>
        <v>4.4000000000000004</v>
      </c>
      <c r="CV295" s="2">
        <f t="shared" si="227"/>
        <v>76.7</v>
      </c>
      <c r="CW295" s="18">
        <f t="shared" si="228"/>
        <v>0</v>
      </c>
      <c r="CX295" s="1">
        <f>ROUND(PPTest!K295,1)</f>
        <v>9</v>
      </c>
      <c r="CY295" s="17">
        <f t="shared" si="229"/>
        <v>2.5499999999999998</v>
      </c>
      <c r="CZ295" s="17">
        <f t="shared" si="230"/>
        <v>7.73</v>
      </c>
      <c r="DA295" s="20">
        <f t="shared" si="231"/>
        <v>0.69</v>
      </c>
      <c r="DB295" s="20">
        <f t="shared" si="232"/>
        <v>0.21</v>
      </c>
      <c r="DC295" s="16">
        <f t="shared" si="233"/>
        <v>12.24</v>
      </c>
      <c r="DW295" s="1">
        <v>4.2</v>
      </c>
      <c r="DX295" s="1">
        <v>9.1999999999999993</v>
      </c>
      <c r="DY295" s="1">
        <v>-0.5</v>
      </c>
    </row>
    <row r="296" spans="1:129" x14ac:dyDescent="0.2">
      <c r="A296" s="40">
        <v>34989</v>
      </c>
      <c r="B296" s="3">
        <v>290</v>
      </c>
      <c r="C296" s="3">
        <v>1.335</v>
      </c>
      <c r="D296" s="3">
        <v>2.6459999999999999</v>
      </c>
      <c r="E296" s="3">
        <v>1.63</v>
      </c>
      <c r="F296" s="3">
        <v>100.4</v>
      </c>
      <c r="G296" s="3">
        <v>1.258</v>
      </c>
      <c r="H296" s="3">
        <v>0.97399999999999998</v>
      </c>
      <c r="I296" s="3">
        <v>0.59399999999999997</v>
      </c>
      <c r="J296" s="3">
        <v>0.86</v>
      </c>
      <c r="K296" s="3">
        <v>0.92</v>
      </c>
      <c r="L296" s="3">
        <v>2.3260000000000001</v>
      </c>
      <c r="M296" s="3">
        <v>3.3679999999999999</v>
      </c>
      <c r="N296" s="3">
        <v>4.3780000000000001</v>
      </c>
      <c r="O296" s="3">
        <v>0</v>
      </c>
      <c r="P296" s="16">
        <v>1.5958333333333334</v>
      </c>
      <c r="Q296" s="3">
        <v>15</v>
      </c>
      <c r="R296" s="3">
        <v>3.43</v>
      </c>
      <c r="S296" s="3">
        <v>1621</v>
      </c>
      <c r="T296" s="3">
        <v>105.5</v>
      </c>
      <c r="U296" s="3">
        <v>1819</v>
      </c>
      <c r="V296" s="3">
        <v>3.2909999999999999</v>
      </c>
      <c r="W296" s="3">
        <v>3.1640000000000001</v>
      </c>
      <c r="X296" s="3">
        <v>1.8220000000000001</v>
      </c>
      <c r="Y296" s="3">
        <v>2.65</v>
      </c>
      <c r="Z296" s="3">
        <v>2.798</v>
      </c>
      <c r="AA296" s="3">
        <v>2.5299999999999998</v>
      </c>
      <c r="AB296" s="3">
        <v>3.4830000000000001</v>
      </c>
      <c r="AC296" s="3">
        <v>4.4249999999999998</v>
      </c>
      <c r="AD296" s="16">
        <v>5.7408333333333337</v>
      </c>
      <c r="AE296" s="3">
        <v>2251</v>
      </c>
      <c r="AF296" s="3">
        <v>6.4000000000000001E-2</v>
      </c>
      <c r="AG296" s="3">
        <v>36</v>
      </c>
      <c r="AH296" s="3">
        <v>91.4</v>
      </c>
      <c r="AI296" s="3">
        <v>149</v>
      </c>
      <c r="AJ296" s="3">
        <v>-0.38700000000000001</v>
      </c>
      <c r="AK296" s="3">
        <v>-0.629</v>
      </c>
      <c r="AL296" s="3">
        <v>-0.56399999999999995</v>
      </c>
      <c r="AM296" s="3">
        <v>-0.59799999999999998</v>
      </c>
      <c r="AN296" s="3">
        <v>-0.52200000000000002</v>
      </c>
      <c r="AO296" s="3">
        <v>2.1930000000000001</v>
      </c>
      <c r="AP296" s="3">
        <v>3.2639999999999998</v>
      </c>
      <c r="AQ296" s="3">
        <v>4.343</v>
      </c>
      <c r="AR296" s="3">
        <v>6.7000000000000004E-2</v>
      </c>
      <c r="AS296" s="3">
        <v>0.08</v>
      </c>
      <c r="AT296" s="3">
        <v>0.08</v>
      </c>
      <c r="AU296" s="3">
        <v>6.2E-2</v>
      </c>
      <c r="AV296" s="3">
        <v>0.13500000000000001</v>
      </c>
      <c r="AW296" s="3">
        <v>0.30299999999999999</v>
      </c>
      <c r="AX296" s="3">
        <v>0.19</v>
      </c>
      <c r="AY296" s="3">
        <v>8.4000000000000005E-2</v>
      </c>
      <c r="AZ296" s="3">
        <v>0.76100000000000001</v>
      </c>
      <c r="BA296" s="3"/>
      <c r="BB296" s="3">
        <v>12.24</v>
      </c>
      <c r="BC296" s="3">
        <v>2876</v>
      </c>
      <c r="BD296" s="3"/>
      <c r="BE296" s="3"/>
      <c r="BF296" s="3">
        <v>0</v>
      </c>
      <c r="BH296" s="16">
        <v>11.41</v>
      </c>
      <c r="BI296" s="16">
        <f t="shared" si="194"/>
        <v>23.048200000000001</v>
      </c>
      <c r="BJ296" s="17">
        <f t="shared" si="195"/>
        <v>1.34</v>
      </c>
      <c r="BK296" s="17">
        <f t="shared" si="196"/>
        <v>2.86</v>
      </c>
      <c r="BM296" s="1">
        <f t="shared" si="197"/>
        <v>98.5</v>
      </c>
      <c r="BN296" s="1">
        <f t="shared" si="198"/>
        <v>93.8</v>
      </c>
      <c r="BO296" s="1">
        <f t="shared" si="199"/>
        <v>85.5</v>
      </c>
      <c r="BP296" s="62">
        <f t="shared" si="201"/>
        <v>0.66800000000000004</v>
      </c>
      <c r="BQ296" s="62">
        <f t="shared" si="200"/>
        <v>0.113</v>
      </c>
      <c r="BS296" s="3">
        <v>23.100000381469727</v>
      </c>
      <c r="BT296" s="8"/>
      <c r="BV296" s="8"/>
      <c r="BW296" s="16">
        <f t="shared" si="202"/>
        <v>1.34</v>
      </c>
      <c r="BX296" s="16">
        <f t="shared" si="203"/>
        <v>2.86</v>
      </c>
      <c r="BY296" s="3">
        <f t="shared" si="204"/>
        <v>1.6</v>
      </c>
      <c r="BZ296" s="3">
        <f t="shared" si="205"/>
        <v>1.3</v>
      </c>
      <c r="CA296" s="3">
        <f t="shared" si="206"/>
        <v>1</v>
      </c>
      <c r="CB296" s="3">
        <f t="shared" si="207"/>
        <v>0.6</v>
      </c>
      <c r="CC296" s="3">
        <f t="shared" si="208"/>
        <v>2.2999999999999998</v>
      </c>
      <c r="CD296" s="3">
        <f t="shared" si="209"/>
        <v>3.4</v>
      </c>
      <c r="CE296" s="3">
        <f t="shared" si="210"/>
        <v>4.4000000000000004</v>
      </c>
      <c r="CF296" s="23">
        <f t="shared" si="211"/>
        <v>93.8</v>
      </c>
      <c r="CG296" s="1">
        <f t="shared" si="212"/>
        <v>3.4</v>
      </c>
      <c r="CH296" s="1">
        <f t="shared" si="213"/>
        <v>3.3</v>
      </c>
      <c r="CI296" s="1">
        <f t="shared" si="214"/>
        <v>3.2</v>
      </c>
      <c r="CJ296" s="1">
        <f t="shared" si="215"/>
        <v>1.8</v>
      </c>
      <c r="CK296" s="1">
        <f t="shared" si="216"/>
        <v>2.5</v>
      </c>
      <c r="CL296" s="1">
        <f t="shared" si="217"/>
        <v>3.5</v>
      </c>
      <c r="CM296" s="1">
        <f t="shared" si="218"/>
        <v>4.4000000000000004</v>
      </c>
      <c r="CN296" s="2">
        <f t="shared" si="219"/>
        <v>98.5</v>
      </c>
      <c r="CO296" s="1">
        <f t="shared" si="220"/>
        <v>0.1</v>
      </c>
      <c r="CP296" s="1">
        <f t="shared" si="221"/>
        <v>-0.4</v>
      </c>
      <c r="CQ296" s="1">
        <f t="shared" si="222"/>
        <v>-0.6</v>
      </c>
      <c r="CR296" s="1">
        <f t="shared" si="223"/>
        <v>-0.6</v>
      </c>
      <c r="CS296" s="1">
        <f t="shared" si="224"/>
        <v>2.2000000000000002</v>
      </c>
      <c r="CT296" s="1">
        <f t="shared" si="225"/>
        <v>3.3</v>
      </c>
      <c r="CU296" s="1">
        <f t="shared" si="226"/>
        <v>4.3</v>
      </c>
      <c r="CV296" s="2">
        <f t="shared" si="227"/>
        <v>85.5</v>
      </c>
      <c r="CW296" s="18">
        <f t="shared" si="228"/>
        <v>0</v>
      </c>
      <c r="CX296" s="1">
        <f>ROUND(PPTest!K296,1)</f>
        <v>15</v>
      </c>
      <c r="CY296" s="17">
        <f t="shared" si="229"/>
        <v>1.6</v>
      </c>
      <c r="CZ296" s="17">
        <f t="shared" si="230"/>
        <v>5.74</v>
      </c>
      <c r="DA296" s="20">
        <f t="shared" si="231"/>
        <v>0.66800000000000004</v>
      </c>
      <c r="DB296" s="20">
        <f t="shared" si="232"/>
        <v>0.113</v>
      </c>
      <c r="DC296" s="16">
        <f t="shared" si="233"/>
        <v>12.24</v>
      </c>
      <c r="DW296" s="1">
        <v>2</v>
      </c>
      <c r="DX296" s="1">
        <v>6.5</v>
      </c>
      <c r="DY296" s="1">
        <v>-0.2</v>
      </c>
    </row>
    <row r="297" spans="1:129" x14ac:dyDescent="0.2">
      <c r="A297" s="40">
        <v>34990</v>
      </c>
      <c r="B297" s="42">
        <v>291</v>
      </c>
      <c r="C297" s="3">
        <v>3.8929999999999998</v>
      </c>
      <c r="D297" s="3">
        <v>7.11</v>
      </c>
      <c r="E297" s="3">
        <v>-1.153</v>
      </c>
      <c r="F297" s="3">
        <v>101</v>
      </c>
      <c r="G297" s="3">
        <v>-1.3580000000000001</v>
      </c>
      <c r="H297" s="3">
        <v>-1.5029999999999999</v>
      </c>
      <c r="I297" s="3">
        <v>-1.137</v>
      </c>
      <c r="J297" s="3">
        <v>-1.147</v>
      </c>
      <c r="K297" s="3">
        <v>-1.0580000000000001</v>
      </c>
      <c r="L297" s="3">
        <v>2.0049999999999999</v>
      </c>
      <c r="M297" s="3">
        <v>3.1419999999999999</v>
      </c>
      <c r="N297" s="3">
        <v>4.2640000000000002</v>
      </c>
      <c r="O297" s="3">
        <v>0</v>
      </c>
      <c r="P297" s="3">
        <v>2.0825</v>
      </c>
      <c r="Q297" s="3">
        <v>1</v>
      </c>
      <c r="R297" s="3">
        <v>2.2669999999999999</v>
      </c>
      <c r="S297" s="3">
        <v>1518</v>
      </c>
      <c r="T297" s="3">
        <v>106.6</v>
      </c>
      <c r="U297" s="3">
        <v>512</v>
      </c>
      <c r="V297" s="3">
        <v>2.8929999999999998</v>
      </c>
      <c r="W297" s="3">
        <v>3.1629999999999998</v>
      </c>
      <c r="X297" s="3">
        <v>1.742</v>
      </c>
      <c r="Y297" s="3">
        <v>3.1930000000000001</v>
      </c>
      <c r="Z297" s="3">
        <v>0.64200000000000002</v>
      </c>
      <c r="AA297" s="3">
        <v>2.2749999999999999</v>
      </c>
      <c r="AB297" s="3">
        <v>3.274</v>
      </c>
      <c r="AC297" s="3">
        <v>4.359</v>
      </c>
      <c r="AD297" s="3">
        <v>5.6341666666666672</v>
      </c>
      <c r="AE297" s="3">
        <v>629</v>
      </c>
      <c r="AF297" s="3">
        <v>-5.2809999999999997</v>
      </c>
      <c r="AG297" s="3">
        <v>2343</v>
      </c>
      <c r="AH297" s="3">
        <v>75.7</v>
      </c>
      <c r="AI297" s="3">
        <v>1525</v>
      </c>
      <c r="AJ297" s="3">
        <v>-5.9219999999999997</v>
      </c>
      <c r="AK297" s="3">
        <v>-6.46</v>
      </c>
      <c r="AL297" s="3">
        <v>-5.63</v>
      </c>
      <c r="AM297" s="3">
        <v>-6.1779999999999999</v>
      </c>
      <c r="AN297" s="3">
        <v>-6.2069999999999999</v>
      </c>
      <c r="AO297" s="3">
        <v>1.712</v>
      </c>
      <c r="AP297" s="3">
        <v>2.976</v>
      </c>
      <c r="AQ297" s="3">
        <v>4.165</v>
      </c>
      <c r="AR297" s="3">
        <v>1.2999999999999999E-2</v>
      </c>
      <c r="AS297" s="3">
        <v>0.21</v>
      </c>
      <c r="AT297" s="3">
        <v>9.1999999999999998E-2</v>
      </c>
      <c r="AU297" s="3">
        <v>3.3000000000000002E-2</v>
      </c>
      <c r="AV297" s="3">
        <v>0.19</v>
      </c>
      <c r="AW297" s="3">
        <v>0.39700000000000002</v>
      </c>
      <c r="AX297" s="3">
        <v>6.3E-2</v>
      </c>
      <c r="AY297" s="3">
        <v>4.0000000000000001E-3</v>
      </c>
      <c r="AZ297" s="3">
        <v>-1.46</v>
      </c>
      <c r="BA297" s="3"/>
      <c r="BB297" s="3">
        <v>12.22</v>
      </c>
      <c r="BC297" s="3">
        <v>2876</v>
      </c>
      <c r="BD297" s="3"/>
      <c r="BE297" s="3"/>
      <c r="BF297" s="3">
        <v>0</v>
      </c>
      <c r="BH297" s="16">
        <v>11.19</v>
      </c>
      <c r="BI297" s="16">
        <f t="shared" si="194"/>
        <v>22.6038</v>
      </c>
      <c r="BJ297" s="17">
        <f t="shared" si="195"/>
        <v>3.89</v>
      </c>
      <c r="BK297" s="17">
        <f t="shared" si="196"/>
        <v>7.68</v>
      </c>
      <c r="BM297" s="1">
        <f t="shared" si="197"/>
        <v>99.5</v>
      </c>
      <c r="BN297" s="1">
        <f t="shared" si="198"/>
        <v>94.3</v>
      </c>
      <c r="BO297" s="1">
        <f t="shared" si="199"/>
        <v>70.900000000000006</v>
      </c>
      <c r="BP297" s="62">
        <f t="shared" si="201"/>
        <v>0.51</v>
      </c>
      <c r="BQ297" s="62">
        <f t="shared" si="200"/>
        <v>0.20899999999999999</v>
      </c>
      <c r="BS297" s="3">
        <v>2.5</v>
      </c>
      <c r="BT297" s="8"/>
      <c r="BV297" s="8"/>
      <c r="BW297" s="16">
        <f t="shared" si="202"/>
        <v>3.89</v>
      </c>
      <c r="BX297" s="16">
        <f t="shared" si="203"/>
        <v>7.68</v>
      </c>
      <c r="BY297" s="3">
        <f t="shared" si="204"/>
        <v>-1.2</v>
      </c>
      <c r="BZ297" s="3">
        <f t="shared" si="205"/>
        <v>-1.4</v>
      </c>
      <c r="CA297" s="3">
        <f t="shared" si="206"/>
        <v>-1.5</v>
      </c>
      <c r="CB297" s="3">
        <f t="shared" si="207"/>
        <v>-1.1000000000000001</v>
      </c>
      <c r="CC297" s="3">
        <f t="shared" si="208"/>
        <v>2</v>
      </c>
      <c r="CD297" s="3">
        <f t="shared" si="209"/>
        <v>3.1</v>
      </c>
      <c r="CE297" s="3">
        <f t="shared" si="210"/>
        <v>4.3</v>
      </c>
      <c r="CF297" s="23">
        <f t="shared" si="211"/>
        <v>94.3</v>
      </c>
      <c r="CG297" s="1">
        <f t="shared" si="212"/>
        <v>2.2999999999999998</v>
      </c>
      <c r="CH297" s="1">
        <f t="shared" si="213"/>
        <v>2.9</v>
      </c>
      <c r="CI297" s="1">
        <f t="shared" si="214"/>
        <v>3.2</v>
      </c>
      <c r="CJ297" s="1">
        <f t="shared" si="215"/>
        <v>1.7</v>
      </c>
      <c r="CK297" s="1">
        <f t="shared" si="216"/>
        <v>2.2999999999999998</v>
      </c>
      <c r="CL297" s="1">
        <f t="shared" si="217"/>
        <v>3.3</v>
      </c>
      <c r="CM297" s="1">
        <f t="shared" si="218"/>
        <v>4.4000000000000004</v>
      </c>
      <c r="CN297" s="2">
        <f t="shared" si="219"/>
        <v>99.5</v>
      </c>
      <c r="CO297" s="1">
        <f t="shared" si="220"/>
        <v>-5.3</v>
      </c>
      <c r="CP297" s="1">
        <f t="shared" si="221"/>
        <v>-5.9</v>
      </c>
      <c r="CQ297" s="1">
        <f t="shared" si="222"/>
        <v>-6.5</v>
      </c>
      <c r="CR297" s="1">
        <f t="shared" si="223"/>
        <v>-5.6</v>
      </c>
      <c r="CS297" s="1">
        <f t="shared" si="224"/>
        <v>1.7</v>
      </c>
      <c r="CT297" s="1">
        <f t="shared" si="225"/>
        <v>3</v>
      </c>
      <c r="CU297" s="1">
        <f t="shared" si="226"/>
        <v>4.2</v>
      </c>
      <c r="CV297" s="2">
        <f t="shared" si="227"/>
        <v>70.900000000000006</v>
      </c>
      <c r="CW297" s="18">
        <f t="shared" si="228"/>
        <v>0</v>
      </c>
      <c r="CX297" s="1">
        <f>ROUND(PPTest!K297,1)</f>
        <v>1</v>
      </c>
      <c r="CY297" s="17">
        <f t="shared" si="229"/>
        <v>2.08</v>
      </c>
      <c r="CZ297" s="17">
        <f t="shared" si="230"/>
        <v>5.63</v>
      </c>
      <c r="DA297" s="20">
        <f t="shared" si="231"/>
        <v>0.51</v>
      </c>
      <c r="DB297" s="20">
        <f t="shared" si="232"/>
        <v>0.20899999999999999</v>
      </c>
      <c r="DC297" s="16">
        <f t="shared" si="233"/>
        <v>12.22</v>
      </c>
      <c r="DW297" s="1">
        <v>-0.1</v>
      </c>
      <c r="DX297" s="1">
        <v>7.5</v>
      </c>
      <c r="DY297" s="1">
        <v>-5.5</v>
      </c>
    </row>
    <row r="298" spans="1:129" x14ac:dyDescent="0.2">
      <c r="A298" s="40">
        <v>34991</v>
      </c>
      <c r="B298" s="42">
        <v>292</v>
      </c>
      <c r="C298" s="3">
        <v>9.66</v>
      </c>
      <c r="D298" s="3">
        <v>17.47</v>
      </c>
      <c r="E298" s="3">
        <v>0.13600000000000001</v>
      </c>
      <c r="F298" s="3">
        <v>76</v>
      </c>
      <c r="G298" s="3">
        <v>-0.251</v>
      </c>
      <c r="H298" s="3">
        <v>-0.40699999999999997</v>
      </c>
      <c r="I298" s="3">
        <v>-0.89300000000000002</v>
      </c>
      <c r="J298" s="3">
        <v>-0.39300000000000002</v>
      </c>
      <c r="K298" s="3">
        <v>-0.42099999999999999</v>
      </c>
      <c r="L298" s="3">
        <v>1.407</v>
      </c>
      <c r="M298" s="3">
        <v>2.8809999999999998</v>
      </c>
      <c r="N298" s="3">
        <v>4.1609999999999996</v>
      </c>
      <c r="O298" s="3">
        <v>0</v>
      </c>
      <c r="P298" s="3">
        <v>1.7641666666666667</v>
      </c>
      <c r="Q298" s="3">
        <v>5</v>
      </c>
      <c r="R298" s="3">
        <v>6.2939999999999996</v>
      </c>
      <c r="S298" s="3">
        <v>1443</v>
      </c>
      <c r="T298" s="3">
        <v>104.7</v>
      </c>
      <c r="U298" s="3">
        <v>551</v>
      </c>
      <c r="V298" s="3">
        <v>5.7720000000000002</v>
      </c>
      <c r="W298" s="3">
        <v>7.91</v>
      </c>
      <c r="X298" s="3">
        <v>7.89</v>
      </c>
      <c r="Y298" s="3">
        <v>11.09</v>
      </c>
      <c r="Z298" s="3">
        <v>8.15</v>
      </c>
      <c r="AA298" s="3">
        <v>1.78</v>
      </c>
      <c r="AB298" s="3">
        <v>3.06</v>
      </c>
      <c r="AC298" s="3">
        <v>4.3920000000000003</v>
      </c>
      <c r="AD298" s="3">
        <v>4.9008333333333338</v>
      </c>
      <c r="AE298" s="3">
        <v>1500</v>
      </c>
      <c r="AF298" s="3">
        <v>-6.5350000000000001</v>
      </c>
      <c r="AG298" s="3">
        <v>302</v>
      </c>
      <c r="AH298" s="3">
        <v>48.33</v>
      </c>
      <c r="AI298" s="3">
        <v>1448</v>
      </c>
      <c r="AJ298" s="3">
        <v>-7.03</v>
      </c>
      <c r="AK298" s="3">
        <v>-7.57</v>
      </c>
      <c r="AL298" s="3">
        <v>-7.21</v>
      </c>
      <c r="AM298" s="3">
        <v>-7.47</v>
      </c>
      <c r="AN298" s="3">
        <v>-7.39</v>
      </c>
      <c r="AO298" s="3">
        <v>0.89700000000000002</v>
      </c>
      <c r="AP298" s="3">
        <v>2.6709999999999998</v>
      </c>
      <c r="AQ298" s="3">
        <v>3.9950000000000001</v>
      </c>
      <c r="AR298" s="3">
        <v>7.0999999999999994E-2</v>
      </c>
      <c r="AS298" s="3">
        <v>0.32800000000000001</v>
      </c>
      <c r="AT298" s="3">
        <v>0.32700000000000001</v>
      </c>
      <c r="AU298" s="3">
        <v>0.112</v>
      </c>
      <c r="AV298" s="3">
        <v>5.1999999999999998E-2</v>
      </c>
      <c r="AW298" s="3">
        <v>4.9000000000000002E-2</v>
      </c>
      <c r="AX298" s="3">
        <v>2.4E-2</v>
      </c>
      <c r="AY298" s="3">
        <v>3.5999999999999997E-2</v>
      </c>
      <c r="AZ298" s="3">
        <v>-1.141</v>
      </c>
      <c r="BA298" s="3"/>
      <c r="BB298" s="3">
        <v>12.23</v>
      </c>
      <c r="BC298" s="3">
        <v>2876</v>
      </c>
      <c r="BD298" s="3"/>
      <c r="BE298" s="3"/>
      <c r="BF298" s="3">
        <v>0</v>
      </c>
      <c r="BH298" s="16">
        <v>10.98</v>
      </c>
      <c r="BI298" s="16">
        <f t="shared" si="194"/>
        <v>22.179600000000001</v>
      </c>
      <c r="BJ298" s="17">
        <f t="shared" si="195"/>
        <v>9.66</v>
      </c>
      <c r="BK298" s="17">
        <f t="shared" si="196"/>
        <v>18.87</v>
      </c>
      <c r="BM298" s="1">
        <f t="shared" si="197"/>
        <v>97.7</v>
      </c>
      <c r="BN298" s="1">
        <f t="shared" si="198"/>
        <v>71.2</v>
      </c>
      <c r="BO298" s="1">
        <f t="shared" si="199"/>
        <v>45.7</v>
      </c>
      <c r="BP298" s="62">
        <f t="shared" si="201"/>
        <v>0.436</v>
      </c>
      <c r="BQ298" s="62">
        <f t="shared" si="200"/>
        <v>0.51800000000000002</v>
      </c>
      <c r="BS298" s="3">
        <v>0.5</v>
      </c>
      <c r="BT298" s="8"/>
      <c r="BV298" s="8"/>
      <c r="BW298" s="16">
        <f t="shared" si="202"/>
        <v>9.66</v>
      </c>
      <c r="BX298" s="16">
        <f t="shared" si="203"/>
        <v>18.87</v>
      </c>
      <c r="BY298" s="3">
        <f t="shared" si="204"/>
        <v>0.1</v>
      </c>
      <c r="BZ298" s="3">
        <f t="shared" si="205"/>
        <v>-0.3</v>
      </c>
      <c r="CA298" s="3">
        <f t="shared" si="206"/>
        <v>-0.4</v>
      </c>
      <c r="CB298" s="3">
        <f t="shared" si="207"/>
        <v>-0.9</v>
      </c>
      <c r="CC298" s="3">
        <f t="shared" si="208"/>
        <v>1.4</v>
      </c>
      <c r="CD298" s="3">
        <f t="shared" si="209"/>
        <v>2.9</v>
      </c>
      <c r="CE298" s="3">
        <f t="shared" si="210"/>
        <v>4.2</v>
      </c>
      <c r="CF298" s="23">
        <f t="shared" si="211"/>
        <v>71.2</v>
      </c>
      <c r="CG298" s="1">
        <f t="shared" si="212"/>
        <v>6.3</v>
      </c>
      <c r="CH298" s="1">
        <f t="shared" si="213"/>
        <v>5.8</v>
      </c>
      <c r="CI298" s="1">
        <f t="shared" si="214"/>
        <v>7.9</v>
      </c>
      <c r="CJ298" s="1">
        <f t="shared" si="215"/>
        <v>7.9</v>
      </c>
      <c r="CK298" s="1">
        <f t="shared" si="216"/>
        <v>1.8</v>
      </c>
      <c r="CL298" s="1">
        <f t="shared" si="217"/>
        <v>3.1</v>
      </c>
      <c r="CM298" s="1">
        <f t="shared" si="218"/>
        <v>4.4000000000000004</v>
      </c>
      <c r="CN298" s="2">
        <f t="shared" si="219"/>
        <v>97.7</v>
      </c>
      <c r="CO298" s="1">
        <f t="shared" si="220"/>
        <v>-6.5</v>
      </c>
      <c r="CP298" s="1">
        <f t="shared" si="221"/>
        <v>-7</v>
      </c>
      <c r="CQ298" s="1">
        <f t="shared" si="222"/>
        <v>-7.6</v>
      </c>
      <c r="CR298" s="1">
        <f t="shared" si="223"/>
        <v>-7.2</v>
      </c>
      <c r="CS298" s="1">
        <f t="shared" si="224"/>
        <v>0.9</v>
      </c>
      <c r="CT298" s="1">
        <f t="shared" si="225"/>
        <v>2.7</v>
      </c>
      <c r="CU298" s="1">
        <f t="shared" si="226"/>
        <v>4</v>
      </c>
      <c r="CV298" s="2">
        <f t="shared" si="227"/>
        <v>45.7</v>
      </c>
      <c r="CW298" s="18">
        <f t="shared" si="228"/>
        <v>0</v>
      </c>
      <c r="CX298" s="1">
        <f>ROUND(PPTest!K298,1)</f>
        <v>5</v>
      </c>
      <c r="CY298" s="17">
        <f t="shared" si="229"/>
        <v>1.76</v>
      </c>
      <c r="CZ298" s="17">
        <f t="shared" si="230"/>
        <v>4.9000000000000004</v>
      </c>
      <c r="DA298" s="20">
        <f t="shared" si="231"/>
        <v>0.436</v>
      </c>
      <c r="DB298" s="20">
        <f t="shared" si="232"/>
        <v>0.51800000000000002</v>
      </c>
      <c r="DC298" s="16">
        <f t="shared" si="233"/>
        <v>12.23</v>
      </c>
      <c r="DW298" s="1">
        <v>1.1000000000000001</v>
      </c>
      <c r="DX298" s="1">
        <v>8.5</v>
      </c>
      <c r="DY298" s="1">
        <v>-5.7</v>
      </c>
    </row>
    <row r="299" spans="1:129" x14ac:dyDescent="0.2">
      <c r="A299" s="40">
        <v>34992</v>
      </c>
      <c r="B299" s="42">
        <v>293</v>
      </c>
      <c r="C299" s="3">
        <v>4.7380000000000004</v>
      </c>
      <c r="D299" s="3">
        <v>8.85</v>
      </c>
      <c r="E299" s="3">
        <v>1.4219999999999999</v>
      </c>
      <c r="F299" s="3">
        <v>82.2</v>
      </c>
      <c r="G299" s="3">
        <v>1.0429999999999999</v>
      </c>
      <c r="H299" s="3">
        <v>0.95699999999999996</v>
      </c>
      <c r="I299" s="3">
        <v>0.25600000000000001</v>
      </c>
      <c r="J299" s="3">
        <v>0.96399999999999997</v>
      </c>
      <c r="K299" s="3">
        <v>1.1040000000000001</v>
      </c>
      <c r="L299" s="3">
        <v>1.7649999999999999</v>
      </c>
      <c r="M299" s="3">
        <v>2.7210000000000001</v>
      </c>
      <c r="N299" s="3">
        <v>3.9990000000000001</v>
      </c>
      <c r="O299" s="3">
        <v>0</v>
      </c>
      <c r="P299" s="3">
        <v>2.1724999999999999</v>
      </c>
      <c r="Q299" s="3">
        <v>2</v>
      </c>
      <c r="R299" s="3">
        <v>3.9380000000000002</v>
      </c>
      <c r="S299" s="3">
        <v>1213</v>
      </c>
      <c r="T299" s="3">
        <v>103</v>
      </c>
      <c r="U299" s="3">
        <v>433</v>
      </c>
      <c r="V299" s="3">
        <v>4.2039999999999997</v>
      </c>
      <c r="W299" s="3">
        <v>6.3520000000000003</v>
      </c>
      <c r="X299" s="3">
        <v>5.258</v>
      </c>
      <c r="Y299" s="3">
        <v>4.4770000000000003</v>
      </c>
      <c r="Z299" s="3">
        <v>5.8760000000000003</v>
      </c>
      <c r="AA299" s="3">
        <v>2.39</v>
      </c>
      <c r="AB299" s="3">
        <v>2.8069999999999999</v>
      </c>
      <c r="AC299" s="3">
        <v>4.1349999999999998</v>
      </c>
      <c r="AD299" s="3">
        <v>5.8608333333333329</v>
      </c>
      <c r="AE299" s="3">
        <v>1201</v>
      </c>
      <c r="AF299" s="3">
        <v>-1.8580000000000001</v>
      </c>
      <c r="AG299" s="3">
        <v>2111</v>
      </c>
      <c r="AH299" s="3">
        <v>46.42</v>
      </c>
      <c r="AI299" s="3">
        <v>112</v>
      </c>
      <c r="AJ299" s="3">
        <v>-2.657</v>
      </c>
      <c r="AK299" s="3">
        <v>-3.1360000000000001</v>
      </c>
      <c r="AL299" s="3">
        <v>-3.7610000000000001</v>
      </c>
      <c r="AM299" s="3">
        <v>-1.224</v>
      </c>
      <c r="AN299" s="3">
        <v>-2.0819999999999999</v>
      </c>
      <c r="AO299" s="3">
        <v>1.4450000000000001</v>
      </c>
      <c r="AP299" s="3">
        <v>2.6429999999999998</v>
      </c>
      <c r="AQ299" s="3">
        <v>3.7839999999999998</v>
      </c>
      <c r="AR299" s="3">
        <v>0.03</v>
      </c>
      <c r="AS299" s="3">
        <v>7.1999999999999995E-2</v>
      </c>
      <c r="AT299" s="3">
        <v>7.2999999999999995E-2</v>
      </c>
      <c r="AU299" s="3">
        <v>9.0999999999999998E-2</v>
      </c>
      <c r="AV299" s="3">
        <v>0.21099999999999999</v>
      </c>
      <c r="AW299" s="3">
        <v>0.35799999999999998</v>
      </c>
      <c r="AX299" s="3">
        <v>0.123</v>
      </c>
      <c r="AY299" s="3">
        <v>4.2000000000000003E-2</v>
      </c>
      <c r="AZ299" s="3">
        <v>0.67300000000000004</v>
      </c>
      <c r="BA299" s="3"/>
      <c r="BB299" s="3">
        <v>12.23</v>
      </c>
      <c r="BC299" s="3">
        <v>2876</v>
      </c>
      <c r="BD299" s="3"/>
      <c r="BE299" s="3"/>
      <c r="BF299" s="3">
        <v>0</v>
      </c>
      <c r="BH299" s="16">
        <v>10.77</v>
      </c>
      <c r="BI299" s="16">
        <f t="shared" si="194"/>
        <v>21.755399999999998</v>
      </c>
      <c r="BJ299" s="17">
        <f t="shared" si="195"/>
        <v>4.74</v>
      </c>
      <c r="BK299" s="17">
        <f t="shared" si="196"/>
        <v>9.56</v>
      </c>
      <c r="BM299" s="1">
        <f t="shared" si="197"/>
        <v>96.2</v>
      </c>
      <c r="BN299" s="1">
        <f t="shared" si="198"/>
        <v>77</v>
      </c>
      <c r="BO299" s="1">
        <f t="shared" si="199"/>
        <v>43.9</v>
      </c>
      <c r="BP299" s="62">
        <f t="shared" si="201"/>
        <v>0.35499999999999998</v>
      </c>
      <c r="BQ299" s="62">
        <f t="shared" si="200"/>
        <v>0.45400000000000001</v>
      </c>
      <c r="BS299" s="3">
        <v>3.2999999523162842</v>
      </c>
      <c r="BT299" s="8"/>
      <c r="BV299" s="8"/>
      <c r="BW299" s="16">
        <f t="shared" si="202"/>
        <v>4.74</v>
      </c>
      <c r="BX299" s="16">
        <f t="shared" si="203"/>
        <v>9.56</v>
      </c>
      <c r="BY299" s="3">
        <f t="shared" si="204"/>
        <v>1.4</v>
      </c>
      <c r="BZ299" s="3">
        <f t="shared" si="205"/>
        <v>1</v>
      </c>
      <c r="CA299" s="3">
        <f t="shared" si="206"/>
        <v>1</v>
      </c>
      <c r="CB299" s="3">
        <f t="shared" si="207"/>
        <v>0.3</v>
      </c>
      <c r="CC299" s="3">
        <f t="shared" si="208"/>
        <v>1.8</v>
      </c>
      <c r="CD299" s="3">
        <f t="shared" si="209"/>
        <v>2.7</v>
      </c>
      <c r="CE299" s="3">
        <f t="shared" si="210"/>
        <v>4</v>
      </c>
      <c r="CF299" s="23">
        <f t="shared" si="211"/>
        <v>77</v>
      </c>
      <c r="CG299" s="1">
        <f t="shared" si="212"/>
        <v>3.9</v>
      </c>
      <c r="CH299" s="1">
        <f t="shared" si="213"/>
        <v>4.2</v>
      </c>
      <c r="CI299" s="1">
        <f t="shared" si="214"/>
        <v>6.4</v>
      </c>
      <c r="CJ299" s="1">
        <f t="shared" si="215"/>
        <v>5.3</v>
      </c>
      <c r="CK299" s="1">
        <f t="shared" si="216"/>
        <v>2.4</v>
      </c>
      <c r="CL299" s="1">
        <f t="shared" si="217"/>
        <v>2.8</v>
      </c>
      <c r="CM299" s="1">
        <f t="shared" si="218"/>
        <v>4.0999999999999996</v>
      </c>
      <c r="CN299" s="2">
        <f t="shared" si="219"/>
        <v>96.2</v>
      </c>
      <c r="CO299" s="1">
        <f t="shared" si="220"/>
        <v>-1.9</v>
      </c>
      <c r="CP299" s="1">
        <f t="shared" si="221"/>
        <v>-2.7</v>
      </c>
      <c r="CQ299" s="1">
        <f t="shared" si="222"/>
        <v>-3.1</v>
      </c>
      <c r="CR299" s="1">
        <f t="shared" si="223"/>
        <v>-3.8</v>
      </c>
      <c r="CS299" s="1">
        <f t="shared" si="224"/>
        <v>1.4</v>
      </c>
      <c r="CT299" s="1">
        <f t="shared" si="225"/>
        <v>2.6</v>
      </c>
      <c r="CU299" s="1">
        <f t="shared" si="226"/>
        <v>3.8</v>
      </c>
      <c r="CV299" s="2">
        <f t="shared" si="227"/>
        <v>43.9</v>
      </c>
      <c r="CW299" s="18">
        <f t="shared" si="228"/>
        <v>0</v>
      </c>
      <c r="CX299" s="1">
        <f>ROUND(PPTest!K299,1)</f>
        <v>2</v>
      </c>
      <c r="CY299" s="17">
        <f t="shared" si="229"/>
        <v>2.17</v>
      </c>
      <c r="CZ299" s="17">
        <f t="shared" si="230"/>
        <v>5.86</v>
      </c>
      <c r="DA299" s="20">
        <f t="shared" si="231"/>
        <v>0.35499999999999998</v>
      </c>
      <c r="DB299" s="20">
        <f t="shared" si="232"/>
        <v>0.45400000000000001</v>
      </c>
      <c r="DC299" s="16">
        <f t="shared" si="233"/>
        <v>12.23</v>
      </c>
      <c r="DW299" s="1">
        <v>1.8</v>
      </c>
      <c r="DX299" s="1">
        <v>8.5</v>
      </c>
      <c r="DY299" s="1">
        <v>-3</v>
      </c>
    </row>
    <row r="300" spans="1:129" x14ac:dyDescent="0.2">
      <c r="A300" s="40">
        <v>34993</v>
      </c>
      <c r="B300" s="42">
        <v>294</v>
      </c>
      <c r="C300" s="3">
        <v>5.8620000000000001</v>
      </c>
      <c r="D300" s="3">
        <v>10.96</v>
      </c>
      <c r="E300" s="3">
        <v>-0.82199999999999995</v>
      </c>
      <c r="F300" s="3">
        <v>95.5</v>
      </c>
      <c r="G300" s="3">
        <v>-1.081</v>
      </c>
      <c r="H300" s="3">
        <v>-1.169</v>
      </c>
      <c r="I300" s="3">
        <v>-0.83799999999999997</v>
      </c>
      <c r="J300" s="3">
        <v>-0.77900000000000003</v>
      </c>
      <c r="K300" s="3">
        <v>-0.71099999999999997</v>
      </c>
      <c r="L300" s="3">
        <v>1.444</v>
      </c>
      <c r="M300" s="3">
        <v>2.64</v>
      </c>
      <c r="N300" s="3">
        <v>3.7709999999999999</v>
      </c>
      <c r="O300" s="3">
        <v>0</v>
      </c>
      <c r="P300" s="3">
        <v>1.3213333333333332</v>
      </c>
      <c r="Q300" s="3">
        <v>0</v>
      </c>
      <c r="R300" s="3">
        <v>1.9</v>
      </c>
      <c r="S300" s="3">
        <v>1543</v>
      </c>
      <c r="T300" s="3">
        <v>105.2</v>
      </c>
      <c r="U300" s="3">
        <v>2315</v>
      </c>
      <c r="V300" s="3">
        <v>2.4620000000000002</v>
      </c>
      <c r="W300" s="3">
        <v>3.8260000000000001</v>
      </c>
      <c r="X300" s="3">
        <v>5.7409999999999997</v>
      </c>
      <c r="Y300" s="3">
        <v>5.5810000000000004</v>
      </c>
      <c r="Z300" s="3">
        <v>4.617</v>
      </c>
      <c r="AA300" s="3">
        <v>1.8480000000000001</v>
      </c>
      <c r="AB300" s="3">
        <v>2.738</v>
      </c>
      <c r="AC300" s="3">
        <v>3.8860000000000001</v>
      </c>
      <c r="AD300" s="3">
        <v>3.7141666666666668</v>
      </c>
      <c r="AE300" s="3">
        <v>1128</v>
      </c>
      <c r="AF300" s="3">
        <v>-3.63</v>
      </c>
      <c r="AG300" s="3">
        <v>548</v>
      </c>
      <c r="AH300" s="3">
        <v>77.2</v>
      </c>
      <c r="AI300" s="3">
        <v>1254</v>
      </c>
      <c r="AJ300" s="3">
        <v>-4.2320000000000002</v>
      </c>
      <c r="AK300" s="3">
        <v>-4.8719999999999999</v>
      </c>
      <c r="AL300" s="3">
        <v>-4.9909999999999997</v>
      </c>
      <c r="AM300" s="3">
        <v>-4.1580000000000004</v>
      </c>
      <c r="AN300" s="3">
        <v>-4.1580000000000004</v>
      </c>
      <c r="AO300" s="3">
        <v>1.0549999999999999</v>
      </c>
      <c r="AP300" s="3">
        <v>2.5680000000000001</v>
      </c>
      <c r="AQ300" s="3">
        <v>3.6579999999999999</v>
      </c>
      <c r="AR300" s="3">
        <v>2.8000000000000001E-2</v>
      </c>
      <c r="AS300" s="3">
        <v>0.17</v>
      </c>
      <c r="AT300" s="3">
        <v>0.16400000000000001</v>
      </c>
      <c r="AU300" s="3">
        <v>3.6999999999999998E-2</v>
      </c>
      <c r="AV300" s="3">
        <v>0.14899999999999999</v>
      </c>
      <c r="AW300" s="3">
        <v>0.33300000000000002</v>
      </c>
      <c r="AX300" s="3">
        <v>8.8999999999999996E-2</v>
      </c>
      <c r="AY300" s="3">
        <v>0.03</v>
      </c>
      <c r="AZ300" s="3">
        <v>-1.254</v>
      </c>
      <c r="BA300" s="3"/>
      <c r="BB300" s="3">
        <v>12.22</v>
      </c>
      <c r="BC300" s="3">
        <v>2876</v>
      </c>
      <c r="BD300" s="3"/>
      <c r="BE300" s="3"/>
      <c r="BF300" s="3">
        <v>0</v>
      </c>
      <c r="BH300" s="16">
        <v>10.57</v>
      </c>
      <c r="BI300" s="16">
        <f t="shared" si="194"/>
        <v>21.351400000000002</v>
      </c>
      <c r="BJ300" s="17">
        <f t="shared" si="195"/>
        <v>5.86</v>
      </c>
      <c r="BK300" s="17">
        <f t="shared" si="196"/>
        <v>11.84</v>
      </c>
      <c r="BM300" s="1">
        <f t="shared" si="197"/>
        <v>98.2</v>
      </c>
      <c r="BN300" s="1">
        <f t="shared" si="198"/>
        <v>89.2</v>
      </c>
      <c r="BO300" s="1">
        <f t="shared" si="199"/>
        <v>72.3</v>
      </c>
      <c r="BP300" s="62">
        <f t="shared" si="201"/>
        <v>0.50600000000000001</v>
      </c>
      <c r="BQ300" s="62">
        <f t="shared" si="200"/>
        <v>0.19400000000000001</v>
      </c>
      <c r="BS300" s="3">
        <v>0</v>
      </c>
      <c r="BT300" s="8"/>
      <c r="BV300" s="8"/>
      <c r="BW300" s="16">
        <f t="shared" si="202"/>
        <v>5.86</v>
      </c>
      <c r="BX300" s="16">
        <f t="shared" si="203"/>
        <v>11.84</v>
      </c>
      <c r="BY300" s="3">
        <f t="shared" si="204"/>
        <v>-0.8</v>
      </c>
      <c r="BZ300" s="3">
        <f t="shared" si="205"/>
        <v>-1.1000000000000001</v>
      </c>
      <c r="CA300" s="3">
        <f t="shared" si="206"/>
        <v>-1.2</v>
      </c>
      <c r="CB300" s="3">
        <f t="shared" si="207"/>
        <v>-0.8</v>
      </c>
      <c r="CC300" s="3">
        <f t="shared" si="208"/>
        <v>1.4</v>
      </c>
      <c r="CD300" s="3">
        <f t="shared" si="209"/>
        <v>2.6</v>
      </c>
      <c r="CE300" s="3">
        <f t="shared" si="210"/>
        <v>3.8</v>
      </c>
      <c r="CF300" s="23">
        <f t="shared" si="211"/>
        <v>89.2</v>
      </c>
      <c r="CG300" s="1">
        <f t="shared" si="212"/>
        <v>1.9</v>
      </c>
      <c r="CH300" s="1">
        <f t="shared" si="213"/>
        <v>2.5</v>
      </c>
      <c r="CI300" s="1">
        <f t="shared" si="214"/>
        <v>3.8</v>
      </c>
      <c r="CJ300" s="1">
        <f t="shared" si="215"/>
        <v>5.7</v>
      </c>
      <c r="CK300" s="1">
        <f t="shared" si="216"/>
        <v>1.8</v>
      </c>
      <c r="CL300" s="1">
        <f t="shared" si="217"/>
        <v>2.7</v>
      </c>
      <c r="CM300" s="1">
        <f t="shared" si="218"/>
        <v>3.9</v>
      </c>
      <c r="CN300" s="2">
        <f t="shared" si="219"/>
        <v>98.2</v>
      </c>
      <c r="CO300" s="1">
        <f t="shared" si="220"/>
        <v>-3.6</v>
      </c>
      <c r="CP300" s="1">
        <f t="shared" si="221"/>
        <v>-4.2</v>
      </c>
      <c r="CQ300" s="1">
        <f t="shared" si="222"/>
        <v>-4.9000000000000004</v>
      </c>
      <c r="CR300" s="1">
        <f t="shared" si="223"/>
        <v>-5</v>
      </c>
      <c r="CS300" s="1">
        <f t="shared" si="224"/>
        <v>1.1000000000000001</v>
      </c>
      <c r="CT300" s="1">
        <f t="shared" si="225"/>
        <v>2.6</v>
      </c>
      <c r="CU300" s="1">
        <f t="shared" si="226"/>
        <v>3.7</v>
      </c>
      <c r="CV300" s="2">
        <f t="shared" si="227"/>
        <v>72.3</v>
      </c>
      <c r="CW300" s="18">
        <f t="shared" si="228"/>
        <v>0</v>
      </c>
      <c r="CX300" s="1">
        <f>ROUND(PPTest!K300,1)</f>
        <v>0</v>
      </c>
      <c r="CY300" s="17">
        <f t="shared" si="229"/>
        <v>1.32</v>
      </c>
      <c r="CZ300" s="17">
        <f t="shared" si="230"/>
        <v>3.71</v>
      </c>
      <c r="DA300" s="20">
        <f t="shared" si="231"/>
        <v>0.50600000000000001</v>
      </c>
      <c r="DB300" s="20">
        <f t="shared" si="232"/>
        <v>0.19400000000000001</v>
      </c>
      <c r="DC300" s="16">
        <f t="shared" si="233"/>
        <v>12.22</v>
      </c>
      <c r="DW300" s="1">
        <v>-0.9</v>
      </c>
      <c r="DX300" s="1">
        <v>3.7</v>
      </c>
      <c r="DY300" s="1">
        <v>-4.5</v>
      </c>
    </row>
    <row r="301" spans="1:129" x14ac:dyDescent="0.2">
      <c r="A301" s="40">
        <v>34994</v>
      </c>
      <c r="B301" s="42">
        <v>295</v>
      </c>
      <c r="C301" s="3">
        <v>10.11</v>
      </c>
      <c r="D301" s="3">
        <v>18.18</v>
      </c>
      <c r="E301" s="3">
        <v>-1.0149999999999999</v>
      </c>
      <c r="F301" s="3">
        <v>89.7</v>
      </c>
      <c r="G301" s="3">
        <v>-1.2410000000000001</v>
      </c>
      <c r="H301" s="3">
        <v>-1.554</v>
      </c>
      <c r="I301" s="3">
        <v>-0.61499999999999999</v>
      </c>
      <c r="J301" s="3">
        <v>-0.39700000000000002</v>
      </c>
      <c r="K301" s="3">
        <v>7.0000000000000001E-3</v>
      </c>
      <c r="L301" s="3">
        <v>1.746</v>
      </c>
      <c r="M301" s="3">
        <v>2.5779999999999998</v>
      </c>
      <c r="N301" s="3">
        <v>3.6139999999999999</v>
      </c>
      <c r="O301" s="3">
        <v>0</v>
      </c>
      <c r="P301" s="3">
        <v>1.3621666666666665</v>
      </c>
      <c r="Q301" s="3">
        <v>1</v>
      </c>
      <c r="R301" s="3">
        <v>2.9460000000000002</v>
      </c>
      <c r="S301" s="3">
        <v>1401</v>
      </c>
      <c r="T301" s="3">
        <v>106.3</v>
      </c>
      <c r="U301" s="3">
        <v>714</v>
      </c>
      <c r="V301" s="3">
        <v>3.25</v>
      </c>
      <c r="W301" s="3">
        <v>4.9109999999999996</v>
      </c>
      <c r="X301" s="3">
        <v>9.43</v>
      </c>
      <c r="Y301" s="3">
        <v>8.6199999999999992</v>
      </c>
      <c r="Z301" s="3">
        <v>8.6</v>
      </c>
      <c r="AA301" s="3">
        <v>3.09</v>
      </c>
      <c r="AB301" s="3">
        <v>2.7149999999999999</v>
      </c>
      <c r="AC301" s="3">
        <v>3.8330000000000002</v>
      </c>
      <c r="AD301" s="3">
        <v>4.0075000000000003</v>
      </c>
      <c r="AE301" s="3">
        <v>2352</v>
      </c>
      <c r="AF301" s="3">
        <v>-4.9880000000000004</v>
      </c>
      <c r="AG301" s="3">
        <v>444</v>
      </c>
      <c r="AH301" s="3">
        <v>60.21</v>
      </c>
      <c r="AI301" s="3">
        <v>1525</v>
      </c>
      <c r="AJ301" s="3">
        <v>-5.5679999999999996</v>
      </c>
      <c r="AK301" s="3">
        <v>-6.5890000000000004</v>
      </c>
      <c r="AL301" s="3">
        <v>-5.6980000000000004</v>
      </c>
      <c r="AM301" s="3">
        <v>-5.2990000000000004</v>
      </c>
      <c r="AN301" s="3">
        <v>-5.0810000000000004</v>
      </c>
      <c r="AO301" s="3">
        <v>0.97499999999999998</v>
      </c>
      <c r="AP301" s="3">
        <v>2.4609999999999999</v>
      </c>
      <c r="AQ301" s="3">
        <v>3.448</v>
      </c>
      <c r="AR301" s="3">
        <v>3.2000000000000001E-2</v>
      </c>
      <c r="AS301" s="3">
        <v>0.27800000000000002</v>
      </c>
      <c r="AT301" s="3">
        <v>0.17899999999999999</v>
      </c>
      <c r="AU301" s="3">
        <v>8.3000000000000004E-2</v>
      </c>
      <c r="AV301" s="3">
        <v>0.18099999999999999</v>
      </c>
      <c r="AW301" s="3">
        <v>0.20499999999999999</v>
      </c>
      <c r="AX301" s="3">
        <v>2.5000000000000001E-2</v>
      </c>
      <c r="AY301" s="3">
        <v>1.7000000000000001E-2</v>
      </c>
      <c r="AZ301" s="3">
        <v>-1.482</v>
      </c>
      <c r="BA301" s="3"/>
      <c r="BB301" s="3">
        <v>12.22</v>
      </c>
      <c r="BC301" s="3">
        <v>2876</v>
      </c>
      <c r="BD301" s="3"/>
      <c r="BE301" s="3"/>
      <c r="BF301" s="3">
        <v>0</v>
      </c>
      <c r="BH301" s="16">
        <v>10.36</v>
      </c>
      <c r="BI301" s="16">
        <f t="shared" si="194"/>
        <v>20.927199999999999</v>
      </c>
      <c r="BJ301" s="17">
        <f t="shared" si="195"/>
        <v>10.11</v>
      </c>
      <c r="BK301" s="17">
        <f t="shared" si="196"/>
        <v>19.63</v>
      </c>
      <c r="BM301" s="1">
        <f t="shared" si="197"/>
        <v>99.2</v>
      </c>
      <c r="BN301" s="1">
        <f t="shared" si="198"/>
        <v>83.9</v>
      </c>
      <c r="BO301" s="1">
        <f t="shared" si="199"/>
        <v>56.6</v>
      </c>
      <c r="BP301" s="62">
        <f t="shared" si="201"/>
        <v>0.42699999999999999</v>
      </c>
      <c r="BQ301" s="62">
        <f t="shared" si="200"/>
        <v>0.32700000000000001</v>
      </c>
      <c r="BS301" s="3">
        <v>0</v>
      </c>
      <c r="BT301" s="8"/>
      <c r="BV301" s="8"/>
      <c r="BW301" s="16">
        <f t="shared" si="202"/>
        <v>10.11</v>
      </c>
      <c r="BX301" s="16">
        <f t="shared" si="203"/>
        <v>19.63</v>
      </c>
      <c r="BY301" s="3">
        <f t="shared" si="204"/>
        <v>-1</v>
      </c>
      <c r="BZ301" s="3">
        <f t="shared" si="205"/>
        <v>-1.2</v>
      </c>
      <c r="CA301" s="3">
        <f t="shared" si="206"/>
        <v>-1.6</v>
      </c>
      <c r="CB301" s="3">
        <f t="shared" si="207"/>
        <v>-0.6</v>
      </c>
      <c r="CC301" s="3">
        <f t="shared" si="208"/>
        <v>1.7</v>
      </c>
      <c r="CD301" s="3">
        <f t="shared" si="209"/>
        <v>2.6</v>
      </c>
      <c r="CE301" s="3">
        <f t="shared" si="210"/>
        <v>3.6</v>
      </c>
      <c r="CF301" s="23">
        <f t="shared" si="211"/>
        <v>83.9</v>
      </c>
      <c r="CG301" s="1">
        <f t="shared" si="212"/>
        <v>2.9</v>
      </c>
      <c r="CH301" s="1">
        <f t="shared" si="213"/>
        <v>3.3</v>
      </c>
      <c r="CI301" s="1">
        <f t="shared" si="214"/>
        <v>4.9000000000000004</v>
      </c>
      <c r="CJ301" s="1">
        <f t="shared" si="215"/>
        <v>9.4</v>
      </c>
      <c r="CK301" s="1">
        <f t="shared" si="216"/>
        <v>3.1</v>
      </c>
      <c r="CL301" s="1">
        <f t="shared" si="217"/>
        <v>2.7</v>
      </c>
      <c r="CM301" s="1">
        <f t="shared" si="218"/>
        <v>3.8</v>
      </c>
      <c r="CN301" s="2">
        <f t="shared" si="219"/>
        <v>99.2</v>
      </c>
      <c r="CO301" s="1">
        <f t="shared" si="220"/>
        <v>-5</v>
      </c>
      <c r="CP301" s="1">
        <f t="shared" si="221"/>
        <v>-5.6</v>
      </c>
      <c r="CQ301" s="1">
        <f t="shared" si="222"/>
        <v>-6.6</v>
      </c>
      <c r="CR301" s="1">
        <f t="shared" si="223"/>
        <v>-5.7</v>
      </c>
      <c r="CS301" s="1">
        <f t="shared" si="224"/>
        <v>1</v>
      </c>
      <c r="CT301" s="1">
        <f t="shared" si="225"/>
        <v>2.5</v>
      </c>
      <c r="CU301" s="1">
        <f t="shared" si="226"/>
        <v>3.4</v>
      </c>
      <c r="CV301" s="2">
        <f t="shared" si="227"/>
        <v>56.6</v>
      </c>
      <c r="CW301" s="18">
        <f t="shared" si="228"/>
        <v>0</v>
      </c>
      <c r="CX301" s="1">
        <f>ROUND(PPTest!K301,1)</f>
        <v>1</v>
      </c>
      <c r="CY301" s="17">
        <f t="shared" si="229"/>
        <v>1.36</v>
      </c>
      <c r="CZ301" s="17">
        <f t="shared" si="230"/>
        <v>4.01</v>
      </c>
      <c r="DA301" s="20">
        <f t="shared" si="231"/>
        <v>0.42699999999999999</v>
      </c>
      <c r="DB301" s="20">
        <f t="shared" si="232"/>
        <v>0.32700000000000001</v>
      </c>
      <c r="DC301" s="16">
        <f t="shared" si="233"/>
        <v>12.22</v>
      </c>
      <c r="DW301" s="1">
        <v>-1.4</v>
      </c>
      <c r="DX301" s="1">
        <v>7.2</v>
      </c>
      <c r="DY301" s="1">
        <v>-6.8</v>
      </c>
    </row>
    <row r="302" spans="1:129" x14ac:dyDescent="0.2">
      <c r="A302" s="40">
        <v>34995</v>
      </c>
      <c r="B302" s="42">
        <v>296</v>
      </c>
      <c r="C302" s="3">
        <v>2.851</v>
      </c>
      <c r="D302" s="3">
        <v>5.4619999999999997</v>
      </c>
      <c r="E302" s="3">
        <v>-0.46700000000000003</v>
      </c>
      <c r="F302" s="3">
        <v>89.9</v>
      </c>
      <c r="G302" s="3">
        <v>-0.77600000000000002</v>
      </c>
      <c r="H302" s="3">
        <v>-0.85699999999999998</v>
      </c>
      <c r="I302" s="3">
        <v>-1.0389999999999999</v>
      </c>
      <c r="J302" s="3">
        <v>-1.034</v>
      </c>
      <c r="K302" s="3">
        <v>-0.99</v>
      </c>
      <c r="L302" s="3">
        <v>1.153</v>
      </c>
      <c r="M302" s="3">
        <v>2.488</v>
      </c>
      <c r="N302" s="3">
        <v>3.468</v>
      </c>
      <c r="O302" s="3">
        <v>0</v>
      </c>
      <c r="P302" s="3">
        <v>1.5958333333333334</v>
      </c>
      <c r="Q302" s="3">
        <v>0</v>
      </c>
      <c r="R302" s="3">
        <v>1.0920000000000001</v>
      </c>
      <c r="S302" s="3">
        <v>1045</v>
      </c>
      <c r="T302" s="3">
        <v>103.1</v>
      </c>
      <c r="U302" s="3">
        <v>1353</v>
      </c>
      <c r="V302" s="3">
        <v>1.2190000000000001</v>
      </c>
      <c r="W302" s="3">
        <v>1.67</v>
      </c>
      <c r="X302" s="3">
        <v>1.8759999999999999</v>
      </c>
      <c r="Y302" s="3">
        <v>0.38</v>
      </c>
      <c r="Z302" s="3">
        <v>-0.157</v>
      </c>
      <c r="AA302" s="3">
        <v>1.488</v>
      </c>
      <c r="AB302" s="3">
        <v>2.64</v>
      </c>
      <c r="AC302" s="3">
        <v>3.536</v>
      </c>
      <c r="AD302" s="3">
        <v>5.4074999999999998</v>
      </c>
      <c r="AE302" s="3">
        <v>56</v>
      </c>
      <c r="AF302" s="3">
        <v>-2.8490000000000002</v>
      </c>
      <c r="AG302" s="3">
        <v>337</v>
      </c>
      <c r="AH302" s="3">
        <v>68.489999999999995</v>
      </c>
      <c r="AI302" s="3">
        <v>9</v>
      </c>
      <c r="AJ302" s="3">
        <v>-3.661</v>
      </c>
      <c r="AK302" s="3">
        <v>-4.2469999999999999</v>
      </c>
      <c r="AL302" s="3">
        <v>-4.5369999999999999</v>
      </c>
      <c r="AM302" s="3">
        <v>-3.0960000000000001</v>
      </c>
      <c r="AN302" s="3">
        <v>-2.9809999999999999</v>
      </c>
      <c r="AO302" s="3">
        <v>1.0269999999999999</v>
      </c>
      <c r="AP302" s="3">
        <v>2.3570000000000002</v>
      </c>
      <c r="AQ302" s="3">
        <v>3.4049999999999998</v>
      </c>
      <c r="AR302" s="3">
        <v>4.3999999999999997E-2</v>
      </c>
      <c r="AS302" s="3">
        <v>7.8E-2</v>
      </c>
      <c r="AT302" s="3">
        <v>0.106</v>
      </c>
      <c r="AU302" s="3">
        <v>0.107</v>
      </c>
      <c r="AV302" s="3">
        <v>0.151</v>
      </c>
      <c r="AW302" s="3">
        <v>0.30099999999999999</v>
      </c>
      <c r="AX302" s="3">
        <v>0.16400000000000001</v>
      </c>
      <c r="AY302" s="3">
        <v>4.8000000000000001E-2</v>
      </c>
      <c r="AZ302" s="3">
        <v>-1.2709999999999999</v>
      </c>
      <c r="BA302" s="3"/>
      <c r="BB302" s="3">
        <v>12.22</v>
      </c>
      <c r="BC302" s="3">
        <v>2876</v>
      </c>
      <c r="BD302" s="3"/>
      <c r="BE302" s="3"/>
      <c r="BF302" s="3">
        <v>0</v>
      </c>
      <c r="BH302" s="16">
        <v>10.17</v>
      </c>
      <c r="BI302" s="16">
        <f t="shared" si="194"/>
        <v>20.543399999999998</v>
      </c>
      <c r="BJ302" s="17">
        <f t="shared" si="195"/>
        <v>2.85</v>
      </c>
      <c r="BK302" s="17">
        <f t="shared" si="196"/>
        <v>5.9</v>
      </c>
      <c r="BM302" s="1">
        <f t="shared" si="197"/>
        <v>96.3</v>
      </c>
      <c r="BN302" s="1">
        <f t="shared" si="198"/>
        <v>84.1</v>
      </c>
      <c r="BO302" s="1">
        <f t="shared" si="199"/>
        <v>64.3</v>
      </c>
      <c r="BP302" s="62">
        <f t="shared" si="201"/>
        <v>0.42499999999999999</v>
      </c>
      <c r="BQ302" s="62">
        <f t="shared" si="200"/>
        <v>0.23599999999999999</v>
      </c>
      <c r="BS302" s="3">
        <v>0</v>
      </c>
      <c r="BT302" s="8"/>
      <c r="BV302" s="8"/>
      <c r="BW302" s="16">
        <f t="shared" si="202"/>
        <v>2.85</v>
      </c>
      <c r="BX302" s="16">
        <f t="shared" si="203"/>
        <v>5.9</v>
      </c>
      <c r="BY302" s="3">
        <f t="shared" si="204"/>
        <v>-0.5</v>
      </c>
      <c r="BZ302" s="3">
        <f t="shared" si="205"/>
        <v>-0.8</v>
      </c>
      <c r="CA302" s="3">
        <f t="shared" si="206"/>
        <v>-0.9</v>
      </c>
      <c r="CB302" s="3">
        <f t="shared" si="207"/>
        <v>-1</v>
      </c>
      <c r="CC302" s="3">
        <f t="shared" si="208"/>
        <v>1.2</v>
      </c>
      <c r="CD302" s="3">
        <f t="shared" si="209"/>
        <v>2.5</v>
      </c>
      <c r="CE302" s="3">
        <f t="shared" si="210"/>
        <v>3.5</v>
      </c>
      <c r="CF302" s="23">
        <f t="shared" si="211"/>
        <v>84.1</v>
      </c>
      <c r="CG302" s="1">
        <f t="shared" si="212"/>
        <v>1.1000000000000001</v>
      </c>
      <c r="CH302" s="1">
        <f t="shared" si="213"/>
        <v>1.2</v>
      </c>
      <c r="CI302" s="1">
        <f t="shared" si="214"/>
        <v>1.7</v>
      </c>
      <c r="CJ302" s="1">
        <f t="shared" si="215"/>
        <v>1.9</v>
      </c>
      <c r="CK302" s="1">
        <f t="shared" si="216"/>
        <v>1.5</v>
      </c>
      <c r="CL302" s="1">
        <f t="shared" si="217"/>
        <v>2.6</v>
      </c>
      <c r="CM302" s="1">
        <f t="shared" si="218"/>
        <v>3.5</v>
      </c>
      <c r="CN302" s="2">
        <f t="shared" si="219"/>
        <v>96.3</v>
      </c>
      <c r="CO302" s="1">
        <f t="shared" si="220"/>
        <v>-2.8</v>
      </c>
      <c r="CP302" s="1">
        <f t="shared" si="221"/>
        <v>-3.7</v>
      </c>
      <c r="CQ302" s="1">
        <f t="shared" si="222"/>
        <v>-4.2</v>
      </c>
      <c r="CR302" s="1">
        <f t="shared" si="223"/>
        <v>-4.5</v>
      </c>
      <c r="CS302" s="1">
        <f t="shared" si="224"/>
        <v>1</v>
      </c>
      <c r="CT302" s="1">
        <f t="shared" si="225"/>
        <v>2.4</v>
      </c>
      <c r="CU302" s="1">
        <f t="shared" si="226"/>
        <v>3.4</v>
      </c>
      <c r="CV302" s="2">
        <f t="shared" si="227"/>
        <v>64.3</v>
      </c>
      <c r="CW302" s="18">
        <f t="shared" si="228"/>
        <v>0</v>
      </c>
      <c r="CX302" s="1">
        <f>ROUND(PPTest!K302,1)</f>
        <v>0</v>
      </c>
      <c r="CY302" s="17">
        <f t="shared" si="229"/>
        <v>1.6</v>
      </c>
      <c r="CZ302" s="17">
        <f t="shared" si="230"/>
        <v>5.41</v>
      </c>
      <c r="DA302" s="20">
        <f t="shared" si="231"/>
        <v>0.42499999999999999</v>
      </c>
      <c r="DB302" s="20">
        <f t="shared" si="232"/>
        <v>0.23599999999999999</v>
      </c>
      <c r="DC302" s="16">
        <f t="shared" si="233"/>
        <v>12.22</v>
      </c>
      <c r="DW302" s="1">
        <v>-1.4</v>
      </c>
      <c r="DX302" s="1">
        <v>5.0999999999999996</v>
      </c>
      <c r="DY302" s="1">
        <v>-4.4000000000000004</v>
      </c>
    </row>
    <row r="303" spans="1:129" x14ac:dyDescent="0.2">
      <c r="A303" s="40">
        <v>34996</v>
      </c>
      <c r="B303" s="42">
        <v>297</v>
      </c>
      <c r="C303" s="3">
        <v>4.0469999999999997</v>
      </c>
      <c r="D303" s="3">
        <v>7.43</v>
      </c>
      <c r="E303" s="3">
        <v>-0.41299999999999998</v>
      </c>
      <c r="F303" s="3">
        <v>96.3</v>
      </c>
      <c r="G303" s="3">
        <v>-0.66700000000000004</v>
      </c>
      <c r="H303" s="3">
        <v>-0.73399999999999999</v>
      </c>
      <c r="I303" s="3">
        <v>-0.495</v>
      </c>
      <c r="J303" s="3">
        <v>-0.254</v>
      </c>
      <c r="K303" s="3">
        <v>-0.114</v>
      </c>
      <c r="L303" s="3">
        <v>1.4630000000000001</v>
      </c>
      <c r="M303" s="3">
        <v>2.34</v>
      </c>
      <c r="N303" s="3">
        <v>3.359</v>
      </c>
      <c r="O303" s="3">
        <v>0</v>
      </c>
      <c r="P303" s="3">
        <v>1.5508333333333335</v>
      </c>
      <c r="Q303" s="3">
        <v>2</v>
      </c>
      <c r="R303" s="3">
        <v>1.3180000000000001</v>
      </c>
      <c r="S303" s="3">
        <v>1437</v>
      </c>
      <c r="T303" s="3">
        <v>103.3</v>
      </c>
      <c r="U303" s="3">
        <v>1829</v>
      </c>
      <c r="V303" s="3">
        <v>1.363</v>
      </c>
      <c r="W303" s="3">
        <v>1.56</v>
      </c>
      <c r="X303" s="3">
        <v>1.82</v>
      </c>
      <c r="Y303" s="3">
        <v>2.427</v>
      </c>
      <c r="Z303" s="3">
        <v>2.4260000000000002</v>
      </c>
      <c r="AA303" s="3">
        <v>1.869</v>
      </c>
      <c r="AB303" s="3">
        <v>2.3809999999999998</v>
      </c>
      <c r="AC303" s="3">
        <v>3.4350000000000001</v>
      </c>
      <c r="AD303" s="3">
        <v>4.6475</v>
      </c>
      <c r="AE303" s="3">
        <v>20</v>
      </c>
      <c r="AF303" s="3">
        <v>-1.8120000000000001</v>
      </c>
      <c r="AG303" s="3">
        <v>2158</v>
      </c>
      <c r="AH303" s="3">
        <v>84.3</v>
      </c>
      <c r="AI303" s="3">
        <v>1418</v>
      </c>
      <c r="AJ303" s="3">
        <v>-2.3490000000000002</v>
      </c>
      <c r="AK303" s="3">
        <v>-2.57</v>
      </c>
      <c r="AL303" s="3">
        <v>-2.351</v>
      </c>
      <c r="AM303" s="3">
        <v>-1.468</v>
      </c>
      <c r="AN303" s="3">
        <v>-0.93500000000000005</v>
      </c>
      <c r="AO303" s="3">
        <v>1.2030000000000001</v>
      </c>
      <c r="AP303" s="3">
        <v>2.2789999999999999</v>
      </c>
      <c r="AQ303" s="3">
        <v>3.242</v>
      </c>
      <c r="AR303" s="3">
        <v>4.0000000000000001E-3</v>
      </c>
      <c r="AS303" s="3">
        <v>0.10299999999999999</v>
      </c>
      <c r="AT303" s="3">
        <v>0.114</v>
      </c>
      <c r="AU303" s="3">
        <v>3.2000000000000001E-2</v>
      </c>
      <c r="AV303" s="3">
        <v>0.151</v>
      </c>
      <c r="AW303" s="3">
        <v>0.49299999999999999</v>
      </c>
      <c r="AX303" s="3">
        <v>9.7000000000000003E-2</v>
      </c>
      <c r="AY303" s="3">
        <v>7.0000000000000001E-3</v>
      </c>
      <c r="AZ303" s="3">
        <v>-0.74199999999999999</v>
      </c>
      <c r="BA303" s="3"/>
      <c r="BB303" s="3">
        <v>12.22</v>
      </c>
      <c r="BC303" s="3">
        <v>2876</v>
      </c>
      <c r="BD303" s="3"/>
      <c r="BE303" s="3"/>
      <c r="BF303" s="3">
        <v>0</v>
      </c>
      <c r="BH303" s="16">
        <v>9.9700000000000006</v>
      </c>
      <c r="BI303" s="16">
        <f t="shared" si="194"/>
        <v>20.139400000000002</v>
      </c>
      <c r="BJ303" s="17">
        <f t="shared" si="195"/>
        <v>4.05</v>
      </c>
      <c r="BK303" s="17">
        <f t="shared" si="196"/>
        <v>8.02</v>
      </c>
      <c r="BM303" s="1">
        <f t="shared" si="197"/>
        <v>96.4</v>
      </c>
      <c r="BN303" s="1">
        <f t="shared" si="198"/>
        <v>90</v>
      </c>
      <c r="BO303" s="1">
        <f t="shared" si="199"/>
        <v>78.900000000000006</v>
      </c>
      <c r="BP303" s="62">
        <f t="shared" si="201"/>
        <v>0.53</v>
      </c>
      <c r="BQ303" s="62">
        <f t="shared" si="200"/>
        <v>0.14199999999999999</v>
      </c>
      <c r="BS303" s="3">
        <v>2.7999999523162842</v>
      </c>
      <c r="BT303" s="8"/>
      <c r="BV303" s="8"/>
      <c r="BW303" s="16">
        <f t="shared" si="202"/>
        <v>4.05</v>
      </c>
      <c r="BX303" s="16">
        <f t="shared" si="203"/>
        <v>8.02</v>
      </c>
      <c r="BY303" s="3">
        <f t="shared" si="204"/>
        <v>-0.4</v>
      </c>
      <c r="BZ303" s="3">
        <f t="shared" si="205"/>
        <v>-0.7</v>
      </c>
      <c r="CA303" s="3">
        <f t="shared" si="206"/>
        <v>-0.7</v>
      </c>
      <c r="CB303" s="3">
        <f t="shared" si="207"/>
        <v>-0.5</v>
      </c>
      <c r="CC303" s="3">
        <f t="shared" si="208"/>
        <v>1.5</v>
      </c>
      <c r="CD303" s="3">
        <f t="shared" si="209"/>
        <v>2.2999999999999998</v>
      </c>
      <c r="CE303" s="3">
        <f t="shared" si="210"/>
        <v>3.4</v>
      </c>
      <c r="CF303" s="23">
        <f t="shared" si="211"/>
        <v>90</v>
      </c>
      <c r="CG303" s="1">
        <f t="shared" si="212"/>
        <v>1.3</v>
      </c>
      <c r="CH303" s="1">
        <f t="shared" si="213"/>
        <v>1.4</v>
      </c>
      <c r="CI303" s="1">
        <f t="shared" si="214"/>
        <v>1.6</v>
      </c>
      <c r="CJ303" s="1">
        <f t="shared" si="215"/>
        <v>1.8</v>
      </c>
      <c r="CK303" s="1">
        <f t="shared" si="216"/>
        <v>1.9</v>
      </c>
      <c r="CL303" s="1">
        <f t="shared" si="217"/>
        <v>2.4</v>
      </c>
      <c r="CM303" s="1">
        <f t="shared" si="218"/>
        <v>3.4</v>
      </c>
      <c r="CN303" s="2">
        <f t="shared" si="219"/>
        <v>96.4</v>
      </c>
      <c r="CO303" s="1">
        <f t="shared" si="220"/>
        <v>-1.8</v>
      </c>
      <c r="CP303" s="1">
        <f t="shared" si="221"/>
        <v>-2.2999999999999998</v>
      </c>
      <c r="CQ303" s="1">
        <f t="shared" si="222"/>
        <v>-2.6</v>
      </c>
      <c r="CR303" s="1">
        <f t="shared" si="223"/>
        <v>-2.4</v>
      </c>
      <c r="CS303" s="1">
        <f t="shared" si="224"/>
        <v>1.2</v>
      </c>
      <c r="CT303" s="1">
        <f t="shared" si="225"/>
        <v>2.2999999999999998</v>
      </c>
      <c r="CU303" s="1">
        <f t="shared" si="226"/>
        <v>3.2</v>
      </c>
      <c r="CV303" s="2">
        <f t="shared" si="227"/>
        <v>78.900000000000006</v>
      </c>
      <c r="CW303" s="18">
        <f t="shared" si="228"/>
        <v>0</v>
      </c>
      <c r="CX303" s="1">
        <f>ROUND(PPTest!K303,1)</f>
        <v>2</v>
      </c>
      <c r="CY303" s="17">
        <f t="shared" si="229"/>
        <v>1.55</v>
      </c>
      <c r="CZ303" s="17">
        <f t="shared" si="230"/>
        <v>4.6500000000000004</v>
      </c>
      <c r="DA303" s="20">
        <f t="shared" si="231"/>
        <v>0.53</v>
      </c>
      <c r="DB303" s="20">
        <f t="shared" si="232"/>
        <v>0.14199999999999999</v>
      </c>
      <c r="DC303" s="16">
        <f t="shared" si="233"/>
        <v>12.22</v>
      </c>
      <c r="DW303" s="1">
        <v>-0.3</v>
      </c>
      <c r="DX303" s="1">
        <v>4.2</v>
      </c>
      <c r="DY303" s="1">
        <v>-2.8</v>
      </c>
    </row>
    <row r="304" spans="1:129" x14ac:dyDescent="0.2">
      <c r="A304" s="40">
        <v>34997</v>
      </c>
      <c r="B304" s="42">
        <v>298</v>
      </c>
      <c r="C304" s="3">
        <v>0.94099999999999995</v>
      </c>
      <c r="D304" s="3">
        <v>1.7649999999999999</v>
      </c>
      <c r="E304" s="3">
        <v>-0.33200000000000002</v>
      </c>
      <c r="F304" s="3">
        <v>96.6</v>
      </c>
      <c r="G304" s="3">
        <v>-0.55500000000000005</v>
      </c>
      <c r="H304" s="3">
        <v>-0.59799999999999998</v>
      </c>
      <c r="I304" s="3">
        <v>-0.77600000000000002</v>
      </c>
      <c r="J304" s="3">
        <v>-0.82299999999999995</v>
      </c>
      <c r="K304" s="3">
        <v>-0.73</v>
      </c>
      <c r="L304" s="3">
        <v>1.286</v>
      </c>
      <c r="M304" s="3">
        <v>2.3109999999999999</v>
      </c>
      <c r="N304" s="3">
        <v>3.234</v>
      </c>
      <c r="O304" s="3">
        <v>0</v>
      </c>
      <c r="P304" s="3">
        <v>1.8225</v>
      </c>
      <c r="Q304" s="3">
        <v>0</v>
      </c>
      <c r="R304" s="3">
        <v>1.0920000000000001</v>
      </c>
      <c r="S304" s="3">
        <v>2326</v>
      </c>
      <c r="T304" s="3">
        <v>105.5</v>
      </c>
      <c r="U304" s="3">
        <v>2221</v>
      </c>
      <c r="V304" s="3">
        <v>0.754</v>
      </c>
      <c r="W304" s="3">
        <v>0.93300000000000005</v>
      </c>
      <c r="X304" s="3">
        <v>0.17299999999999999</v>
      </c>
      <c r="Y304" s="3">
        <v>-0.23</v>
      </c>
      <c r="Z304" s="3">
        <v>-0.253</v>
      </c>
      <c r="AA304" s="3">
        <v>1.4470000000000001</v>
      </c>
      <c r="AB304" s="3">
        <v>2.379</v>
      </c>
      <c r="AC304" s="3">
        <v>3.3</v>
      </c>
      <c r="AD304" s="3">
        <v>6.2074999999999996</v>
      </c>
      <c r="AE304" s="3">
        <v>2330</v>
      </c>
      <c r="AF304" s="3">
        <v>-1.863</v>
      </c>
      <c r="AG304" s="3">
        <v>351</v>
      </c>
      <c r="AH304" s="3">
        <v>85.6</v>
      </c>
      <c r="AI304" s="3">
        <v>201</v>
      </c>
      <c r="AJ304" s="3">
        <v>-2.7160000000000002</v>
      </c>
      <c r="AK304" s="3">
        <v>-2.9220000000000002</v>
      </c>
      <c r="AL304" s="3">
        <v>-3.415</v>
      </c>
      <c r="AM304" s="3">
        <v>-2.1890000000000001</v>
      </c>
      <c r="AN304" s="3">
        <v>-1.5</v>
      </c>
      <c r="AO304" s="3">
        <v>1.228</v>
      </c>
      <c r="AP304" s="3">
        <v>2.2410000000000001</v>
      </c>
      <c r="AQ304" s="3">
        <v>3.17</v>
      </c>
      <c r="AR304" s="3">
        <v>2.9000000000000001E-2</v>
      </c>
      <c r="AS304" s="3">
        <v>2.8000000000000001E-2</v>
      </c>
      <c r="AT304" s="3">
        <v>4.5999999999999999E-2</v>
      </c>
      <c r="AU304" s="3">
        <v>9.5000000000000001E-2</v>
      </c>
      <c r="AV304" s="3">
        <v>0.16700000000000001</v>
      </c>
      <c r="AW304" s="3">
        <v>0.34599999999999997</v>
      </c>
      <c r="AX304" s="3">
        <v>0.222</v>
      </c>
      <c r="AY304" s="3">
        <v>6.7000000000000004E-2</v>
      </c>
      <c r="AZ304" s="3">
        <v>-0.90700000000000003</v>
      </c>
      <c r="BA304" s="3"/>
      <c r="BB304" s="3">
        <v>12.21</v>
      </c>
      <c r="BC304" s="3">
        <v>2876</v>
      </c>
      <c r="BD304" s="3"/>
      <c r="BE304" s="3"/>
      <c r="BF304" s="3">
        <v>0</v>
      </c>
      <c r="BH304" s="16">
        <v>9.7799999999999994</v>
      </c>
      <c r="BI304" s="16">
        <f t="shared" si="194"/>
        <v>19.755599999999998</v>
      </c>
      <c r="BJ304" s="17">
        <f t="shared" si="195"/>
        <v>0.94</v>
      </c>
      <c r="BK304" s="17">
        <f t="shared" si="196"/>
        <v>1.91</v>
      </c>
      <c r="BM304" s="1">
        <f t="shared" si="197"/>
        <v>98.5</v>
      </c>
      <c r="BN304" s="1">
        <f t="shared" si="198"/>
        <v>90.3</v>
      </c>
      <c r="BO304" s="1">
        <f t="shared" si="199"/>
        <v>80.099999999999994</v>
      </c>
      <c r="BP304" s="62">
        <f t="shared" si="201"/>
        <v>0.52900000000000003</v>
      </c>
      <c r="BQ304" s="62">
        <f t="shared" si="200"/>
        <v>0.13100000000000001</v>
      </c>
      <c r="BS304" s="3">
        <v>2.7999999523162842</v>
      </c>
      <c r="BT304" s="8"/>
      <c r="BV304" s="8"/>
      <c r="BW304" s="16">
        <f t="shared" si="202"/>
        <v>0.94</v>
      </c>
      <c r="BX304" s="16">
        <f t="shared" si="203"/>
        <v>1.91</v>
      </c>
      <c r="BY304" s="3">
        <f t="shared" si="204"/>
        <v>-0.3</v>
      </c>
      <c r="BZ304" s="3">
        <f t="shared" si="205"/>
        <v>-0.6</v>
      </c>
      <c r="CA304" s="3">
        <f t="shared" si="206"/>
        <v>-0.6</v>
      </c>
      <c r="CB304" s="3">
        <f t="shared" si="207"/>
        <v>-0.8</v>
      </c>
      <c r="CC304" s="3">
        <f t="shared" si="208"/>
        <v>1.3</v>
      </c>
      <c r="CD304" s="3">
        <f t="shared" si="209"/>
        <v>2.2999999999999998</v>
      </c>
      <c r="CE304" s="3">
        <f t="shared" si="210"/>
        <v>3.2</v>
      </c>
      <c r="CF304" s="23">
        <f t="shared" si="211"/>
        <v>90.3</v>
      </c>
      <c r="CG304" s="1">
        <f t="shared" si="212"/>
        <v>1.1000000000000001</v>
      </c>
      <c r="CH304" s="1">
        <f t="shared" si="213"/>
        <v>0.8</v>
      </c>
      <c r="CI304" s="1">
        <f t="shared" si="214"/>
        <v>0.9</v>
      </c>
      <c r="CJ304" s="1">
        <f t="shared" si="215"/>
        <v>0.2</v>
      </c>
      <c r="CK304" s="1">
        <f t="shared" si="216"/>
        <v>1.4</v>
      </c>
      <c r="CL304" s="1">
        <f t="shared" si="217"/>
        <v>2.4</v>
      </c>
      <c r="CM304" s="1">
        <f t="shared" si="218"/>
        <v>3.3</v>
      </c>
      <c r="CN304" s="2">
        <f t="shared" si="219"/>
        <v>98.5</v>
      </c>
      <c r="CO304" s="1">
        <f t="shared" si="220"/>
        <v>-1.9</v>
      </c>
      <c r="CP304" s="1">
        <f t="shared" si="221"/>
        <v>-2.7</v>
      </c>
      <c r="CQ304" s="1">
        <f t="shared" si="222"/>
        <v>-2.9</v>
      </c>
      <c r="CR304" s="1">
        <f t="shared" si="223"/>
        <v>-3.4</v>
      </c>
      <c r="CS304" s="1">
        <f t="shared" si="224"/>
        <v>1.2</v>
      </c>
      <c r="CT304" s="1">
        <f t="shared" si="225"/>
        <v>2.2000000000000002</v>
      </c>
      <c r="CU304" s="1">
        <f t="shared" si="226"/>
        <v>3.2</v>
      </c>
      <c r="CV304" s="2">
        <f t="shared" si="227"/>
        <v>80.099999999999994</v>
      </c>
      <c r="CW304" s="18">
        <f t="shared" si="228"/>
        <v>0</v>
      </c>
      <c r="CX304" s="1">
        <f>ROUND(PPTest!K304,1)</f>
        <v>0</v>
      </c>
      <c r="CY304" s="17">
        <f t="shared" si="229"/>
        <v>1.82</v>
      </c>
      <c r="CZ304" s="17">
        <f t="shared" si="230"/>
        <v>6.21</v>
      </c>
      <c r="DA304" s="20">
        <f t="shared" si="231"/>
        <v>0.52900000000000003</v>
      </c>
      <c r="DB304" s="20">
        <f t="shared" si="232"/>
        <v>0.13100000000000001</v>
      </c>
      <c r="DC304" s="16">
        <f t="shared" si="233"/>
        <v>12.21</v>
      </c>
      <c r="DW304" s="1">
        <v>-0.7</v>
      </c>
      <c r="DX304" s="1">
        <v>2.8</v>
      </c>
      <c r="DY304" s="1">
        <v>-3</v>
      </c>
    </row>
    <row r="305" spans="1:129" x14ac:dyDescent="0.2">
      <c r="A305" s="40">
        <v>34998</v>
      </c>
      <c r="B305" s="42">
        <v>299</v>
      </c>
      <c r="C305" s="3">
        <v>4.3460000000000001</v>
      </c>
      <c r="D305" s="3">
        <v>8.01</v>
      </c>
      <c r="E305" s="3">
        <v>0.6</v>
      </c>
      <c r="F305" s="3">
        <v>92.3</v>
      </c>
      <c r="G305" s="3">
        <v>0.318</v>
      </c>
      <c r="H305" s="3">
        <v>0.186</v>
      </c>
      <c r="I305" s="3">
        <v>-2.5000000000000001E-2</v>
      </c>
      <c r="J305" s="3">
        <v>6.6000000000000003E-2</v>
      </c>
      <c r="K305" s="3">
        <v>0.19700000000000001</v>
      </c>
      <c r="L305" s="3">
        <v>1.3859999999999999</v>
      </c>
      <c r="M305" s="3">
        <v>2.2559999999999998</v>
      </c>
      <c r="N305" s="3">
        <v>3.161</v>
      </c>
      <c r="O305" s="3">
        <v>0</v>
      </c>
      <c r="P305" s="3">
        <v>2.5891666666666668</v>
      </c>
      <c r="Q305" s="3">
        <v>2</v>
      </c>
      <c r="R305" s="3">
        <v>3.2080000000000002</v>
      </c>
      <c r="S305" s="3">
        <v>1527</v>
      </c>
      <c r="T305" s="3">
        <v>103.5</v>
      </c>
      <c r="U305" s="3">
        <v>245</v>
      </c>
      <c r="V305" s="3">
        <v>4.05</v>
      </c>
      <c r="W305" s="3">
        <v>3.827</v>
      </c>
      <c r="X305" s="3">
        <v>3.3860000000000001</v>
      </c>
      <c r="Y305" s="3">
        <v>5.3470000000000004</v>
      </c>
      <c r="Z305" s="3">
        <v>4.7060000000000004</v>
      </c>
      <c r="AA305" s="3">
        <v>1.5429999999999999</v>
      </c>
      <c r="AB305" s="3">
        <v>2.3809999999999998</v>
      </c>
      <c r="AC305" s="3">
        <v>3.2730000000000001</v>
      </c>
      <c r="AD305" s="3">
        <v>6.7675000000000001</v>
      </c>
      <c r="AE305" s="3">
        <v>23</v>
      </c>
      <c r="AF305" s="3">
        <v>-1.661</v>
      </c>
      <c r="AG305" s="3">
        <v>2249</v>
      </c>
      <c r="AH305" s="3">
        <v>73.900000000000006</v>
      </c>
      <c r="AI305" s="3">
        <v>1537</v>
      </c>
      <c r="AJ305" s="3">
        <v>-2.3719999999999999</v>
      </c>
      <c r="AK305" s="3">
        <v>-2.5489999999999999</v>
      </c>
      <c r="AL305" s="3">
        <v>-1.746</v>
      </c>
      <c r="AM305" s="3">
        <v>-1.173</v>
      </c>
      <c r="AN305" s="3">
        <v>-0.621</v>
      </c>
      <c r="AO305" s="3">
        <v>1.288</v>
      </c>
      <c r="AP305" s="3">
        <v>2.1869999999999998</v>
      </c>
      <c r="AQ305" s="3">
        <v>3.0649999999999999</v>
      </c>
      <c r="AR305" s="3">
        <v>0</v>
      </c>
      <c r="AS305" s="3">
        <v>8.0000000000000002E-3</v>
      </c>
      <c r="AT305" s="3">
        <v>0</v>
      </c>
      <c r="AU305" s="3">
        <v>7.0000000000000001E-3</v>
      </c>
      <c r="AV305" s="3">
        <v>0.13</v>
      </c>
      <c r="AW305" s="3">
        <v>0.66900000000000004</v>
      </c>
      <c r="AX305" s="3">
        <v>0.16400000000000001</v>
      </c>
      <c r="AY305" s="3">
        <v>2.1999999999999999E-2</v>
      </c>
      <c r="AZ305" s="3">
        <v>0.127</v>
      </c>
      <c r="BA305" s="3"/>
      <c r="BB305" s="3">
        <v>12.22</v>
      </c>
      <c r="BC305" s="3">
        <v>2876</v>
      </c>
      <c r="BD305" s="3"/>
      <c r="BE305" s="3"/>
      <c r="BF305" s="3">
        <v>0</v>
      </c>
      <c r="BH305" s="16">
        <v>9.59</v>
      </c>
      <c r="BI305" s="16">
        <f t="shared" si="194"/>
        <v>19.3718</v>
      </c>
      <c r="BJ305" s="17">
        <f t="shared" si="195"/>
        <v>4.3499999999999996</v>
      </c>
      <c r="BK305" s="17">
        <f t="shared" si="196"/>
        <v>8.65</v>
      </c>
      <c r="BM305" s="1">
        <f t="shared" si="197"/>
        <v>96.6</v>
      </c>
      <c r="BN305" s="1">
        <f t="shared" si="198"/>
        <v>86.3</v>
      </c>
      <c r="BO305" s="1">
        <f t="shared" si="199"/>
        <v>69.3</v>
      </c>
      <c r="BP305" s="62">
        <f t="shared" si="201"/>
        <v>0.53300000000000003</v>
      </c>
      <c r="BQ305" s="62">
        <f t="shared" si="200"/>
        <v>0.23599999999999999</v>
      </c>
      <c r="BS305" s="3">
        <v>13.5</v>
      </c>
      <c r="BT305" s="8"/>
      <c r="BV305" s="8"/>
      <c r="BW305" s="16">
        <f t="shared" si="202"/>
        <v>4.3499999999999996</v>
      </c>
      <c r="BX305" s="16">
        <f t="shared" si="203"/>
        <v>8.65</v>
      </c>
      <c r="BY305" s="3">
        <f t="shared" si="204"/>
        <v>0.6</v>
      </c>
      <c r="BZ305" s="3">
        <f t="shared" si="205"/>
        <v>0.3</v>
      </c>
      <c r="CA305" s="3">
        <f t="shared" si="206"/>
        <v>0.2</v>
      </c>
      <c r="CB305" s="3">
        <f t="shared" si="207"/>
        <v>0</v>
      </c>
      <c r="CC305" s="3">
        <f t="shared" si="208"/>
        <v>1.4</v>
      </c>
      <c r="CD305" s="3">
        <f t="shared" si="209"/>
        <v>2.2999999999999998</v>
      </c>
      <c r="CE305" s="3">
        <f t="shared" si="210"/>
        <v>3.2</v>
      </c>
      <c r="CF305" s="23">
        <f t="shared" si="211"/>
        <v>86.3</v>
      </c>
      <c r="CG305" s="1">
        <f t="shared" si="212"/>
        <v>3.2</v>
      </c>
      <c r="CH305" s="1">
        <f t="shared" si="213"/>
        <v>4.0999999999999996</v>
      </c>
      <c r="CI305" s="1">
        <f t="shared" si="214"/>
        <v>3.8</v>
      </c>
      <c r="CJ305" s="1">
        <f t="shared" si="215"/>
        <v>3.4</v>
      </c>
      <c r="CK305" s="1">
        <f t="shared" si="216"/>
        <v>1.5</v>
      </c>
      <c r="CL305" s="1">
        <f t="shared" si="217"/>
        <v>2.4</v>
      </c>
      <c r="CM305" s="1">
        <f t="shared" si="218"/>
        <v>3.3</v>
      </c>
      <c r="CN305" s="2">
        <f t="shared" si="219"/>
        <v>96.6</v>
      </c>
      <c r="CO305" s="1">
        <f t="shared" si="220"/>
        <v>-1.7</v>
      </c>
      <c r="CP305" s="1">
        <f t="shared" si="221"/>
        <v>-2.4</v>
      </c>
      <c r="CQ305" s="1">
        <f t="shared" si="222"/>
        <v>-2.5</v>
      </c>
      <c r="CR305" s="1">
        <f t="shared" si="223"/>
        <v>-1.7</v>
      </c>
      <c r="CS305" s="1">
        <f t="shared" si="224"/>
        <v>1.3</v>
      </c>
      <c r="CT305" s="1">
        <f t="shared" si="225"/>
        <v>2.2000000000000002</v>
      </c>
      <c r="CU305" s="1">
        <f t="shared" si="226"/>
        <v>3.1</v>
      </c>
      <c r="CV305" s="2">
        <f t="shared" si="227"/>
        <v>69.3</v>
      </c>
      <c r="CW305" s="18">
        <f t="shared" si="228"/>
        <v>0</v>
      </c>
      <c r="CX305" s="1">
        <f>ROUND(PPTest!K305,1)</f>
        <v>2</v>
      </c>
      <c r="CY305" s="17">
        <f t="shared" si="229"/>
        <v>2.59</v>
      </c>
      <c r="CZ305" s="17">
        <f t="shared" si="230"/>
        <v>6.77</v>
      </c>
      <c r="DA305" s="20">
        <f t="shared" si="231"/>
        <v>0.53300000000000003</v>
      </c>
      <c r="DB305" s="20">
        <f t="shared" si="232"/>
        <v>0.23599999999999999</v>
      </c>
      <c r="DC305" s="16">
        <f t="shared" si="233"/>
        <v>12.22</v>
      </c>
      <c r="DW305" s="1">
        <v>0.5</v>
      </c>
      <c r="DX305" s="1">
        <v>5.6</v>
      </c>
      <c r="DY305" s="1">
        <v>-3.6</v>
      </c>
    </row>
    <row r="306" spans="1:129" x14ac:dyDescent="0.2">
      <c r="A306" s="40">
        <v>34999</v>
      </c>
      <c r="B306" s="42">
        <v>300</v>
      </c>
      <c r="C306" s="3">
        <v>3.403</v>
      </c>
      <c r="D306" s="3">
        <v>6.6070000000000002</v>
      </c>
      <c r="E306" s="3">
        <v>-3.2610000000000001</v>
      </c>
      <c r="F306" s="3">
        <v>97.1</v>
      </c>
      <c r="G306" s="3">
        <v>-3.677</v>
      </c>
      <c r="H306" s="3">
        <v>-3.9569999999999999</v>
      </c>
      <c r="I306" s="3">
        <v>-3.0289999999999999</v>
      </c>
      <c r="J306" s="3">
        <v>-3.4929999999999999</v>
      </c>
      <c r="K306" s="3">
        <v>-3.2879999999999998</v>
      </c>
      <c r="L306" s="3">
        <v>1.2569999999999999</v>
      </c>
      <c r="M306" s="3">
        <v>2.1720000000000002</v>
      </c>
      <c r="N306" s="3">
        <v>3.04</v>
      </c>
      <c r="O306" s="3">
        <v>0</v>
      </c>
      <c r="P306" s="3">
        <v>1.4451666666666667</v>
      </c>
      <c r="Q306" s="3">
        <v>1</v>
      </c>
      <c r="R306" s="3">
        <v>1.7999999999999999E-2</v>
      </c>
      <c r="S306" s="3">
        <v>1240</v>
      </c>
      <c r="T306" s="3">
        <v>103.8</v>
      </c>
      <c r="U306" s="3">
        <v>317</v>
      </c>
      <c r="V306" s="3">
        <v>0.52800000000000002</v>
      </c>
      <c r="W306" s="3">
        <v>1.02</v>
      </c>
      <c r="X306" s="3">
        <v>0.89500000000000002</v>
      </c>
      <c r="Y306" s="3">
        <v>-0.20300000000000001</v>
      </c>
      <c r="Z306" s="3">
        <v>-0.21099999999999999</v>
      </c>
      <c r="AA306" s="3">
        <v>1.3859999999999999</v>
      </c>
      <c r="AB306" s="3">
        <v>2.2349999999999999</v>
      </c>
      <c r="AC306" s="3">
        <v>3.1070000000000002</v>
      </c>
      <c r="AD306" s="3">
        <v>4.3008333333333333</v>
      </c>
      <c r="AE306" s="3">
        <v>1058</v>
      </c>
      <c r="AF306" s="3">
        <v>-7.77</v>
      </c>
      <c r="AG306" s="3">
        <v>0</v>
      </c>
      <c r="AH306" s="3">
        <v>75.2</v>
      </c>
      <c r="AI306" s="3">
        <v>1315</v>
      </c>
      <c r="AJ306" s="3">
        <v>-8.61</v>
      </c>
      <c r="AK306" s="3">
        <v>-9.57</v>
      </c>
      <c r="AL306" s="3">
        <v>-6.8650000000000002</v>
      </c>
      <c r="AM306" s="3">
        <v>-9.1199999999999992</v>
      </c>
      <c r="AN306" s="3">
        <v>-9.07</v>
      </c>
      <c r="AO306" s="3">
        <v>1.095</v>
      </c>
      <c r="AP306" s="3">
        <v>2.0920000000000001</v>
      </c>
      <c r="AQ306" s="3">
        <v>2.9649999999999999</v>
      </c>
      <c r="AR306" s="3">
        <v>2.1000000000000001E-2</v>
      </c>
      <c r="AS306" s="3">
        <v>0.34</v>
      </c>
      <c r="AT306" s="3">
        <v>0.29799999999999999</v>
      </c>
      <c r="AU306" s="3">
        <v>3.3000000000000002E-2</v>
      </c>
      <c r="AV306" s="3">
        <v>7.5999999999999998E-2</v>
      </c>
      <c r="AW306" s="3">
        <v>0.19900000000000001</v>
      </c>
      <c r="AX306" s="3">
        <v>2.8000000000000001E-2</v>
      </c>
      <c r="AY306" s="3">
        <v>6.0000000000000001E-3</v>
      </c>
      <c r="AZ306" s="3">
        <v>-4.2300000000000004</v>
      </c>
      <c r="BA306" s="3"/>
      <c r="BB306" s="3">
        <v>12.19</v>
      </c>
      <c r="BC306" s="3">
        <v>2876</v>
      </c>
      <c r="BD306" s="3"/>
      <c r="BE306" s="3"/>
      <c r="BF306" s="3">
        <v>0</v>
      </c>
      <c r="BH306" s="16">
        <v>9.4</v>
      </c>
      <c r="BI306" s="16">
        <f t="shared" si="194"/>
        <v>18.988</v>
      </c>
      <c r="BJ306" s="17">
        <f t="shared" si="195"/>
        <v>3.4</v>
      </c>
      <c r="BK306" s="17">
        <f t="shared" si="196"/>
        <v>7.14</v>
      </c>
      <c r="BM306" s="1">
        <f t="shared" si="197"/>
        <v>96.9</v>
      </c>
      <c r="BN306" s="1">
        <f t="shared" si="198"/>
        <v>90.7</v>
      </c>
      <c r="BO306" s="1">
        <f t="shared" si="199"/>
        <v>70.5</v>
      </c>
      <c r="BP306" s="62">
        <f t="shared" si="201"/>
        <v>0.43099999999999999</v>
      </c>
      <c r="BQ306" s="62">
        <f t="shared" si="200"/>
        <v>0.18</v>
      </c>
      <c r="BS306" s="3">
        <v>0</v>
      </c>
      <c r="BT306" s="8"/>
      <c r="BV306" s="8"/>
      <c r="BW306" s="16">
        <f t="shared" si="202"/>
        <v>3.4</v>
      </c>
      <c r="BX306" s="16">
        <f t="shared" si="203"/>
        <v>7.14</v>
      </c>
      <c r="BY306" s="3">
        <f t="shared" si="204"/>
        <v>-3.3</v>
      </c>
      <c r="BZ306" s="3">
        <f t="shared" si="205"/>
        <v>-3.7</v>
      </c>
      <c r="CA306" s="3">
        <f t="shared" si="206"/>
        <v>-4</v>
      </c>
      <c r="CB306" s="3">
        <f t="shared" si="207"/>
        <v>-3</v>
      </c>
      <c r="CC306" s="3">
        <f t="shared" si="208"/>
        <v>1.3</v>
      </c>
      <c r="CD306" s="3">
        <f t="shared" si="209"/>
        <v>2.2000000000000002</v>
      </c>
      <c r="CE306" s="3">
        <f t="shared" si="210"/>
        <v>3</v>
      </c>
      <c r="CF306" s="23">
        <f t="shared" si="211"/>
        <v>90.7</v>
      </c>
      <c r="CG306" s="1">
        <f t="shared" si="212"/>
        <v>0</v>
      </c>
      <c r="CH306" s="1">
        <f t="shared" si="213"/>
        <v>0.5</v>
      </c>
      <c r="CI306" s="1">
        <f t="shared" si="214"/>
        <v>1</v>
      </c>
      <c r="CJ306" s="1">
        <f t="shared" si="215"/>
        <v>0.9</v>
      </c>
      <c r="CK306" s="1">
        <f t="shared" si="216"/>
        <v>1.4</v>
      </c>
      <c r="CL306" s="1">
        <f t="shared" si="217"/>
        <v>2.2000000000000002</v>
      </c>
      <c r="CM306" s="1">
        <f t="shared" si="218"/>
        <v>3.1</v>
      </c>
      <c r="CN306" s="2">
        <f t="shared" si="219"/>
        <v>96.9</v>
      </c>
      <c r="CO306" s="1">
        <f t="shared" si="220"/>
        <v>-7.8</v>
      </c>
      <c r="CP306" s="1">
        <f t="shared" si="221"/>
        <v>-8.6</v>
      </c>
      <c r="CQ306" s="1">
        <f t="shared" si="222"/>
        <v>-9.6</v>
      </c>
      <c r="CR306" s="1">
        <f t="shared" si="223"/>
        <v>-6.9</v>
      </c>
      <c r="CS306" s="1">
        <f t="shared" si="224"/>
        <v>1.1000000000000001</v>
      </c>
      <c r="CT306" s="1">
        <f t="shared" si="225"/>
        <v>2.1</v>
      </c>
      <c r="CU306" s="1">
        <f t="shared" si="226"/>
        <v>3</v>
      </c>
      <c r="CV306" s="2">
        <f t="shared" si="227"/>
        <v>70.5</v>
      </c>
      <c r="CW306" s="18">
        <f t="shared" si="228"/>
        <v>0</v>
      </c>
      <c r="CX306" s="1">
        <f>ROUND(PPTest!K306,1)</f>
        <v>1</v>
      </c>
      <c r="CY306" s="17">
        <f t="shared" si="229"/>
        <v>1.45</v>
      </c>
      <c r="CZ306" s="17">
        <f t="shared" si="230"/>
        <v>4.3</v>
      </c>
      <c r="DA306" s="20">
        <f t="shared" si="231"/>
        <v>0.43099999999999999</v>
      </c>
      <c r="DB306" s="20">
        <f t="shared" si="232"/>
        <v>0.18</v>
      </c>
      <c r="DC306" s="16">
        <f t="shared" si="233"/>
        <v>12.19</v>
      </c>
      <c r="DW306" s="1">
        <v>-2.2000000000000002</v>
      </c>
      <c r="DX306" s="1">
        <v>1.8</v>
      </c>
      <c r="DY306" s="1">
        <v>-6</v>
      </c>
    </row>
    <row r="307" spans="1:129" x14ac:dyDescent="0.2">
      <c r="A307" s="40">
        <v>35000</v>
      </c>
      <c r="B307" s="42">
        <v>301</v>
      </c>
      <c r="C307" s="3">
        <v>6.2869999999999999</v>
      </c>
      <c r="D307" s="3">
        <v>11.94</v>
      </c>
      <c r="E307" s="3">
        <v>-5.819</v>
      </c>
      <c r="F307" s="3">
        <v>91.3</v>
      </c>
      <c r="G307" s="3">
        <v>-6.1360000000000001</v>
      </c>
      <c r="H307" s="3">
        <v>-6.49</v>
      </c>
      <c r="I307" s="3">
        <v>-4.8890000000000002</v>
      </c>
      <c r="J307" s="3">
        <v>-5.5359999999999996</v>
      </c>
      <c r="K307" s="3">
        <v>-5.4050000000000002</v>
      </c>
      <c r="L307" s="3">
        <v>0.86899999999999999</v>
      </c>
      <c r="M307" s="3">
        <v>2.0289999999999999</v>
      </c>
      <c r="N307" s="3">
        <v>2.9830000000000001</v>
      </c>
      <c r="O307" s="3">
        <v>0</v>
      </c>
      <c r="P307" s="3">
        <v>1.4411666666666667</v>
      </c>
      <c r="Q307" s="3">
        <v>1</v>
      </c>
      <c r="R307" s="3">
        <v>0.215</v>
      </c>
      <c r="S307" s="3">
        <v>1548</v>
      </c>
      <c r="T307" s="3">
        <v>102.3</v>
      </c>
      <c r="U307" s="3">
        <v>37</v>
      </c>
      <c r="V307" s="3">
        <v>0.68500000000000005</v>
      </c>
      <c r="W307" s="3">
        <v>2.585</v>
      </c>
      <c r="X307" s="3">
        <v>5.72</v>
      </c>
      <c r="Y307" s="3">
        <v>4.4889999999999999</v>
      </c>
      <c r="Z307" s="3">
        <v>3.7839999999999998</v>
      </c>
      <c r="AA307" s="3">
        <v>1.111</v>
      </c>
      <c r="AB307" s="3">
        <v>2.1549999999999998</v>
      </c>
      <c r="AC307" s="3">
        <v>3.073</v>
      </c>
      <c r="AD307" s="3">
        <v>3.434166666666667</v>
      </c>
      <c r="AE307" s="3">
        <v>1231</v>
      </c>
      <c r="AF307" s="3">
        <v>-12.72</v>
      </c>
      <c r="AG307" s="3">
        <v>2356</v>
      </c>
      <c r="AH307" s="3">
        <v>61.06</v>
      </c>
      <c r="AI307" s="3">
        <v>1405</v>
      </c>
      <c r="AJ307" s="3">
        <v>-13.36</v>
      </c>
      <c r="AK307" s="3">
        <v>-13.81</v>
      </c>
      <c r="AL307" s="3">
        <v>-11.44</v>
      </c>
      <c r="AM307" s="3">
        <v>-13.74</v>
      </c>
      <c r="AN307" s="3">
        <v>-13.77</v>
      </c>
      <c r="AO307" s="3">
        <v>0.68700000000000006</v>
      </c>
      <c r="AP307" s="3">
        <v>1.9019999999999999</v>
      </c>
      <c r="AQ307" s="3">
        <v>2.859</v>
      </c>
      <c r="AR307" s="3">
        <v>3.1E-2</v>
      </c>
      <c r="AS307" s="3">
        <v>0.35499999999999998</v>
      </c>
      <c r="AT307" s="3">
        <v>0.30199999999999999</v>
      </c>
      <c r="AU307" s="3">
        <v>0.03</v>
      </c>
      <c r="AV307" s="3">
        <v>5.8000000000000003E-2</v>
      </c>
      <c r="AW307" s="3">
        <v>0.112</v>
      </c>
      <c r="AX307" s="3">
        <v>6.6000000000000003E-2</v>
      </c>
      <c r="AY307" s="3">
        <v>4.7E-2</v>
      </c>
      <c r="AZ307" s="3">
        <v>-6.6139999999999999</v>
      </c>
      <c r="BA307" s="3"/>
      <c r="BB307" s="3">
        <v>12.18</v>
      </c>
      <c r="BC307" s="3">
        <v>2876</v>
      </c>
      <c r="BD307" s="3"/>
      <c r="BE307" s="3"/>
      <c r="BF307" s="3">
        <v>0</v>
      </c>
      <c r="BH307" s="16">
        <v>9.2200000000000006</v>
      </c>
      <c r="BI307" s="16">
        <f t="shared" si="194"/>
        <v>18.624400000000001</v>
      </c>
      <c r="BJ307" s="17">
        <f t="shared" si="195"/>
        <v>6.29</v>
      </c>
      <c r="BK307" s="17">
        <f t="shared" si="196"/>
        <v>12.9</v>
      </c>
      <c r="BM307" s="1">
        <f t="shared" si="197"/>
        <v>95.5</v>
      </c>
      <c r="BN307" s="1">
        <f t="shared" si="198"/>
        <v>85.4</v>
      </c>
      <c r="BO307" s="1">
        <f t="shared" si="199"/>
        <v>57.4</v>
      </c>
      <c r="BP307" s="62">
        <f t="shared" si="201"/>
        <v>0.35599999999999998</v>
      </c>
      <c r="BQ307" s="62">
        <f t="shared" si="200"/>
        <v>0.26400000000000001</v>
      </c>
      <c r="BS307" s="3">
        <v>0.30000001192092896</v>
      </c>
      <c r="BT307" s="8"/>
      <c r="BV307" s="8"/>
      <c r="BW307" s="16">
        <f t="shared" si="202"/>
        <v>6.29</v>
      </c>
      <c r="BX307" s="16">
        <f t="shared" si="203"/>
        <v>12.9</v>
      </c>
      <c r="BY307" s="3">
        <f t="shared" si="204"/>
        <v>-5.8</v>
      </c>
      <c r="BZ307" s="3">
        <f t="shared" si="205"/>
        <v>-6.1</v>
      </c>
      <c r="CA307" s="3">
        <f t="shared" si="206"/>
        <v>-6.5</v>
      </c>
      <c r="CB307" s="3">
        <f t="shared" si="207"/>
        <v>-4.9000000000000004</v>
      </c>
      <c r="CC307" s="3">
        <f t="shared" si="208"/>
        <v>0.9</v>
      </c>
      <c r="CD307" s="3">
        <f t="shared" si="209"/>
        <v>2</v>
      </c>
      <c r="CE307" s="3">
        <f t="shared" si="210"/>
        <v>3</v>
      </c>
      <c r="CF307" s="23">
        <f t="shared" si="211"/>
        <v>85.4</v>
      </c>
      <c r="CG307" s="1">
        <f t="shared" si="212"/>
        <v>0.2</v>
      </c>
      <c r="CH307" s="1">
        <f t="shared" si="213"/>
        <v>0.7</v>
      </c>
      <c r="CI307" s="1">
        <f t="shared" si="214"/>
        <v>2.6</v>
      </c>
      <c r="CJ307" s="1">
        <f t="shared" si="215"/>
        <v>5.7</v>
      </c>
      <c r="CK307" s="1">
        <f t="shared" si="216"/>
        <v>1.1000000000000001</v>
      </c>
      <c r="CL307" s="1">
        <f t="shared" si="217"/>
        <v>2.2000000000000002</v>
      </c>
      <c r="CM307" s="1">
        <f t="shared" si="218"/>
        <v>3.1</v>
      </c>
      <c r="CN307" s="2">
        <f t="shared" si="219"/>
        <v>95.5</v>
      </c>
      <c r="CO307" s="1">
        <f t="shared" si="220"/>
        <v>-12.7</v>
      </c>
      <c r="CP307" s="1">
        <f t="shared" si="221"/>
        <v>-13.4</v>
      </c>
      <c r="CQ307" s="1">
        <f t="shared" si="222"/>
        <v>-13.8</v>
      </c>
      <c r="CR307" s="1">
        <f t="shared" si="223"/>
        <v>-11.4</v>
      </c>
      <c r="CS307" s="1">
        <f t="shared" si="224"/>
        <v>0.7</v>
      </c>
      <c r="CT307" s="1">
        <f t="shared" si="225"/>
        <v>1.9</v>
      </c>
      <c r="CU307" s="1">
        <f t="shared" si="226"/>
        <v>2.9</v>
      </c>
      <c r="CV307" s="2">
        <f t="shared" si="227"/>
        <v>57.4</v>
      </c>
      <c r="CW307" s="18">
        <f t="shared" si="228"/>
        <v>0</v>
      </c>
      <c r="CX307" s="1">
        <f>ROUND(PPTest!K307,1)</f>
        <v>1</v>
      </c>
      <c r="CY307" s="17">
        <f t="shared" si="229"/>
        <v>1.44</v>
      </c>
      <c r="CZ307" s="17">
        <f t="shared" si="230"/>
        <v>3.43</v>
      </c>
      <c r="DA307" s="20">
        <f t="shared" si="231"/>
        <v>0.35599999999999998</v>
      </c>
      <c r="DB307" s="20">
        <f t="shared" si="232"/>
        <v>0.26400000000000001</v>
      </c>
      <c r="DC307" s="16">
        <f t="shared" si="233"/>
        <v>12.18</v>
      </c>
      <c r="DW307" s="1">
        <v>-3.4</v>
      </c>
      <c r="DX307" s="1">
        <v>3.2</v>
      </c>
      <c r="DY307" s="1">
        <v>-8</v>
      </c>
    </row>
    <row r="308" spans="1:129" x14ac:dyDescent="0.2">
      <c r="A308" s="40">
        <v>35001</v>
      </c>
      <c r="B308" s="42">
        <v>302</v>
      </c>
      <c r="C308" s="3">
        <v>10.02</v>
      </c>
      <c r="D308" s="3">
        <v>17.72</v>
      </c>
      <c r="E308" s="3">
        <v>-8.85</v>
      </c>
      <c r="F308" s="3">
        <v>82.2</v>
      </c>
      <c r="G308" s="3">
        <v>-9.36</v>
      </c>
      <c r="H308" s="3">
        <v>-9.66</v>
      </c>
      <c r="I308" s="3">
        <v>-7.97</v>
      </c>
      <c r="J308" s="3">
        <v>-8.44</v>
      </c>
      <c r="K308" s="3">
        <v>-8.26</v>
      </c>
      <c r="L308" s="3">
        <v>0.40200000000000002</v>
      </c>
      <c r="M308" s="3">
        <v>1.796</v>
      </c>
      <c r="N308" s="3">
        <v>2.907</v>
      </c>
      <c r="O308" s="3">
        <v>0</v>
      </c>
      <c r="P308" s="3">
        <v>1.9541666666666668</v>
      </c>
      <c r="Q308" s="3">
        <v>1</v>
      </c>
      <c r="R308" s="3">
        <v>-0.308</v>
      </c>
      <c r="S308" s="3">
        <v>1402</v>
      </c>
      <c r="T308" s="3">
        <v>99.2</v>
      </c>
      <c r="U308" s="3">
        <v>100</v>
      </c>
      <c r="V308" s="3">
        <v>-1.7000000000000001E-2</v>
      </c>
      <c r="W308" s="3">
        <v>1.27</v>
      </c>
      <c r="X308" s="3">
        <v>4.2679999999999998</v>
      </c>
      <c r="Y308" s="3">
        <v>5.2439999999999998</v>
      </c>
      <c r="Z308" s="3">
        <v>3.855</v>
      </c>
      <c r="AA308" s="3">
        <v>0.72199999999999998</v>
      </c>
      <c r="AB308" s="3">
        <v>1.9710000000000001</v>
      </c>
      <c r="AC308" s="3">
        <v>3.036</v>
      </c>
      <c r="AD308" s="3">
        <v>3.8875000000000002</v>
      </c>
      <c r="AE308" s="3">
        <v>1303</v>
      </c>
      <c r="AF308" s="3">
        <v>-14.67</v>
      </c>
      <c r="AG308" s="3">
        <v>603</v>
      </c>
      <c r="AH308" s="3">
        <v>43.51</v>
      </c>
      <c r="AI308" s="3">
        <v>1222</v>
      </c>
      <c r="AJ308" s="3">
        <v>-15.24</v>
      </c>
      <c r="AK308" s="3">
        <v>-15.63</v>
      </c>
      <c r="AL308" s="3">
        <v>-14.25</v>
      </c>
      <c r="AM308" s="3">
        <v>-15.59</v>
      </c>
      <c r="AN308" s="3">
        <v>-15.66</v>
      </c>
      <c r="AO308" s="3">
        <v>0.154</v>
      </c>
      <c r="AP308" s="3">
        <v>1.6559999999999999</v>
      </c>
      <c r="AQ308" s="3">
        <v>2.7189999999999999</v>
      </c>
      <c r="AR308" s="3">
        <v>0.09</v>
      </c>
      <c r="AS308" s="3">
        <v>0.40899999999999997</v>
      </c>
      <c r="AT308" s="3">
        <v>0.46200000000000002</v>
      </c>
      <c r="AU308" s="3">
        <v>2E-3</v>
      </c>
      <c r="AV308" s="3">
        <v>0</v>
      </c>
      <c r="AW308" s="3">
        <v>0</v>
      </c>
      <c r="AX308" s="3">
        <v>3.0000000000000001E-3</v>
      </c>
      <c r="AY308" s="3">
        <v>3.3000000000000002E-2</v>
      </c>
      <c r="AZ308" s="3">
        <v>-9.81</v>
      </c>
      <c r="BA308" s="3"/>
      <c r="BB308" s="3">
        <v>12.18</v>
      </c>
      <c r="BC308" s="3">
        <v>2876</v>
      </c>
      <c r="BD308" s="3"/>
      <c r="BE308" s="3"/>
      <c r="BF308" s="30">
        <v>10</v>
      </c>
      <c r="BH308" s="16">
        <v>9.0399999999999991</v>
      </c>
      <c r="BI308" s="16">
        <f t="shared" si="194"/>
        <v>18.2608</v>
      </c>
      <c r="BJ308" s="17">
        <f t="shared" si="195"/>
        <v>10.02</v>
      </c>
      <c r="BK308" s="17">
        <f t="shared" si="196"/>
        <v>19.14</v>
      </c>
      <c r="BM308" s="1">
        <f t="shared" si="197"/>
        <v>92.7</v>
      </c>
      <c r="BN308" s="1">
        <f t="shared" si="198"/>
        <v>77</v>
      </c>
      <c r="BO308" s="1">
        <f t="shared" si="199"/>
        <v>41.2</v>
      </c>
      <c r="BP308" s="62">
        <f t="shared" si="201"/>
        <v>0.246</v>
      </c>
      <c r="BQ308" s="62">
        <f t="shared" si="200"/>
        <v>0.35099999999999998</v>
      </c>
      <c r="BS308" s="3">
        <v>0</v>
      </c>
      <c r="BT308" s="8"/>
      <c r="BV308" s="8"/>
      <c r="BW308" s="16">
        <f t="shared" si="202"/>
        <v>10.02</v>
      </c>
      <c r="BX308" s="16">
        <f t="shared" si="203"/>
        <v>19.14</v>
      </c>
      <c r="BY308" s="3">
        <f t="shared" si="204"/>
        <v>-8.9</v>
      </c>
      <c r="BZ308" s="3">
        <f t="shared" si="205"/>
        <v>-9.4</v>
      </c>
      <c r="CA308" s="3">
        <f t="shared" si="206"/>
        <v>-9.6999999999999993</v>
      </c>
      <c r="CB308" s="3">
        <f t="shared" si="207"/>
        <v>-8</v>
      </c>
      <c r="CC308" s="3">
        <f t="shared" si="208"/>
        <v>0.4</v>
      </c>
      <c r="CD308" s="3">
        <f t="shared" si="209"/>
        <v>1.8</v>
      </c>
      <c r="CE308" s="3">
        <f t="shared" si="210"/>
        <v>2.9</v>
      </c>
      <c r="CF308" s="23">
        <f t="shared" si="211"/>
        <v>77</v>
      </c>
      <c r="CG308" s="1">
        <f t="shared" si="212"/>
        <v>-0.3</v>
      </c>
      <c r="CH308" s="1">
        <f t="shared" si="213"/>
        <v>0</v>
      </c>
      <c r="CI308" s="1">
        <f t="shared" si="214"/>
        <v>1.3</v>
      </c>
      <c r="CJ308" s="1">
        <f t="shared" si="215"/>
        <v>4.3</v>
      </c>
      <c r="CK308" s="1">
        <f t="shared" si="216"/>
        <v>0.7</v>
      </c>
      <c r="CL308" s="1">
        <f t="shared" si="217"/>
        <v>2</v>
      </c>
      <c r="CM308" s="1">
        <f t="shared" si="218"/>
        <v>3</v>
      </c>
      <c r="CN308" s="2">
        <f t="shared" si="219"/>
        <v>92.7</v>
      </c>
      <c r="CO308" s="1">
        <f t="shared" si="220"/>
        <v>-14.7</v>
      </c>
      <c r="CP308" s="1">
        <f t="shared" si="221"/>
        <v>-15.2</v>
      </c>
      <c r="CQ308" s="1">
        <f t="shared" si="222"/>
        <v>-15.6</v>
      </c>
      <c r="CR308" s="1">
        <f t="shared" si="223"/>
        <v>-14.3</v>
      </c>
      <c r="CS308" s="1">
        <f t="shared" si="224"/>
        <v>0.2</v>
      </c>
      <c r="CT308" s="1">
        <f t="shared" si="225"/>
        <v>1.7</v>
      </c>
      <c r="CU308" s="1">
        <f t="shared" si="226"/>
        <v>2.7</v>
      </c>
      <c r="CV308" s="2">
        <f t="shared" si="227"/>
        <v>41.2</v>
      </c>
      <c r="CW308" s="18">
        <f t="shared" si="228"/>
        <v>10</v>
      </c>
      <c r="CX308" s="1">
        <f>ROUND(PPTest!K308,1)</f>
        <v>1.3</v>
      </c>
      <c r="CY308" s="17">
        <f t="shared" si="229"/>
        <v>1.95</v>
      </c>
      <c r="CZ308" s="17">
        <f t="shared" si="230"/>
        <v>3.89</v>
      </c>
      <c r="DA308" s="20">
        <f t="shared" si="231"/>
        <v>0.246</v>
      </c>
      <c r="DB308" s="20">
        <f t="shared" si="232"/>
        <v>0.35099999999999998</v>
      </c>
      <c r="DC308" s="16">
        <f t="shared" si="233"/>
        <v>12.18</v>
      </c>
      <c r="DW308" s="1">
        <v>-4.8</v>
      </c>
      <c r="DX308" s="1">
        <v>0.3</v>
      </c>
      <c r="DY308" s="1">
        <v>-10.1</v>
      </c>
    </row>
    <row r="309" spans="1:129" x14ac:dyDescent="0.2">
      <c r="A309" s="40">
        <v>35002</v>
      </c>
      <c r="B309" s="42">
        <v>303</v>
      </c>
      <c r="C309" s="3">
        <v>4.3710000000000004</v>
      </c>
      <c r="D309" s="3">
        <v>8.3800000000000008</v>
      </c>
      <c r="E309" s="3">
        <v>-11.63</v>
      </c>
      <c r="F309" s="3">
        <v>97.8</v>
      </c>
      <c r="G309" s="3">
        <v>-11.91</v>
      </c>
      <c r="H309" s="3">
        <v>-12.36</v>
      </c>
      <c r="I309" s="3">
        <v>-10.49</v>
      </c>
      <c r="J309" s="3">
        <v>-11.81</v>
      </c>
      <c r="K309" s="3">
        <v>-11.74</v>
      </c>
      <c r="L309" s="3">
        <v>5.2999999999999999E-2</v>
      </c>
      <c r="M309" s="3">
        <v>1.514</v>
      </c>
      <c r="N309" s="3">
        <v>2.79</v>
      </c>
      <c r="O309" s="3">
        <v>0</v>
      </c>
      <c r="P309" s="3">
        <v>1.5376666666666667</v>
      </c>
      <c r="Q309" s="3">
        <v>0</v>
      </c>
      <c r="R309" s="3">
        <v>-5.0739999999999998</v>
      </c>
      <c r="S309" s="3">
        <v>1354</v>
      </c>
      <c r="T309" s="3">
        <v>104.7</v>
      </c>
      <c r="U309" s="3">
        <v>915</v>
      </c>
      <c r="V309" s="3">
        <v>-3.7679999999999998</v>
      </c>
      <c r="W309" s="3">
        <v>-4.9770000000000003</v>
      </c>
      <c r="X309" s="3">
        <v>-3.532</v>
      </c>
      <c r="Y309" s="3">
        <v>-3.2679999999999998</v>
      </c>
      <c r="Z309" s="3">
        <v>-3.6419999999999999</v>
      </c>
      <c r="AA309" s="3">
        <v>0.31</v>
      </c>
      <c r="AB309" s="3">
        <v>1.673</v>
      </c>
      <c r="AC309" s="3">
        <v>2.879</v>
      </c>
      <c r="AD309" s="3">
        <v>2.9541666666666671</v>
      </c>
      <c r="AE309" s="3">
        <v>1430</v>
      </c>
      <c r="AF309" s="3">
        <v>-16.84</v>
      </c>
      <c r="AG309" s="3">
        <v>710</v>
      </c>
      <c r="AH309" s="3">
        <v>87.7</v>
      </c>
      <c r="AI309" s="3">
        <v>838</v>
      </c>
      <c r="AJ309" s="3">
        <v>-17.32</v>
      </c>
      <c r="AK309" s="3">
        <v>-17.64</v>
      </c>
      <c r="AL309" s="3">
        <v>-15.98</v>
      </c>
      <c r="AM309" s="3">
        <v>-17.55</v>
      </c>
      <c r="AN309" s="3">
        <v>-17.59</v>
      </c>
      <c r="AO309" s="3">
        <v>-0.11</v>
      </c>
      <c r="AP309" s="3">
        <v>1.367</v>
      </c>
      <c r="AQ309" s="3">
        <v>2.6549999999999998</v>
      </c>
      <c r="AR309" s="3">
        <v>1.7000000000000001E-2</v>
      </c>
      <c r="AS309" s="3">
        <v>0.223</v>
      </c>
      <c r="AT309" s="3">
        <v>0.42599999999999999</v>
      </c>
      <c r="AU309" s="3">
        <v>1.9E-2</v>
      </c>
      <c r="AV309" s="3">
        <v>0.104</v>
      </c>
      <c r="AW309" s="3">
        <v>0.158</v>
      </c>
      <c r="AX309" s="3">
        <v>3.3000000000000002E-2</v>
      </c>
      <c r="AY309" s="3">
        <v>0.02</v>
      </c>
      <c r="AZ309" s="3">
        <v>-12.57</v>
      </c>
      <c r="BA309" s="3"/>
      <c r="BB309" s="3">
        <v>12.15</v>
      </c>
      <c r="BC309" s="3">
        <v>2876</v>
      </c>
      <c r="BD309" s="3"/>
      <c r="BE309" s="3"/>
      <c r="BF309" s="30">
        <v>10</v>
      </c>
      <c r="BH309" s="16">
        <v>8.86</v>
      </c>
      <c r="BI309" s="16">
        <f t="shared" si="194"/>
        <v>17.897199999999998</v>
      </c>
      <c r="BJ309" s="17">
        <f t="shared" si="195"/>
        <v>4.37</v>
      </c>
      <c r="BK309" s="17">
        <f t="shared" si="196"/>
        <v>9.0500000000000007</v>
      </c>
      <c r="BM309" s="1">
        <f t="shared" si="197"/>
        <v>97.7</v>
      </c>
      <c r="BN309" s="1">
        <f t="shared" si="198"/>
        <v>91.4</v>
      </c>
      <c r="BO309" s="1">
        <f t="shared" si="199"/>
        <v>82</v>
      </c>
      <c r="BP309" s="62">
        <f t="shared" si="201"/>
        <v>0.34300000000000003</v>
      </c>
      <c r="BQ309" s="62">
        <f t="shared" si="200"/>
        <v>7.4999999999999997E-2</v>
      </c>
      <c r="BS309" s="3">
        <v>0</v>
      </c>
      <c r="BT309" s="8"/>
      <c r="BV309" s="8"/>
      <c r="BW309" s="16">
        <f t="shared" si="202"/>
        <v>4.37</v>
      </c>
      <c r="BX309" s="16">
        <f t="shared" si="203"/>
        <v>9.0500000000000007</v>
      </c>
      <c r="BY309" s="3">
        <f t="shared" si="204"/>
        <v>-11.6</v>
      </c>
      <c r="BZ309" s="3">
        <f t="shared" si="205"/>
        <v>-11.9</v>
      </c>
      <c r="CA309" s="3">
        <f t="shared" si="206"/>
        <v>-12.4</v>
      </c>
      <c r="CB309" s="3">
        <f t="shared" si="207"/>
        <v>-10.5</v>
      </c>
      <c r="CC309" s="3">
        <f t="shared" si="208"/>
        <v>0.1</v>
      </c>
      <c r="CD309" s="3">
        <f t="shared" si="209"/>
        <v>1.5</v>
      </c>
      <c r="CE309" s="3">
        <f t="shared" si="210"/>
        <v>2.8</v>
      </c>
      <c r="CF309" s="23">
        <f t="shared" si="211"/>
        <v>91.4</v>
      </c>
      <c r="CG309" s="1">
        <f t="shared" si="212"/>
        <v>-5.0999999999999996</v>
      </c>
      <c r="CH309" s="1">
        <f t="shared" si="213"/>
        <v>-3.8</v>
      </c>
      <c r="CI309" s="1">
        <f t="shared" si="214"/>
        <v>-5</v>
      </c>
      <c r="CJ309" s="1">
        <f t="shared" si="215"/>
        <v>-3.5</v>
      </c>
      <c r="CK309" s="1">
        <f t="shared" si="216"/>
        <v>0.3</v>
      </c>
      <c r="CL309" s="1">
        <f t="shared" si="217"/>
        <v>1.7</v>
      </c>
      <c r="CM309" s="1">
        <f t="shared" si="218"/>
        <v>2.9</v>
      </c>
      <c r="CN309" s="2">
        <f t="shared" si="219"/>
        <v>97.7</v>
      </c>
      <c r="CO309" s="1">
        <f t="shared" si="220"/>
        <v>-16.8</v>
      </c>
      <c r="CP309" s="1">
        <f t="shared" si="221"/>
        <v>-17.3</v>
      </c>
      <c r="CQ309" s="1">
        <f t="shared" si="222"/>
        <v>-17.600000000000001</v>
      </c>
      <c r="CR309" s="1">
        <f t="shared" si="223"/>
        <v>-16</v>
      </c>
      <c r="CS309" s="1">
        <f t="shared" si="224"/>
        <v>-0.1</v>
      </c>
      <c r="CT309" s="1">
        <f t="shared" si="225"/>
        <v>1.4</v>
      </c>
      <c r="CU309" s="1">
        <f t="shared" si="226"/>
        <v>2.7</v>
      </c>
      <c r="CV309" s="2">
        <f t="shared" si="227"/>
        <v>82</v>
      </c>
      <c r="CW309" s="18">
        <f t="shared" si="228"/>
        <v>10</v>
      </c>
      <c r="CX309" s="1">
        <f>ROUND(PPTest!K309,1)</f>
        <v>0</v>
      </c>
      <c r="CY309" s="17">
        <f t="shared" si="229"/>
        <v>1.54</v>
      </c>
      <c r="CZ309" s="17">
        <f t="shared" si="230"/>
        <v>2.95</v>
      </c>
      <c r="DA309" s="20">
        <f t="shared" si="231"/>
        <v>0.34300000000000003</v>
      </c>
      <c r="DB309" s="20">
        <f t="shared" si="232"/>
        <v>7.4999999999999997E-2</v>
      </c>
      <c r="DC309" s="16">
        <f t="shared" si="233"/>
        <v>12.15</v>
      </c>
      <c r="DW309" s="1">
        <v>-6.5</v>
      </c>
      <c r="DX309" s="1">
        <v>2.6</v>
      </c>
      <c r="DY309" s="1">
        <v>-15.6</v>
      </c>
    </row>
    <row r="310" spans="1:129" x14ac:dyDescent="0.2">
      <c r="A310" s="40">
        <v>35003</v>
      </c>
      <c r="B310" s="42">
        <v>304</v>
      </c>
      <c r="C310" s="3">
        <v>9.41</v>
      </c>
      <c r="D310" s="3">
        <v>16.579999999999998</v>
      </c>
      <c r="E310" s="3">
        <v>-9.25</v>
      </c>
      <c r="F310" s="3">
        <v>86.2</v>
      </c>
      <c r="G310" s="3">
        <v>-9.44</v>
      </c>
      <c r="H310" s="3">
        <v>-9.75</v>
      </c>
      <c r="I310" s="3">
        <v>-7.7</v>
      </c>
      <c r="J310" s="3">
        <v>-8.09</v>
      </c>
      <c r="K310" s="3">
        <v>-8.02</v>
      </c>
      <c r="L310" s="3">
        <v>-0.18099999999999999</v>
      </c>
      <c r="M310" s="3">
        <v>1.2949999999999999</v>
      </c>
      <c r="N310" s="3">
        <v>2.6749999999999998</v>
      </c>
      <c r="O310" s="3">
        <v>0</v>
      </c>
      <c r="P310" s="3">
        <v>1.4398333333333333</v>
      </c>
      <c r="Q310" s="3">
        <v>0</v>
      </c>
      <c r="R310" s="3">
        <v>-2.92</v>
      </c>
      <c r="S310" s="3">
        <v>1155</v>
      </c>
      <c r="T310" s="3">
        <v>102</v>
      </c>
      <c r="U310" s="3">
        <v>553</v>
      </c>
      <c r="V310" s="3">
        <v>-2.2869999999999999</v>
      </c>
      <c r="W310" s="3">
        <v>-0.37</v>
      </c>
      <c r="X310" s="3">
        <v>3.6429999999999998</v>
      </c>
      <c r="Y310" s="3">
        <v>3.7149999999999999</v>
      </c>
      <c r="Z310" s="3">
        <v>1.702</v>
      </c>
      <c r="AA310" s="3">
        <v>-8.7999999999999995E-2</v>
      </c>
      <c r="AB310" s="3">
        <v>1.4770000000000001</v>
      </c>
      <c r="AC310" s="3">
        <v>2.7810000000000001</v>
      </c>
      <c r="AD310" s="3">
        <v>4.0608333333333331</v>
      </c>
      <c r="AE310" s="3">
        <v>1504</v>
      </c>
      <c r="AF310" s="3">
        <v>-17.04</v>
      </c>
      <c r="AG310" s="3">
        <v>0</v>
      </c>
      <c r="AH310" s="3">
        <v>45.21</v>
      </c>
      <c r="AI310" s="3">
        <v>1212</v>
      </c>
      <c r="AJ310" s="3">
        <v>-17.68</v>
      </c>
      <c r="AK310" s="3">
        <v>-18.04</v>
      </c>
      <c r="AL310" s="3">
        <v>-16.079999999999998</v>
      </c>
      <c r="AM310" s="3">
        <v>-17.940000000000001</v>
      </c>
      <c r="AN310" s="3">
        <v>-17.98</v>
      </c>
      <c r="AO310" s="3">
        <v>-0.42199999999999999</v>
      </c>
      <c r="AP310" s="3">
        <v>1.1559999999999999</v>
      </c>
      <c r="AQ310" s="3">
        <v>2.5139999999999998</v>
      </c>
      <c r="AR310" s="3">
        <v>4.5999999999999999E-2</v>
      </c>
      <c r="AS310" s="3">
        <v>0.26400000000000001</v>
      </c>
      <c r="AT310" s="3">
        <v>0.20300000000000001</v>
      </c>
      <c r="AU310" s="3">
        <v>5.2999999999999999E-2</v>
      </c>
      <c r="AV310" s="3">
        <v>0.156</v>
      </c>
      <c r="AW310" s="3">
        <v>0.183</v>
      </c>
      <c r="AX310" s="3">
        <v>5.2999999999999999E-2</v>
      </c>
      <c r="AY310" s="3">
        <v>4.2000000000000003E-2</v>
      </c>
      <c r="AZ310" s="3">
        <v>-9.19</v>
      </c>
      <c r="BA310" s="3"/>
      <c r="BB310" s="3">
        <v>12.17</v>
      </c>
      <c r="BC310" s="3">
        <v>2876</v>
      </c>
      <c r="BD310" s="3"/>
      <c r="BE310" s="3"/>
      <c r="BF310" s="30">
        <v>10</v>
      </c>
      <c r="BH310" s="16">
        <v>8.68</v>
      </c>
      <c r="BI310" s="16">
        <f t="shared" si="194"/>
        <v>17.5336</v>
      </c>
      <c r="BJ310" s="17">
        <f t="shared" si="195"/>
        <v>9.41</v>
      </c>
      <c r="BK310" s="17">
        <f t="shared" si="196"/>
        <v>17.91</v>
      </c>
      <c r="BM310" s="1">
        <f t="shared" si="197"/>
        <v>95.2</v>
      </c>
      <c r="BN310" s="1">
        <f t="shared" si="198"/>
        <v>80.599999999999994</v>
      </c>
      <c r="BO310" s="1">
        <f t="shared" si="199"/>
        <v>42.8</v>
      </c>
      <c r="BP310" s="62">
        <f t="shared" si="201"/>
        <v>0.21099999999999999</v>
      </c>
      <c r="BQ310" s="62">
        <f t="shared" si="200"/>
        <v>0.28199999999999997</v>
      </c>
      <c r="BS310" s="3">
        <v>0</v>
      </c>
      <c r="BT310" s="8"/>
      <c r="BV310" s="8"/>
      <c r="BW310" s="16">
        <f t="shared" si="202"/>
        <v>9.41</v>
      </c>
      <c r="BX310" s="16">
        <f t="shared" si="203"/>
        <v>17.91</v>
      </c>
      <c r="BY310" s="3">
        <f t="shared" si="204"/>
        <v>-9.3000000000000007</v>
      </c>
      <c r="BZ310" s="3">
        <f t="shared" si="205"/>
        <v>-9.4</v>
      </c>
      <c r="CA310" s="3">
        <f t="shared" si="206"/>
        <v>-9.8000000000000007</v>
      </c>
      <c r="CB310" s="3">
        <f t="shared" si="207"/>
        <v>-7.7</v>
      </c>
      <c r="CC310" s="3">
        <f t="shared" si="208"/>
        <v>-0.2</v>
      </c>
      <c r="CD310" s="3">
        <f t="shared" si="209"/>
        <v>1.3</v>
      </c>
      <c r="CE310" s="3">
        <f t="shared" si="210"/>
        <v>2.7</v>
      </c>
      <c r="CF310" s="23">
        <f t="shared" si="211"/>
        <v>80.599999999999994</v>
      </c>
      <c r="CG310" s="1">
        <f t="shared" si="212"/>
        <v>-2.9</v>
      </c>
      <c r="CH310" s="1">
        <f t="shared" si="213"/>
        <v>-2.2999999999999998</v>
      </c>
      <c r="CI310" s="1">
        <f t="shared" si="214"/>
        <v>-0.4</v>
      </c>
      <c r="CJ310" s="1">
        <f t="shared" si="215"/>
        <v>3.6</v>
      </c>
      <c r="CK310" s="1">
        <f t="shared" si="216"/>
        <v>-0.1</v>
      </c>
      <c r="CL310" s="1">
        <f t="shared" si="217"/>
        <v>1.5</v>
      </c>
      <c r="CM310" s="1">
        <f t="shared" si="218"/>
        <v>2.8</v>
      </c>
      <c r="CN310" s="2">
        <f t="shared" si="219"/>
        <v>95.2</v>
      </c>
      <c r="CO310" s="1">
        <f t="shared" si="220"/>
        <v>-17</v>
      </c>
      <c r="CP310" s="1">
        <f t="shared" si="221"/>
        <v>-17.7</v>
      </c>
      <c r="CQ310" s="1">
        <f t="shared" si="222"/>
        <v>-18</v>
      </c>
      <c r="CR310" s="1">
        <f t="shared" si="223"/>
        <v>-16.100000000000001</v>
      </c>
      <c r="CS310" s="1">
        <f t="shared" si="224"/>
        <v>-0.4</v>
      </c>
      <c r="CT310" s="1">
        <f t="shared" si="225"/>
        <v>1.2</v>
      </c>
      <c r="CU310" s="1">
        <f t="shared" si="226"/>
        <v>2.5</v>
      </c>
      <c r="CV310" s="2">
        <f t="shared" si="227"/>
        <v>42.8</v>
      </c>
      <c r="CW310" s="18">
        <f t="shared" si="228"/>
        <v>10</v>
      </c>
      <c r="CX310" s="1">
        <f>ROUND(PPTest!K310,1)</f>
        <v>0</v>
      </c>
      <c r="CY310" s="17">
        <f t="shared" si="229"/>
        <v>1.44</v>
      </c>
      <c r="CZ310" s="17">
        <f t="shared" si="230"/>
        <v>4.0599999999999996</v>
      </c>
      <c r="DA310" s="20">
        <f t="shared" si="231"/>
        <v>0.21099999999999999</v>
      </c>
      <c r="DB310" s="20">
        <f t="shared" si="232"/>
        <v>0.28199999999999997</v>
      </c>
      <c r="DC310" s="16">
        <f t="shared" si="233"/>
        <v>12.17</v>
      </c>
      <c r="DW310" s="1">
        <v>-8.4</v>
      </c>
      <c r="DX310" s="1">
        <v>-4.5</v>
      </c>
      <c r="DY310" s="1">
        <v>-13.9</v>
      </c>
    </row>
    <row r="311" spans="1:129" x14ac:dyDescent="0.2">
      <c r="A311" s="40">
        <v>35004</v>
      </c>
      <c r="B311" s="42">
        <v>305</v>
      </c>
      <c r="C311" s="3">
        <v>9.1300000000000008</v>
      </c>
      <c r="D311" s="3">
        <v>16.38</v>
      </c>
      <c r="E311" s="3">
        <v>-13.23</v>
      </c>
      <c r="F311" s="3">
        <v>86.6</v>
      </c>
      <c r="G311" s="3">
        <v>-13.6</v>
      </c>
      <c r="H311" s="3">
        <v>-13.86</v>
      </c>
      <c r="I311" s="3">
        <v>-11.87</v>
      </c>
      <c r="J311" s="3">
        <v>-12.47</v>
      </c>
      <c r="K311" s="3">
        <v>-12.43</v>
      </c>
      <c r="L311" s="3">
        <v>-0.48399999999999999</v>
      </c>
      <c r="M311" s="3">
        <v>1.069</v>
      </c>
      <c r="N311" s="3">
        <v>2.4910000000000001</v>
      </c>
      <c r="O311" s="3">
        <v>0</v>
      </c>
      <c r="P311" s="3">
        <v>1.9325000000000001</v>
      </c>
      <c r="Q311" s="3"/>
      <c r="R311" s="3">
        <v>-4.0670000000000002</v>
      </c>
      <c r="S311" s="3">
        <v>1451</v>
      </c>
      <c r="T311" s="3">
        <v>96.5</v>
      </c>
      <c r="U311" s="3">
        <v>2306</v>
      </c>
      <c r="V311" s="3">
        <v>-3.7549999999999999</v>
      </c>
      <c r="W311" s="3">
        <v>-3.7519999999999998</v>
      </c>
      <c r="X311" s="3">
        <v>-8.4000000000000005E-2</v>
      </c>
      <c r="Y311" s="3">
        <v>-0.126</v>
      </c>
      <c r="Z311" s="3">
        <v>-0.67600000000000005</v>
      </c>
      <c r="AA311" s="3">
        <v>-0.27500000000000002</v>
      </c>
      <c r="AB311" s="3">
        <v>1.2689999999999999</v>
      </c>
      <c r="AC311" s="3">
        <v>2.6080000000000001</v>
      </c>
      <c r="AD311" s="3">
        <v>3.5008333333333335</v>
      </c>
      <c r="AE311" s="3">
        <v>1245</v>
      </c>
      <c r="AF311" s="3">
        <v>-19.47</v>
      </c>
      <c r="AG311" s="3">
        <v>614</v>
      </c>
      <c r="AH311" s="3">
        <v>62.98</v>
      </c>
      <c r="AI311" s="3">
        <v>1325</v>
      </c>
      <c r="AJ311" s="3">
        <v>-19.98</v>
      </c>
      <c r="AK311" s="3">
        <v>-20.28</v>
      </c>
      <c r="AL311" s="3">
        <v>-18.82</v>
      </c>
      <c r="AM311" s="3">
        <v>-20.23</v>
      </c>
      <c r="AN311" s="3">
        <v>-20.29</v>
      </c>
      <c r="AO311" s="3">
        <v>-0.76200000000000001</v>
      </c>
      <c r="AP311" s="3">
        <v>0.98199999999999998</v>
      </c>
      <c r="AQ311" s="3">
        <v>2.37</v>
      </c>
      <c r="AR311" s="3">
        <v>0</v>
      </c>
      <c r="AS311" s="3">
        <v>0.23699999999999999</v>
      </c>
      <c r="AT311" s="3">
        <v>0.47299999999999998</v>
      </c>
      <c r="AU311" s="3">
        <v>2.7E-2</v>
      </c>
      <c r="AV311" s="3">
        <v>0.11700000000000001</v>
      </c>
      <c r="AW311" s="3">
        <v>0.11700000000000001</v>
      </c>
      <c r="AX311" s="3">
        <v>2.5999999999999999E-2</v>
      </c>
      <c r="AY311" s="3">
        <v>3.0000000000000001E-3</v>
      </c>
      <c r="AZ311" s="3">
        <v>-13.83</v>
      </c>
      <c r="BA311" s="3"/>
      <c r="BB311" s="3">
        <v>12.15</v>
      </c>
      <c r="BC311" s="3">
        <v>2876</v>
      </c>
      <c r="BD311" s="3"/>
      <c r="BE311" s="3"/>
      <c r="BF311" s="30">
        <v>10</v>
      </c>
      <c r="BH311" s="16">
        <v>8.51</v>
      </c>
      <c r="BI311" s="16">
        <f t="shared" si="194"/>
        <v>17.190200000000001</v>
      </c>
      <c r="BJ311" s="17">
        <f t="shared" si="195"/>
        <v>9.1300000000000008</v>
      </c>
      <c r="BK311" s="17">
        <f t="shared" si="196"/>
        <v>17.690000000000001</v>
      </c>
      <c r="BM311" s="1">
        <f t="shared" si="197"/>
        <v>90.2</v>
      </c>
      <c r="BN311" s="1">
        <f t="shared" si="198"/>
        <v>81</v>
      </c>
      <c r="BO311" s="1">
        <f t="shared" si="199"/>
        <v>59.2</v>
      </c>
      <c r="BP311" s="62">
        <f t="shared" si="201"/>
        <v>0.26700000000000002</v>
      </c>
      <c r="BQ311" s="62">
        <f t="shared" si="200"/>
        <v>0.184</v>
      </c>
      <c r="BS311" s="52">
        <f t="shared" ref="BS311:BS322" si="234">BU$3*BU311</f>
        <v>0</v>
      </c>
      <c r="BT311" s="8">
        <v>0</v>
      </c>
      <c r="BU311" s="51">
        <v>0</v>
      </c>
      <c r="BV311" s="8"/>
      <c r="BW311" s="16">
        <f t="shared" si="202"/>
        <v>9.1300000000000008</v>
      </c>
      <c r="BX311" s="16">
        <f t="shared" si="203"/>
        <v>17.690000000000001</v>
      </c>
      <c r="BY311" s="3">
        <f t="shared" si="204"/>
        <v>-13.2</v>
      </c>
      <c r="BZ311" s="3">
        <f t="shared" si="205"/>
        <v>-13.6</v>
      </c>
      <c r="CA311" s="3">
        <f t="shared" si="206"/>
        <v>-13.9</v>
      </c>
      <c r="CB311" s="3">
        <f t="shared" si="207"/>
        <v>-11.9</v>
      </c>
      <c r="CC311" s="3">
        <f t="shared" si="208"/>
        <v>-0.5</v>
      </c>
      <c r="CD311" s="3">
        <f t="shared" si="209"/>
        <v>1.1000000000000001</v>
      </c>
      <c r="CE311" s="3">
        <f t="shared" si="210"/>
        <v>2.5</v>
      </c>
      <c r="CF311" s="23">
        <f t="shared" si="211"/>
        <v>81</v>
      </c>
      <c r="CG311" s="1">
        <f t="shared" si="212"/>
        <v>-4.0999999999999996</v>
      </c>
      <c r="CH311" s="1">
        <f t="shared" si="213"/>
        <v>-3.8</v>
      </c>
      <c r="CI311" s="1">
        <f t="shared" si="214"/>
        <v>-3.8</v>
      </c>
      <c r="CJ311" s="1">
        <f t="shared" si="215"/>
        <v>-0.1</v>
      </c>
      <c r="CK311" s="1">
        <f t="shared" si="216"/>
        <v>-0.3</v>
      </c>
      <c r="CL311" s="1">
        <f t="shared" si="217"/>
        <v>1.3</v>
      </c>
      <c r="CM311" s="1">
        <f t="shared" si="218"/>
        <v>2.6</v>
      </c>
      <c r="CN311" s="2">
        <f t="shared" si="219"/>
        <v>90.2</v>
      </c>
      <c r="CO311" s="1">
        <f t="shared" si="220"/>
        <v>-19.5</v>
      </c>
      <c r="CP311" s="1">
        <f t="shared" si="221"/>
        <v>-20</v>
      </c>
      <c r="CQ311" s="1">
        <f t="shared" si="222"/>
        <v>-20.3</v>
      </c>
      <c r="CR311" s="1">
        <f t="shared" si="223"/>
        <v>-18.8</v>
      </c>
      <c r="CS311" s="1">
        <f t="shared" si="224"/>
        <v>-0.8</v>
      </c>
      <c r="CT311" s="1">
        <f t="shared" si="225"/>
        <v>1</v>
      </c>
      <c r="CU311" s="1">
        <f t="shared" si="226"/>
        <v>2.4</v>
      </c>
      <c r="CV311" s="2">
        <f t="shared" si="227"/>
        <v>59.2</v>
      </c>
      <c r="CW311" s="18">
        <f t="shared" si="228"/>
        <v>10</v>
      </c>
      <c r="CX311" s="1">
        <f>ROUND(PPTest!K311,1)</f>
        <v>0</v>
      </c>
      <c r="CY311" s="17">
        <f t="shared" si="229"/>
        <v>1.93</v>
      </c>
      <c r="CZ311" s="17">
        <f t="shared" si="230"/>
        <v>3.5</v>
      </c>
      <c r="DA311" s="20">
        <f t="shared" si="231"/>
        <v>0.26700000000000002</v>
      </c>
      <c r="DB311" s="20">
        <f t="shared" si="232"/>
        <v>0.184</v>
      </c>
      <c r="DC311" s="16">
        <f t="shared" si="233"/>
        <v>12.15</v>
      </c>
      <c r="DW311" s="1">
        <v>-9.8000000000000007</v>
      </c>
      <c r="DX311" s="1">
        <v>0.9</v>
      </c>
      <c r="DY311" s="1">
        <v>-17.100000000000001</v>
      </c>
    </row>
    <row r="312" spans="1:129" x14ac:dyDescent="0.2">
      <c r="A312" s="40">
        <v>35005</v>
      </c>
      <c r="B312" s="42">
        <v>306</v>
      </c>
      <c r="C312" s="3">
        <v>8.8699999999999992</v>
      </c>
      <c r="D312" s="3">
        <v>16.02</v>
      </c>
      <c r="E312" s="3">
        <v>-10.71</v>
      </c>
      <c r="F312" s="3">
        <v>82.4</v>
      </c>
      <c r="G312" s="3">
        <v>-11.01</v>
      </c>
      <c r="H312" s="3">
        <v>-11.21</v>
      </c>
      <c r="I312" s="3">
        <v>-9.7100000000000009</v>
      </c>
      <c r="J312" s="3">
        <v>-9.99</v>
      </c>
      <c r="K312" s="3">
        <v>-9.8000000000000007</v>
      </c>
      <c r="L312" s="3">
        <v>-0.66300000000000003</v>
      </c>
      <c r="M312" s="3">
        <v>0.95</v>
      </c>
      <c r="N312" s="3">
        <v>2.41</v>
      </c>
      <c r="O312" s="3">
        <v>0</v>
      </c>
      <c r="P312" s="3">
        <v>1.9275</v>
      </c>
      <c r="Q312" s="3"/>
      <c r="R312" s="3">
        <v>-2.4340000000000002</v>
      </c>
      <c r="S312" s="3">
        <v>1303</v>
      </c>
      <c r="T312" s="3">
        <v>96.5</v>
      </c>
      <c r="U312" s="3">
        <v>0</v>
      </c>
      <c r="V312" s="3">
        <v>-2.11</v>
      </c>
      <c r="W312" s="3">
        <v>-0.83499999999999996</v>
      </c>
      <c r="X312" s="3">
        <v>0.89800000000000002</v>
      </c>
      <c r="Y312" s="3">
        <v>2.0680000000000001</v>
      </c>
      <c r="Z312" s="3">
        <v>0.69599999999999995</v>
      </c>
      <c r="AA312" s="3">
        <v>-0.36899999999999999</v>
      </c>
      <c r="AB312" s="3">
        <v>1.157</v>
      </c>
      <c r="AC312" s="3">
        <v>2.524</v>
      </c>
      <c r="AD312" s="3">
        <v>3.5941666666666667</v>
      </c>
      <c r="AE312" s="3">
        <v>1108</v>
      </c>
      <c r="AF312" s="3">
        <v>-16.97</v>
      </c>
      <c r="AG312" s="3">
        <v>607</v>
      </c>
      <c r="AH312" s="3">
        <v>47.86</v>
      </c>
      <c r="AI312" s="3">
        <v>1253</v>
      </c>
      <c r="AJ312" s="3">
        <v>-17.48</v>
      </c>
      <c r="AK312" s="3">
        <v>-17.77</v>
      </c>
      <c r="AL312" s="3">
        <v>-16.7</v>
      </c>
      <c r="AM312" s="3">
        <v>-17.66</v>
      </c>
      <c r="AN312" s="3">
        <v>-17.670000000000002</v>
      </c>
      <c r="AO312" s="3">
        <v>-1.0189999999999999</v>
      </c>
      <c r="AP312" s="3">
        <v>0.84299999999999997</v>
      </c>
      <c r="AQ312" s="3">
        <v>2.2559999999999998</v>
      </c>
      <c r="AR312" s="3">
        <v>0</v>
      </c>
      <c r="AS312" s="3">
        <v>0.22900000000000001</v>
      </c>
      <c r="AT312" s="3">
        <v>0.46700000000000003</v>
      </c>
      <c r="AU312" s="3">
        <v>1.0999999999999999E-2</v>
      </c>
      <c r="AV312" s="3">
        <v>0.11</v>
      </c>
      <c r="AW312" s="3">
        <v>0.18099999999999999</v>
      </c>
      <c r="AX312" s="3">
        <v>3.0000000000000001E-3</v>
      </c>
      <c r="AY312" s="3">
        <v>0</v>
      </c>
      <c r="AZ312" s="3">
        <v>-11.32</v>
      </c>
      <c r="BA312" s="3"/>
      <c r="BB312" s="3">
        <v>12.17</v>
      </c>
      <c r="BC312" s="3">
        <v>2876</v>
      </c>
      <c r="BD312" s="3"/>
      <c r="BE312" s="3"/>
      <c r="BF312" s="30">
        <v>10</v>
      </c>
      <c r="BH312" s="16">
        <v>8.34</v>
      </c>
      <c r="BI312" s="16">
        <f t="shared" si="194"/>
        <v>16.846799999999998</v>
      </c>
      <c r="BJ312" s="17">
        <f t="shared" si="195"/>
        <v>8.8699999999999992</v>
      </c>
      <c r="BK312" s="17">
        <f t="shared" si="196"/>
        <v>17.3</v>
      </c>
      <c r="BM312" s="1">
        <f t="shared" si="197"/>
        <v>90.2</v>
      </c>
      <c r="BN312" s="1">
        <f t="shared" si="198"/>
        <v>77.099999999999994</v>
      </c>
      <c r="BO312" s="1">
        <f t="shared" si="199"/>
        <v>45.2</v>
      </c>
      <c r="BP312" s="62">
        <f t="shared" si="201"/>
        <v>0.23100000000000001</v>
      </c>
      <c r="BQ312" s="62">
        <f t="shared" si="200"/>
        <v>0.28000000000000003</v>
      </c>
      <c r="BS312" s="52">
        <f t="shared" si="234"/>
        <v>0</v>
      </c>
      <c r="BT312" s="8">
        <v>0</v>
      </c>
      <c r="BU312" s="51">
        <v>0</v>
      </c>
      <c r="BV312" s="8"/>
      <c r="BW312" s="16">
        <f t="shared" si="202"/>
        <v>8.8699999999999992</v>
      </c>
      <c r="BX312" s="16">
        <f t="shared" si="203"/>
        <v>17.3</v>
      </c>
      <c r="BY312" s="3">
        <f t="shared" si="204"/>
        <v>-10.7</v>
      </c>
      <c r="BZ312" s="3">
        <f t="shared" si="205"/>
        <v>-11</v>
      </c>
      <c r="CA312" s="3">
        <f t="shared" si="206"/>
        <v>-11.2</v>
      </c>
      <c r="CB312" s="3">
        <f t="shared" si="207"/>
        <v>-9.6999999999999993</v>
      </c>
      <c r="CC312" s="3">
        <f t="shared" si="208"/>
        <v>-0.7</v>
      </c>
      <c r="CD312" s="3">
        <f t="shared" si="209"/>
        <v>1</v>
      </c>
      <c r="CE312" s="3">
        <f t="shared" si="210"/>
        <v>2.4</v>
      </c>
      <c r="CF312" s="23">
        <f t="shared" si="211"/>
        <v>77.099999999999994</v>
      </c>
      <c r="CG312" s="1">
        <f t="shared" si="212"/>
        <v>-2.4</v>
      </c>
      <c r="CH312" s="1">
        <f t="shared" si="213"/>
        <v>-2.1</v>
      </c>
      <c r="CI312" s="1">
        <f t="shared" si="214"/>
        <v>-0.8</v>
      </c>
      <c r="CJ312" s="1">
        <f t="shared" si="215"/>
        <v>0.9</v>
      </c>
      <c r="CK312" s="1">
        <f t="shared" si="216"/>
        <v>-0.4</v>
      </c>
      <c r="CL312" s="1">
        <f t="shared" si="217"/>
        <v>1.2</v>
      </c>
      <c r="CM312" s="1">
        <f t="shared" si="218"/>
        <v>2.5</v>
      </c>
      <c r="CN312" s="2">
        <f t="shared" si="219"/>
        <v>90.2</v>
      </c>
      <c r="CO312" s="1">
        <f t="shared" si="220"/>
        <v>-17</v>
      </c>
      <c r="CP312" s="1">
        <f t="shared" si="221"/>
        <v>-17.5</v>
      </c>
      <c r="CQ312" s="1">
        <f t="shared" si="222"/>
        <v>-17.8</v>
      </c>
      <c r="CR312" s="1">
        <f t="shared" si="223"/>
        <v>-16.7</v>
      </c>
      <c r="CS312" s="1">
        <f t="shared" si="224"/>
        <v>-1</v>
      </c>
      <c r="CT312" s="1">
        <f t="shared" si="225"/>
        <v>0.8</v>
      </c>
      <c r="CU312" s="1">
        <f t="shared" si="226"/>
        <v>2.2999999999999998</v>
      </c>
      <c r="CV312" s="2">
        <f t="shared" si="227"/>
        <v>45.2</v>
      </c>
      <c r="CW312" s="18">
        <f t="shared" si="228"/>
        <v>10</v>
      </c>
      <c r="CX312" s="1">
        <f>ROUND(PPTest!K312,1)</f>
        <v>0</v>
      </c>
      <c r="CY312" s="17">
        <f t="shared" si="229"/>
        <v>1.93</v>
      </c>
      <c r="CZ312" s="17">
        <f t="shared" si="230"/>
        <v>3.59</v>
      </c>
      <c r="DA312" s="20">
        <f t="shared" si="231"/>
        <v>0.23100000000000001</v>
      </c>
      <c r="DB312" s="20">
        <f t="shared" si="232"/>
        <v>0.28000000000000003</v>
      </c>
      <c r="DC312" s="16">
        <f t="shared" si="233"/>
        <v>12.17</v>
      </c>
      <c r="DW312" s="1">
        <v>-5.4</v>
      </c>
      <c r="DX312" s="1">
        <v>4.7</v>
      </c>
      <c r="DY312" s="1">
        <v>-14.5</v>
      </c>
    </row>
    <row r="313" spans="1:129" x14ac:dyDescent="0.2">
      <c r="A313" s="40">
        <v>35006</v>
      </c>
      <c r="B313" s="42">
        <v>307</v>
      </c>
      <c r="C313" s="3">
        <v>7.17</v>
      </c>
      <c r="D313" s="3">
        <v>13.3</v>
      </c>
      <c r="E313" s="3">
        <v>-9.09</v>
      </c>
      <c r="F313" s="3">
        <v>86.4</v>
      </c>
      <c r="G313" s="3">
        <v>-9.4600000000000009</v>
      </c>
      <c r="H313" s="3">
        <v>-9.73</v>
      </c>
      <c r="I313" s="3">
        <v>-8.64</v>
      </c>
      <c r="J313" s="3">
        <v>-8.83</v>
      </c>
      <c r="K313" s="3">
        <v>-8.6999999999999993</v>
      </c>
      <c r="L313" s="3">
        <v>-0.67200000000000004</v>
      </c>
      <c r="M313" s="3">
        <v>0.85199999999999998</v>
      </c>
      <c r="N313" s="3">
        <v>2.3439999999999999</v>
      </c>
      <c r="O313" s="3">
        <v>0</v>
      </c>
      <c r="P313" s="3">
        <v>1.8075000000000001</v>
      </c>
      <c r="Q313" s="3"/>
      <c r="R313" s="3">
        <v>-1.411</v>
      </c>
      <c r="S313" s="3">
        <v>1606</v>
      </c>
      <c r="T313" s="3">
        <v>99.7</v>
      </c>
      <c r="U313" s="3">
        <v>330</v>
      </c>
      <c r="V313" s="3">
        <v>-1.208</v>
      </c>
      <c r="W313" s="3">
        <v>-0.92800000000000005</v>
      </c>
      <c r="X313" s="3">
        <v>-0.10100000000000001</v>
      </c>
      <c r="Y313" s="3">
        <v>1.3460000000000001</v>
      </c>
      <c r="Z313" s="3">
        <v>-0.04</v>
      </c>
      <c r="AA313" s="3">
        <v>-0.39600000000000002</v>
      </c>
      <c r="AB313" s="3">
        <v>0.996</v>
      </c>
      <c r="AC313" s="3">
        <v>2.4329999999999998</v>
      </c>
      <c r="AD313" s="3">
        <v>3.354166666666667</v>
      </c>
      <c r="AE313" s="3">
        <v>1118</v>
      </c>
      <c r="AF313" s="3">
        <v>-15.65</v>
      </c>
      <c r="AG313" s="3">
        <v>513</v>
      </c>
      <c r="AH313" s="3">
        <v>56.79</v>
      </c>
      <c r="AI313" s="3">
        <v>1448</v>
      </c>
      <c r="AJ313" s="3">
        <v>-16.239999999999998</v>
      </c>
      <c r="AK313" s="3">
        <v>-16.760000000000002</v>
      </c>
      <c r="AL313" s="3">
        <v>-15.44</v>
      </c>
      <c r="AM313" s="3">
        <v>-16.57</v>
      </c>
      <c r="AN313" s="3">
        <v>-16.600000000000001</v>
      </c>
      <c r="AO313" s="3">
        <v>-1.006</v>
      </c>
      <c r="AP313" s="3">
        <v>0.73099999999999998</v>
      </c>
      <c r="AQ313" s="3">
        <v>2.1880000000000002</v>
      </c>
      <c r="AR313" s="3">
        <v>3.0000000000000001E-3</v>
      </c>
      <c r="AS313" s="3">
        <v>0.29599999999999999</v>
      </c>
      <c r="AT313" s="3">
        <v>0.41199999999999998</v>
      </c>
      <c r="AU313" s="3">
        <v>6.0000000000000001E-3</v>
      </c>
      <c r="AV313" s="3">
        <v>6.4000000000000001E-2</v>
      </c>
      <c r="AW313" s="3">
        <v>0.2</v>
      </c>
      <c r="AX313" s="3">
        <v>1.9E-2</v>
      </c>
      <c r="AY313" s="3">
        <v>0</v>
      </c>
      <c r="AZ313" s="3">
        <v>-10.029999999999999</v>
      </c>
      <c r="BA313" s="3"/>
      <c r="BB313" s="3">
        <v>12.17</v>
      </c>
      <c r="BC313" s="3">
        <v>2876</v>
      </c>
      <c r="BD313" s="3"/>
      <c r="BE313" s="3"/>
      <c r="BF313" s="30">
        <v>10</v>
      </c>
      <c r="BH313" s="16">
        <v>8.18</v>
      </c>
      <c r="BI313" s="16">
        <f t="shared" si="194"/>
        <v>16.523599999999998</v>
      </c>
      <c r="BJ313" s="17">
        <f t="shared" si="195"/>
        <v>7.17</v>
      </c>
      <c r="BK313" s="17">
        <f t="shared" si="196"/>
        <v>14.36</v>
      </c>
      <c r="BM313" s="1">
        <f t="shared" si="197"/>
        <v>93.1</v>
      </c>
      <c r="BN313" s="1">
        <f t="shared" si="198"/>
        <v>80.8</v>
      </c>
      <c r="BO313" s="1">
        <f t="shared" si="199"/>
        <v>53.5</v>
      </c>
      <c r="BP313" s="62">
        <f t="shared" si="201"/>
        <v>0.29499999999999998</v>
      </c>
      <c r="BQ313" s="62">
        <f t="shared" si="200"/>
        <v>0.25600000000000001</v>
      </c>
      <c r="BS313" s="52">
        <f t="shared" si="234"/>
        <v>0</v>
      </c>
      <c r="BT313" s="8">
        <v>0</v>
      </c>
      <c r="BU313" s="51">
        <v>0</v>
      </c>
      <c r="BV313" s="8"/>
      <c r="BW313" s="16">
        <f t="shared" si="202"/>
        <v>7.17</v>
      </c>
      <c r="BX313" s="16">
        <f t="shared" si="203"/>
        <v>14.36</v>
      </c>
      <c r="BY313" s="3">
        <f t="shared" si="204"/>
        <v>-9.1</v>
      </c>
      <c r="BZ313" s="3">
        <f t="shared" si="205"/>
        <v>-9.5</v>
      </c>
      <c r="CA313" s="3">
        <f t="shared" si="206"/>
        <v>-9.6999999999999993</v>
      </c>
      <c r="CB313" s="3">
        <f t="shared" si="207"/>
        <v>-8.6</v>
      </c>
      <c r="CC313" s="3">
        <f t="shared" si="208"/>
        <v>-0.7</v>
      </c>
      <c r="CD313" s="3">
        <f t="shared" si="209"/>
        <v>0.9</v>
      </c>
      <c r="CE313" s="3">
        <f t="shared" si="210"/>
        <v>2.2999999999999998</v>
      </c>
      <c r="CF313" s="23">
        <f t="shared" si="211"/>
        <v>80.8</v>
      </c>
      <c r="CG313" s="1">
        <f t="shared" si="212"/>
        <v>-1.4</v>
      </c>
      <c r="CH313" s="1">
        <f t="shared" si="213"/>
        <v>-1.2</v>
      </c>
      <c r="CI313" s="1">
        <f t="shared" si="214"/>
        <v>-0.9</v>
      </c>
      <c r="CJ313" s="1">
        <f t="shared" si="215"/>
        <v>-0.1</v>
      </c>
      <c r="CK313" s="1">
        <f t="shared" si="216"/>
        <v>-0.4</v>
      </c>
      <c r="CL313" s="1">
        <f t="shared" si="217"/>
        <v>1</v>
      </c>
      <c r="CM313" s="1">
        <f t="shared" si="218"/>
        <v>2.4</v>
      </c>
      <c r="CN313" s="2">
        <f t="shared" si="219"/>
        <v>93.1</v>
      </c>
      <c r="CO313" s="1">
        <f t="shared" si="220"/>
        <v>-15.7</v>
      </c>
      <c r="CP313" s="1">
        <f t="shared" si="221"/>
        <v>-16.2</v>
      </c>
      <c r="CQ313" s="1">
        <f t="shared" si="222"/>
        <v>-16.8</v>
      </c>
      <c r="CR313" s="1">
        <f t="shared" si="223"/>
        <v>-15.4</v>
      </c>
      <c r="CS313" s="1">
        <f t="shared" si="224"/>
        <v>-1</v>
      </c>
      <c r="CT313" s="1">
        <f t="shared" si="225"/>
        <v>0.7</v>
      </c>
      <c r="CU313" s="1">
        <f t="shared" si="226"/>
        <v>2.2000000000000002</v>
      </c>
      <c r="CV313" s="2">
        <f t="shared" si="227"/>
        <v>53.5</v>
      </c>
      <c r="CW313" s="18">
        <f t="shared" si="228"/>
        <v>10</v>
      </c>
      <c r="CX313" s="1">
        <f>ROUND(PPTest!K313,1)</f>
        <v>0</v>
      </c>
      <c r="CY313" s="17">
        <f t="shared" si="229"/>
        <v>1.81</v>
      </c>
      <c r="CZ313" s="17">
        <f t="shared" si="230"/>
        <v>3.35</v>
      </c>
      <c r="DA313" s="20">
        <f t="shared" si="231"/>
        <v>0.29499999999999998</v>
      </c>
      <c r="DB313" s="20">
        <f t="shared" si="232"/>
        <v>0.25600000000000001</v>
      </c>
      <c r="DC313" s="16">
        <f t="shared" si="233"/>
        <v>12.17</v>
      </c>
      <c r="DW313" s="1">
        <v>-4</v>
      </c>
      <c r="DX313" s="1">
        <v>3.4</v>
      </c>
      <c r="DY313" s="1">
        <v>-9.9</v>
      </c>
    </row>
    <row r="314" spans="1:129" x14ac:dyDescent="0.2">
      <c r="A314" s="40">
        <v>35007</v>
      </c>
      <c r="B314" s="42">
        <v>308</v>
      </c>
      <c r="C314" s="3">
        <v>1.5589999999999999</v>
      </c>
      <c r="D314" s="3">
        <v>3.089</v>
      </c>
      <c r="E314" s="3">
        <v>-4.7549999999999999</v>
      </c>
      <c r="F314" s="3">
        <v>88.2</v>
      </c>
      <c r="G314" s="3">
        <v>-5.0590000000000002</v>
      </c>
      <c r="H314" s="3">
        <v>-5.0860000000000003</v>
      </c>
      <c r="I314" s="3">
        <v>-4.5839999999999996</v>
      </c>
      <c r="J314" s="3">
        <v>-5.1890000000000001</v>
      </c>
      <c r="K314" s="3">
        <v>-5.1479999999999997</v>
      </c>
      <c r="L314" s="3">
        <v>-0.6</v>
      </c>
      <c r="M314" s="3">
        <v>0.754</v>
      </c>
      <c r="N314" s="3">
        <v>2.2690000000000001</v>
      </c>
      <c r="O314" s="3">
        <v>0</v>
      </c>
      <c r="P314" s="3">
        <v>1.7191666666666667</v>
      </c>
      <c r="Q314" s="3"/>
      <c r="R314" s="3">
        <v>-2.4049999999999998</v>
      </c>
      <c r="S314" s="3">
        <v>1334</v>
      </c>
      <c r="T314" s="3">
        <v>102.3</v>
      </c>
      <c r="U314" s="3">
        <v>2352</v>
      </c>
      <c r="V314" s="3">
        <v>-2.5760000000000001</v>
      </c>
      <c r="W314" s="3">
        <v>-2.589</v>
      </c>
      <c r="X314" s="3">
        <v>-2.5790000000000002</v>
      </c>
      <c r="Y314" s="3">
        <v>-2.6440000000000001</v>
      </c>
      <c r="Z314" s="3">
        <v>-2.4820000000000002</v>
      </c>
      <c r="AA314" s="3">
        <v>-0.48799999999999999</v>
      </c>
      <c r="AB314" s="3">
        <v>0.84</v>
      </c>
      <c r="AC314" s="3">
        <v>2.34</v>
      </c>
      <c r="AD314" s="3">
        <v>4.434166666666667</v>
      </c>
      <c r="AE314" s="3">
        <v>1305</v>
      </c>
      <c r="AF314" s="3">
        <v>-10.4</v>
      </c>
      <c r="AG314" s="3">
        <v>8</v>
      </c>
      <c r="AH314" s="3">
        <v>69.16</v>
      </c>
      <c r="AI314" s="3">
        <v>1305</v>
      </c>
      <c r="AJ314" s="3">
        <v>-10.85</v>
      </c>
      <c r="AK314" s="3">
        <v>-11.14</v>
      </c>
      <c r="AL314" s="3">
        <v>-10.3</v>
      </c>
      <c r="AM314" s="3">
        <v>-11.08</v>
      </c>
      <c r="AN314" s="3">
        <v>-11.09</v>
      </c>
      <c r="AO314" s="3">
        <v>-0.79500000000000004</v>
      </c>
      <c r="AP314" s="3">
        <v>0.71099999999999997</v>
      </c>
      <c r="AQ314" s="3">
        <v>2.2250000000000001</v>
      </c>
      <c r="AR314" s="3">
        <v>4.3999999999999997E-2</v>
      </c>
      <c r="AS314" s="3">
        <v>0.129</v>
      </c>
      <c r="AT314" s="3">
        <v>0.11</v>
      </c>
      <c r="AU314" s="3">
        <v>0.04</v>
      </c>
      <c r="AV314" s="3">
        <v>0.108</v>
      </c>
      <c r="AW314" s="3">
        <v>0.32700000000000001</v>
      </c>
      <c r="AX314" s="3">
        <v>0.17599999999999999</v>
      </c>
      <c r="AY314" s="3">
        <v>6.6000000000000003E-2</v>
      </c>
      <c r="AZ314" s="3">
        <v>-5.56</v>
      </c>
      <c r="BA314" s="3"/>
      <c r="BB314" s="3">
        <v>12.17</v>
      </c>
      <c r="BC314" s="3">
        <v>2876</v>
      </c>
      <c r="BD314" s="3"/>
      <c r="BE314" s="3"/>
      <c r="BF314" s="30">
        <v>10</v>
      </c>
      <c r="BH314" s="16">
        <v>8.02</v>
      </c>
      <c r="BI314" s="16">
        <f t="shared" si="194"/>
        <v>16.200399999999998</v>
      </c>
      <c r="BJ314" s="17">
        <f t="shared" si="195"/>
        <v>1.56</v>
      </c>
      <c r="BK314" s="17">
        <f t="shared" si="196"/>
        <v>3.34</v>
      </c>
      <c r="BM314" s="1">
        <f t="shared" si="197"/>
        <v>95.5</v>
      </c>
      <c r="BN314" s="1">
        <f t="shared" si="198"/>
        <v>82.5</v>
      </c>
      <c r="BO314" s="1">
        <f t="shared" si="199"/>
        <v>64.900000000000006</v>
      </c>
      <c r="BP314" s="62">
        <f t="shared" si="201"/>
        <v>0.33200000000000002</v>
      </c>
      <c r="BQ314" s="62">
        <f t="shared" si="200"/>
        <v>0.18</v>
      </c>
      <c r="BS314" s="52">
        <f t="shared" si="234"/>
        <v>0</v>
      </c>
      <c r="BT314" s="8">
        <v>0</v>
      </c>
      <c r="BU314" s="51">
        <v>0</v>
      </c>
      <c r="BV314" s="8"/>
      <c r="BW314" s="16">
        <f t="shared" si="202"/>
        <v>1.56</v>
      </c>
      <c r="BX314" s="16">
        <f t="shared" si="203"/>
        <v>3.34</v>
      </c>
      <c r="BY314" s="3">
        <f t="shared" si="204"/>
        <v>-4.8</v>
      </c>
      <c r="BZ314" s="3">
        <f t="shared" si="205"/>
        <v>-5.0999999999999996</v>
      </c>
      <c r="CA314" s="3">
        <f t="shared" si="206"/>
        <v>-5.0999999999999996</v>
      </c>
      <c r="CB314" s="3">
        <f t="shared" si="207"/>
        <v>-4.5999999999999996</v>
      </c>
      <c r="CC314" s="3">
        <f t="shared" si="208"/>
        <v>-0.6</v>
      </c>
      <c r="CD314" s="3">
        <f t="shared" si="209"/>
        <v>0.8</v>
      </c>
      <c r="CE314" s="3">
        <f t="shared" si="210"/>
        <v>2.2999999999999998</v>
      </c>
      <c r="CF314" s="23">
        <f t="shared" si="211"/>
        <v>82.5</v>
      </c>
      <c r="CG314" s="1">
        <f t="shared" si="212"/>
        <v>-2.4</v>
      </c>
      <c r="CH314" s="1">
        <f t="shared" si="213"/>
        <v>-2.6</v>
      </c>
      <c r="CI314" s="1">
        <f t="shared" si="214"/>
        <v>-2.6</v>
      </c>
      <c r="CJ314" s="1">
        <f t="shared" si="215"/>
        <v>-2.6</v>
      </c>
      <c r="CK314" s="1">
        <f t="shared" si="216"/>
        <v>-0.5</v>
      </c>
      <c r="CL314" s="1">
        <f t="shared" si="217"/>
        <v>0.8</v>
      </c>
      <c r="CM314" s="1">
        <f t="shared" si="218"/>
        <v>2.2999999999999998</v>
      </c>
      <c r="CN314" s="2">
        <f t="shared" si="219"/>
        <v>95.5</v>
      </c>
      <c r="CO314" s="1">
        <f t="shared" si="220"/>
        <v>-10.4</v>
      </c>
      <c r="CP314" s="1">
        <f t="shared" si="221"/>
        <v>-10.9</v>
      </c>
      <c r="CQ314" s="1">
        <f t="shared" si="222"/>
        <v>-11.1</v>
      </c>
      <c r="CR314" s="1">
        <f t="shared" si="223"/>
        <v>-10.3</v>
      </c>
      <c r="CS314" s="1">
        <f t="shared" si="224"/>
        <v>-0.8</v>
      </c>
      <c r="CT314" s="1">
        <f t="shared" si="225"/>
        <v>0.7</v>
      </c>
      <c r="CU314" s="1">
        <f t="shared" si="226"/>
        <v>2.2000000000000002</v>
      </c>
      <c r="CV314" s="2">
        <f t="shared" si="227"/>
        <v>64.900000000000006</v>
      </c>
      <c r="CW314" s="18">
        <f t="shared" si="228"/>
        <v>10</v>
      </c>
      <c r="CX314" s="1">
        <f>ROUND(PPTest!K314,1)</f>
        <v>0</v>
      </c>
      <c r="CY314" s="17">
        <f t="shared" si="229"/>
        <v>1.72</v>
      </c>
      <c r="CZ314" s="17">
        <f t="shared" si="230"/>
        <v>4.43</v>
      </c>
      <c r="DA314" s="20">
        <f t="shared" si="231"/>
        <v>0.33200000000000002</v>
      </c>
      <c r="DB314" s="20">
        <f t="shared" si="232"/>
        <v>0.18</v>
      </c>
      <c r="DC314" s="16">
        <f t="shared" si="233"/>
        <v>12.17</v>
      </c>
      <c r="DW314" s="1">
        <v>-5.2</v>
      </c>
      <c r="DX314" s="1">
        <v>-3</v>
      </c>
      <c r="DY314" s="1">
        <v>-8.1999999999999993</v>
      </c>
    </row>
    <row r="315" spans="1:129" x14ac:dyDescent="0.2">
      <c r="A315" s="40">
        <v>35008</v>
      </c>
      <c r="B315" s="42">
        <v>309</v>
      </c>
      <c r="C315" s="3">
        <v>0.73799999999999999</v>
      </c>
      <c r="D315" s="3">
        <v>1.389</v>
      </c>
      <c r="E315" s="3">
        <v>-5.5890000000000004</v>
      </c>
      <c r="F315" s="3">
        <v>98.2</v>
      </c>
      <c r="G315" s="3">
        <v>-5.8220000000000001</v>
      </c>
      <c r="H315" s="3">
        <v>-6.0129999999999999</v>
      </c>
      <c r="I315" s="3">
        <v>-3.66</v>
      </c>
      <c r="J315" s="3">
        <v>-5.968</v>
      </c>
      <c r="K315" s="3">
        <v>-5.8769999999999998</v>
      </c>
      <c r="L315" s="3">
        <v>-0.49099999999999999</v>
      </c>
      <c r="M315" s="3">
        <v>0.71399999999999997</v>
      </c>
      <c r="N315" s="3">
        <v>2.2320000000000002</v>
      </c>
      <c r="O315" s="3">
        <v>0</v>
      </c>
      <c r="P315" s="3">
        <v>2.0775000000000001</v>
      </c>
      <c r="Q315" s="3"/>
      <c r="R315" s="3">
        <v>-3.7679999999999998</v>
      </c>
      <c r="S315" s="3">
        <v>1415</v>
      </c>
      <c r="T315" s="3">
        <v>102.2</v>
      </c>
      <c r="U315" s="3">
        <v>1</v>
      </c>
      <c r="V315" s="3">
        <v>-3.3359999999999999</v>
      </c>
      <c r="W315" s="3">
        <v>-3.637</v>
      </c>
      <c r="X315" s="3">
        <v>-1.298</v>
      </c>
      <c r="Y315" s="3">
        <v>-3.339</v>
      </c>
      <c r="Z315" s="3">
        <v>-3.0609999999999999</v>
      </c>
      <c r="AA315" s="3">
        <v>-0.41799999999999998</v>
      </c>
      <c r="AB315" s="3">
        <v>0.752</v>
      </c>
      <c r="AC315" s="3">
        <v>2.2789999999999999</v>
      </c>
      <c r="AD315" s="3">
        <v>4.7675000000000001</v>
      </c>
      <c r="AE315" s="3">
        <v>20</v>
      </c>
      <c r="AF315" s="3">
        <v>-8.84</v>
      </c>
      <c r="AG315" s="3">
        <v>1945</v>
      </c>
      <c r="AH315" s="3">
        <v>90.8</v>
      </c>
      <c r="AI315" s="3">
        <v>858</v>
      </c>
      <c r="AJ315" s="3">
        <v>-9.52</v>
      </c>
      <c r="AK315" s="3">
        <v>-10.029999999999999</v>
      </c>
      <c r="AL315" s="3">
        <v>-6.33</v>
      </c>
      <c r="AM315" s="3">
        <v>-9.67</v>
      </c>
      <c r="AN315" s="3">
        <v>-9.6</v>
      </c>
      <c r="AO315" s="3">
        <v>-0.58499999999999996</v>
      </c>
      <c r="AP315" s="3">
        <v>0.68600000000000005</v>
      </c>
      <c r="AQ315" s="3">
        <v>2.2000000000000002</v>
      </c>
      <c r="AR315" s="3">
        <v>6.0000000000000001E-3</v>
      </c>
      <c r="AS315" s="3">
        <v>0.16500000000000001</v>
      </c>
      <c r="AT315" s="3">
        <v>0.161</v>
      </c>
      <c r="AU315" s="3">
        <v>8.0000000000000002E-3</v>
      </c>
      <c r="AV315" s="3">
        <v>0.14899999999999999</v>
      </c>
      <c r="AW315" s="3">
        <v>0.43099999999999999</v>
      </c>
      <c r="AX315" s="3">
        <v>7.4999999999999997E-2</v>
      </c>
      <c r="AY315" s="3">
        <v>5.0000000000000001E-3</v>
      </c>
      <c r="AZ315" s="3">
        <v>-6.0519999999999996</v>
      </c>
      <c r="BA315" s="3"/>
      <c r="BB315" s="3">
        <v>12.16</v>
      </c>
      <c r="BC315" s="3">
        <v>2876</v>
      </c>
      <c r="BD315" s="3"/>
      <c r="BE315" s="3"/>
      <c r="BF315" s="30">
        <v>15</v>
      </c>
      <c r="BH315" s="16">
        <v>7.86</v>
      </c>
      <c r="BI315" s="16">
        <f t="shared" si="194"/>
        <v>15.8772</v>
      </c>
      <c r="BJ315" s="17">
        <f t="shared" si="195"/>
        <v>0.74</v>
      </c>
      <c r="BK315" s="17">
        <f t="shared" si="196"/>
        <v>1.5</v>
      </c>
      <c r="BM315" s="1">
        <f t="shared" si="197"/>
        <v>95.4</v>
      </c>
      <c r="BN315" s="1">
        <f t="shared" si="198"/>
        <v>91.7</v>
      </c>
      <c r="BO315" s="1">
        <f t="shared" si="199"/>
        <v>84.9</v>
      </c>
      <c r="BP315" s="62">
        <f t="shared" si="201"/>
        <v>0.39200000000000002</v>
      </c>
      <c r="BQ315" s="62">
        <f t="shared" si="200"/>
        <v>7.0000000000000007E-2</v>
      </c>
      <c r="BS315" s="52">
        <f t="shared" si="234"/>
        <v>0</v>
      </c>
      <c r="BT315" s="8">
        <v>5.4</v>
      </c>
      <c r="BU315" s="51">
        <v>0</v>
      </c>
      <c r="BV315" s="8"/>
      <c r="BW315" s="16">
        <f t="shared" si="202"/>
        <v>0.74</v>
      </c>
      <c r="BX315" s="16">
        <f t="shared" si="203"/>
        <v>1.5</v>
      </c>
      <c r="BY315" s="3">
        <f t="shared" si="204"/>
        <v>-5.6</v>
      </c>
      <c r="BZ315" s="3">
        <f t="shared" si="205"/>
        <v>-5.8</v>
      </c>
      <c r="CA315" s="3">
        <f t="shared" si="206"/>
        <v>-6</v>
      </c>
      <c r="CB315" s="3">
        <f t="shared" si="207"/>
        <v>-3.7</v>
      </c>
      <c r="CC315" s="3">
        <f t="shared" si="208"/>
        <v>-0.5</v>
      </c>
      <c r="CD315" s="3">
        <f t="shared" si="209"/>
        <v>0.7</v>
      </c>
      <c r="CE315" s="3">
        <f t="shared" si="210"/>
        <v>2.2000000000000002</v>
      </c>
      <c r="CF315" s="23">
        <f t="shared" si="211"/>
        <v>91.7</v>
      </c>
      <c r="CG315" s="1">
        <f t="shared" si="212"/>
        <v>-3.8</v>
      </c>
      <c r="CH315" s="1">
        <f t="shared" si="213"/>
        <v>-3.3</v>
      </c>
      <c r="CI315" s="1">
        <f t="shared" si="214"/>
        <v>-3.6</v>
      </c>
      <c r="CJ315" s="1">
        <f t="shared" si="215"/>
        <v>-1.3</v>
      </c>
      <c r="CK315" s="1">
        <f t="shared" si="216"/>
        <v>-0.4</v>
      </c>
      <c r="CL315" s="1">
        <f t="shared" si="217"/>
        <v>0.8</v>
      </c>
      <c r="CM315" s="1">
        <f t="shared" si="218"/>
        <v>2.2999999999999998</v>
      </c>
      <c r="CN315" s="2">
        <f t="shared" si="219"/>
        <v>95.4</v>
      </c>
      <c r="CO315" s="1">
        <f t="shared" si="220"/>
        <v>-8.8000000000000007</v>
      </c>
      <c r="CP315" s="1">
        <f t="shared" si="221"/>
        <v>-9.5</v>
      </c>
      <c r="CQ315" s="1">
        <f t="shared" si="222"/>
        <v>-10</v>
      </c>
      <c r="CR315" s="1">
        <f t="shared" si="223"/>
        <v>-6.3</v>
      </c>
      <c r="CS315" s="1">
        <f t="shared" si="224"/>
        <v>-0.6</v>
      </c>
      <c r="CT315" s="1">
        <f t="shared" si="225"/>
        <v>0.7</v>
      </c>
      <c r="CU315" s="1">
        <f t="shared" si="226"/>
        <v>2.2000000000000002</v>
      </c>
      <c r="CV315" s="2">
        <f t="shared" si="227"/>
        <v>84.9</v>
      </c>
      <c r="CW315" s="18">
        <f t="shared" si="228"/>
        <v>15</v>
      </c>
      <c r="CX315" s="1">
        <f>ROUND(PPTest!K315,1)</f>
        <v>0.7</v>
      </c>
      <c r="CY315" s="17">
        <f t="shared" si="229"/>
        <v>2.08</v>
      </c>
      <c r="CZ315" s="17">
        <f t="shared" si="230"/>
        <v>4.7699999999999996</v>
      </c>
      <c r="DA315" s="20">
        <f t="shared" si="231"/>
        <v>0.39200000000000002</v>
      </c>
      <c r="DB315" s="20">
        <f t="shared" si="232"/>
        <v>7.0000000000000007E-2</v>
      </c>
      <c r="DC315" s="16">
        <f t="shared" si="233"/>
        <v>12.16</v>
      </c>
      <c r="DW315" s="1">
        <v>-4.2</v>
      </c>
      <c r="DX315" s="1">
        <v>-1.1000000000000001</v>
      </c>
      <c r="DY315" s="1">
        <v>-6.1</v>
      </c>
    </row>
    <row r="316" spans="1:129" x14ac:dyDescent="0.2">
      <c r="A316" s="40">
        <v>35009</v>
      </c>
      <c r="B316" s="42">
        <v>310</v>
      </c>
      <c r="C316" s="3">
        <v>0.63400000000000001</v>
      </c>
      <c r="D316" s="3">
        <v>1.2170000000000001</v>
      </c>
      <c r="E316" s="3">
        <v>-7.7</v>
      </c>
      <c r="F316" s="3">
        <v>99.9</v>
      </c>
      <c r="G316" s="3">
        <v>-8</v>
      </c>
      <c r="H316" s="3">
        <v>-8.25</v>
      </c>
      <c r="I316" s="3">
        <v>-5.0609999999999999</v>
      </c>
      <c r="J316" s="3">
        <v>-8.11</v>
      </c>
      <c r="K316" s="3">
        <v>-7.98</v>
      </c>
      <c r="L316" s="3">
        <v>-0.57799999999999996</v>
      </c>
      <c r="M316" s="3">
        <v>0.68500000000000005</v>
      </c>
      <c r="N316" s="3">
        <v>2.1970000000000001</v>
      </c>
      <c r="O316" s="3">
        <v>0</v>
      </c>
      <c r="P316" s="3">
        <v>1.2716666666666665</v>
      </c>
      <c r="Q316" s="3"/>
      <c r="R316" s="3">
        <v>-4.992</v>
      </c>
      <c r="S316" s="3">
        <v>1513</v>
      </c>
      <c r="T316" s="3">
        <v>104.1</v>
      </c>
      <c r="U316" s="3">
        <v>1042</v>
      </c>
      <c r="V316" s="3">
        <v>-4.4340000000000002</v>
      </c>
      <c r="W316" s="3">
        <v>-4.9219999999999997</v>
      </c>
      <c r="X316" s="3">
        <v>-2.44</v>
      </c>
      <c r="Y316" s="3">
        <v>-4.3410000000000002</v>
      </c>
      <c r="Z316" s="3">
        <v>-4.0279999999999996</v>
      </c>
      <c r="AA316" s="3">
        <v>-0.48799999999999999</v>
      </c>
      <c r="AB316" s="3">
        <v>0.75900000000000001</v>
      </c>
      <c r="AC316" s="3">
        <v>2.278</v>
      </c>
      <c r="AD316" s="3">
        <v>2.8608333333333333</v>
      </c>
      <c r="AE316" s="3">
        <v>1202</v>
      </c>
      <c r="AF316" s="3">
        <v>-11.67</v>
      </c>
      <c r="AG316" s="3">
        <v>725</v>
      </c>
      <c r="AH316" s="3">
        <v>96.3</v>
      </c>
      <c r="AI316" s="3">
        <v>2355</v>
      </c>
      <c r="AJ316" s="3">
        <v>-12.45</v>
      </c>
      <c r="AK316" s="3">
        <v>-13.53</v>
      </c>
      <c r="AL316" s="3">
        <v>-8.91</v>
      </c>
      <c r="AM316" s="3">
        <v>-13.03</v>
      </c>
      <c r="AN316" s="3">
        <v>-12.8</v>
      </c>
      <c r="AO316" s="3">
        <v>-0.70799999999999996</v>
      </c>
      <c r="AP316" s="3">
        <v>0.627</v>
      </c>
      <c r="AQ316" s="3">
        <v>2.133</v>
      </c>
      <c r="AR316" s="3">
        <v>1.9E-2</v>
      </c>
      <c r="AS316" s="3">
        <v>0.35199999999999998</v>
      </c>
      <c r="AT316" s="3">
        <v>0.32400000000000001</v>
      </c>
      <c r="AU316" s="3">
        <v>1.4999999999999999E-2</v>
      </c>
      <c r="AV316" s="3">
        <v>6.9000000000000006E-2</v>
      </c>
      <c r="AW316" s="3">
        <v>0.186</v>
      </c>
      <c r="AX316" s="3">
        <v>3.1E-2</v>
      </c>
      <c r="AY316" s="3">
        <v>5.0000000000000001E-3</v>
      </c>
      <c r="AZ316" s="3">
        <v>-8.35</v>
      </c>
      <c r="BA316" s="3"/>
      <c r="BB316" s="3">
        <v>12.15</v>
      </c>
      <c r="BC316" s="3">
        <v>2876</v>
      </c>
      <c r="BD316" s="3"/>
      <c r="BE316" s="3"/>
      <c r="BF316" s="30">
        <v>20</v>
      </c>
      <c r="BH316" s="16">
        <v>7.71</v>
      </c>
      <c r="BI316" s="16">
        <f t="shared" si="194"/>
        <v>15.574199999999999</v>
      </c>
      <c r="BJ316" s="17">
        <f t="shared" si="195"/>
        <v>0.63</v>
      </c>
      <c r="BK316" s="17">
        <f t="shared" si="196"/>
        <v>1.31</v>
      </c>
      <c r="BM316" s="1">
        <f t="shared" si="197"/>
        <v>97.2</v>
      </c>
      <c r="BN316" s="1">
        <f t="shared" si="198"/>
        <v>93.3</v>
      </c>
      <c r="BO316" s="1">
        <f t="shared" si="199"/>
        <v>90</v>
      </c>
      <c r="BP316" s="62">
        <f t="shared" si="201"/>
        <v>0.379</v>
      </c>
      <c r="BQ316" s="62">
        <f t="shared" si="200"/>
        <v>4.2000000000000003E-2</v>
      </c>
      <c r="BS316" s="52">
        <f t="shared" si="234"/>
        <v>0</v>
      </c>
      <c r="BT316" s="8">
        <v>7.7</v>
      </c>
      <c r="BU316" s="51">
        <v>0</v>
      </c>
      <c r="BV316" s="8"/>
      <c r="BW316" s="16">
        <f t="shared" si="202"/>
        <v>0.63</v>
      </c>
      <c r="BX316" s="16">
        <f t="shared" si="203"/>
        <v>1.31</v>
      </c>
      <c r="BY316" s="3">
        <f t="shared" si="204"/>
        <v>-7.7</v>
      </c>
      <c r="BZ316" s="3">
        <f t="shared" si="205"/>
        <v>-8</v>
      </c>
      <c r="CA316" s="3">
        <f t="shared" si="206"/>
        <v>-8.3000000000000007</v>
      </c>
      <c r="CB316" s="3">
        <f t="shared" si="207"/>
        <v>-5.0999999999999996</v>
      </c>
      <c r="CC316" s="3">
        <f t="shared" si="208"/>
        <v>-0.6</v>
      </c>
      <c r="CD316" s="3">
        <f t="shared" si="209"/>
        <v>0.7</v>
      </c>
      <c r="CE316" s="3">
        <f t="shared" si="210"/>
        <v>2.2000000000000002</v>
      </c>
      <c r="CF316" s="23">
        <f t="shared" si="211"/>
        <v>93.3</v>
      </c>
      <c r="CG316" s="1">
        <f t="shared" si="212"/>
        <v>-5</v>
      </c>
      <c r="CH316" s="1">
        <f t="shared" si="213"/>
        <v>-4.4000000000000004</v>
      </c>
      <c r="CI316" s="1">
        <f t="shared" si="214"/>
        <v>-4.9000000000000004</v>
      </c>
      <c r="CJ316" s="1">
        <f t="shared" si="215"/>
        <v>-2.4</v>
      </c>
      <c r="CK316" s="1">
        <f t="shared" si="216"/>
        <v>-0.5</v>
      </c>
      <c r="CL316" s="1">
        <f t="shared" si="217"/>
        <v>0.8</v>
      </c>
      <c r="CM316" s="1">
        <f t="shared" si="218"/>
        <v>2.2999999999999998</v>
      </c>
      <c r="CN316" s="2">
        <f t="shared" si="219"/>
        <v>97.2</v>
      </c>
      <c r="CO316" s="1">
        <f t="shared" si="220"/>
        <v>-11.7</v>
      </c>
      <c r="CP316" s="1">
        <f t="shared" si="221"/>
        <v>-12.5</v>
      </c>
      <c r="CQ316" s="1">
        <f t="shared" si="222"/>
        <v>-13.5</v>
      </c>
      <c r="CR316" s="1">
        <f t="shared" si="223"/>
        <v>-8.9</v>
      </c>
      <c r="CS316" s="1">
        <f t="shared" si="224"/>
        <v>-0.7</v>
      </c>
      <c r="CT316" s="1">
        <f t="shared" si="225"/>
        <v>0.6</v>
      </c>
      <c r="CU316" s="1">
        <f t="shared" si="226"/>
        <v>2.1</v>
      </c>
      <c r="CV316" s="2">
        <f t="shared" si="227"/>
        <v>90</v>
      </c>
      <c r="CW316" s="18">
        <f t="shared" si="228"/>
        <v>20</v>
      </c>
      <c r="CX316" s="1">
        <f>ROUND(PPTest!K316,1)</f>
        <v>0.7</v>
      </c>
      <c r="CY316" s="17">
        <f t="shared" si="229"/>
        <v>1.27</v>
      </c>
      <c r="CZ316" s="17">
        <f t="shared" si="230"/>
        <v>2.86</v>
      </c>
      <c r="DA316" s="20">
        <f t="shared" si="231"/>
        <v>0.379</v>
      </c>
      <c r="DB316" s="20">
        <f t="shared" si="232"/>
        <v>4.2000000000000003E-2</v>
      </c>
      <c r="DC316" s="16">
        <f t="shared" si="233"/>
        <v>12.15</v>
      </c>
      <c r="DW316" s="1">
        <v>-6.3</v>
      </c>
      <c r="DX316" s="1">
        <v>-2.9</v>
      </c>
      <c r="DY316" s="1">
        <v>-13.2</v>
      </c>
    </row>
    <row r="317" spans="1:129" x14ac:dyDescent="0.2">
      <c r="A317" s="40">
        <v>35010</v>
      </c>
      <c r="B317" s="42">
        <v>311</v>
      </c>
      <c r="C317" s="3">
        <v>0.50600000000000001</v>
      </c>
      <c r="D317" s="3">
        <v>0.98099999999999998</v>
      </c>
      <c r="E317" s="3">
        <v>-6.6959999999999997</v>
      </c>
      <c r="F317" s="3">
        <v>97.7</v>
      </c>
      <c r="G317" s="3">
        <v>-6.9349999999999996</v>
      </c>
      <c r="H317" s="3">
        <v>-7.05</v>
      </c>
      <c r="I317" s="3">
        <v>-4.9180000000000001</v>
      </c>
      <c r="J317" s="3">
        <v>-7.22</v>
      </c>
      <c r="K317" s="3">
        <v>-7.15</v>
      </c>
      <c r="L317" s="3">
        <v>-0.63</v>
      </c>
      <c r="M317" s="3">
        <v>0.64100000000000001</v>
      </c>
      <c r="N317" s="3">
        <v>2.1520000000000001</v>
      </c>
      <c r="O317" s="3">
        <v>0</v>
      </c>
      <c r="P317" s="3">
        <v>1.4953333333333334</v>
      </c>
      <c r="Q317" s="3"/>
      <c r="R317" s="3">
        <v>-4.0810000000000004</v>
      </c>
      <c r="S317" s="3">
        <v>0</v>
      </c>
      <c r="T317" s="3">
        <v>103.5</v>
      </c>
      <c r="U317" s="3">
        <v>0</v>
      </c>
      <c r="V317" s="3">
        <v>-4.0060000000000002</v>
      </c>
      <c r="W317" s="3">
        <v>-4.0640000000000001</v>
      </c>
      <c r="X317" s="3">
        <v>-2.008</v>
      </c>
      <c r="Y317" s="3">
        <v>-4.6239999999999997</v>
      </c>
      <c r="Z317" s="3">
        <v>-4.6239999999999997</v>
      </c>
      <c r="AA317" s="3">
        <v>-0.48</v>
      </c>
      <c r="AB317" s="3">
        <v>0.72699999999999998</v>
      </c>
      <c r="AC317" s="3">
        <v>2.2410000000000001</v>
      </c>
      <c r="AD317" s="3">
        <v>3.4608333333333339</v>
      </c>
      <c r="AE317" s="3">
        <v>1442</v>
      </c>
      <c r="AF317" s="3">
        <v>-13.56</v>
      </c>
      <c r="AG317" s="3">
        <v>222</v>
      </c>
      <c r="AH317" s="3">
        <v>83.5</v>
      </c>
      <c r="AI317" s="3">
        <v>649</v>
      </c>
      <c r="AJ317" s="3">
        <v>-14.2</v>
      </c>
      <c r="AK317" s="3">
        <v>-14.88</v>
      </c>
      <c r="AL317" s="3">
        <v>-10.57</v>
      </c>
      <c r="AM317" s="3">
        <v>-14.61</v>
      </c>
      <c r="AN317" s="3">
        <v>-14.48</v>
      </c>
      <c r="AO317" s="3">
        <v>-0.8</v>
      </c>
      <c r="AP317" s="3">
        <v>0.60199999999999998</v>
      </c>
      <c r="AQ317" s="3">
        <v>2.1059999999999999</v>
      </c>
      <c r="AR317" s="3">
        <v>0.15</v>
      </c>
      <c r="AS317" s="3">
        <v>0.31900000000000001</v>
      </c>
      <c r="AT317" s="3">
        <v>0.246</v>
      </c>
      <c r="AU317" s="3">
        <v>5.8000000000000003E-2</v>
      </c>
      <c r="AV317" s="3">
        <v>2.8000000000000001E-2</v>
      </c>
      <c r="AW317" s="3">
        <v>4.5999999999999999E-2</v>
      </c>
      <c r="AX317" s="3">
        <v>5.8000000000000003E-2</v>
      </c>
      <c r="AY317" s="3">
        <v>9.6000000000000002E-2</v>
      </c>
      <c r="AZ317" s="3">
        <v>-7.65</v>
      </c>
      <c r="BA317" s="3"/>
      <c r="BB317" s="3">
        <v>12.16</v>
      </c>
      <c r="BC317" s="3">
        <v>2876</v>
      </c>
      <c r="BD317" s="3"/>
      <c r="BE317" s="3"/>
      <c r="BF317" s="30">
        <v>20</v>
      </c>
      <c r="BH317" s="16">
        <v>7.55</v>
      </c>
      <c r="BI317" s="16">
        <f t="shared" si="194"/>
        <v>15.250999999999999</v>
      </c>
      <c r="BJ317" s="17">
        <f t="shared" si="195"/>
        <v>0.51</v>
      </c>
      <c r="BK317" s="17">
        <f t="shared" si="196"/>
        <v>1.06</v>
      </c>
      <c r="BM317" s="1">
        <f t="shared" si="197"/>
        <v>96.6</v>
      </c>
      <c r="BN317" s="1">
        <f t="shared" si="198"/>
        <v>91.3</v>
      </c>
      <c r="BO317" s="1">
        <f t="shared" si="199"/>
        <v>78.2</v>
      </c>
      <c r="BP317" s="62">
        <f t="shared" si="201"/>
        <v>0.35299999999999998</v>
      </c>
      <c r="BQ317" s="62">
        <f t="shared" si="200"/>
        <v>9.8000000000000004E-2</v>
      </c>
      <c r="BS317" s="52">
        <f t="shared" si="234"/>
        <v>4.5</v>
      </c>
      <c r="BT317" s="8">
        <v>0</v>
      </c>
      <c r="BU317" s="51">
        <v>3</v>
      </c>
      <c r="BV317" s="8"/>
      <c r="BW317" s="16">
        <f t="shared" si="202"/>
        <v>0.51</v>
      </c>
      <c r="BX317" s="16">
        <f t="shared" si="203"/>
        <v>1.06</v>
      </c>
      <c r="BY317" s="3">
        <f t="shared" si="204"/>
        <v>-6.7</v>
      </c>
      <c r="BZ317" s="3">
        <f t="shared" si="205"/>
        <v>-6.9</v>
      </c>
      <c r="CA317" s="3">
        <f t="shared" si="206"/>
        <v>-7.1</v>
      </c>
      <c r="CB317" s="3">
        <f t="shared" si="207"/>
        <v>-4.9000000000000004</v>
      </c>
      <c r="CC317" s="3">
        <f t="shared" si="208"/>
        <v>-0.6</v>
      </c>
      <c r="CD317" s="3">
        <f t="shared" si="209"/>
        <v>0.6</v>
      </c>
      <c r="CE317" s="3">
        <f t="shared" si="210"/>
        <v>2.2000000000000002</v>
      </c>
      <c r="CF317" s="23">
        <f t="shared" si="211"/>
        <v>91.3</v>
      </c>
      <c r="CG317" s="1">
        <f t="shared" si="212"/>
        <v>-4.0999999999999996</v>
      </c>
      <c r="CH317" s="1">
        <f t="shared" si="213"/>
        <v>-4</v>
      </c>
      <c r="CI317" s="1">
        <f t="shared" si="214"/>
        <v>-4.0999999999999996</v>
      </c>
      <c r="CJ317" s="1">
        <f t="shared" si="215"/>
        <v>-2</v>
      </c>
      <c r="CK317" s="1">
        <f t="shared" si="216"/>
        <v>-0.5</v>
      </c>
      <c r="CL317" s="1">
        <f t="shared" si="217"/>
        <v>0.7</v>
      </c>
      <c r="CM317" s="1">
        <f t="shared" si="218"/>
        <v>2.2000000000000002</v>
      </c>
      <c r="CN317" s="2">
        <f t="shared" si="219"/>
        <v>96.6</v>
      </c>
      <c r="CO317" s="1">
        <f t="shared" si="220"/>
        <v>-13.6</v>
      </c>
      <c r="CP317" s="1">
        <f t="shared" si="221"/>
        <v>-14.2</v>
      </c>
      <c r="CQ317" s="1">
        <f t="shared" si="222"/>
        <v>-14.9</v>
      </c>
      <c r="CR317" s="1">
        <f t="shared" si="223"/>
        <v>-10.6</v>
      </c>
      <c r="CS317" s="1">
        <f t="shared" si="224"/>
        <v>-0.8</v>
      </c>
      <c r="CT317" s="1">
        <f t="shared" si="225"/>
        <v>0.6</v>
      </c>
      <c r="CU317" s="1">
        <f t="shared" si="226"/>
        <v>2.1</v>
      </c>
      <c r="CV317" s="2">
        <f t="shared" si="227"/>
        <v>78.2</v>
      </c>
      <c r="CW317" s="18">
        <f t="shared" si="228"/>
        <v>20</v>
      </c>
      <c r="CX317" s="1">
        <f>ROUND(PPTest!K317,1)</f>
        <v>0</v>
      </c>
      <c r="CY317" s="17">
        <f t="shared" si="229"/>
        <v>1.5</v>
      </c>
      <c r="CZ317" s="17">
        <f t="shared" si="230"/>
        <v>3.46</v>
      </c>
      <c r="DA317" s="20">
        <f t="shared" si="231"/>
        <v>0.35299999999999998</v>
      </c>
      <c r="DB317" s="20">
        <f t="shared" si="232"/>
        <v>9.8000000000000004E-2</v>
      </c>
      <c r="DC317" s="16">
        <f t="shared" si="233"/>
        <v>12.16</v>
      </c>
      <c r="DW317" s="1">
        <v>-5.7</v>
      </c>
      <c r="DX317" s="1">
        <v>-2.6</v>
      </c>
      <c r="DY317" s="1">
        <v>-8.1999999999999993</v>
      </c>
    </row>
    <row r="318" spans="1:129" x14ac:dyDescent="0.2">
      <c r="A318" s="40">
        <v>35011</v>
      </c>
      <c r="B318" s="42">
        <v>312</v>
      </c>
      <c r="C318" s="3">
        <v>1.218</v>
      </c>
      <c r="D318" s="3">
        <v>2.673</v>
      </c>
      <c r="E318" s="3">
        <v>1.359</v>
      </c>
      <c r="F318" s="3">
        <v>101.4</v>
      </c>
      <c r="G318" s="3">
        <v>1.0369999999999999</v>
      </c>
      <c r="H318" s="3">
        <v>0.86499999999999999</v>
      </c>
      <c r="I318" s="3">
        <v>-0.69</v>
      </c>
      <c r="J318" s="3">
        <v>0.45200000000000001</v>
      </c>
      <c r="K318" s="3">
        <v>0.55400000000000005</v>
      </c>
      <c r="L318" s="3">
        <v>-0.32800000000000001</v>
      </c>
      <c r="M318" s="3">
        <v>0.68700000000000006</v>
      </c>
      <c r="N318" s="3">
        <v>2.1930000000000001</v>
      </c>
      <c r="O318" s="3">
        <v>0</v>
      </c>
      <c r="P318" s="3">
        <v>3.2941666666666669</v>
      </c>
      <c r="Q318" s="3"/>
      <c r="R318" s="3">
        <v>4.7610000000000001</v>
      </c>
      <c r="S318" s="3">
        <v>1143</v>
      </c>
      <c r="T318" s="3">
        <v>106.6</v>
      </c>
      <c r="U318" s="3">
        <v>448</v>
      </c>
      <c r="V318" s="3">
        <v>4.4980000000000002</v>
      </c>
      <c r="W318" s="3">
        <v>4.5990000000000002</v>
      </c>
      <c r="X318" s="3">
        <v>-0.158</v>
      </c>
      <c r="Y318" s="3">
        <v>3.403</v>
      </c>
      <c r="Z318" s="3">
        <v>4.1150000000000002</v>
      </c>
      <c r="AA318" s="3">
        <v>-0.22900000000000001</v>
      </c>
      <c r="AB318" s="3">
        <v>0.76600000000000001</v>
      </c>
      <c r="AC318" s="3">
        <v>2.2759999999999998</v>
      </c>
      <c r="AD318" s="3">
        <v>8.8208333333333311</v>
      </c>
      <c r="AE318" s="3">
        <v>1521</v>
      </c>
      <c r="AF318" s="3">
        <v>-4.758</v>
      </c>
      <c r="AG318" s="3">
        <v>0</v>
      </c>
      <c r="AH318" s="3">
        <v>93.3</v>
      </c>
      <c r="AI318" s="3">
        <v>1142</v>
      </c>
      <c r="AJ318" s="3">
        <v>-5.1890000000000001</v>
      </c>
      <c r="AK318" s="3">
        <v>-5.2910000000000004</v>
      </c>
      <c r="AL318" s="3">
        <v>-2.0840000000000001</v>
      </c>
      <c r="AM318" s="3">
        <v>-4.6139999999999999</v>
      </c>
      <c r="AN318" s="3">
        <v>-4.6139999999999999</v>
      </c>
      <c r="AO318" s="3">
        <v>-0.503</v>
      </c>
      <c r="AP318" s="3">
        <v>0.58699999999999997</v>
      </c>
      <c r="AQ318" s="3">
        <v>2.0939999999999999</v>
      </c>
      <c r="AR318" s="3">
        <v>6.0000000000000001E-3</v>
      </c>
      <c r="AS318" s="3">
        <v>1.6E-2</v>
      </c>
      <c r="AT318" s="3">
        <v>1.2999999999999999E-2</v>
      </c>
      <c r="AU318" s="3">
        <v>4.5999999999999999E-2</v>
      </c>
      <c r="AV318" s="3">
        <v>0.183</v>
      </c>
      <c r="AW318" s="3">
        <v>0.51500000000000001</v>
      </c>
      <c r="AX318" s="3">
        <v>0.183</v>
      </c>
      <c r="AY318" s="3">
        <v>3.7999999999999999E-2</v>
      </c>
      <c r="AZ318" s="3">
        <v>0.56299999999999994</v>
      </c>
      <c r="BA318" s="3"/>
      <c r="BB318" s="3">
        <v>12.19</v>
      </c>
      <c r="BC318" s="3">
        <v>2876</v>
      </c>
      <c r="BD318" s="3"/>
      <c r="BE318" s="3"/>
      <c r="BF318" s="30">
        <v>50</v>
      </c>
      <c r="BH318" s="16">
        <v>7.41</v>
      </c>
      <c r="BI318" s="16">
        <f t="shared" si="194"/>
        <v>14.968200000000001</v>
      </c>
      <c r="BJ318" s="17">
        <f t="shared" si="195"/>
        <v>1.22</v>
      </c>
      <c r="BK318" s="17">
        <f t="shared" si="196"/>
        <v>2.89</v>
      </c>
      <c r="BM318" s="1">
        <f t="shared" si="197"/>
        <v>99.5</v>
      </c>
      <c r="BN318" s="1">
        <f t="shared" si="198"/>
        <v>94.7</v>
      </c>
      <c r="BO318" s="1">
        <f t="shared" si="199"/>
        <v>87.2</v>
      </c>
      <c r="BP318" s="62">
        <f t="shared" si="201"/>
        <v>0.748</v>
      </c>
      <c r="BQ318" s="62">
        <f t="shared" si="200"/>
        <v>0.11</v>
      </c>
      <c r="BS318" s="52">
        <f t="shared" si="234"/>
        <v>10.5</v>
      </c>
      <c r="BT318" s="8">
        <v>17.3</v>
      </c>
      <c r="BU318" s="51">
        <v>7</v>
      </c>
      <c r="BV318" s="8"/>
      <c r="BW318" s="16">
        <f t="shared" si="202"/>
        <v>1.22</v>
      </c>
      <c r="BX318" s="16">
        <f t="shared" si="203"/>
        <v>2.89</v>
      </c>
      <c r="BY318" s="3">
        <f t="shared" si="204"/>
        <v>1.4</v>
      </c>
      <c r="BZ318" s="3">
        <f t="shared" si="205"/>
        <v>1</v>
      </c>
      <c r="CA318" s="3">
        <f t="shared" si="206"/>
        <v>0.9</v>
      </c>
      <c r="CB318" s="3">
        <f t="shared" si="207"/>
        <v>-0.7</v>
      </c>
      <c r="CC318" s="3">
        <f t="shared" si="208"/>
        <v>-0.3</v>
      </c>
      <c r="CD318" s="3">
        <f t="shared" si="209"/>
        <v>0.7</v>
      </c>
      <c r="CE318" s="3">
        <f t="shared" si="210"/>
        <v>2.2000000000000002</v>
      </c>
      <c r="CF318" s="23">
        <f t="shared" si="211"/>
        <v>94.7</v>
      </c>
      <c r="CG318" s="1">
        <f t="shared" si="212"/>
        <v>4.8</v>
      </c>
      <c r="CH318" s="1">
        <f t="shared" si="213"/>
        <v>4.5</v>
      </c>
      <c r="CI318" s="1">
        <f t="shared" si="214"/>
        <v>4.5999999999999996</v>
      </c>
      <c r="CJ318" s="1">
        <f t="shared" si="215"/>
        <v>-0.2</v>
      </c>
      <c r="CK318" s="1">
        <f t="shared" si="216"/>
        <v>-0.2</v>
      </c>
      <c r="CL318" s="1">
        <f t="shared" si="217"/>
        <v>0.8</v>
      </c>
      <c r="CM318" s="1">
        <f t="shared" si="218"/>
        <v>2.2999999999999998</v>
      </c>
      <c r="CN318" s="2">
        <f t="shared" si="219"/>
        <v>99.5</v>
      </c>
      <c r="CO318" s="1">
        <f t="shared" si="220"/>
        <v>-4.8</v>
      </c>
      <c r="CP318" s="1">
        <f t="shared" si="221"/>
        <v>-5.2</v>
      </c>
      <c r="CQ318" s="1">
        <f t="shared" si="222"/>
        <v>-5.3</v>
      </c>
      <c r="CR318" s="1">
        <f t="shared" si="223"/>
        <v>-2.1</v>
      </c>
      <c r="CS318" s="1">
        <f t="shared" si="224"/>
        <v>-0.5</v>
      </c>
      <c r="CT318" s="1">
        <f t="shared" si="225"/>
        <v>0.6</v>
      </c>
      <c r="CU318" s="1">
        <f t="shared" si="226"/>
        <v>2.1</v>
      </c>
      <c r="CV318" s="2">
        <f t="shared" si="227"/>
        <v>87.2</v>
      </c>
      <c r="CW318" s="18">
        <f t="shared" si="228"/>
        <v>50</v>
      </c>
      <c r="CX318" s="1">
        <f>ROUND(PPTest!K318,1)</f>
        <v>11</v>
      </c>
      <c r="CY318" s="17">
        <f t="shared" si="229"/>
        <v>3.29</v>
      </c>
      <c r="CZ318" s="17">
        <f t="shared" si="230"/>
        <v>8.82</v>
      </c>
      <c r="DA318" s="20">
        <f t="shared" si="231"/>
        <v>0.748</v>
      </c>
      <c r="DB318" s="20">
        <f t="shared" si="232"/>
        <v>0.11</v>
      </c>
      <c r="DC318" s="16">
        <f t="shared" si="233"/>
        <v>12.19</v>
      </c>
      <c r="DW318" s="1">
        <v>1.1000000000000001</v>
      </c>
      <c r="DX318" s="1">
        <v>6.8</v>
      </c>
      <c r="DY318" s="1">
        <v>-4</v>
      </c>
    </row>
    <row r="319" spans="1:129" x14ac:dyDescent="0.2">
      <c r="A319" s="40">
        <v>35012</v>
      </c>
      <c r="B319" s="42">
        <v>313</v>
      </c>
      <c r="C319" s="3">
        <v>2.8980000000000001</v>
      </c>
      <c r="D319" s="3">
        <v>5.2809999999999997</v>
      </c>
      <c r="E319" s="3">
        <v>-7.66</v>
      </c>
      <c r="F319" s="3">
        <v>100.8</v>
      </c>
      <c r="G319" s="3">
        <v>-7.84</v>
      </c>
      <c r="H319" s="3">
        <v>-7.96</v>
      </c>
      <c r="I319" s="3">
        <v>-0.29799999999999999</v>
      </c>
      <c r="J319" s="3">
        <v>-7.71</v>
      </c>
      <c r="K319" s="3">
        <v>-7.64</v>
      </c>
      <c r="L319" s="3">
        <v>-0.314</v>
      </c>
      <c r="M319" s="3">
        <v>0.57999999999999996</v>
      </c>
      <c r="N319" s="3">
        <v>2.0529999999999999</v>
      </c>
      <c r="O319" s="3">
        <v>0</v>
      </c>
      <c r="P319" s="3">
        <v>2.4241666666666668</v>
      </c>
      <c r="Q319" s="3"/>
      <c r="R319" s="3">
        <v>-4.6959999999999997</v>
      </c>
      <c r="S319" s="3">
        <v>10</v>
      </c>
      <c r="T319" s="3">
        <v>103.6</v>
      </c>
      <c r="U319" s="3">
        <v>3</v>
      </c>
      <c r="V319" s="3">
        <v>-4.3239999999999998</v>
      </c>
      <c r="W319" s="3">
        <v>-4.2750000000000004</v>
      </c>
      <c r="X319" s="3">
        <v>-0.20699999999999999</v>
      </c>
      <c r="Y319" s="3">
        <v>-4.0599999999999996</v>
      </c>
      <c r="Z319" s="3">
        <v>-3.899</v>
      </c>
      <c r="AA319" s="3">
        <v>-0.23</v>
      </c>
      <c r="AB319" s="3">
        <v>0.628</v>
      </c>
      <c r="AC319" s="3">
        <v>2.1280000000000001</v>
      </c>
      <c r="AD319" s="3">
        <v>7.1941666666666659</v>
      </c>
      <c r="AE319" s="3">
        <v>1513</v>
      </c>
      <c r="AF319" s="3">
        <v>-15.91</v>
      </c>
      <c r="AG319" s="3">
        <v>2344</v>
      </c>
      <c r="AH319" s="3">
        <v>95.3</v>
      </c>
      <c r="AI319" s="3">
        <v>2342</v>
      </c>
      <c r="AJ319" s="3">
        <v>-16.12</v>
      </c>
      <c r="AK319" s="3">
        <v>-16.14</v>
      </c>
      <c r="AL319" s="3">
        <v>-0.34200000000000003</v>
      </c>
      <c r="AM319" s="3">
        <v>-16.010000000000002</v>
      </c>
      <c r="AN319" s="3">
        <v>-16.059999999999999</v>
      </c>
      <c r="AO319" s="3">
        <v>-0.35399999999999998</v>
      </c>
      <c r="AP319" s="3">
        <v>0.53</v>
      </c>
      <c r="AQ319" s="3">
        <v>1.9810000000000001</v>
      </c>
      <c r="AR319" s="3">
        <v>3.0000000000000001E-3</v>
      </c>
      <c r="AS319" s="3">
        <v>6.0000000000000001E-3</v>
      </c>
      <c r="AT319" s="3">
        <v>3.0000000000000001E-3</v>
      </c>
      <c r="AU319" s="3">
        <v>4.0000000000000001E-3</v>
      </c>
      <c r="AV319" s="3">
        <v>0.156</v>
      </c>
      <c r="AW319" s="3">
        <v>0.7</v>
      </c>
      <c r="AX319" s="3">
        <v>0.12</v>
      </c>
      <c r="AY319" s="3">
        <v>8.0000000000000002E-3</v>
      </c>
      <c r="AZ319" s="3">
        <v>-7.33</v>
      </c>
      <c r="BA319" s="3"/>
      <c r="BB319" s="3">
        <v>12.14</v>
      </c>
      <c r="BC319" s="3">
        <v>2876</v>
      </c>
      <c r="BD319" s="3"/>
      <c r="BE319" s="3"/>
      <c r="BF319" s="30">
        <v>50</v>
      </c>
      <c r="BH319" s="16">
        <v>7.26</v>
      </c>
      <c r="BI319" s="16">
        <f t="shared" si="194"/>
        <v>14.6652</v>
      </c>
      <c r="BJ319" s="17">
        <f t="shared" si="195"/>
        <v>2.9</v>
      </c>
      <c r="BK319" s="17">
        <f t="shared" si="196"/>
        <v>5.7</v>
      </c>
      <c r="BM319" s="1">
        <f t="shared" si="197"/>
        <v>96.7</v>
      </c>
      <c r="BN319" s="1">
        <f t="shared" si="198"/>
        <v>94.1</v>
      </c>
      <c r="BO319" s="1">
        <f t="shared" si="199"/>
        <v>89.1</v>
      </c>
      <c r="BP319" s="62">
        <f t="shared" si="201"/>
        <v>0.38400000000000001</v>
      </c>
      <c r="BQ319" s="62">
        <f t="shared" si="200"/>
        <v>4.7E-2</v>
      </c>
      <c r="BS319" s="52">
        <f t="shared" si="234"/>
        <v>0</v>
      </c>
      <c r="BT319" s="8">
        <v>57.8</v>
      </c>
      <c r="BU319" s="51">
        <v>0</v>
      </c>
      <c r="BV319" s="8"/>
      <c r="BW319" s="16">
        <f t="shared" si="202"/>
        <v>2.9</v>
      </c>
      <c r="BX319" s="16">
        <f t="shared" si="203"/>
        <v>5.7</v>
      </c>
      <c r="BY319" s="3">
        <f t="shared" si="204"/>
        <v>-7.7</v>
      </c>
      <c r="BZ319" s="3">
        <f t="shared" si="205"/>
        <v>-7.8</v>
      </c>
      <c r="CA319" s="3">
        <f t="shared" si="206"/>
        <v>-8</v>
      </c>
      <c r="CB319" s="3">
        <f t="shared" si="207"/>
        <v>-0.3</v>
      </c>
      <c r="CC319" s="3">
        <f t="shared" si="208"/>
        <v>-0.3</v>
      </c>
      <c r="CD319" s="3">
        <f t="shared" si="209"/>
        <v>0.6</v>
      </c>
      <c r="CE319" s="3">
        <f t="shared" si="210"/>
        <v>2.1</v>
      </c>
      <c r="CF319" s="23">
        <f t="shared" si="211"/>
        <v>94.1</v>
      </c>
      <c r="CG319" s="1">
        <f t="shared" si="212"/>
        <v>-4.7</v>
      </c>
      <c r="CH319" s="1">
        <f t="shared" si="213"/>
        <v>-4.3</v>
      </c>
      <c r="CI319" s="1">
        <f t="shared" si="214"/>
        <v>-4.3</v>
      </c>
      <c r="CJ319" s="1">
        <f t="shared" si="215"/>
        <v>-0.2</v>
      </c>
      <c r="CK319" s="1">
        <f t="shared" si="216"/>
        <v>-0.2</v>
      </c>
      <c r="CL319" s="1">
        <f t="shared" si="217"/>
        <v>0.6</v>
      </c>
      <c r="CM319" s="1">
        <f t="shared" si="218"/>
        <v>2.1</v>
      </c>
      <c r="CN319" s="2">
        <f t="shared" si="219"/>
        <v>96.7</v>
      </c>
      <c r="CO319" s="1">
        <f t="shared" si="220"/>
        <v>-15.9</v>
      </c>
      <c r="CP319" s="1">
        <f t="shared" si="221"/>
        <v>-16.100000000000001</v>
      </c>
      <c r="CQ319" s="1">
        <f t="shared" si="222"/>
        <v>-16.100000000000001</v>
      </c>
      <c r="CR319" s="1">
        <f t="shared" si="223"/>
        <v>-0.3</v>
      </c>
      <c r="CS319" s="1">
        <f t="shared" si="224"/>
        <v>-0.4</v>
      </c>
      <c r="CT319" s="1">
        <f t="shared" si="225"/>
        <v>0.5</v>
      </c>
      <c r="CU319" s="1">
        <f t="shared" si="226"/>
        <v>2</v>
      </c>
      <c r="CV319" s="2">
        <f t="shared" si="227"/>
        <v>89.1</v>
      </c>
      <c r="CW319" s="18">
        <f t="shared" si="228"/>
        <v>50</v>
      </c>
      <c r="CX319" s="1">
        <f>ROUND(PPTest!K319,1)</f>
        <v>0</v>
      </c>
      <c r="CY319" s="17">
        <f t="shared" si="229"/>
        <v>2.42</v>
      </c>
      <c r="CZ319" s="17">
        <f t="shared" si="230"/>
        <v>7.19</v>
      </c>
      <c r="DA319" s="20">
        <f t="shared" si="231"/>
        <v>0.38400000000000001</v>
      </c>
      <c r="DB319" s="20">
        <f t="shared" si="232"/>
        <v>4.7E-2</v>
      </c>
      <c r="DC319" s="16">
        <f t="shared" si="233"/>
        <v>12.14</v>
      </c>
      <c r="DW319" s="1">
        <v>-6.8</v>
      </c>
      <c r="DX319" s="1">
        <v>-3.1</v>
      </c>
      <c r="DY319" s="1">
        <v>-15.4</v>
      </c>
    </row>
    <row r="320" spans="1:129" x14ac:dyDescent="0.2">
      <c r="A320" s="40">
        <v>35013</v>
      </c>
      <c r="B320" s="42">
        <v>314</v>
      </c>
      <c r="C320" s="3">
        <v>4.1980000000000004</v>
      </c>
      <c r="D320" s="3">
        <v>7.5</v>
      </c>
      <c r="E320" s="3">
        <v>-13.06</v>
      </c>
      <c r="F320" s="3">
        <v>96.5</v>
      </c>
      <c r="G320" s="3">
        <v>-13.16</v>
      </c>
      <c r="H320" s="3">
        <v>-13.27</v>
      </c>
      <c r="I320" s="3">
        <v>-1.552</v>
      </c>
      <c r="J320" s="3">
        <v>-12.94</v>
      </c>
      <c r="K320" s="3">
        <v>-12.69</v>
      </c>
      <c r="L320" s="3">
        <v>-0.29599999999999999</v>
      </c>
      <c r="M320" s="3">
        <v>0.51700000000000002</v>
      </c>
      <c r="N320" s="3">
        <v>1.8839999999999999</v>
      </c>
      <c r="O320" s="3">
        <v>0</v>
      </c>
      <c r="P320" s="3">
        <v>1.3941666666666666</v>
      </c>
      <c r="Q320" s="3"/>
      <c r="R320" s="3">
        <v>-7.76</v>
      </c>
      <c r="S320" s="3">
        <v>0</v>
      </c>
      <c r="T320" s="3">
        <v>100.6</v>
      </c>
      <c r="U320" s="3">
        <v>2328</v>
      </c>
      <c r="V320" s="3">
        <v>-7.29</v>
      </c>
      <c r="W320" s="3">
        <v>-6.8369999999999997</v>
      </c>
      <c r="X320" s="3">
        <v>-0.33300000000000002</v>
      </c>
      <c r="Y320" s="3">
        <v>-8.16</v>
      </c>
      <c r="Z320" s="3">
        <v>-8.11</v>
      </c>
      <c r="AA320" s="3">
        <v>-0.24399999999999999</v>
      </c>
      <c r="AB320" s="3">
        <v>0.57899999999999996</v>
      </c>
      <c r="AC320" s="3">
        <v>2.0019999999999998</v>
      </c>
      <c r="AD320" s="3">
        <v>5.1141666666666667</v>
      </c>
      <c r="AE320" s="3">
        <v>2117</v>
      </c>
      <c r="AF320" s="3">
        <v>-16.27</v>
      </c>
      <c r="AG320" s="3">
        <v>749</v>
      </c>
      <c r="AH320" s="3">
        <v>93.2</v>
      </c>
      <c r="AI320" s="3">
        <v>1008</v>
      </c>
      <c r="AJ320" s="3">
        <v>-16.53</v>
      </c>
      <c r="AK320" s="3">
        <v>-16.82</v>
      </c>
      <c r="AL320" s="3">
        <v>-2.593</v>
      </c>
      <c r="AM320" s="3">
        <v>-16.52</v>
      </c>
      <c r="AN320" s="3">
        <v>-16.57</v>
      </c>
      <c r="AO320" s="3">
        <v>-0.36599999999999999</v>
      </c>
      <c r="AP320" s="3">
        <v>0.45300000000000001</v>
      </c>
      <c r="AQ320" s="3">
        <v>1.78</v>
      </c>
      <c r="AR320" s="3">
        <v>0.112</v>
      </c>
      <c r="AS320" s="3">
        <v>0.23499999999999999</v>
      </c>
      <c r="AT320" s="3">
        <v>0.20499999999999999</v>
      </c>
      <c r="AU320" s="3">
        <v>8.5999999999999993E-2</v>
      </c>
      <c r="AV320" s="3">
        <v>8.5000000000000006E-2</v>
      </c>
      <c r="AW320" s="3">
        <v>0.185</v>
      </c>
      <c r="AX320" s="3">
        <v>5.6000000000000001E-2</v>
      </c>
      <c r="AY320" s="3">
        <v>3.5000000000000003E-2</v>
      </c>
      <c r="AZ320" s="3">
        <v>-13.16</v>
      </c>
      <c r="BA320" s="3"/>
      <c r="BB320" s="3">
        <v>12.13</v>
      </c>
      <c r="BC320" s="3">
        <v>2876</v>
      </c>
      <c r="BD320" s="3"/>
      <c r="BE320" s="3"/>
      <c r="BF320" s="43">
        <v>50</v>
      </c>
      <c r="BH320" s="16">
        <v>7.12</v>
      </c>
      <c r="BI320" s="16">
        <f t="shared" si="194"/>
        <v>14.382400000000001</v>
      </c>
      <c r="BJ320" s="17">
        <f t="shared" si="195"/>
        <v>4.2</v>
      </c>
      <c r="BK320" s="17">
        <f t="shared" si="196"/>
        <v>8.1</v>
      </c>
      <c r="BM320" s="1">
        <f t="shared" si="197"/>
        <v>94</v>
      </c>
      <c r="BN320" s="1">
        <f t="shared" si="198"/>
        <v>90.2</v>
      </c>
      <c r="BO320" s="1">
        <f t="shared" si="199"/>
        <v>87.1</v>
      </c>
      <c r="BP320" s="62">
        <f t="shared" si="201"/>
        <v>0.29699999999999999</v>
      </c>
      <c r="BQ320" s="62">
        <f t="shared" si="200"/>
        <v>4.3999999999999997E-2</v>
      </c>
      <c r="BS320" s="52">
        <f t="shared" si="234"/>
        <v>0</v>
      </c>
      <c r="BT320" s="8">
        <v>10</v>
      </c>
      <c r="BU320" s="51">
        <v>0</v>
      </c>
      <c r="BV320" s="8"/>
      <c r="BW320" s="16">
        <f t="shared" si="202"/>
        <v>4.2</v>
      </c>
      <c r="BX320" s="16">
        <f t="shared" si="203"/>
        <v>8.1</v>
      </c>
      <c r="BY320" s="3">
        <f t="shared" si="204"/>
        <v>-13.1</v>
      </c>
      <c r="BZ320" s="3">
        <f t="shared" si="205"/>
        <v>-13.2</v>
      </c>
      <c r="CA320" s="3">
        <f t="shared" si="206"/>
        <v>-13.3</v>
      </c>
      <c r="CB320" s="3">
        <f t="shared" si="207"/>
        <v>-1.6</v>
      </c>
      <c r="CC320" s="3">
        <f t="shared" si="208"/>
        <v>-0.3</v>
      </c>
      <c r="CD320" s="3">
        <f t="shared" si="209"/>
        <v>0.5</v>
      </c>
      <c r="CE320" s="3">
        <f t="shared" si="210"/>
        <v>1.9</v>
      </c>
      <c r="CF320" s="23">
        <f t="shared" si="211"/>
        <v>90.2</v>
      </c>
      <c r="CG320" s="1">
        <f t="shared" si="212"/>
        <v>-7.8</v>
      </c>
      <c r="CH320" s="1">
        <f t="shared" si="213"/>
        <v>-7.3</v>
      </c>
      <c r="CI320" s="1">
        <f t="shared" si="214"/>
        <v>-6.8</v>
      </c>
      <c r="CJ320" s="1">
        <f t="shared" si="215"/>
        <v>-0.3</v>
      </c>
      <c r="CK320" s="1">
        <f t="shared" si="216"/>
        <v>-0.2</v>
      </c>
      <c r="CL320" s="1">
        <f t="shared" si="217"/>
        <v>0.6</v>
      </c>
      <c r="CM320" s="1">
        <f t="shared" si="218"/>
        <v>2</v>
      </c>
      <c r="CN320" s="2">
        <f t="shared" si="219"/>
        <v>94</v>
      </c>
      <c r="CO320" s="1">
        <f t="shared" si="220"/>
        <v>-16.3</v>
      </c>
      <c r="CP320" s="1">
        <f t="shared" si="221"/>
        <v>-16.5</v>
      </c>
      <c r="CQ320" s="1">
        <f t="shared" si="222"/>
        <v>-16.8</v>
      </c>
      <c r="CR320" s="1">
        <f t="shared" si="223"/>
        <v>-2.6</v>
      </c>
      <c r="CS320" s="1">
        <f t="shared" si="224"/>
        <v>-0.4</v>
      </c>
      <c r="CT320" s="1">
        <f t="shared" si="225"/>
        <v>0.5</v>
      </c>
      <c r="CU320" s="1">
        <f t="shared" si="226"/>
        <v>1.8</v>
      </c>
      <c r="CV320" s="2">
        <f t="shared" si="227"/>
        <v>87.1</v>
      </c>
      <c r="CW320" s="18">
        <f t="shared" si="228"/>
        <v>50</v>
      </c>
      <c r="CX320" s="1">
        <f>ROUND(PPTest!K320,1)</f>
        <v>0</v>
      </c>
      <c r="CY320" s="17">
        <f t="shared" si="229"/>
        <v>1.39</v>
      </c>
      <c r="CZ320" s="17">
        <f t="shared" si="230"/>
        <v>5.1100000000000003</v>
      </c>
      <c r="DA320" s="20">
        <f t="shared" si="231"/>
        <v>0.29699999999999999</v>
      </c>
      <c r="DB320" s="20">
        <f t="shared" si="232"/>
        <v>4.3999999999999997E-2</v>
      </c>
      <c r="DC320" s="16">
        <f t="shared" si="233"/>
        <v>12.13</v>
      </c>
      <c r="DW320" s="1">
        <v>-14</v>
      </c>
      <c r="DX320" s="1">
        <v>-7.2</v>
      </c>
      <c r="DY320" s="1">
        <v>-23.1</v>
      </c>
    </row>
    <row r="321" spans="1:129" x14ac:dyDescent="0.2">
      <c r="A321" s="40">
        <v>35014</v>
      </c>
      <c r="B321" s="42">
        <v>315</v>
      </c>
      <c r="C321" s="3">
        <v>4.5750000000000002</v>
      </c>
      <c r="D321" s="3">
        <v>8.59</v>
      </c>
      <c r="E321" s="3">
        <v>-3.5259999999999998</v>
      </c>
      <c r="F321" s="3">
        <v>102.3</v>
      </c>
      <c r="G321" s="3">
        <v>-3.371</v>
      </c>
      <c r="H321" s="3">
        <v>-3.4649999999999999</v>
      </c>
      <c r="I321" s="3">
        <v>-1.26</v>
      </c>
      <c r="J321" s="3">
        <v>-3.7759999999999998</v>
      </c>
      <c r="K321" s="3">
        <v>-3.5950000000000002</v>
      </c>
      <c r="L321" s="3">
        <v>-0.32100000000000001</v>
      </c>
      <c r="M321" s="3">
        <v>0.46</v>
      </c>
      <c r="N321" s="3">
        <v>1.7310000000000001</v>
      </c>
      <c r="O321" s="3">
        <v>0</v>
      </c>
      <c r="P321" s="3">
        <v>2.5225</v>
      </c>
      <c r="Q321" s="3"/>
      <c r="R321" s="3">
        <v>3.5999999999999997E-2</v>
      </c>
      <c r="S321" s="3">
        <v>1317</v>
      </c>
      <c r="T321" s="3">
        <v>105.7</v>
      </c>
      <c r="U321" s="3">
        <v>1548</v>
      </c>
      <c r="V321" s="3">
        <v>1.8240000000000001</v>
      </c>
      <c r="W321" s="3">
        <v>1.649</v>
      </c>
      <c r="X321" s="3">
        <v>-0.78800000000000003</v>
      </c>
      <c r="Y321" s="3">
        <v>-0.14699999999999999</v>
      </c>
      <c r="Z321" s="3">
        <v>-0.17199999999999999</v>
      </c>
      <c r="AA321" s="3">
        <v>-0.23899999999999999</v>
      </c>
      <c r="AB321" s="3">
        <v>0.56599999999999995</v>
      </c>
      <c r="AC321" s="3">
        <v>1.8120000000000001</v>
      </c>
      <c r="AD321" s="3">
        <v>8.274166666666666</v>
      </c>
      <c r="AE321" s="3">
        <v>1202</v>
      </c>
      <c r="AF321" s="3">
        <v>-7.75</v>
      </c>
      <c r="AG321" s="3">
        <v>1</v>
      </c>
      <c r="AH321" s="3">
        <v>99</v>
      </c>
      <c r="AI321" s="3">
        <v>2157</v>
      </c>
      <c r="AJ321" s="3">
        <v>-7.92</v>
      </c>
      <c r="AK321" s="3">
        <v>-7.99</v>
      </c>
      <c r="AL321" s="3">
        <v>-1.9239999999999999</v>
      </c>
      <c r="AM321" s="3">
        <v>-8.16</v>
      </c>
      <c r="AN321" s="3">
        <v>-8.1</v>
      </c>
      <c r="AO321" s="3">
        <v>-0.379</v>
      </c>
      <c r="AP321" s="3">
        <v>0.38300000000000001</v>
      </c>
      <c r="AQ321" s="3">
        <v>1.637</v>
      </c>
      <c r="AR321" s="3">
        <v>4.3999999999999997E-2</v>
      </c>
      <c r="AS321" s="3">
        <v>9.4E-2</v>
      </c>
      <c r="AT321" s="3">
        <v>7.5999999999999998E-2</v>
      </c>
      <c r="AU321" s="3">
        <v>4.7E-2</v>
      </c>
      <c r="AV321" s="3">
        <v>0.20200000000000001</v>
      </c>
      <c r="AW321" s="3">
        <v>0.42899999999999999</v>
      </c>
      <c r="AX321" s="3">
        <v>7.5999999999999998E-2</v>
      </c>
      <c r="AY321" s="3">
        <v>3.1E-2</v>
      </c>
      <c r="AZ321" s="3">
        <v>-3.7029999999999998</v>
      </c>
      <c r="BA321" s="3"/>
      <c r="BB321" s="3">
        <v>12.17</v>
      </c>
      <c r="BC321" s="3">
        <v>2876</v>
      </c>
      <c r="BD321" s="3"/>
      <c r="BE321" s="3"/>
      <c r="BF321" s="65">
        <f>PPTest!H321</f>
        <v>220</v>
      </c>
      <c r="BH321" s="16">
        <v>6.99</v>
      </c>
      <c r="BI321" s="16">
        <f t="shared" si="194"/>
        <v>14.1198</v>
      </c>
      <c r="BJ321" s="17">
        <f t="shared" si="195"/>
        <v>4.58</v>
      </c>
      <c r="BK321" s="17">
        <f t="shared" si="196"/>
        <v>9.2799999999999994</v>
      </c>
      <c r="BM321" s="1">
        <f t="shared" si="197"/>
        <v>98.7</v>
      </c>
      <c r="BN321" s="1">
        <f t="shared" si="198"/>
        <v>95.5</v>
      </c>
      <c r="BO321" s="1">
        <f t="shared" si="199"/>
        <v>92.5</v>
      </c>
      <c r="BP321" s="62">
        <f t="shared" si="201"/>
        <v>0.56599999999999995</v>
      </c>
      <c r="BQ321" s="62">
        <f t="shared" si="200"/>
        <v>4.5999999999999999E-2</v>
      </c>
      <c r="BS321" s="52">
        <f t="shared" si="234"/>
        <v>21</v>
      </c>
      <c r="BT321" s="8">
        <v>5.2</v>
      </c>
      <c r="BU321" s="51">
        <v>14</v>
      </c>
      <c r="BV321" s="8"/>
      <c r="BW321" s="16">
        <f t="shared" si="202"/>
        <v>4.58</v>
      </c>
      <c r="BX321" s="16">
        <f t="shared" si="203"/>
        <v>9.2799999999999994</v>
      </c>
      <c r="BY321" s="3">
        <f t="shared" si="204"/>
        <v>-3.5</v>
      </c>
      <c r="BZ321" s="3">
        <f t="shared" si="205"/>
        <v>-3.4</v>
      </c>
      <c r="CA321" s="3">
        <f t="shared" si="206"/>
        <v>-3.5</v>
      </c>
      <c r="CB321" s="3">
        <f t="shared" si="207"/>
        <v>-1.3</v>
      </c>
      <c r="CC321" s="3">
        <f t="shared" si="208"/>
        <v>-0.3</v>
      </c>
      <c r="CD321" s="3">
        <f t="shared" si="209"/>
        <v>0.5</v>
      </c>
      <c r="CE321" s="3">
        <f t="shared" si="210"/>
        <v>1.7</v>
      </c>
      <c r="CF321" s="23">
        <f t="shared" si="211"/>
        <v>95.5</v>
      </c>
      <c r="CG321" s="1">
        <f t="shared" si="212"/>
        <v>0</v>
      </c>
      <c r="CH321" s="1">
        <f t="shared" si="213"/>
        <v>1.8</v>
      </c>
      <c r="CI321" s="1">
        <f t="shared" si="214"/>
        <v>1.6</v>
      </c>
      <c r="CJ321" s="1">
        <f t="shared" si="215"/>
        <v>-0.8</v>
      </c>
      <c r="CK321" s="1">
        <f t="shared" si="216"/>
        <v>-0.2</v>
      </c>
      <c r="CL321" s="1">
        <f t="shared" si="217"/>
        <v>0.6</v>
      </c>
      <c r="CM321" s="1">
        <f t="shared" si="218"/>
        <v>1.8</v>
      </c>
      <c r="CN321" s="2">
        <f t="shared" si="219"/>
        <v>98.7</v>
      </c>
      <c r="CO321" s="1">
        <f t="shared" si="220"/>
        <v>-7.8</v>
      </c>
      <c r="CP321" s="1">
        <f t="shared" si="221"/>
        <v>-7.9</v>
      </c>
      <c r="CQ321" s="1">
        <f t="shared" si="222"/>
        <v>-8</v>
      </c>
      <c r="CR321" s="1">
        <f t="shared" si="223"/>
        <v>-1.9</v>
      </c>
      <c r="CS321" s="1">
        <f t="shared" si="224"/>
        <v>-0.4</v>
      </c>
      <c r="CT321" s="1">
        <f t="shared" si="225"/>
        <v>0.4</v>
      </c>
      <c r="CU321" s="1">
        <f t="shared" si="226"/>
        <v>1.6</v>
      </c>
      <c r="CV321" s="2">
        <f t="shared" si="227"/>
        <v>92.5</v>
      </c>
      <c r="CW321" s="18">
        <f t="shared" si="228"/>
        <v>220</v>
      </c>
      <c r="CX321" s="1">
        <f>ROUND(PPTest!K321,1)</f>
        <v>22.1</v>
      </c>
      <c r="CY321" s="17">
        <f t="shared" si="229"/>
        <v>2.52</v>
      </c>
      <c r="CZ321" s="17">
        <f t="shared" si="230"/>
        <v>8.27</v>
      </c>
      <c r="DA321" s="20">
        <f t="shared" si="231"/>
        <v>0.56599999999999995</v>
      </c>
      <c r="DB321" s="20">
        <f t="shared" si="232"/>
        <v>4.5999999999999999E-2</v>
      </c>
      <c r="DC321" s="16">
        <f t="shared" si="233"/>
        <v>12.17</v>
      </c>
      <c r="DW321" s="1">
        <v>-2.1</v>
      </c>
      <c r="DX321" s="1">
        <v>5.7</v>
      </c>
      <c r="DY321" s="1">
        <v>-9.4</v>
      </c>
    </row>
    <row r="322" spans="1:129" x14ac:dyDescent="0.2">
      <c r="A322" s="40">
        <v>35015</v>
      </c>
      <c r="B322" s="42">
        <v>316</v>
      </c>
      <c r="C322" s="3">
        <v>4.8330000000000002</v>
      </c>
      <c r="D322" s="3">
        <v>8.99</v>
      </c>
      <c r="E322" s="3">
        <v>-1.798</v>
      </c>
      <c r="F322" s="3">
        <v>96.7</v>
      </c>
      <c r="G322" s="3">
        <v>-1.9419999999999999</v>
      </c>
      <c r="H322" s="3">
        <v>-2.0750000000000002</v>
      </c>
      <c r="I322" s="3">
        <v>-0.65700000000000003</v>
      </c>
      <c r="J322" s="3">
        <v>-1.726</v>
      </c>
      <c r="K322" s="3">
        <v>-1.526</v>
      </c>
      <c r="L322" s="3">
        <v>-0.30499999999999999</v>
      </c>
      <c r="M322" s="3">
        <v>0.42499999999999999</v>
      </c>
      <c r="N322" s="3">
        <v>1.6040000000000001</v>
      </c>
      <c r="O322" s="3">
        <v>0</v>
      </c>
      <c r="P322" s="3">
        <v>1.7775000000000001</v>
      </c>
      <c r="Q322" s="3"/>
      <c r="R322" s="3">
        <v>0.26100000000000001</v>
      </c>
      <c r="S322" s="3">
        <v>1314</v>
      </c>
      <c r="T322" s="3">
        <v>104.6</v>
      </c>
      <c r="U322" s="3">
        <v>0</v>
      </c>
      <c r="V322" s="3">
        <v>1.2050000000000001</v>
      </c>
      <c r="W322" s="3">
        <v>1.3740000000000001</v>
      </c>
      <c r="X322" s="3">
        <v>-0.502</v>
      </c>
      <c r="Y322" s="3">
        <v>4.056</v>
      </c>
      <c r="Z322" s="3">
        <v>2.589</v>
      </c>
      <c r="AA322" s="3">
        <v>-0.19800000000000001</v>
      </c>
      <c r="AB322" s="3">
        <v>0.54500000000000004</v>
      </c>
      <c r="AC322" s="3">
        <v>1.7050000000000001</v>
      </c>
      <c r="AD322" s="3">
        <v>4.4474999999999998</v>
      </c>
      <c r="AE322" s="3">
        <v>226</v>
      </c>
      <c r="AF322" s="3">
        <v>-3.0049999999999999</v>
      </c>
      <c r="AG322" s="3">
        <v>755</v>
      </c>
      <c r="AH322" s="3">
        <v>80.2</v>
      </c>
      <c r="AI322" s="3">
        <v>1359</v>
      </c>
      <c r="AJ322" s="3">
        <v>-3.5089999999999999</v>
      </c>
      <c r="AK322" s="3">
        <v>-3.8380000000000001</v>
      </c>
      <c r="AL322" s="3">
        <v>-0.82499999999999996</v>
      </c>
      <c r="AM322" s="3">
        <v>-3.4</v>
      </c>
      <c r="AN322" s="3">
        <v>-3.319</v>
      </c>
      <c r="AO322" s="3">
        <v>-0.40200000000000002</v>
      </c>
      <c r="AP322" s="3">
        <v>0.38300000000000001</v>
      </c>
      <c r="AQ322" s="3">
        <v>1.5229999999999999</v>
      </c>
      <c r="AR322" s="3">
        <v>2E-3</v>
      </c>
      <c r="AS322" s="3">
        <v>3.0000000000000001E-3</v>
      </c>
      <c r="AT322" s="3">
        <v>4.0000000000000001E-3</v>
      </c>
      <c r="AU322" s="3">
        <v>3.1E-2</v>
      </c>
      <c r="AV322" s="3">
        <v>0.27200000000000002</v>
      </c>
      <c r="AW322" s="3">
        <v>0.55500000000000005</v>
      </c>
      <c r="AX322" s="3">
        <v>0.12</v>
      </c>
      <c r="AY322" s="3">
        <v>1.4E-2</v>
      </c>
      <c r="AZ322" s="3">
        <v>-2.1080000000000001</v>
      </c>
      <c r="BA322" s="3"/>
      <c r="BB322" s="3">
        <v>12.17</v>
      </c>
      <c r="BC322" s="3">
        <v>2876</v>
      </c>
      <c r="BD322" s="3"/>
      <c r="BE322" s="3"/>
      <c r="BF322" s="65">
        <f>PPTest!H322</f>
        <v>200</v>
      </c>
      <c r="BH322" s="16">
        <v>6.85</v>
      </c>
      <c r="BI322" s="16">
        <f t="shared" si="194"/>
        <v>13.837</v>
      </c>
      <c r="BJ322" s="17">
        <f t="shared" si="195"/>
        <v>4.83</v>
      </c>
      <c r="BK322" s="17">
        <f t="shared" si="196"/>
        <v>9.7100000000000009</v>
      </c>
      <c r="BM322" s="1">
        <f t="shared" si="197"/>
        <v>97.7</v>
      </c>
      <c r="BN322" s="1">
        <f t="shared" si="198"/>
        <v>90.4</v>
      </c>
      <c r="BO322" s="1">
        <f t="shared" si="199"/>
        <v>75.099999999999994</v>
      </c>
      <c r="BP322" s="62">
        <f t="shared" si="201"/>
        <v>0.46700000000000003</v>
      </c>
      <c r="BQ322" s="62">
        <f t="shared" si="200"/>
        <v>0.155</v>
      </c>
      <c r="BS322" s="52">
        <f t="shared" si="234"/>
        <v>0</v>
      </c>
      <c r="BT322" s="8">
        <v>0</v>
      </c>
      <c r="BU322" s="51">
        <v>0</v>
      </c>
      <c r="BV322" s="8"/>
      <c r="BW322" s="16">
        <f t="shared" si="202"/>
        <v>4.83</v>
      </c>
      <c r="BX322" s="16">
        <f t="shared" si="203"/>
        <v>9.7100000000000009</v>
      </c>
      <c r="BY322" s="3">
        <f t="shared" si="204"/>
        <v>-1.8</v>
      </c>
      <c r="BZ322" s="3">
        <f t="shared" si="205"/>
        <v>-1.9</v>
      </c>
      <c r="CA322" s="3">
        <f t="shared" si="206"/>
        <v>-2.1</v>
      </c>
      <c r="CB322" s="3">
        <f t="shared" si="207"/>
        <v>-0.7</v>
      </c>
      <c r="CC322" s="3">
        <f t="shared" si="208"/>
        <v>-0.3</v>
      </c>
      <c r="CD322" s="3">
        <f t="shared" si="209"/>
        <v>0.4</v>
      </c>
      <c r="CE322" s="3">
        <f t="shared" si="210"/>
        <v>1.6</v>
      </c>
      <c r="CF322" s="23">
        <f t="shared" si="211"/>
        <v>90.4</v>
      </c>
      <c r="CG322" s="1">
        <f t="shared" si="212"/>
        <v>0.3</v>
      </c>
      <c r="CH322" s="1">
        <f t="shared" si="213"/>
        <v>1.2</v>
      </c>
      <c r="CI322" s="1">
        <f t="shared" si="214"/>
        <v>1.4</v>
      </c>
      <c r="CJ322" s="1">
        <f t="shared" si="215"/>
        <v>-0.5</v>
      </c>
      <c r="CK322" s="1">
        <f t="shared" si="216"/>
        <v>-0.2</v>
      </c>
      <c r="CL322" s="1">
        <f t="shared" si="217"/>
        <v>0.5</v>
      </c>
      <c r="CM322" s="1">
        <f t="shared" si="218"/>
        <v>1.7</v>
      </c>
      <c r="CN322" s="2">
        <f t="shared" si="219"/>
        <v>97.7</v>
      </c>
      <c r="CO322" s="1">
        <f t="shared" si="220"/>
        <v>-3</v>
      </c>
      <c r="CP322" s="1">
        <f t="shared" si="221"/>
        <v>-3.5</v>
      </c>
      <c r="CQ322" s="1">
        <f t="shared" si="222"/>
        <v>-3.8</v>
      </c>
      <c r="CR322" s="1">
        <f t="shared" si="223"/>
        <v>-0.8</v>
      </c>
      <c r="CS322" s="1">
        <f t="shared" si="224"/>
        <v>-0.4</v>
      </c>
      <c r="CT322" s="1">
        <f t="shared" si="225"/>
        <v>0.4</v>
      </c>
      <c r="CU322" s="1">
        <f t="shared" si="226"/>
        <v>1.5</v>
      </c>
      <c r="CV322" s="2">
        <f t="shared" si="227"/>
        <v>75.099999999999994</v>
      </c>
      <c r="CW322" s="18">
        <f t="shared" si="228"/>
        <v>200</v>
      </c>
      <c r="CX322" s="1">
        <f>ROUND(PPTest!K322,1)</f>
        <v>0</v>
      </c>
      <c r="CY322" s="17">
        <f t="shared" si="229"/>
        <v>1.78</v>
      </c>
      <c r="CZ322" s="17">
        <f t="shared" si="230"/>
        <v>4.45</v>
      </c>
      <c r="DA322" s="20">
        <f t="shared" si="231"/>
        <v>0.46700000000000003</v>
      </c>
      <c r="DB322" s="20">
        <f t="shared" si="232"/>
        <v>0.155</v>
      </c>
      <c r="DC322" s="16">
        <f t="shared" si="233"/>
        <v>12.17</v>
      </c>
      <c r="DW322" s="1">
        <v>-2.1</v>
      </c>
      <c r="DX322" s="1">
        <v>2.1</v>
      </c>
      <c r="DY322" s="1">
        <v>-4.0999999999999996</v>
      </c>
    </row>
    <row r="323" spans="1:129" x14ac:dyDescent="0.2">
      <c r="A323" s="40">
        <v>35016</v>
      </c>
      <c r="B323" s="42">
        <v>317</v>
      </c>
      <c r="C323" s="3">
        <v>0.17299999999999999</v>
      </c>
      <c r="D323" s="3">
        <v>0.45900000000000002</v>
      </c>
      <c r="E323" s="3">
        <v>-1.2709999999999999</v>
      </c>
      <c r="F323" s="3">
        <v>105.2</v>
      </c>
      <c r="G323" s="3">
        <v>-1.575</v>
      </c>
      <c r="H323" s="3">
        <v>-1.6619999999999999</v>
      </c>
      <c r="I323" s="3">
        <v>-0.51300000000000001</v>
      </c>
      <c r="J323" s="3">
        <v>-1.673</v>
      </c>
      <c r="K323" s="3">
        <v>-1.647</v>
      </c>
      <c r="L323" s="3">
        <v>-0.28499999999999998</v>
      </c>
      <c r="M323" s="3">
        <v>0.39200000000000002</v>
      </c>
      <c r="N323" s="3">
        <v>1.504</v>
      </c>
      <c r="O323" s="3">
        <v>0</v>
      </c>
      <c r="P323" s="3">
        <v>0.66316666666666668</v>
      </c>
      <c r="Q323" s="3"/>
      <c r="R323" s="3">
        <v>0.313</v>
      </c>
      <c r="S323" s="3">
        <v>2345</v>
      </c>
      <c r="T323" s="3">
        <v>106.6</v>
      </c>
      <c r="U323" s="3">
        <v>2233</v>
      </c>
      <c r="V323" s="3">
        <v>0.11</v>
      </c>
      <c r="W323" s="3">
        <v>-0.19800000000000001</v>
      </c>
      <c r="X323" s="3">
        <v>-0.43</v>
      </c>
      <c r="Y323" s="3">
        <v>-0.64200000000000002</v>
      </c>
      <c r="Z323" s="3">
        <v>-0.47599999999999998</v>
      </c>
      <c r="AA323" s="3">
        <v>-0.23899999999999999</v>
      </c>
      <c r="AB323" s="3">
        <v>0.42899999999999999</v>
      </c>
      <c r="AC323" s="3">
        <v>1.5509999999999999</v>
      </c>
      <c r="AD323" s="3">
        <v>2.7675000000000001</v>
      </c>
      <c r="AE323" s="3">
        <v>1641</v>
      </c>
      <c r="AF323" s="3">
        <v>-2.2309999999999999</v>
      </c>
      <c r="AG323" s="3">
        <v>637</v>
      </c>
      <c r="AH323" s="3">
        <v>103.6</v>
      </c>
      <c r="AI323" s="3">
        <v>1238</v>
      </c>
      <c r="AJ323" s="3">
        <v>-2.653</v>
      </c>
      <c r="AK323" s="3">
        <v>-2.7120000000000002</v>
      </c>
      <c r="AL323" s="3">
        <v>-0.58299999999999996</v>
      </c>
      <c r="AM323" s="3">
        <v>-2.524</v>
      </c>
      <c r="AN323" s="3">
        <v>-2.524</v>
      </c>
      <c r="AO323" s="3">
        <v>-0.32200000000000001</v>
      </c>
      <c r="AP323" s="3">
        <v>0.36199999999999999</v>
      </c>
      <c r="AQ323" s="3">
        <v>1.4610000000000001</v>
      </c>
      <c r="AR323" s="3">
        <v>0.31900000000000001</v>
      </c>
      <c r="AS323" s="3">
        <v>9.1999999999999998E-2</v>
      </c>
      <c r="AT323" s="3">
        <v>8.5000000000000006E-2</v>
      </c>
      <c r="AU323" s="3">
        <v>9.8000000000000004E-2</v>
      </c>
      <c r="AV323" s="3">
        <v>0.14499999999999999</v>
      </c>
      <c r="AW323" s="3">
        <v>0.18</v>
      </c>
      <c r="AX323" s="3">
        <v>4.8000000000000001E-2</v>
      </c>
      <c r="AY323" s="3">
        <v>3.3000000000000002E-2</v>
      </c>
      <c r="AZ323" s="3">
        <v>-1.587</v>
      </c>
      <c r="BA323" s="3"/>
      <c r="BB323" s="3">
        <v>12.17</v>
      </c>
      <c r="BC323" s="3">
        <v>2876</v>
      </c>
      <c r="BD323" s="3"/>
      <c r="BE323" s="3"/>
      <c r="BF323" s="65">
        <f>PPTest!H323</f>
        <v>271</v>
      </c>
      <c r="BH323" s="16">
        <v>6.72</v>
      </c>
      <c r="BI323" s="16">
        <f t="shared" si="194"/>
        <v>13.574399999999999</v>
      </c>
      <c r="BJ323" s="17">
        <f t="shared" si="195"/>
        <v>0.17</v>
      </c>
      <c r="BK323" s="17">
        <f t="shared" si="196"/>
        <v>0.5</v>
      </c>
      <c r="BM323" s="1">
        <f t="shared" si="197"/>
        <v>99.5</v>
      </c>
      <c r="BN323" s="1">
        <f t="shared" si="198"/>
        <v>98.2</v>
      </c>
      <c r="BO323" s="1">
        <f t="shared" si="199"/>
        <v>96.7</v>
      </c>
      <c r="BP323" s="62">
        <f t="shared" si="201"/>
        <v>0.60399999999999998</v>
      </c>
      <c r="BQ323" s="62">
        <f t="shared" si="200"/>
        <v>2.1000000000000001E-2</v>
      </c>
      <c r="BS323" s="48">
        <f t="shared" ref="BS323:BS340" si="235">ROUND(BT323*BS$2,1)</f>
        <v>8.8000000000000007</v>
      </c>
      <c r="BT323" s="8">
        <v>6.3</v>
      </c>
      <c r="BU323" s="51">
        <v>0</v>
      </c>
      <c r="BV323" s="8"/>
      <c r="BW323" s="16">
        <f t="shared" si="202"/>
        <v>0.17</v>
      </c>
      <c r="BX323" s="16">
        <f t="shared" si="203"/>
        <v>0.5</v>
      </c>
      <c r="BY323" s="3">
        <f t="shared" si="204"/>
        <v>-1.3</v>
      </c>
      <c r="BZ323" s="3">
        <f t="shared" si="205"/>
        <v>-1.6</v>
      </c>
      <c r="CA323" s="3">
        <f t="shared" si="206"/>
        <v>-1.7</v>
      </c>
      <c r="CB323" s="3">
        <f t="shared" si="207"/>
        <v>-0.5</v>
      </c>
      <c r="CC323" s="3">
        <f t="shared" si="208"/>
        <v>-0.3</v>
      </c>
      <c r="CD323" s="3">
        <f t="shared" si="209"/>
        <v>0.4</v>
      </c>
      <c r="CE323" s="3">
        <f t="shared" si="210"/>
        <v>1.5</v>
      </c>
      <c r="CF323" s="23">
        <f t="shared" si="211"/>
        <v>98.2</v>
      </c>
      <c r="CG323" s="1">
        <f t="shared" si="212"/>
        <v>0.3</v>
      </c>
      <c r="CH323" s="1">
        <f t="shared" si="213"/>
        <v>0.1</v>
      </c>
      <c r="CI323" s="1">
        <f t="shared" si="214"/>
        <v>-0.2</v>
      </c>
      <c r="CJ323" s="1">
        <f t="shared" si="215"/>
        <v>-0.4</v>
      </c>
      <c r="CK323" s="1">
        <f t="shared" si="216"/>
        <v>-0.2</v>
      </c>
      <c r="CL323" s="1">
        <f t="shared" si="217"/>
        <v>0.4</v>
      </c>
      <c r="CM323" s="1">
        <f t="shared" si="218"/>
        <v>1.6</v>
      </c>
      <c r="CN323" s="2">
        <f t="shared" si="219"/>
        <v>99.5</v>
      </c>
      <c r="CO323" s="1">
        <f t="shared" si="220"/>
        <v>-2.2000000000000002</v>
      </c>
      <c r="CP323" s="1">
        <f t="shared" si="221"/>
        <v>-2.7</v>
      </c>
      <c r="CQ323" s="1">
        <f t="shared" si="222"/>
        <v>-2.7</v>
      </c>
      <c r="CR323" s="1">
        <f t="shared" si="223"/>
        <v>-0.6</v>
      </c>
      <c r="CS323" s="1">
        <f t="shared" si="224"/>
        <v>-0.3</v>
      </c>
      <c r="CT323" s="1">
        <f t="shared" si="225"/>
        <v>0.4</v>
      </c>
      <c r="CU323" s="1">
        <f t="shared" si="226"/>
        <v>1.5</v>
      </c>
      <c r="CV323" s="2">
        <f t="shared" si="227"/>
        <v>96.7</v>
      </c>
      <c r="CW323" s="18">
        <f t="shared" si="228"/>
        <v>271</v>
      </c>
      <c r="CX323" s="1">
        <f>ROUND(PPTest!K323,1)</f>
        <v>9.1999999999999993</v>
      </c>
      <c r="CY323" s="17">
        <f t="shared" si="229"/>
        <v>0.66</v>
      </c>
      <c r="CZ323" s="17">
        <f t="shared" si="230"/>
        <v>2.77</v>
      </c>
      <c r="DA323" s="20">
        <f t="shared" si="231"/>
        <v>0.60399999999999998</v>
      </c>
      <c r="DB323" s="20">
        <f t="shared" si="232"/>
        <v>2.1000000000000001E-2</v>
      </c>
      <c r="DC323" s="16">
        <f t="shared" si="233"/>
        <v>12.17</v>
      </c>
      <c r="DW323" s="1">
        <v>-1.8</v>
      </c>
      <c r="DX323" s="1">
        <v>3.7</v>
      </c>
      <c r="DY323" s="1">
        <v>-4.2</v>
      </c>
    </row>
    <row r="324" spans="1:129" x14ac:dyDescent="0.2">
      <c r="A324" s="40">
        <v>35017</v>
      </c>
      <c r="B324" s="42">
        <v>318</v>
      </c>
      <c r="C324" s="3">
        <v>1.4339999999999999</v>
      </c>
      <c r="D324" s="3">
        <v>3.2189999999999999</v>
      </c>
      <c r="E324" s="3">
        <v>0.91900000000000004</v>
      </c>
      <c r="F324" s="3">
        <v>105.8</v>
      </c>
      <c r="G324" s="3">
        <v>0.40500000000000003</v>
      </c>
      <c r="H324" s="3">
        <v>0.152</v>
      </c>
      <c r="I324" s="3">
        <v>-0.375</v>
      </c>
      <c r="J324" s="3">
        <v>-0.23699999999999999</v>
      </c>
      <c r="K324" s="3">
        <v>2.4E-2</v>
      </c>
      <c r="L324" s="3">
        <v>-0.245</v>
      </c>
      <c r="M324" s="3">
        <v>0.39500000000000002</v>
      </c>
      <c r="N324" s="3">
        <v>1.4490000000000001</v>
      </c>
      <c r="O324" s="3">
        <v>0</v>
      </c>
      <c r="P324" s="3">
        <v>0.64300000000000002</v>
      </c>
      <c r="Q324" s="3"/>
      <c r="R324" s="3">
        <v>3.4649999999999999</v>
      </c>
      <c r="S324" s="3">
        <v>1929</v>
      </c>
      <c r="T324" s="3">
        <v>106.7</v>
      </c>
      <c r="U324" s="3">
        <v>540</v>
      </c>
      <c r="V324" s="3">
        <v>3.0960000000000001</v>
      </c>
      <c r="W324" s="3">
        <v>3.581</v>
      </c>
      <c r="X324" s="3">
        <v>-0.29399999999999998</v>
      </c>
      <c r="Y324" s="3">
        <v>0.83</v>
      </c>
      <c r="Z324" s="3">
        <v>1.347</v>
      </c>
      <c r="AA324" s="3">
        <v>-0.219</v>
      </c>
      <c r="AB324" s="3">
        <v>0.437</v>
      </c>
      <c r="AC324" s="3">
        <v>1.5069999999999999</v>
      </c>
      <c r="AD324" s="3">
        <v>2.4341666666666666</v>
      </c>
      <c r="AE324" s="3">
        <v>1928</v>
      </c>
      <c r="AF324" s="3">
        <v>0.219</v>
      </c>
      <c r="AG324" s="3">
        <v>740</v>
      </c>
      <c r="AH324" s="3">
        <v>100.6</v>
      </c>
      <c r="AI324" s="3">
        <v>2036</v>
      </c>
      <c r="AJ324" s="3">
        <v>-0.28499999999999998</v>
      </c>
      <c r="AK324" s="3">
        <v>-0.63400000000000001</v>
      </c>
      <c r="AL324" s="3">
        <v>-0.44900000000000001</v>
      </c>
      <c r="AM324" s="3">
        <v>-0.90500000000000003</v>
      </c>
      <c r="AN324" s="3">
        <v>-0.47799999999999998</v>
      </c>
      <c r="AO324" s="3">
        <v>-0.27100000000000002</v>
      </c>
      <c r="AP324" s="3">
        <v>0.36199999999999999</v>
      </c>
      <c r="AQ324" s="3">
        <v>1.3979999999999999</v>
      </c>
      <c r="AR324" s="3">
        <v>0.14799999999999999</v>
      </c>
      <c r="AS324" s="3">
        <v>0.32200000000000001</v>
      </c>
      <c r="AT324" s="3">
        <v>0.26200000000000001</v>
      </c>
      <c r="AU324" s="3">
        <v>8.8999999999999996E-2</v>
      </c>
      <c r="AV324" s="3">
        <v>4.2000000000000003E-2</v>
      </c>
      <c r="AW324" s="3">
        <v>6.3E-2</v>
      </c>
      <c r="AX324" s="3">
        <v>3.9E-2</v>
      </c>
      <c r="AY324" s="3">
        <v>3.6999999999999998E-2</v>
      </c>
      <c r="AZ324" s="3">
        <v>4.8000000000000001E-2</v>
      </c>
      <c r="BA324" s="3"/>
      <c r="BB324" s="3">
        <v>12.17</v>
      </c>
      <c r="BC324" s="3">
        <v>2876</v>
      </c>
      <c r="BD324" s="3"/>
      <c r="BE324" s="3"/>
      <c r="BF324" s="65">
        <f>PPTest!H324</f>
        <v>296</v>
      </c>
      <c r="BH324" s="16">
        <v>6.59</v>
      </c>
      <c r="BI324" s="16">
        <f t="shared" si="194"/>
        <v>13.3118</v>
      </c>
      <c r="BJ324" s="17">
        <f t="shared" si="195"/>
        <v>1.43</v>
      </c>
      <c r="BK324" s="17">
        <f t="shared" si="196"/>
        <v>3.48</v>
      </c>
      <c r="BM324" s="1">
        <f t="shared" si="197"/>
        <v>99.6</v>
      </c>
      <c r="BN324" s="1">
        <f t="shared" si="198"/>
        <v>98.8</v>
      </c>
      <c r="BO324" s="1">
        <f t="shared" si="199"/>
        <v>94</v>
      </c>
      <c r="BP324" s="62">
        <f t="shared" si="201"/>
        <v>0.73599999999999999</v>
      </c>
      <c r="BQ324" s="62">
        <f t="shared" si="200"/>
        <v>4.7E-2</v>
      </c>
      <c r="BS324" s="48">
        <f t="shared" si="235"/>
        <v>3.1</v>
      </c>
      <c r="BT324" s="8">
        <v>2.2000000000000002</v>
      </c>
      <c r="BU324" s="51">
        <v>0</v>
      </c>
      <c r="BV324" s="8"/>
      <c r="BW324" s="16">
        <f t="shared" si="202"/>
        <v>1.43</v>
      </c>
      <c r="BX324" s="16">
        <f t="shared" si="203"/>
        <v>3.48</v>
      </c>
      <c r="BY324" s="3">
        <f t="shared" si="204"/>
        <v>0.9</v>
      </c>
      <c r="BZ324" s="3">
        <f t="shared" si="205"/>
        <v>0.4</v>
      </c>
      <c r="CA324" s="3">
        <f t="shared" si="206"/>
        <v>0.2</v>
      </c>
      <c r="CB324" s="3">
        <f t="shared" si="207"/>
        <v>-0.4</v>
      </c>
      <c r="CC324" s="3">
        <f t="shared" si="208"/>
        <v>-0.2</v>
      </c>
      <c r="CD324" s="3">
        <f t="shared" si="209"/>
        <v>0.4</v>
      </c>
      <c r="CE324" s="3">
        <f t="shared" si="210"/>
        <v>1.4</v>
      </c>
      <c r="CF324" s="23">
        <f t="shared" si="211"/>
        <v>98.8</v>
      </c>
      <c r="CG324" s="1">
        <f t="shared" si="212"/>
        <v>3.5</v>
      </c>
      <c r="CH324" s="1">
        <f t="shared" si="213"/>
        <v>3.1</v>
      </c>
      <c r="CI324" s="1">
        <f t="shared" si="214"/>
        <v>3.6</v>
      </c>
      <c r="CJ324" s="1">
        <f t="shared" si="215"/>
        <v>-0.3</v>
      </c>
      <c r="CK324" s="1">
        <f t="shared" si="216"/>
        <v>-0.2</v>
      </c>
      <c r="CL324" s="1">
        <f t="shared" si="217"/>
        <v>0.4</v>
      </c>
      <c r="CM324" s="1">
        <f t="shared" si="218"/>
        <v>1.5</v>
      </c>
      <c r="CN324" s="2">
        <f t="shared" si="219"/>
        <v>99.6</v>
      </c>
      <c r="CO324" s="1">
        <f t="shared" si="220"/>
        <v>0.2</v>
      </c>
      <c r="CP324" s="1">
        <f t="shared" si="221"/>
        <v>-0.3</v>
      </c>
      <c r="CQ324" s="1">
        <f t="shared" si="222"/>
        <v>-0.6</v>
      </c>
      <c r="CR324" s="1">
        <f t="shared" si="223"/>
        <v>-0.4</v>
      </c>
      <c r="CS324" s="1">
        <f t="shared" si="224"/>
        <v>-0.3</v>
      </c>
      <c r="CT324" s="1">
        <f t="shared" si="225"/>
        <v>0.4</v>
      </c>
      <c r="CU324" s="1">
        <f t="shared" si="226"/>
        <v>1.4</v>
      </c>
      <c r="CV324" s="2">
        <f t="shared" si="227"/>
        <v>94</v>
      </c>
      <c r="CW324" s="18">
        <f t="shared" si="228"/>
        <v>296</v>
      </c>
      <c r="CX324" s="1">
        <f>ROUND(PPTest!K324,1)</f>
        <v>3.3</v>
      </c>
      <c r="CY324" s="17">
        <f t="shared" si="229"/>
        <v>0.64</v>
      </c>
      <c r="CZ324" s="17">
        <f t="shared" si="230"/>
        <v>2.4300000000000002</v>
      </c>
      <c r="DA324" s="20">
        <f t="shared" si="231"/>
        <v>0.73599999999999999</v>
      </c>
      <c r="DB324" s="20">
        <f t="shared" si="232"/>
        <v>4.7E-2</v>
      </c>
      <c r="DC324" s="16">
        <f t="shared" si="233"/>
        <v>12.17</v>
      </c>
      <c r="DW324" s="1">
        <v>1.7</v>
      </c>
      <c r="DX324" s="1">
        <v>8.4</v>
      </c>
      <c r="DY324" s="1">
        <v>-0.9</v>
      </c>
    </row>
    <row r="325" spans="1:129" x14ac:dyDescent="0.2">
      <c r="A325" s="40">
        <v>35018</v>
      </c>
      <c r="B325" s="42">
        <v>319</v>
      </c>
      <c r="C325" s="3">
        <v>2.9020000000000001</v>
      </c>
      <c r="D325" s="3">
        <v>5.577</v>
      </c>
      <c r="E325" s="3">
        <v>2.6709999999999998</v>
      </c>
      <c r="F325" s="3">
        <v>101.3</v>
      </c>
      <c r="G325" s="3">
        <v>1.9870000000000001</v>
      </c>
      <c r="H325" s="3">
        <v>1.5129999999999999</v>
      </c>
      <c r="I325" s="3">
        <v>-0.253</v>
      </c>
      <c r="J325" s="3">
        <v>1.232</v>
      </c>
      <c r="K325" s="3">
        <v>1.631</v>
      </c>
      <c r="L325" s="3">
        <v>-0.217</v>
      </c>
      <c r="M325" s="3">
        <v>0.38900000000000001</v>
      </c>
      <c r="N325" s="3">
        <v>1.4</v>
      </c>
      <c r="O325" s="3">
        <v>0</v>
      </c>
      <c r="P325" s="3">
        <v>1.518</v>
      </c>
      <c r="Q325" s="3"/>
      <c r="R325" s="3">
        <v>6.51</v>
      </c>
      <c r="S325" s="3">
        <v>1024</v>
      </c>
      <c r="T325" s="3">
        <v>107</v>
      </c>
      <c r="U325" s="3">
        <v>559</v>
      </c>
      <c r="V325" s="3">
        <v>6.2649999999999997</v>
      </c>
      <c r="W325" s="3">
        <v>5.8940000000000001</v>
      </c>
      <c r="X325" s="3">
        <v>-0.16800000000000001</v>
      </c>
      <c r="Y325" s="3">
        <v>5.0640000000000001</v>
      </c>
      <c r="Z325" s="3">
        <v>6.4210000000000003</v>
      </c>
      <c r="AA325" s="3">
        <v>-0.13500000000000001</v>
      </c>
      <c r="AB325" s="3">
        <v>0.47499999999999998</v>
      </c>
      <c r="AC325" s="3">
        <v>1.4770000000000001</v>
      </c>
      <c r="AD325" s="3">
        <v>4.6608333333333336</v>
      </c>
      <c r="AE325" s="3">
        <v>2029</v>
      </c>
      <c r="AF325" s="3">
        <v>-0.02</v>
      </c>
      <c r="AG325" s="3">
        <v>406</v>
      </c>
      <c r="AH325" s="3">
        <v>82.7</v>
      </c>
      <c r="AI325" s="3">
        <v>1023</v>
      </c>
      <c r="AJ325" s="3">
        <v>-0.93799999999999994</v>
      </c>
      <c r="AK325" s="3">
        <v>-1.887</v>
      </c>
      <c r="AL325" s="3">
        <v>-0.33200000000000002</v>
      </c>
      <c r="AM325" s="3">
        <v>-1.0149999999999999</v>
      </c>
      <c r="AN325" s="3">
        <v>-0.72799999999999998</v>
      </c>
      <c r="AO325" s="3">
        <v>-0.28499999999999998</v>
      </c>
      <c r="AP325" s="3">
        <v>0.316</v>
      </c>
      <c r="AQ325" s="3">
        <v>1.321</v>
      </c>
      <c r="AR325" s="3">
        <v>9.9000000000000005E-2</v>
      </c>
      <c r="AS325" s="3">
        <v>0.19700000000000001</v>
      </c>
      <c r="AT325" s="3">
        <v>0.13200000000000001</v>
      </c>
      <c r="AU325" s="3">
        <v>4.9000000000000002E-2</v>
      </c>
      <c r="AV325" s="3">
        <v>0.114</v>
      </c>
      <c r="AW325" s="3">
        <v>0.222</v>
      </c>
      <c r="AX325" s="3">
        <v>0.114</v>
      </c>
      <c r="AY325" s="3">
        <v>7.2999999999999995E-2</v>
      </c>
      <c r="AZ325" s="3">
        <v>0.78500000000000003</v>
      </c>
      <c r="BA325" s="3"/>
      <c r="BB325" s="3">
        <v>12.17</v>
      </c>
      <c r="BC325" s="3">
        <v>2876</v>
      </c>
      <c r="BD325" s="3"/>
      <c r="BE325" s="3"/>
      <c r="BF325" s="65">
        <f>PPTest!H325</f>
        <v>313</v>
      </c>
      <c r="BH325" s="16">
        <v>6.47</v>
      </c>
      <c r="BI325" s="16">
        <f t="shared" si="194"/>
        <v>13.0694</v>
      </c>
      <c r="BJ325" s="17">
        <f t="shared" si="195"/>
        <v>2.9</v>
      </c>
      <c r="BK325" s="17">
        <f t="shared" si="196"/>
        <v>6.02</v>
      </c>
      <c r="BM325" s="1">
        <f t="shared" si="197"/>
        <v>99.9</v>
      </c>
      <c r="BN325" s="1">
        <f t="shared" si="198"/>
        <v>94.6</v>
      </c>
      <c r="BO325" s="1">
        <f t="shared" si="199"/>
        <v>77.400000000000006</v>
      </c>
      <c r="BP325" s="62">
        <f t="shared" si="201"/>
        <v>0.749</v>
      </c>
      <c r="BQ325" s="62">
        <f t="shared" si="200"/>
        <v>0.219</v>
      </c>
      <c r="BS325" s="48">
        <f t="shared" si="235"/>
        <v>2.1</v>
      </c>
      <c r="BT325" s="8">
        <v>1.5</v>
      </c>
      <c r="BU325" s="51">
        <v>0</v>
      </c>
      <c r="BV325" s="8"/>
      <c r="BW325" s="16">
        <f t="shared" si="202"/>
        <v>2.9</v>
      </c>
      <c r="BX325" s="16">
        <f t="shared" si="203"/>
        <v>6.02</v>
      </c>
      <c r="BY325" s="3">
        <f t="shared" si="204"/>
        <v>2.7</v>
      </c>
      <c r="BZ325" s="3">
        <f t="shared" si="205"/>
        <v>2</v>
      </c>
      <c r="CA325" s="3">
        <f t="shared" si="206"/>
        <v>1.5</v>
      </c>
      <c r="CB325" s="3">
        <f t="shared" si="207"/>
        <v>-0.3</v>
      </c>
      <c r="CC325" s="3">
        <f t="shared" si="208"/>
        <v>-0.2</v>
      </c>
      <c r="CD325" s="3">
        <f t="shared" si="209"/>
        <v>0.4</v>
      </c>
      <c r="CE325" s="3">
        <f t="shared" si="210"/>
        <v>1.4</v>
      </c>
      <c r="CF325" s="23">
        <f t="shared" si="211"/>
        <v>94.6</v>
      </c>
      <c r="CG325" s="1">
        <f t="shared" si="212"/>
        <v>6.5</v>
      </c>
      <c r="CH325" s="1">
        <f t="shared" si="213"/>
        <v>6.3</v>
      </c>
      <c r="CI325" s="1">
        <f t="shared" si="214"/>
        <v>5.9</v>
      </c>
      <c r="CJ325" s="1">
        <f t="shared" si="215"/>
        <v>-0.2</v>
      </c>
      <c r="CK325" s="1">
        <f t="shared" si="216"/>
        <v>-0.1</v>
      </c>
      <c r="CL325" s="1">
        <f t="shared" si="217"/>
        <v>0.5</v>
      </c>
      <c r="CM325" s="1">
        <f t="shared" si="218"/>
        <v>1.5</v>
      </c>
      <c r="CN325" s="2">
        <f t="shared" si="219"/>
        <v>99.9</v>
      </c>
      <c r="CO325" s="1">
        <f t="shared" si="220"/>
        <v>0</v>
      </c>
      <c r="CP325" s="1">
        <f t="shared" si="221"/>
        <v>-0.9</v>
      </c>
      <c r="CQ325" s="1">
        <f t="shared" si="222"/>
        <v>-1.9</v>
      </c>
      <c r="CR325" s="1">
        <f t="shared" si="223"/>
        <v>-0.3</v>
      </c>
      <c r="CS325" s="1">
        <f t="shared" si="224"/>
        <v>-0.3</v>
      </c>
      <c r="CT325" s="1">
        <f t="shared" si="225"/>
        <v>0.3</v>
      </c>
      <c r="CU325" s="1">
        <f t="shared" si="226"/>
        <v>1.3</v>
      </c>
      <c r="CV325" s="2">
        <f t="shared" si="227"/>
        <v>77.400000000000006</v>
      </c>
      <c r="CW325" s="18">
        <f t="shared" si="228"/>
        <v>313</v>
      </c>
      <c r="CX325" s="1">
        <f>ROUND(PPTest!K325,1)</f>
        <v>2.2000000000000002</v>
      </c>
      <c r="CY325" s="17">
        <f t="shared" si="229"/>
        <v>1.52</v>
      </c>
      <c r="CZ325" s="17">
        <f t="shared" si="230"/>
        <v>4.66</v>
      </c>
      <c r="DA325" s="20">
        <f t="shared" si="231"/>
        <v>0.749</v>
      </c>
      <c r="DB325" s="20">
        <f t="shared" si="232"/>
        <v>0.219</v>
      </c>
      <c r="DC325" s="16">
        <f t="shared" si="233"/>
        <v>12.17</v>
      </c>
      <c r="DW325" s="1">
        <v>2.2999999999999998</v>
      </c>
      <c r="DX325" s="1">
        <v>5.5</v>
      </c>
      <c r="DY325" s="1">
        <v>-0.6</v>
      </c>
    </row>
    <row r="326" spans="1:129" x14ac:dyDescent="0.2">
      <c r="A326" s="40">
        <v>35019</v>
      </c>
      <c r="B326" s="42">
        <v>320</v>
      </c>
      <c r="C326" s="3">
        <v>4.7329999999999997</v>
      </c>
      <c r="D326" s="3">
        <v>9.14</v>
      </c>
      <c r="E326" s="3">
        <v>1.738</v>
      </c>
      <c r="F326" s="3">
        <v>95.7</v>
      </c>
      <c r="G326" s="3">
        <v>1.286</v>
      </c>
      <c r="H326" s="3">
        <v>1.016</v>
      </c>
      <c r="I326" s="3">
        <v>-0.215</v>
      </c>
      <c r="J326" s="3">
        <v>1.1950000000000001</v>
      </c>
      <c r="K326" s="3">
        <v>1.464</v>
      </c>
      <c r="L326" s="3">
        <v>-0.20699999999999999</v>
      </c>
      <c r="M326" s="3">
        <v>0.36499999999999999</v>
      </c>
      <c r="N326" s="3">
        <v>1.34</v>
      </c>
      <c r="O326" s="3">
        <v>0</v>
      </c>
      <c r="P326" s="3">
        <v>1.3123333333333334</v>
      </c>
      <c r="Q326" s="3"/>
      <c r="R326" s="3">
        <v>4.7880000000000003</v>
      </c>
      <c r="S326" s="3">
        <v>1201</v>
      </c>
      <c r="T326" s="3">
        <v>106.7</v>
      </c>
      <c r="U326" s="3">
        <v>1757</v>
      </c>
      <c r="V326" s="3">
        <v>5.1440000000000001</v>
      </c>
      <c r="W326" s="3">
        <v>5.6849999999999996</v>
      </c>
      <c r="X326" s="3">
        <v>-0.113</v>
      </c>
      <c r="Y326" s="3">
        <v>6.5529999999999999</v>
      </c>
      <c r="Z326" s="3">
        <v>6.6790000000000003</v>
      </c>
      <c r="AA326" s="3">
        <v>-0.11899999999999999</v>
      </c>
      <c r="AB326" s="3">
        <v>0.46</v>
      </c>
      <c r="AC326" s="3">
        <v>1.4419999999999999</v>
      </c>
      <c r="AD326" s="3">
        <v>4.5274999999999999</v>
      </c>
      <c r="AE326" s="3">
        <v>1503</v>
      </c>
      <c r="AF326" s="3">
        <v>0.154</v>
      </c>
      <c r="AG326" s="3">
        <v>1758</v>
      </c>
      <c r="AH326" s="3">
        <v>72.2</v>
      </c>
      <c r="AI326" s="3">
        <v>1239</v>
      </c>
      <c r="AJ326" s="3">
        <v>-0.58599999999999997</v>
      </c>
      <c r="AK326" s="3">
        <v>-0.95499999999999996</v>
      </c>
      <c r="AL326" s="3">
        <v>-0.28999999999999998</v>
      </c>
      <c r="AM326" s="3">
        <v>-0.52800000000000002</v>
      </c>
      <c r="AN326" s="3">
        <v>-0.83899999999999997</v>
      </c>
      <c r="AO326" s="3">
        <v>-0.27300000000000002</v>
      </c>
      <c r="AP326" s="3">
        <v>0.29799999999999999</v>
      </c>
      <c r="AQ326" s="3">
        <v>1.2849999999999999</v>
      </c>
      <c r="AR326" s="3">
        <v>4.3999999999999997E-2</v>
      </c>
      <c r="AS326" s="3">
        <v>0.10299999999999999</v>
      </c>
      <c r="AT326" s="3">
        <v>0.129</v>
      </c>
      <c r="AU326" s="3">
        <v>0.10299999999999999</v>
      </c>
      <c r="AV326" s="3">
        <v>0.182</v>
      </c>
      <c r="AW326" s="3">
        <v>0.26500000000000001</v>
      </c>
      <c r="AX326" s="3">
        <v>0.10100000000000001</v>
      </c>
      <c r="AY326" s="3">
        <v>7.1999999999999995E-2</v>
      </c>
      <c r="AZ326" s="3">
        <v>0.93799999999999994</v>
      </c>
      <c r="BA326" s="3"/>
      <c r="BB326" s="3">
        <v>12.16</v>
      </c>
      <c r="BC326" s="3">
        <v>2876</v>
      </c>
      <c r="BD326" s="3"/>
      <c r="BE326" s="3"/>
      <c r="BF326" s="65">
        <f>PPTest!H326</f>
        <v>319</v>
      </c>
      <c r="BH326" s="16">
        <v>6.35</v>
      </c>
      <c r="BI326" s="16">
        <f t="shared" si="194"/>
        <v>12.827</v>
      </c>
      <c r="BJ326" s="17">
        <f t="shared" si="195"/>
        <v>4.7300000000000004</v>
      </c>
      <c r="BK326" s="17">
        <f t="shared" si="196"/>
        <v>9.8699999999999992</v>
      </c>
      <c r="BM326" s="1">
        <f t="shared" si="197"/>
        <v>99.6</v>
      </c>
      <c r="BN326" s="1">
        <f t="shared" si="198"/>
        <v>89.4</v>
      </c>
      <c r="BO326" s="1">
        <f t="shared" si="199"/>
        <v>67.7</v>
      </c>
      <c r="BP326" s="62">
        <f t="shared" si="201"/>
        <v>0.58199999999999996</v>
      </c>
      <c r="BQ326" s="62">
        <f t="shared" si="200"/>
        <v>0.27800000000000002</v>
      </c>
      <c r="BS326" s="48">
        <f t="shared" si="235"/>
        <v>0.8</v>
      </c>
      <c r="BT326" s="8">
        <v>0.6</v>
      </c>
      <c r="BU326" s="51">
        <v>0</v>
      </c>
      <c r="BV326" s="8"/>
      <c r="BW326" s="16">
        <f t="shared" si="202"/>
        <v>4.7300000000000004</v>
      </c>
      <c r="BX326" s="16">
        <f t="shared" si="203"/>
        <v>9.8699999999999992</v>
      </c>
      <c r="BY326" s="3">
        <f t="shared" si="204"/>
        <v>1.7</v>
      </c>
      <c r="BZ326" s="3">
        <f t="shared" si="205"/>
        <v>1.3</v>
      </c>
      <c r="CA326" s="3">
        <f t="shared" si="206"/>
        <v>1</v>
      </c>
      <c r="CB326" s="3">
        <f t="shared" si="207"/>
        <v>-0.2</v>
      </c>
      <c r="CC326" s="3">
        <f t="shared" si="208"/>
        <v>-0.2</v>
      </c>
      <c r="CD326" s="3">
        <f t="shared" si="209"/>
        <v>0.4</v>
      </c>
      <c r="CE326" s="3">
        <f t="shared" si="210"/>
        <v>1.3</v>
      </c>
      <c r="CF326" s="23">
        <f t="shared" si="211"/>
        <v>89.4</v>
      </c>
      <c r="CG326" s="1">
        <f t="shared" si="212"/>
        <v>4.8</v>
      </c>
      <c r="CH326" s="1">
        <f t="shared" si="213"/>
        <v>5.0999999999999996</v>
      </c>
      <c r="CI326" s="1">
        <f t="shared" si="214"/>
        <v>5.7</v>
      </c>
      <c r="CJ326" s="1">
        <f t="shared" si="215"/>
        <v>-0.1</v>
      </c>
      <c r="CK326" s="1">
        <f t="shared" si="216"/>
        <v>-0.1</v>
      </c>
      <c r="CL326" s="1">
        <f t="shared" si="217"/>
        <v>0.5</v>
      </c>
      <c r="CM326" s="1">
        <f t="shared" si="218"/>
        <v>1.4</v>
      </c>
      <c r="CN326" s="2">
        <f t="shared" si="219"/>
        <v>99.6</v>
      </c>
      <c r="CO326" s="1">
        <f t="shared" si="220"/>
        <v>0.2</v>
      </c>
      <c r="CP326" s="1">
        <f t="shared" si="221"/>
        <v>-0.6</v>
      </c>
      <c r="CQ326" s="1">
        <f t="shared" si="222"/>
        <v>-1</v>
      </c>
      <c r="CR326" s="1">
        <f t="shared" si="223"/>
        <v>-0.3</v>
      </c>
      <c r="CS326" s="1">
        <f t="shared" si="224"/>
        <v>-0.3</v>
      </c>
      <c r="CT326" s="1">
        <f t="shared" si="225"/>
        <v>0.3</v>
      </c>
      <c r="CU326" s="1">
        <f t="shared" si="226"/>
        <v>1.3</v>
      </c>
      <c r="CV326" s="2">
        <f t="shared" si="227"/>
        <v>67.7</v>
      </c>
      <c r="CW326" s="18">
        <f t="shared" si="228"/>
        <v>319</v>
      </c>
      <c r="CX326" s="1">
        <f>ROUND(PPTest!K326,1)</f>
        <v>0.8</v>
      </c>
      <c r="CY326" s="17">
        <f t="shared" si="229"/>
        <v>1.31</v>
      </c>
      <c r="CZ326" s="17">
        <f t="shared" si="230"/>
        <v>4.53</v>
      </c>
      <c r="DA326" s="20">
        <f t="shared" si="231"/>
        <v>0.58199999999999996</v>
      </c>
      <c r="DB326" s="20">
        <f t="shared" si="232"/>
        <v>0.27800000000000002</v>
      </c>
      <c r="DC326" s="16">
        <f t="shared" si="233"/>
        <v>12.16</v>
      </c>
      <c r="DW326" s="1">
        <v>-0.4</v>
      </c>
      <c r="DX326" s="1">
        <v>4.5999999999999996</v>
      </c>
      <c r="DY326" s="1">
        <v>-4</v>
      </c>
    </row>
    <row r="327" spans="1:129" x14ac:dyDescent="0.2">
      <c r="A327" s="40">
        <v>35020</v>
      </c>
      <c r="B327" s="42">
        <v>321</v>
      </c>
      <c r="C327" s="3">
        <v>0.98299999999999998</v>
      </c>
      <c r="D327" s="3">
        <v>1.925</v>
      </c>
      <c r="E327" s="3">
        <v>3.3889999999999998</v>
      </c>
      <c r="F327" s="3">
        <v>96.5</v>
      </c>
      <c r="G327" s="3">
        <v>2.75</v>
      </c>
      <c r="H327" s="3">
        <v>2.5459999999999998</v>
      </c>
      <c r="I327" s="3">
        <v>-0.184</v>
      </c>
      <c r="J327" s="3">
        <v>2.073</v>
      </c>
      <c r="K327" s="3">
        <v>2.2080000000000002</v>
      </c>
      <c r="L327" s="3">
        <v>-0.17199999999999999</v>
      </c>
      <c r="M327" s="3">
        <v>0.376</v>
      </c>
      <c r="N327" s="3">
        <v>1.331</v>
      </c>
      <c r="O327" s="3">
        <v>0</v>
      </c>
      <c r="P327" s="3">
        <v>2.0341666666666667</v>
      </c>
      <c r="Q327" s="3"/>
      <c r="R327" s="3">
        <v>6.31</v>
      </c>
      <c r="S327" s="3">
        <v>2008</v>
      </c>
      <c r="T327" s="3">
        <v>105.6</v>
      </c>
      <c r="U327" s="3">
        <v>418</v>
      </c>
      <c r="V327" s="3">
        <v>5.6619999999999999</v>
      </c>
      <c r="W327" s="3">
        <v>5.9509999999999996</v>
      </c>
      <c r="X327" s="3">
        <v>-0.106</v>
      </c>
      <c r="Y327" s="3">
        <v>4.8609999999999998</v>
      </c>
      <c r="Z327" s="3">
        <v>5.077</v>
      </c>
      <c r="AA327" s="3">
        <v>-9.7000000000000003E-2</v>
      </c>
      <c r="AB327" s="3">
        <v>0.441</v>
      </c>
      <c r="AC327" s="3">
        <v>1.399</v>
      </c>
      <c r="AD327" s="3">
        <v>7.3408333333333333</v>
      </c>
      <c r="AE327" s="3">
        <v>2203</v>
      </c>
      <c r="AF327" s="3">
        <v>0.41599999999999998</v>
      </c>
      <c r="AG327" s="3">
        <v>331</v>
      </c>
      <c r="AH327" s="3">
        <v>81.8</v>
      </c>
      <c r="AI327" s="3">
        <v>2005</v>
      </c>
      <c r="AJ327" s="3">
        <v>-9.1999999999999998E-2</v>
      </c>
      <c r="AK327" s="3">
        <v>-0.22700000000000001</v>
      </c>
      <c r="AL327" s="3">
        <v>-0.26100000000000001</v>
      </c>
      <c r="AM327" s="3">
        <v>-0.20100000000000001</v>
      </c>
      <c r="AN327" s="3">
        <v>-0.21199999999999999</v>
      </c>
      <c r="AO327" s="3">
        <v>-0.23899999999999999</v>
      </c>
      <c r="AP327" s="3">
        <v>0.313</v>
      </c>
      <c r="AQ327" s="3">
        <v>1.2729999999999999</v>
      </c>
      <c r="AR327" s="3">
        <v>8.3000000000000004E-2</v>
      </c>
      <c r="AS327" s="3">
        <v>8.2000000000000003E-2</v>
      </c>
      <c r="AT327" s="3">
        <v>0.151</v>
      </c>
      <c r="AU327" s="3">
        <v>0.13900000000000001</v>
      </c>
      <c r="AV327" s="3">
        <v>0.112</v>
      </c>
      <c r="AW327" s="3">
        <v>0.152</v>
      </c>
      <c r="AX327" s="3">
        <v>0.16800000000000001</v>
      </c>
      <c r="AY327" s="3">
        <v>0.112</v>
      </c>
      <c r="AZ327" s="3">
        <v>1.899</v>
      </c>
      <c r="BA327" s="3"/>
      <c r="BB327" s="3">
        <v>12.16</v>
      </c>
      <c r="BC327" s="3">
        <v>2876</v>
      </c>
      <c r="BD327" s="3"/>
      <c r="BE327" s="3"/>
      <c r="BF327" s="65">
        <f>PPTest!H327</f>
        <v>352</v>
      </c>
      <c r="BH327" s="16">
        <v>6.24</v>
      </c>
      <c r="BI327" s="16">
        <f t="shared" ref="BI327:BI343" si="236">BH327*$BI$1</f>
        <v>12.604800000000001</v>
      </c>
      <c r="BJ327" s="17">
        <f t="shared" ref="BJ327:BJ347" si="237">ROUND(C327*BJ$2,2)</f>
        <v>0.98</v>
      </c>
      <c r="BK327" s="17">
        <f t="shared" ref="BK327:BK347" si="238">ROUND(D327*BK$2,2)</f>
        <v>2.08</v>
      </c>
      <c r="BM327" s="1">
        <f t="shared" ref="BM327:BM347" si="239">ROUND(T327*BM$3+BM$4,1)</f>
        <v>98.6</v>
      </c>
      <c r="BN327" s="1">
        <f t="shared" ref="BN327:BN347" si="240">ROUND(F327*BM$3+BM$4,1)</f>
        <v>90.2</v>
      </c>
      <c r="BO327" s="1">
        <f t="shared" ref="BO327:BO347" si="241">ROUND(AH327*BM$3+BM$4,1)</f>
        <v>76.599999999999994</v>
      </c>
      <c r="BP327" s="62">
        <f t="shared" si="201"/>
        <v>0.73199999999999998</v>
      </c>
      <c r="BQ327" s="62">
        <f t="shared" ref="BQ327:BQ347" si="242">ROUND((100-BO327)*BP327/BO327,3)</f>
        <v>0.224</v>
      </c>
      <c r="BS327" s="48">
        <f t="shared" si="235"/>
        <v>4.0999999999999996</v>
      </c>
      <c r="BT327" s="8">
        <v>2.9</v>
      </c>
      <c r="BU327" s="51">
        <v>0</v>
      </c>
      <c r="BV327" s="8"/>
      <c r="BW327" s="16">
        <f t="shared" si="202"/>
        <v>0.98</v>
      </c>
      <c r="BX327" s="16">
        <f t="shared" si="203"/>
        <v>2.08</v>
      </c>
      <c r="BY327" s="3">
        <f t="shared" si="204"/>
        <v>3.4</v>
      </c>
      <c r="BZ327" s="3">
        <f t="shared" si="205"/>
        <v>2.8</v>
      </c>
      <c r="CA327" s="3">
        <f t="shared" si="206"/>
        <v>2.5</v>
      </c>
      <c r="CB327" s="3">
        <f t="shared" si="207"/>
        <v>-0.2</v>
      </c>
      <c r="CC327" s="3">
        <f t="shared" si="208"/>
        <v>-0.2</v>
      </c>
      <c r="CD327" s="3">
        <f t="shared" si="209"/>
        <v>0.4</v>
      </c>
      <c r="CE327" s="3">
        <f t="shared" si="210"/>
        <v>1.3</v>
      </c>
      <c r="CF327" s="23">
        <f t="shared" si="211"/>
        <v>90.2</v>
      </c>
      <c r="CG327" s="1">
        <f t="shared" si="212"/>
        <v>6.3</v>
      </c>
      <c r="CH327" s="1">
        <f t="shared" si="213"/>
        <v>5.7</v>
      </c>
      <c r="CI327" s="1">
        <f t="shared" si="214"/>
        <v>6</v>
      </c>
      <c r="CJ327" s="1">
        <f t="shared" si="215"/>
        <v>-0.1</v>
      </c>
      <c r="CK327" s="1">
        <f t="shared" si="216"/>
        <v>-0.1</v>
      </c>
      <c r="CL327" s="1">
        <f t="shared" si="217"/>
        <v>0.4</v>
      </c>
      <c r="CM327" s="1">
        <f t="shared" si="218"/>
        <v>1.4</v>
      </c>
      <c r="CN327" s="2">
        <f t="shared" si="219"/>
        <v>98.6</v>
      </c>
      <c r="CO327" s="1">
        <f t="shared" si="220"/>
        <v>0.4</v>
      </c>
      <c r="CP327" s="1">
        <f t="shared" si="221"/>
        <v>-0.1</v>
      </c>
      <c r="CQ327" s="1">
        <f t="shared" si="222"/>
        <v>-0.2</v>
      </c>
      <c r="CR327" s="1">
        <f t="shared" si="223"/>
        <v>-0.3</v>
      </c>
      <c r="CS327" s="1">
        <f t="shared" si="224"/>
        <v>-0.2</v>
      </c>
      <c r="CT327" s="1">
        <f t="shared" si="225"/>
        <v>0.3</v>
      </c>
      <c r="CU327" s="1">
        <f t="shared" si="226"/>
        <v>1.3</v>
      </c>
      <c r="CV327" s="2">
        <f t="shared" si="227"/>
        <v>76.599999999999994</v>
      </c>
      <c r="CW327" s="18">
        <f t="shared" si="228"/>
        <v>352</v>
      </c>
      <c r="CX327" s="1">
        <f>ROUND(PPTest!K327,1)</f>
        <v>4.3</v>
      </c>
      <c r="CY327" s="17">
        <f t="shared" si="229"/>
        <v>2.0299999999999998</v>
      </c>
      <c r="CZ327" s="17">
        <f t="shared" si="230"/>
        <v>7.34</v>
      </c>
      <c r="DA327" s="20">
        <f t="shared" si="231"/>
        <v>0.73199999999999998</v>
      </c>
      <c r="DB327" s="20">
        <f t="shared" si="232"/>
        <v>0.224</v>
      </c>
      <c r="DC327" s="16">
        <f t="shared" si="233"/>
        <v>12.16</v>
      </c>
      <c r="DW327" s="1">
        <v>3.1</v>
      </c>
      <c r="DX327" s="1">
        <v>8.6</v>
      </c>
      <c r="DY327" s="1">
        <v>-0.4</v>
      </c>
    </row>
    <row r="328" spans="1:129" x14ac:dyDescent="0.2">
      <c r="A328" s="40">
        <v>35021</v>
      </c>
      <c r="B328" s="42">
        <v>322</v>
      </c>
      <c r="C328" s="3">
        <v>4.2380000000000004</v>
      </c>
      <c r="D328" s="3">
        <v>7.49</v>
      </c>
      <c r="E328" s="3">
        <v>1.647</v>
      </c>
      <c r="F328" s="3">
        <v>81.400000000000006</v>
      </c>
      <c r="G328" s="3">
        <v>1.0629999999999999</v>
      </c>
      <c r="H328" s="3">
        <v>0.999</v>
      </c>
      <c r="I328" s="3">
        <v>-0.192</v>
      </c>
      <c r="J328" s="3">
        <v>1.0960000000000001</v>
      </c>
      <c r="K328" s="3">
        <v>1.4019999999999999</v>
      </c>
      <c r="L328" s="3">
        <v>-0.191</v>
      </c>
      <c r="M328" s="3">
        <v>0.32700000000000001</v>
      </c>
      <c r="N328" s="3">
        <v>1.2969999999999999</v>
      </c>
      <c r="O328" s="3">
        <v>0</v>
      </c>
      <c r="P328" s="3">
        <v>3.9358333333333335</v>
      </c>
      <c r="Q328" s="3"/>
      <c r="R328" s="3">
        <v>6.1150000000000002</v>
      </c>
      <c r="S328" s="3">
        <v>240</v>
      </c>
      <c r="T328" s="3">
        <v>102.7</v>
      </c>
      <c r="U328" s="3">
        <v>1009</v>
      </c>
      <c r="V328" s="3">
        <v>5.4210000000000003</v>
      </c>
      <c r="W328" s="3">
        <v>5.8630000000000004</v>
      </c>
      <c r="X328" s="3">
        <v>-8.7999999999999995E-2</v>
      </c>
      <c r="Y328" s="3">
        <v>6.55</v>
      </c>
      <c r="Z328" s="3">
        <v>6.5350000000000001</v>
      </c>
      <c r="AA328" s="3">
        <v>-9.2999999999999999E-2</v>
      </c>
      <c r="AB328" s="3">
        <v>0.44500000000000001</v>
      </c>
      <c r="AC328" s="3">
        <v>1.405</v>
      </c>
      <c r="AD328" s="3">
        <v>11.180833333333331</v>
      </c>
      <c r="AE328" s="3">
        <v>731</v>
      </c>
      <c r="AF328" s="3">
        <v>-1.6419999999999999</v>
      </c>
      <c r="AG328" s="3">
        <v>2358</v>
      </c>
      <c r="AH328" s="3">
        <v>63.28</v>
      </c>
      <c r="AI328" s="3">
        <v>1413</v>
      </c>
      <c r="AJ328" s="3">
        <v>-2.4460000000000002</v>
      </c>
      <c r="AK328" s="3">
        <v>-3.6680000000000001</v>
      </c>
      <c r="AL328" s="3">
        <v>-0.28199999999999997</v>
      </c>
      <c r="AM328" s="3">
        <v>-1.7410000000000001</v>
      </c>
      <c r="AN328" s="3">
        <v>-1.5680000000000001</v>
      </c>
      <c r="AO328" s="3">
        <v>-0.30499999999999999</v>
      </c>
      <c r="AP328" s="3">
        <v>0.222</v>
      </c>
      <c r="AQ328" s="3">
        <v>1.1919999999999999</v>
      </c>
      <c r="AR328" s="3">
        <v>1E-3</v>
      </c>
      <c r="AS328" s="3">
        <v>3.0000000000000001E-3</v>
      </c>
      <c r="AT328" s="3">
        <v>0.01</v>
      </c>
      <c r="AU328" s="3">
        <v>2.8000000000000001E-2</v>
      </c>
      <c r="AV328" s="3">
        <v>0.24399999999999999</v>
      </c>
      <c r="AW328" s="3">
        <v>0.61899999999999999</v>
      </c>
      <c r="AX328" s="3">
        <v>8.5000000000000006E-2</v>
      </c>
      <c r="AY328" s="3">
        <v>8.9999999999999993E-3</v>
      </c>
      <c r="AZ328" s="3">
        <v>0.67</v>
      </c>
      <c r="BA328" s="3"/>
      <c r="BB328" s="3">
        <v>12.15</v>
      </c>
      <c r="BC328" s="3">
        <v>2876</v>
      </c>
      <c r="BD328" s="3"/>
      <c r="BE328" s="3"/>
      <c r="BF328" s="65">
        <f>PPTest!H328</f>
        <v>363</v>
      </c>
      <c r="BH328" s="16">
        <v>6.13</v>
      </c>
      <c r="BI328" s="16">
        <f t="shared" si="236"/>
        <v>12.3826</v>
      </c>
      <c r="BJ328" s="17">
        <f t="shared" si="237"/>
        <v>4.24</v>
      </c>
      <c r="BK328" s="17">
        <f t="shared" si="238"/>
        <v>8.09</v>
      </c>
      <c r="BM328" s="1">
        <f t="shared" si="239"/>
        <v>95.9</v>
      </c>
      <c r="BN328" s="1">
        <f t="shared" si="240"/>
        <v>76.2</v>
      </c>
      <c r="BO328" s="1">
        <f t="shared" si="241"/>
        <v>59.5</v>
      </c>
      <c r="BP328" s="62">
        <f t="shared" ref="BP328:BP347" si="243">ROUND(0.6105*(EXP((17.273*R328)/(R328+237.3)))*BO328/100, 3)</f>
        <v>0.56100000000000005</v>
      </c>
      <c r="BQ328" s="62">
        <f t="shared" si="242"/>
        <v>0.38200000000000001</v>
      </c>
      <c r="BS328" s="48">
        <f t="shared" si="235"/>
        <v>1.4</v>
      </c>
      <c r="BT328" s="8">
        <v>1</v>
      </c>
      <c r="BU328" s="51">
        <v>0</v>
      </c>
      <c r="BV328" s="8"/>
      <c r="BW328" s="16">
        <f t="shared" si="202"/>
        <v>4.24</v>
      </c>
      <c r="BX328" s="16">
        <f t="shared" si="203"/>
        <v>8.09</v>
      </c>
      <c r="BY328" s="3">
        <f t="shared" si="204"/>
        <v>1.6</v>
      </c>
      <c r="BZ328" s="3">
        <f t="shared" si="205"/>
        <v>1.1000000000000001</v>
      </c>
      <c r="CA328" s="3">
        <f t="shared" si="206"/>
        <v>1</v>
      </c>
      <c r="CB328" s="3">
        <f t="shared" si="207"/>
        <v>-0.2</v>
      </c>
      <c r="CC328" s="3">
        <f t="shared" si="208"/>
        <v>-0.2</v>
      </c>
      <c r="CD328" s="3">
        <f t="shared" si="209"/>
        <v>0.3</v>
      </c>
      <c r="CE328" s="3">
        <f t="shared" si="210"/>
        <v>1.3</v>
      </c>
      <c r="CF328" s="23">
        <f t="shared" si="211"/>
        <v>76.2</v>
      </c>
      <c r="CG328" s="1">
        <f t="shared" si="212"/>
        <v>6.1</v>
      </c>
      <c r="CH328" s="1">
        <f t="shared" si="213"/>
        <v>5.4</v>
      </c>
      <c r="CI328" s="1">
        <f t="shared" si="214"/>
        <v>5.9</v>
      </c>
      <c r="CJ328" s="1">
        <f t="shared" si="215"/>
        <v>-0.1</v>
      </c>
      <c r="CK328" s="1">
        <f t="shared" si="216"/>
        <v>-0.1</v>
      </c>
      <c r="CL328" s="1">
        <f t="shared" si="217"/>
        <v>0.4</v>
      </c>
      <c r="CM328" s="1">
        <f t="shared" si="218"/>
        <v>1.4</v>
      </c>
      <c r="CN328" s="2">
        <f t="shared" si="219"/>
        <v>95.9</v>
      </c>
      <c r="CO328" s="1">
        <f t="shared" si="220"/>
        <v>-1.6</v>
      </c>
      <c r="CP328" s="1">
        <f t="shared" si="221"/>
        <v>-2.4</v>
      </c>
      <c r="CQ328" s="1">
        <f t="shared" si="222"/>
        <v>-3.7</v>
      </c>
      <c r="CR328" s="1">
        <f t="shared" si="223"/>
        <v>-0.3</v>
      </c>
      <c r="CS328" s="1">
        <f t="shared" si="224"/>
        <v>-0.3</v>
      </c>
      <c r="CT328" s="1">
        <f t="shared" si="225"/>
        <v>0.2</v>
      </c>
      <c r="CU328" s="1">
        <f t="shared" si="226"/>
        <v>1.2</v>
      </c>
      <c r="CV328" s="2">
        <f t="shared" si="227"/>
        <v>59.5</v>
      </c>
      <c r="CW328" s="18">
        <f t="shared" si="228"/>
        <v>363</v>
      </c>
      <c r="CX328" s="1">
        <f>ROUND(PPTest!K328,1)</f>
        <v>1.5</v>
      </c>
      <c r="CY328" s="17">
        <f t="shared" si="229"/>
        <v>3.94</v>
      </c>
      <c r="CZ328" s="17">
        <f t="shared" si="230"/>
        <v>11.18</v>
      </c>
      <c r="DA328" s="20">
        <f t="shared" si="231"/>
        <v>0.56100000000000005</v>
      </c>
      <c r="DB328" s="20">
        <f t="shared" si="232"/>
        <v>0.38200000000000001</v>
      </c>
      <c r="DC328" s="16">
        <f t="shared" si="233"/>
        <v>12.15</v>
      </c>
      <c r="DW328" s="1">
        <v>0.8</v>
      </c>
      <c r="DX328" s="1">
        <v>6.7</v>
      </c>
      <c r="DY328" s="1">
        <v>-2</v>
      </c>
    </row>
    <row r="329" spans="1:129" x14ac:dyDescent="0.2">
      <c r="A329" s="40">
        <v>35022</v>
      </c>
      <c r="B329" s="42">
        <v>323</v>
      </c>
      <c r="C329" s="3">
        <v>6.57</v>
      </c>
      <c r="D329" s="3">
        <v>11.34</v>
      </c>
      <c r="E329" s="3">
        <v>-4.5439999999999996</v>
      </c>
      <c r="F329" s="3">
        <v>89.9</v>
      </c>
      <c r="G329" s="3">
        <v>-5.3070000000000004</v>
      </c>
      <c r="H329" s="3">
        <v>-5.9</v>
      </c>
      <c r="I329" s="3">
        <v>-0.21199999999999999</v>
      </c>
      <c r="J329" s="3">
        <v>-4.7009999999999996</v>
      </c>
      <c r="K329" s="3">
        <v>-4.0860000000000003</v>
      </c>
      <c r="L329" s="3">
        <v>-0.22700000000000001</v>
      </c>
      <c r="M329" s="3">
        <v>0.25</v>
      </c>
      <c r="N329" s="3">
        <v>1.212</v>
      </c>
      <c r="O329" s="3">
        <v>0</v>
      </c>
      <c r="P329" s="3">
        <v>1.4836666666666667</v>
      </c>
      <c r="Q329" s="3"/>
      <c r="R329" s="3">
        <v>3.367</v>
      </c>
      <c r="S329" s="3">
        <v>1442</v>
      </c>
      <c r="T329" s="3">
        <v>103.5</v>
      </c>
      <c r="U329" s="3">
        <v>552</v>
      </c>
      <c r="V329" s="3">
        <v>2.2429999999999999</v>
      </c>
      <c r="W329" s="3">
        <v>3.843</v>
      </c>
      <c r="X329" s="3">
        <v>-5.8999999999999997E-2</v>
      </c>
      <c r="Y329" s="3">
        <v>9.44</v>
      </c>
      <c r="Z329" s="3">
        <v>7.01</v>
      </c>
      <c r="AA329" s="3">
        <v>-6.3E-2</v>
      </c>
      <c r="AB329" s="3">
        <v>0.44800000000000001</v>
      </c>
      <c r="AC329" s="3">
        <v>1.34</v>
      </c>
      <c r="AD329" s="3">
        <v>2.9008333333333334</v>
      </c>
      <c r="AE329" s="3">
        <v>1206</v>
      </c>
      <c r="AF329" s="3">
        <v>-11.24</v>
      </c>
      <c r="AG329" s="3">
        <v>2343</v>
      </c>
      <c r="AH329" s="3">
        <v>39.630000000000003</v>
      </c>
      <c r="AI329" s="3">
        <v>1439</v>
      </c>
      <c r="AJ329" s="3">
        <v>-12.11</v>
      </c>
      <c r="AK329" s="3">
        <v>-13.02</v>
      </c>
      <c r="AL329" s="3">
        <v>-0.316</v>
      </c>
      <c r="AM329" s="3">
        <v>-13.08</v>
      </c>
      <c r="AN329" s="3">
        <v>-12.72</v>
      </c>
      <c r="AO329" s="3">
        <v>-0.40400000000000003</v>
      </c>
      <c r="AP329" s="3">
        <v>0.111</v>
      </c>
      <c r="AQ329" s="3">
        <v>1.0349999999999999</v>
      </c>
      <c r="AR329" s="3">
        <v>7.0000000000000001E-3</v>
      </c>
      <c r="AS329" s="3">
        <v>0.254</v>
      </c>
      <c r="AT329" s="3">
        <v>0.35299999999999998</v>
      </c>
      <c r="AU329" s="3">
        <v>4.2000000000000003E-2</v>
      </c>
      <c r="AV329" s="3">
        <v>0.1</v>
      </c>
      <c r="AW329" s="3">
        <v>0.20300000000000001</v>
      </c>
      <c r="AX329" s="3">
        <v>3.6999999999999998E-2</v>
      </c>
      <c r="AY329" s="3">
        <v>4.0000000000000001E-3</v>
      </c>
      <c r="AZ329" s="3">
        <v>-5.968</v>
      </c>
      <c r="BA329" s="3"/>
      <c r="BB329" s="3">
        <v>12.11</v>
      </c>
      <c r="BC329" s="3">
        <v>2876</v>
      </c>
      <c r="BD329" s="3"/>
      <c r="BE329" s="3"/>
      <c r="BF329" s="65">
        <f>PPTest!H329</f>
        <v>371</v>
      </c>
      <c r="BH329" s="16">
        <v>6.02</v>
      </c>
      <c r="BI329" s="16">
        <f t="shared" si="236"/>
        <v>12.160399999999999</v>
      </c>
      <c r="BJ329" s="17">
        <f t="shared" si="237"/>
        <v>6.57</v>
      </c>
      <c r="BK329" s="17">
        <f t="shared" si="238"/>
        <v>12.25</v>
      </c>
      <c r="BM329" s="1">
        <f t="shared" si="239"/>
        <v>96.6</v>
      </c>
      <c r="BN329" s="1">
        <f t="shared" si="240"/>
        <v>84.1</v>
      </c>
      <c r="BO329" s="1">
        <f t="shared" si="241"/>
        <v>37.6</v>
      </c>
      <c r="BP329" s="62">
        <f t="shared" si="243"/>
        <v>0.29199999999999998</v>
      </c>
      <c r="BQ329" s="62">
        <f t="shared" si="242"/>
        <v>0.48499999999999999</v>
      </c>
      <c r="BS329" s="48">
        <f t="shared" si="235"/>
        <v>1</v>
      </c>
      <c r="BT329" s="8">
        <v>0.7</v>
      </c>
      <c r="BU329" s="51">
        <v>0</v>
      </c>
      <c r="BV329" s="8"/>
      <c r="BW329" s="16">
        <f t="shared" si="202"/>
        <v>6.57</v>
      </c>
      <c r="BX329" s="16">
        <f t="shared" si="203"/>
        <v>12.25</v>
      </c>
      <c r="BY329" s="3">
        <f t="shared" si="204"/>
        <v>-4.5</v>
      </c>
      <c r="BZ329" s="3">
        <f t="shared" si="205"/>
        <v>-5.3</v>
      </c>
      <c r="CA329" s="3">
        <f t="shared" si="206"/>
        <v>-5.9</v>
      </c>
      <c r="CB329" s="3">
        <f t="shared" si="207"/>
        <v>-0.2</v>
      </c>
      <c r="CC329" s="3">
        <f t="shared" si="208"/>
        <v>-0.2</v>
      </c>
      <c r="CD329" s="3">
        <f t="shared" si="209"/>
        <v>0.3</v>
      </c>
      <c r="CE329" s="3">
        <f t="shared" si="210"/>
        <v>1.2</v>
      </c>
      <c r="CF329" s="23">
        <f t="shared" si="211"/>
        <v>84.1</v>
      </c>
      <c r="CG329" s="1">
        <f t="shared" si="212"/>
        <v>3.4</v>
      </c>
      <c r="CH329" s="1">
        <f t="shared" si="213"/>
        <v>2.2000000000000002</v>
      </c>
      <c r="CI329" s="1">
        <f t="shared" si="214"/>
        <v>3.8</v>
      </c>
      <c r="CJ329" s="1">
        <f t="shared" si="215"/>
        <v>-0.1</v>
      </c>
      <c r="CK329" s="1">
        <f t="shared" si="216"/>
        <v>-0.1</v>
      </c>
      <c r="CL329" s="1">
        <f t="shared" si="217"/>
        <v>0.4</v>
      </c>
      <c r="CM329" s="1">
        <f t="shared" si="218"/>
        <v>1.3</v>
      </c>
      <c r="CN329" s="2">
        <f t="shared" si="219"/>
        <v>96.6</v>
      </c>
      <c r="CO329" s="1">
        <f t="shared" si="220"/>
        <v>-11.2</v>
      </c>
      <c r="CP329" s="1">
        <f t="shared" si="221"/>
        <v>-12.1</v>
      </c>
      <c r="CQ329" s="1">
        <f t="shared" si="222"/>
        <v>-13</v>
      </c>
      <c r="CR329" s="1">
        <f t="shared" si="223"/>
        <v>-0.3</v>
      </c>
      <c r="CS329" s="1">
        <f t="shared" si="224"/>
        <v>-0.4</v>
      </c>
      <c r="CT329" s="1">
        <f t="shared" si="225"/>
        <v>0.1</v>
      </c>
      <c r="CU329" s="1">
        <f t="shared" si="226"/>
        <v>1</v>
      </c>
      <c r="CV329" s="2">
        <f t="shared" si="227"/>
        <v>37.6</v>
      </c>
      <c r="CW329" s="18">
        <f t="shared" si="228"/>
        <v>371</v>
      </c>
      <c r="CX329" s="1">
        <f>ROUND(PPTest!K329,1)</f>
        <v>1.1000000000000001</v>
      </c>
      <c r="CY329" s="17">
        <f t="shared" si="229"/>
        <v>1.48</v>
      </c>
      <c r="CZ329" s="17">
        <f t="shared" si="230"/>
        <v>2.9</v>
      </c>
      <c r="DA329" s="20">
        <f t="shared" si="231"/>
        <v>0.29199999999999998</v>
      </c>
      <c r="DB329" s="20">
        <f t="shared" si="232"/>
        <v>0.48499999999999999</v>
      </c>
      <c r="DC329" s="16">
        <f t="shared" si="233"/>
        <v>12.11</v>
      </c>
      <c r="DW329" s="1">
        <v>-3.3</v>
      </c>
      <c r="DX329" s="1">
        <v>4.5</v>
      </c>
      <c r="DY329" s="1">
        <v>-8.9</v>
      </c>
    </row>
    <row r="330" spans="1:129" x14ac:dyDescent="0.2">
      <c r="A330" s="40">
        <v>35023</v>
      </c>
      <c r="B330" s="42">
        <v>324</v>
      </c>
      <c r="C330" s="3">
        <v>6.5529999999999999</v>
      </c>
      <c r="D330" s="3">
        <v>11.19</v>
      </c>
      <c r="E330" s="3">
        <v>-4.0940000000000003</v>
      </c>
      <c r="F330" s="3">
        <v>69.099999999999994</v>
      </c>
      <c r="G330" s="3">
        <v>-5.2389999999999999</v>
      </c>
      <c r="H330" s="3">
        <v>-6.0289999999999999</v>
      </c>
      <c r="I330" s="3">
        <v>-0.39900000000000002</v>
      </c>
      <c r="J330" s="3">
        <v>-5.391</v>
      </c>
      <c r="K330" s="3">
        <v>-4.7009999999999996</v>
      </c>
      <c r="L330" s="3">
        <v>-0.23200000000000001</v>
      </c>
      <c r="M330" s="3">
        <v>0.23200000000000001</v>
      </c>
      <c r="N330" s="3">
        <v>1.161</v>
      </c>
      <c r="O330" s="3">
        <v>0</v>
      </c>
      <c r="P330" s="3">
        <v>1.8991666666666669</v>
      </c>
      <c r="Q330" s="3"/>
      <c r="R330" s="3">
        <v>9.1199999999999992</v>
      </c>
      <c r="S330" s="3">
        <v>1329</v>
      </c>
      <c r="T330" s="3">
        <v>101.7</v>
      </c>
      <c r="U330" s="3">
        <v>120</v>
      </c>
      <c r="V330" s="3">
        <v>7.57</v>
      </c>
      <c r="W330" s="3">
        <v>8.4499999999999993</v>
      </c>
      <c r="X330" s="3">
        <v>-0.17899999999999999</v>
      </c>
      <c r="Y330" s="3">
        <v>12.93</v>
      </c>
      <c r="Z330" s="3">
        <v>10.64</v>
      </c>
      <c r="AA330" s="3">
        <v>2.8000000000000001E-2</v>
      </c>
      <c r="AB330" s="3">
        <v>0.52600000000000002</v>
      </c>
      <c r="AC330" s="3">
        <v>1.3939999999999999</v>
      </c>
      <c r="AD330" s="3">
        <v>3.7141666666666668</v>
      </c>
      <c r="AE330" s="3">
        <v>928</v>
      </c>
      <c r="AF330" s="3">
        <v>-12.21</v>
      </c>
      <c r="AG330" s="3">
        <v>631</v>
      </c>
      <c r="AH330" s="3">
        <v>12.74</v>
      </c>
      <c r="AI330" s="3">
        <v>1228</v>
      </c>
      <c r="AJ330" s="3">
        <v>-13.34</v>
      </c>
      <c r="AK330" s="3">
        <v>-14.34</v>
      </c>
      <c r="AL330" s="3">
        <v>-0.67200000000000004</v>
      </c>
      <c r="AM330" s="3">
        <v>-13.97</v>
      </c>
      <c r="AN330" s="3">
        <v>-13.67</v>
      </c>
      <c r="AO330" s="3">
        <v>-0.47499999999999998</v>
      </c>
      <c r="AP330" s="3">
        <v>0.03</v>
      </c>
      <c r="AQ330" s="3">
        <v>0.94499999999999995</v>
      </c>
      <c r="AR330" s="3">
        <v>2.5999999999999999E-2</v>
      </c>
      <c r="AS330" s="3">
        <v>0.35199999999999998</v>
      </c>
      <c r="AT330" s="3">
        <v>0.47599999999999998</v>
      </c>
      <c r="AU330" s="3">
        <v>3.5000000000000003E-2</v>
      </c>
      <c r="AV330" s="3">
        <v>2.8000000000000001E-2</v>
      </c>
      <c r="AW330" s="3">
        <v>4.3999999999999997E-2</v>
      </c>
      <c r="AX330" s="3">
        <v>2.8000000000000001E-2</v>
      </c>
      <c r="AY330" s="3">
        <v>0.01</v>
      </c>
      <c r="AZ330" s="3">
        <v>-7.28</v>
      </c>
      <c r="BA330" s="3"/>
      <c r="BB330" s="3">
        <v>12.12</v>
      </c>
      <c r="BC330" s="3">
        <v>2876</v>
      </c>
      <c r="BD330" s="3"/>
      <c r="BE330" s="3"/>
      <c r="BF330" s="65">
        <f>PPTest!H330</f>
        <v>351</v>
      </c>
      <c r="BH330" s="16">
        <v>5.91</v>
      </c>
      <c r="BI330" s="16">
        <f t="shared" si="236"/>
        <v>11.9382</v>
      </c>
      <c r="BJ330" s="17">
        <f t="shared" si="237"/>
        <v>6.55</v>
      </c>
      <c r="BK330" s="17">
        <f t="shared" si="238"/>
        <v>12.09</v>
      </c>
      <c r="BM330" s="1">
        <f t="shared" si="239"/>
        <v>95</v>
      </c>
      <c r="BN330" s="1">
        <f t="shared" si="240"/>
        <v>64.8</v>
      </c>
      <c r="BO330" s="1">
        <f t="shared" si="241"/>
        <v>12.8</v>
      </c>
      <c r="BP330" s="62">
        <f t="shared" si="243"/>
        <v>0.14799999999999999</v>
      </c>
      <c r="BQ330" s="62">
        <f t="shared" si="242"/>
        <v>1.008</v>
      </c>
      <c r="BS330" s="48">
        <f t="shared" si="235"/>
        <v>0</v>
      </c>
      <c r="BT330" s="8">
        <v>0</v>
      </c>
      <c r="BU330" s="51">
        <v>0</v>
      </c>
      <c r="BV330" s="8"/>
      <c r="BW330" s="16">
        <f t="shared" si="202"/>
        <v>6.55</v>
      </c>
      <c r="BX330" s="16">
        <f t="shared" si="203"/>
        <v>12.09</v>
      </c>
      <c r="BY330" s="3">
        <f t="shared" si="204"/>
        <v>-4.0999999999999996</v>
      </c>
      <c r="BZ330" s="3">
        <f t="shared" si="205"/>
        <v>-5.2</v>
      </c>
      <c r="CA330" s="3">
        <f t="shared" si="206"/>
        <v>-6</v>
      </c>
      <c r="CB330" s="3">
        <f t="shared" si="207"/>
        <v>-0.4</v>
      </c>
      <c r="CC330" s="3">
        <f t="shared" si="208"/>
        <v>-0.2</v>
      </c>
      <c r="CD330" s="3">
        <f t="shared" si="209"/>
        <v>0.2</v>
      </c>
      <c r="CE330" s="3">
        <f t="shared" si="210"/>
        <v>1.2</v>
      </c>
      <c r="CF330" s="23">
        <f t="shared" si="211"/>
        <v>64.8</v>
      </c>
      <c r="CG330" s="1">
        <f t="shared" si="212"/>
        <v>9.1</v>
      </c>
      <c r="CH330" s="1">
        <f t="shared" si="213"/>
        <v>7.6</v>
      </c>
      <c r="CI330" s="1">
        <f t="shared" si="214"/>
        <v>8.5</v>
      </c>
      <c r="CJ330" s="1">
        <f t="shared" si="215"/>
        <v>-0.2</v>
      </c>
      <c r="CK330" s="1">
        <f t="shared" si="216"/>
        <v>0</v>
      </c>
      <c r="CL330" s="1">
        <f t="shared" si="217"/>
        <v>0.5</v>
      </c>
      <c r="CM330" s="1">
        <f t="shared" si="218"/>
        <v>1.4</v>
      </c>
      <c r="CN330" s="2">
        <f t="shared" si="219"/>
        <v>95</v>
      </c>
      <c r="CO330" s="1">
        <f t="shared" si="220"/>
        <v>-12.2</v>
      </c>
      <c r="CP330" s="1">
        <f t="shared" si="221"/>
        <v>-13.3</v>
      </c>
      <c r="CQ330" s="1">
        <f t="shared" si="222"/>
        <v>-14.3</v>
      </c>
      <c r="CR330" s="1">
        <f t="shared" si="223"/>
        <v>-0.7</v>
      </c>
      <c r="CS330" s="1">
        <f t="shared" si="224"/>
        <v>-0.5</v>
      </c>
      <c r="CT330" s="1">
        <f t="shared" si="225"/>
        <v>0</v>
      </c>
      <c r="CU330" s="1">
        <f t="shared" si="226"/>
        <v>0.9</v>
      </c>
      <c r="CV330" s="2">
        <f t="shared" si="227"/>
        <v>12.8</v>
      </c>
      <c r="CW330" s="18">
        <f t="shared" si="228"/>
        <v>351</v>
      </c>
      <c r="CX330" s="1">
        <f>ROUND(PPTest!K330,1)</f>
        <v>0</v>
      </c>
      <c r="CY330" s="17">
        <f t="shared" si="229"/>
        <v>1.9</v>
      </c>
      <c r="CZ330" s="17">
        <f t="shared" si="230"/>
        <v>3.71</v>
      </c>
      <c r="DA330" s="20">
        <f t="shared" si="231"/>
        <v>0.14799999999999999</v>
      </c>
      <c r="DB330" s="20">
        <f t="shared" si="232"/>
        <v>1.008</v>
      </c>
      <c r="DC330" s="16">
        <f t="shared" si="233"/>
        <v>12.12</v>
      </c>
      <c r="DW330" s="1">
        <v>-2.6</v>
      </c>
      <c r="DX330" s="1">
        <v>8</v>
      </c>
      <c r="DY330" s="1">
        <v>-12.4</v>
      </c>
    </row>
    <row r="331" spans="1:129" x14ac:dyDescent="0.2">
      <c r="A331" s="40">
        <v>35024</v>
      </c>
      <c r="B331" s="42">
        <v>325</v>
      </c>
      <c r="C331" s="3">
        <v>1.921</v>
      </c>
      <c r="D331" s="3">
        <v>3.657</v>
      </c>
      <c r="E331" s="3">
        <v>-0.70699999999999996</v>
      </c>
      <c r="F331" s="3">
        <v>83.4</v>
      </c>
      <c r="G331" s="3">
        <v>-1.5149999999999999</v>
      </c>
      <c r="H331" s="3">
        <v>-1.8180000000000001</v>
      </c>
      <c r="I331" s="3">
        <v>-0.68799999999999994</v>
      </c>
      <c r="J331" s="3">
        <v>-2.2869999999999999</v>
      </c>
      <c r="K331" s="3">
        <v>-2.1869999999999998</v>
      </c>
      <c r="L331" s="3">
        <v>-0.21199999999999999</v>
      </c>
      <c r="M331" s="3">
        <v>0.26</v>
      </c>
      <c r="N331" s="3">
        <v>1.157</v>
      </c>
      <c r="O331" s="3">
        <v>0</v>
      </c>
      <c r="P331" s="3">
        <v>1.3496666666666668</v>
      </c>
      <c r="Q331" s="3"/>
      <c r="R331" s="3">
        <v>5.1909999999999998</v>
      </c>
      <c r="S331" s="3">
        <v>1927</v>
      </c>
      <c r="T331" s="3">
        <v>104.2</v>
      </c>
      <c r="U331" s="3">
        <v>0</v>
      </c>
      <c r="V331" s="3">
        <v>4.5069999999999997</v>
      </c>
      <c r="W331" s="3">
        <v>4.4669999999999996</v>
      </c>
      <c r="X331" s="3">
        <v>-0.53600000000000003</v>
      </c>
      <c r="Y331" s="3">
        <v>3.9279999999999999</v>
      </c>
      <c r="Z331" s="3">
        <v>4.1689999999999996</v>
      </c>
      <c r="AA331" s="3">
        <v>-0.104</v>
      </c>
      <c r="AB331" s="3">
        <v>0.36</v>
      </c>
      <c r="AC331" s="3">
        <v>1.2669999999999999</v>
      </c>
      <c r="AD331" s="3">
        <v>4.4474999999999998</v>
      </c>
      <c r="AE331" s="3">
        <v>1922</v>
      </c>
      <c r="AF331" s="3">
        <v>-6.173</v>
      </c>
      <c r="AG331" s="3">
        <v>233</v>
      </c>
      <c r="AH331" s="3">
        <v>57.21</v>
      </c>
      <c r="AI331" s="3">
        <v>1145</v>
      </c>
      <c r="AJ331" s="3">
        <v>-7.57</v>
      </c>
      <c r="AK331" s="3">
        <v>-8.57</v>
      </c>
      <c r="AL331" s="3">
        <v>-0.83199999999999996</v>
      </c>
      <c r="AM331" s="3">
        <v>-8.11</v>
      </c>
      <c r="AN331" s="3">
        <v>-7.86</v>
      </c>
      <c r="AO331" s="3">
        <v>-0.29099999999999998</v>
      </c>
      <c r="AP331" s="3">
        <v>0.17199999999999999</v>
      </c>
      <c r="AQ331" s="3">
        <v>1.069</v>
      </c>
      <c r="AR331" s="3">
        <v>9.7000000000000003E-2</v>
      </c>
      <c r="AS331" s="3">
        <v>0.38200000000000001</v>
      </c>
      <c r="AT331" s="3">
        <v>0.20300000000000001</v>
      </c>
      <c r="AU331" s="3">
        <v>4.9000000000000002E-2</v>
      </c>
      <c r="AV331" s="3">
        <v>6.0999999999999999E-2</v>
      </c>
      <c r="AW331" s="3">
        <v>0.14000000000000001</v>
      </c>
      <c r="AX331" s="3">
        <v>3.5000000000000003E-2</v>
      </c>
      <c r="AY331" s="3">
        <v>3.3000000000000002E-2</v>
      </c>
      <c r="AZ331" s="3">
        <v>-2.609</v>
      </c>
      <c r="BA331" s="3"/>
      <c r="BB331" s="3">
        <v>12.14</v>
      </c>
      <c r="BC331" s="3">
        <v>2876</v>
      </c>
      <c r="BD331" s="3"/>
      <c r="BE331" s="3"/>
      <c r="BF331" s="65">
        <f>PPTest!H331</f>
        <v>331</v>
      </c>
      <c r="BH331" s="16">
        <v>5.81</v>
      </c>
      <c r="BI331" s="16">
        <f t="shared" si="236"/>
        <v>11.7362</v>
      </c>
      <c r="BJ331" s="17">
        <f t="shared" si="237"/>
        <v>1.92</v>
      </c>
      <c r="BK331" s="17">
        <f t="shared" si="238"/>
        <v>3.95</v>
      </c>
      <c r="BM331" s="1">
        <f t="shared" si="239"/>
        <v>97.3</v>
      </c>
      <c r="BN331" s="1">
        <f t="shared" si="240"/>
        <v>78.099999999999994</v>
      </c>
      <c r="BO331" s="1">
        <f t="shared" si="241"/>
        <v>53.9</v>
      </c>
      <c r="BP331" s="62">
        <f t="shared" si="243"/>
        <v>0.47599999999999998</v>
      </c>
      <c r="BQ331" s="62">
        <f t="shared" si="242"/>
        <v>0.40699999999999997</v>
      </c>
      <c r="BS331" s="48">
        <f t="shared" si="235"/>
        <v>0</v>
      </c>
      <c r="BT331" s="8">
        <v>0</v>
      </c>
      <c r="BU331" s="51">
        <v>0</v>
      </c>
      <c r="BV331" s="8"/>
      <c r="BW331" s="16">
        <f t="shared" si="202"/>
        <v>1.92</v>
      </c>
      <c r="BX331" s="16">
        <f t="shared" si="203"/>
        <v>3.95</v>
      </c>
      <c r="BY331" s="3">
        <f t="shared" si="204"/>
        <v>-0.7</v>
      </c>
      <c r="BZ331" s="3">
        <f t="shared" si="205"/>
        <v>-1.5</v>
      </c>
      <c r="CA331" s="3">
        <f t="shared" si="206"/>
        <v>-1.8</v>
      </c>
      <c r="CB331" s="3">
        <f t="shared" si="207"/>
        <v>-0.7</v>
      </c>
      <c r="CC331" s="3">
        <f t="shared" si="208"/>
        <v>-0.2</v>
      </c>
      <c r="CD331" s="3">
        <f t="shared" si="209"/>
        <v>0.3</v>
      </c>
      <c r="CE331" s="3">
        <f t="shared" si="210"/>
        <v>1.2</v>
      </c>
      <c r="CF331" s="23">
        <f t="shared" si="211"/>
        <v>78.099999999999994</v>
      </c>
      <c r="CG331" s="1">
        <f t="shared" si="212"/>
        <v>5.2</v>
      </c>
      <c r="CH331" s="1">
        <f t="shared" si="213"/>
        <v>4.5</v>
      </c>
      <c r="CI331" s="1">
        <f t="shared" si="214"/>
        <v>4.5</v>
      </c>
      <c r="CJ331" s="1">
        <f t="shared" si="215"/>
        <v>-0.5</v>
      </c>
      <c r="CK331" s="1">
        <f t="shared" si="216"/>
        <v>-0.1</v>
      </c>
      <c r="CL331" s="1">
        <f t="shared" si="217"/>
        <v>0.4</v>
      </c>
      <c r="CM331" s="1">
        <f t="shared" si="218"/>
        <v>1.3</v>
      </c>
      <c r="CN331" s="2">
        <f t="shared" si="219"/>
        <v>97.3</v>
      </c>
      <c r="CO331" s="1">
        <f t="shared" si="220"/>
        <v>-6.2</v>
      </c>
      <c r="CP331" s="1">
        <f t="shared" si="221"/>
        <v>-7.6</v>
      </c>
      <c r="CQ331" s="1">
        <f t="shared" si="222"/>
        <v>-8.6</v>
      </c>
      <c r="CR331" s="1">
        <f t="shared" si="223"/>
        <v>-0.8</v>
      </c>
      <c r="CS331" s="1">
        <f t="shared" si="224"/>
        <v>-0.3</v>
      </c>
      <c r="CT331" s="1">
        <f t="shared" si="225"/>
        <v>0.2</v>
      </c>
      <c r="CU331" s="1">
        <f t="shared" si="226"/>
        <v>1.1000000000000001</v>
      </c>
      <c r="CV331" s="2">
        <f t="shared" si="227"/>
        <v>53.9</v>
      </c>
      <c r="CW331" s="18">
        <f t="shared" si="228"/>
        <v>331</v>
      </c>
      <c r="CX331" s="1">
        <f>ROUND(PPTest!K331,1)</f>
        <v>0</v>
      </c>
      <c r="CY331" s="17">
        <f t="shared" si="229"/>
        <v>1.35</v>
      </c>
      <c r="CZ331" s="17">
        <f t="shared" si="230"/>
        <v>4.45</v>
      </c>
      <c r="DA331" s="20">
        <f t="shared" si="231"/>
        <v>0.47599999999999998</v>
      </c>
      <c r="DB331" s="20">
        <f t="shared" si="232"/>
        <v>0.40699999999999997</v>
      </c>
      <c r="DC331" s="16">
        <f t="shared" si="233"/>
        <v>12.14</v>
      </c>
      <c r="DW331" s="1">
        <v>0.5</v>
      </c>
      <c r="DX331" s="1">
        <v>6.8</v>
      </c>
      <c r="DY331" s="1">
        <v>-5.9</v>
      </c>
    </row>
    <row r="332" spans="1:129" x14ac:dyDescent="0.2">
      <c r="A332" s="40">
        <v>35025</v>
      </c>
      <c r="B332" s="42">
        <v>326</v>
      </c>
      <c r="C332" s="3">
        <v>1.1000000000000001</v>
      </c>
      <c r="D332" s="3">
        <v>2.13</v>
      </c>
      <c r="E332" s="3">
        <v>1.014</v>
      </c>
      <c r="F332" s="3">
        <v>105.5</v>
      </c>
      <c r="G332" s="3">
        <v>0.48799999999999999</v>
      </c>
      <c r="H332" s="3">
        <v>0.32</v>
      </c>
      <c r="I332" s="3">
        <v>-0.311</v>
      </c>
      <c r="J332" s="3">
        <v>0.39500000000000002</v>
      </c>
      <c r="K332" s="3">
        <v>0.45700000000000002</v>
      </c>
      <c r="L332" s="3">
        <v>-0.17899999999999999</v>
      </c>
      <c r="M332" s="3">
        <v>0.30599999999999999</v>
      </c>
      <c r="N332" s="3">
        <v>1.173</v>
      </c>
      <c r="O332" s="3">
        <v>0</v>
      </c>
      <c r="P332" s="3">
        <v>0.99016666666666664</v>
      </c>
      <c r="Q332" s="3"/>
      <c r="R332" s="3">
        <v>2.706</v>
      </c>
      <c r="S332" s="3">
        <v>2306</v>
      </c>
      <c r="T332" s="3">
        <v>106.8</v>
      </c>
      <c r="U332" s="3">
        <v>2059</v>
      </c>
      <c r="V332" s="3">
        <v>2.1070000000000002</v>
      </c>
      <c r="W332" s="3">
        <v>1.748</v>
      </c>
      <c r="X332" s="3">
        <v>-0.188</v>
      </c>
      <c r="Y332" s="3">
        <v>2.0430000000000001</v>
      </c>
      <c r="Z332" s="3">
        <v>2.25</v>
      </c>
      <c r="AA332" s="3">
        <v>-0.13300000000000001</v>
      </c>
      <c r="AB332" s="3">
        <v>0.35</v>
      </c>
      <c r="AC332" s="3">
        <v>1.222</v>
      </c>
      <c r="AD332" s="3">
        <v>4.434166666666667</v>
      </c>
      <c r="AE332" s="3">
        <v>2159</v>
      </c>
      <c r="AF332" s="3">
        <v>-0.14699999999999999</v>
      </c>
      <c r="AG332" s="3">
        <v>2038</v>
      </c>
      <c r="AH332" s="3">
        <v>98.8</v>
      </c>
      <c r="AI332" s="3">
        <v>2324</v>
      </c>
      <c r="AJ332" s="3">
        <v>-0.66100000000000003</v>
      </c>
      <c r="AK332" s="3">
        <v>-0.69599999999999995</v>
      </c>
      <c r="AL332" s="3">
        <v>-0.55400000000000005</v>
      </c>
      <c r="AM332" s="3">
        <v>-0.44600000000000001</v>
      </c>
      <c r="AN332" s="3">
        <v>-0.49199999999999999</v>
      </c>
      <c r="AO332" s="3">
        <v>-0.21099999999999999</v>
      </c>
      <c r="AP332" s="3">
        <v>0.27100000000000002</v>
      </c>
      <c r="AQ332" s="3">
        <v>1.1279999999999999</v>
      </c>
      <c r="AR332" s="3">
        <v>5.8000000000000003E-2</v>
      </c>
      <c r="AS332" s="3">
        <v>0.124</v>
      </c>
      <c r="AT332" s="3">
        <v>0.107</v>
      </c>
      <c r="AU332" s="3">
        <v>8.1000000000000003E-2</v>
      </c>
      <c r="AV332" s="3">
        <v>0.19600000000000001</v>
      </c>
      <c r="AW332" s="3">
        <v>0.313</v>
      </c>
      <c r="AX332" s="3">
        <v>8.5000000000000006E-2</v>
      </c>
      <c r="AY332" s="3">
        <v>3.5999999999999997E-2</v>
      </c>
      <c r="AZ332" s="3">
        <v>0.38600000000000001</v>
      </c>
      <c r="BA332" s="3"/>
      <c r="BB332" s="3">
        <v>12.13</v>
      </c>
      <c r="BC332" s="3">
        <v>2876</v>
      </c>
      <c r="BD332" s="3"/>
      <c r="BE332" s="3"/>
      <c r="BF332" s="65">
        <f>PPTest!H332</f>
        <v>311</v>
      </c>
      <c r="BH332" s="16">
        <v>5.71</v>
      </c>
      <c r="BI332" s="16">
        <f t="shared" si="236"/>
        <v>11.5342</v>
      </c>
      <c r="BJ332" s="17">
        <f t="shared" si="237"/>
        <v>1.1000000000000001</v>
      </c>
      <c r="BK332" s="17">
        <f t="shared" si="238"/>
        <v>2.2999999999999998</v>
      </c>
      <c r="BM332" s="1">
        <f t="shared" si="239"/>
        <v>99.7</v>
      </c>
      <c r="BN332" s="1">
        <f t="shared" si="240"/>
        <v>98.5</v>
      </c>
      <c r="BO332" s="1">
        <f t="shared" si="241"/>
        <v>92.3</v>
      </c>
      <c r="BP332" s="62">
        <f t="shared" si="243"/>
        <v>0.68500000000000005</v>
      </c>
      <c r="BQ332" s="62">
        <f t="shared" si="242"/>
        <v>5.7000000000000002E-2</v>
      </c>
      <c r="BS332" s="48">
        <f t="shared" si="235"/>
        <v>0</v>
      </c>
      <c r="BT332" s="8">
        <v>0</v>
      </c>
      <c r="BU332" s="51">
        <v>0</v>
      </c>
      <c r="BV332" s="8"/>
      <c r="BW332" s="16">
        <f t="shared" si="202"/>
        <v>1.1000000000000001</v>
      </c>
      <c r="BX332" s="16">
        <f t="shared" si="203"/>
        <v>2.2999999999999998</v>
      </c>
      <c r="BY332" s="3">
        <f t="shared" si="204"/>
        <v>1</v>
      </c>
      <c r="BZ332" s="3">
        <f t="shared" si="205"/>
        <v>0.5</v>
      </c>
      <c r="CA332" s="3">
        <f t="shared" si="206"/>
        <v>0.3</v>
      </c>
      <c r="CB332" s="3">
        <f t="shared" si="207"/>
        <v>-0.3</v>
      </c>
      <c r="CC332" s="3">
        <f t="shared" si="208"/>
        <v>-0.2</v>
      </c>
      <c r="CD332" s="3">
        <f t="shared" si="209"/>
        <v>0.3</v>
      </c>
      <c r="CE332" s="3">
        <f t="shared" si="210"/>
        <v>1.2</v>
      </c>
      <c r="CF332" s="23">
        <f t="shared" si="211"/>
        <v>98.5</v>
      </c>
      <c r="CG332" s="1">
        <f t="shared" si="212"/>
        <v>2.7</v>
      </c>
      <c r="CH332" s="1">
        <f t="shared" si="213"/>
        <v>2.1</v>
      </c>
      <c r="CI332" s="1">
        <f t="shared" si="214"/>
        <v>1.7</v>
      </c>
      <c r="CJ332" s="1">
        <f t="shared" si="215"/>
        <v>-0.2</v>
      </c>
      <c r="CK332" s="1">
        <f t="shared" si="216"/>
        <v>-0.1</v>
      </c>
      <c r="CL332" s="1">
        <f t="shared" si="217"/>
        <v>0.4</v>
      </c>
      <c r="CM332" s="1">
        <f t="shared" si="218"/>
        <v>1.2</v>
      </c>
      <c r="CN332" s="2">
        <f t="shared" si="219"/>
        <v>99.7</v>
      </c>
      <c r="CO332" s="1">
        <f t="shared" si="220"/>
        <v>-0.1</v>
      </c>
      <c r="CP332" s="1">
        <f t="shared" si="221"/>
        <v>-0.7</v>
      </c>
      <c r="CQ332" s="1">
        <f t="shared" si="222"/>
        <v>-0.7</v>
      </c>
      <c r="CR332" s="1">
        <f t="shared" si="223"/>
        <v>-0.6</v>
      </c>
      <c r="CS332" s="1">
        <f t="shared" si="224"/>
        <v>-0.2</v>
      </c>
      <c r="CT332" s="1">
        <f t="shared" si="225"/>
        <v>0.3</v>
      </c>
      <c r="CU332" s="1">
        <f t="shared" si="226"/>
        <v>1.1000000000000001</v>
      </c>
      <c r="CV332" s="2">
        <f t="shared" si="227"/>
        <v>92.3</v>
      </c>
      <c r="CW332" s="18">
        <f t="shared" si="228"/>
        <v>311</v>
      </c>
      <c r="CX332" s="1">
        <f>ROUND(PPTest!K332,1)</f>
        <v>0</v>
      </c>
      <c r="CY332" s="17">
        <f t="shared" si="229"/>
        <v>0.99</v>
      </c>
      <c r="CZ332" s="17">
        <f t="shared" si="230"/>
        <v>4.43</v>
      </c>
      <c r="DA332" s="20">
        <f t="shared" si="231"/>
        <v>0.68500000000000005</v>
      </c>
      <c r="DB332" s="20">
        <f t="shared" si="232"/>
        <v>5.7000000000000002E-2</v>
      </c>
      <c r="DC332" s="16">
        <f t="shared" si="233"/>
        <v>12.13</v>
      </c>
      <c r="DW332" s="1">
        <v>0.3</v>
      </c>
      <c r="DX332" s="1">
        <v>7.6</v>
      </c>
      <c r="DY332" s="1">
        <v>-2.5</v>
      </c>
    </row>
    <row r="333" spans="1:129" x14ac:dyDescent="0.2">
      <c r="A333" s="40">
        <v>35026</v>
      </c>
      <c r="B333" s="42">
        <v>327</v>
      </c>
      <c r="C333" s="3">
        <v>0.68500000000000005</v>
      </c>
      <c r="D333" s="3">
        <v>1.35</v>
      </c>
      <c r="E333" s="3">
        <v>1.8009999999999999</v>
      </c>
      <c r="F333" s="3">
        <v>102.1</v>
      </c>
      <c r="G333" s="3">
        <v>1.1850000000000001</v>
      </c>
      <c r="H333" s="3">
        <v>0.94899999999999995</v>
      </c>
      <c r="I333" s="3">
        <v>-0.191</v>
      </c>
      <c r="J333" s="3">
        <v>0.75800000000000001</v>
      </c>
      <c r="K333" s="3">
        <v>0.80700000000000005</v>
      </c>
      <c r="L333" s="3">
        <v>-0.16500000000000001</v>
      </c>
      <c r="M333" s="3">
        <v>0.32400000000000001</v>
      </c>
      <c r="N333" s="3">
        <v>1.167</v>
      </c>
      <c r="O333" s="3">
        <v>0</v>
      </c>
      <c r="P333" s="3">
        <v>2.0175000000000001</v>
      </c>
      <c r="Q333" s="3"/>
      <c r="R333" s="3">
        <v>3.7789999999999999</v>
      </c>
      <c r="S333" s="3">
        <v>1902</v>
      </c>
      <c r="T333" s="3">
        <v>106.8</v>
      </c>
      <c r="U333" s="3">
        <v>1608</v>
      </c>
      <c r="V333" s="3">
        <v>3.302</v>
      </c>
      <c r="W333" s="3">
        <v>3.262</v>
      </c>
      <c r="X333" s="3">
        <v>-0.109</v>
      </c>
      <c r="Y333" s="3">
        <v>2.1459999999999999</v>
      </c>
      <c r="Z333" s="3">
        <v>2.1669999999999998</v>
      </c>
      <c r="AA333" s="3">
        <v>-0.111</v>
      </c>
      <c r="AB333" s="3">
        <v>0.376</v>
      </c>
      <c r="AC333" s="3">
        <v>1.2230000000000001</v>
      </c>
      <c r="AD333" s="3">
        <v>6.0741666666666667</v>
      </c>
      <c r="AE333" s="3">
        <v>2227</v>
      </c>
      <c r="AF333" s="3">
        <v>-0.71499999999999997</v>
      </c>
      <c r="AG333" s="3">
        <v>407</v>
      </c>
      <c r="AH333" s="3">
        <v>91.4</v>
      </c>
      <c r="AI333" s="3">
        <v>2331</v>
      </c>
      <c r="AJ333" s="3">
        <v>-1.42</v>
      </c>
      <c r="AK333" s="3">
        <v>-2.0640000000000001</v>
      </c>
      <c r="AL333" s="3">
        <v>-0.26900000000000002</v>
      </c>
      <c r="AM333" s="3">
        <v>-1.2190000000000001</v>
      </c>
      <c r="AN333" s="3">
        <v>-1.137</v>
      </c>
      <c r="AO333" s="3">
        <v>-0.23100000000000001</v>
      </c>
      <c r="AP333" s="3">
        <v>0.25800000000000001</v>
      </c>
      <c r="AQ333" s="3">
        <v>1.1000000000000001</v>
      </c>
      <c r="AR333" s="3">
        <v>4.7E-2</v>
      </c>
      <c r="AS333" s="3">
        <v>7.6999999999999999E-2</v>
      </c>
      <c r="AT333" s="3">
        <v>5.8000000000000003E-2</v>
      </c>
      <c r="AU333" s="3">
        <v>0.04</v>
      </c>
      <c r="AV333" s="3">
        <v>0.16200000000000001</v>
      </c>
      <c r="AW333" s="3">
        <v>0.38700000000000001</v>
      </c>
      <c r="AX333" s="3">
        <v>0.17499999999999999</v>
      </c>
      <c r="AY333" s="3">
        <v>5.5E-2</v>
      </c>
      <c r="AZ333" s="3">
        <v>0.621</v>
      </c>
      <c r="BA333" s="3"/>
      <c r="BB333" s="3">
        <v>11.63</v>
      </c>
      <c r="BC333" s="3">
        <v>2876</v>
      </c>
      <c r="BD333" s="3"/>
      <c r="BE333" s="3"/>
      <c r="BF333" s="65">
        <f>PPTest!H333</f>
        <v>316</v>
      </c>
      <c r="BH333" s="16">
        <v>5.62</v>
      </c>
      <c r="BI333" s="16">
        <f t="shared" si="236"/>
        <v>11.352400000000001</v>
      </c>
      <c r="BJ333" s="17">
        <f t="shared" si="237"/>
        <v>0.69</v>
      </c>
      <c r="BK333" s="17">
        <f t="shared" si="238"/>
        <v>1.46</v>
      </c>
      <c r="BM333" s="1">
        <f t="shared" si="239"/>
        <v>99.7</v>
      </c>
      <c r="BN333" s="1">
        <f t="shared" si="240"/>
        <v>95.3</v>
      </c>
      <c r="BO333" s="1">
        <f t="shared" si="241"/>
        <v>85.5</v>
      </c>
      <c r="BP333" s="62">
        <f t="shared" si="243"/>
        <v>0.68400000000000005</v>
      </c>
      <c r="BQ333" s="62">
        <f t="shared" si="242"/>
        <v>0.11600000000000001</v>
      </c>
      <c r="BS333" s="48">
        <f t="shared" si="235"/>
        <v>0.6</v>
      </c>
      <c r="BT333" s="8">
        <v>0.4</v>
      </c>
      <c r="BU333" s="51">
        <v>0</v>
      </c>
      <c r="BV333" s="8"/>
      <c r="BW333" s="16">
        <f t="shared" si="202"/>
        <v>0.69</v>
      </c>
      <c r="BX333" s="16">
        <f t="shared" si="203"/>
        <v>1.46</v>
      </c>
      <c r="BY333" s="3">
        <f t="shared" si="204"/>
        <v>1.8</v>
      </c>
      <c r="BZ333" s="3">
        <f t="shared" si="205"/>
        <v>1.2</v>
      </c>
      <c r="CA333" s="3">
        <f t="shared" si="206"/>
        <v>0.9</v>
      </c>
      <c r="CB333" s="3">
        <f t="shared" si="207"/>
        <v>-0.2</v>
      </c>
      <c r="CC333" s="3">
        <f t="shared" si="208"/>
        <v>-0.2</v>
      </c>
      <c r="CD333" s="3">
        <f t="shared" si="209"/>
        <v>0.3</v>
      </c>
      <c r="CE333" s="3">
        <f t="shared" si="210"/>
        <v>1.2</v>
      </c>
      <c r="CF333" s="23">
        <f t="shared" si="211"/>
        <v>95.3</v>
      </c>
      <c r="CG333" s="1">
        <f t="shared" si="212"/>
        <v>3.8</v>
      </c>
      <c r="CH333" s="1">
        <f t="shared" si="213"/>
        <v>3.3</v>
      </c>
      <c r="CI333" s="1">
        <f t="shared" si="214"/>
        <v>3.3</v>
      </c>
      <c r="CJ333" s="1">
        <f t="shared" si="215"/>
        <v>-0.1</v>
      </c>
      <c r="CK333" s="1">
        <f t="shared" si="216"/>
        <v>-0.1</v>
      </c>
      <c r="CL333" s="1">
        <f t="shared" si="217"/>
        <v>0.4</v>
      </c>
      <c r="CM333" s="1">
        <f t="shared" si="218"/>
        <v>1.2</v>
      </c>
      <c r="CN333" s="2">
        <f t="shared" si="219"/>
        <v>99.7</v>
      </c>
      <c r="CO333" s="1">
        <f t="shared" si="220"/>
        <v>-0.7</v>
      </c>
      <c r="CP333" s="1">
        <f t="shared" si="221"/>
        <v>-1.4</v>
      </c>
      <c r="CQ333" s="1">
        <f t="shared" si="222"/>
        <v>-2.1</v>
      </c>
      <c r="CR333" s="1">
        <f t="shared" si="223"/>
        <v>-0.3</v>
      </c>
      <c r="CS333" s="1">
        <f t="shared" si="224"/>
        <v>-0.2</v>
      </c>
      <c r="CT333" s="1">
        <f t="shared" si="225"/>
        <v>0.3</v>
      </c>
      <c r="CU333" s="1">
        <f t="shared" si="226"/>
        <v>1.1000000000000001</v>
      </c>
      <c r="CV333" s="2">
        <f t="shared" si="227"/>
        <v>85.5</v>
      </c>
      <c r="CW333" s="18">
        <f t="shared" si="228"/>
        <v>316</v>
      </c>
      <c r="CX333" s="1">
        <f>ROUND(PPTest!K333,1)</f>
        <v>0.6</v>
      </c>
      <c r="CY333" s="17">
        <f t="shared" si="229"/>
        <v>2.02</v>
      </c>
      <c r="CZ333" s="17">
        <f t="shared" si="230"/>
        <v>6.07</v>
      </c>
      <c r="DA333" s="20">
        <f t="shared" si="231"/>
        <v>0.68400000000000005</v>
      </c>
      <c r="DB333" s="20">
        <f t="shared" si="232"/>
        <v>0.11600000000000001</v>
      </c>
      <c r="DC333" s="16">
        <f t="shared" si="233"/>
        <v>11.63</v>
      </c>
      <c r="DW333" s="1">
        <v>1.1000000000000001</v>
      </c>
      <c r="DX333" s="1">
        <v>5</v>
      </c>
      <c r="DY333" s="1">
        <v>-1.7</v>
      </c>
    </row>
    <row r="334" spans="1:129" x14ac:dyDescent="0.2">
      <c r="A334" s="40">
        <v>35027</v>
      </c>
      <c r="B334" s="42">
        <v>328</v>
      </c>
      <c r="C334" s="3">
        <v>2.7829999999999999</v>
      </c>
      <c r="D334" s="3">
        <v>5.2009999999999996</v>
      </c>
      <c r="E334" s="3">
        <v>2.6139999999999999</v>
      </c>
      <c r="F334" s="3">
        <v>92</v>
      </c>
      <c r="G334" s="3">
        <v>1.917</v>
      </c>
      <c r="H334" s="3">
        <v>1.8009999999999999</v>
      </c>
      <c r="I334" s="3">
        <v>-0.106</v>
      </c>
      <c r="J334" s="3">
        <v>1.645</v>
      </c>
      <c r="K334" s="3">
        <v>1.804</v>
      </c>
      <c r="L334" s="3">
        <v>-0.14699999999999999</v>
      </c>
      <c r="M334" s="3">
        <v>0.34</v>
      </c>
      <c r="N334" s="3">
        <v>1.1819999999999999</v>
      </c>
      <c r="O334" s="3">
        <v>0</v>
      </c>
      <c r="P334" s="3">
        <v>1.7958333333333334</v>
      </c>
      <c r="Q334" s="3"/>
      <c r="R334" s="3">
        <v>5.0730000000000004</v>
      </c>
      <c r="S334" s="3">
        <v>1251</v>
      </c>
      <c r="T334" s="3">
        <v>101.8</v>
      </c>
      <c r="U334" s="3">
        <v>2008</v>
      </c>
      <c r="V334" s="3">
        <v>5.2789999999999999</v>
      </c>
      <c r="W334" s="3">
        <v>5.0430000000000001</v>
      </c>
      <c r="X334" s="3">
        <v>-1.0999999999999999E-2</v>
      </c>
      <c r="Y334" s="3">
        <v>7.34</v>
      </c>
      <c r="Z334" s="3">
        <v>7.43</v>
      </c>
      <c r="AA334" s="3">
        <v>-4.2000000000000003E-2</v>
      </c>
      <c r="AB334" s="3">
        <v>0.44500000000000001</v>
      </c>
      <c r="AC334" s="3">
        <v>1.2949999999999999</v>
      </c>
      <c r="AD334" s="3">
        <v>5.2208333333333332</v>
      </c>
      <c r="AE334" s="3">
        <v>237</v>
      </c>
      <c r="AF334" s="3">
        <v>0.37</v>
      </c>
      <c r="AG334" s="3">
        <v>749</v>
      </c>
      <c r="AH334" s="3">
        <v>79.900000000000006</v>
      </c>
      <c r="AI334" s="3">
        <v>1257</v>
      </c>
      <c r="AJ334" s="3">
        <v>-1.1639999999999999</v>
      </c>
      <c r="AK334" s="3">
        <v>-2.524</v>
      </c>
      <c r="AL334" s="3">
        <v>-0.20699999999999999</v>
      </c>
      <c r="AM334" s="3">
        <v>-1.3560000000000001</v>
      </c>
      <c r="AN334" s="3">
        <v>-1.2869999999999999</v>
      </c>
      <c r="AO334" s="3">
        <v>-0.23300000000000001</v>
      </c>
      <c r="AP334" s="3">
        <v>0.245</v>
      </c>
      <c r="AQ334" s="3">
        <v>1.07</v>
      </c>
      <c r="AR334" s="3">
        <v>0.06</v>
      </c>
      <c r="AS334" s="3">
        <v>9.1999999999999998E-2</v>
      </c>
      <c r="AT334" s="3">
        <v>8.1000000000000003E-2</v>
      </c>
      <c r="AU334" s="3">
        <v>7.1999999999999995E-2</v>
      </c>
      <c r="AV334" s="3">
        <v>0.221</v>
      </c>
      <c r="AW334" s="3">
        <v>0.29899999999999999</v>
      </c>
      <c r="AX334" s="3">
        <v>0.11</v>
      </c>
      <c r="AY334" s="3">
        <v>6.5000000000000002E-2</v>
      </c>
      <c r="AZ334" s="3">
        <v>1.113</v>
      </c>
      <c r="BA334" s="3"/>
      <c r="BB334" s="3">
        <v>11.62</v>
      </c>
      <c r="BC334" s="3">
        <v>2876</v>
      </c>
      <c r="BD334" s="3"/>
      <c r="BE334" s="3"/>
      <c r="BF334" s="65">
        <f>PPTest!H334</f>
        <v>411</v>
      </c>
      <c r="BH334" s="16">
        <v>5.53</v>
      </c>
      <c r="BI334" s="16">
        <f t="shared" si="236"/>
        <v>11.1706</v>
      </c>
      <c r="BJ334" s="17">
        <f t="shared" si="237"/>
        <v>2.78</v>
      </c>
      <c r="BK334" s="17">
        <f t="shared" si="238"/>
        <v>5.62</v>
      </c>
      <c r="BM334" s="1">
        <f t="shared" si="239"/>
        <v>95.1</v>
      </c>
      <c r="BN334" s="1">
        <f t="shared" si="240"/>
        <v>86</v>
      </c>
      <c r="BO334" s="1">
        <f t="shared" si="241"/>
        <v>74.8</v>
      </c>
      <c r="BP334" s="62">
        <f t="shared" si="243"/>
        <v>0.65600000000000003</v>
      </c>
      <c r="BQ334" s="62">
        <f t="shared" si="242"/>
        <v>0.221</v>
      </c>
      <c r="BS334" s="48">
        <f t="shared" si="235"/>
        <v>11.8</v>
      </c>
      <c r="BT334" s="8">
        <v>8.4</v>
      </c>
      <c r="BU334" s="51">
        <v>0</v>
      </c>
      <c r="BV334" s="8"/>
      <c r="BW334" s="16">
        <f t="shared" si="202"/>
        <v>2.78</v>
      </c>
      <c r="BX334" s="16">
        <f t="shared" si="203"/>
        <v>5.62</v>
      </c>
      <c r="BY334" s="3">
        <f t="shared" si="204"/>
        <v>2.6</v>
      </c>
      <c r="BZ334" s="3">
        <f t="shared" si="205"/>
        <v>1.9</v>
      </c>
      <c r="CA334" s="3">
        <f t="shared" si="206"/>
        <v>1.8</v>
      </c>
      <c r="CB334" s="3">
        <f t="shared" si="207"/>
        <v>-0.1</v>
      </c>
      <c r="CC334" s="3">
        <f t="shared" si="208"/>
        <v>-0.1</v>
      </c>
      <c r="CD334" s="3">
        <f t="shared" si="209"/>
        <v>0.3</v>
      </c>
      <c r="CE334" s="3">
        <f t="shared" si="210"/>
        <v>1.2</v>
      </c>
      <c r="CF334" s="23">
        <f t="shared" si="211"/>
        <v>86</v>
      </c>
      <c r="CG334" s="1">
        <f t="shared" si="212"/>
        <v>5.0999999999999996</v>
      </c>
      <c r="CH334" s="1">
        <f t="shared" si="213"/>
        <v>5.3</v>
      </c>
      <c r="CI334" s="1">
        <f t="shared" si="214"/>
        <v>5</v>
      </c>
      <c r="CJ334" s="1">
        <f t="shared" si="215"/>
        <v>0</v>
      </c>
      <c r="CK334" s="1">
        <f t="shared" si="216"/>
        <v>0</v>
      </c>
      <c r="CL334" s="1">
        <f t="shared" si="217"/>
        <v>0.4</v>
      </c>
      <c r="CM334" s="1">
        <f t="shared" si="218"/>
        <v>1.3</v>
      </c>
      <c r="CN334" s="2">
        <f t="shared" si="219"/>
        <v>95.1</v>
      </c>
      <c r="CO334" s="1">
        <f t="shared" si="220"/>
        <v>0.4</v>
      </c>
      <c r="CP334" s="1">
        <f t="shared" si="221"/>
        <v>-1.2</v>
      </c>
      <c r="CQ334" s="1">
        <f t="shared" si="222"/>
        <v>-2.5</v>
      </c>
      <c r="CR334" s="1">
        <f t="shared" si="223"/>
        <v>-0.2</v>
      </c>
      <c r="CS334" s="1">
        <f t="shared" si="224"/>
        <v>-0.2</v>
      </c>
      <c r="CT334" s="1">
        <f t="shared" si="225"/>
        <v>0.2</v>
      </c>
      <c r="CU334" s="1">
        <f t="shared" si="226"/>
        <v>1.1000000000000001</v>
      </c>
      <c r="CV334" s="2">
        <f t="shared" si="227"/>
        <v>74.8</v>
      </c>
      <c r="CW334" s="18">
        <f t="shared" si="228"/>
        <v>411</v>
      </c>
      <c r="CX334" s="1">
        <f>ROUND(PPTest!K334,1)</f>
        <v>12.4</v>
      </c>
      <c r="CY334" s="17">
        <f t="shared" si="229"/>
        <v>1.8</v>
      </c>
      <c r="CZ334" s="17">
        <f t="shared" si="230"/>
        <v>5.22</v>
      </c>
      <c r="DA334" s="20">
        <f t="shared" si="231"/>
        <v>0.65600000000000003</v>
      </c>
      <c r="DB334" s="20">
        <f t="shared" si="232"/>
        <v>0.221</v>
      </c>
      <c r="DC334" s="16">
        <f t="shared" si="233"/>
        <v>11.62</v>
      </c>
      <c r="DW334" s="1">
        <v>1.3</v>
      </c>
      <c r="DX334" s="1">
        <v>5.9</v>
      </c>
      <c r="DY334" s="1">
        <v>-1.2</v>
      </c>
    </row>
    <row r="335" spans="1:129" x14ac:dyDescent="0.2">
      <c r="A335" s="40">
        <v>35028</v>
      </c>
      <c r="B335" s="42">
        <v>329</v>
      </c>
      <c r="C335" s="3">
        <v>1.518</v>
      </c>
      <c r="D335" s="3">
        <v>2.8610000000000002</v>
      </c>
      <c r="E335" s="3">
        <v>-0.185</v>
      </c>
      <c r="F335" s="3">
        <v>93.1</v>
      </c>
      <c r="G335" s="3">
        <v>-0.78900000000000003</v>
      </c>
      <c r="H335" s="3">
        <v>-0.95599999999999996</v>
      </c>
      <c r="I335" s="3">
        <v>-9.5000000000000001E-2</v>
      </c>
      <c r="J335" s="3">
        <v>-0.89100000000000001</v>
      </c>
      <c r="K335" s="3">
        <v>-0.63</v>
      </c>
      <c r="L335" s="3">
        <v>-0.17699999999999999</v>
      </c>
      <c r="M335" s="3">
        <v>0.30199999999999999</v>
      </c>
      <c r="N335" s="3">
        <v>1.139</v>
      </c>
      <c r="O335" s="3">
        <v>0</v>
      </c>
      <c r="P335" s="3">
        <v>2.1908333333333334</v>
      </c>
      <c r="Q335" s="3"/>
      <c r="R335" s="3">
        <v>3.1059999999999999</v>
      </c>
      <c r="S335" s="3">
        <v>2</v>
      </c>
      <c r="T335" s="3">
        <v>103.4</v>
      </c>
      <c r="U335" s="3">
        <v>110</v>
      </c>
      <c r="V335" s="3">
        <v>2.4649999999999999</v>
      </c>
      <c r="W335" s="3">
        <v>2.5339999999999998</v>
      </c>
      <c r="X335" s="3">
        <v>-5.8999999999999997E-2</v>
      </c>
      <c r="Y335" s="3">
        <v>1.3089999999999999</v>
      </c>
      <c r="Z335" s="3">
        <v>1.6080000000000001</v>
      </c>
      <c r="AA335" s="3">
        <v>-0.124</v>
      </c>
      <c r="AB335" s="3">
        <v>0.35699999999999998</v>
      </c>
      <c r="AC335" s="3">
        <v>1.2</v>
      </c>
      <c r="AD335" s="3">
        <v>6.1275000000000004</v>
      </c>
      <c r="AE335" s="3">
        <v>29</v>
      </c>
      <c r="AF335" s="3">
        <v>-3.54</v>
      </c>
      <c r="AG335" s="3">
        <v>2126</v>
      </c>
      <c r="AH335" s="3">
        <v>77.5</v>
      </c>
      <c r="AI335" s="3">
        <v>1043</v>
      </c>
      <c r="AJ335" s="3">
        <v>-4.8339999999999996</v>
      </c>
      <c r="AK335" s="3">
        <v>-5.7160000000000002</v>
      </c>
      <c r="AL335" s="3">
        <v>-0.151</v>
      </c>
      <c r="AM335" s="3">
        <v>-4.024</v>
      </c>
      <c r="AN335" s="3">
        <v>-3.8260000000000001</v>
      </c>
      <c r="AO335" s="3">
        <v>-0.247</v>
      </c>
      <c r="AP335" s="3">
        <v>0.22700000000000001</v>
      </c>
      <c r="AQ335" s="3">
        <v>1.0509999999999999</v>
      </c>
      <c r="AR335" s="3">
        <v>0.01</v>
      </c>
      <c r="AS335" s="3">
        <v>9.7000000000000003E-2</v>
      </c>
      <c r="AT335" s="3">
        <v>5.3999999999999999E-2</v>
      </c>
      <c r="AU335" s="3">
        <v>4.7E-2</v>
      </c>
      <c r="AV335" s="3">
        <v>0.27600000000000002</v>
      </c>
      <c r="AW335" s="3">
        <v>0.435</v>
      </c>
      <c r="AX335" s="3">
        <v>7.0999999999999994E-2</v>
      </c>
      <c r="AY335" s="3">
        <v>0.01</v>
      </c>
      <c r="AZ335" s="3">
        <v>-1.3180000000000001</v>
      </c>
      <c r="BA335" s="3"/>
      <c r="BB335" s="3">
        <v>11.6</v>
      </c>
      <c r="BC335" s="3">
        <v>2876</v>
      </c>
      <c r="BD335" s="3"/>
      <c r="BE335" s="3"/>
      <c r="BF335" s="65">
        <f>PPTest!H335</f>
        <v>420</v>
      </c>
      <c r="BH335" s="16">
        <v>5.45</v>
      </c>
      <c r="BI335" s="16">
        <f t="shared" si="236"/>
        <v>11.009</v>
      </c>
      <c r="BJ335" s="17">
        <f t="shared" si="237"/>
        <v>1.52</v>
      </c>
      <c r="BK335" s="17">
        <f t="shared" si="238"/>
        <v>3.09</v>
      </c>
      <c r="BM335" s="1">
        <f t="shared" si="239"/>
        <v>96.5</v>
      </c>
      <c r="BN335" s="1">
        <f t="shared" si="240"/>
        <v>87</v>
      </c>
      <c r="BO335" s="1">
        <f t="shared" si="241"/>
        <v>72.599999999999994</v>
      </c>
      <c r="BP335" s="62">
        <f t="shared" si="243"/>
        <v>0.55400000000000005</v>
      </c>
      <c r="BQ335" s="62">
        <f t="shared" si="242"/>
        <v>0.20899999999999999</v>
      </c>
      <c r="BS335" s="48">
        <f t="shared" si="235"/>
        <v>1.1000000000000001</v>
      </c>
      <c r="BT335" s="8">
        <v>0.8</v>
      </c>
      <c r="BU335" s="51">
        <v>0</v>
      </c>
      <c r="BV335" s="8"/>
      <c r="BW335" s="16">
        <f t="shared" si="202"/>
        <v>1.52</v>
      </c>
      <c r="BX335" s="16">
        <f t="shared" si="203"/>
        <v>3.09</v>
      </c>
      <c r="BY335" s="3">
        <f t="shared" si="204"/>
        <v>-0.2</v>
      </c>
      <c r="BZ335" s="3">
        <f t="shared" si="205"/>
        <v>-0.8</v>
      </c>
      <c r="CA335" s="3">
        <f t="shared" si="206"/>
        <v>-1</v>
      </c>
      <c r="CB335" s="3">
        <f t="shared" si="207"/>
        <v>-0.1</v>
      </c>
      <c r="CC335" s="3">
        <f t="shared" si="208"/>
        <v>-0.2</v>
      </c>
      <c r="CD335" s="3">
        <f t="shared" si="209"/>
        <v>0.3</v>
      </c>
      <c r="CE335" s="3">
        <f t="shared" si="210"/>
        <v>1.1000000000000001</v>
      </c>
      <c r="CF335" s="23">
        <f t="shared" si="211"/>
        <v>87</v>
      </c>
      <c r="CG335" s="1">
        <f t="shared" si="212"/>
        <v>3.1</v>
      </c>
      <c r="CH335" s="1">
        <f t="shared" si="213"/>
        <v>2.5</v>
      </c>
      <c r="CI335" s="1">
        <f t="shared" si="214"/>
        <v>2.5</v>
      </c>
      <c r="CJ335" s="1">
        <f t="shared" si="215"/>
        <v>-0.1</v>
      </c>
      <c r="CK335" s="1">
        <f t="shared" si="216"/>
        <v>-0.1</v>
      </c>
      <c r="CL335" s="1">
        <f t="shared" si="217"/>
        <v>0.4</v>
      </c>
      <c r="CM335" s="1">
        <f t="shared" si="218"/>
        <v>1.2</v>
      </c>
      <c r="CN335" s="2">
        <f t="shared" si="219"/>
        <v>96.5</v>
      </c>
      <c r="CO335" s="1">
        <f t="shared" si="220"/>
        <v>-3.5</v>
      </c>
      <c r="CP335" s="1">
        <f t="shared" si="221"/>
        <v>-4.8</v>
      </c>
      <c r="CQ335" s="1">
        <f t="shared" si="222"/>
        <v>-5.7</v>
      </c>
      <c r="CR335" s="1">
        <f t="shared" si="223"/>
        <v>-0.2</v>
      </c>
      <c r="CS335" s="1">
        <f t="shared" si="224"/>
        <v>-0.2</v>
      </c>
      <c r="CT335" s="1">
        <f t="shared" si="225"/>
        <v>0.2</v>
      </c>
      <c r="CU335" s="1">
        <f t="shared" si="226"/>
        <v>1.1000000000000001</v>
      </c>
      <c r="CV335" s="2">
        <f t="shared" si="227"/>
        <v>72.599999999999994</v>
      </c>
      <c r="CW335" s="18">
        <f t="shared" si="228"/>
        <v>420</v>
      </c>
      <c r="CX335" s="1">
        <f>ROUND(PPTest!K335,1)</f>
        <v>1.2</v>
      </c>
      <c r="CY335" s="17">
        <f t="shared" si="229"/>
        <v>2.19</v>
      </c>
      <c r="CZ335" s="17">
        <f t="shared" si="230"/>
        <v>6.13</v>
      </c>
      <c r="DA335" s="20">
        <f t="shared" si="231"/>
        <v>0.55400000000000005</v>
      </c>
      <c r="DB335" s="20">
        <f t="shared" si="232"/>
        <v>0.20899999999999999</v>
      </c>
      <c r="DC335" s="16">
        <f t="shared" si="233"/>
        <v>11.6</v>
      </c>
      <c r="DW335" s="1">
        <v>-1.1000000000000001</v>
      </c>
      <c r="DX335" s="1">
        <v>4.2</v>
      </c>
      <c r="DY335" s="1">
        <v>-5.0999999999999996</v>
      </c>
    </row>
    <row r="336" spans="1:129" x14ac:dyDescent="0.2">
      <c r="A336" s="40">
        <v>35029</v>
      </c>
      <c r="B336" s="42">
        <v>330</v>
      </c>
      <c r="C336" s="3">
        <v>2.1640000000000001</v>
      </c>
      <c r="D336" s="3">
        <v>3.5649999999999999</v>
      </c>
      <c r="E336" s="3">
        <v>-1.833</v>
      </c>
      <c r="F336" s="3">
        <v>99.4</v>
      </c>
      <c r="G336" s="3">
        <v>-2.2879999999999998</v>
      </c>
      <c r="H336" s="3">
        <v>-2.3490000000000002</v>
      </c>
      <c r="I336" s="3">
        <v>-0.11700000000000001</v>
      </c>
      <c r="J336" s="3">
        <v>-2.3519999999999999</v>
      </c>
      <c r="K336" s="3">
        <v>-2.2250000000000001</v>
      </c>
      <c r="L336" s="3">
        <v>-0.189</v>
      </c>
      <c r="M336" s="3">
        <v>0.28999999999999998</v>
      </c>
      <c r="N336" s="3">
        <v>1.1140000000000001</v>
      </c>
      <c r="O336" s="3">
        <v>0</v>
      </c>
      <c r="P336" s="3">
        <v>1.7691666666666668</v>
      </c>
      <c r="Q336" s="3"/>
      <c r="R336" s="3">
        <v>-0.85599999999999998</v>
      </c>
      <c r="S336" s="3">
        <v>1332</v>
      </c>
      <c r="T336" s="3">
        <v>106.4</v>
      </c>
      <c r="U336" s="3">
        <v>2025</v>
      </c>
      <c r="V336" s="3">
        <v>-0.82</v>
      </c>
      <c r="W336" s="3">
        <v>-1.0229999999999999</v>
      </c>
      <c r="X336" s="3">
        <v>-7.8E-2</v>
      </c>
      <c r="Y336" s="3">
        <v>-1.028</v>
      </c>
      <c r="Z336" s="3">
        <v>-0.67100000000000004</v>
      </c>
      <c r="AA336" s="3">
        <v>-0.14599999999999999</v>
      </c>
      <c r="AB336" s="3">
        <v>0.32900000000000001</v>
      </c>
      <c r="AC336" s="3">
        <v>1.1559999999999999</v>
      </c>
      <c r="AD336" s="3">
        <v>3.7275</v>
      </c>
      <c r="AE336" s="3">
        <v>1751</v>
      </c>
      <c r="AF336" s="3">
        <v>-3.298</v>
      </c>
      <c r="AG336" s="3">
        <v>2255</v>
      </c>
      <c r="AH336" s="3">
        <v>86.7</v>
      </c>
      <c r="AI336" s="3">
        <v>107</v>
      </c>
      <c r="AJ336" s="3">
        <v>-4.0129999999999999</v>
      </c>
      <c r="AK336" s="3">
        <v>-4.28</v>
      </c>
      <c r="AL336" s="3">
        <v>-0.158</v>
      </c>
      <c r="AM336" s="3">
        <v>-3.6840000000000002</v>
      </c>
      <c r="AN336" s="3">
        <v>-3.802</v>
      </c>
      <c r="AO336" s="3">
        <v>-0.23</v>
      </c>
      <c r="AP336" s="3">
        <v>0.247</v>
      </c>
      <c r="AQ336" s="3">
        <v>1.0760000000000001</v>
      </c>
      <c r="AR336" s="3">
        <v>3.0000000000000001E-3</v>
      </c>
      <c r="AS336" s="3">
        <v>0</v>
      </c>
      <c r="AT336" s="3">
        <v>6.0000000000000001E-3</v>
      </c>
      <c r="AU336" s="3">
        <v>7.0000000000000001E-3</v>
      </c>
      <c r="AV336" s="3">
        <v>0.104</v>
      </c>
      <c r="AW336" s="3">
        <v>0.75</v>
      </c>
      <c r="AX336" s="3">
        <v>0.122</v>
      </c>
      <c r="AY336" s="3">
        <v>8.0000000000000002E-3</v>
      </c>
      <c r="AZ336" s="3">
        <v>-2.5190000000000001</v>
      </c>
      <c r="BA336" s="3"/>
      <c r="BB336" s="3">
        <v>11.59</v>
      </c>
      <c r="BC336" s="3">
        <v>2876</v>
      </c>
      <c r="BD336" s="3"/>
      <c r="BE336" s="3"/>
      <c r="BF336" s="65">
        <f>PPTest!H336</f>
        <v>436</v>
      </c>
      <c r="BH336" s="16">
        <v>5.36</v>
      </c>
      <c r="BI336" s="16">
        <f t="shared" si="236"/>
        <v>10.827200000000001</v>
      </c>
      <c r="BJ336" s="17">
        <f t="shared" si="237"/>
        <v>2.16</v>
      </c>
      <c r="BK336" s="17">
        <f t="shared" si="238"/>
        <v>3.85</v>
      </c>
      <c r="BM336" s="1">
        <f t="shared" si="239"/>
        <v>99.3</v>
      </c>
      <c r="BN336" s="1">
        <f t="shared" si="240"/>
        <v>92.8</v>
      </c>
      <c r="BO336" s="1">
        <f t="shared" si="241"/>
        <v>81.099999999999994</v>
      </c>
      <c r="BP336" s="62">
        <f t="shared" si="243"/>
        <v>0.46500000000000002</v>
      </c>
      <c r="BQ336" s="62">
        <f t="shared" si="242"/>
        <v>0.108</v>
      </c>
      <c r="BS336" s="48">
        <f t="shared" si="235"/>
        <v>2</v>
      </c>
      <c r="BT336" s="8">
        <v>1.4</v>
      </c>
      <c r="BU336" s="51">
        <v>0</v>
      </c>
      <c r="BV336" s="8"/>
      <c r="BW336" s="16">
        <f t="shared" si="202"/>
        <v>2.16</v>
      </c>
      <c r="BX336" s="16">
        <f t="shared" si="203"/>
        <v>3.85</v>
      </c>
      <c r="BY336" s="3">
        <f t="shared" si="204"/>
        <v>-1.8</v>
      </c>
      <c r="BZ336" s="3">
        <f t="shared" si="205"/>
        <v>-2.2999999999999998</v>
      </c>
      <c r="CA336" s="3">
        <f t="shared" si="206"/>
        <v>-2.2999999999999998</v>
      </c>
      <c r="CB336" s="3">
        <f t="shared" si="207"/>
        <v>-0.1</v>
      </c>
      <c r="CC336" s="3">
        <f t="shared" si="208"/>
        <v>-0.2</v>
      </c>
      <c r="CD336" s="3">
        <f t="shared" si="209"/>
        <v>0.3</v>
      </c>
      <c r="CE336" s="3">
        <f t="shared" si="210"/>
        <v>1.1000000000000001</v>
      </c>
      <c r="CF336" s="23">
        <f t="shared" si="211"/>
        <v>92.8</v>
      </c>
      <c r="CG336" s="1">
        <f t="shared" si="212"/>
        <v>-0.9</v>
      </c>
      <c r="CH336" s="1">
        <f t="shared" si="213"/>
        <v>-0.8</v>
      </c>
      <c r="CI336" s="1">
        <f t="shared" si="214"/>
        <v>-1</v>
      </c>
      <c r="CJ336" s="1">
        <f t="shared" si="215"/>
        <v>-0.1</v>
      </c>
      <c r="CK336" s="1">
        <f t="shared" si="216"/>
        <v>-0.1</v>
      </c>
      <c r="CL336" s="1">
        <f t="shared" si="217"/>
        <v>0.3</v>
      </c>
      <c r="CM336" s="1">
        <f t="shared" si="218"/>
        <v>1.2</v>
      </c>
      <c r="CN336" s="2">
        <f t="shared" si="219"/>
        <v>99.3</v>
      </c>
      <c r="CO336" s="1">
        <f t="shared" si="220"/>
        <v>-3.3</v>
      </c>
      <c r="CP336" s="1">
        <f t="shared" si="221"/>
        <v>-4</v>
      </c>
      <c r="CQ336" s="1">
        <f t="shared" si="222"/>
        <v>-4.3</v>
      </c>
      <c r="CR336" s="1">
        <f t="shared" si="223"/>
        <v>-0.2</v>
      </c>
      <c r="CS336" s="1">
        <f t="shared" si="224"/>
        <v>-0.2</v>
      </c>
      <c r="CT336" s="1">
        <f t="shared" si="225"/>
        <v>0.2</v>
      </c>
      <c r="CU336" s="1">
        <f t="shared" si="226"/>
        <v>1.1000000000000001</v>
      </c>
      <c r="CV336" s="2">
        <f t="shared" si="227"/>
        <v>81.099999999999994</v>
      </c>
      <c r="CW336" s="18">
        <f t="shared" si="228"/>
        <v>436</v>
      </c>
      <c r="CX336" s="1">
        <f>ROUND(PPTest!K336,1)</f>
        <v>2.1</v>
      </c>
      <c r="CY336" s="17">
        <f t="shared" si="229"/>
        <v>1.77</v>
      </c>
      <c r="CZ336" s="17">
        <f t="shared" si="230"/>
        <v>3.73</v>
      </c>
      <c r="DA336" s="20">
        <f t="shared" si="231"/>
        <v>0.46500000000000002</v>
      </c>
      <c r="DB336" s="20">
        <f t="shared" si="232"/>
        <v>0.108</v>
      </c>
      <c r="DC336" s="16">
        <f t="shared" si="233"/>
        <v>11.59</v>
      </c>
      <c r="DW336" s="1">
        <v>-2.1</v>
      </c>
      <c r="DX336" s="1">
        <v>0.2</v>
      </c>
      <c r="DY336" s="1">
        <v>-4.4000000000000004</v>
      </c>
    </row>
    <row r="337" spans="1:129" x14ac:dyDescent="0.2">
      <c r="A337" s="40">
        <v>35030</v>
      </c>
      <c r="B337" s="42">
        <v>331</v>
      </c>
      <c r="C337" s="3">
        <v>0.80700000000000005</v>
      </c>
      <c r="D337" s="3">
        <v>1.655</v>
      </c>
      <c r="E337" s="3">
        <v>-3.3380000000000001</v>
      </c>
      <c r="F337" s="3">
        <v>100.4</v>
      </c>
      <c r="G337" s="3">
        <v>-3.7639999999999998</v>
      </c>
      <c r="H337" s="3">
        <v>-3.9620000000000002</v>
      </c>
      <c r="I337" s="3">
        <v>-0.14499999999999999</v>
      </c>
      <c r="J337" s="3">
        <v>-3.9580000000000002</v>
      </c>
      <c r="K337" s="3">
        <v>-3.8610000000000002</v>
      </c>
      <c r="L337" s="3">
        <v>-0.189</v>
      </c>
      <c r="M337" s="3">
        <v>0.29099999999999998</v>
      </c>
      <c r="N337" s="3">
        <v>1.0960000000000001</v>
      </c>
      <c r="O337" s="3">
        <v>0</v>
      </c>
      <c r="P337" s="3">
        <v>1.0008333333333332</v>
      </c>
      <c r="Q337" s="3"/>
      <c r="R337" s="3">
        <v>-2.4140000000000001</v>
      </c>
      <c r="S337" s="3">
        <v>1139</v>
      </c>
      <c r="T337" s="3">
        <v>105.1</v>
      </c>
      <c r="U337" s="3">
        <v>1</v>
      </c>
      <c r="V337" s="3">
        <v>-2.3250000000000002</v>
      </c>
      <c r="W337" s="3">
        <v>-2.706</v>
      </c>
      <c r="X337" s="3">
        <v>-0.108</v>
      </c>
      <c r="Y337" s="3">
        <v>-2.6749999999999998</v>
      </c>
      <c r="Z337" s="3">
        <v>-2.488</v>
      </c>
      <c r="AA337" s="3">
        <v>-0.16300000000000001</v>
      </c>
      <c r="AB337" s="3">
        <v>0.32100000000000001</v>
      </c>
      <c r="AC337" s="3">
        <v>1.1299999999999999</v>
      </c>
      <c r="AD337" s="3">
        <v>3.874166666666667</v>
      </c>
      <c r="AE337" s="3">
        <v>1620</v>
      </c>
      <c r="AF337" s="3">
        <v>-4.5720000000000001</v>
      </c>
      <c r="AG337" s="3">
        <v>540</v>
      </c>
      <c r="AH337" s="3">
        <v>89.8</v>
      </c>
      <c r="AI337" s="3">
        <v>1439</v>
      </c>
      <c r="AJ337" s="3">
        <v>-5.3540000000000001</v>
      </c>
      <c r="AK337" s="3">
        <v>-6.11</v>
      </c>
      <c r="AL337" s="3">
        <v>-0.17499999999999999</v>
      </c>
      <c r="AM337" s="3">
        <v>-5.6680000000000001</v>
      </c>
      <c r="AN337" s="3">
        <v>-5.423</v>
      </c>
      <c r="AO337" s="3">
        <v>-0.22</v>
      </c>
      <c r="AP337" s="3">
        <v>0.255</v>
      </c>
      <c r="AQ337" s="3">
        <v>1.0609999999999999</v>
      </c>
      <c r="AR337" s="3">
        <v>3.3000000000000002E-2</v>
      </c>
      <c r="AS337" s="3">
        <v>0.128</v>
      </c>
      <c r="AT337" s="3">
        <v>0.126</v>
      </c>
      <c r="AU337" s="3">
        <v>7.0999999999999994E-2</v>
      </c>
      <c r="AV337" s="3">
        <v>0.124</v>
      </c>
      <c r="AW337" s="3">
        <v>0.251</v>
      </c>
      <c r="AX337" s="3">
        <v>0.182</v>
      </c>
      <c r="AY337" s="3">
        <v>8.5000000000000006E-2</v>
      </c>
      <c r="AZ337" s="3">
        <v>-4.1040000000000001</v>
      </c>
      <c r="BA337" s="3"/>
      <c r="BB337" s="3">
        <v>11.58</v>
      </c>
      <c r="BC337" s="3">
        <v>2876</v>
      </c>
      <c r="BD337" s="3"/>
      <c r="BE337" s="3"/>
      <c r="BF337" s="65">
        <f>PPTest!H337</f>
        <v>642</v>
      </c>
      <c r="BH337" s="16">
        <v>5.28</v>
      </c>
      <c r="BI337" s="16">
        <f t="shared" si="236"/>
        <v>10.665600000000001</v>
      </c>
      <c r="BJ337" s="17">
        <f t="shared" si="237"/>
        <v>0.81</v>
      </c>
      <c r="BK337" s="17">
        <f t="shared" si="238"/>
        <v>1.79</v>
      </c>
      <c r="BM337" s="1">
        <f t="shared" si="239"/>
        <v>98.1</v>
      </c>
      <c r="BN337" s="1">
        <f t="shared" si="240"/>
        <v>93.8</v>
      </c>
      <c r="BO337" s="1">
        <f t="shared" si="241"/>
        <v>84</v>
      </c>
      <c r="BP337" s="62">
        <f t="shared" si="243"/>
        <v>0.42899999999999999</v>
      </c>
      <c r="BQ337" s="62">
        <f t="shared" si="242"/>
        <v>8.2000000000000003E-2</v>
      </c>
      <c r="BS337" s="48">
        <f t="shared" si="235"/>
        <v>25.5</v>
      </c>
      <c r="BT337" s="8">
        <v>18.2</v>
      </c>
      <c r="BU337" s="51">
        <v>0</v>
      </c>
      <c r="BV337" s="8"/>
      <c r="BW337" s="16">
        <f t="shared" si="202"/>
        <v>0.81</v>
      </c>
      <c r="BX337" s="16">
        <f t="shared" si="203"/>
        <v>1.79</v>
      </c>
      <c r="BY337" s="3">
        <f t="shared" si="204"/>
        <v>-3.3</v>
      </c>
      <c r="BZ337" s="3">
        <f t="shared" si="205"/>
        <v>-3.8</v>
      </c>
      <c r="CA337" s="3">
        <f t="shared" si="206"/>
        <v>-4</v>
      </c>
      <c r="CB337" s="3">
        <f t="shared" si="207"/>
        <v>-0.1</v>
      </c>
      <c r="CC337" s="3">
        <f t="shared" si="208"/>
        <v>-0.2</v>
      </c>
      <c r="CD337" s="3">
        <f t="shared" si="209"/>
        <v>0.3</v>
      </c>
      <c r="CE337" s="3">
        <f t="shared" si="210"/>
        <v>1.1000000000000001</v>
      </c>
      <c r="CF337" s="23">
        <f t="shared" si="211"/>
        <v>93.8</v>
      </c>
      <c r="CG337" s="1">
        <f t="shared" si="212"/>
        <v>-2.4</v>
      </c>
      <c r="CH337" s="1">
        <f t="shared" si="213"/>
        <v>-2.2999999999999998</v>
      </c>
      <c r="CI337" s="1">
        <f t="shared" si="214"/>
        <v>-2.7</v>
      </c>
      <c r="CJ337" s="1">
        <f t="shared" si="215"/>
        <v>-0.1</v>
      </c>
      <c r="CK337" s="1">
        <f t="shared" si="216"/>
        <v>-0.2</v>
      </c>
      <c r="CL337" s="1">
        <f t="shared" si="217"/>
        <v>0.3</v>
      </c>
      <c r="CM337" s="1">
        <f t="shared" si="218"/>
        <v>1.1000000000000001</v>
      </c>
      <c r="CN337" s="2">
        <f t="shared" si="219"/>
        <v>98.1</v>
      </c>
      <c r="CO337" s="1">
        <f t="shared" si="220"/>
        <v>-4.5999999999999996</v>
      </c>
      <c r="CP337" s="1">
        <f t="shared" si="221"/>
        <v>-5.4</v>
      </c>
      <c r="CQ337" s="1">
        <f t="shared" si="222"/>
        <v>-6.1</v>
      </c>
      <c r="CR337" s="1">
        <f t="shared" si="223"/>
        <v>-0.2</v>
      </c>
      <c r="CS337" s="1">
        <f t="shared" si="224"/>
        <v>-0.2</v>
      </c>
      <c r="CT337" s="1">
        <f t="shared" si="225"/>
        <v>0.3</v>
      </c>
      <c r="CU337" s="1">
        <f t="shared" si="226"/>
        <v>1.1000000000000001</v>
      </c>
      <c r="CV337" s="2">
        <f t="shared" si="227"/>
        <v>84</v>
      </c>
      <c r="CW337" s="18">
        <f t="shared" si="228"/>
        <v>642</v>
      </c>
      <c r="CX337" s="1">
        <f>ROUND(PPTest!K337,1)</f>
        <v>26.8</v>
      </c>
      <c r="CY337" s="17">
        <f t="shared" si="229"/>
        <v>1</v>
      </c>
      <c r="CZ337" s="17">
        <f t="shared" si="230"/>
        <v>3.87</v>
      </c>
      <c r="DA337" s="20">
        <f t="shared" si="231"/>
        <v>0.42899999999999999</v>
      </c>
      <c r="DB337" s="20">
        <f t="shared" si="232"/>
        <v>8.2000000000000003E-2</v>
      </c>
      <c r="DC337" s="16">
        <f t="shared" si="233"/>
        <v>11.58</v>
      </c>
      <c r="DW337" s="1">
        <v>-4.3</v>
      </c>
      <c r="DX337" s="1">
        <v>-2.8</v>
      </c>
      <c r="DY337" s="1">
        <v>-6.6</v>
      </c>
    </row>
    <row r="338" spans="1:129" x14ac:dyDescent="0.2">
      <c r="A338" s="40">
        <v>35031</v>
      </c>
      <c r="B338" s="42">
        <v>332</v>
      </c>
      <c r="C338" s="3">
        <v>0.223</v>
      </c>
      <c r="D338" s="3">
        <v>0.47899999999999998</v>
      </c>
      <c r="E338" s="3">
        <v>-1.0820000000000001</v>
      </c>
      <c r="F338" s="3">
        <v>102.9</v>
      </c>
      <c r="G338" s="3">
        <v>-1.5409999999999999</v>
      </c>
      <c r="H338" s="3">
        <v>-1.6579999999999999</v>
      </c>
      <c r="I338" s="3">
        <v>-0.14899999999999999</v>
      </c>
      <c r="J338" s="3">
        <v>-1.994</v>
      </c>
      <c r="K338" s="3">
        <v>-2.0270000000000001</v>
      </c>
      <c r="L338" s="3">
        <v>-0.14899999999999999</v>
      </c>
      <c r="M338" s="3">
        <v>0.32800000000000001</v>
      </c>
      <c r="N338" s="3">
        <v>1.1020000000000001</v>
      </c>
      <c r="O338" s="3">
        <v>0</v>
      </c>
      <c r="P338" s="3">
        <v>2.0908333333333333</v>
      </c>
      <c r="Q338" s="3"/>
      <c r="R338" s="3">
        <v>4.5490000000000004</v>
      </c>
      <c r="S338" s="3">
        <v>2343</v>
      </c>
      <c r="T338" s="3">
        <v>106.4</v>
      </c>
      <c r="U338" s="3">
        <v>1552</v>
      </c>
      <c r="V338" s="3">
        <v>3.944</v>
      </c>
      <c r="W338" s="3">
        <v>4.0469999999999997</v>
      </c>
      <c r="X338" s="3">
        <v>-5.7000000000000002E-2</v>
      </c>
      <c r="Y338" s="3">
        <v>2.746</v>
      </c>
      <c r="Z338" s="3">
        <v>2.907</v>
      </c>
      <c r="AA338" s="3">
        <v>-5.1999999999999998E-2</v>
      </c>
      <c r="AB338" s="3">
        <v>0.43099999999999999</v>
      </c>
      <c r="AC338" s="3">
        <v>1.1910000000000001</v>
      </c>
      <c r="AD338" s="3">
        <v>8.4474999999999998</v>
      </c>
      <c r="AE338" s="3">
        <v>2004</v>
      </c>
      <c r="AF338" s="3">
        <v>-3.7440000000000002</v>
      </c>
      <c r="AG338" s="3">
        <v>346</v>
      </c>
      <c r="AH338" s="3">
        <v>94.4</v>
      </c>
      <c r="AI338" s="3">
        <v>2342</v>
      </c>
      <c r="AJ338" s="3">
        <v>-4.2530000000000001</v>
      </c>
      <c r="AK338" s="3">
        <v>-4.4000000000000004</v>
      </c>
      <c r="AL338" s="3">
        <v>-0.19400000000000001</v>
      </c>
      <c r="AM338" s="3">
        <v>-4.2370000000000001</v>
      </c>
      <c r="AN338" s="3">
        <v>-4.2359999999999998</v>
      </c>
      <c r="AO338" s="3">
        <v>-0.19600000000000001</v>
      </c>
      <c r="AP338" s="3">
        <v>0.27800000000000002</v>
      </c>
      <c r="AQ338" s="3">
        <v>1.05</v>
      </c>
      <c r="AR338" s="3">
        <v>4.7E-2</v>
      </c>
      <c r="AS338" s="3">
        <v>0.24199999999999999</v>
      </c>
      <c r="AT338" s="3">
        <v>0.13900000000000001</v>
      </c>
      <c r="AU338" s="3">
        <v>5.5E-2</v>
      </c>
      <c r="AV338" s="3">
        <v>0.106</v>
      </c>
      <c r="AW338" s="3">
        <v>0.35599999999999998</v>
      </c>
      <c r="AX338" s="3">
        <v>4.7E-2</v>
      </c>
      <c r="AY338" s="3">
        <v>8.9999999999999993E-3</v>
      </c>
      <c r="AZ338" s="3">
        <v>-1.9379999999999999</v>
      </c>
      <c r="BA338" s="3"/>
      <c r="BB338" s="3">
        <v>11.58</v>
      </c>
      <c r="BC338" s="3">
        <v>2876</v>
      </c>
      <c r="BD338" s="3"/>
      <c r="BE338" s="3"/>
      <c r="BF338" s="65">
        <f>PPTest!H338</f>
        <v>696</v>
      </c>
      <c r="BH338" s="16">
        <v>5.2</v>
      </c>
      <c r="BI338" s="16">
        <f t="shared" si="236"/>
        <v>10.504000000000001</v>
      </c>
      <c r="BJ338" s="17">
        <f t="shared" si="237"/>
        <v>0.22</v>
      </c>
      <c r="BK338" s="17">
        <f t="shared" si="238"/>
        <v>0.52</v>
      </c>
      <c r="BM338" s="1">
        <f t="shared" si="239"/>
        <v>99.3</v>
      </c>
      <c r="BN338" s="1">
        <f t="shared" si="240"/>
        <v>96.1</v>
      </c>
      <c r="BO338" s="1">
        <f t="shared" si="241"/>
        <v>88.2</v>
      </c>
      <c r="BP338" s="62">
        <f t="shared" si="243"/>
        <v>0.745</v>
      </c>
      <c r="BQ338" s="62">
        <f t="shared" si="242"/>
        <v>0.1</v>
      </c>
      <c r="BS338" s="48">
        <f t="shared" si="235"/>
        <v>6.7</v>
      </c>
      <c r="BT338" s="8">
        <v>4.8</v>
      </c>
      <c r="BU338" s="51">
        <v>3</v>
      </c>
      <c r="BV338" s="8"/>
      <c r="BW338" s="16">
        <f t="shared" si="202"/>
        <v>0.22</v>
      </c>
      <c r="BX338" s="16">
        <f t="shared" si="203"/>
        <v>0.52</v>
      </c>
      <c r="BY338" s="3">
        <f t="shared" si="204"/>
        <v>-1.1000000000000001</v>
      </c>
      <c r="BZ338" s="3">
        <f t="shared" si="205"/>
        <v>-1.5</v>
      </c>
      <c r="CA338" s="3">
        <f t="shared" si="206"/>
        <v>-1.7</v>
      </c>
      <c r="CB338" s="3">
        <f t="shared" si="207"/>
        <v>-0.1</v>
      </c>
      <c r="CC338" s="3">
        <f t="shared" si="208"/>
        <v>-0.1</v>
      </c>
      <c r="CD338" s="3">
        <f t="shared" si="209"/>
        <v>0.3</v>
      </c>
      <c r="CE338" s="3">
        <f t="shared" si="210"/>
        <v>1.1000000000000001</v>
      </c>
      <c r="CF338" s="23">
        <f t="shared" si="211"/>
        <v>96.1</v>
      </c>
      <c r="CG338" s="1">
        <f t="shared" si="212"/>
        <v>4.5</v>
      </c>
      <c r="CH338" s="1">
        <f t="shared" si="213"/>
        <v>3.9</v>
      </c>
      <c r="CI338" s="1">
        <f t="shared" si="214"/>
        <v>4</v>
      </c>
      <c r="CJ338" s="1">
        <f t="shared" si="215"/>
        <v>-0.1</v>
      </c>
      <c r="CK338" s="1">
        <f t="shared" si="216"/>
        <v>-0.1</v>
      </c>
      <c r="CL338" s="1">
        <f t="shared" si="217"/>
        <v>0.4</v>
      </c>
      <c r="CM338" s="1">
        <f t="shared" si="218"/>
        <v>1.2</v>
      </c>
      <c r="CN338" s="2">
        <f t="shared" si="219"/>
        <v>99.3</v>
      </c>
      <c r="CO338" s="1">
        <f t="shared" si="220"/>
        <v>-3.7</v>
      </c>
      <c r="CP338" s="1">
        <f t="shared" si="221"/>
        <v>-4.3</v>
      </c>
      <c r="CQ338" s="1">
        <f t="shared" si="222"/>
        <v>-4.4000000000000004</v>
      </c>
      <c r="CR338" s="1">
        <f t="shared" si="223"/>
        <v>-0.2</v>
      </c>
      <c r="CS338" s="1">
        <f t="shared" si="224"/>
        <v>-0.2</v>
      </c>
      <c r="CT338" s="1">
        <f t="shared" si="225"/>
        <v>0.3</v>
      </c>
      <c r="CU338" s="1">
        <f t="shared" si="226"/>
        <v>1.1000000000000001</v>
      </c>
      <c r="CV338" s="2">
        <f t="shared" si="227"/>
        <v>88.2</v>
      </c>
      <c r="CW338" s="18">
        <f t="shared" si="228"/>
        <v>696</v>
      </c>
      <c r="CX338" s="1">
        <f>ROUND(PPTest!K338,1)</f>
        <v>7</v>
      </c>
      <c r="CY338" s="17">
        <f t="shared" si="229"/>
        <v>2.09</v>
      </c>
      <c r="CZ338" s="17">
        <f t="shared" si="230"/>
        <v>8.4499999999999993</v>
      </c>
      <c r="DA338" s="20">
        <f t="shared" si="231"/>
        <v>0.745</v>
      </c>
      <c r="DB338" s="20">
        <f t="shared" si="232"/>
        <v>0.1</v>
      </c>
      <c r="DC338" s="16">
        <f t="shared" si="233"/>
        <v>11.58</v>
      </c>
      <c r="DW338" s="1">
        <v>0.3</v>
      </c>
      <c r="DX338" s="1">
        <v>5.3</v>
      </c>
      <c r="DY338" s="1">
        <v>-4.5</v>
      </c>
    </row>
    <row r="339" spans="1:129" x14ac:dyDescent="0.2">
      <c r="A339" s="40">
        <v>35032</v>
      </c>
      <c r="B339" s="42">
        <v>333</v>
      </c>
      <c r="C339" s="3">
        <v>2.0699999999999998</v>
      </c>
      <c r="D339" s="3">
        <v>3.891</v>
      </c>
      <c r="E339" s="3">
        <v>4.359</v>
      </c>
      <c r="F339" s="3">
        <v>84.9</v>
      </c>
      <c r="G339" s="3">
        <v>3.67</v>
      </c>
      <c r="H339" s="3">
        <v>3.5470000000000002</v>
      </c>
      <c r="I339" s="3">
        <v>3.4000000000000002E-2</v>
      </c>
      <c r="J339" s="3">
        <v>3.2490000000000001</v>
      </c>
      <c r="K339" s="3">
        <v>3.444</v>
      </c>
      <c r="L339" s="3">
        <v>-3.3000000000000002E-2</v>
      </c>
      <c r="M339" s="3">
        <v>0.439</v>
      </c>
      <c r="N339" s="3">
        <v>1.2</v>
      </c>
      <c r="O339" s="3">
        <v>0</v>
      </c>
      <c r="P339" s="3">
        <v>4.9158333333333335</v>
      </c>
      <c r="Q339" s="3"/>
      <c r="R339" s="3">
        <v>6.1040000000000001</v>
      </c>
      <c r="S339" s="3">
        <v>1241</v>
      </c>
      <c r="T339" s="3">
        <v>98.5</v>
      </c>
      <c r="U339" s="3">
        <v>102</v>
      </c>
      <c r="V339" s="3">
        <v>5.7770000000000001</v>
      </c>
      <c r="W339" s="3">
        <v>5.883</v>
      </c>
      <c r="X339" s="3">
        <v>0.11899999999999999</v>
      </c>
      <c r="Y339" s="3">
        <v>6.25</v>
      </c>
      <c r="Z339" s="3">
        <v>6.657</v>
      </c>
      <c r="AA339" s="3">
        <v>2.7E-2</v>
      </c>
      <c r="AB339" s="3">
        <v>0.54500000000000004</v>
      </c>
      <c r="AC339" s="3">
        <v>1.268</v>
      </c>
      <c r="AD339" s="3">
        <v>11.647500000000001</v>
      </c>
      <c r="AE339" s="3">
        <v>1538</v>
      </c>
      <c r="AF339" s="3">
        <v>1.718</v>
      </c>
      <c r="AG339" s="3">
        <v>0</v>
      </c>
      <c r="AH339" s="3">
        <v>60.04</v>
      </c>
      <c r="AI339" s="3">
        <v>1944</v>
      </c>
      <c r="AJ339" s="3">
        <v>1.1040000000000001</v>
      </c>
      <c r="AK339" s="3">
        <v>0.92</v>
      </c>
      <c r="AL339" s="3">
        <v>-8.2000000000000003E-2</v>
      </c>
      <c r="AM339" s="3">
        <v>1.0009999999999999</v>
      </c>
      <c r="AN339" s="3">
        <v>1.0349999999999999</v>
      </c>
      <c r="AO339" s="3">
        <v>-9.2999999999999999E-2</v>
      </c>
      <c r="AP339" s="3">
        <v>0.36799999999999999</v>
      </c>
      <c r="AQ339" s="3">
        <v>1.133</v>
      </c>
      <c r="AR339" s="3">
        <v>0</v>
      </c>
      <c r="AS339" s="3">
        <v>0</v>
      </c>
      <c r="AT339" s="3">
        <v>3.0000000000000001E-3</v>
      </c>
      <c r="AU339" s="3">
        <v>3.3000000000000002E-2</v>
      </c>
      <c r="AV339" s="3">
        <v>0.31900000000000001</v>
      </c>
      <c r="AW339" s="3">
        <v>0.57599999999999996</v>
      </c>
      <c r="AX339" s="3">
        <v>6.4000000000000001E-2</v>
      </c>
      <c r="AY339" s="3">
        <v>3.0000000000000001E-3</v>
      </c>
      <c r="AZ339" s="3">
        <v>2.9129999999999998</v>
      </c>
      <c r="BA339" s="3"/>
      <c r="BB339" s="3">
        <v>11.57</v>
      </c>
      <c r="BC339" s="3">
        <v>2876</v>
      </c>
      <c r="BD339" s="3"/>
      <c r="BE339" s="3"/>
      <c r="BF339" s="65">
        <f>PPTest!H339</f>
        <v>725</v>
      </c>
      <c r="BH339" s="16">
        <v>5.13</v>
      </c>
      <c r="BI339" s="16">
        <f t="shared" si="236"/>
        <v>10.3626</v>
      </c>
      <c r="BJ339" s="17">
        <f t="shared" si="237"/>
        <v>2.0699999999999998</v>
      </c>
      <c r="BK339" s="17">
        <f t="shared" si="238"/>
        <v>4.2</v>
      </c>
      <c r="BM339" s="1">
        <f t="shared" si="239"/>
        <v>92</v>
      </c>
      <c r="BN339" s="1">
        <f t="shared" si="240"/>
        <v>79.400000000000006</v>
      </c>
      <c r="BO339" s="1">
        <f t="shared" si="241"/>
        <v>56.5</v>
      </c>
      <c r="BP339" s="62">
        <f t="shared" si="243"/>
        <v>0.53200000000000003</v>
      </c>
      <c r="BQ339" s="62">
        <f t="shared" si="242"/>
        <v>0.41</v>
      </c>
      <c r="BS339" s="48">
        <f t="shared" si="235"/>
        <v>3.6</v>
      </c>
      <c r="BT339" s="8">
        <v>2.6</v>
      </c>
      <c r="BU339" s="51">
        <v>0</v>
      </c>
      <c r="BV339" s="8"/>
      <c r="BW339" s="16">
        <f t="shared" si="202"/>
        <v>2.0699999999999998</v>
      </c>
      <c r="BX339" s="16">
        <f t="shared" si="203"/>
        <v>4.2</v>
      </c>
      <c r="BY339" s="3">
        <f t="shared" si="204"/>
        <v>4.4000000000000004</v>
      </c>
      <c r="BZ339" s="3">
        <f t="shared" si="205"/>
        <v>3.7</v>
      </c>
      <c r="CA339" s="3">
        <f t="shared" si="206"/>
        <v>3.5</v>
      </c>
      <c r="CB339" s="3">
        <f t="shared" si="207"/>
        <v>0</v>
      </c>
      <c r="CC339" s="3">
        <f t="shared" si="208"/>
        <v>0</v>
      </c>
      <c r="CD339" s="3">
        <f t="shared" si="209"/>
        <v>0.4</v>
      </c>
      <c r="CE339" s="3">
        <f t="shared" si="210"/>
        <v>1.2</v>
      </c>
      <c r="CF339" s="23">
        <f t="shared" si="211"/>
        <v>79.400000000000006</v>
      </c>
      <c r="CG339" s="1">
        <f t="shared" si="212"/>
        <v>6.1</v>
      </c>
      <c r="CH339" s="1">
        <f t="shared" si="213"/>
        <v>5.8</v>
      </c>
      <c r="CI339" s="1">
        <f t="shared" si="214"/>
        <v>5.9</v>
      </c>
      <c r="CJ339" s="1">
        <f t="shared" si="215"/>
        <v>0.1</v>
      </c>
      <c r="CK339" s="1">
        <f t="shared" si="216"/>
        <v>0</v>
      </c>
      <c r="CL339" s="1">
        <f t="shared" si="217"/>
        <v>0.5</v>
      </c>
      <c r="CM339" s="1">
        <f t="shared" si="218"/>
        <v>1.3</v>
      </c>
      <c r="CN339" s="2">
        <f t="shared" si="219"/>
        <v>92</v>
      </c>
      <c r="CO339" s="1">
        <f t="shared" si="220"/>
        <v>1.7</v>
      </c>
      <c r="CP339" s="1">
        <f t="shared" si="221"/>
        <v>1.1000000000000001</v>
      </c>
      <c r="CQ339" s="1">
        <f t="shared" si="222"/>
        <v>0.9</v>
      </c>
      <c r="CR339" s="1">
        <f t="shared" si="223"/>
        <v>-0.1</v>
      </c>
      <c r="CS339" s="1">
        <f t="shared" si="224"/>
        <v>-0.1</v>
      </c>
      <c r="CT339" s="1">
        <f t="shared" si="225"/>
        <v>0.4</v>
      </c>
      <c r="CU339" s="1">
        <f t="shared" si="226"/>
        <v>1.1000000000000001</v>
      </c>
      <c r="CV339" s="2">
        <f t="shared" si="227"/>
        <v>56.5</v>
      </c>
      <c r="CW339" s="18">
        <f t="shared" si="228"/>
        <v>725</v>
      </c>
      <c r="CX339" s="1">
        <f>ROUND(PPTest!K339,1)</f>
        <v>3.8</v>
      </c>
      <c r="CY339" s="17">
        <f t="shared" si="229"/>
        <v>4.92</v>
      </c>
      <c r="CZ339" s="17">
        <f t="shared" si="230"/>
        <v>11.65</v>
      </c>
      <c r="DA339" s="20">
        <f t="shared" si="231"/>
        <v>0.53200000000000003</v>
      </c>
      <c r="DB339" s="20">
        <f t="shared" si="232"/>
        <v>0.41</v>
      </c>
      <c r="DC339" s="16">
        <f t="shared" si="233"/>
        <v>11.57</v>
      </c>
      <c r="DW339" s="1">
        <v>2.2999999999999998</v>
      </c>
      <c r="DX339" s="1">
        <v>6.4</v>
      </c>
      <c r="DY339" s="1">
        <v>-1</v>
      </c>
    </row>
    <row r="340" spans="1:129" x14ac:dyDescent="0.2">
      <c r="A340" s="40">
        <v>35033</v>
      </c>
      <c r="B340" s="42">
        <v>334</v>
      </c>
      <c r="C340" s="3">
        <v>2.3199999999999998</v>
      </c>
      <c r="D340" s="3">
        <v>4.3460000000000001</v>
      </c>
      <c r="E340" s="3">
        <v>0.41099999999999998</v>
      </c>
      <c r="F340" s="3">
        <v>74.3</v>
      </c>
      <c r="G340" s="3">
        <v>-0.2</v>
      </c>
      <c r="H340" s="3">
        <v>-0.246</v>
      </c>
      <c r="I340" s="3">
        <v>3.3000000000000002E-2</v>
      </c>
      <c r="J340" s="3">
        <v>-0.27</v>
      </c>
      <c r="K340" s="3">
        <v>-0.14000000000000001</v>
      </c>
      <c r="L340" s="3">
        <v>-9.8000000000000004E-2</v>
      </c>
      <c r="M340" s="3">
        <v>0.35</v>
      </c>
      <c r="N340" s="3">
        <v>1.1160000000000001</v>
      </c>
      <c r="O340" s="3">
        <v>0</v>
      </c>
      <c r="P340" s="3">
        <v>4.0674999999999999</v>
      </c>
      <c r="Q340" s="3"/>
      <c r="R340" s="3">
        <v>1.9039999999999999</v>
      </c>
      <c r="S340" s="3">
        <v>1204</v>
      </c>
      <c r="T340" s="3">
        <v>82.6</v>
      </c>
      <c r="U340" s="3">
        <v>115</v>
      </c>
      <c r="V340" s="3">
        <v>2.0070000000000001</v>
      </c>
      <c r="W340" s="3">
        <v>1.7909999999999999</v>
      </c>
      <c r="X340" s="3">
        <v>9.4E-2</v>
      </c>
      <c r="Y340" s="3">
        <v>3.0630000000000002</v>
      </c>
      <c r="Z340" s="3">
        <v>4.5830000000000002</v>
      </c>
      <c r="AA340" s="3">
        <v>-3.3000000000000002E-2</v>
      </c>
      <c r="AB340" s="3">
        <v>0.40699999999999997</v>
      </c>
      <c r="AC340" s="3">
        <v>1.177</v>
      </c>
      <c r="AD340" s="3">
        <v>9.8074999999999992</v>
      </c>
      <c r="AE340" s="3">
        <v>9</v>
      </c>
      <c r="AF340" s="3">
        <v>-0.17499999999999999</v>
      </c>
      <c r="AG340" s="3">
        <v>806</v>
      </c>
      <c r="AH340" s="3">
        <v>64.25</v>
      </c>
      <c r="AI340" s="3">
        <v>1205</v>
      </c>
      <c r="AJ340" s="3">
        <v>-0.88700000000000001</v>
      </c>
      <c r="AK340" s="3">
        <v>-1.087</v>
      </c>
      <c r="AL340" s="3">
        <v>2E-3</v>
      </c>
      <c r="AM340" s="3">
        <v>-0.78400000000000003</v>
      </c>
      <c r="AN340" s="3">
        <v>-0.85899999999999999</v>
      </c>
      <c r="AO340" s="3">
        <v>-0.14299999999999999</v>
      </c>
      <c r="AP340" s="3">
        <v>0.314</v>
      </c>
      <c r="AQ340" s="3">
        <v>1.054</v>
      </c>
      <c r="AR340" s="3">
        <v>0</v>
      </c>
      <c r="AS340" s="3">
        <v>0</v>
      </c>
      <c r="AT340" s="3">
        <v>3.0000000000000001E-3</v>
      </c>
      <c r="AU340" s="3">
        <v>1.2E-2</v>
      </c>
      <c r="AV340" s="3">
        <v>0.29899999999999999</v>
      </c>
      <c r="AW340" s="3">
        <v>0.626</v>
      </c>
      <c r="AX340" s="3">
        <v>5.6000000000000001E-2</v>
      </c>
      <c r="AY340" s="3">
        <v>3.0000000000000001E-3</v>
      </c>
      <c r="AZ340" s="3">
        <v>-0.65500000000000003</v>
      </c>
      <c r="BA340" s="3"/>
      <c r="BB340" s="3">
        <v>11.04</v>
      </c>
      <c r="BC340" s="3">
        <v>2876</v>
      </c>
      <c r="BD340" s="3"/>
      <c r="BE340" s="3"/>
      <c r="BF340" s="65">
        <f>PPTest!H340</f>
        <v>705</v>
      </c>
      <c r="BH340" s="16">
        <v>5.0599999999999996</v>
      </c>
      <c r="BI340" s="16">
        <f t="shared" si="236"/>
        <v>10.2212</v>
      </c>
      <c r="BJ340" s="17">
        <f t="shared" si="237"/>
        <v>2.3199999999999998</v>
      </c>
      <c r="BK340" s="17">
        <f t="shared" si="238"/>
        <v>4.6900000000000004</v>
      </c>
      <c r="BM340" s="1">
        <f t="shared" si="239"/>
        <v>77.3</v>
      </c>
      <c r="BN340" s="1">
        <f t="shared" si="240"/>
        <v>69.7</v>
      </c>
      <c r="BO340" s="1">
        <f t="shared" si="241"/>
        <v>60.4</v>
      </c>
      <c r="BP340" s="62">
        <f t="shared" si="243"/>
        <v>0.42299999999999999</v>
      </c>
      <c r="BQ340" s="62">
        <f t="shared" si="242"/>
        <v>0.27700000000000002</v>
      </c>
      <c r="BS340" s="48">
        <f t="shared" si="235"/>
        <v>0</v>
      </c>
      <c r="BT340" s="8">
        <v>0</v>
      </c>
      <c r="BU340" s="51">
        <v>0</v>
      </c>
      <c r="BV340" s="8"/>
      <c r="BW340" s="16">
        <f t="shared" si="202"/>
        <v>2.3199999999999998</v>
      </c>
      <c r="BX340" s="16">
        <f t="shared" si="203"/>
        <v>4.6900000000000004</v>
      </c>
      <c r="BY340" s="3">
        <f t="shared" si="204"/>
        <v>0.4</v>
      </c>
      <c r="BZ340" s="3">
        <f t="shared" si="205"/>
        <v>-0.2</v>
      </c>
      <c r="CA340" s="3">
        <f t="shared" si="206"/>
        <v>-0.2</v>
      </c>
      <c r="CB340" s="3">
        <f t="shared" si="207"/>
        <v>0</v>
      </c>
      <c r="CC340" s="3">
        <f t="shared" si="208"/>
        <v>-0.1</v>
      </c>
      <c r="CD340" s="3">
        <f t="shared" si="209"/>
        <v>0.4</v>
      </c>
      <c r="CE340" s="3">
        <f t="shared" si="210"/>
        <v>1.1000000000000001</v>
      </c>
      <c r="CF340" s="23">
        <f t="shared" si="211"/>
        <v>69.7</v>
      </c>
      <c r="CG340" s="1">
        <f t="shared" si="212"/>
        <v>1.9</v>
      </c>
      <c r="CH340" s="1">
        <f t="shared" si="213"/>
        <v>2</v>
      </c>
      <c r="CI340" s="1">
        <f t="shared" si="214"/>
        <v>1.8</v>
      </c>
      <c r="CJ340" s="1">
        <f t="shared" si="215"/>
        <v>0.1</v>
      </c>
      <c r="CK340" s="1">
        <f t="shared" si="216"/>
        <v>0</v>
      </c>
      <c r="CL340" s="1">
        <f t="shared" si="217"/>
        <v>0.4</v>
      </c>
      <c r="CM340" s="1">
        <f t="shared" si="218"/>
        <v>1.2</v>
      </c>
      <c r="CN340" s="2">
        <f t="shared" si="219"/>
        <v>77.3</v>
      </c>
      <c r="CO340" s="1">
        <f t="shared" si="220"/>
        <v>-0.2</v>
      </c>
      <c r="CP340" s="1">
        <f t="shared" si="221"/>
        <v>-0.9</v>
      </c>
      <c r="CQ340" s="1">
        <f t="shared" si="222"/>
        <v>-1.1000000000000001</v>
      </c>
      <c r="CR340" s="1">
        <f t="shared" si="223"/>
        <v>0</v>
      </c>
      <c r="CS340" s="1">
        <f t="shared" si="224"/>
        <v>-0.1</v>
      </c>
      <c r="CT340" s="1">
        <f t="shared" si="225"/>
        <v>0.3</v>
      </c>
      <c r="CU340" s="1">
        <f t="shared" si="226"/>
        <v>1.1000000000000001</v>
      </c>
      <c r="CV340" s="2">
        <f t="shared" si="227"/>
        <v>60.4</v>
      </c>
      <c r="CW340" s="18">
        <f t="shared" si="228"/>
        <v>705</v>
      </c>
      <c r="CX340" s="1">
        <f>ROUND(PPTest!K340,1)</f>
        <v>0</v>
      </c>
      <c r="CY340" s="17">
        <f t="shared" si="229"/>
        <v>4.07</v>
      </c>
      <c r="CZ340" s="17">
        <f t="shared" si="230"/>
        <v>9.81</v>
      </c>
      <c r="DA340" s="20">
        <f t="shared" si="231"/>
        <v>0.42299999999999999</v>
      </c>
      <c r="DB340" s="20">
        <f t="shared" si="232"/>
        <v>0.27700000000000002</v>
      </c>
      <c r="DC340" s="16">
        <f t="shared" si="233"/>
        <v>11.04</v>
      </c>
      <c r="DW340" s="1">
        <v>-0.8</v>
      </c>
      <c r="DX340" s="1">
        <v>4.8</v>
      </c>
      <c r="DY340" s="1">
        <v>-3.4</v>
      </c>
    </row>
    <row r="341" spans="1:129" x14ac:dyDescent="0.2">
      <c r="A341" s="40">
        <v>35034</v>
      </c>
      <c r="B341" s="42">
        <v>335</v>
      </c>
      <c r="C341" s="3">
        <v>2.9910000000000001</v>
      </c>
      <c r="D341" s="3">
        <v>5.4279999999999999</v>
      </c>
      <c r="E341" s="3">
        <v>-1.88</v>
      </c>
      <c r="F341" s="3">
        <v>75.3</v>
      </c>
      <c r="G341" s="3">
        <v>-2.4849999999999999</v>
      </c>
      <c r="H341" s="3">
        <v>-2.508</v>
      </c>
      <c r="I341" s="3">
        <v>-1.7999999999999999E-2</v>
      </c>
      <c r="J341" s="3">
        <v>-2.1859999999999999</v>
      </c>
      <c r="K341" s="3">
        <v>-1.9970000000000001</v>
      </c>
      <c r="L341" s="3">
        <v>-0.108</v>
      </c>
      <c r="M341" s="3">
        <v>0.32800000000000001</v>
      </c>
      <c r="N341" s="3">
        <v>1.083</v>
      </c>
      <c r="O341" s="3">
        <v>0</v>
      </c>
      <c r="P341" s="3">
        <v>3.2358333333333333</v>
      </c>
      <c r="Q341" s="3"/>
      <c r="R341" s="3">
        <v>0.10199999999999999</v>
      </c>
      <c r="S341" s="3">
        <v>27</v>
      </c>
      <c r="T341" s="3">
        <v>101.1</v>
      </c>
      <c r="U341" s="3">
        <v>349</v>
      </c>
      <c r="V341" s="3">
        <v>-0.501</v>
      </c>
      <c r="W341" s="3">
        <v>-0.36299999999999999</v>
      </c>
      <c r="X341" s="3">
        <v>3.5000000000000003E-2</v>
      </c>
      <c r="Y341" s="3">
        <v>-0.747</v>
      </c>
      <c r="Z341" s="3">
        <v>-0.52700000000000002</v>
      </c>
      <c r="AA341" s="3">
        <v>-6.8000000000000005E-2</v>
      </c>
      <c r="AB341" s="3">
        <v>0.36799999999999999</v>
      </c>
      <c r="AC341" s="3">
        <v>1.127</v>
      </c>
      <c r="AD341" s="3">
        <v>7.9541666666666666</v>
      </c>
      <c r="AE341" s="3">
        <v>1204</v>
      </c>
      <c r="AF341" s="3">
        <v>-4.907</v>
      </c>
      <c r="AG341" s="3">
        <v>2350</v>
      </c>
      <c r="AH341" s="3">
        <v>54.98</v>
      </c>
      <c r="AI341" s="3">
        <v>1413</v>
      </c>
      <c r="AJ341" s="3">
        <v>-5.3339999999999996</v>
      </c>
      <c r="AK341" s="3">
        <v>-5.9130000000000003</v>
      </c>
      <c r="AL341" s="3">
        <v>-9.6000000000000002E-2</v>
      </c>
      <c r="AM341" s="3">
        <v>-5.1639999999999997</v>
      </c>
      <c r="AN341" s="3">
        <v>-5.1989999999999998</v>
      </c>
      <c r="AO341" s="3">
        <v>-0.14899999999999999</v>
      </c>
      <c r="AP341" s="3">
        <v>0.26700000000000002</v>
      </c>
      <c r="AQ341" s="3">
        <v>1.028</v>
      </c>
      <c r="AR341" s="3">
        <v>2E-3</v>
      </c>
      <c r="AS341" s="3">
        <v>3.0000000000000001E-3</v>
      </c>
      <c r="AT341" s="3">
        <v>1.9E-2</v>
      </c>
      <c r="AU341" s="3">
        <v>4.5999999999999999E-2</v>
      </c>
      <c r="AV341" s="3">
        <v>0.33700000000000002</v>
      </c>
      <c r="AW341" s="3">
        <v>0.52300000000000002</v>
      </c>
      <c r="AX341" s="3">
        <v>6.2E-2</v>
      </c>
      <c r="AY341" s="3">
        <v>8.0000000000000002E-3</v>
      </c>
      <c r="AZ341" s="3">
        <v>-2.9689999999999999</v>
      </c>
      <c r="BA341" s="3"/>
      <c r="BB341" s="3">
        <v>11.01</v>
      </c>
      <c r="BC341" s="3">
        <v>2876</v>
      </c>
      <c r="BD341" s="3"/>
      <c r="BE341" s="3"/>
      <c r="BF341" s="65">
        <f>PPTest!H341</f>
        <v>685</v>
      </c>
      <c r="BH341" s="16">
        <v>5</v>
      </c>
      <c r="BI341" s="16">
        <f t="shared" si="236"/>
        <v>10.1</v>
      </c>
      <c r="BJ341" s="17">
        <f t="shared" si="237"/>
        <v>2.99</v>
      </c>
      <c r="BK341" s="17">
        <f t="shared" si="238"/>
        <v>5.86</v>
      </c>
      <c r="BM341" s="1">
        <f t="shared" si="239"/>
        <v>94.4</v>
      </c>
      <c r="BN341" s="1">
        <f t="shared" si="240"/>
        <v>70.599999999999994</v>
      </c>
      <c r="BO341" s="1">
        <f t="shared" si="241"/>
        <v>51.8</v>
      </c>
      <c r="BP341" s="62">
        <f t="shared" si="243"/>
        <v>0.31900000000000001</v>
      </c>
      <c r="BQ341" s="62">
        <f t="shared" si="242"/>
        <v>0.29699999999999999</v>
      </c>
      <c r="BS341" s="52">
        <f>BU$3*BU341</f>
        <v>0</v>
      </c>
      <c r="BT341" s="8">
        <v>2.8</v>
      </c>
      <c r="BU341" s="51">
        <v>0</v>
      </c>
      <c r="BV341" s="8"/>
      <c r="BW341" s="16">
        <f t="shared" si="202"/>
        <v>2.99</v>
      </c>
      <c r="BX341" s="16">
        <f t="shared" si="203"/>
        <v>5.86</v>
      </c>
      <c r="BY341" s="3">
        <f t="shared" si="204"/>
        <v>-1.9</v>
      </c>
      <c r="BZ341" s="3">
        <f t="shared" si="205"/>
        <v>-2.5</v>
      </c>
      <c r="CA341" s="3">
        <f t="shared" si="206"/>
        <v>-2.5</v>
      </c>
      <c r="CB341" s="3">
        <f t="shared" si="207"/>
        <v>0</v>
      </c>
      <c r="CC341" s="3">
        <f t="shared" si="208"/>
        <v>-0.1</v>
      </c>
      <c r="CD341" s="3">
        <f t="shared" si="209"/>
        <v>0.3</v>
      </c>
      <c r="CE341" s="3">
        <f t="shared" si="210"/>
        <v>1.1000000000000001</v>
      </c>
      <c r="CF341" s="23">
        <f t="shared" si="211"/>
        <v>70.599999999999994</v>
      </c>
      <c r="CG341" s="1">
        <f t="shared" si="212"/>
        <v>0.1</v>
      </c>
      <c r="CH341" s="1">
        <f t="shared" si="213"/>
        <v>-0.5</v>
      </c>
      <c r="CI341" s="1">
        <f t="shared" si="214"/>
        <v>-0.4</v>
      </c>
      <c r="CJ341" s="1">
        <f t="shared" si="215"/>
        <v>0</v>
      </c>
      <c r="CK341" s="1">
        <f t="shared" si="216"/>
        <v>-0.1</v>
      </c>
      <c r="CL341" s="1">
        <f t="shared" si="217"/>
        <v>0.4</v>
      </c>
      <c r="CM341" s="1">
        <f t="shared" si="218"/>
        <v>1.1000000000000001</v>
      </c>
      <c r="CN341" s="2">
        <f t="shared" si="219"/>
        <v>94.4</v>
      </c>
      <c r="CO341" s="1">
        <f t="shared" si="220"/>
        <v>-4.9000000000000004</v>
      </c>
      <c r="CP341" s="1">
        <f t="shared" si="221"/>
        <v>-5.3</v>
      </c>
      <c r="CQ341" s="1">
        <f t="shared" si="222"/>
        <v>-5.9</v>
      </c>
      <c r="CR341" s="1">
        <f t="shared" si="223"/>
        <v>-0.1</v>
      </c>
      <c r="CS341" s="1">
        <f t="shared" si="224"/>
        <v>-0.1</v>
      </c>
      <c r="CT341" s="1">
        <f t="shared" si="225"/>
        <v>0.3</v>
      </c>
      <c r="CU341" s="1">
        <f t="shared" si="226"/>
        <v>1</v>
      </c>
      <c r="CV341" s="2">
        <f t="shared" si="227"/>
        <v>51.8</v>
      </c>
      <c r="CW341" s="18">
        <f t="shared" si="228"/>
        <v>685</v>
      </c>
      <c r="CX341" s="1">
        <f>ROUND(PPTest!K341,1)</f>
        <v>0</v>
      </c>
      <c r="CY341" s="17">
        <f t="shared" si="229"/>
        <v>3.24</v>
      </c>
      <c r="CZ341" s="17">
        <f t="shared" si="230"/>
        <v>7.95</v>
      </c>
      <c r="DA341" s="20">
        <f t="shared" si="231"/>
        <v>0.31900000000000001</v>
      </c>
      <c r="DB341" s="20">
        <f t="shared" si="232"/>
        <v>0.29699999999999999</v>
      </c>
      <c r="DC341" s="16">
        <f t="shared" si="233"/>
        <v>11.01</v>
      </c>
      <c r="DW341" s="1">
        <v>-4.3</v>
      </c>
      <c r="DX341" s="1">
        <v>0.7</v>
      </c>
      <c r="DY341" s="1">
        <v>-9.4</v>
      </c>
    </row>
    <row r="342" spans="1:129" x14ac:dyDescent="0.2">
      <c r="A342" s="40">
        <v>35035</v>
      </c>
      <c r="B342" s="42">
        <v>336</v>
      </c>
      <c r="C342" s="3">
        <v>1.63</v>
      </c>
      <c r="D342" s="3">
        <v>3.044</v>
      </c>
      <c r="E342" s="3">
        <v>-5.5869999999999997</v>
      </c>
      <c r="F342" s="3">
        <v>82.1</v>
      </c>
      <c r="G342" s="3">
        <v>-6.1550000000000002</v>
      </c>
      <c r="H342" s="3">
        <v>-6.218</v>
      </c>
      <c r="I342" s="3">
        <v>-0.252</v>
      </c>
      <c r="J342" s="3">
        <v>-6.4480000000000004</v>
      </c>
      <c r="K342" s="3">
        <v>-6.3029999999999999</v>
      </c>
      <c r="L342" s="3">
        <v>-9.5000000000000001E-2</v>
      </c>
      <c r="M342" s="3">
        <v>0.33400000000000002</v>
      </c>
      <c r="N342" s="3">
        <v>1.0680000000000001</v>
      </c>
      <c r="O342" s="3">
        <v>0</v>
      </c>
      <c r="P342" s="3">
        <v>3.6391666666666671</v>
      </c>
      <c r="Q342" s="3"/>
      <c r="R342" s="3">
        <v>-3.7770000000000001</v>
      </c>
      <c r="S342" s="3">
        <v>144</v>
      </c>
      <c r="T342" s="3">
        <v>101.8</v>
      </c>
      <c r="U342" s="3">
        <v>934</v>
      </c>
      <c r="V342" s="3">
        <v>-4.1900000000000004</v>
      </c>
      <c r="W342" s="3">
        <v>-4.056</v>
      </c>
      <c r="X342" s="3">
        <v>-5.8000000000000003E-2</v>
      </c>
      <c r="Y342" s="3">
        <v>-4.8310000000000004</v>
      </c>
      <c r="Z342" s="3">
        <v>-4.633</v>
      </c>
      <c r="AA342" s="3">
        <v>-3.5999999999999997E-2</v>
      </c>
      <c r="AB342" s="3">
        <v>0.39900000000000002</v>
      </c>
      <c r="AC342" s="3">
        <v>1.1319999999999999</v>
      </c>
      <c r="AD342" s="3">
        <v>8.7274999999999991</v>
      </c>
      <c r="AE342" s="3">
        <v>752</v>
      </c>
      <c r="AF342" s="3">
        <v>-8.26</v>
      </c>
      <c r="AG342" s="3">
        <v>2121</v>
      </c>
      <c r="AH342" s="3">
        <v>61.87</v>
      </c>
      <c r="AI342" s="3">
        <v>1714</v>
      </c>
      <c r="AJ342" s="3">
        <v>-10.11</v>
      </c>
      <c r="AK342" s="3">
        <v>-12.28</v>
      </c>
      <c r="AL342" s="3">
        <v>-0.42899999999999999</v>
      </c>
      <c r="AM342" s="3">
        <v>-10.53</v>
      </c>
      <c r="AN342" s="3">
        <v>-10.23</v>
      </c>
      <c r="AO342" s="3">
        <v>-0.13700000000000001</v>
      </c>
      <c r="AP342" s="3">
        <v>0.28999999999999998</v>
      </c>
      <c r="AQ342" s="3">
        <v>1.0249999999999999</v>
      </c>
      <c r="AR342" s="3">
        <v>4.0000000000000001E-3</v>
      </c>
      <c r="AS342" s="3">
        <v>4.0000000000000001E-3</v>
      </c>
      <c r="AT342" s="3">
        <v>2.7E-2</v>
      </c>
      <c r="AU342" s="3">
        <v>5.6000000000000001E-2</v>
      </c>
      <c r="AV342" s="3">
        <v>0.314</v>
      </c>
      <c r="AW342" s="3">
        <v>0.52700000000000002</v>
      </c>
      <c r="AX342" s="3">
        <v>6.3E-2</v>
      </c>
      <c r="AY342" s="3">
        <v>6.0000000000000001E-3</v>
      </c>
      <c r="AZ342" s="3">
        <v>-6.9089999999999998</v>
      </c>
      <c r="BA342" s="3"/>
      <c r="BB342" s="3">
        <v>10.96</v>
      </c>
      <c r="BC342" s="3">
        <v>2876</v>
      </c>
      <c r="BD342" s="3"/>
      <c r="BE342" s="3"/>
      <c r="BF342" s="65">
        <f>PPTest!H342</f>
        <v>665</v>
      </c>
      <c r="BH342" s="16">
        <v>4.93</v>
      </c>
      <c r="BI342" s="16">
        <f t="shared" si="236"/>
        <v>9.9585999999999988</v>
      </c>
      <c r="BJ342" s="17">
        <f t="shared" si="237"/>
        <v>1.63</v>
      </c>
      <c r="BK342" s="17">
        <f t="shared" si="238"/>
        <v>3.29</v>
      </c>
      <c r="BM342" s="1">
        <f t="shared" si="239"/>
        <v>95.1</v>
      </c>
      <c r="BN342" s="1">
        <f t="shared" si="240"/>
        <v>76.900000000000006</v>
      </c>
      <c r="BO342" s="1">
        <f t="shared" si="241"/>
        <v>58.2</v>
      </c>
      <c r="BP342" s="62">
        <f t="shared" si="243"/>
        <v>0.26900000000000002</v>
      </c>
      <c r="BQ342" s="62">
        <f t="shared" si="242"/>
        <v>0.193</v>
      </c>
      <c r="BS342" s="52">
        <f t="shared" ref="BS342:BS371" si="244">BU$3*BU342</f>
        <v>0</v>
      </c>
      <c r="BT342" s="8">
        <v>0</v>
      </c>
      <c r="BU342" s="51">
        <v>0</v>
      </c>
      <c r="BV342" s="8"/>
      <c r="BW342" s="16">
        <f t="shared" si="202"/>
        <v>1.63</v>
      </c>
      <c r="BX342" s="16">
        <f t="shared" si="203"/>
        <v>3.29</v>
      </c>
      <c r="BY342" s="3">
        <f t="shared" si="204"/>
        <v>-5.6</v>
      </c>
      <c r="BZ342" s="3">
        <f t="shared" si="205"/>
        <v>-6.2</v>
      </c>
      <c r="CA342" s="3">
        <f t="shared" si="206"/>
        <v>-6.2</v>
      </c>
      <c r="CB342" s="3">
        <f t="shared" si="207"/>
        <v>-0.3</v>
      </c>
      <c r="CC342" s="3">
        <f t="shared" si="208"/>
        <v>-0.1</v>
      </c>
      <c r="CD342" s="3">
        <f t="shared" si="209"/>
        <v>0.3</v>
      </c>
      <c r="CE342" s="3">
        <f t="shared" si="210"/>
        <v>1.1000000000000001</v>
      </c>
      <c r="CF342" s="23">
        <f t="shared" si="211"/>
        <v>76.900000000000006</v>
      </c>
      <c r="CG342" s="1">
        <f t="shared" si="212"/>
        <v>-3.8</v>
      </c>
      <c r="CH342" s="1">
        <f t="shared" si="213"/>
        <v>-4.2</v>
      </c>
      <c r="CI342" s="1">
        <f t="shared" si="214"/>
        <v>-4.0999999999999996</v>
      </c>
      <c r="CJ342" s="1">
        <f t="shared" si="215"/>
        <v>-0.1</v>
      </c>
      <c r="CK342" s="1">
        <f t="shared" si="216"/>
        <v>0</v>
      </c>
      <c r="CL342" s="1">
        <f t="shared" si="217"/>
        <v>0.4</v>
      </c>
      <c r="CM342" s="1">
        <f t="shared" si="218"/>
        <v>1.1000000000000001</v>
      </c>
      <c r="CN342" s="2">
        <f t="shared" si="219"/>
        <v>95.1</v>
      </c>
      <c r="CO342" s="1">
        <f t="shared" si="220"/>
        <v>-8.3000000000000007</v>
      </c>
      <c r="CP342" s="1">
        <f t="shared" si="221"/>
        <v>-10.1</v>
      </c>
      <c r="CQ342" s="1">
        <f t="shared" si="222"/>
        <v>-12.3</v>
      </c>
      <c r="CR342" s="1">
        <f t="shared" si="223"/>
        <v>-0.4</v>
      </c>
      <c r="CS342" s="1">
        <f t="shared" si="224"/>
        <v>-0.1</v>
      </c>
      <c r="CT342" s="1">
        <f t="shared" si="225"/>
        <v>0.3</v>
      </c>
      <c r="CU342" s="1">
        <f t="shared" si="226"/>
        <v>1</v>
      </c>
      <c r="CV342" s="2">
        <f t="shared" si="227"/>
        <v>58.2</v>
      </c>
      <c r="CW342" s="18">
        <f t="shared" si="228"/>
        <v>665</v>
      </c>
      <c r="CX342" s="1">
        <f>ROUND(PPTest!K342,1)</f>
        <v>0</v>
      </c>
      <c r="CY342" s="17">
        <f t="shared" si="229"/>
        <v>3.64</v>
      </c>
      <c r="CZ342" s="17">
        <f t="shared" si="230"/>
        <v>8.73</v>
      </c>
      <c r="DA342" s="20">
        <f t="shared" si="231"/>
        <v>0.26900000000000002</v>
      </c>
      <c r="DB342" s="20">
        <f t="shared" si="232"/>
        <v>0.193</v>
      </c>
      <c r="DC342" s="16">
        <f t="shared" si="233"/>
        <v>10.96</v>
      </c>
      <c r="DW342" s="1">
        <v>-6.3</v>
      </c>
      <c r="DX342" s="1">
        <v>-3.6</v>
      </c>
      <c r="DY342" s="1">
        <v>-11.6</v>
      </c>
    </row>
    <row r="343" spans="1:129" x14ac:dyDescent="0.2">
      <c r="A343" s="40">
        <v>35036</v>
      </c>
      <c r="B343" s="42">
        <v>337</v>
      </c>
      <c r="C343" s="3">
        <v>2.2610000000000001</v>
      </c>
      <c r="D343" s="3">
        <v>4.2069999999999999</v>
      </c>
      <c r="E343" s="3">
        <v>-4.9619999999999997</v>
      </c>
      <c r="F343" s="3">
        <v>77.099999999999994</v>
      </c>
      <c r="G343" s="3">
        <v>-5.4450000000000003</v>
      </c>
      <c r="H343" s="3">
        <v>-5.4669999999999996</v>
      </c>
      <c r="I343" s="3">
        <v>-0.56100000000000005</v>
      </c>
      <c r="J343" s="3">
        <v>-5.4989999999999997</v>
      </c>
      <c r="K343" s="3">
        <v>-5.4210000000000003</v>
      </c>
      <c r="L343" s="3">
        <v>-9.2999999999999999E-2</v>
      </c>
      <c r="M343" s="3">
        <v>0.33600000000000002</v>
      </c>
      <c r="N343" s="3">
        <v>1.0409999999999999</v>
      </c>
      <c r="O343" s="3">
        <v>0</v>
      </c>
      <c r="P343" s="3">
        <v>2.9091666666666671</v>
      </c>
      <c r="Q343" s="3"/>
      <c r="R343" s="3">
        <v>-3.7250000000000001</v>
      </c>
      <c r="S343" s="3">
        <v>1201</v>
      </c>
      <c r="T343" s="3">
        <v>100</v>
      </c>
      <c r="U343" s="3">
        <v>2307</v>
      </c>
      <c r="V343" s="3">
        <v>-3.895</v>
      </c>
      <c r="W343" s="3">
        <v>-3.948</v>
      </c>
      <c r="X343" s="3">
        <v>-0.40400000000000003</v>
      </c>
      <c r="Y343" s="3">
        <v>-3.7559999999999998</v>
      </c>
      <c r="Z343" s="3">
        <v>-3.4409999999999998</v>
      </c>
      <c r="AA343" s="3">
        <v>-6.4000000000000001E-2</v>
      </c>
      <c r="AB343" s="3">
        <v>0.36299999999999999</v>
      </c>
      <c r="AC343" s="3">
        <v>1.083</v>
      </c>
      <c r="AD343" s="3">
        <v>8.0341666666666658</v>
      </c>
      <c r="AE343" s="3">
        <v>2046</v>
      </c>
      <c r="AF343" s="3">
        <v>-6.3280000000000003</v>
      </c>
      <c r="AG343" s="3">
        <v>27</v>
      </c>
      <c r="AH343" s="3">
        <v>63.78</v>
      </c>
      <c r="AI343" s="3">
        <v>411</v>
      </c>
      <c r="AJ343" s="3">
        <v>-7.27</v>
      </c>
      <c r="AK343" s="3">
        <v>-7.96</v>
      </c>
      <c r="AL343" s="3">
        <v>-0.69199999999999995</v>
      </c>
      <c r="AM343" s="3">
        <v>-7.58</v>
      </c>
      <c r="AN343" s="3">
        <v>-7.59</v>
      </c>
      <c r="AO343" s="3">
        <v>-0.129</v>
      </c>
      <c r="AP343" s="3">
        <v>0.29699999999999999</v>
      </c>
      <c r="AQ343" s="3">
        <v>1</v>
      </c>
      <c r="AR343" s="3">
        <v>0.04</v>
      </c>
      <c r="AS343" s="3">
        <v>7.2999999999999995E-2</v>
      </c>
      <c r="AT343" s="3">
        <v>0.11700000000000001</v>
      </c>
      <c r="AU343" s="3">
        <v>0.14799999999999999</v>
      </c>
      <c r="AV343" s="3">
        <v>0.18</v>
      </c>
      <c r="AW343" s="3">
        <v>0.25800000000000001</v>
      </c>
      <c r="AX343" s="3">
        <v>0.14000000000000001</v>
      </c>
      <c r="AY343" s="3">
        <v>4.4999999999999998E-2</v>
      </c>
      <c r="AZ343" s="3">
        <v>-6.0190000000000001</v>
      </c>
      <c r="BA343" s="3"/>
      <c r="BB343" s="3">
        <v>10.98</v>
      </c>
      <c r="BC343" s="3">
        <v>2876</v>
      </c>
      <c r="BD343" s="3"/>
      <c r="BE343" s="3"/>
      <c r="BF343" s="65">
        <f>PPTest!H343</f>
        <v>645</v>
      </c>
      <c r="BH343" s="16">
        <v>4.87</v>
      </c>
      <c r="BI343" s="16">
        <f t="shared" si="236"/>
        <v>9.8374000000000006</v>
      </c>
      <c r="BJ343" s="17">
        <f t="shared" si="237"/>
        <v>2.2599999999999998</v>
      </c>
      <c r="BK343" s="17">
        <f t="shared" si="238"/>
        <v>4.54</v>
      </c>
      <c r="BM343" s="1">
        <f t="shared" si="239"/>
        <v>93.4</v>
      </c>
      <c r="BN343" s="1">
        <f t="shared" si="240"/>
        <v>72.2</v>
      </c>
      <c r="BO343" s="1">
        <f t="shared" si="241"/>
        <v>59.9</v>
      </c>
      <c r="BP343" s="62">
        <f t="shared" si="243"/>
        <v>0.27800000000000002</v>
      </c>
      <c r="BQ343" s="62">
        <f t="shared" si="242"/>
        <v>0.186</v>
      </c>
      <c r="BS343" s="52">
        <f t="shared" si="244"/>
        <v>0</v>
      </c>
      <c r="BT343" s="8">
        <v>5.4</v>
      </c>
      <c r="BU343" s="51">
        <v>0</v>
      </c>
      <c r="BV343" s="8"/>
      <c r="BW343" s="16">
        <f t="shared" si="202"/>
        <v>2.2599999999999998</v>
      </c>
      <c r="BX343" s="16">
        <f t="shared" si="203"/>
        <v>4.54</v>
      </c>
      <c r="BY343" s="3">
        <f t="shared" si="204"/>
        <v>-5</v>
      </c>
      <c r="BZ343" s="3">
        <f t="shared" si="205"/>
        <v>-5.4</v>
      </c>
      <c r="CA343" s="3">
        <f t="shared" si="206"/>
        <v>-5.5</v>
      </c>
      <c r="CB343" s="3">
        <f t="shared" si="207"/>
        <v>-0.6</v>
      </c>
      <c r="CC343" s="3">
        <f t="shared" si="208"/>
        <v>-0.1</v>
      </c>
      <c r="CD343" s="3">
        <f t="shared" si="209"/>
        <v>0.3</v>
      </c>
      <c r="CE343" s="3">
        <f t="shared" si="210"/>
        <v>1</v>
      </c>
      <c r="CF343" s="23">
        <f t="shared" si="211"/>
        <v>72.2</v>
      </c>
      <c r="CG343" s="1">
        <f t="shared" si="212"/>
        <v>-3.7</v>
      </c>
      <c r="CH343" s="1">
        <f t="shared" si="213"/>
        <v>-3.9</v>
      </c>
      <c r="CI343" s="1">
        <f t="shared" si="214"/>
        <v>-3.9</v>
      </c>
      <c r="CJ343" s="1">
        <f t="shared" si="215"/>
        <v>-0.4</v>
      </c>
      <c r="CK343" s="1">
        <f t="shared" si="216"/>
        <v>-0.1</v>
      </c>
      <c r="CL343" s="1">
        <f t="shared" si="217"/>
        <v>0.4</v>
      </c>
      <c r="CM343" s="1">
        <f t="shared" si="218"/>
        <v>1.1000000000000001</v>
      </c>
      <c r="CN343" s="2">
        <f t="shared" si="219"/>
        <v>93.4</v>
      </c>
      <c r="CO343" s="1">
        <f t="shared" si="220"/>
        <v>-6.3</v>
      </c>
      <c r="CP343" s="1">
        <f t="shared" si="221"/>
        <v>-7.3</v>
      </c>
      <c r="CQ343" s="1">
        <f t="shared" si="222"/>
        <v>-8</v>
      </c>
      <c r="CR343" s="1">
        <f t="shared" si="223"/>
        <v>-0.7</v>
      </c>
      <c r="CS343" s="1">
        <f t="shared" si="224"/>
        <v>-0.1</v>
      </c>
      <c r="CT343" s="1">
        <f t="shared" si="225"/>
        <v>0.3</v>
      </c>
      <c r="CU343" s="1">
        <f t="shared" si="226"/>
        <v>1</v>
      </c>
      <c r="CV343" s="2">
        <f t="shared" si="227"/>
        <v>59.9</v>
      </c>
      <c r="CW343" s="18">
        <f t="shared" si="228"/>
        <v>645</v>
      </c>
      <c r="CX343" s="1">
        <f>ROUND(PPTest!K343,1)</f>
        <v>0</v>
      </c>
      <c r="CY343" s="17">
        <f t="shared" si="229"/>
        <v>2.91</v>
      </c>
      <c r="CZ343" s="17">
        <f t="shared" si="230"/>
        <v>8.0299999999999994</v>
      </c>
      <c r="DA343" s="20">
        <f t="shared" si="231"/>
        <v>0.27800000000000002</v>
      </c>
      <c r="DB343" s="20">
        <f t="shared" si="232"/>
        <v>0.186</v>
      </c>
      <c r="DC343" s="16">
        <f t="shared" si="233"/>
        <v>10.98</v>
      </c>
      <c r="DW343" s="1">
        <v>-6.8</v>
      </c>
      <c r="DX343" s="1">
        <v>-3.4</v>
      </c>
      <c r="DY343" s="1">
        <v>-13.5</v>
      </c>
    </row>
    <row r="344" spans="1:129" x14ac:dyDescent="0.2">
      <c r="A344" s="40">
        <v>35037</v>
      </c>
      <c r="B344" s="42">
        <v>338</v>
      </c>
      <c r="C344" s="43">
        <v>3.13</v>
      </c>
      <c r="D344" s="3">
        <v>5.7220000000000004</v>
      </c>
      <c r="E344" s="3">
        <v>-11.03</v>
      </c>
      <c r="F344" s="3">
        <v>86.6</v>
      </c>
      <c r="G344" s="3">
        <v>-11.47</v>
      </c>
      <c r="H344" s="3">
        <v>-11.64</v>
      </c>
      <c r="I344" s="3">
        <v>-0.57599999999999996</v>
      </c>
      <c r="J344" s="3">
        <v>-11.46</v>
      </c>
      <c r="K344" s="3">
        <v>-11.12</v>
      </c>
      <c r="L344" s="3">
        <v>-6.7000000000000004E-2</v>
      </c>
      <c r="M344" s="3">
        <v>0.37</v>
      </c>
      <c r="N344" s="3">
        <v>1.054</v>
      </c>
      <c r="O344" s="3">
        <v>0</v>
      </c>
      <c r="P344" s="3">
        <v>3.2058333333333335</v>
      </c>
      <c r="Q344" s="3"/>
      <c r="R344" s="3">
        <v>-3.6920000000000002</v>
      </c>
      <c r="S344" s="3">
        <v>225</v>
      </c>
      <c r="T344" s="3">
        <v>102.6</v>
      </c>
      <c r="U344" s="3">
        <v>145</v>
      </c>
      <c r="V344" s="3">
        <v>-3.9089999999999998</v>
      </c>
      <c r="W344" s="3">
        <v>-3.8410000000000002</v>
      </c>
      <c r="X344" s="3">
        <v>-0.51700000000000002</v>
      </c>
      <c r="Y344" s="3">
        <v>-4.4829999999999997</v>
      </c>
      <c r="Z344" s="3">
        <v>-4.3780000000000001</v>
      </c>
      <c r="AA344" s="3">
        <v>-2.1000000000000001E-2</v>
      </c>
      <c r="AB344" s="3">
        <v>0.42699999999999999</v>
      </c>
      <c r="AC344" s="3">
        <v>1.109</v>
      </c>
      <c r="AD344" s="3">
        <v>9.2475000000000005</v>
      </c>
      <c r="AE344" s="3">
        <v>210</v>
      </c>
      <c r="AF344" s="3">
        <v>-18.510000000000002</v>
      </c>
      <c r="AG344" s="3">
        <v>0</v>
      </c>
      <c r="AH344" s="3">
        <v>62.66</v>
      </c>
      <c r="AI344" s="3">
        <v>1100</v>
      </c>
      <c r="AJ344" s="3">
        <v>-19.86</v>
      </c>
      <c r="AK344" s="3">
        <v>-21.31</v>
      </c>
      <c r="AL344" s="3">
        <v>-0.65600000000000003</v>
      </c>
      <c r="AM344" s="3">
        <v>-20.65</v>
      </c>
      <c r="AN344" s="3">
        <v>-20.14</v>
      </c>
      <c r="AO344" s="3">
        <v>-0.159</v>
      </c>
      <c r="AP344" s="3">
        <v>0.28100000000000003</v>
      </c>
      <c r="AQ344" s="3">
        <v>0.96099999999999997</v>
      </c>
      <c r="AR344" s="3">
        <v>1.4999999999999999E-2</v>
      </c>
      <c r="AS344" s="3">
        <v>7.4999999999999997E-2</v>
      </c>
      <c r="AT344" s="3">
        <v>7.1999999999999995E-2</v>
      </c>
      <c r="AU344" s="3">
        <v>1.4999999999999999E-2</v>
      </c>
      <c r="AV344" s="3">
        <v>0.10199999999999999</v>
      </c>
      <c r="AW344" s="3">
        <v>0.54500000000000004</v>
      </c>
      <c r="AX344" s="3">
        <v>0.152</v>
      </c>
      <c r="AY344" s="3">
        <v>2.4E-2</v>
      </c>
      <c r="AZ344" s="3">
        <v>-11.4</v>
      </c>
      <c r="BA344" s="3"/>
      <c r="BB344" s="3">
        <v>10.92</v>
      </c>
      <c r="BC344" s="3">
        <v>2876</v>
      </c>
      <c r="BD344" s="3"/>
      <c r="BE344" s="3"/>
      <c r="BF344" s="65">
        <f>PPTest!H344</f>
        <v>669</v>
      </c>
      <c r="BH344" s="16">
        <v>4.82</v>
      </c>
      <c r="BI344" s="16">
        <f t="shared" ref="BI344:BI371" si="245">BH344*$BI$1</f>
        <v>9.7364000000000015</v>
      </c>
      <c r="BJ344" s="17">
        <f t="shared" si="237"/>
        <v>3.13</v>
      </c>
      <c r="BK344" s="17">
        <f t="shared" si="238"/>
        <v>6.18</v>
      </c>
      <c r="BM344" s="1">
        <f t="shared" si="239"/>
        <v>95.8</v>
      </c>
      <c r="BN344" s="1">
        <f t="shared" si="240"/>
        <v>81</v>
      </c>
      <c r="BO344" s="1">
        <f t="shared" si="241"/>
        <v>58.9</v>
      </c>
      <c r="BP344" s="62">
        <f t="shared" si="243"/>
        <v>0.27400000000000002</v>
      </c>
      <c r="BQ344" s="62">
        <f t="shared" si="242"/>
        <v>0.191</v>
      </c>
      <c r="BS344" s="52">
        <f t="shared" si="244"/>
        <v>3</v>
      </c>
      <c r="BT344" s="8">
        <v>0</v>
      </c>
      <c r="BU344" s="51">
        <v>2</v>
      </c>
      <c r="BV344" s="8"/>
      <c r="BW344" s="16">
        <f t="shared" si="202"/>
        <v>3.13</v>
      </c>
      <c r="BX344" s="16">
        <f t="shared" si="203"/>
        <v>6.18</v>
      </c>
      <c r="BY344" s="3">
        <f t="shared" si="204"/>
        <v>-11</v>
      </c>
      <c r="BZ344" s="3">
        <f t="shared" si="205"/>
        <v>-11.5</v>
      </c>
      <c r="CA344" s="3">
        <f t="shared" si="206"/>
        <v>-11.6</v>
      </c>
      <c r="CB344" s="3">
        <f t="shared" si="207"/>
        <v>-0.6</v>
      </c>
      <c r="CC344" s="3">
        <f t="shared" si="208"/>
        <v>-0.1</v>
      </c>
      <c r="CD344" s="3">
        <f t="shared" si="209"/>
        <v>0.4</v>
      </c>
      <c r="CE344" s="3">
        <f t="shared" si="210"/>
        <v>1.1000000000000001</v>
      </c>
      <c r="CF344" s="23">
        <f t="shared" si="211"/>
        <v>81</v>
      </c>
      <c r="CG344" s="1">
        <f t="shared" si="212"/>
        <v>-3.7</v>
      </c>
      <c r="CH344" s="1">
        <f t="shared" si="213"/>
        <v>-3.9</v>
      </c>
      <c r="CI344" s="1">
        <f t="shared" si="214"/>
        <v>-3.8</v>
      </c>
      <c r="CJ344" s="1">
        <f t="shared" si="215"/>
        <v>-0.5</v>
      </c>
      <c r="CK344" s="1">
        <f t="shared" si="216"/>
        <v>0</v>
      </c>
      <c r="CL344" s="1">
        <f t="shared" si="217"/>
        <v>0.4</v>
      </c>
      <c r="CM344" s="1">
        <f t="shared" si="218"/>
        <v>1.1000000000000001</v>
      </c>
      <c r="CN344" s="2">
        <f t="shared" si="219"/>
        <v>95.8</v>
      </c>
      <c r="CO344" s="1">
        <f t="shared" si="220"/>
        <v>-18.5</v>
      </c>
      <c r="CP344" s="1">
        <f t="shared" si="221"/>
        <v>-19.899999999999999</v>
      </c>
      <c r="CQ344" s="1">
        <f t="shared" si="222"/>
        <v>-21.3</v>
      </c>
      <c r="CR344" s="1">
        <f t="shared" si="223"/>
        <v>-0.7</v>
      </c>
      <c r="CS344" s="1">
        <f t="shared" si="224"/>
        <v>-0.2</v>
      </c>
      <c r="CT344" s="1">
        <f t="shared" si="225"/>
        <v>0.3</v>
      </c>
      <c r="CU344" s="1">
        <f t="shared" si="226"/>
        <v>1</v>
      </c>
      <c r="CV344" s="2">
        <f t="shared" si="227"/>
        <v>58.9</v>
      </c>
      <c r="CW344" s="18">
        <f t="shared" si="228"/>
        <v>669</v>
      </c>
      <c r="CX344" s="1">
        <f>ROUND(PPTest!K344,1)</f>
        <v>3.2</v>
      </c>
      <c r="CY344" s="17">
        <f t="shared" si="229"/>
        <v>3.21</v>
      </c>
      <c r="CZ344" s="17">
        <f t="shared" si="230"/>
        <v>9.25</v>
      </c>
      <c r="DA344" s="20">
        <f t="shared" si="231"/>
        <v>0.27400000000000002</v>
      </c>
      <c r="DB344" s="20">
        <f t="shared" si="232"/>
        <v>0.191</v>
      </c>
      <c r="DC344" s="16">
        <f t="shared" si="233"/>
        <v>10.92</v>
      </c>
      <c r="DW344" s="1">
        <v>-9.6</v>
      </c>
      <c r="DX344" s="1">
        <v>-4.0999999999999996</v>
      </c>
      <c r="DY344" s="1">
        <v>-14.9</v>
      </c>
    </row>
    <row r="345" spans="1:129" x14ac:dyDescent="0.2">
      <c r="A345" s="40">
        <v>35038</v>
      </c>
      <c r="B345" s="42">
        <v>339</v>
      </c>
      <c r="C345" s="3">
        <v>5.2</v>
      </c>
      <c r="D345" s="3">
        <v>9.52</v>
      </c>
      <c r="E345" s="3">
        <v>-20.32</v>
      </c>
      <c r="F345" s="3">
        <v>83.1</v>
      </c>
      <c r="G345" s="3">
        <v>-21.32</v>
      </c>
      <c r="H345" s="3">
        <v>-22.11</v>
      </c>
      <c r="I345" s="3">
        <v>-0.88800000000000001</v>
      </c>
      <c r="J345" s="3">
        <v>-21.34</v>
      </c>
      <c r="K345" s="3">
        <v>-20.55</v>
      </c>
      <c r="L345" s="3">
        <v>-0.315</v>
      </c>
      <c r="M345" s="3">
        <v>0.11899999999999999</v>
      </c>
      <c r="N345" s="3">
        <v>0.79200000000000004</v>
      </c>
      <c r="O345" s="3">
        <v>0</v>
      </c>
      <c r="P345" s="3">
        <v>1.4348333333333332</v>
      </c>
      <c r="Q345" s="3"/>
      <c r="R345" s="3">
        <v>-7.97</v>
      </c>
      <c r="S345" s="3">
        <v>1252</v>
      </c>
      <c r="T345" s="3">
        <v>95.7</v>
      </c>
      <c r="U345" s="3">
        <v>2244</v>
      </c>
      <c r="V345" s="3">
        <v>-9.9</v>
      </c>
      <c r="W345" s="3">
        <v>-9.8699999999999992</v>
      </c>
      <c r="X345" s="3">
        <v>-0.55300000000000005</v>
      </c>
      <c r="Y345" s="3">
        <v>-4.0720000000000001</v>
      </c>
      <c r="Z345" s="3">
        <v>-5.359</v>
      </c>
      <c r="AA345" s="3">
        <v>-1.0999999999999999E-2</v>
      </c>
      <c r="AB345" s="3">
        <v>0.47299999999999998</v>
      </c>
      <c r="AC345" s="3">
        <v>1.1339999999999999</v>
      </c>
      <c r="AD345" s="3">
        <v>3.354166666666667</v>
      </c>
      <c r="AE345" s="3">
        <v>2120</v>
      </c>
      <c r="AF345" s="3">
        <v>-25.76</v>
      </c>
      <c r="AG345" s="3">
        <v>830</v>
      </c>
      <c r="AH345" s="3">
        <v>52.36</v>
      </c>
      <c r="AI345" s="3">
        <v>1255</v>
      </c>
      <c r="AJ345" s="3">
        <v>-26.62</v>
      </c>
      <c r="AK345" s="3">
        <v>-27.47</v>
      </c>
      <c r="AL345" s="3">
        <v>-1.169</v>
      </c>
      <c r="AM345" s="3">
        <v>-27.33</v>
      </c>
      <c r="AN345" s="3">
        <v>-26.95</v>
      </c>
      <c r="AO345" s="3">
        <v>-0.54900000000000004</v>
      </c>
      <c r="AP345" s="3">
        <v>-5.7000000000000002E-2</v>
      </c>
      <c r="AQ345" s="3">
        <v>0.58199999999999996</v>
      </c>
      <c r="AR345" s="3">
        <v>0</v>
      </c>
      <c r="AS345" s="3">
        <v>0.26400000000000001</v>
      </c>
      <c r="AT345" s="3">
        <v>0.622</v>
      </c>
      <c r="AU345" s="3">
        <v>4.5999999999999999E-2</v>
      </c>
      <c r="AV345" s="3">
        <v>4.2999999999999997E-2</v>
      </c>
      <c r="AW345" s="3">
        <v>2.5000000000000001E-2</v>
      </c>
      <c r="AX345" s="3">
        <v>0</v>
      </c>
      <c r="AY345" s="3">
        <v>0</v>
      </c>
      <c r="AZ345" s="3">
        <v>-22.52</v>
      </c>
      <c r="BA345" s="3"/>
      <c r="BB345" s="3">
        <v>10.84</v>
      </c>
      <c r="BC345" s="3">
        <v>2876</v>
      </c>
      <c r="BD345" s="3"/>
      <c r="BE345" s="3"/>
      <c r="BF345" s="65">
        <f>PPTest!H345</f>
        <v>649</v>
      </c>
      <c r="BH345" s="16">
        <v>4.7699999999999996</v>
      </c>
      <c r="BI345" s="16">
        <f t="shared" si="245"/>
        <v>9.6353999999999989</v>
      </c>
      <c r="BJ345" s="17">
        <f t="shared" si="237"/>
        <v>5.2</v>
      </c>
      <c r="BK345" s="17">
        <f t="shared" si="238"/>
        <v>10.28</v>
      </c>
      <c r="BM345" s="1">
        <f t="shared" si="239"/>
        <v>89.4</v>
      </c>
      <c r="BN345" s="1">
        <f t="shared" si="240"/>
        <v>77.8</v>
      </c>
      <c r="BO345" s="1">
        <f t="shared" si="241"/>
        <v>49.4</v>
      </c>
      <c r="BP345" s="62">
        <f t="shared" si="243"/>
        <v>0.16500000000000001</v>
      </c>
      <c r="BQ345" s="62">
        <f t="shared" si="242"/>
        <v>0.16900000000000001</v>
      </c>
      <c r="BS345" s="52">
        <f t="shared" si="244"/>
        <v>0</v>
      </c>
      <c r="BT345" s="8">
        <v>0</v>
      </c>
      <c r="BU345" s="51">
        <v>0</v>
      </c>
      <c r="BV345" s="8"/>
      <c r="BW345" s="16">
        <f t="shared" ref="BW345:BW347" si="246">BJ345</f>
        <v>5.2</v>
      </c>
      <c r="BX345" s="16">
        <f t="shared" ref="BX345:BX347" si="247">BK345</f>
        <v>10.28</v>
      </c>
      <c r="BY345" s="3">
        <f t="shared" ref="BY345:BY371" si="248">ROUND(E345,1)</f>
        <v>-20.3</v>
      </c>
      <c r="BZ345" s="3">
        <f t="shared" ref="BZ345:BZ347" si="249">ROUND(G345,1)</f>
        <v>-21.3</v>
      </c>
      <c r="CA345" s="3">
        <f t="shared" ref="CA345:CA347" si="250">ROUND(H345,1)</f>
        <v>-22.1</v>
      </c>
      <c r="CB345" s="3">
        <f t="shared" ref="CB345:CB347" si="251">ROUND(I345,1)</f>
        <v>-0.9</v>
      </c>
      <c r="CC345" s="3">
        <f t="shared" ref="CC345:CC347" si="252">ROUND(L345,1)</f>
        <v>-0.3</v>
      </c>
      <c r="CD345" s="3">
        <f t="shared" ref="CD345:CD347" si="253">ROUND(M345,1)</f>
        <v>0.1</v>
      </c>
      <c r="CE345" s="3">
        <f t="shared" ref="CE345:CE347" si="254">ROUND(N345,1)</f>
        <v>0.8</v>
      </c>
      <c r="CF345" s="23">
        <f t="shared" ref="CF345:CF347" si="255">ROUND(BN345,1)</f>
        <v>77.8</v>
      </c>
      <c r="CG345" s="1">
        <f t="shared" ref="CG345:CG371" si="256">ROUND(R345,1)</f>
        <v>-8</v>
      </c>
      <c r="CH345" s="1">
        <f t="shared" ref="CH345:CH347" si="257">ROUND(V345,1)</f>
        <v>-9.9</v>
      </c>
      <c r="CI345" s="1">
        <f t="shared" ref="CI345:CI347" si="258">ROUND(W345,1)</f>
        <v>-9.9</v>
      </c>
      <c r="CJ345" s="1">
        <f t="shared" ref="CJ345:CJ347" si="259">ROUND(X345,1)</f>
        <v>-0.6</v>
      </c>
      <c r="CK345" s="1">
        <f t="shared" ref="CK345:CK347" si="260">ROUND(AA345,1)</f>
        <v>0</v>
      </c>
      <c r="CL345" s="1">
        <f t="shared" ref="CL345:CL347" si="261">ROUND(AB345,1)</f>
        <v>0.5</v>
      </c>
      <c r="CM345" s="1">
        <f t="shared" ref="CM345:CM347" si="262">ROUND(AC345,1)</f>
        <v>1.1000000000000001</v>
      </c>
      <c r="CN345" s="2">
        <f t="shared" ref="CN345:CN347" si="263">ROUND(BM345,1)</f>
        <v>89.4</v>
      </c>
      <c r="CO345" s="1">
        <f t="shared" ref="CO345:CO371" si="264">ROUND(AF345,1)</f>
        <v>-25.8</v>
      </c>
      <c r="CP345" s="1">
        <f t="shared" ref="CP345:CP347" si="265">ROUND(AJ345,1)</f>
        <v>-26.6</v>
      </c>
      <c r="CQ345" s="1">
        <f t="shared" ref="CQ345:CQ347" si="266">ROUND(AK345,1)</f>
        <v>-27.5</v>
      </c>
      <c r="CR345" s="1">
        <f t="shared" ref="CR345:CR347" si="267">ROUND(AL345,1)</f>
        <v>-1.2</v>
      </c>
      <c r="CS345" s="1">
        <f t="shared" ref="CS345:CS347" si="268">ROUND(AO345,1)</f>
        <v>-0.5</v>
      </c>
      <c r="CT345" s="1">
        <f t="shared" ref="CT345:CT347" si="269">ROUND(AP345,1)</f>
        <v>-0.1</v>
      </c>
      <c r="CU345" s="1">
        <f t="shared" ref="CU345:CU347" si="270">ROUND(AQ345,1)</f>
        <v>0.6</v>
      </c>
      <c r="CV345" s="2">
        <f t="shared" ref="CV345:CV347" si="271">ROUND(BO345,1)</f>
        <v>49.4</v>
      </c>
      <c r="CW345" s="18">
        <f t="shared" ref="CW345:CW371" si="272">BF345</f>
        <v>649</v>
      </c>
      <c r="CX345" s="1">
        <f>ROUND(PPTest!K345,1)</f>
        <v>0</v>
      </c>
      <c r="CY345" s="17">
        <f t="shared" ref="CY345:CY347" si="273">ROUND(P345,2)</f>
        <v>1.43</v>
      </c>
      <c r="CZ345" s="17">
        <f t="shared" ref="CZ345:CZ347" si="274">ROUND(AD345,2)</f>
        <v>3.35</v>
      </c>
      <c r="DA345" s="20">
        <f t="shared" ref="DA345:DA371" si="275">BP345</f>
        <v>0.16500000000000001</v>
      </c>
      <c r="DB345" s="20">
        <f t="shared" ref="DB345:DB371" si="276">BQ345</f>
        <v>0.16900000000000001</v>
      </c>
      <c r="DC345" s="16">
        <f t="shared" ref="DC345:DC347" si="277">BB345</f>
        <v>10.84</v>
      </c>
      <c r="DW345" s="1">
        <v>-15.5</v>
      </c>
      <c r="DX345" s="1">
        <v>-6.7</v>
      </c>
      <c r="DY345" s="1">
        <v>-23.5</v>
      </c>
    </row>
    <row r="346" spans="1:129" x14ac:dyDescent="0.2">
      <c r="A346" s="40">
        <v>35039</v>
      </c>
      <c r="B346" s="42">
        <v>340</v>
      </c>
      <c r="C346" s="3">
        <v>1.6990000000000001</v>
      </c>
      <c r="D346" s="3">
        <v>3.5830000000000002</v>
      </c>
      <c r="E346" s="3">
        <v>-15</v>
      </c>
      <c r="F346" s="3">
        <v>90</v>
      </c>
      <c r="G346" s="3">
        <v>-15.56</v>
      </c>
      <c r="H346" s="3">
        <v>-15.84</v>
      </c>
      <c r="I346" s="3">
        <v>-1.071</v>
      </c>
      <c r="J346" s="3">
        <v>-15.86</v>
      </c>
      <c r="K346" s="3">
        <v>-15.73</v>
      </c>
      <c r="L346" s="3">
        <v>-0.23300000000000001</v>
      </c>
      <c r="M346" s="3">
        <v>0.20899999999999999</v>
      </c>
      <c r="N346" s="3">
        <v>0.86799999999999999</v>
      </c>
      <c r="O346" s="3">
        <v>0</v>
      </c>
      <c r="P346" s="3">
        <v>1.7675000000000001</v>
      </c>
      <c r="Q346" s="3"/>
      <c r="R346" s="3">
        <v>-8.02</v>
      </c>
      <c r="S346" s="3">
        <v>2024</v>
      </c>
      <c r="T346" s="3">
        <v>96.9</v>
      </c>
      <c r="U346" s="3">
        <v>322</v>
      </c>
      <c r="V346" s="3">
        <v>-8.4</v>
      </c>
      <c r="W346" s="3">
        <v>-8.27</v>
      </c>
      <c r="X346" s="3">
        <v>-0.93799999999999994</v>
      </c>
      <c r="Y346" s="3">
        <v>-8.6300000000000008</v>
      </c>
      <c r="Z346" s="3">
        <v>-8.64</v>
      </c>
      <c r="AA346" s="3">
        <v>-8.7999999999999995E-2</v>
      </c>
      <c r="AB346" s="3">
        <v>0.36199999999999999</v>
      </c>
      <c r="AC346" s="3">
        <v>1.0249999999999999</v>
      </c>
      <c r="AD346" s="3">
        <v>5.0208333333333339</v>
      </c>
      <c r="AE346" s="3">
        <v>2027</v>
      </c>
      <c r="AF346" s="3">
        <v>-25.21</v>
      </c>
      <c r="AG346" s="3">
        <v>54</v>
      </c>
      <c r="AH346" s="3">
        <v>79.599999999999994</v>
      </c>
      <c r="AI346" s="3">
        <v>1223</v>
      </c>
      <c r="AJ346" s="3">
        <v>-26.28</v>
      </c>
      <c r="AK346" s="3">
        <v>-27.21</v>
      </c>
      <c r="AL346" s="3">
        <v>-1.2470000000000001</v>
      </c>
      <c r="AM346" s="3">
        <v>-26.81</v>
      </c>
      <c r="AN346" s="3">
        <v>-26.61</v>
      </c>
      <c r="AO346" s="3">
        <v>-0.47899999999999998</v>
      </c>
      <c r="AP346" s="3">
        <v>-4.2000000000000003E-2</v>
      </c>
      <c r="AQ346" s="3">
        <v>0.61499999999999999</v>
      </c>
      <c r="AR346" s="3">
        <v>2.8000000000000001E-2</v>
      </c>
      <c r="AS346" s="3">
        <v>0.31900000000000001</v>
      </c>
      <c r="AT346" s="3">
        <v>0.184</v>
      </c>
      <c r="AU346" s="3">
        <v>3.1E-2</v>
      </c>
      <c r="AV346" s="3">
        <v>0.109</v>
      </c>
      <c r="AW346" s="3">
        <v>0.25700000000000001</v>
      </c>
      <c r="AX346" s="3">
        <v>5.8000000000000003E-2</v>
      </c>
      <c r="AY346" s="3">
        <v>1.4999999999999999E-2</v>
      </c>
      <c r="AZ346" s="3">
        <v>-16.899999999999999</v>
      </c>
      <c r="BA346" s="3"/>
      <c r="BB346" s="3">
        <v>10.9</v>
      </c>
      <c r="BC346" s="3">
        <v>2876</v>
      </c>
      <c r="BD346" s="3"/>
      <c r="BE346" s="3"/>
      <c r="BF346" s="65">
        <f>PPTest!H346</f>
        <v>629</v>
      </c>
      <c r="BH346" s="16">
        <v>4.71</v>
      </c>
      <c r="BI346" s="16">
        <f t="shared" si="245"/>
        <v>9.5142000000000007</v>
      </c>
      <c r="BJ346" s="17">
        <f t="shared" si="237"/>
        <v>1.7</v>
      </c>
      <c r="BK346" s="17">
        <f t="shared" si="238"/>
        <v>3.87</v>
      </c>
      <c r="BM346" s="1">
        <f t="shared" si="239"/>
        <v>90.5</v>
      </c>
      <c r="BN346" s="1">
        <f t="shared" si="240"/>
        <v>84.2</v>
      </c>
      <c r="BO346" s="1">
        <f t="shared" si="241"/>
        <v>74.599999999999994</v>
      </c>
      <c r="BP346" s="62">
        <f t="shared" si="243"/>
        <v>0.249</v>
      </c>
      <c r="BQ346" s="62">
        <f t="shared" si="242"/>
        <v>8.5000000000000006E-2</v>
      </c>
      <c r="BS346" s="52">
        <f t="shared" si="244"/>
        <v>0</v>
      </c>
      <c r="BT346" s="8">
        <v>1.4</v>
      </c>
      <c r="BU346" s="51">
        <v>0</v>
      </c>
      <c r="BV346" s="8"/>
      <c r="BW346" s="16">
        <f t="shared" si="246"/>
        <v>1.7</v>
      </c>
      <c r="BX346" s="16">
        <f t="shared" si="247"/>
        <v>3.87</v>
      </c>
      <c r="BY346" s="3">
        <f t="shared" si="248"/>
        <v>-15</v>
      </c>
      <c r="BZ346" s="3">
        <f t="shared" si="249"/>
        <v>-15.6</v>
      </c>
      <c r="CA346" s="3">
        <f t="shared" si="250"/>
        <v>-15.8</v>
      </c>
      <c r="CB346" s="3">
        <f t="shared" si="251"/>
        <v>-1.1000000000000001</v>
      </c>
      <c r="CC346" s="3">
        <f t="shared" si="252"/>
        <v>-0.2</v>
      </c>
      <c r="CD346" s="3">
        <f t="shared" si="253"/>
        <v>0.2</v>
      </c>
      <c r="CE346" s="3">
        <f t="shared" si="254"/>
        <v>0.9</v>
      </c>
      <c r="CF346" s="23">
        <f t="shared" si="255"/>
        <v>84.2</v>
      </c>
      <c r="CG346" s="1">
        <f t="shared" si="256"/>
        <v>-8</v>
      </c>
      <c r="CH346" s="1">
        <f t="shared" si="257"/>
        <v>-8.4</v>
      </c>
      <c r="CI346" s="1">
        <f t="shared" si="258"/>
        <v>-8.3000000000000007</v>
      </c>
      <c r="CJ346" s="1">
        <f t="shared" si="259"/>
        <v>-0.9</v>
      </c>
      <c r="CK346" s="1">
        <f t="shared" si="260"/>
        <v>-0.1</v>
      </c>
      <c r="CL346" s="1">
        <f t="shared" si="261"/>
        <v>0.4</v>
      </c>
      <c r="CM346" s="1">
        <f t="shared" si="262"/>
        <v>1</v>
      </c>
      <c r="CN346" s="2">
        <f t="shared" si="263"/>
        <v>90.5</v>
      </c>
      <c r="CO346" s="1">
        <f t="shared" si="264"/>
        <v>-25.2</v>
      </c>
      <c r="CP346" s="1">
        <f t="shared" si="265"/>
        <v>-26.3</v>
      </c>
      <c r="CQ346" s="1">
        <f t="shared" si="266"/>
        <v>-27.2</v>
      </c>
      <c r="CR346" s="1">
        <f t="shared" si="267"/>
        <v>-1.2</v>
      </c>
      <c r="CS346" s="1">
        <f t="shared" si="268"/>
        <v>-0.5</v>
      </c>
      <c r="CT346" s="1">
        <f t="shared" si="269"/>
        <v>0</v>
      </c>
      <c r="CU346" s="1">
        <f t="shared" si="270"/>
        <v>0.6</v>
      </c>
      <c r="CV346" s="2">
        <f t="shared" si="271"/>
        <v>74.599999999999994</v>
      </c>
      <c r="CW346" s="18">
        <f t="shared" si="272"/>
        <v>629</v>
      </c>
      <c r="CX346" s="1">
        <f>ROUND(PPTest!K346,1)</f>
        <v>0</v>
      </c>
      <c r="CY346" s="17">
        <f t="shared" si="273"/>
        <v>1.77</v>
      </c>
      <c r="CZ346" s="17">
        <f t="shared" si="274"/>
        <v>5.0199999999999996</v>
      </c>
      <c r="DA346" s="20">
        <f t="shared" si="275"/>
        <v>0.249</v>
      </c>
      <c r="DB346" s="20">
        <f t="shared" si="276"/>
        <v>8.5000000000000006E-2</v>
      </c>
      <c r="DC346" s="16">
        <f t="shared" si="277"/>
        <v>10.9</v>
      </c>
      <c r="DW346" s="1">
        <v>-13.7</v>
      </c>
      <c r="DX346" s="1">
        <v>-5.6</v>
      </c>
      <c r="DY346" s="1">
        <v>-23.9</v>
      </c>
    </row>
    <row r="347" spans="1:129" x14ac:dyDescent="0.2">
      <c r="A347" s="40">
        <v>35040</v>
      </c>
      <c r="B347" s="42">
        <v>341</v>
      </c>
      <c r="C347" s="3">
        <v>4.5819999999999999</v>
      </c>
      <c r="D347" s="3">
        <v>8.6199999999999992</v>
      </c>
      <c r="E347" s="3">
        <v>-19.829999999999998</v>
      </c>
      <c r="F347" s="3">
        <v>89.6</v>
      </c>
      <c r="G347" s="3">
        <v>-20.38</v>
      </c>
      <c r="H347" s="3">
        <v>-21.02</v>
      </c>
      <c r="I347" s="3">
        <v>-1.149</v>
      </c>
      <c r="J347" s="3">
        <v>-20.55</v>
      </c>
      <c r="K347" s="3">
        <v>-19.98</v>
      </c>
      <c r="L347" s="3">
        <v>-0.251</v>
      </c>
      <c r="M347" s="3">
        <v>0.215</v>
      </c>
      <c r="N347" s="3">
        <v>0.88100000000000001</v>
      </c>
      <c r="O347" s="3">
        <v>0</v>
      </c>
      <c r="P347" s="3">
        <v>2.3174999999999999</v>
      </c>
      <c r="Q347" s="3"/>
      <c r="R347" s="3">
        <v>-9.1199999999999992</v>
      </c>
      <c r="S347" s="3">
        <v>102</v>
      </c>
      <c r="T347" s="3">
        <v>99.1</v>
      </c>
      <c r="U347" s="3">
        <v>300</v>
      </c>
      <c r="V347" s="3">
        <v>-9.4700000000000006</v>
      </c>
      <c r="W347" s="3">
        <v>-9.4499999999999993</v>
      </c>
      <c r="X347" s="3">
        <v>-0.996</v>
      </c>
      <c r="Y347" s="3">
        <v>-9.4700000000000006</v>
      </c>
      <c r="Z347" s="3">
        <v>-9.4700000000000006</v>
      </c>
      <c r="AA347" s="3">
        <v>-9.5000000000000001E-2</v>
      </c>
      <c r="AB347" s="3">
        <v>0.36599999999999999</v>
      </c>
      <c r="AC347" s="3">
        <v>1.0389999999999999</v>
      </c>
      <c r="AD347" s="3">
        <v>5.100833333333334</v>
      </c>
      <c r="AE347" s="3">
        <v>305</v>
      </c>
      <c r="AF347" s="3">
        <v>-33.299999999999997</v>
      </c>
      <c r="AG347" s="3">
        <v>2213</v>
      </c>
      <c r="AH347" s="3">
        <v>76.8</v>
      </c>
      <c r="AI347" s="3">
        <v>2151</v>
      </c>
      <c r="AJ347" s="3">
        <v>-34.36</v>
      </c>
      <c r="AK347" s="3">
        <v>-37.32</v>
      </c>
      <c r="AL347" s="3">
        <v>-1.4650000000000001</v>
      </c>
      <c r="AM347" s="3">
        <v>-36.39</v>
      </c>
      <c r="AN347" s="3">
        <v>-35.15</v>
      </c>
      <c r="AO347" s="3">
        <v>-0.58699999999999997</v>
      </c>
      <c r="AP347" s="3">
        <v>-0.113</v>
      </c>
      <c r="AQ347" s="3">
        <v>0.56000000000000005</v>
      </c>
      <c r="AR347" s="3">
        <v>6.0000000000000001E-3</v>
      </c>
      <c r="AS347" s="3">
        <v>0.16900000000000001</v>
      </c>
      <c r="AT347" s="3">
        <v>0.122</v>
      </c>
      <c r="AU347" s="3">
        <v>0.01</v>
      </c>
      <c r="AV347" s="3">
        <v>0.09</v>
      </c>
      <c r="AW347" s="3">
        <v>0.47199999999999998</v>
      </c>
      <c r="AX347" s="3">
        <v>0.126</v>
      </c>
      <c r="AY347" s="3">
        <v>6.0000000000000001E-3</v>
      </c>
      <c r="AZ347" s="3">
        <v>-20.2</v>
      </c>
      <c r="BA347" s="3"/>
      <c r="BB347" s="3">
        <v>10.88</v>
      </c>
      <c r="BC347" s="3">
        <v>2876</v>
      </c>
      <c r="BD347" s="3"/>
      <c r="BE347" s="3"/>
      <c r="BF347" s="65">
        <f>PPTest!H347</f>
        <v>641</v>
      </c>
      <c r="BH347" s="16">
        <v>4.67</v>
      </c>
      <c r="BI347" s="16">
        <f t="shared" si="245"/>
        <v>9.4334000000000007</v>
      </c>
      <c r="BJ347" s="17">
        <f t="shared" si="237"/>
        <v>4.58</v>
      </c>
      <c r="BK347" s="17">
        <f t="shared" si="238"/>
        <v>9.31</v>
      </c>
      <c r="BM347" s="1">
        <f t="shared" si="239"/>
        <v>92.6</v>
      </c>
      <c r="BN347" s="1">
        <f t="shared" si="240"/>
        <v>83.8</v>
      </c>
      <c r="BO347" s="1">
        <f t="shared" si="241"/>
        <v>72</v>
      </c>
      <c r="BP347" s="62">
        <f t="shared" si="243"/>
        <v>0.22</v>
      </c>
      <c r="BQ347" s="62">
        <f t="shared" si="242"/>
        <v>8.5999999999999993E-2</v>
      </c>
      <c r="BS347" s="52">
        <f t="shared" si="244"/>
        <v>1.5</v>
      </c>
      <c r="BT347" s="8">
        <v>0</v>
      </c>
      <c r="BU347" s="51">
        <v>1</v>
      </c>
      <c r="BV347" s="8"/>
      <c r="BW347" s="16">
        <f t="shared" si="246"/>
        <v>4.58</v>
      </c>
      <c r="BX347" s="16">
        <f t="shared" si="247"/>
        <v>9.31</v>
      </c>
      <c r="BY347" s="3">
        <f t="shared" si="248"/>
        <v>-19.8</v>
      </c>
      <c r="BZ347" s="3">
        <f t="shared" si="249"/>
        <v>-20.399999999999999</v>
      </c>
      <c r="CA347" s="3">
        <f t="shared" si="250"/>
        <v>-21</v>
      </c>
      <c r="CB347" s="3">
        <f t="shared" si="251"/>
        <v>-1.1000000000000001</v>
      </c>
      <c r="CC347" s="3">
        <f t="shared" si="252"/>
        <v>-0.3</v>
      </c>
      <c r="CD347" s="3">
        <f t="shared" si="253"/>
        <v>0.2</v>
      </c>
      <c r="CE347" s="3">
        <f t="shared" si="254"/>
        <v>0.9</v>
      </c>
      <c r="CF347" s="23">
        <f t="shared" si="255"/>
        <v>83.8</v>
      </c>
      <c r="CG347" s="1">
        <f t="shared" si="256"/>
        <v>-9.1</v>
      </c>
      <c r="CH347" s="1">
        <f t="shared" si="257"/>
        <v>-9.5</v>
      </c>
      <c r="CI347" s="1">
        <f t="shared" si="258"/>
        <v>-9.5</v>
      </c>
      <c r="CJ347" s="1">
        <f t="shared" si="259"/>
        <v>-1</v>
      </c>
      <c r="CK347" s="1">
        <f t="shared" si="260"/>
        <v>-0.1</v>
      </c>
      <c r="CL347" s="1">
        <f t="shared" si="261"/>
        <v>0.4</v>
      </c>
      <c r="CM347" s="1">
        <f t="shared" si="262"/>
        <v>1</v>
      </c>
      <c r="CN347" s="2">
        <f t="shared" si="263"/>
        <v>92.6</v>
      </c>
      <c r="CO347" s="1">
        <f t="shared" si="264"/>
        <v>-33.299999999999997</v>
      </c>
      <c r="CP347" s="1">
        <f t="shared" si="265"/>
        <v>-34.4</v>
      </c>
      <c r="CQ347" s="1">
        <f t="shared" si="266"/>
        <v>-37.299999999999997</v>
      </c>
      <c r="CR347" s="1">
        <f t="shared" si="267"/>
        <v>-1.5</v>
      </c>
      <c r="CS347" s="1">
        <f t="shared" si="268"/>
        <v>-0.6</v>
      </c>
      <c r="CT347" s="1">
        <f t="shared" si="269"/>
        <v>-0.1</v>
      </c>
      <c r="CU347" s="1">
        <f t="shared" si="270"/>
        <v>0.6</v>
      </c>
      <c r="CV347" s="2">
        <f t="shared" si="271"/>
        <v>72</v>
      </c>
      <c r="CW347" s="18">
        <f t="shared" si="272"/>
        <v>641</v>
      </c>
      <c r="CX347" s="1">
        <f>ROUND(PPTest!K347,1)</f>
        <v>1.6</v>
      </c>
      <c r="CY347" s="17">
        <f t="shared" si="273"/>
        <v>2.3199999999999998</v>
      </c>
      <c r="CZ347" s="17">
        <f t="shared" si="274"/>
        <v>5.0999999999999996</v>
      </c>
      <c r="DA347" s="20">
        <f t="shared" si="275"/>
        <v>0.22</v>
      </c>
      <c r="DB347" s="20">
        <f t="shared" si="276"/>
        <v>8.5999999999999993E-2</v>
      </c>
      <c r="DC347" s="16">
        <f t="shared" si="277"/>
        <v>10.88</v>
      </c>
      <c r="DW347" s="1">
        <v>-18.100000000000001</v>
      </c>
      <c r="DX347" s="1">
        <v>-7.2</v>
      </c>
      <c r="DY347" s="1">
        <v>-29.9</v>
      </c>
    </row>
    <row r="348" spans="1:129" x14ac:dyDescent="0.2">
      <c r="A348" s="40">
        <v>35041</v>
      </c>
      <c r="B348" s="3">
        <v>342</v>
      </c>
      <c r="C348" s="3"/>
      <c r="D348" s="3"/>
      <c r="E348" s="60">
        <f>ROUND(1.19*DW348-0.2,1)</f>
        <v>-28.6</v>
      </c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61"/>
      <c r="Q348" s="36"/>
      <c r="R348" s="60">
        <f>ROUND(0.95*DX348-0.5,1)</f>
        <v>-12.2</v>
      </c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61"/>
      <c r="AE348" s="36"/>
      <c r="AF348" s="60">
        <f>ROUND(1.1*DY348-1,1)</f>
        <v>-41.7</v>
      </c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65">
        <f>PPTest!H348</f>
        <v>621</v>
      </c>
      <c r="BH348" s="16">
        <v>4.63</v>
      </c>
      <c r="BI348" s="16">
        <f t="shared" si="245"/>
        <v>9.3526000000000007</v>
      </c>
      <c r="BJ348" s="17"/>
      <c r="BK348" s="17"/>
      <c r="BP348" s="66">
        <f t="shared" ref="BP348" si="278">ROUND(0.6105*(EXP((17.273*AF348)/(AF348+237.3))), 3)</f>
        <v>1.4999999999999999E-2</v>
      </c>
      <c r="BQ348" s="66">
        <f>ROUND(0.6105*(EXP((17.273*R348)/(R348+237.3)))-BP348, 3)</f>
        <v>0.224</v>
      </c>
      <c r="BS348" s="52">
        <f t="shared" si="244"/>
        <v>0</v>
      </c>
      <c r="BT348" s="8">
        <v>0</v>
      </c>
      <c r="BU348" s="51">
        <v>0</v>
      </c>
      <c r="BV348" s="8"/>
      <c r="BW348" s="16" t="s">
        <v>215</v>
      </c>
      <c r="BX348" s="16" t="s">
        <v>215</v>
      </c>
      <c r="BY348" s="3">
        <f t="shared" si="248"/>
        <v>-28.6</v>
      </c>
      <c r="BZ348" s="16" t="s">
        <v>215</v>
      </c>
      <c r="CA348" s="16" t="s">
        <v>215</v>
      </c>
      <c r="CB348" s="16" t="s">
        <v>215</v>
      </c>
      <c r="CC348" s="16" t="s">
        <v>215</v>
      </c>
      <c r="CD348" s="16" t="s">
        <v>215</v>
      </c>
      <c r="CE348" s="16" t="s">
        <v>215</v>
      </c>
      <c r="CF348" s="16" t="s">
        <v>215</v>
      </c>
      <c r="CG348" s="1">
        <f t="shared" si="256"/>
        <v>-12.2</v>
      </c>
      <c r="CH348" s="16" t="s">
        <v>215</v>
      </c>
      <c r="CI348" s="16" t="s">
        <v>215</v>
      </c>
      <c r="CJ348" s="16" t="s">
        <v>215</v>
      </c>
      <c r="CK348" s="16" t="s">
        <v>215</v>
      </c>
      <c r="CL348" s="16" t="s">
        <v>215</v>
      </c>
      <c r="CM348" s="16" t="s">
        <v>215</v>
      </c>
      <c r="CN348" s="16" t="s">
        <v>215</v>
      </c>
      <c r="CO348" s="1">
        <f t="shared" si="264"/>
        <v>-41.7</v>
      </c>
      <c r="CP348" s="16" t="s">
        <v>215</v>
      </c>
      <c r="CQ348" s="16" t="s">
        <v>215</v>
      </c>
      <c r="CR348" s="16" t="s">
        <v>215</v>
      </c>
      <c r="CS348" s="16" t="s">
        <v>215</v>
      </c>
      <c r="CT348" s="16" t="s">
        <v>215</v>
      </c>
      <c r="CU348" s="16" t="s">
        <v>215</v>
      </c>
      <c r="CV348" s="16" t="s">
        <v>215</v>
      </c>
      <c r="CW348" s="18">
        <f t="shared" si="272"/>
        <v>621</v>
      </c>
      <c r="CX348" s="1">
        <f>ROUND(PPTest!K348,1)</f>
        <v>0</v>
      </c>
      <c r="CY348" s="16" t="s">
        <v>215</v>
      </c>
      <c r="CZ348" s="16" t="s">
        <v>215</v>
      </c>
      <c r="DA348" s="20">
        <f t="shared" si="275"/>
        <v>1.4999999999999999E-2</v>
      </c>
      <c r="DB348" s="20">
        <f t="shared" si="276"/>
        <v>0.224</v>
      </c>
      <c r="DC348" s="16" t="s">
        <v>215</v>
      </c>
      <c r="DW348" s="1">
        <v>-23.9</v>
      </c>
      <c r="DX348" s="1">
        <v>-12.3</v>
      </c>
      <c r="DY348" s="1">
        <v>-37</v>
      </c>
    </row>
    <row r="349" spans="1:129" x14ac:dyDescent="0.2">
      <c r="A349" s="40">
        <v>35042</v>
      </c>
      <c r="B349" s="3">
        <v>343</v>
      </c>
      <c r="C349" s="3"/>
      <c r="D349" s="3"/>
      <c r="E349" s="60">
        <f t="shared" ref="E349:E371" si="279">ROUND(1.19*DW349-0.2,1)</f>
        <v>-18.5</v>
      </c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61"/>
      <c r="Q349" s="36"/>
      <c r="R349" s="60">
        <f t="shared" ref="R349:R371" si="280">ROUND(0.95*DX349-0.5,1)</f>
        <v>-10</v>
      </c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61"/>
      <c r="AE349" s="36"/>
      <c r="AF349" s="60">
        <f t="shared" ref="AF349:AF371" si="281">ROUND(1.1*DY349-1,1)</f>
        <v>-30.7</v>
      </c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65">
        <f>PPTest!H349</f>
        <v>601</v>
      </c>
      <c r="BH349" s="16">
        <v>4.59</v>
      </c>
      <c r="BI349" s="16">
        <f t="shared" si="245"/>
        <v>9.2717999999999989</v>
      </c>
      <c r="BJ349" s="17"/>
      <c r="BK349" s="17"/>
      <c r="BP349" s="66">
        <f t="shared" ref="BP349:BP371" si="282">ROUND(0.6105*(EXP((17.273*AF349)/(AF349+237.3))), 3)</f>
        <v>4.7E-2</v>
      </c>
      <c r="BQ349" s="66">
        <f t="shared" ref="BQ349:BQ371" si="283">ROUND(0.6105*(EXP((17.273*R349)/(R349+237.3)))-BP349, 3)</f>
        <v>0.23899999999999999</v>
      </c>
      <c r="BS349" s="52">
        <f t="shared" si="244"/>
        <v>0</v>
      </c>
      <c r="BT349" s="8">
        <v>8.8000000000000007</v>
      </c>
      <c r="BU349" s="51">
        <v>0</v>
      </c>
      <c r="BV349" s="8"/>
      <c r="BW349" s="16" t="s">
        <v>215</v>
      </c>
      <c r="BX349" s="16" t="s">
        <v>215</v>
      </c>
      <c r="BY349" s="3">
        <f t="shared" si="248"/>
        <v>-18.5</v>
      </c>
      <c r="BZ349" s="16" t="s">
        <v>215</v>
      </c>
      <c r="CA349" s="16" t="s">
        <v>215</v>
      </c>
      <c r="CB349" s="16" t="s">
        <v>215</v>
      </c>
      <c r="CC349" s="16" t="s">
        <v>215</v>
      </c>
      <c r="CD349" s="16" t="s">
        <v>215</v>
      </c>
      <c r="CE349" s="16" t="s">
        <v>215</v>
      </c>
      <c r="CF349" s="16" t="s">
        <v>215</v>
      </c>
      <c r="CG349" s="1">
        <f t="shared" si="256"/>
        <v>-10</v>
      </c>
      <c r="CH349" s="16" t="s">
        <v>215</v>
      </c>
      <c r="CI349" s="16" t="s">
        <v>215</v>
      </c>
      <c r="CJ349" s="16" t="s">
        <v>215</v>
      </c>
      <c r="CK349" s="16" t="s">
        <v>215</v>
      </c>
      <c r="CL349" s="16" t="s">
        <v>215</v>
      </c>
      <c r="CM349" s="16" t="s">
        <v>215</v>
      </c>
      <c r="CN349" s="16" t="s">
        <v>215</v>
      </c>
      <c r="CO349" s="1">
        <f t="shared" si="264"/>
        <v>-30.7</v>
      </c>
      <c r="CP349" s="16" t="s">
        <v>215</v>
      </c>
      <c r="CQ349" s="16" t="s">
        <v>215</v>
      </c>
      <c r="CR349" s="16" t="s">
        <v>215</v>
      </c>
      <c r="CS349" s="16" t="s">
        <v>215</v>
      </c>
      <c r="CT349" s="16" t="s">
        <v>215</v>
      </c>
      <c r="CU349" s="16" t="s">
        <v>215</v>
      </c>
      <c r="CV349" s="16" t="s">
        <v>215</v>
      </c>
      <c r="CW349" s="18">
        <f t="shared" si="272"/>
        <v>601</v>
      </c>
      <c r="CX349" s="1">
        <f>ROUND(PPTest!K349,1)</f>
        <v>0</v>
      </c>
      <c r="CY349" s="16" t="s">
        <v>215</v>
      </c>
      <c r="CZ349" s="16" t="s">
        <v>215</v>
      </c>
      <c r="DA349" s="20">
        <f t="shared" si="275"/>
        <v>4.7E-2</v>
      </c>
      <c r="DB349" s="20">
        <f t="shared" si="276"/>
        <v>0.23899999999999999</v>
      </c>
      <c r="DC349" s="16" t="s">
        <v>215</v>
      </c>
      <c r="DW349" s="1">
        <v>-15.4</v>
      </c>
      <c r="DX349" s="1">
        <v>-10</v>
      </c>
      <c r="DY349" s="1">
        <v>-27</v>
      </c>
    </row>
    <row r="350" spans="1:129" x14ac:dyDescent="0.2">
      <c r="A350" s="40">
        <v>35043</v>
      </c>
      <c r="B350" s="3">
        <v>344</v>
      </c>
      <c r="C350" s="3"/>
      <c r="D350" s="3"/>
      <c r="E350" s="60">
        <f t="shared" si="279"/>
        <v>-9.1999999999999993</v>
      </c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61"/>
      <c r="Q350" s="36"/>
      <c r="R350" s="60">
        <f t="shared" si="280"/>
        <v>-3.3</v>
      </c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61"/>
      <c r="AE350" s="36"/>
      <c r="AF350" s="60">
        <f t="shared" si="281"/>
        <v>-14.2</v>
      </c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65">
        <f>PPTest!H350</f>
        <v>819</v>
      </c>
      <c r="BH350" s="16">
        <v>4.55</v>
      </c>
      <c r="BI350" s="16">
        <f t="shared" si="245"/>
        <v>9.1909999999999989</v>
      </c>
      <c r="BJ350" s="17"/>
      <c r="BK350" s="17"/>
      <c r="BP350" s="66">
        <f t="shared" si="282"/>
        <v>0.20300000000000001</v>
      </c>
      <c r="BQ350" s="66">
        <f t="shared" si="283"/>
        <v>0.27600000000000002</v>
      </c>
      <c r="BS350" s="52">
        <f t="shared" si="244"/>
        <v>27</v>
      </c>
      <c r="BT350" s="8">
        <v>10.4</v>
      </c>
      <c r="BU350" s="51">
        <v>18</v>
      </c>
      <c r="BV350" s="8"/>
      <c r="BW350" s="16" t="s">
        <v>215</v>
      </c>
      <c r="BX350" s="16" t="s">
        <v>215</v>
      </c>
      <c r="BY350" s="3">
        <f t="shared" si="248"/>
        <v>-9.1999999999999993</v>
      </c>
      <c r="BZ350" s="16" t="s">
        <v>215</v>
      </c>
      <c r="CA350" s="16" t="s">
        <v>215</v>
      </c>
      <c r="CB350" s="16" t="s">
        <v>215</v>
      </c>
      <c r="CC350" s="16" t="s">
        <v>215</v>
      </c>
      <c r="CD350" s="16" t="s">
        <v>215</v>
      </c>
      <c r="CE350" s="16" t="s">
        <v>215</v>
      </c>
      <c r="CF350" s="16" t="s">
        <v>215</v>
      </c>
      <c r="CG350" s="1">
        <f t="shared" si="256"/>
        <v>-3.3</v>
      </c>
      <c r="CH350" s="16" t="s">
        <v>215</v>
      </c>
      <c r="CI350" s="16" t="s">
        <v>215</v>
      </c>
      <c r="CJ350" s="16" t="s">
        <v>215</v>
      </c>
      <c r="CK350" s="16" t="s">
        <v>215</v>
      </c>
      <c r="CL350" s="16" t="s">
        <v>215</v>
      </c>
      <c r="CM350" s="16" t="s">
        <v>215</v>
      </c>
      <c r="CN350" s="16" t="s">
        <v>215</v>
      </c>
      <c r="CO350" s="1">
        <f t="shared" si="264"/>
        <v>-14.2</v>
      </c>
      <c r="CP350" s="16" t="s">
        <v>215</v>
      </c>
      <c r="CQ350" s="16" t="s">
        <v>215</v>
      </c>
      <c r="CR350" s="16" t="s">
        <v>215</v>
      </c>
      <c r="CS350" s="16" t="s">
        <v>215</v>
      </c>
      <c r="CT350" s="16" t="s">
        <v>215</v>
      </c>
      <c r="CU350" s="16" t="s">
        <v>215</v>
      </c>
      <c r="CV350" s="16" t="s">
        <v>215</v>
      </c>
      <c r="CW350" s="18">
        <f t="shared" si="272"/>
        <v>819</v>
      </c>
      <c r="CX350" s="1">
        <f>ROUND(PPTest!K350,1)</f>
        <v>28.4</v>
      </c>
      <c r="CY350" s="16" t="s">
        <v>215</v>
      </c>
      <c r="CZ350" s="16" t="s">
        <v>215</v>
      </c>
      <c r="DA350" s="20">
        <f t="shared" si="275"/>
        <v>0.20300000000000001</v>
      </c>
      <c r="DB350" s="20">
        <f t="shared" si="276"/>
        <v>0.27600000000000002</v>
      </c>
      <c r="DC350" s="16" t="s">
        <v>215</v>
      </c>
      <c r="DW350" s="1">
        <v>-7.6</v>
      </c>
      <c r="DX350" s="1">
        <v>-2.9</v>
      </c>
      <c r="DY350" s="1">
        <v>-12</v>
      </c>
    </row>
    <row r="351" spans="1:129" x14ac:dyDescent="0.2">
      <c r="A351" s="40">
        <v>35044</v>
      </c>
      <c r="B351" s="3">
        <v>345</v>
      </c>
      <c r="C351" s="3"/>
      <c r="D351" s="3"/>
      <c r="E351" s="60">
        <f t="shared" si="279"/>
        <v>-3.1</v>
      </c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61"/>
      <c r="Q351" s="36"/>
      <c r="R351" s="60">
        <f t="shared" si="280"/>
        <v>1.8</v>
      </c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61"/>
      <c r="AE351" s="36"/>
      <c r="AF351" s="60">
        <f t="shared" si="281"/>
        <v>-7.8</v>
      </c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65">
        <f>PPTest!H351</f>
        <v>977</v>
      </c>
      <c r="BH351" s="16">
        <v>4.5199999999999996</v>
      </c>
      <c r="BI351" s="16">
        <f t="shared" si="245"/>
        <v>9.1303999999999998</v>
      </c>
      <c r="BJ351" s="17"/>
      <c r="BK351" s="17"/>
      <c r="BP351" s="66">
        <f t="shared" si="282"/>
        <v>0.33900000000000002</v>
      </c>
      <c r="BQ351" s="66">
        <f t="shared" si="283"/>
        <v>0.35599999999999998</v>
      </c>
      <c r="BS351" s="52">
        <f t="shared" si="244"/>
        <v>19.5</v>
      </c>
      <c r="BT351" s="8">
        <v>2.6</v>
      </c>
      <c r="BU351" s="51">
        <v>13</v>
      </c>
      <c r="BV351" s="8"/>
      <c r="BW351" s="16" t="s">
        <v>215</v>
      </c>
      <c r="BX351" s="16" t="s">
        <v>215</v>
      </c>
      <c r="BY351" s="3">
        <f t="shared" si="248"/>
        <v>-3.1</v>
      </c>
      <c r="BZ351" s="16" t="s">
        <v>215</v>
      </c>
      <c r="CA351" s="16" t="s">
        <v>215</v>
      </c>
      <c r="CB351" s="16" t="s">
        <v>215</v>
      </c>
      <c r="CC351" s="16" t="s">
        <v>215</v>
      </c>
      <c r="CD351" s="16" t="s">
        <v>215</v>
      </c>
      <c r="CE351" s="16" t="s">
        <v>215</v>
      </c>
      <c r="CF351" s="16" t="s">
        <v>215</v>
      </c>
      <c r="CG351" s="1">
        <f t="shared" si="256"/>
        <v>1.8</v>
      </c>
      <c r="CH351" s="16" t="s">
        <v>215</v>
      </c>
      <c r="CI351" s="16" t="s">
        <v>215</v>
      </c>
      <c r="CJ351" s="16" t="s">
        <v>215</v>
      </c>
      <c r="CK351" s="16" t="s">
        <v>215</v>
      </c>
      <c r="CL351" s="16" t="s">
        <v>215</v>
      </c>
      <c r="CM351" s="16" t="s">
        <v>215</v>
      </c>
      <c r="CN351" s="16" t="s">
        <v>215</v>
      </c>
      <c r="CO351" s="1">
        <f t="shared" si="264"/>
        <v>-7.8</v>
      </c>
      <c r="CP351" s="16" t="s">
        <v>215</v>
      </c>
      <c r="CQ351" s="16" t="s">
        <v>215</v>
      </c>
      <c r="CR351" s="16" t="s">
        <v>215</v>
      </c>
      <c r="CS351" s="16" t="s">
        <v>215</v>
      </c>
      <c r="CT351" s="16" t="s">
        <v>215</v>
      </c>
      <c r="CU351" s="16" t="s">
        <v>215</v>
      </c>
      <c r="CV351" s="16" t="s">
        <v>215</v>
      </c>
      <c r="CW351" s="18">
        <f t="shared" si="272"/>
        <v>977</v>
      </c>
      <c r="CX351" s="1">
        <f>ROUND(PPTest!K351,1)</f>
        <v>20.5</v>
      </c>
      <c r="CY351" s="16" t="s">
        <v>215</v>
      </c>
      <c r="CZ351" s="16" t="s">
        <v>215</v>
      </c>
      <c r="DA351" s="20">
        <f t="shared" si="275"/>
        <v>0.33900000000000002</v>
      </c>
      <c r="DB351" s="20">
        <f t="shared" si="276"/>
        <v>0.35599999999999998</v>
      </c>
      <c r="DC351" s="16" t="s">
        <v>215</v>
      </c>
      <c r="DW351" s="1">
        <v>-2.4</v>
      </c>
      <c r="DX351" s="1">
        <v>2.4</v>
      </c>
      <c r="DY351" s="1">
        <v>-6.2</v>
      </c>
    </row>
    <row r="352" spans="1:129" x14ac:dyDescent="0.2">
      <c r="A352" s="40">
        <v>35045</v>
      </c>
      <c r="B352" s="3">
        <v>346</v>
      </c>
      <c r="C352" s="3"/>
      <c r="D352" s="3"/>
      <c r="E352" s="60">
        <f t="shared" si="279"/>
        <v>0.3</v>
      </c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61"/>
      <c r="Q352" s="36"/>
      <c r="R352" s="60">
        <f t="shared" si="280"/>
        <v>3.9</v>
      </c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61"/>
      <c r="AE352" s="36"/>
      <c r="AF352" s="60">
        <f t="shared" si="281"/>
        <v>-4.2</v>
      </c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65">
        <f>PPTest!H352</f>
        <v>957</v>
      </c>
      <c r="BH352" s="16">
        <v>4.49</v>
      </c>
      <c r="BI352" s="16">
        <f t="shared" si="245"/>
        <v>9.0698000000000008</v>
      </c>
      <c r="BJ352" s="17"/>
      <c r="BK352" s="17"/>
      <c r="BP352" s="66">
        <f t="shared" si="282"/>
        <v>0.44700000000000001</v>
      </c>
      <c r="BQ352" s="66">
        <f t="shared" si="283"/>
        <v>0.36</v>
      </c>
      <c r="BS352" s="52">
        <f t="shared" si="244"/>
        <v>0</v>
      </c>
      <c r="BT352" s="8">
        <v>7.2</v>
      </c>
      <c r="BU352" s="51">
        <v>0</v>
      </c>
      <c r="BV352" s="8"/>
      <c r="BW352" s="16" t="s">
        <v>215</v>
      </c>
      <c r="BX352" s="16" t="s">
        <v>215</v>
      </c>
      <c r="BY352" s="3">
        <f t="shared" si="248"/>
        <v>0.3</v>
      </c>
      <c r="BZ352" s="16" t="s">
        <v>215</v>
      </c>
      <c r="CA352" s="16" t="s">
        <v>215</v>
      </c>
      <c r="CB352" s="16" t="s">
        <v>215</v>
      </c>
      <c r="CC352" s="16" t="s">
        <v>215</v>
      </c>
      <c r="CD352" s="16" t="s">
        <v>215</v>
      </c>
      <c r="CE352" s="16" t="s">
        <v>215</v>
      </c>
      <c r="CF352" s="16" t="s">
        <v>215</v>
      </c>
      <c r="CG352" s="1">
        <f t="shared" si="256"/>
        <v>3.9</v>
      </c>
      <c r="CH352" s="16" t="s">
        <v>215</v>
      </c>
      <c r="CI352" s="16" t="s">
        <v>215</v>
      </c>
      <c r="CJ352" s="16" t="s">
        <v>215</v>
      </c>
      <c r="CK352" s="16" t="s">
        <v>215</v>
      </c>
      <c r="CL352" s="16" t="s">
        <v>215</v>
      </c>
      <c r="CM352" s="16" t="s">
        <v>215</v>
      </c>
      <c r="CN352" s="16" t="s">
        <v>215</v>
      </c>
      <c r="CO352" s="1">
        <f t="shared" si="264"/>
        <v>-4.2</v>
      </c>
      <c r="CP352" s="16" t="s">
        <v>215</v>
      </c>
      <c r="CQ352" s="16" t="s">
        <v>215</v>
      </c>
      <c r="CR352" s="16" t="s">
        <v>215</v>
      </c>
      <c r="CS352" s="16" t="s">
        <v>215</v>
      </c>
      <c r="CT352" s="16" t="s">
        <v>215</v>
      </c>
      <c r="CU352" s="16" t="s">
        <v>215</v>
      </c>
      <c r="CV352" s="16" t="s">
        <v>215</v>
      </c>
      <c r="CW352" s="18">
        <f t="shared" si="272"/>
        <v>957</v>
      </c>
      <c r="CX352" s="1">
        <f>ROUND(PPTest!K352,1)</f>
        <v>0</v>
      </c>
      <c r="CY352" s="16" t="s">
        <v>215</v>
      </c>
      <c r="CZ352" s="16" t="s">
        <v>215</v>
      </c>
      <c r="DA352" s="20">
        <f t="shared" si="275"/>
        <v>0.44700000000000001</v>
      </c>
      <c r="DB352" s="20">
        <f t="shared" si="276"/>
        <v>0.36</v>
      </c>
      <c r="DC352" s="16" t="s">
        <v>215</v>
      </c>
      <c r="DW352" s="1">
        <v>0.4</v>
      </c>
      <c r="DX352" s="1">
        <v>4.5999999999999996</v>
      </c>
      <c r="DY352" s="1">
        <v>-2.9</v>
      </c>
    </row>
    <row r="353" spans="1:129" x14ac:dyDescent="0.2">
      <c r="A353" s="40">
        <v>35046</v>
      </c>
      <c r="B353" s="3">
        <v>347</v>
      </c>
      <c r="C353" s="3"/>
      <c r="D353" s="3"/>
      <c r="E353" s="60">
        <f t="shared" si="279"/>
        <v>-1.7</v>
      </c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61"/>
      <c r="Q353" s="36"/>
      <c r="R353" s="60">
        <f t="shared" si="280"/>
        <v>2.4</v>
      </c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61"/>
      <c r="AE353" s="36"/>
      <c r="AF353" s="60">
        <f t="shared" si="281"/>
        <v>-6.4</v>
      </c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65">
        <f>PPTest!H353</f>
        <v>1005</v>
      </c>
      <c r="BH353" s="16">
        <v>4.47</v>
      </c>
      <c r="BI353" s="16">
        <f t="shared" si="245"/>
        <v>9.029399999999999</v>
      </c>
      <c r="BJ353" s="17"/>
      <c r="BK353" s="17"/>
      <c r="BP353" s="66">
        <f t="shared" si="282"/>
        <v>0.378</v>
      </c>
      <c r="BQ353" s="66">
        <f t="shared" si="283"/>
        <v>0.34799999999999998</v>
      </c>
      <c r="BS353" s="52">
        <f t="shared" si="244"/>
        <v>6</v>
      </c>
      <c r="BT353" s="8">
        <v>0</v>
      </c>
      <c r="BU353" s="51">
        <v>4</v>
      </c>
      <c r="BV353" s="8"/>
      <c r="BW353" s="16" t="s">
        <v>215</v>
      </c>
      <c r="BX353" s="16" t="s">
        <v>215</v>
      </c>
      <c r="BY353" s="3">
        <f t="shared" si="248"/>
        <v>-1.7</v>
      </c>
      <c r="BZ353" s="16" t="s">
        <v>215</v>
      </c>
      <c r="CA353" s="16" t="s">
        <v>215</v>
      </c>
      <c r="CB353" s="16" t="s">
        <v>215</v>
      </c>
      <c r="CC353" s="16" t="s">
        <v>215</v>
      </c>
      <c r="CD353" s="16" t="s">
        <v>215</v>
      </c>
      <c r="CE353" s="16" t="s">
        <v>215</v>
      </c>
      <c r="CF353" s="16" t="s">
        <v>215</v>
      </c>
      <c r="CG353" s="1">
        <f t="shared" si="256"/>
        <v>2.4</v>
      </c>
      <c r="CH353" s="16" t="s">
        <v>215</v>
      </c>
      <c r="CI353" s="16" t="s">
        <v>215</v>
      </c>
      <c r="CJ353" s="16" t="s">
        <v>215</v>
      </c>
      <c r="CK353" s="16" t="s">
        <v>215</v>
      </c>
      <c r="CL353" s="16" t="s">
        <v>215</v>
      </c>
      <c r="CM353" s="16" t="s">
        <v>215</v>
      </c>
      <c r="CN353" s="16" t="s">
        <v>215</v>
      </c>
      <c r="CO353" s="1">
        <f t="shared" si="264"/>
        <v>-6.4</v>
      </c>
      <c r="CP353" s="16" t="s">
        <v>215</v>
      </c>
      <c r="CQ353" s="16" t="s">
        <v>215</v>
      </c>
      <c r="CR353" s="16" t="s">
        <v>215</v>
      </c>
      <c r="CS353" s="16" t="s">
        <v>215</v>
      </c>
      <c r="CT353" s="16" t="s">
        <v>215</v>
      </c>
      <c r="CU353" s="16" t="s">
        <v>215</v>
      </c>
      <c r="CV353" s="16" t="s">
        <v>215</v>
      </c>
      <c r="CW353" s="18">
        <f t="shared" si="272"/>
        <v>1005</v>
      </c>
      <c r="CX353" s="1">
        <f>ROUND(PPTest!K353,1)</f>
        <v>6.3</v>
      </c>
      <c r="CY353" s="16" t="s">
        <v>215</v>
      </c>
      <c r="CZ353" s="16" t="s">
        <v>215</v>
      </c>
      <c r="DA353" s="20">
        <f t="shared" si="275"/>
        <v>0.378</v>
      </c>
      <c r="DB353" s="20">
        <f t="shared" si="276"/>
        <v>0.34799999999999998</v>
      </c>
      <c r="DC353" s="16" t="s">
        <v>215</v>
      </c>
      <c r="DW353" s="1">
        <v>-1.3</v>
      </c>
      <c r="DX353" s="1">
        <v>3</v>
      </c>
      <c r="DY353" s="1">
        <v>-4.9000000000000004</v>
      </c>
    </row>
    <row r="354" spans="1:129" x14ac:dyDescent="0.2">
      <c r="A354" s="40">
        <v>35047</v>
      </c>
      <c r="B354" s="3">
        <v>348</v>
      </c>
      <c r="C354" s="3"/>
      <c r="D354" s="3"/>
      <c r="E354" s="60">
        <f t="shared" si="279"/>
        <v>-5</v>
      </c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61"/>
      <c r="Q354" s="36"/>
      <c r="R354" s="60">
        <f t="shared" si="280"/>
        <v>-0.5</v>
      </c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61"/>
      <c r="AE354" s="36"/>
      <c r="AF354" s="60">
        <f t="shared" si="281"/>
        <v>-10.1</v>
      </c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65">
        <f>PPTest!H354</f>
        <v>985</v>
      </c>
      <c r="BH354" s="16">
        <v>4.4400000000000004</v>
      </c>
      <c r="BI354" s="16">
        <f t="shared" si="245"/>
        <v>8.9688000000000017</v>
      </c>
      <c r="BJ354" s="17"/>
      <c r="BK354" s="17"/>
      <c r="BP354" s="66">
        <f t="shared" si="282"/>
        <v>0.28299999999999997</v>
      </c>
      <c r="BQ354" s="66">
        <f t="shared" si="283"/>
        <v>0.30599999999999999</v>
      </c>
      <c r="BS354" s="52">
        <f t="shared" si="244"/>
        <v>0</v>
      </c>
      <c r="BT354" s="8">
        <v>0.2</v>
      </c>
      <c r="BU354" s="51">
        <v>0</v>
      </c>
      <c r="BV354" s="8"/>
      <c r="BW354" s="16" t="s">
        <v>215</v>
      </c>
      <c r="BX354" s="16" t="s">
        <v>215</v>
      </c>
      <c r="BY354" s="3">
        <f t="shared" si="248"/>
        <v>-5</v>
      </c>
      <c r="BZ354" s="16" t="s">
        <v>215</v>
      </c>
      <c r="CA354" s="16" t="s">
        <v>215</v>
      </c>
      <c r="CB354" s="16" t="s">
        <v>215</v>
      </c>
      <c r="CC354" s="16" t="s">
        <v>215</v>
      </c>
      <c r="CD354" s="16" t="s">
        <v>215</v>
      </c>
      <c r="CE354" s="16" t="s">
        <v>215</v>
      </c>
      <c r="CF354" s="16" t="s">
        <v>215</v>
      </c>
      <c r="CG354" s="1">
        <f t="shared" si="256"/>
        <v>-0.5</v>
      </c>
      <c r="CH354" s="16" t="s">
        <v>215</v>
      </c>
      <c r="CI354" s="16" t="s">
        <v>215</v>
      </c>
      <c r="CJ354" s="16" t="s">
        <v>215</v>
      </c>
      <c r="CK354" s="16" t="s">
        <v>215</v>
      </c>
      <c r="CL354" s="16" t="s">
        <v>215</v>
      </c>
      <c r="CM354" s="16" t="s">
        <v>215</v>
      </c>
      <c r="CN354" s="16" t="s">
        <v>215</v>
      </c>
      <c r="CO354" s="1">
        <f t="shared" si="264"/>
        <v>-10.1</v>
      </c>
      <c r="CP354" s="16" t="s">
        <v>215</v>
      </c>
      <c r="CQ354" s="16" t="s">
        <v>215</v>
      </c>
      <c r="CR354" s="16" t="s">
        <v>215</v>
      </c>
      <c r="CS354" s="16" t="s">
        <v>215</v>
      </c>
      <c r="CT354" s="16" t="s">
        <v>215</v>
      </c>
      <c r="CU354" s="16" t="s">
        <v>215</v>
      </c>
      <c r="CV354" s="16" t="s">
        <v>215</v>
      </c>
      <c r="CW354" s="18">
        <f t="shared" si="272"/>
        <v>985</v>
      </c>
      <c r="CX354" s="1">
        <f>ROUND(PPTest!K354,1)</f>
        <v>0</v>
      </c>
      <c r="CY354" s="16" t="s">
        <v>215</v>
      </c>
      <c r="CZ354" s="16" t="s">
        <v>215</v>
      </c>
      <c r="DA354" s="20">
        <f t="shared" si="275"/>
        <v>0.28299999999999997</v>
      </c>
      <c r="DB354" s="20">
        <f t="shared" si="276"/>
        <v>0.30599999999999999</v>
      </c>
      <c r="DC354" s="16" t="s">
        <v>215</v>
      </c>
      <c r="DW354" s="1">
        <v>-4</v>
      </c>
      <c r="DX354" s="1">
        <v>0</v>
      </c>
      <c r="DY354" s="1">
        <v>-8.3000000000000007</v>
      </c>
    </row>
    <row r="355" spans="1:129" x14ac:dyDescent="0.2">
      <c r="A355" s="40">
        <v>35048</v>
      </c>
      <c r="B355" s="3">
        <v>349</v>
      </c>
      <c r="C355" s="3"/>
      <c r="D355" s="3"/>
      <c r="E355" s="60">
        <f t="shared" si="279"/>
        <v>-7.6</v>
      </c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61"/>
      <c r="Q355" s="36"/>
      <c r="R355" s="60">
        <f t="shared" si="280"/>
        <v>-2.9</v>
      </c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61"/>
      <c r="AE355" s="36"/>
      <c r="AF355" s="60">
        <f t="shared" si="281"/>
        <v>-12.6</v>
      </c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65">
        <f>PPTest!H355</f>
        <v>965</v>
      </c>
      <c r="BH355" s="16">
        <v>4.42</v>
      </c>
      <c r="BI355" s="16">
        <f t="shared" si="245"/>
        <v>8.9283999999999999</v>
      </c>
      <c r="BJ355" s="17"/>
      <c r="BK355" s="17"/>
      <c r="BP355" s="66">
        <f t="shared" si="282"/>
        <v>0.23200000000000001</v>
      </c>
      <c r="BQ355" s="66">
        <f t="shared" si="283"/>
        <v>0.26100000000000001</v>
      </c>
      <c r="BS355" s="52">
        <f t="shared" si="244"/>
        <v>0</v>
      </c>
      <c r="BT355" s="8">
        <v>0</v>
      </c>
      <c r="BU355" s="51">
        <v>0</v>
      </c>
      <c r="BV355" s="8"/>
      <c r="BW355" s="16" t="s">
        <v>215</v>
      </c>
      <c r="BX355" s="16" t="s">
        <v>215</v>
      </c>
      <c r="BY355" s="3">
        <f t="shared" si="248"/>
        <v>-7.6</v>
      </c>
      <c r="BZ355" s="16" t="s">
        <v>215</v>
      </c>
      <c r="CA355" s="16" t="s">
        <v>215</v>
      </c>
      <c r="CB355" s="16" t="s">
        <v>215</v>
      </c>
      <c r="CC355" s="16" t="s">
        <v>215</v>
      </c>
      <c r="CD355" s="16" t="s">
        <v>215</v>
      </c>
      <c r="CE355" s="16" t="s">
        <v>215</v>
      </c>
      <c r="CF355" s="16" t="s">
        <v>215</v>
      </c>
      <c r="CG355" s="1">
        <f t="shared" si="256"/>
        <v>-2.9</v>
      </c>
      <c r="CH355" s="16" t="s">
        <v>215</v>
      </c>
      <c r="CI355" s="16" t="s">
        <v>215</v>
      </c>
      <c r="CJ355" s="16" t="s">
        <v>215</v>
      </c>
      <c r="CK355" s="16" t="s">
        <v>215</v>
      </c>
      <c r="CL355" s="16" t="s">
        <v>215</v>
      </c>
      <c r="CM355" s="16" t="s">
        <v>215</v>
      </c>
      <c r="CN355" s="16" t="s">
        <v>215</v>
      </c>
      <c r="CO355" s="1">
        <f t="shared" si="264"/>
        <v>-12.6</v>
      </c>
      <c r="CP355" s="16" t="s">
        <v>215</v>
      </c>
      <c r="CQ355" s="16" t="s">
        <v>215</v>
      </c>
      <c r="CR355" s="16" t="s">
        <v>215</v>
      </c>
      <c r="CS355" s="16" t="s">
        <v>215</v>
      </c>
      <c r="CT355" s="16" t="s">
        <v>215</v>
      </c>
      <c r="CU355" s="16" t="s">
        <v>215</v>
      </c>
      <c r="CV355" s="16" t="s">
        <v>215</v>
      </c>
      <c r="CW355" s="18">
        <f t="shared" si="272"/>
        <v>965</v>
      </c>
      <c r="CX355" s="1">
        <f>ROUND(PPTest!K355,1)</f>
        <v>0</v>
      </c>
      <c r="CY355" s="16" t="s">
        <v>215</v>
      </c>
      <c r="CZ355" s="16" t="s">
        <v>215</v>
      </c>
      <c r="DA355" s="20">
        <f t="shared" si="275"/>
        <v>0.23200000000000001</v>
      </c>
      <c r="DB355" s="20">
        <f t="shared" si="276"/>
        <v>0.26100000000000001</v>
      </c>
      <c r="DC355" s="16" t="s">
        <v>215</v>
      </c>
      <c r="DW355" s="1">
        <v>-6.2</v>
      </c>
      <c r="DX355" s="1">
        <v>-2.5</v>
      </c>
      <c r="DY355" s="1">
        <v>-10.5</v>
      </c>
    </row>
    <row r="356" spans="1:129" x14ac:dyDescent="0.2">
      <c r="A356" s="40">
        <v>35049</v>
      </c>
      <c r="B356" s="3">
        <v>350</v>
      </c>
      <c r="C356" s="3"/>
      <c r="D356" s="3"/>
      <c r="E356" s="60">
        <f t="shared" si="279"/>
        <v>-8.3000000000000007</v>
      </c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61"/>
      <c r="Q356" s="36"/>
      <c r="R356" s="60">
        <f t="shared" si="280"/>
        <v>1.7</v>
      </c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61"/>
      <c r="AE356" s="36"/>
      <c r="AF356" s="60">
        <f t="shared" si="281"/>
        <v>-13.4</v>
      </c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65">
        <f>PPTest!H356</f>
        <v>945</v>
      </c>
      <c r="BH356" s="16">
        <v>4.4000000000000004</v>
      </c>
      <c r="BI356" s="16">
        <f t="shared" si="245"/>
        <v>8.8880000000000017</v>
      </c>
      <c r="BJ356" s="17"/>
      <c r="BK356" s="17"/>
      <c r="BP356" s="66">
        <f t="shared" si="282"/>
        <v>0.217</v>
      </c>
      <c r="BQ356" s="66">
        <f t="shared" si="283"/>
        <v>0.47299999999999998</v>
      </c>
      <c r="BS356" s="52">
        <f t="shared" si="244"/>
        <v>0</v>
      </c>
      <c r="BT356" s="8">
        <v>0</v>
      </c>
      <c r="BU356" s="51">
        <v>0</v>
      </c>
      <c r="BV356" s="8"/>
      <c r="BW356" s="16" t="s">
        <v>215</v>
      </c>
      <c r="BX356" s="16" t="s">
        <v>215</v>
      </c>
      <c r="BY356" s="3">
        <f t="shared" si="248"/>
        <v>-8.3000000000000007</v>
      </c>
      <c r="BZ356" s="16" t="s">
        <v>215</v>
      </c>
      <c r="CA356" s="16" t="s">
        <v>215</v>
      </c>
      <c r="CB356" s="16" t="s">
        <v>215</v>
      </c>
      <c r="CC356" s="16" t="s">
        <v>215</v>
      </c>
      <c r="CD356" s="16" t="s">
        <v>215</v>
      </c>
      <c r="CE356" s="16" t="s">
        <v>215</v>
      </c>
      <c r="CF356" s="16" t="s">
        <v>215</v>
      </c>
      <c r="CG356" s="1">
        <f t="shared" si="256"/>
        <v>1.7</v>
      </c>
      <c r="CH356" s="16" t="s">
        <v>215</v>
      </c>
      <c r="CI356" s="16" t="s">
        <v>215</v>
      </c>
      <c r="CJ356" s="16" t="s">
        <v>215</v>
      </c>
      <c r="CK356" s="16" t="s">
        <v>215</v>
      </c>
      <c r="CL356" s="16" t="s">
        <v>215</v>
      </c>
      <c r="CM356" s="16" t="s">
        <v>215</v>
      </c>
      <c r="CN356" s="16" t="s">
        <v>215</v>
      </c>
      <c r="CO356" s="1">
        <f t="shared" si="264"/>
        <v>-13.4</v>
      </c>
      <c r="CP356" s="16" t="s">
        <v>215</v>
      </c>
      <c r="CQ356" s="16" t="s">
        <v>215</v>
      </c>
      <c r="CR356" s="16" t="s">
        <v>215</v>
      </c>
      <c r="CS356" s="16" t="s">
        <v>215</v>
      </c>
      <c r="CT356" s="16" t="s">
        <v>215</v>
      </c>
      <c r="CU356" s="16" t="s">
        <v>215</v>
      </c>
      <c r="CV356" s="16" t="s">
        <v>215</v>
      </c>
      <c r="CW356" s="18">
        <f t="shared" si="272"/>
        <v>945</v>
      </c>
      <c r="CX356" s="1">
        <f>ROUND(PPTest!K356,1)</f>
        <v>0</v>
      </c>
      <c r="CY356" s="16" t="s">
        <v>215</v>
      </c>
      <c r="CZ356" s="16" t="s">
        <v>215</v>
      </c>
      <c r="DA356" s="20">
        <f t="shared" si="275"/>
        <v>0.217</v>
      </c>
      <c r="DB356" s="20">
        <f t="shared" si="276"/>
        <v>0.47299999999999998</v>
      </c>
      <c r="DC356" s="16" t="s">
        <v>215</v>
      </c>
      <c r="DW356" s="1">
        <v>-6.8</v>
      </c>
      <c r="DX356" s="1">
        <v>2.2999999999999998</v>
      </c>
      <c r="DY356" s="1">
        <v>-11.3</v>
      </c>
    </row>
    <row r="357" spans="1:129" x14ac:dyDescent="0.2">
      <c r="A357" s="40">
        <v>35050</v>
      </c>
      <c r="B357" s="3">
        <v>351</v>
      </c>
      <c r="C357" s="3"/>
      <c r="D357" s="3"/>
      <c r="E357" s="60">
        <f t="shared" si="279"/>
        <v>-7.9</v>
      </c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61"/>
      <c r="Q357" s="36"/>
      <c r="R357" s="60">
        <f t="shared" si="280"/>
        <v>-4.7</v>
      </c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61"/>
      <c r="AE357" s="36"/>
      <c r="AF357" s="60">
        <f t="shared" si="281"/>
        <v>-10.8</v>
      </c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65">
        <f>PPTest!H357</f>
        <v>925</v>
      </c>
      <c r="BH357" s="16">
        <v>4.3899999999999997</v>
      </c>
      <c r="BI357" s="16">
        <f t="shared" si="245"/>
        <v>8.867799999999999</v>
      </c>
      <c r="BJ357" s="17"/>
      <c r="BK357" s="17"/>
      <c r="BP357" s="66">
        <f t="shared" si="282"/>
        <v>0.26800000000000002</v>
      </c>
      <c r="BQ357" s="66">
        <f t="shared" si="283"/>
        <v>0.16300000000000001</v>
      </c>
      <c r="BS357" s="52">
        <f t="shared" si="244"/>
        <v>0</v>
      </c>
      <c r="BT357" s="8">
        <v>0</v>
      </c>
      <c r="BU357" s="51">
        <v>0</v>
      </c>
      <c r="BV357" s="8"/>
      <c r="BW357" s="16" t="s">
        <v>215</v>
      </c>
      <c r="BX357" s="16" t="s">
        <v>215</v>
      </c>
      <c r="BY357" s="3">
        <f t="shared" si="248"/>
        <v>-7.9</v>
      </c>
      <c r="BZ357" s="16" t="s">
        <v>215</v>
      </c>
      <c r="CA357" s="16" t="s">
        <v>215</v>
      </c>
      <c r="CB357" s="16" t="s">
        <v>215</v>
      </c>
      <c r="CC357" s="16" t="s">
        <v>215</v>
      </c>
      <c r="CD357" s="16" t="s">
        <v>215</v>
      </c>
      <c r="CE357" s="16" t="s">
        <v>215</v>
      </c>
      <c r="CF357" s="16" t="s">
        <v>215</v>
      </c>
      <c r="CG357" s="1">
        <f t="shared" si="256"/>
        <v>-4.7</v>
      </c>
      <c r="CH357" s="16" t="s">
        <v>215</v>
      </c>
      <c r="CI357" s="16" t="s">
        <v>215</v>
      </c>
      <c r="CJ357" s="16" t="s">
        <v>215</v>
      </c>
      <c r="CK357" s="16" t="s">
        <v>215</v>
      </c>
      <c r="CL357" s="16" t="s">
        <v>215</v>
      </c>
      <c r="CM357" s="16" t="s">
        <v>215</v>
      </c>
      <c r="CN357" s="16" t="s">
        <v>215</v>
      </c>
      <c r="CO357" s="1">
        <f t="shared" si="264"/>
        <v>-10.8</v>
      </c>
      <c r="CP357" s="16" t="s">
        <v>215</v>
      </c>
      <c r="CQ357" s="16" t="s">
        <v>215</v>
      </c>
      <c r="CR357" s="16" t="s">
        <v>215</v>
      </c>
      <c r="CS357" s="16" t="s">
        <v>215</v>
      </c>
      <c r="CT357" s="16" t="s">
        <v>215</v>
      </c>
      <c r="CU357" s="16" t="s">
        <v>215</v>
      </c>
      <c r="CV357" s="16" t="s">
        <v>215</v>
      </c>
      <c r="CW357" s="18">
        <f t="shared" si="272"/>
        <v>925</v>
      </c>
      <c r="CX357" s="1">
        <f>ROUND(PPTest!K357,1)</f>
        <v>0</v>
      </c>
      <c r="CY357" s="16" t="s">
        <v>215</v>
      </c>
      <c r="CZ357" s="16" t="s">
        <v>215</v>
      </c>
      <c r="DA357" s="20">
        <f t="shared" si="275"/>
        <v>0.26800000000000002</v>
      </c>
      <c r="DB357" s="20">
        <f t="shared" si="276"/>
        <v>0.16300000000000001</v>
      </c>
      <c r="DC357" s="16" t="s">
        <v>215</v>
      </c>
      <c r="DW357" s="1">
        <v>-6.5</v>
      </c>
      <c r="DX357" s="1">
        <v>-4.4000000000000004</v>
      </c>
      <c r="DY357" s="1">
        <v>-8.9</v>
      </c>
    </row>
    <row r="358" spans="1:129" x14ac:dyDescent="0.2">
      <c r="A358" s="40">
        <v>35051</v>
      </c>
      <c r="B358" s="3">
        <v>352</v>
      </c>
      <c r="C358" s="3"/>
      <c r="D358" s="3"/>
      <c r="E358" s="60">
        <f t="shared" si="279"/>
        <v>-6.6</v>
      </c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61"/>
      <c r="Q358" s="36"/>
      <c r="R358" s="60">
        <f t="shared" si="280"/>
        <v>-3.7</v>
      </c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61"/>
      <c r="AE358" s="36"/>
      <c r="AF358" s="60">
        <f t="shared" si="281"/>
        <v>-8.4</v>
      </c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65">
        <f>PPTest!H358</f>
        <v>937</v>
      </c>
      <c r="BH358" s="16">
        <v>4.3899999999999997</v>
      </c>
      <c r="BI358" s="16">
        <f t="shared" si="245"/>
        <v>8.867799999999999</v>
      </c>
      <c r="BJ358" s="17"/>
      <c r="BK358" s="17"/>
      <c r="BP358" s="66">
        <f t="shared" si="282"/>
        <v>0.32400000000000001</v>
      </c>
      <c r="BQ358" s="66">
        <f t="shared" si="283"/>
        <v>0.14000000000000001</v>
      </c>
      <c r="BS358" s="52">
        <f t="shared" si="244"/>
        <v>1.5</v>
      </c>
      <c r="BT358" s="8">
        <v>5.2</v>
      </c>
      <c r="BU358" s="51">
        <v>1</v>
      </c>
      <c r="BV358" s="8"/>
      <c r="BW358" s="16" t="s">
        <v>215</v>
      </c>
      <c r="BX358" s="16" t="s">
        <v>215</v>
      </c>
      <c r="BY358" s="3">
        <f t="shared" si="248"/>
        <v>-6.6</v>
      </c>
      <c r="BZ358" s="16" t="s">
        <v>215</v>
      </c>
      <c r="CA358" s="16" t="s">
        <v>215</v>
      </c>
      <c r="CB358" s="16" t="s">
        <v>215</v>
      </c>
      <c r="CC358" s="16" t="s">
        <v>215</v>
      </c>
      <c r="CD358" s="16" t="s">
        <v>215</v>
      </c>
      <c r="CE358" s="16" t="s">
        <v>215</v>
      </c>
      <c r="CF358" s="16" t="s">
        <v>215</v>
      </c>
      <c r="CG358" s="1">
        <f t="shared" si="256"/>
        <v>-3.7</v>
      </c>
      <c r="CH358" s="16" t="s">
        <v>215</v>
      </c>
      <c r="CI358" s="16" t="s">
        <v>215</v>
      </c>
      <c r="CJ358" s="16" t="s">
        <v>215</v>
      </c>
      <c r="CK358" s="16" t="s">
        <v>215</v>
      </c>
      <c r="CL358" s="16" t="s">
        <v>215</v>
      </c>
      <c r="CM358" s="16" t="s">
        <v>215</v>
      </c>
      <c r="CN358" s="16" t="s">
        <v>215</v>
      </c>
      <c r="CO358" s="1">
        <f t="shared" si="264"/>
        <v>-8.4</v>
      </c>
      <c r="CP358" s="16" t="s">
        <v>215</v>
      </c>
      <c r="CQ358" s="16" t="s">
        <v>215</v>
      </c>
      <c r="CR358" s="16" t="s">
        <v>215</v>
      </c>
      <c r="CS358" s="16" t="s">
        <v>215</v>
      </c>
      <c r="CT358" s="16" t="s">
        <v>215</v>
      </c>
      <c r="CU358" s="16" t="s">
        <v>215</v>
      </c>
      <c r="CV358" s="16" t="s">
        <v>215</v>
      </c>
      <c r="CW358" s="18">
        <f t="shared" si="272"/>
        <v>937</v>
      </c>
      <c r="CX358" s="1">
        <f>ROUND(PPTest!K358,1)</f>
        <v>1.6</v>
      </c>
      <c r="CY358" s="16" t="s">
        <v>215</v>
      </c>
      <c r="CZ358" s="16" t="s">
        <v>215</v>
      </c>
      <c r="DA358" s="20">
        <f t="shared" si="275"/>
        <v>0.32400000000000001</v>
      </c>
      <c r="DB358" s="20">
        <f t="shared" si="276"/>
        <v>0.14000000000000001</v>
      </c>
      <c r="DC358" s="16" t="s">
        <v>215</v>
      </c>
      <c r="DW358" s="1">
        <v>-5.4</v>
      </c>
      <c r="DX358" s="1">
        <v>-3.4</v>
      </c>
      <c r="DY358" s="1">
        <v>-6.7</v>
      </c>
    </row>
    <row r="359" spans="1:129" x14ac:dyDescent="0.2">
      <c r="A359" s="40">
        <v>35052</v>
      </c>
      <c r="B359" s="3">
        <v>353</v>
      </c>
      <c r="C359" s="3"/>
      <c r="D359" s="3"/>
      <c r="E359" s="60">
        <f t="shared" si="279"/>
        <v>-5.9</v>
      </c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61"/>
      <c r="Q359" s="36"/>
      <c r="R359" s="60">
        <f t="shared" si="280"/>
        <v>-1.9</v>
      </c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61"/>
      <c r="AE359" s="36"/>
      <c r="AF359" s="60">
        <f t="shared" si="281"/>
        <v>-8.3000000000000007</v>
      </c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65">
        <f>PPTest!H359</f>
        <v>917</v>
      </c>
      <c r="BH359" s="16">
        <v>4.38</v>
      </c>
      <c r="BI359" s="16">
        <f t="shared" si="245"/>
        <v>8.8475999999999999</v>
      </c>
      <c r="BJ359" s="17"/>
      <c r="BK359" s="17"/>
      <c r="BP359" s="66">
        <f t="shared" si="282"/>
        <v>0.32600000000000001</v>
      </c>
      <c r="BQ359" s="66">
        <f t="shared" si="283"/>
        <v>0.20499999999999999</v>
      </c>
      <c r="BS359" s="52">
        <f t="shared" si="244"/>
        <v>0</v>
      </c>
      <c r="BT359" s="8">
        <v>0</v>
      </c>
      <c r="BU359" s="51">
        <v>0</v>
      </c>
      <c r="BV359" s="8"/>
      <c r="BW359" s="16" t="s">
        <v>215</v>
      </c>
      <c r="BX359" s="16" t="s">
        <v>215</v>
      </c>
      <c r="BY359" s="3">
        <f t="shared" si="248"/>
        <v>-5.9</v>
      </c>
      <c r="BZ359" s="16" t="s">
        <v>215</v>
      </c>
      <c r="CA359" s="16" t="s">
        <v>215</v>
      </c>
      <c r="CB359" s="16" t="s">
        <v>215</v>
      </c>
      <c r="CC359" s="16" t="s">
        <v>215</v>
      </c>
      <c r="CD359" s="16" t="s">
        <v>215</v>
      </c>
      <c r="CE359" s="16" t="s">
        <v>215</v>
      </c>
      <c r="CF359" s="16" t="s">
        <v>215</v>
      </c>
      <c r="CG359" s="1">
        <f t="shared" si="256"/>
        <v>-1.9</v>
      </c>
      <c r="CH359" s="16" t="s">
        <v>215</v>
      </c>
      <c r="CI359" s="16" t="s">
        <v>215</v>
      </c>
      <c r="CJ359" s="16" t="s">
        <v>215</v>
      </c>
      <c r="CK359" s="16" t="s">
        <v>215</v>
      </c>
      <c r="CL359" s="16" t="s">
        <v>215</v>
      </c>
      <c r="CM359" s="16" t="s">
        <v>215</v>
      </c>
      <c r="CN359" s="16" t="s">
        <v>215</v>
      </c>
      <c r="CO359" s="1">
        <f t="shared" si="264"/>
        <v>-8.3000000000000007</v>
      </c>
      <c r="CP359" s="16" t="s">
        <v>215</v>
      </c>
      <c r="CQ359" s="16" t="s">
        <v>215</v>
      </c>
      <c r="CR359" s="16" t="s">
        <v>215</v>
      </c>
      <c r="CS359" s="16" t="s">
        <v>215</v>
      </c>
      <c r="CT359" s="16" t="s">
        <v>215</v>
      </c>
      <c r="CU359" s="16" t="s">
        <v>215</v>
      </c>
      <c r="CV359" s="16" t="s">
        <v>215</v>
      </c>
      <c r="CW359" s="18">
        <f t="shared" si="272"/>
        <v>917</v>
      </c>
      <c r="CX359" s="1">
        <f>ROUND(PPTest!K359,1)</f>
        <v>0</v>
      </c>
      <c r="CY359" s="16" t="s">
        <v>215</v>
      </c>
      <c r="CZ359" s="16" t="s">
        <v>215</v>
      </c>
      <c r="DA359" s="20">
        <f t="shared" si="275"/>
        <v>0.32600000000000001</v>
      </c>
      <c r="DB359" s="20">
        <f t="shared" si="276"/>
        <v>0.20499999999999999</v>
      </c>
      <c r="DC359" s="16" t="s">
        <v>215</v>
      </c>
      <c r="DW359" s="1">
        <v>-4.8</v>
      </c>
      <c r="DX359" s="1">
        <v>-1.5</v>
      </c>
      <c r="DY359" s="1">
        <v>-6.6</v>
      </c>
    </row>
    <row r="360" spans="1:129" x14ac:dyDescent="0.2">
      <c r="A360" s="40">
        <v>35053</v>
      </c>
      <c r="B360" s="3">
        <v>354</v>
      </c>
      <c r="C360" s="3"/>
      <c r="D360" s="3"/>
      <c r="E360" s="60">
        <f t="shared" si="279"/>
        <v>-5.3</v>
      </c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61"/>
      <c r="Q360" s="36"/>
      <c r="R360" s="60">
        <f t="shared" si="280"/>
        <v>-0.7</v>
      </c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61"/>
      <c r="AE360" s="36"/>
      <c r="AF360" s="60">
        <f t="shared" si="281"/>
        <v>-7.9</v>
      </c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65">
        <f>PPTest!H360</f>
        <v>897</v>
      </c>
      <c r="BH360" s="16">
        <v>4.37</v>
      </c>
      <c r="BI360" s="16">
        <f t="shared" si="245"/>
        <v>8.8274000000000008</v>
      </c>
      <c r="BJ360" s="17"/>
      <c r="BK360" s="17"/>
      <c r="BP360" s="66">
        <f t="shared" si="282"/>
        <v>0.33700000000000002</v>
      </c>
      <c r="BQ360" s="66">
        <f t="shared" si="283"/>
        <v>0.24299999999999999</v>
      </c>
      <c r="BS360" s="52">
        <f t="shared" si="244"/>
        <v>0</v>
      </c>
      <c r="BT360" s="8">
        <v>0</v>
      </c>
      <c r="BU360" s="51">
        <v>0</v>
      </c>
      <c r="BV360" s="8"/>
      <c r="BW360" s="16" t="s">
        <v>215</v>
      </c>
      <c r="BX360" s="16" t="s">
        <v>215</v>
      </c>
      <c r="BY360" s="3">
        <f t="shared" si="248"/>
        <v>-5.3</v>
      </c>
      <c r="BZ360" s="16" t="s">
        <v>215</v>
      </c>
      <c r="CA360" s="16" t="s">
        <v>215</v>
      </c>
      <c r="CB360" s="16" t="s">
        <v>215</v>
      </c>
      <c r="CC360" s="16" t="s">
        <v>215</v>
      </c>
      <c r="CD360" s="16" t="s">
        <v>215</v>
      </c>
      <c r="CE360" s="16" t="s">
        <v>215</v>
      </c>
      <c r="CF360" s="16" t="s">
        <v>215</v>
      </c>
      <c r="CG360" s="1">
        <f t="shared" si="256"/>
        <v>-0.7</v>
      </c>
      <c r="CH360" s="16" t="s">
        <v>215</v>
      </c>
      <c r="CI360" s="16" t="s">
        <v>215</v>
      </c>
      <c r="CJ360" s="16" t="s">
        <v>215</v>
      </c>
      <c r="CK360" s="16" t="s">
        <v>215</v>
      </c>
      <c r="CL360" s="16" t="s">
        <v>215</v>
      </c>
      <c r="CM360" s="16" t="s">
        <v>215</v>
      </c>
      <c r="CN360" s="16" t="s">
        <v>215</v>
      </c>
      <c r="CO360" s="1">
        <f t="shared" si="264"/>
        <v>-7.9</v>
      </c>
      <c r="CP360" s="16" t="s">
        <v>215</v>
      </c>
      <c r="CQ360" s="16" t="s">
        <v>215</v>
      </c>
      <c r="CR360" s="16" t="s">
        <v>215</v>
      </c>
      <c r="CS360" s="16" t="s">
        <v>215</v>
      </c>
      <c r="CT360" s="16" t="s">
        <v>215</v>
      </c>
      <c r="CU360" s="16" t="s">
        <v>215</v>
      </c>
      <c r="CV360" s="16" t="s">
        <v>215</v>
      </c>
      <c r="CW360" s="18">
        <f t="shared" si="272"/>
        <v>897</v>
      </c>
      <c r="CX360" s="1">
        <f>ROUND(PPTest!K360,1)</f>
        <v>0</v>
      </c>
      <c r="CY360" s="16" t="s">
        <v>215</v>
      </c>
      <c r="CZ360" s="16" t="s">
        <v>215</v>
      </c>
      <c r="DA360" s="20">
        <f t="shared" si="275"/>
        <v>0.33700000000000002</v>
      </c>
      <c r="DB360" s="20">
        <f t="shared" si="276"/>
        <v>0.24299999999999999</v>
      </c>
      <c r="DC360" s="16" t="s">
        <v>215</v>
      </c>
      <c r="DW360" s="1">
        <v>-4.3</v>
      </c>
      <c r="DX360" s="1">
        <v>-0.2</v>
      </c>
      <c r="DY360" s="1">
        <v>-6.3</v>
      </c>
    </row>
    <row r="361" spans="1:129" x14ac:dyDescent="0.2">
      <c r="A361" s="40">
        <v>35054</v>
      </c>
      <c r="B361" s="3">
        <v>355</v>
      </c>
      <c r="C361" s="3"/>
      <c r="D361" s="3"/>
      <c r="E361" s="60">
        <f t="shared" si="279"/>
        <v>-7.5</v>
      </c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61"/>
      <c r="Q361" s="36"/>
      <c r="R361" s="60">
        <f t="shared" si="280"/>
        <v>-5.2</v>
      </c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61"/>
      <c r="AE361" s="36"/>
      <c r="AF361" s="60">
        <f t="shared" si="281"/>
        <v>-9.3000000000000007</v>
      </c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65">
        <f>PPTest!H361</f>
        <v>877</v>
      </c>
      <c r="BH361" s="16">
        <v>4.38</v>
      </c>
      <c r="BI361" s="16">
        <f t="shared" si="245"/>
        <v>8.8475999999999999</v>
      </c>
      <c r="BJ361" s="17"/>
      <c r="BK361" s="17"/>
      <c r="BP361" s="66">
        <f t="shared" si="282"/>
        <v>0.30199999999999999</v>
      </c>
      <c r="BQ361" s="66">
        <f t="shared" si="283"/>
        <v>0.113</v>
      </c>
      <c r="BS361" s="52">
        <f t="shared" si="244"/>
        <v>0</v>
      </c>
      <c r="BT361" s="8">
        <v>0</v>
      </c>
      <c r="BU361" s="51">
        <v>0</v>
      </c>
      <c r="BV361" s="8"/>
      <c r="BW361" s="16" t="s">
        <v>215</v>
      </c>
      <c r="BX361" s="16" t="s">
        <v>215</v>
      </c>
      <c r="BY361" s="3">
        <f t="shared" si="248"/>
        <v>-7.5</v>
      </c>
      <c r="BZ361" s="16" t="s">
        <v>215</v>
      </c>
      <c r="CA361" s="16" t="s">
        <v>215</v>
      </c>
      <c r="CB361" s="16" t="s">
        <v>215</v>
      </c>
      <c r="CC361" s="16" t="s">
        <v>215</v>
      </c>
      <c r="CD361" s="16" t="s">
        <v>215</v>
      </c>
      <c r="CE361" s="16" t="s">
        <v>215</v>
      </c>
      <c r="CF361" s="16" t="s">
        <v>215</v>
      </c>
      <c r="CG361" s="1">
        <f t="shared" si="256"/>
        <v>-5.2</v>
      </c>
      <c r="CH361" s="16" t="s">
        <v>215</v>
      </c>
      <c r="CI361" s="16" t="s">
        <v>215</v>
      </c>
      <c r="CJ361" s="16" t="s">
        <v>215</v>
      </c>
      <c r="CK361" s="16" t="s">
        <v>215</v>
      </c>
      <c r="CL361" s="16" t="s">
        <v>215</v>
      </c>
      <c r="CM361" s="16" t="s">
        <v>215</v>
      </c>
      <c r="CN361" s="16" t="s">
        <v>215</v>
      </c>
      <c r="CO361" s="1">
        <f t="shared" si="264"/>
        <v>-9.3000000000000007</v>
      </c>
      <c r="CP361" s="16" t="s">
        <v>215</v>
      </c>
      <c r="CQ361" s="16" t="s">
        <v>215</v>
      </c>
      <c r="CR361" s="16" t="s">
        <v>215</v>
      </c>
      <c r="CS361" s="16" t="s">
        <v>215</v>
      </c>
      <c r="CT361" s="16" t="s">
        <v>215</v>
      </c>
      <c r="CU361" s="16" t="s">
        <v>215</v>
      </c>
      <c r="CV361" s="16" t="s">
        <v>215</v>
      </c>
      <c r="CW361" s="18">
        <f t="shared" si="272"/>
        <v>877</v>
      </c>
      <c r="CX361" s="1">
        <f>ROUND(PPTest!K361,1)</f>
        <v>0</v>
      </c>
      <c r="CY361" s="16" t="s">
        <v>215</v>
      </c>
      <c r="CZ361" s="16" t="s">
        <v>215</v>
      </c>
      <c r="DA361" s="20">
        <f t="shared" si="275"/>
        <v>0.30199999999999999</v>
      </c>
      <c r="DB361" s="20">
        <f t="shared" si="276"/>
        <v>0.113</v>
      </c>
      <c r="DC361" s="16" t="s">
        <v>215</v>
      </c>
      <c r="DW361" s="1">
        <v>-6.1</v>
      </c>
      <c r="DX361" s="1">
        <v>-4.9000000000000004</v>
      </c>
      <c r="DY361" s="1">
        <v>-7.5</v>
      </c>
    </row>
    <row r="362" spans="1:129" x14ac:dyDescent="0.2">
      <c r="A362" s="40">
        <v>35055</v>
      </c>
      <c r="B362" s="3">
        <v>356</v>
      </c>
      <c r="C362" s="3"/>
      <c r="D362" s="3"/>
      <c r="E362" s="60">
        <f t="shared" si="279"/>
        <v>-10.3</v>
      </c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61"/>
      <c r="Q362" s="36"/>
      <c r="R362" s="60">
        <f t="shared" si="280"/>
        <v>-7.1</v>
      </c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61"/>
      <c r="AE362" s="36"/>
      <c r="AF362" s="60">
        <f t="shared" si="281"/>
        <v>-13.7</v>
      </c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65">
        <f>PPTest!H362</f>
        <v>857</v>
      </c>
      <c r="BH362" s="16">
        <v>4.38</v>
      </c>
      <c r="BI362" s="16">
        <f t="shared" si="245"/>
        <v>8.8475999999999999</v>
      </c>
      <c r="BJ362" s="17"/>
      <c r="BK362" s="17"/>
      <c r="BP362" s="66">
        <f t="shared" si="282"/>
        <v>0.21199999999999999</v>
      </c>
      <c r="BQ362" s="66">
        <f t="shared" si="283"/>
        <v>0.14599999999999999</v>
      </c>
      <c r="BS362" s="52">
        <f t="shared" si="244"/>
        <v>0</v>
      </c>
      <c r="BT362" s="8">
        <v>0</v>
      </c>
      <c r="BU362" s="51">
        <v>0</v>
      </c>
      <c r="BV362" s="8"/>
      <c r="BW362" s="16" t="s">
        <v>215</v>
      </c>
      <c r="BX362" s="16" t="s">
        <v>215</v>
      </c>
      <c r="BY362" s="3">
        <f t="shared" si="248"/>
        <v>-10.3</v>
      </c>
      <c r="BZ362" s="16" t="s">
        <v>215</v>
      </c>
      <c r="CA362" s="16" t="s">
        <v>215</v>
      </c>
      <c r="CB362" s="16" t="s">
        <v>215</v>
      </c>
      <c r="CC362" s="16" t="s">
        <v>215</v>
      </c>
      <c r="CD362" s="16" t="s">
        <v>215</v>
      </c>
      <c r="CE362" s="16" t="s">
        <v>215</v>
      </c>
      <c r="CF362" s="16" t="s">
        <v>215</v>
      </c>
      <c r="CG362" s="1">
        <f t="shared" si="256"/>
        <v>-7.1</v>
      </c>
      <c r="CH362" s="16" t="s">
        <v>215</v>
      </c>
      <c r="CI362" s="16" t="s">
        <v>215</v>
      </c>
      <c r="CJ362" s="16" t="s">
        <v>215</v>
      </c>
      <c r="CK362" s="16" t="s">
        <v>215</v>
      </c>
      <c r="CL362" s="16" t="s">
        <v>215</v>
      </c>
      <c r="CM362" s="16" t="s">
        <v>215</v>
      </c>
      <c r="CN362" s="16" t="s">
        <v>215</v>
      </c>
      <c r="CO362" s="1">
        <f t="shared" si="264"/>
        <v>-13.7</v>
      </c>
      <c r="CP362" s="16" t="s">
        <v>215</v>
      </c>
      <c r="CQ362" s="16" t="s">
        <v>215</v>
      </c>
      <c r="CR362" s="16" t="s">
        <v>215</v>
      </c>
      <c r="CS362" s="16" t="s">
        <v>215</v>
      </c>
      <c r="CT362" s="16" t="s">
        <v>215</v>
      </c>
      <c r="CU362" s="16" t="s">
        <v>215</v>
      </c>
      <c r="CV362" s="16" t="s">
        <v>215</v>
      </c>
      <c r="CW362" s="18">
        <f t="shared" si="272"/>
        <v>857</v>
      </c>
      <c r="CX362" s="1">
        <f>ROUND(PPTest!K362,1)</f>
        <v>0</v>
      </c>
      <c r="CY362" s="16" t="s">
        <v>215</v>
      </c>
      <c r="CZ362" s="16" t="s">
        <v>215</v>
      </c>
      <c r="DA362" s="20">
        <f t="shared" si="275"/>
        <v>0.21199999999999999</v>
      </c>
      <c r="DB362" s="20">
        <f t="shared" si="276"/>
        <v>0.14599999999999999</v>
      </c>
      <c r="DC362" s="16" t="s">
        <v>215</v>
      </c>
      <c r="DW362" s="1">
        <v>-8.5</v>
      </c>
      <c r="DX362" s="1">
        <v>-6.9</v>
      </c>
      <c r="DY362" s="1">
        <v>-11.5</v>
      </c>
    </row>
    <row r="363" spans="1:129" x14ac:dyDescent="0.2">
      <c r="A363" s="40">
        <v>35056</v>
      </c>
      <c r="B363" s="3">
        <v>357</v>
      </c>
      <c r="C363" s="3"/>
      <c r="D363" s="3"/>
      <c r="E363" s="60">
        <f t="shared" si="279"/>
        <v>-12.9</v>
      </c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61"/>
      <c r="Q363" s="36"/>
      <c r="R363" s="60">
        <f t="shared" si="280"/>
        <v>-1.3</v>
      </c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61"/>
      <c r="AE363" s="36"/>
      <c r="AF363" s="60">
        <f t="shared" si="281"/>
        <v>-21.1</v>
      </c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65">
        <f>PPTest!H363</f>
        <v>837</v>
      </c>
      <c r="BH363" s="16">
        <v>4.3899999999999997</v>
      </c>
      <c r="BI363" s="16">
        <f t="shared" si="245"/>
        <v>8.867799999999999</v>
      </c>
      <c r="BJ363" s="17"/>
      <c r="BK363" s="17"/>
      <c r="BP363" s="66">
        <f t="shared" si="282"/>
        <v>0.113</v>
      </c>
      <c r="BQ363" s="66">
        <f t="shared" si="283"/>
        <v>0.442</v>
      </c>
      <c r="BS363" s="52">
        <f t="shared" si="244"/>
        <v>0</v>
      </c>
      <c r="BT363" s="8">
        <v>0</v>
      </c>
      <c r="BU363" s="51">
        <v>0</v>
      </c>
      <c r="BV363" s="8"/>
      <c r="BW363" s="16" t="s">
        <v>215</v>
      </c>
      <c r="BX363" s="16" t="s">
        <v>215</v>
      </c>
      <c r="BY363" s="3">
        <f t="shared" si="248"/>
        <v>-12.9</v>
      </c>
      <c r="BZ363" s="16" t="s">
        <v>215</v>
      </c>
      <c r="CA363" s="16" t="s">
        <v>215</v>
      </c>
      <c r="CB363" s="16" t="s">
        <v>215</v>
      </c>
      <c r="CC363" s="16" t="s">
        <v>215</v>
      </c>
      <c r="CD363" s="16" t="s">
        <v>215</v>
      </c>
      <c r="CE363" s="16" t="s">
        <v>215</v>
      </c>
      <c r="CF363" s="16" t="s">
        <v>215</v>
      </c>
      <c r="CG363" s="1">
        <f t="shared" si="256"/>
        <v>-1.3</v>
      </c>
      <c r="CH363" s="16" t="s">
        <v>215</v>
      </c>
      <c r="CI363" s="16" t="s">
        <v>215</v>
      </c>
      <c r="CJ363" s="16" t="s">
        <v>215</v>
      </c>
      <c r="CK363" s="16" t="s">
        <v>215</v>
      </c>
      <c r="CL363" s="16" t="s">
        <v>215</v>
      </c>
      <c r="CM363" s="16" t="s">
        <v>215</v>
      </c>
      <c r="CN363" s="16" t="s">
        <v>215</v>
      </c>
      <c r="CO363" s="1">
        <f t="shared" si="264"/>
        <v>-21.1</v>
      </c>
      <c r="CP363" s="16" t="s">
        <v>215</v>
      </c>
      <c r="CQ363" s="16" t="s">
        <v>215</v>
      </c>
      <c r="CR363" s="16" t="s">
        <v>215</v>
      </c>
      <c r="CS363" s="16" t="s">
        <v>215</v>
      </c>
      <c r="CT363" s="16" t="s">
        <v>215</v>
      </c>
      <c r="CU363" s="16" t="s">
        <v>215</v>
      </c>
      <c r="CV363" s="16" t="s">
        <v>215</v>
      </c>
      <c r="CW363" s="18">
        <f t="shared" si="272"/>
        <v>837</v>
      </c>
      <c r="CX363" s="1">
        <f>ROUND(PPTest!K363,1)</f>
        <v>0</v>
      </c>
      <c r="CY363" s="16" t="s">
        <v>215</v>
      </c>
      <c r="CZ363" s="16" t="s">
        <v>215</v>
      </c>
      <c r="DA363" s="20">
        <f t="shared" si="275"/>
        <v>0.113</v>
      </c>
      <c r="DB363" s="20">
        <f t="shared" si="276"/>
        <v>0.442</v>
      </c>
      <c r="DC363" s="16" t="s">
        <v>215</v>
      </c>
      <c r="DW363" s="1">
        <v>-10.7</v>
      </c>
      <c r="DX363" s="1">
        <v>-0.8</v>
      </c>
      <c r="DY363" s="1">
        <v>-18.3</v>
      </c>
    </row>
    <row r="364" spans="1:129" x14ac:dyDescent="0.2">
      <c r="A364" s="40">
        <v>35057</v>
      </c>
      <c r="B364" s="3">
        <v>358</v>
      </c>
      <c r="C364" s="3"/>
      <c r="D364" s="3"/>
      <c r="E364" s="60">
        <f t="shared" si="279"/>
        <v>-11.1</v>
      </c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61"/>
      <c r="Q364" s="36"/>
      <c r="R364" s="60">
        <f t="shared" si="280"/>
        <v>0.6</v>
      </c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61"/>
      <c r="AE364" s="36"/>
      <c r="AF364" s="60">
        <f t="shared" si="281"/>
        <v>-18.600000000000001</v>
      </c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65">
        <f>PPTest!H364</f>
        <v>817</v>
      </c>
      <c r="BH364" s="16">
        <v>4.4000000000000004</v>
      </c>
      <c r="BI364" s="16">
        <f t="shared" si="245"/>
        <v>8.8880000000000017</v>
      </c>
      <c r="BJ364" s="17"/>
      <c r="BK364" s="17"/>
      <c r="BP364" s="66">
        <f t="shared" si="282"/>
        <v>0.14099999999999999</v>
      </c>
      <c r="BQ364" s="66">
        <f t="shared" si="283"/>
        <v>0.497</v>
      </c>
      <c r="BS364" s="52">
        <f t="shared" si="244"/>
        <v>0</v>
      </c>
      <c r="BT364" s="8">
        <v>0</v>
      </c>
      <c r="BU364" s="51">
        <v>0</v>
      </c>
      <c r="BV364" s="8"/>
      <c r="BW364" s="16" t="s">
        <v>215</v>
      </c>
      <c r="BX364" s="16" t="s">
        <v>215</v>
      </c>
      <c r="BY364" s="3">
        <f t="shared" si="248"/>
        <v>-11.1</v>
      </c>
      <c r="BZ364" s="16" t="s">
        <v>215</v>
      </c>
      <c r="CA364" s="16" t="s">
        <v>215</v>
      </c>
      <c r="CB364" s="16" t="s">
        <v>215</v>
      </c>
      <c r="CC364" s="16" t="s">
        <v>215</v>
      </c>
      <c r="CD364" s="16" t="s">
        <v>215</v>
      </c>
      <c r="CE364" s="16" t="s">
        <v>215</v>
      </c>
      <c r="CF364" s="16" t="s">
        <v>215</v>
      </c>
      <c r="CG364" s="1">
        <f t="shared" si="256"/>
        <v>0.6</v>
      </c>
      <c r="CH364" s="16" t="s">
        <v>215</v>
      </c>
      <c r="CI364" s="16" t="s">
        <v>215</v>
      </c>
      <c r="CJ364" s="16" t="s">
        <v>215</v>
      </c>
      <c r="CK364" s="16" t="s">
        <v>215</v>
      </c>
      <c r="CL364" s="16" t="s">
        <v>215</v>
      </c>
      <c r="CM364" s="16" t="s">
        <v>215</v>
      </c>
      <c r="CN364" s="16" t="s">
        <v>215</v>
      </c>
      <c r="CO364" s="1">
        <f t="shared" si="264"/>
        <v>-18.600000000000001</v>
      </c>
      <c r="CP364" s="16" t="s">
        <v>215</v>
      </c>
      <c r="CQ364" s="16" t="s">
        <v>215</v>
      </c>
      <c r="CR364" s="16" t="s">
        <v>215</v>
      </c>
      <c r="CS364" s="16" t="s">
        <v>215</v>
      </c>
      <c r="CT364" s="16" t="s">
        <v>215</v>
      </c>
      <c r="CU364" s="16" t="s">
        <v>215</v>
      </c>
      <c r="CV364" s="16" t="s">
        <v>215</v>
      </c>
      <c r="CW364" s="18">
        <f t="shared" si="272"/>
        <v>817</v>
      </c>
      <c r="CX364" s="1">
        <f>ROUND(PPTest!K364,1)</f>
        <v>0</v>
      </c>
      <c r="CY364" s="16" t="s">
        <v>215</v>
      </c>
      <c r="CZ364" s="16" t="s">
        <v>215</v>
      </c>
      <c r="DA364" s="20">
        <f t="shared" si="275"/>
        <v>0.14099999999999999</v>
      </c>
      <c r="DB364" s="20">
        <f t="shared" si="276"/>
        <v>0.497</v>
      </c>
      <c r="DC364" s="16" t="s">
        <v>215</v>
      </c>
      <c r="DW364" s="1">
        <v>-9.1999999999999993</v>
      </c>
      <c r="DX364" s="1">
        <v>1.2</v>
      </c>
      <c r="DY364" s="1">
        <v>-16</v>
      </c>
    </row>
    <row r="365" spans="1:129" x14ac:dyDescent="0.2">
      <c r="A365" s="40">
        <v>35058</v>
      </c>
      <c r="B365" s="3">
        <v>359</v>
      </c>
      <c r="C365" s="3"/>
      <c r="D365" s="3"/>
      <c r="E365" s="60">
        <f t="shared" si="279"/>
        <v>-12.6</v>
      </c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61"/>
      <c r="Q365" s="36"/>
      <c r="R365" s="60">
        <f t="shared" si="280"/>
        <v>-2.9</v>
      </c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61"/>
      <c r="AE365" s="36"/>
      <c r="AF365" s="60">
        <f t="shared" si="281"/>
        <v>-21.5</v>
      </c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65">
        <f>PPTest!H365</f>
        <v>797</v>
      </c>
      <c r="BH365" s="16">
        <v>4.41</v>
      </c>
      <c r="BI365" s="16">
        <f t="shared" si="245"/>
        <v>8.9082000000000008</v>
      </c>
      <c r="BJ365" s="17"/>
      <c r="BK365" s="17"/>
      <c r="BP365" s="66">
        <f t="shared" si="282"/>
        <v>0.109</v>
      </c>
      <c r="BQ365" s="66">
        <f t="shared" si="283"/>
        <v>0.38400000000000001</v>
      </c>
      <c r="BS365" s="52">
        <f t="shared" si="244"/>
        <v>0</v>
      </c>
      <c r="BT365" s="8">
        <v>0</v>
      </c>
      <c r="BU365" s="51">
        <v>0</v>
      </c>
      <c r="BV365" s="8"/>
      <c r="BW365" s="16" t="s">
        <v>215</v>
      </c>
      <c r="BX365" s="16" t="s">
        <v>215</v>
      </c>
      <c r="BY365" s="3">
        <f t="shared" si="248"/>
        <v>-12.6</v>
      </c>
      <c r="BZ365" s="16" t="s">
        <v>215</v>
      </c>
      <c r="CA365" s="16" t="s">
        <v>215</v>
      </c>
      <c r="CB365" s="16" t="s">
        <v>215</v>
      </c>
      <c r="CC365" s="16" t="s">
        <v>215</v>
      </c>
      <c r="CD365" s="16" t="s">
        <v>215</v>
      </c>
      <c r="CE365" s="16" t="s">
        <v>215</v>
      </c>
      <c r="CF365" s="16" t="s">
        <v>215</v>
      </c>
      <c r="CG365" s="1">
        <f t="shared" si="256"/>
        <v>-2.9</v>
      </c>
      <c r="CH365" s="16" t="s">
        <v>215</v>
      </c>
      <c r="CI365" s="16" t="s">
        <v>215</v>
      </c>
      <c r="CJ365" s="16" t="s">
        <v>215</v>
      </c>
      <c r="CK365" s="16" t="s">
        <v>215</v>
      </c>
      <c r="CL365" s="16" t="s">
        <v>215</v>
      </c>
      <c r="CM365" s="16" t="s">
        <v>215</v>
      </c>
      <c r="CN365" s="16" t="s">
        <v>215</v>
      </c>
      <c r="CO365" s="1">
        <f t="shared" si="264"/>
        <v>-21.5</v>
      </c>
      <c r="CP365" s="16" t="s">
        <v>215</v>
      </c>
      <c r="CQ365" s="16" t="s">
        <v>215</v>
      </c>
      <c r="CR365" s="16" t="s">
        <v>215</v>
      </c>
      <c r="CS365" s="16" t="s">
        <v>215</v>
      </c>
      <c r="CT365" s="16" t="s">
        <v>215</v>
      </c>
      <c r="CU365" s="16" t="s">
        <v>215</v>
      </c>
      <c r="CV365" s="16" t="s">
        <v>215</v>
      </c>
      <c r="CW365" s="18">
        <f t="shared" si="272"/>
        <v>797</v>
      </c>
      <c r="CX365" s="1">
        <f>ROUND(PPTest!K365,1)</f>
        <v>0</v>
      </c>
      <c r="CY365" s="16" t="s">
        <v>215</v>
      </c>
      <c r="CZ365" s="16" t="s">
        <v>215</v>
      </c>
      <c r="DA365" s="20">
        <f t="shared" si="275"/>
        <v>0.109</v>
      </c>
      <c r="DB365" s="20">
        <f t="shared" si="276"/>
        <v>0.38400000000000001</v>
      </c>
      <c r="DC365" s="16" t="s">
        <v>215</v>
      </c>
      <c r="DW365" s="1">
        <v>-10.4</v>
      </c>
      <c r="DX365" s="1">
        <v>-2.5</v>
      </c>
      <c r="DY365" s="1">
        <v>-18.600000000000001</v>
      </c>
    </row>
    <row r="366" spans="1:129" x14ac:dyDescent="0.2">
      <c r="A366" s="40">
        <v>35059</v>
      </c>
      <c r="B366" s="3">
        <v>360</v>
      </c>
      <c r="C366" s="3"/>
      <c r="D366" s="3"/>
      <c r="E366" s="60">
        <f t="shared" si="279"/>
        <v>-11.9</v>
      </c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61"/>
      <c r="Q366" s="36"/>
      <c r="R366" s="60">
        <f t="shared" si="280"/>
        <v>-1.7</v>
      </c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61"/>
      <c r="AE366" s="36"/>
      <c r="AF366" s="60">
        <f t="shared" si="281"/>
        <v>-21.6</v>
      </c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65">
        <f>PPTest!H366</f>
        <v>777</v>
      </c>
      <c r="BH366" s="16">
        <v>4.43</v>
      </c>
      <c r="BI366" s="16">
        <f t="shared" si="245"/>
        <v>8.948599999999999</v>
      </c>
      <c r="BJ366" s="17"/>
      <c r="BK366" s="17"/>
      <c r="BP366" s="66">
        <f t="shared" si="282"/>
        <v>0.108</v>
      </c>
      <c r="BQ366" s="66">
        <f t="shared" si="283"/>
        <v>0.43099999999999999</v>
      </c>
      <c r="BS366" s="52">
        <f t="shared" si="244"/>
        <v>0</v>
      </c>
      <c r="BT366" s="8">
        <v>0</v>
      </c>
      <c r="BU366" s="51">
        <v>0</v>
      </c>
      <c r="BV366" s="8"/>
      <c r="BW366" s="16" t="s">
        <v>215</v>
      </c>
      <c r="BX366" s="16" t="s">
        <v>215</v>
      </c>
      <c r="BY366" s="3">
        <f t="shared" si="248"/>
        <v>-11.9</v>
      </c>
      <c r="BZ366" s="16" t="s">
        <v>215</v>
      </c>
      <c r="CA366" s="16" t="s">
        <v>215</v>
      </c>
      <c r="CB366" s="16" t="s">
        <v>215</v>
      </c>
      <c r="CC366" s="16" t="s">
        <v>215</v>
      </c>
      <c r="CD366" s="16" t="s">
        <v>215</v>
      </c>
      <c r="CE366" s="16" t="s">
        <v>215</v>
      </c>
      <c r="CF366" s="16" t="s">
        <v>215</v>
      </c>
      <c r="CG366" s="1">
        <f t="shared" si="256"/>
        <v>-1.7</v>
      </c>
      <c r="CH366" s="16" t="s">
        <v>215</v>
      </c>
      <c r="CI366" s="16" t="s">
        <v>215</v>
      </c>
      <c r="CJ366" s="16" t="s">
        <v>215</v>
      </c>
      <c r="CK366" s="16" t="s">
        <v>215</v>
      </c>
      <c r="CL366" s="16" t="s">
        <v>215</v>
      </c>
      <c r="CM366" s="16" t="s">
        <v>215</v>
      </c>
      <c r="CN366" s="16" t="s">
        <v>215</v>
      </c>
      <c r="CO366" s="1">
        <f t="shared" si="264"/>
        <v>-21.6</v>
      </c>
      <c r="CP366" s="16" t="s">
        <v>215</v>
      </c>
      <c r="CQ366" s="16" t="s">
        <v>215</v>
      </c>
      <c r="CR366" s="16" t="s">
        <v>215</v>
      </c>
      <c r="CS366" s="16" t="s">
        <v>215</v>
      </c>
      <c r="CT366" s="16" t="s">
        <v>215</v>
      </c>
      <c r="CU366" s="16" t="s">
        <v>215</v>
      </c>
      <c r="CV366" s="16" t="s">
        <v>215</v>
      </c>
      <c r="CW366" s="18">
        <f t="shared" si="272"/>
        <v>777</v>
      </c>
      <c r="CX366" s="1">
        <f>ROUND(PPTest!K366,1)</f>
        <v>0</v>
      </c>
      <c r="CY366" s="16" t="s">
        <v>215</v>
      </c>
      <c r="CZ366" s="16" t="s">
        <v>215</v>
      </c>
      <c r="DA366" s="20">
        <f t="shared" si="275"/>
        <v>0.108</v>
      </c>
      <c r="DB366" s="20">
        <f t="shared" si="276"/>
        <v>0.43099999999999999</v>
      </c>
      <c r="DC366" s="16" t="s">
        <v>215</v>
      </c>
      <c r="DW366" s="1">
        <v>-9.8000000000000007</v>
      </c>
      <c r="DX366" s="1">
        <v>-1.3</v>
      </c>
      <c r="DY366" s="1">
        <v>-18.7</v>
      </c>
    </row>
    <row r="367" spans="1:129" x14ac:dyDescent="0.2">
      <c r="A367" s="40">
        <v>35060</v>
      </c>
      <c r="B367" s="3">
        <v>361</v>
      </c>
      <c r="C367" s="3"/>
      <c r="D367" s="3"/>
      <c r="E367" s="60">
        <f t="shared" si="279"/>
        <v>-10.1</v>
      </c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61"/>
      <c r="Q367" s="36"/>
      <c r="R367" s="60">
        <f t="shared" si="280"/>
        <v>-2.7</v>
      </c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61"/>
      <c r="AE367" s="36"/>
      <c r="AF367" s="60">
        <f t="shared" si="281"/>
        <v>-15.5</v>
      </c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65">
        <f>PPTest!H367</f>
        <v>757</v>
      </c>
      <c r="BH367" s="16">
        <v>4.45</v>
      </c>
      <c r="BI367" s="16">
        <f t="shared" si="245"/>
        <v>8.9890000000000008</v>
      </c>
      <c r="BJ367" s="17"/>
      <c r="BK367" s="17"/>
      <c r="BP367" s="66">
        <f t="shared" si="282"/>
        <v>0.183</v>
      </c>
      <c r="BQ367" s="66">
        <f t="shared" si="283"/>
        <v>0.317</v>
      </c>
      <c r="BS367" s="52">
        <f t="shared" si="244"/>
        <v>0</v>
      </c>
      <c r="BT367" s="8">
        <v>0</v>
      </c>
      <c r="BU367" s="51">
        <v>0</v>
      </c>
      <c r="BV367" s="8"/>
      <c r="BW367" s="16" t="s">
        <v>215</v>
      </c>
      <c r="BX367" s="16" t="s">
        <v>215</v>
      </c>
      <c r="BY367" s="3">
        <f t="shared" si="248"/>
        <v>-10.1</v>
      </c>
      <c r="BZ367" s="16" t="s">
        <v>215</v>
      </c>
      <c r="CA367" s="16" t="s">
        <v>215</v>
      </c>
      <c r="CB367" s="16" t="s">
        <v>215</v>
      </c>
      <c r="CC367" s="16" t="s">
        <v>215</v>
      </c>
      <c r="CD367" s="16" t="s">
        <v>215</v>
      </c>
      <c r="CE367" s="16" t="s">
        <v>215</v>
      </c>
      <c r="CF367" s="16" t="s">
        <v>215</v>
      </c>
      <c r="CG367" s="1">
        <f t="shared" si="256"/>
        <v>-2.7</v>
      </c>
      <c r="CH367" s="16" t="s">
        <v>215</v>
      </c>
      <c r="CI367" s="16" t="s">
        <v>215</v>
      </c>
      <c r="CJ367" s="16" t="s">
        <v>215</v>
      </c>
      <c r="CK367" s="16" t="s">
        <v>215</v>
      </c>
      <c r="CL367" s="16" t="s">
        <v>215</v>
      </c>
      <c r="CM367" s="16" t="s">
        <v>215</v>
      </c>
      <c r="CN367" s="16" t="s">
        <v>215</v>
      </c>
      <c r="CO367" s="1">
        <f t="shared" si="264"/>
        <v>-15.5</v>
      </c>
      <c r="CP367" s="16" t="s">
        <v>215</v>
      </c>
      <c r="CQ367" s="16" t="s">
        <v>215</v>
      </c>
      <c r="CR367" s="16" t="s">
        <v>215</v>
      </c>
      <c r="CS367" s="16" t="s">
        <v>215</v>
      </c>
      <c r="CT367" s="16" t="s">
        <v>215</v>
      </c>
      <c r="CU367" s="16" t="s">
        <v>215</v>
      </c>
      <c r="CV367" s="16" t="s">
        <v>215</v>
      </c>
      <c r="CW367" s="18">
        <f t="shared" si="272"/>
        <v>757</v>
      </c>
      <c r="CX367" s="1">
        <f>ROUND(PPTest!K367,1)</f>
        <v>0</v>
      </c>
      <c r="CY367" s="16" t="s">
        <v>215</v>
      </c>
      <c r="CZ367" s="16" t="s">
        <v>215</v>
      </c>
      <c r="DA367" s="20">
        <f t="shared" si="275"/>
        <v>0.183</v>
      </c>
      <c r="DB367" s="20">
        <f t="shared" si="276"/>
        <v>0.317</v>
      </c>
      <c r="DC367" s="16" t="s">
        <v>215</v>
      </c>
      <c r="DW367" s="1">
        <v>-8.3000000000000007</v>
      </c>
      <c r="DX367" s="1">
        <v>-2.2999999999999998</v>
      </c>
      <c r="DY367" s="1">
        <v>-13.2</v>
      </c>
    </row>
    <row r="368" spans="1:129" x14ac:dyDescent="0.2">
      <c r="A368" s="40">
        <v>35061</v>
      </c>
      <c r="B368" s="3">
        <v>362</v>
      </c>
      <c r="C368" s="3"/>
      <c r="D368" s="3"/>
      <c r="E368" s="60">
        <f t="shared" si="279"/>
        <v>-8.8000000000000007</v>
      </c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61"/>
      <c r="Q368" s="36"/>
      <c r="R368" s="60">
        <f t="shared" si="280"/>
        <v>-6</v>
      </c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61"/>
      <c r="AE368" s="36"/>
      <c r="AF368" s="60">
        <f t="shared" si="281"/>
        <v>-10.9</v>
      </c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65">
        <f>PPTest!H368</f>
        <v>737</v>
      </c>
      <c r="BH368" s="16">
        <v>4.47</v>
      </c>
      <c r="BI368" s="16">
        <f t="shared" si="245"/>
        <v>9.029399999999999</v>
      </c>
      <c r="BJ368" s="17"/>
      <c r="BK368" s="17"/>
      <c r="BP368" s="66">
        <f t="shared" si="282"/>
        <v>0.26600000000000001</v>
      </c>
      <c r="BQ368" s="66">
        <f t="shared" si="283"/>
        <v>0.124</v>
      </c>
      <c r="BS368" s="52">
        <f t="shared" si="244"/>
        <v>0</v>
      </c>
      <c r="BT368" s="8">
        <v>6.8</v>
      </c>
      <c r="BU368" s="51">
        <v>0</v>
      </c>
      <c r="BV368" s="8"/>
      <c r="BW368" s="16" t="s">
        <v>215</v>
      </c>
      <c r="BX368" s="16" t="s">
        <v>215</v>
      </c>
      <c r="BY368" s="3">
        <f t="shared" si="248"/>
        <v>-8.8000000000000007</v>
      </c>
      <c r="BZ368" s="16" t="s">
        <v>215</v>
      </c>
      <c r="CA368" s="16" t="s">
        <v>215</v>
      </c>
      <c r="CB368" s="16" t="s">
        <v>215</v>
      </c>
      <c r="CC368" s="16" t="s">
        <v>215</v>
      </c>
      <c r="CD368" s="16" t="s">
        <v>215</v>
      </c>
      <c r="CE368" s="16" t="s">
        <v>215</v>
      </c>
      <c r="CF368" s="16" t="s">
        <v>215</v>
      </c>
      <c r="CG368" s="1">
        <f t="shared" si="256"/>
        <v>-6</v>
      </c>
      <c r="CH368" s="16" t="s">
        <v>215</v>
      </c>
      <c r="CI368" s="16" t="s">
        <v>215</v>
      </c>
      <c r="CJ368" s="16" t="s">
        <v>215</v>
      </c>
      <c r="CK368" s="16" t="s">
        <v>215</v>
      </c>
      <c r="CL368" s="16" t="s">
        <v>215</v>
      </c>
      <c r="CM368" s="16" t="s">
        <v>215</v>
      </c>
      <c r="CN368" s="16" t="s">
        <v>215</v>
      </c>
      <c r="CO368" s="1">
        <f t="shared" si="264"/>
        <v>-10.9</v>
      </c>
      <c r="CP368" s="16" t="s">
        <v>215</v>
      </c>
      <c r="CQ368" s="16" t="s">
        <v>215</v>
      </c>
      <c r="CR368" s="16" t="s">
        <v>215</v>
      </c>
      <c r="CS368" s="16" t="s">
        <v>215</v>
      </c>
      <c r="CT368" s="16" t="s">
        <v>215</v>
      </c>
      <c r="CU368" s="16" t="s">
        <v>215</v>
      </c>
      <c r="CV368" s="16" t="s">
        <v>215</v>
      </c>
      <c r="CW368" s="18">
        <f t="shared" si="272"/>
        <v>737</v>
      </c>
      <c r="CX368" s="1">
        <f>ROUND(PPTest!K368,1)</f>
        <v>0</v>
      </c>
      <c r="CY368" s="16" t="s">
        <v>215</v>
      </c>
      <c r="CZ368" s="16" t="s">
        <v>215</v>
      </c>
      <c r="DA368" s="20">
        <f t="shared" si="275"/>
        <v>0.26600000000000001</v>
      </c>
      <c r="DB368" s="20">
        <f t="shared" si="276"/>
        <v>0.124</v>
      </c>
      <c r="DC368" s="16" t="s">
        <v>215</v>
      </c>
      <c r="DW368" s="1">
        <v>-7.2</v>
      </c>
      <c r="DX368" s="1">
        <v>-5.8</v>
      </c>
      <c r="DY368" s="1">
        <v>-9</v>
      </c>
    </row>
    <row r="369" spans="1:129" x14ac:dyDescent="0.2">
      <c r="A369" s="40">
        <v>35062</v>
      </c>
      <c r="B369" s="3">
        <v>363</v>
      </c>
      <c r="C369" s="3"/>
      <c r="D369" s="3"/>
      <c r="E369" s="60">
        <f t="shared" si="279"/>
        <v>-7.2</v>
      </c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61"/>
      <c r="Q369" s="36"/>
      <c r="R369" s="60">
        <f t="shared" si="280"/>
        <v>-2.2000000000000002</v>
      </c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61"/>
      <c r="AE369" s="36"/>
      <c r="AF369" s="60">
        <f t="shared" si="281"/>
        <v>-9.6</v>
      </c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65">
        <f>PPTest!H369</f>
        <v>798</v>
      </c>
      <c r="BH369" s="16">
        <v>4.5</v>
      </c>
      <c r="BI369" s="16">
        <f t="shared" si="245"/>
        <v>9.09</v>
      </c>
      <c r="BJ369" s="17"/>
      <c r="BK369" s="17"/>
      <c r="BP369" s="66">
        <f t="shared" si="282"/>
        <v>0.29499999999999998</v>
      </c>
      <c r="BQ369" s="66">
        <f t="shared" si="283"/>
        <v>0.224</v>
      </c>
      <c r="BS369" s="52">
        <f t="shared" si="244"/>
        <v>7.5</v>
      </c>
      <c r="BT369" s="8">
        <v>4.4000000000000004</v>
      </c>
      <c r="BU369" s="51">
        <v>5</v>
      </c>
      <c r="BV369" s="8"/>
      <c r="BW369" s="16" t="s">
        <v>215</v>
      </c>
      <c r="BX369" s="16" t="s">
        <v>215</v>
      </c>
      <c r="BY369" s="3">
        <f t="shared" si="248"/>
        <v>-7.2</v>
      </c>
      <c r="BZ369" s="16" t="s">
        <v>215</v>
      </c>
      <c r="CA369" s="16" t="s">
        <v>215</v>
      </c>
      <c r="CB369" s="16" t="s">
        <v>215</v>
      </c>
      <c r="CC369" s="16" t="s">
        <v>215</v>
      </c>
      <c r="CD369" s="16" t="s">
        <v>215</v>
      </c>
      <c r="CE369" s="16" t="s">
        <v>215</v>
      </c>
      <c r="CF369" s="16" t="s">
        <v>215</v>
      </c>
      <c r="CG369" s="1">
        <f t="shared" si="256"/>
        <v>-2.2000000000000002</v>
      </c>
      <c r="CH369" s="16" t="s">
        <v>215</v>
      </c>
      <c r="CI369" s="16" t="s">
        <v>215</v>
      </c>
      <c r="CJ369" s="16" t="s">
        <v>215</v>
      </c>
      <c r="CK369" s="16" t="s">
        <v>215</v>
      </c>
      <c r="CL369" s="16" t="s">
        <v>215</v>
      </c>
      <c r="CM369" s="16" t="s">
        <v>215</v>
      </c>
      <c r="CN369" s="16" t="s">
        <v>215</v>
      </c>
      <c r="CO369" s="1">
        <f t="shared" si="264"/>
        <v>-9.6</v>
      </c>
      <c r="CP369" s="16" t="s">
        <v>215</v>
      </c>
      <c r="CQ369" s="16" t="s">
        <v>215</v>
      </c>
      <c r="CR369" s="16" t="s">
        <v>215</v>
      </c>
      <c r="CS369" s="16" t="s">
        <v>215</v>
      </c>
      <c r="CT369" s="16" t="s">
        <v>215</v>
      </c>
      <c r="CU369" s="16" t="s">
        <v>215</v>
      </c>
      <c r="CV369" s="16" t="s">
        <v>215</v>
      </c>
      <c r="CW369" s="18">
        <f t="shared" si="272"/>
        <v>798</v>
      </c>
      <c r="CX369" s="1">
        <f>ROUND(PPTest!K369,1)</f>
        <v>7.9</v>
      </c>
      <c r="CY369" s="16" t="s">
        <v>215</v>
      </c>
      <c r="CZ369" s="16" t="s">
        <v>215</v>
      </c>
      <c r="DA369" s="20">
        <f t="shared" si="275"/>
        <v>0.29499999999999998</v>
      </c>
      <c r="DB369" s="20">
        <f t="shared" si="276"/>
        <v>0.224</v>
      </c>
      <c r="DC369" s="16" t="s">
        <v>215</v>
      </c>
      <c r="DW369" s="1">
        <v>-5.9</v>
      </c>
      <c r="DX369" s="1">
        <v>-1.8</v>
      </c>
      <c r="DY369" s="1">
        <v>-7.8</v>
      </c>
    </row>
    <row r="370" spans="1:129" x14ac:dyDescent="0.2">
      <c r="A370" s="40">
        <v>35063</v>
      </c>
      <c r="B370" s="3">
        <v>364</v>
      </c>
      <c r="C370" s="3"/>
      <c r="D370" s="3"/>
      <c r="E370" s="60">
        <f t="shared" si="279"/>
        <v>-5.6</v>
      </c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61"/>
      <c r="Q370" s="36"/>
      <c r="R370" s="60">
        <f t="shared" si="280"/>
        <v>-1.1000000000000001</v>
      </c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61"/>
      <c r="AE370" s="36"/>
      <c r="AF370" s="60">
        <f t="shared" si="281"/>
        <v>-7.8</v>
      </c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65">
        <f>PPTest!H370</f>
        <v>822</v>
      </c>
      <c r="BH370" s="16">
        <v>4.53</v>
      </c>
      <c r="BI370" s="16">
        <f t="shared" si="245"/>
        <v>9.1506000000000007</v>
      </c>
      <c r="BJ370" s="17"/>
      <c r="BK370" s="17"/>
      <c r="BP370" s="66">
        <f t="shared" si="282"/>
        <v>0.33900000000000002</v>
      </c>
      <c r="BQ370" s="66">
        <f t="shared" si="283"/>
        <v>0.224</v>
      </c>
      <c r="BS370" s="52">
        <f t="shared" si="244"/>
        <v>3</v>
      </c>
      <c r="BT370" s="8">
        <v>12</v>
      </c>
      <c r="BU370" s="51">
        <v>2</v>
      </c>
      <c r="BV370" s="8"/>
      <c r="BW370" s="16" t="s">
        <v>215</v>
      </c>
      <c r="BX370" s="16" t="s">
        <v>215</v>
      </c>
      <c r="BY370" s="3">
        <f t="shared" si="248"/>
        <v>-5.6</v>
      </c>
      <c r="BZ370" s="16" t="s">
        <v>215</v>
      </c>
      <c r="CA370" s="16" t="s">
        <v>215</v>
      </c>
      <c r="CB370" s="16" t="s">
        <v>215</v>
      </c>
      <c r="CC370" s="16" t="s">
        <v>215</v>
      </c>
      <c r="CD370" s="16" t="s">
        <v>215</v>
      </c>
      <c r="CE370" s="16" t="s">
        <v>215</v>
      </c>
      <c r="CF370" s="16" t="s">
        <v>215</v>
      </c>
      <c r="CG370" s="1">
        <f t="shared" si="256"/>
        <v>-1.1000000000000001</v>
      </c>
      <c r="CH370" s="16" t="s">
        <v>215</v>
      </c>
      <c r="CI370" s="16" t="s">
        <v>215</v>
      </c>
      <c r="CJ370" s="16" t="s">
        <v>215</v>
      </c>
      <c r="CK370" s="16" t="s">
        <v>215</v>
      </c>
      <c r="CL370" s="16" t="s">
        <v>215</v>
      </c>
      <c r="CM370" s="16" t="s">
        <v>215</v>
      </c>
      <c r="CN370" s="16" t="s">
        <v>215</v>
      </c>
      <c r="CO370" s="1">
        <f t="shared" si="264"/>
        <v>-7.8</v>
      </c>
      <c r="CP370" s="16" t="s">
        <v>215</v>
      </c>
      <c r="CQ370" s="16" t="s">
        <v>215</v>
      </c>
      <c r="CR370" s="16" t="s">
        <v>215</v>
      </c>
      <c r="CS370" s="16" t="s">
        <v>215</v>
      </c>
      <c r="CT370" s="16" t="s">
        <v>215</v>
      </c>
      <c r="CU370" s="16" t="s">
        <v>215</v>
      </c>
      <c r="CV370" s="16" t="s">
        <v>215</v>
      </c>
      <c r="CW370" s="18">
        <f t="shared" si="272"/>
        <v>822</v>
      </c>
      <c r="CX370" s="1">
        <f>ROUND(PPTest!K370,1)</f>
        <v>3.2</v>
      </c>
      <c r="CY370" s="16" t="s">
        <v>215</v>
      </c>
      <c r="CZ370" s="16" t="s">
        <v>215</v>
      </c>
      <c r="DA370" s="20">
        <f t="shared" si="275"/>
        <v>0.33900000000000002</v>
      </c>
      <c r="DB370" s="20">
        <f t="shared" si="276"/>
        <v>0.224</v>
      </c>
      <c r="DC370" s="16" t="s">
        <v>215</v>
      </c>
      <c r="DW370" s="1">
        <v>-4.5</v>
      </c>
      <c r="DX370" s="1">
        <v>-0.6</v>
      </c>
      <c r="DY370" s="1">
        <v>-6.2</v>
      </c>
    </row>
    <row r="371" spans="1:129" x14ac:dyDescent="0.2">
      <c r="A371" s="40">
        <v>35064</v>
      </c>
      <c r="B371" s="3">
        <v>365</v>
      </c>
      <c r="C371" s="3"/>
      <c r="D371" s="3"/>
      <c r="E371" s="60">
        <f t="shared" si="279"/>
        <v>-3.4</v>
      </c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61"/>
      <c r="Q371" s="36"/>
      <c r="R371" s="60">
        <f t="shared" si="280"/>
        <v>-0.2</v>
      </c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61"/>
      <c r="AE371" s="36"/>
      <c r="AF371" s="60">
        <f t="shared" si="281"/>
        <v>-6.1</v>
      </c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65">
        <f>PPTest!H371</f>
        <v>858</v>
      </c>
      <c r="BH371" s="16">
        <v>4.5599999999999996</v>
      </c>
      <c r="BI371" s="16">
        <f t="shared" si="245"/>
        <v>9.2111999999999998</v>
      </c>
      <c r="BJ371" s="17"/>
      <c r="BK371" s="17"/>
      <c r="BP371" s="66">
        <f t="shared" si="282"/>
        <v>0.38700000000000001</v>
      </c>
      <c r="BQ371" s="66">
        <f t="shared" si="283"/>
        <v>0.215</v>
      </c>
      <c r="BS371" s="52">
        <f t="shared" si="244"/>
        <v>4.5</v>
      </c>
      <c r="BT371" s="8">
        <v>0</v>
      </c>
      <c r="BU371" s="51">
        <v>3</v>
      </c>
      <c r="BV371" s="8"/>
      <c r="BW371" s="16" t="s">
        <v>215</v>
      </c>
      <c r="BX371" s="16" t="s">
        <v>215</v>
      </c>
      <c r="BY371" s="3">
        <f t="shared" si="248"/>
        <v>-3.4</v>
      </c>
      <c r="BZ371" s="16" t="s">
        <v>215</v>
      </c>
      <c r="CA371" s="16" t="s">
        <v>215</v>
      </c>
      <c r="CB371" s="16" t="s">
        <v>215</v>
      </c>
      <c r="CC371" s="16" t="s">
        <v>215</v>
      </c>
      <c r="CD371" s="16" t="s">
        <v>215</v>
      </c>
      <c r="CE371" s="16" t="s">
        <v>215</v>
      </c>
      <c r="CF371" s="16" t="s">
        <v>215</v>
      </c>
      <c r="CG371" s="1">
        <f t="shared" si="256"/>
        <v>-0.2</v>
      </c>
      <c r="CH371" s="16" t="s">
        <v>215</v>
      </c>
      <c r="CI371" s="16" t="s">
        <v>215</v>
      </c>
      <c r="CJ371" s="16" t="s">
        <v>215</v>
      </c>
      <c r="CK371" s="16" t="s">
        <v>215</v>
      </c>
      <c r="CL371" s="16" t="s">
        <v>215</v>
      </c>
      <c r="CM371" s="16" t="s">
        <v>215</v>
      </c>
      <c r="CN371" s="16" t="s">
        <v>215</v>
      </c>
      <c r="CO371" s="1">
        <f t="shared" si="264"/>
        <v>-6.1</v>
      </c>
      <c r="CP371" s="16" t="s">
        <v>215</v>
      </c>
      <c r="CQ371" s="16" t="s">
        <v>215</v>
      </c>
      <c r="CR371" s="16" t="s">
        <v>215</v>
      </c>
      <c r="CS371" s="16" t="s">
        <v>215</v>
      </c>
      <c r="CT371" s="16" t="s">
        <v>215</v>
      </c>
      <c r="CU371" s="16" t="s">
        <v>215</v>
      </c>
      <c r="CV371" s="16" t="s">
        <v>215</v>
      </c>
      <c r="CW371" s="18">
        <f t="shared" si="272"/>
        <v>858</v>
      </c>
      <c r="CX371" s="1">
        <f>ROUND(PPTest!K371,1)</f>
        <v>4.7</v>
      </c>
      <c r="CY371" s="16" t="s">
        <v>215</v>
      </c>
      <c r="CZ371" s="16" t="s">
        <v>215</v>
      </c>
      <c r="DA371" s="20">
        <f t="shared" si="275"/>
        <v>0.38700000000000001</v>
      </c>
      <c r="DB371" s="20">
        <f t="shared" si="276"/>
        <v>0.215</v>
      </c>
      <c r="DC371" s="16" t="s">
        <v>215</v>
      </c>
      <c r="DW371" s="1">
        <v>-2.7</v>
      </c>
      <c r="DX371" s="1">
        <v>0.3</v>
      </c>
      <c r="DY371" s="1">
        <v>-4.5999999999999996</v>
      </c>
    </row>
    <row r="372" spans="1:129" x14ac:dyDescent="0.2">
      <c r="T372" s="1">
        <f>MAX(T7:T371)</f>
        <v>107.1</v>
      </c>
      <c r="BH372" s="16"/>
      <c r="BS372" s="8"/>
      <c r="BT372" s="8"/>
    </row>
    <row r="373" spans="1:129" x14ac:dyDescent="0.2">
      <c r="BS373" s="8"/>
      <c r="BT373" s="8"/>
    </row>
    <row r="374" spans="1:129" x14ac:dyDescent="0.2">
      <c r="A374" s="3" t="s">
        <v>68</v>
      </c>
      <c r="C374" s="3" t="s">
        <v>59</v>
      </c>
      <c r="D374" s="6" t="s">
        <v>8</v>
      </c>
      <c r="E374" s="6" t="s">
        <v>9</v>
      </c>
      <c r="F374" s="6" t="s">
        <v>10</v>
      </c>
      <c r="G374" s="6" t="s">
        <v>11</v>
      </c>
      <c r="H374" s="6" t="s">
        <v>12</v>
      </c>
      <c r="I374" s="6" t="s">
        <v>13</v>
      </c>
      <c r="J374" s="6"/>
      <c r="K374" s="6"/>
      <c r="L374" s="6" t="s">
        <v>69</v>
      </c>
      <c r="M374" s="6" t="s">
        <v>70</v>
      </c>
      <c r="N374" s="6" t="s">
        <v>71</v>
      </c>
      <c r="O374" s="6"/>
      <c r="P374" s="6" t="s">
        <v>72</v>
      </c>
      <c r="Q374" s="6" t="s">
        <v>73</v>
      </c>
      <c r="R374" s="6" t="s">
        <v>74</v>
      </c>
      <c r="S374" s="6" t="s">
        <v>75</v>
      </c>
      <c r="T374" s="6"/>
      <c r="U374" s="6"/>
      <c r="V374" s="6" t="s">
        <v>76</v>
      </c>
      <c r="W374" s="6" t="s">
        <v>77</v>
      </c>
      <c r="X374" s="6" t="s">
        <v>78</v>
      </c>
      <c r="Y374" s="6"/>
      <c r="Z374" s="6"/>
      <c r="AA374" s="6" t="s">
        <v>79</v>
      </c>
      <c r="AB374" s="6"/>
      <c r="AC374" s="6"/>
      <c r="AD374" s="6" t="s">
        <v>80</v>
      </c>
      <c r="AE374" s="6" t="s">
        <v>72</v>
      </c>
      <c r="AF374" s="6" t="s">
        <v>9</v>
      </c>
      <c r="AG374" s="6" t="s">
        <v>81</v>
      </c>
      <c r="AH374" s="6" t="s">
        <v>82</v>
      </c>
      <c r="AI374" s="6" t="s">
        <v>83</v>
      </c>
      <c r="AJ374" s="6" t="s">
        <v>11</v>
      </c>
      <c r="AK374" s="6" t="s">
        <v>84</v>
      </c>
      <c r="AL374" s="6" t="s">
        <v>13</v>
      </c>
      <c r="AM374" s="6"/>
      <c r="AN374" s="10"/>
      <c r="AO374" s="6" t="s">
        <v>85</v>
      </c>
      <c r="AP374" s="10"/>
      <c r="AQ374" s="10"/>
      <c r="AR374" s="10"/>
      <c r="AS374" s="10"/>
      <c r="AT374" s="3"/>
      <c r="AU374" s="10"/>
      <c r="AV374" s="10"/>
      <c r="AW374" s="3"/>
      <c r="AX374" s="3"/>
      <c r="AY374" s="3"/>
      <c r="AZ374" s="3"/>
      <c r="BA374" s="3"/>
      <c r="BB374" s="3"/>
      <c r="BC374" s="3"/>
      <c r="BD374" s="20"/>
      <c r="BE374" s="20"/>
      <c r="BF374" s="20" t="s">
        <v>86</v>
      </c>
      <c r="BH374" s="3"/>
      <c r="BI374" s="3"/>
      <c r="BJ374" s="2" t="s">
        <v>59</v>
      </c>
      <c r="BK374" s="2" t="s">
        <v>8</v>
      </c>
      <c r="BL374" s="1"/>
      <c r="BM374" s="3"/>
      <c r="BO374" s="6" t="s">
        <v>82</v>
      </c>
      <c r="BP374" s="2"/>
      <c r="BQ374" s="3" t="s">
        <v>87</v>
      </c>
      <c r="BR374" s="6" t="s">
        <v>83</v>
      </c>
      <c r="BS374" s="1" t="s">
        <v>104</v>
      </c>
      <c r="BT374" s="1" t="s">
        <v>125</v>
      </c>
      <c r="BU374" s="3" t="s">
        <v>88</v>
      </c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</row>
    <row r="375" spans="1:129" x14ac:dyDescent="0.2">
      <c r="A375" s="3" t="s">
        <v>89</v>
      </c>
      <c r="C375" s="15">
        <f>ROUND(AVERAGE(C7:C37),2)</f>
        <v>2.39</v>
      </c>
      <c r="D375" s="15">
        <f>ROUND(AVERAGE(D7:D37),2)</f>
        <v>4.8899999999999997</v>
      </c>
      <c r="E375" s="14">
        <f>ROUND(AVERAGE(E7:E37),1)</f>
        <v>-7</v>
      </c>
      <c r="F375" s="14">
        <f>ROUND(AVERAGE(F7:F37),1)</f>
        <v>92.8</v>
      </c>
      <c r="G375" s="14">
        <f>ROUND(AVERAGE(G7:G37),1)</f>
        <v>-7.7</v>
      </c>
      <c r="H375" s="14">
        <f>ROUND(AVERAGE(H7:H37),1)</f>
        <v>-8.6</v>
      </c>
      <c r="I375" s="14">
        <f>ROUND(AVERAGE(I7:I37),1)</f>
        <v>-0.3</v>
      </c>
      <c r="J375" s="14"/>
      <c r="K375" s="14"/>
      <c r="L375" s="14">
        <f>ROUND(AVERAGE(L7:L37),1)</f>
        <v>0.3</v>
      </c>
      <c r="M375" s="14">
        <f>ROUND(AVERAGE(M7:M37),1)</f>
        <v>1.1000000000000001</v>
      </c>
      <c r="N375" s="14">
        <f>ROUND(AVERAGE(N7:N37),1)</f>
        <v>1.8</v>
      </c>
      <c r="O375" s="14"/>
      <c r="P375" s="14">
        <f>ROUND(AVERAGE(P7:P37),1)</f>
        <v>1.4</v>
      </c>
      <c r="Q375" s="14">
        <f>SUM(Q7:Q37)</f>
        <v>0</v>
      </c>
      <c r="R375" s="14">
        <f>ROUND(AVERAGE(R7:R37),1)</f>
        <v>-0.4</v>
      </c>
      <c r="S375" s="14">
        <f>ROUND(MAX(R7:R37),1)</f>
        <v>5.5</v>
      </c>
      <c r="T375" s="14"/>
      <c r="U375" s="14"/>
      <c r="V375" s="14">
        <f>ROUND(AVERAGE(V7:V37),1)</f>
        <v>-0.2</v>
      </c>
      <c r="W375" s="14">
        <f>ROUND(MAX(V7:V37),1)</f>
        <v>5.5</v>
      </c>
      <c r="X375" s="14">
        <f>ROUND(AVERAGE(X7:X37),1)</f>
        <v>-0.2</v>
      </c>
      <c r="Y375" s="14"/>
      <c r="Z375" s="14"/>
      <c r="AA375" s="14">
        <f>ROUND(AVERAGE(AA7:AA37),1)</f>
        <v>0.4</v>
      </c>
      <c r="AB375" s="14"/>
      <c r="AC375" s="14"/>
      <c r="AD375" s="14">
        <f>ROUND(AVERAGE(AD7:AD37),1)</f>
        <v>4</v>
      </c>
      <c r="AE375" s="14">
        <f>ROUND(MAX(AD7:AD37),1)</f>
        <v>7.9</v>
      </c>
      <c r="AF375" s="14">
        <f>ROUND(AVERAGE(AF7:AF37),1)</f>
        <v>-11.6</v>
      </c>
      <c r="AG375" s="14">
        <f>ROUND(MIN(AF7:AF37),1)</f>
        <v>-24.2</v>
      </c>
      <c r="AH375" s="14">
        <f>ROUND(AVERAGE(AH7:AH37),1)</f>
        <v>72.400000000000006</v>
      </c>
      <c r="AI375" s="14">
        <f>ROUND(MIN(AH7:AH37),1)</f>
        <v>27.6</v>
      </c>
      <c r="AJ375" s="14">
        <f>ROUND(AVERAGE(AJ7:AJ37),1)</f>
        <v>-12.6</v>
      </c>
      <c r="AK375" s="14">
        <f>ROUND(MIN(AJ7:AJ37),1)</f>
        <v>-25.1</v>
      </c>
      <c r="AL375" s="14">
        <f>ROUND(AVERAGE(AL7:AL37),1)</f>
        <v>-0.3</v>
      </c>
      <c r="AM375" s="14"/>
      <c r="AN375" s="14"/>
      <c r="AO375" s="14">
        <f>ROUND(AVERAGE(AO7:AO37),1)</f>
        <v>0.3</v>
      </c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9"/>
      <c r="BE375" s="19"/>
      <c r="BF375" s="19">
        <f>BF37</f>
        <v>1088</v>
      </c>
      <c r="BH375" s="14"/>
      <c r="BI375" s="15"/>
      <c r="BJ375" s="15">
        <f>ROUND(AVERAGE(BJ7:BJ37),2)</f>
        <v>2.39</v>
      </c>
      <c r="BK375" s="15">
        <f>ROUND(AVERAGE(BK7:BK37),2)</f>
        <v>5.28</v>
      </c>
      <c r="BL375" s="1"/>
      <c r="BM375" s="3"/>
      <c r="BO375" s="14">
        <f>ROUND(AVERAGE(BO7:BO37),1)</f>
        <v>67.900000000000006</v>
      </c>
      <c r="BP375" s="15"/>
      <c r="BQ375" s="15">
        <f>ROUND(AVERAGE(BQ7:BQ37),2)</f>
        <v>0.2</v>
      </c>
      <c r="BR375" s="14">
        <f>ROUND(MIN(BO7:BO37),1)</f>
        <v>26.5</v>
      </c>
      <c r="BS375" s="14">
        <f>SUM(BS7:BS37)</f>
        <v>15.8</v>
      </c>
      <c r="BT375" s="14">
        <f>SUM(BT7:BT37)</f>
        <v>0</v>
      </c>
      <c r="BU375" s="15">
        <f>ROUND(MAX(BQ7:BQ37),2)</f>
        <v>0.66</v>
      </c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</row>
    <row r="376" spans="1:129" x14ac:dyDescent="0.2">
      <c r="A376" s="3" t="s">
        <v>90</v>
      </c>
      <c r="C376" s="15">
        <f>ROUND(AVERAGE(C38:C65),2)</f>
        <v>6</v>
      </c>
      <c r="D376" s="15">
        <f>ROUND(AVERAGE(D38:D65),2)</f>
        <v>11.41</v>
      </c>
      <c r="E376" s="14">
        <f>ROUND(AVERAGE(E38:E65),1)</f>
        <v>-5.7</v>
      </c>
      <c r="F376" s="14">
        <f>ROUND(AVERAGE(F38:F65),1)</f>
        <v>81.5</v>
      </c>
      <c r="G376" s="14">
        <f>ROUND(AVERAGE(G38:G65),1)</f>
        <v>-6.3</v>
      </c>
      <c r="H376" s="14">
        <f>ROUND(AVERAGE(H38:H65),1)</f>
        <v>-7</v>
      </c>
      <c r="I376" s="14">
        <f>ROUND(AVERAGE(I38:I65),1)</f>
        <v>-0.1</v>
      </c>
      <c r="J376" s="14"/>
      <c r="K376" s="14"/>
      <c r="L376" s="14">
        <f>ROUND(AVERAGE(L38:L65),1)</f>
        <v>0.2</v>
      </c>
      <c r="M376" s="14">
        <f>ROUND(AVERAGE(M38:M65),1)</f>
        <v>0.8</v>
      </c>
      <c r="N376" s="14">
        <f>ROUND(AVERAGE(N38:N65),1)</f>
        <v>1.4</v>
      </c>
      <c r="O376" s="14"/>
      <c r="P376" s="14">
        <f>ROUND(AVERAGE(P38:P65),1)</f>
        <v>1.8</v>
      </c>
      <c r="Q376" s="14">
        <f>SUM(Q38:Q65)</f>
        <v>0</v>
      </c>
      <c r="R376" s="14">
        <f>ROUND(AVERAGE(R38:R65),1)</f>
        <v>-0.3</v>
      </c>
      <c r="S376" s="14">
        <f>ROUND(MAX(R38:R65),1)</f>
        <v>12.5</v>
      </c>
      <c r="T376" s="14"/>
      <c r="U376" s="14"/>
      <c r="V376" s="14">
        <f>ROUND(AVERAGE(V38:V65),1)</f>
        <v>0.6</v>
      </c>
      <c r="W376" s="14">
        <f>ROUND(MAX(V38:V65),1)</f>
        <v>12.8</v>
      </c>
      <c r="X376" s="14">
        <f>ROUND(AVERAGE(X38:X65),1)</f>
        <v>0</v>
      </c>
      <c r="Y376" s="14"/>
      <c r="Z376" s="14"/>
      <c r="AA376" s="14">
        <f>ROUND(AVERAGE(AA38:AA65),1)</f>
        <v>0.3</v>
      </c>
      <c r="AB376" s="14"/>
      <c r="AC376" s="14"/>
      <c r="AD376" s="14">
        <f>ROUND(AVERAGE(AD38:AD65),1)</f>
        <v>5</v>
      </c>
      <c r="AE376" s="14">
        <f>ROUND(MAX(AD38:AD65),1)</f>
        <v>8.4</v>
      </c>
      <c r="AF376" s="14">
        <f>ROUND(AVERAGE(AF38:AF65),1)</f>
        <v>-11.2</v>
      </c>
      <c r="AG376" s="14">
        <f>ROUND(MIN(AF38:AF65),1)</f>
        <v>-28.6</v>
      </c>
      <c r="AH376" s="14">
        <f>ROUND(AVERAGE(AH38:AH65),1)</f>
        <v>57</v>
      </c>
      <c r="AI376" s="14">
        <f>ROUND(MIN(AH38:AH65),1)</f>
        <v>21.5</v>
      </c>
      <c r="AJ376" s="14">
        <f>ROUND(AVERAGE(AJ38:AJ65),1)</f>
        <v>-12.2</v>
      </c>
      <c r="AK376" s="14">
        <f>ROUND(MIN(AJ38:AJ65),1)</f>
        <v>-29.2</v>
      </c>
      <c r="AL376" s="14">
        <f>ROUND(AVERAGE(AL38:AL65),1)</f>
        <v>-0.1</v>
      </c>
      <c r="AM376" s="14"/>
      <c r="AN376" s="14"/>
      <c r="AO376" s="14">
        <f>ROUND(AVERAGE(AO38:AO65),1)</f>
        <v>0.2</v>
      </c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9"/>
      <c r="BE376" s="19"/>
      <c r="BF376" s="19">
        <f>BF65</f>
        <v>1070</v>
      </c>
      <c r="BH376" s="14"/>
      <c r="BI376" s="15"/>
      <c r="BJ376" s="15">
        <f>ROUND(AVERAGE(BJ38:BJ65),2)</f>
        <v>6</v>
      </c>
      <c r="BK376" s="15">
        <f>ROUND(AVERAGE(BK38:BK65),2)</f>
        <v>12.33</v>
      </c>
      <c r="BL376" s="1"/>
      <c r="BM376" s="3"/>
      <c r="BO376" s="14">
        <f>ROUND(AVERAGE(BO38:BO65),1)</f>
        <v>53.7</v>
      </c>
      <c r="BP376" s="15"/>
      <c r="BQ376" s="15">
        <f>ROUND(AVERAGE(BQ38:BQ65),2)</f>
        <v>0.28999999999999998</v>
      </c>
      <c r="BR376" s="14">
        <f>ROUND(MIN(BO38:BO65),1)</f>
        <v>20.8</v>
      </c>
      <c r="BS376" s="14">
        <f>SUM(BS38:BS65)</f>
        <v>60.399999999999991</v>
      </c>
      <c r="BT376" s="14">
        <f>SUM(BT38:BT65)</f>
        <v>0</v>
      </c>
      <c r="BU376" s="15">
        <f>ROUND(MAX(BQ38:BQ65),2)</f>
        <v>0.94</v>
      </c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</row>
    <row r="377" spans="1:129" x14ac:dyDescent="0.2">
      <c r="A377" s="3" t="s">
        <v>91</v>
      </c>
      <c r="C377" s="15">
        <f>ROUND(AVERAGE(C66:C96),2)</f>
        <v>11.39</v>
      </c>
      <c r="D377" s="15">
        <f>ROUND(AVERAGE(D66:D96),2)</f>
        <v>21.55</v>
      </c>
      <c r="E377" s="14">
        <f>ROUND(AVERAGE(E66:E96),1)</f>
        <v>-4</v>
      </c>
      <c r="F377" s="14">
        <f>ROUND(AVERAGE(F66:F96),1)</f>
        <v>80.2</v>
      </c>
      <c r="G377" s="14">
        <f t="shared" ref="G377:I377" si="284">ROUND(AVERAGE(G66:G96),1)</f>
        <v>-4.5</v>
      </c>
      <c r="H377" s="14">
        <f t="shared" si="284"/>
        <v>-5.2</v>
      </c>
      <c r="I377" s="14">
        <f t="shared" si="284"/>
        <v>-0.2</v>
      </c>
      <c r="J377" s="14"/>
      <c r="K377" s="14"/>
      <c r="L377" s="14">
        <f t="shared" ref="L377:N377" si="285">ROUND(AVERAGE(L66:L96),1)</f>
        <v>-0.1</v>
      </c>
      <c r="M377" s="14">
        <f t="shared" si="285"/>
        <v>0.4</v>
      </c>
      <c r="N377" s="14">
        <f t="shared" si="285"/>
        <v>0.9</v>
      </c>
      <c r="O377" s="14"/>
      <c r="P377" s="14">
        <f t="shared" ref="P377" si="286">ROUND(AVERAGE(P66:P96),1)</f>
        <v>1.7</v>
      </c>
      <c r="Q377" s="14">
        <f>SUM(Q66:Q96)</f>
        <v>0</v>
      </c>
      <c r="R377" s="14">
        <f>ROUND(AVERAGE(R66:R96),1)</f>
        <v>2.2000000000000002</v>
      </c>
      <c r="S377" s="14">
        <f>ROUND(MAX(R66:R96),1)</f>
        <v>11.4</v>
      </c>
      <c r="T377" s="14"/>
      <c r="U377" s="14"/>
      <c r="V377" s="14">
        <f>ROUND(AVERAGE(V66:V96),1)</f>
        <v>3.9</v>
      </c>
      <c r="W377" s="14">
        <f>ROUND(MAX(V66:V96),1)</f>
        <v>13.9</v>
      </c>
      <c r="X377" s="14">
        <f>ROUND(AVERAGE(X66:X96),1)</f>
        <v>-0.2</v>
      </c>
      <c r="Y377" s="14"/>
      <c r="Z377" s="14"/>
      <c r="AA377" s="14">
        <f>ROUND(AVERAGE(AA66:AA96),1)</f>
        <v>0</v>
      </c>
      <c r="AB377" s="14"/>
      <c r="AC377" s="14"/>
      <c r="AD377" s="14">
        <f>ROUND(AVERAGE(AD66:AD96),1)</f>
        <v>4.7</v>
      </c>
      <c r="AE377" s="14">
        <f>ROUND(MAX(AD66:AD96),1)</f>
        <v>8.6</v>
      </c>
      <c r="AF377" s="14">
        <f>ROUND(AVERAGE(AF66:AF96),1)</f>
        <v>-10.4</v>
      </c>
      <c r="AG377" s="14">
        <f>ROUND(MIN(AF66:AF96),1)</f>
        <v>-27.6</v>
      </c>
      <c r="AH377" s="14">
        <f>ROUND(AVERAGE(AH66:AH96),1)</f>
        <v>51</v>
      </c>
      <c r="AI377" s="14">
        <f>ROUND(MIN(AH66:AH96),1)</f>
        <v>15.8</v>
      </c>
      <c r="AJ377" s="14">
        <f>ROUND(AVERAGE(AJ66:AJ96),1)</f>
        <v>-11.5</v>
      </c>
      <c r="AK377" s="14">
        <f>ROUND(MIN(AJ66:AJ96),1)</f>
        <v>-28.2</v>
      </c>
      <c r="AL377" s="14">
        <f>ROUND(AVERAGE(AL66:AL96),1)</f>
        <v>-0.3</v>
      </c>
      <c r="AM377" s="14"/>
      <c r="AN377" s="14"/>
      <c r="AO377" s="14">
        <f>ROUND(AVERAGE(AO66:AO96),1)</f>
        <v>-0.1</v>
      </c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9"/>
      <c r="BE377" s="19"/>
      <c r="BF377" s="19">
        <f>BF96</f>
        <v>1086</v>
      </c>
      <c r="BH377" s="14"/>
      <c r="BI377" s="15"/>
      <c r="BJ377" s="15">
        <f>ROUND(AVERAGE(BJ66:BJ96),2)</f>
        <v>11.39</v>
      </c>
      <c r="BK377" s="15">
        <f>ROUND(AVERAGE(BK66:BK96),2)</f>
        <v>23.28</v>
      </c>
      <c r="BL377" s="1"/>
      <c r="BM377" s="3"/>
      <c r="BO377" s="14">
        <f>ROUND(AVERAGE(BO66:BO96),1)</f>
        <v>48.2</v>
      </c>
      <c r="BP377" s="15"/>
      <c r="BQ377" s="15">
        <f>ROUND(AVERAGE(BQ66:BQ96),2)</f>
        <v>0.41</v>
      </c>
      <c r="BR377" s="14">
        <f>ROUND(MIN(BO66:BO96),1)</f>
        <v>15.6</v>
      </c>
      <c r="BS377" s="14">
        <f>SUM(BS66:BS96)</f>
        <v>48.400000000000013</v>
      </c>
      <c r="BT377" s="14">
        <f>SUM(BT66:BT96)</f>
        <v>0</v>
      </c>
      <c r="BU377" s="15">
        <f>ROUND(MAX(BQ66:BQ96),2)</f>
        <v>1.02</v>
      </c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</row>
    <row r="378" spans="1:129" x14ac:dyDescent="0.2">
      <c r="A378" s="3" t="s">
        <v>92</v>
      </c>
      <c r="C378" s="15">
        <f>ROUND(AVERAGE(C97:C126),2)</f>
        <v>14.18</v>
      </c>
      <c r="D378" s="15">
        <f>ROUND(AVERAGE(D97:D126),2)</f>
        <v>26.79</v>
      </c>
      <c r="E378" s="14">
        <f>ROUND(AVERAGE(E97:E126),1)</f>
        <v>0.1</v>
      </c>
      <c r="F378" s="14">
        <f>ROUND(AVERAGE(F97:F126),1)</f>
        <v>77.3</v>
      </c>
      <c r="G378" s="14">
        <f t="shared" ref="G378:I378" si="287">ROUND(AVERAGE(G97:G126),1)</f>
        <v>-0.3</v>
      </c>
      <c r="H378" s="14">
        <f t="shared" si="287"/>
        <v>-1</v>
      </c>
      <c r="I378" s="14">
        <f t="shared" si="287"/>
        <v>0</v>
      </c>
      <c r="J378" s="14"/>
      <c r="K378" s="14"/>
      <c r="L378" s="14">
        <f t="shared" ref="L378:N378" si="288">ROUND(AVERAGE(L97:L126),1)</f>
        <v>0.1</v>
      </c>
      <c r="M378" s="14">
        <f t="shared" si="288"/>
        <v>0.4</v>
      </c>
      <c r="N378" s="14">
        <f t="shared" si="288"/>
        <v>0.8</v>
      </c>
      <c r="O378" s="14"/>
      <c r="P378" s="14">
        <f t="shared" ref="P378" si="289">ROUND(AVERAGE(P97:P126),1)</f>
        <v>1.8</v>
      </c>
      <c r="Q378" s="14">
        <f>SUM(Q97:Q126)</f>
        <v>0</v>
      </c>
      <c r="R378" s="14">
        <f>ROUND(AVERAGE(R97:R126),1)</f>
        <v>5.2</v>
      </c>
      <c r="S378" s="14">
        <f>ROUND(MAX(R97:R126),1)</f>
        <v>11.5</v>
      </c>
      <c r="T378" s="14"/>
      <c r="U378" s="14"/>
      <c r="V378" s="14">
        <f>ROUND(AVERAGE(V97:V126),1)</f>
        <v>6.9</v>
      </c>
      <c r="W378" s="14">
        <f>ROUND(MAX(V97:V126),1)</f>
        <v>13.1</v>
      </c>
      <c r="X378" s="14">
        <f>ROUND(AVERAGE(X97:X126),1)</f>
        <v>0.1</v>
      </c>
      <c r="Y378" s="14"/>
      <c r="Z378" s="14"/>
      <c r="AA378" s="14">
        <f>ROUND(AVERAGE(AA97:AA126),1)</f>
        <v>0.1</v>
      </c>
      <c r="AB378" s="14"/>
      <c r="AC378" s="14"/>
      <c r="AD378" s="14">
        <f>ROUND(AVERAGE(AD97:AD126),1)</f>
        <v>5</v>
      </c>
      <c r="AE378" s="14">
        <f>ROUND(MAX(AD97:AD126),1)</f>
        <v>9.1</v>
      </c>
      <c r="AF378" s="14">
        <f>ROUND(AVERAGE(AF97:AF126),1)</f>
        <v>-5.7</v>
      </c>
      <c r="AG378" s="14">
        <f>ROUND(MIN(AF97:AF126),1)</f>
        <v>-14.7</v>
      </c>
      <c r="AH378" s="14">
        <f>ROUND(AVERAGE(AH97:AH126),1)</f>
        <v>49.3</v>
      </c>
      <c r="AI378" s="14">
        <f>ROUND(MIN(AH97:AH126),1)</f>
        <v>21.4</v>
      </c>
      <c r="AJ378" s="14">
        <f>ROUND(AVERAGE(AJ97:AJ126),1)</f>
        <v>-6.7</v>
      </c>
      <c r="AK378" s="14">
        <f>ROUND(MIN(AJ97:AJ126),1)</f>
        <v>-15.6</v>
      </c>
      <c r="AL378" s="14">
        <f>ROUND(AVERAGE(AL97:AL126),1)</f>
        <v>0</v>
      </c>
      <c r="AM378" s="14"/>
      <c r="AN378" s="14"/>
      <c r="AO378" s="14">
        <f>ROUND(AVERAGE(AO97:AO126),1)</f>
        <v>0</v>
      </c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9"/>
      <c r="BE378" s="19"/>
      <c r="BF378" s="19">
        <f>BF126</f>
        <v>911</v>
      </c>
      <c r="BH378" s="14"/>
      <c r="BI378" s="15"/>
      <c r="BJ378" s="15">
        <f>ROUND(AVERAGE(BJ97:BJ126),2)</f>
        <v>14.18</v>
      </c>
      <c r="BK378" s="15">
        <f>ROUND(AVERAGE(BK97:BK126),2)</f>
        <v>28.93</v>
      </c>
      <c r="BL378" s="1"/>
      <c r="BM378" s="3"/>
      <c r="BO378" s="14">
        <f>ROUND(AVERAGE(BO97:BO126),1)</f>
        <v>46.5</v>
      </c>
      <c r="BP378" s="15"/>
      <c r="BQ378" s="15">
        <f>ROUND(AVERAGE(BQ97:BQ126),2)</f>
        <v>0.51</v>
      </c>
      <c r="BR378" s="14">
        <f>ROUND(MIN(BO97:BO126),1)</f>
        <v>20.8</v>
      </c>
      <c r="BS378" s="14">
        <f>SUM(BS97:BS126)</f>
        <v>54.8</v>
      </c>
      <c r="BT378" s="14">
        <f>SUM(BT97:BT126)</f>
        <v>2</v>
      </c>
      <c r="BU378" s="15">
        <f>ROUND(MAX(BQ97:BQ126),2)</f>
        <v>1.02</v>
      </c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</row>
    <row r="379" spans="1:129" x14ac:dyDescent="0.2">
      <c r="A379" s="3" t="s">
        <v>93</v>
      </c>
      <c r="C379" s="15">
        <f>ROUND(AVERAGE(C127:C157),2)</f>
        <v>21.92</v>
      </c>
      <c r="D379" s="15">
        <f>ROUND(AVERAGE(D127:D157),2)</f>
        <v>41.49</v>
      </c>
      <c r="E379" s="14">
        <f>ROUND(AVERAGE(E127:E157),1)</f>
        <v>5.7</v>
      </c>
      <c r="F379" s="14">
        <f>ROUND(AVERAGE(F127:F157),1)</f>
        <v>69.400000000000006</v>
      </c>
      <c r="G379" s="14">
        <f t="shared" ref="G379:I379" si="290">ROUND(AVERAGE(G127:G157),1)</f>
        <v>5.4</v>
      </c>
      <c r="H379" s="14">
        <f t="shared" si="290"/>
        <v>5.0999999999999996</v>
      </c>
      <c r="I379" s="14">
        <f t="shared" si="290"/>
        <v>2.8</v>
      </c>
      <c r="J379" s="14"/>
      <c r="K379" s="14"/>
      <c r="L379" s="14">
        <f t="shared" ref="L379:N379" si="291">ROUND(AVERAGE(L127:L157),1)</f>
        <v>2.8</v>
      </c>
      <c r="M379" s="14">
        <f t="shared" si="291"/>
        <v>2</v>
      </c>
      <c r="N379" s="14">
        <f t="shared" si="291"/>
        <v>1.4</v>
      </c>
      <c r="O379" s="14"/>
      <c r="P379" s="14">
        <f t="shared" ref="P379" si="292">ROUND(AVERAGE(P127:P157),1)</f>
        <v>1.8</v>
      </c>
      <c r="Q379" s="14">
        <f>SUM(Q127:Q157)</f>
        <v>1</v>
      </c>
      <c r="R379" s="14">
        <f>ROUND(AVERAGE(R127:R157),1)</f>
        <v>12.4</v>
      </c>
      <c r="S379" s="14">
        <f>ROUND(MAX(R127:R157),1)</f>
        <v>22.5</v>
      </c>
      <c r="T379" s="14"/>
      <c r="U379" s="14"/>
      <c r="V379" s="14">
        <f>ROUND(AVERAGE(V127:V157),1)</f>
        <v>14.1</v>
      </c>
      <c r="W379" s="14">
        <f>ROUND(MAX(V127:V157),1)</f>
        <v>24</v>
      </c>
      <c r="X379" s="14">
        <f>ROUND(AVERAGE(X127:X157),1)</f>
        <v>6.7</v>
      </c>
      <c r="Y379" s="14"/>
      <c r="Z379" s="14"/>
      <c r="AA379" s="14">
        <f>ROUND(AVERAGE(AA127:AA157),1)</f>
        <v>4.8</v>
      </c>
      <c r="AB379" s="14"/>
      <c r="AC379" s="14"/>
      <c r="AD379" s="14">
        <f>ROUND(AVERAGE(AD127:AD157),1)</f>
        <v>4.9000000000000004</v>
      </c>
      <c r="AE379" s="14">
        <f>ROUND(MAX(AD127:AD157),1)</f>
        <v>8.6</v>
      </c>
      <c r="AF379" s="14">
        <f>ROUND(AVERAGE(AF127:AF157),1)</f>
        <v>-1.8</v>
      </c>
      <c r="AG379" s="14">
        <f>ROUND(MIN(AF127:AF157),1)</f>
        <v>-5.5</v>
      </c>
      <c r="AH379" s="14">
        <f>ROUND(AVERAGE(AH127:AH157),1)</f>
        <v>39.700000000000003</v>
      </c>
      <c r="AI379" s="14">
        <f>ROUND(MIN(AH127:AH157),1)</f>
        <v>16.100000000000001</v>
      </c>
      <c r="AJ379" s="14">
        <f>ROUND(AVERAGE(AJ127:AJ157),1)</f>
        <v>-2.5</v>
      </c>
      <c r="AK379" s="14">
        <f>ROUND(MIN(AJ127:AJ157),1)</f>
        <v>-6.1</v>
      </c>
      <c r="AL379" s="14">
        <f>ROUND(AVERAGE(AL127:AL157),1)</f>
        <v>-0.6</v>
      </c>
      <c r="AM379" s="14"/>
      <c r="AN379" s="14"/>
      <c r="AO379" s="14">
        <f>ROUND(AVERAGE(AO127:AO157),1)</f>
        <v>1.1000000000000001</v>
      </c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9"/>
      <c r="BE379" s="19"/>
      <c r="BF379" s="19">
        <f>BF157</f>
        <v>0</v>
      </c>
      <c r="BH379" s="14"/>
      <c r="BI379" s="15"/>
      <c r="BJ379" s="15">
        <f>ROUND(AVERAGE(BJ127:BJ157),2)</f>
        <v>21.92</v>
      </c>
      <c r="BK379" s="15">
        <f>ROUND(AVERAGE(BK127:BK157),2)</f>
        <v>44.8</v>
      </c>
      <c r="BL379" s="1"/>
      <c r="BM379" s="3"/>
      <c r="BO379" s="14">
        <f>ROUND(AVERAGE(BO127:BO157),1)</f>
        <v>37.6</v>
      </c>
      <c r="BP379" s="15"/>
      <c r="BQ379" s="15">
        <f>ROUND(AVERAGE(BQ127:BQ157),2)</f>
        <v>1</v>
      </c>
      <c r="BR379" s="14">
        <f>ROUND(MIN(BO127:BO157),1)</f>
        <v>15.9</v>
      </c>
      <c r="BS379" s="14">
        <f>SUM(BS127:BS157)</f>
        <v>47.599999999999994</v>
      </c>
      <c r="BT379" s="14">
        <f>SUM(BT127:BT157)</f>
        <v>34</v>
      </c>
      <c r="BU379" s="15">
        <f>ROUND(MAX(BQ127:BQ157),2)</f>
        <v>2.16</v>
      </c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</row>
    <row r="380" spans="1:129" x14ac:dyDescent="0.2">
      <c r="A380" s="3" t="s">
        <v>94</v>
      </c>
      <c r="C380" s="15">
        <f>ROUND(AVERAGE(C158:C187),2)</f>
        <v>21.35</v>
      </c>
      <c r="D380" s="15">
        <f>ROUND(AVERAGE(D158:D187),2)</f>
        <v>40.409999999999997</v>
      </c>
      <c r="E380" s="14">
        <f>ROUND(AVERAGE(E158:E187),1)</f>
        <v>9.5</v>
      </c>
      <c r="F380" s="14">
        <f>ROUND(AVERAGE(F158:F187),1)</f>
        <v>76.099999999999994</v>
      </c>
      <c r="G380" s="14">
        <f t="shared" ref="G380:I380" si="293">ROUND(AVERAGE(G158:G187),1)</f>
        <v>9.4</v>
      </c>
      <c r="H380" s="14">
        <f t="shared" si="293"/>
        <v>9.3000000000000007</v>
      </c>
      <c r="I380" s="14">
        <f t="shared" si="293"/>
        <v>10.8</v>
      </c>
      <c r="J380" s="14"/>
      <c r="K380" s="14"/>
      <c r="L380" s="14">
        <f t="shared" ref="L380:N380" si="294">ROUND(AVERAGE(L158:L187),1)</f>
        <v>10.7</v>
      </c>
      <c r="M380" s="14">
        <f t="shared" si="294"/>
        <v>9.3000000000000007</v>
      </c>
      <c r="N380" s="14">
        <f t="shared" si="294"/>
        <v>8</v>
      </c>
      <c r="O380" s="14"/>
      <c r="P380" s="14">
        <f t="shared" ref="P380" si="295">ROUND(AVERAGE(P158:P187),1)</f>
        <v>1.8</v>
      </c>
      <c r="Q380" s="14">
        <f>SUM(Q158:Q187)</f>
        <v>65</v>
      </c>
      <c r="R380" s="14">
        <f>ROUND(AVERAGE(R158:R187),1)</f>
        <v>15.4</v>
      </c>
      <c r="S380" s="14">
        <f>ROUND(MAX(R158:R187),1)</f>
        <v>23.4</v>
      </c>
      <c r="T380" s="14"/>
      <c r="U380" s="14"/>
      <c r="V380" s="14">
        <f>ROUND(AVERAGE(V158:V187),1)</f>
        <v>16.7</v>
      </c>
      <c r="W380" s="14">
        <f>ROUND(MAX(V158:V187),1)</f>
        <v>24.5</v>
      </c>
      <c r="X380" s="14">
        <f>ROUND(AVERAGE(X158:X187),1)</f>
        <v>24.1</v>
      </c>
      <c r="Y380" s="14"/>
      <c r="Z380" s="14"/>
      <c r="AA380" s="14">
        <f>ROUND(AVERAGE(AA158:AA187),1)</f>
        <v>14.2</v>
      </c>
      <c r="AB380" s="14"/>
      <c r="AC380" s="14"/>
      <c r="AD380" s="14">
        <f>ROUND(AVERAGE(AD158:AD187),1)</f>
        <v>4.9000000000000004</v>
      </c>
      <c r="AE380" s="14">
        <f>ROUND(MAX(AD158:AD187),1)</f>
        <v>6.6</v>
      </c>
      <c r="AF380" s="14">
        <f>ROUND(AVERAGE(AF158:AF187),1)</f>
        <v>2.7</v>
      </c>
      <c r="AG380" s="14">
        <f>ROUND(MIN(AF158:AF187),1)</f>
        <v>-1.6</v>
      </c>
      <c r="AH380" s="14">
        <f>ROUND(AVERAGE(AH158:AH187),1)</f>
        <v>46.9</v>
      </c>
      <c r="AI380" s="14">
        <f>ROUND(MIN(AH158:AH187),1)</f>
        <v>17.2</v>
      </c>
      <c r="AJ380" s="14">
        <f>ROUND(AVERAGE(AJ158:AJ187),1)</f>
        <v>2.1</v>
      </c>
      <c r="AK380" s="14">
        <f>ROUND(MIN(AJ158:AJ187),1)</f>
        <v>-2.2000000000000002</v>
      </c>
      <c r="AL380" s="14">
        <f>ROUND(AVERAGE(AL158:AL187),1)</f>
        <v>1.6</v>
      </c>
      <c r="AM380" s="14"/>
      <c r="AN380" s="14"/>
      <c r="AO380" s="14">
        <f>ROUND(AVERAGE(AO158:AO187),1)</f>
        <v>7.8</v>
      </c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9"/>
      <c r="BE380" s="19"/>
      <c r="BF380" s="19"/>
      <c r="BH380" s="14"/>
      <c r="BI380" s="15"/>
      <c r="BJ380" s="15">
        <f>ROUND(AVERAGE(BJ158:BJ187),2)</f>
        <v>21.35</v>
      </c>
      <c r="BK380" s="15">
        <f>ROUND(AVERAGE(BK158:BK187),2)</f>
        <v>43.64</v>
      </c>
      <c r="BL380" s="1"/>
      <c r="BM380" s="3"/>
      <c r="BO380" s="14">
        <f>ROUND(AVERAGE(BO158:BO187),1)</f>
        <v>44.3</v>
      </c>
      <c r="BP380" s="15"/>
      <c r="BQ380" s="15">
        <f>ROUND(AVERAGE(BQ158:BQ187),2)</f>
        <v>1.1000000000000001</v>
      </c>
      <c r="BR380" s="14">
        <f>ROUND(MIN(BO158:BO187),1)</f>
        <v>16.899999999999999</v>
      </c>
      <c r="BS380" s="14">
        <f>SUM(BS158:BS187)</f>
        <v>94.699999999999989</v>
      </c>
      <c r="BT380" s="14">
        <f>SUM(BT158:BT187)</f>
        <v>0</v>
      </c>
      <c r="BU380" s="15">
        <f>ROUND(MAX(BQ158:BQ187),2)</f>
        <v>2.2400000000000002</v>
      </c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</row>
    <row r="381" spans="1:129" x14ac:dyDescent="0.2">
      <c r="A381" s="3" t="s">
        <v>95</v>
      </c>
      <c r="C381" s="15">
        <f>ROUND(AVERAGE(C188:C218),2)</f>
        <v>19.38</v>
      </c>
      <c r="D381" s="15">
        <f>ROUND(AVERAGE(D188:D218),2)</f>
        <v>36.81</v>
      </c>
      <c r="E381" s="14">
        <f>ROUND(AVERAGE(E188:E218),1)</f>
        <v>11.3</v>
      </c>
      <c r="F381" s="14">
        <f>ROUND(AVERAGE(F188:F218),1)</f>
        <v>77.3</v>
      </c>
      <c r="G381" s="14">
        <f t="shared" ref="G381:I381" si="296">ROUND(AVERAGE(G188:G218),1)</f>
        <v>11.1</v>
      </c>
      <c r="H381" s="14">
        <f t="shared" si="296"/>
        <v>11</v>
      </c>
      <c r="I381" s="14">
        <f t="shared" si="296"/>
        <v>12.1</v>
      </c>
      <c r="J381" s="14"/>
      <c r="K381" s="14"/>
      <c r="L381" s="14">
        <f t="shared" ref="L381:N381" si="297">ROUND(AVERAGE(L188:L218),1)</f>
        <v>11.6</v>
      </c>
      <c r="M381" s="14">
        <f t="shared" si="297"/>
        <v>10.5</v>
      </c>
      <c r="N381" s="14">
        <f t="shared" si="297"/>
        <v>9.3000000000000007</v>
      </c>
      <c r="O381" s="14"/>
      <c r="P381" s="14">
        <f t="shared" ref="P381" si="298">ROUND(AVERAGE(P188:P218),1)</f>
        <v>1.9</v>
      </c>
      <c r="Q381" s="14">
        <f>SUM(Q188:Q218)</f>
        <v>68</v>
      </c>
      <c r="R381" s="14">
        <f>ROUND(AVERAGE(R188:R218),1)</f>
        <v>16.899999999999999</v>
      </c>
      <c r="S381" s="14">
        <f>ROUND(MAX(R188:R218),1)</f>
        <v>23.3</v>
      </c>
      <c r="T381" s="14"/>
      <c r="U381" s="14"/>
      <c r="V381" s="14">
        <f>ROUND(AVERAGE(V188:V218),1)</f>
        <v>18.2</v>
      </c>
      <c r="W381" s="14">
        <f>ROUND(MAX(V188:V218),1)</f>
        <v>24.8</v>
      </c>
      <c r="X381" s="14">
        <f>ROUND(AVERAGE(X188:X218),1)</f>
        <v>23.5</v>
      </c>
      <c r="Y381" s="14"/>
      <c r="Z381" s="14"/>
      <c r="AA381" s="14">
        <f>ROUND(AVERAGE(AA188:AA218),1)</f>
        <v>14</v>
      </c>
      <c r="AB381" s="14"/>
      <c r="AC381" s="14"/>
      <c r="AD381" s="14">
        <f>ROUND(AVERAGE(AD188:AD218),1)</f>
        <v>5.2</v>
      </c>
      <c r="AE381" s="14">
        <f>ROUND(MAX(AD188:AD218),1)</f>
        <v>8.1</v>
      </c>
      <c r="AF381" s="14">
        <f>ROUND(AVERAGE(AF188:AF218),1)</f>
        <v>4.8</v>
      </c>
      <c r="AG381" s="14">
        <f>ROUND(MIN(AF188:AF218),1)</f>
        <v>-7.3</v>
      </c>
      <c r="AH381" s="14">
        <f>ROUND(AVERAGE(AH188:AH218),1)</f>
        <v>45.5</v>
      </c>
      <c r="AI381" s="14">
        <f>ROUND(MIN(AH188:AH218),1)</f>
        <v>18</v>
      </c>
      <c r="AJ381" s="14">
        <f>ROUND(AVERAGE(AJ188:AJ218),1)</f>
        <v>4.5</v>
      </c>
      <c r="AK381" s="14">
        <f>ROUND(MIN(AJ188:AJ218),1)</f>
        <v>-0.8</v>
      </c>
      <c r="AL381" s="14">
        <f>ROUND(AVERAGE(AL188:AL218),1)</f>
        <v>3.7</v>
      </c>
      <c r="AM381" s="14"/>
      <c r="AN381" s="14"/>
      <c r="AO381" s="14">
        <f>ROUND(AVERAGE(AO188:AO218),1)</f>
        <v>9.5</v>
      </c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9"/>
      <c r="BE381" s="19"/>
      <c r="BF381" s="19"/>
      <c r="BH381" s="14"/>
      <c r="BI381" s="15"/>
      <c r="BJ381" s="15">
        <f>ROUND(AVERAGE(BJ188:BJ218),2)</f>
        <v>19.38</v>
      </c>
      <c r="BK381" s="15">
        <f>ROUND(AVERAGE(BK188:BK218),2)</f>
        <v>39.76</v>
      </c>
      <c r="BL381" s="1"/>
      <c r="BM381" s="3"/>
      <c r="BO381" s="14">
        <f>ROUND(AVERAGE(BO188:BO218),1)</f>
        <v>43</v>
      </c>
      <c r="BP381" s="15"/>
      <c r="BQ381" s="15">
        <f>ROUND(AVERAGE(BQ188:BQ218),2)</f>
        <v>1.1599999999999999</v>
      </c>
      <c r="BR381" s="14">
        <f>ROUND(MIN(BO188:BO218),1)</f>
        <v>17.7</v>
      </c>
      <c r="BS381" s="14">
        <f>SUM(BS188:BS218)</f>
        <v>66.699999999999989</v>
      </c>
      <c r="BT381" s="14">
        <f>SUM(BT188:BT218)</f>
        <v>0</v>
      </c>
      <c r="BU381" s="15">
        <f>ROUND(MAX(BQ188:BQ218),2)</f>
        <v>2.2999999999999998</v>
      </c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</row>
    <row r="382" spans="1:129" x14ac:dyDescent="0.2">
      <c r="A382" s="3" t="s">
        <v>96</v>
      </c>
      <c r="C382" s="15">
        <f>ROUND(AVERAGE(C219:C249),2)</f>
        <v>15.3</v>
      </c>
      <c r="D382" s="15">
        <f>ROUND(AVERAGE(D219:D249),2)</f>
        <v>28.76</v>
      </c>
      <c r="E382" s="14">
        <f>ROUND(AVERAGE(E219:E249),1)</f>
        <v>8.1999999999999993</v>
      </c>
      <c r="F382" s="14">
        <f>ROUND(AVERAGE(F219:F249),1)</f>
        <v>85.8</v>
      </c>
      <c r="G382" s="14">
        <f t="shared" ref="G382:I382" si="299">ROUND(AVERAGE(G219:G249),1)</f>
        <v>8.1</v>
      </c>
      <c r="H382" s="14">
        <f t="shared" si="299"/>
        <v>7.9</v>
      </c>
      <c r="I382" s="14">
        <f t="shared" si="299"/>
        <v>8.8000000000000007</v>
      </c>
      <c r="J382" s="14"/>
      <c r="K382" s="14"/>
      <c r="L382" s="14">
        <f t="shared" ref="L382:N382" si="300">ROUND(AVERAGE(L219:L249),1)</f>
        <v>9.1999999999999993</v>
      </c>
      <c r="M382" s="14">
        <f t="shared" si="300"/>
        <v>9.1</v>
      </c>
      <c r="N382" s="14">
        <f t="shared" si="300"/>
        <v>8.9</v>
      </c>
      <c r="O382" s="14"/>
      <c r="P382" s="14">
        <f t="shared" ref="P382" si="301">ROUND(AVERAGE(P219:P249),1)</f>
        <v>1.9</v>
      </c>
      <c r="Q382" s="14">
        <f>SUM(Q219:Q249)</f>
        <v>110</v>
      </c>
      <c r="R382" s="14">
        <f>ROUND(AVERAGE(R219:R249),1)</f>
        <v>13.6</v>
      </c>
      <c r="S382" s="14">
        <f>ROUND(MAX(R219:R249),1)</f>
        <v>23.8</v>
      </c>
      <c r="T382" s="14"/>
      <c r="U382" s="14"/>
      <c r="V382" s="14">
        <f>ROUND(AVERAGE(V219:V249),1)</f>
        <v>14.7</v>
      </c>
      <c r="W382" s="14">
        <f>ROUND(MAX(V219:V249),1)</f>
        <v>25.2</v>
      </c>
      <c r="X382" s="14">
        <f>ROUND(AVERAGE(X219:X249),1)</f>
        <v>17.899999999999999</v>
      </c>
      <c r="Y382" s="14"/>
      <c r="Z382" s="14"/>
      <c r="AA382" s="14">
        <f>ROUND(AVERAGE(AA219:AA249),1)</f>
        <v>11.3</v>
      </c>
      <c r="AB382" s="14"/>
      <c r="AC382" s="14"/>
      <c r="AD382" s="14">
        <f>ROUND(AVERAGE(AD219:AD249),1)</f>
        <v>4.9000000000000004</v>
      </c>
      <c r="AE382" s="14">
        <f>ROUND(MAX(AD219:AD249),1)</f>
        <v>6.8</v>
      </c>
      <c r="AF382" s="14">
        <f>ROUND(AVERAGE(AF219:AF249),1)</f>
        <v>2.5</v>
      </c>
      <c r="AG382" s="14">
        <f>ROUND(MIN(AF219:AF249),1)</f>
        <v>-2.4</v>
      </c>
      <c r="AH382" s="14">
        <f>ROUND(AVERAGE(AH219:AH249),1)</f>
        <v>55.1</v>
      </c>
      <c r="AI382" s="14">
        <f>ROUND(MIN(AH219:AH249),1)</f>
        <v>24.1</v>
      </c>
      <c r="AJ382" s="14">
        <f>ROUND(AVERAGE(AJ219:AJ249),1)</f>
        <v>1.9</v>
      </c>
      <c r="AK382" s="14">
        <f>ROUND(MIN(AJ219:AJ249),1)</f>
        <v>-3.1</v>
      </c>
      <c r="AL382" s="14">
        <f>ROUND(AVERAGE(AL219:AL249),1)</f>
        <v>1.6</v>
      </c>
      <c r="AM382" s="14"/>
      <c r="AN382" s="14"/>
      <c r="AO382" s="14">
        <f>ROUND(AVERAGE(AO219:AO249),1)</f>
        <v>7.4</v>
      </c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9"/>
      <c r="BE382" s="19"/>
      <c r="BF382" s="19"/>
      <c r="BH382" s="14"/>
      <c r="BI382" s="15"/>
      <c r="BJ382" s="15">
        <f>ROUND(AVERAGE(BJ219:BJ249),2)</f>
        <v>15.3</v>
      </c>
      <c r="BK382" s="15">
        <f>ROUND(AVERAGE(BK219:BK249),2)</f>
        <v>31.06</v>
      </c>
      <c r="BL382" s="1"/>
      <c r="BM382" s="3"/>
      <c r="BO382" s="14">
        <f>ROUND(AVERAGE(BO219:BO249),1)</f>
        <v>51.9</v>
      </c>
      <c r="BP382" s="15"/>
      <c r="BQ382" s="15">
        <f>ROUND(AVERAGE(BQ219:BQ249),2)</f>
        <v>0.84</v>
      </c>
      <c r="BR382" s="14">
        <f>ROUND(MIN(BO219:BO249),1)</f>
        <v>23.3</v>
      </c>
      <c r="BS382" s="14">
        <f>SUM(BS219:BS249)</f>
        <v>112.9</v>
      </c>
      <c r="BT382" s="14">
        <f>SUM(BT219:BT249)</f>
        <v>0</v>
      </c>
      <c r="BU382" s="15">
        <f>ROUND(MAX(BQ219:BQ249),2)</f>
        <v>2.14</v>
      </c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</row>
    <row r="383" spans="1:129" x14ac:dyDescent="0.2">
      <c r="A383" s="3" t="s">
        <v>97</v>
      </c>
      <c r="C383" s="15">
        <f>ROUND(AVERAGE(C250:C279),2)</f>
        <v>16.75</v>
      </c>
      <c r="D383" s="15">
        <f>ROUND(AVERAGE(D250:D279),2)</f>
        <v>31.36</v>
      </c>
      <c r="E383" s="14">
        <f>ROUND(AVERAGE(E250:E279),1)</f>
        <v>8</v>
      </c>
      <c r="F383" s="14">
        <f>ROUND(AVERAGE(F250:F279),1)</f>
        <v>76.099999999999994</v>
      </c>
      <c r="G383" s="14">
        <f t="shared" ref="G383:I383" si="302">ROUND(AVERAGE(G250:G279),1)</f>
        <v>7.8</v>
      </c>
      <c r="H383" s="14">
        <f t="shared" si="302"/>
        <v>7.5</v>
      </c>
      <c r="I383" s="14">
        <f t="shared" si="302"/>
        <v>7.7</v>
      </c>
      <c r="J383" s="14"/>
      <c r="K383" s="14"/>
      <c r="L383" s="14">
        <f t="shared" ref="L383:N383" si="303">ROUND(AVERAGE(L250:L279),1)</f>
        <v>8.4</v>
      </c>
      <c r="M383" s="14">
        <f t="shared" si="303"/>
        <v>8.5</v>
      </c>
      <c r="N383" s="14">
        <f t="shared" si="303"/>
        <v>8.4</v>
      </c>
      <c r="O383" s="14"/>
      <c r="P383" s="14">
        <f t="shared" ref="P383" si="304">ROUND(AVERAGE(P250:P279),1)</f>
        <v>2</v>
      </c>
      <c r="Q383" s="14">
        <f>SUM(Q250:Q279)</f>
        <v>32</v>
      </c>
      <c r="R383" s="14">
        <f>ROUND(AVERAGE(R250:R279),1)</f>
        <v>16.600000000000001</v>
      </c>
      <c r="S383" s="14">
        <f>ROUND(MAX(R250:R279),1)</f>
        <v>27</v>
      </c>
      <c r="T383" s="14"/>
      <c r="U383" s="14"/>
      <c r="V383" s="14">
        <f>ROUND(AVERAGE(V250:V279),1)</f>
        <v>17.100000000000001</v>
      </c>
      <c r="W383" s="14">
        <f>ROUND(MAX(V250:V279),1)</f>
        <v>27.8</v>
      </c>
      <c r="X383" s="14">
        <f>ROUND(AVERAGE(X250:X279),1)</f>
        <v>21.9</v>
      </c>
      <c r="Y383" s="14"/>
      <c r="Z383" s="14"/>
      <c r="AA383" s="14">
        <f>ROUND(AVERAGE(AA250:AA279),1)</f>
        <v>11.2</v>
      </c>
      <c r="AB383" s="14"/>
      <c r="AC383" s="14"/>
      <c r="AD383" s="14">
        <f>ROUND(AVERAGE(AD250:AD279),1)</f>
        <v>4.5</v>
      </c>
      <c r="AE383" s="14">
        <f>ROUND(MAX(AD250:AD279),1)</f>
        <v>6</v>
      </c>
      <c r="AF383" s="14">
        <f>ROUND(AVERAGE(AF250:AF279),1)</f>
        <v>0.5</v>
      </c>
      <c r="AG383" s="14">
        <f>ROUND(MIN(AF250:AF279),1)</f>
        <v>-5.3</v>
      </c>
      <c r="AH383" s="14">
        <f>ROUND(AVERAGE(AH250:AH279),1)</f>
        <v>37.299999999999997</v>
      </c>
      <c r="AI383" s="14">
        <f>ROUND(MIN(AH250:AH279),1)</f>
        <v>12.7</v>
      </c>
      <c r="AJ383" s="14">
        <f>ROUND(AVERAGE(AJ250:AJ279),1)</f>
        <v>-0.2</v>
      </c>
      <c r="AK383" s="14">
        <f>ROUND(MIN(AJ250:AJ279),1)</f>
        <v>-6</v>
      </c>
      <c r="AL383" s="14">
        <f>ROUND(AVERAGE(AL250:AL279),1)</f>
        <v>-1</v>
      </c>
      <c r="AM383" s="14"/>
      <c r="AN383" s="14"/>
      <c r="AO383" s="14">
        <f>ROUND(AVERAGE(AO250:AO279),1)</f>
        <v>6.2</v>
      </c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9"/>
      <c r="BE383" s="19"/>
      <c r="BF383" s="19">
        <f>BF279</f>
        <v>0</v>
      </c>
      <c r="BH383" s="14"/>
      <c r="BI383" s="15"/>
      <c r="BJ383" s="15">
        <f>ROUND(AVERAGE(BJ250:BJ279),2)</f>
        <v>16.75</v>
      </c>
      <c r="BK383" s="15">
        <f>ROUND(AVERAGE(BK250:BK279),2)</f>
        <v>33.869999999999997</v>
      </c>
      <c r="BL383" s="1"/>
      <c r="BM383" s="3"/>
      <c r="BO383" s="14">
        <f>ROUND(AVERAGE(BO250:BO279),1)</f>
        <v>35.4</v>
      </c>
      <c r="BP383" s="15"/>
      <c r="BQ383" s="15">
        <f>ROUND(AVERAGE(BQ250:BQ279),2)</f>
        <v>1.31</v>
      </c>
      <c r="BR383" s="14">
        <f>ROUND(MIN(BO250:BO279),1)</f>
        <v>12.7</v>
      </c>
      <c r="BS383" s="14">
        <f>SUM(BS250:BS279)</f>
        <v>39.799999916553496</v>
      </c>
      <c r="BT383" s="14">
        <f>SUM(BT250:BT279)</f>
        <v>0</v>
      </c>
      <c r="BU383" s="15">
        <f>ROUND(MAX(BQ250:BQ279),2)</f>
        <v>2.94</v>
      </c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</row>
    <row r="384" spans="1:129" x14ac:dyDescent="0.2">
      <c r="A384" s="3" t="s">
        <v>98</v>
      </c>
      <c r="C384" s="15">
        <f>ROUND(AVERAGE(C280:C310),2)</f>
        <v>5.15</v>
      </c>
      <c r="D384" s="15">
        <f>ROUND(AVERAGE(D280:D310),2)</f>
        <v>9.56</v>
      </c>
      <c r="E384" s="14">
        <f>ROUND(AVERAGE(E280:E310),1)</f>
        <v>-0.3</v>
      </c>
      <c r="F384" s="14">
        <f>ROUND(AVERAGE(F280:F310),1)</f>
        <v>94.2</v>
      </c>
      <c r="G384" s="14">
        <f t="shared" ref="G384:I384" si="305">ROUND(AVERAGE(G280:G310),1)</f>
        <v>-0.6</v>
      </c>
      <c r="H384" s="14">
        <f t="shared" si="305"/>
        <v>-0.8</v>
      </c>
      <c r="I384" s="14">
        <f t="shared" si="305"/>
        <v>-0.5</v>
      </c>
      <c r="J384" s="14"/>
      <c r="K384" s="14"/>
      <c r="L384" s="14">
        <f t="shared" ref="L384:N384" si="306">ROUND(AVERAGE(L280:L310),1)</f>
        <v>2.5</v>
      </c>
      <c r="M384" s="14">
        <f t="shared" si="306"/>
        <v>3.6</v>
      </c>
      <c r="N384" s="14">
        <f t="shared" si="306"/>
        <v>4.7</v>
      </c>
      <c r="O384" s="14"/>
      <c r="P384" s="14">
        <f t="shared" ref="P384" si="307">ROUND(AVERAGE(P280:P310),1)</f>
        <v>1.7</v>
      </c>
      <c r="Q384" s="14">
        <f>SUM(Q280:Q310)</f>
        <v>126</v>
      </c>
      <c r="R384" s="14">
        <f>ROUND(AVERAGE(R280:R310),1)</f>
        <v>3.1</v>
      </c>
      <c r="S384" s="21">
        <f>ROUND(MAX(R280:R310),1)</f>
        <v>9.5</v>
      </c>
      <c r="T384" s="14"/>
      <c r="U384" s="21"/>
      <c r="V384" s="14">
        <f>ROUND(AVERAGE(V280:V310),1)</f>
        <v>3.5</v>
      </c>
      <c r="W384" s="21">
        <f>ROUND(MAX(V280:V310),1)</f>
        <v>9.1</v>
      </c>
      <c r="X384" s="14">
        <f>ROUND(AVERAGE(X280:X310),1)</f>
        <v>5.2</v>
      </c>
      <c r="Y384" s="14"/>
      <c r="Z384" s="21"/>
      <c r="AA384" s="14">
        <f>ROUND(AVERAGE(AA280:AA310),1)</f>
        <v>3.1</v>
      </c>
      <c r="AB384" s="21"/>
      <c r="AC384" s="14"/>
      <c r="AD384" s="14">
        <f>ROUND(AVERAGE(AD280:AD310),1)</f>
        <v>4.9000000000000004</v>
      </c>
      <c r="AE384" s="21">
        <f>ROUND(MAX(AD280:AD310),1)</f>
        <v>7.8</v>
      </c>
      <c r="AF384" s="14">
        <f>ROUND(AVERAGE(AF280:AF310),1)</f>
        <v>-3.7</v>
      </c>
      <c r="AG384" s="21">
        <f>ROUND(MIN(AF280:AF310),1)</f>
        <v>-17</v>
      </c>
      <c r="AH384" s="14">
        <f>ROUND(AVERAGE(AH280:AH310),1)</f>
        <v>72.900000000000006</v>
      </c>
      <c r="AI384" s="21">
        <f>ROUND(MIN(AH280:AH310),1)</f>
        <v>43.5</v>
      </c>
      <c r="AJ384" s="14">
        <f>ROUND(AVERAGE(AJ280:AJ310),1)</f>
        <v>-4.2</v>
      </c>
      <c r="AK384" s="21">
        <f>ROUND(MIN(AJ280:AJ310),1)</f>
        <v>-17.7</v>
      </c>
      <c r="AL384" s="14">
        <f>ROUND(AVERAGE(AL280:AL310),1)</f>
        <v>-4</v>
      </c>
      <c r="AM384" s="14"/>
      <c r="AN384" s="21"/>
      <c r="AO384" s="14">
        <f>ROUND(AVERAGE(AO280:AO310),1)</f>
        <v>2</v>
      </c>
      <c r="AP384" s="21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9"/>
      <c r="BE384" s="19"/>
      <c r="BF384" s="19">
        <f>BF310</f>
        <v>10</v>
      </c>
      <c r="BH384" s="14"/>
      <c r="BI384" s="15"/>
      <c r="BJ384" s="15">
        <f>ROUND(AVERAGE(BJ280:BJ310),2)</f>
        <v>5.15</v>
      </c>
      <c r="BK384" s="15">
        <f>ROUND(AVERAGE(BK280:BK310),2)</f>
        <v>10.32</v>
      </c>
      <c r="BL384" s="23"/>
      <c r="BM384" s="3"/>
      <c r="BN384" s="23"/>
      <c r="BO384" s="14">
        <f>ROUND(AVERAGE(BO280:BO310),1)</f>
        <v>68.3</v>
      </c>
      <c r="BP384" s="15"/>
      <c r="BQ384" s="15">
        <f>ROUND(AVERAGE(BQ280:BQ310),2)</f>
        <v>0.25</v>
      </c>
      <c r="BR384" s="21">
        <f>ROUND(MIN(BO280:BO310),1)</f>
        <v>41.2</v>
      </c>
      <c r="BS384" s="14">
        <f>SUM(BS280:BS310)</f>
        <v>149.89999908208847</v>
      </c>
      <c r="BT384" s="14">
        <f>SUM(BT280:BT310)</f>
        <v>0</v>
      </c>
      <c r="BU384" s="22">
        <f>ROUND(MAX(BQ280:BQ310),2)</f>
        <v>0.52</v>
      </c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3"/>
      <c r="DE384" s="3"/>
      <c r="DF384" s="3"/>
      <c r="DG384" s="3"/>
      <c r="DH384" s="3"/>
      <c r="DI384" s="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</row>
    <row r="385" spans="1:124" x14ac:dyDescent="0.2">
      <c r="A385" s="3" t="s">
        <v>99</v>
      </c>
      <c r="C385" s="24">
        <f>ROUND(AVERAGE(C311:C340),2)</f>
        <v>2.98</v>
      </c>
      <c r="D385" s="24">
        <f>ROUND(AVERAGE(D311:D340),2)</f>
        <v>5.5</v>
      </c>
      <c r="E385" s="25">
        <f>ROUND(AVERAGE(E311:E340),1)</f>
        <v>-2.6</v>
      </c>
      <c r="F385" s="25">
        <f>ROUND(AVERAGE(F311:F340),1)</f>
        <v>94</v>
      </c>
      <c r="G385" s="25">
        <f t="shared" ref="G385:I385" si="308">ROUND(AVERAGE(G311:G340),1)</f>
        <v>-3.1</v>
      </c>
      <c r="H385" s="25">
        <f t="shared" si="308"/>
        <v>-3.3</v>
      </c>
      <c r="I385" s="25">
        <f t="shared" si="308"/>
        <v>-1.9</v>
      </c>
      <c r="J385" s="25"/>
      <c r="K385" s="25"/>
      <c r="L385" s="25">
        <f t="shared" ref="L385:N385" si="309">ROUND(AVERAGE(L311:L340),1)</f>
        <v>-0.3</v>
      </c>
      <c r="M385" s="25">
        <f t="shared" si="309"/>
        <v>0.5</v>
      </c>
      <c r="N385" s="25">
        <f t="shared" si="309"/>
        <v>1.6</v>
      </c>
      <c r="O385" s="25"/>
      <c r="P385" s="25">
        <f t="shared" ref="P385" si="310">ROUND(AVERAGE(P311:P340),1)</f>
        <v>2</v>
      </c>
      <c r="Q385" s="14">
        <f>SUM(Q311:Q340)</f>
        <v>0</v>
      </c>
      <c r="R385" s="25">
        <f>ROUND(AVERAGE(R311:R340),1)</f>
        <v>1.3</v>
      </c>
      <c r="S385" s="14">
        <f>ROUND(MAX(R311:R340),1)</f>
        <v>9.1</v>
      </c>
      <c r="T385" s="25"/>
      <c r="U385" s="14"/>
      <c r="V385" s="25">
        <f>ROUND(AVERAGE(V311:V340),1)</f>
        <v>1.2</v>
      </c>
      <c r="W385" s="14">
        <f>ROUND(MAX(V311:V340),1)</f>
        <v>7.6</v>
      </c>
      <c r="X385" s="25">
        <f>ROUND(AVERAGE(X311:X340),1)</f>
        <v>-0.4</v>
      </c>
      <c r="Y385" s="25"/>
      <c r="Z385" s="14"/>
      <c r="AA385" s="25">
        <f>ROUND(AVERAGE(AA311:AA340),1)</f>
        <v>-0.2</v>
      </c>
      <c r="AB385" s="14"/>
      <c r="AC385" s="25"/>
      <c r="AD385" s="25">
        <f>ROUND(AVERAGE(AD311:AD340),1)</f>
        <v>5.4</v>
      </c>
      <c r="AE385" s="14">
        <f>ROUND(MAX(AD311:AD340),1)</f>
        <v>11.6</v>
      </c>
      <c r="AF385" s="25">
        <f>ROUND(AVERAGE(AF311:AF340),1)</f>
        <v>-6.4</v>
      </c>
      <c r="AG385" s="14">
        <f>ROUND(MIN(AF311:AF340),1)</f>
        <v>-19.5</v>
      </c>
      <c r="AH385" s="25">
        <f>ROUND(AVERAGE(AH311:AH340),1)</f>
        <v>77.5</v>
      </c>
      <c r="AI385" s="14">
        <f>ROUND(MIN(AH311:AH340),1)</f>
        <v>12.7</v>
      </c>
      <c r="AJ385" s="25">
        <f>ROUND(AVERAGE(AJ311:AJ340),1)</f>
        <v>-7</v>
      </c>
      <c r="AK385" s="14">
        <f>ROUND(MIN(AJ311:AJ340),1)</f>
        <v>-20</v>
      </c>
      <c r="AL385" s="25">
        <f>ROUND(AVERAGE(AL311:AL340),1)</f>
        <v>-3.4</v>
      </c>
      <c r="AM385" s="25"/>
      <c r="AN385" s="14"/>
      <c r="AO385" s="25">
        <f>ROUND(AVERAGE(AO311:AO340),1)</f>
        <v>-0.4</v>
      </c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9"/>
      <c r="BE385" s="19"/>
      <c r="BF385" s="19">
        <f>BF340</f>
        <v>705</v>
      </c>
      <c r="BH385" s="14"/>
      <c r="BI385" s="24"/>
      <c r="BJ385" s="24">
        <f>ROUND(AVERAGE(BJ311:BJ340),2)</f>
        <v>2.98</v>
      </c>
      <c r="BK385" s="24">
        <f>ROUND(AVERAGE(BK311:BK340),2)</f>
        <v>5.94</v>
      </c>
      <c r="BL385" s="23"/>
      <c r="BM385" s="3"/>
      <c r="BN385" s="23"/>
      <c r="BO385" s="25">
        <f>ROUND(AVERAGE(BO311:BO340),1)</f>
        <v>72.599999999999994</v>
      </c>
      <c r="BP385" s="24"/>
      <c r="BQ385" s="24">
        <f>ROUND(AVERAGE(BQ311:BQ340),2)</f>
        <v>0.21</v>
      </c>
      <c r="BR385" s="14">
        <f>ROUND(MIN(BO311:BO340),1)</f>
        <v>12.8</v>
      </c>
      <c r="BS385" s="14">
        <f>SUM(BS311:BS340)</f>
        <v>108.6</v>
      </c>
      <c r="BT385" s="14">
        <f>SUM(BT311:BT340)</f>
        <v>155.20000000000002</v>
      </c>
      <c r="BU385" s="15">
        <f>ROUND(MAX(BQ311:BQ340),2)</f>
        <v>1.01</v>
      </c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23"/>
      <c r="DE385" s="3"/>
      <c r="DF385" s="3"/>
      <c r="DG385" s="3"/>
      <c r="DH385" s="3"/>
      <c r="DI385" s="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</row>
    <row r="386" spans="1:124" x14ac:dyDescent="0.2">
      <c r="A386" s="3" t="s">
        <v>100</v>
      </c>
      <c r="C386" s="15">
        <f>ROUND(AVERAGE(C341:C371),2)</f>
        <v>3.07</v>
      </c>
      <c r="D386" s="15">
        <f>ROUND(AVERAGE(D341:D371),2)</f>
        <v>5.73</v>
      </c>
      <c r="E386" s="14">
        <f>ROUND(AVERAGE(E341:E371),1)</f>
        <v>-9.3000000000000007</v>
      </c>
      <c r="F386" s="14">
        <f>ROUND(AVERAGE(F341:F371),1)</f>
        <v>83.4</v>
      </c>
      <c r="G386" s="14">
        <f t="shared" ref="G386:I386" si="311">ROUND(AVERAGE(G341:G371),1)</f>
        <v>-11.8</v>
      </c>
      <c r="H386" s="14">
        <f t="shared" si="311"/>
        <v>-12.1</v>
      </c>
      <c r="I386" s="14">
        <f t="shared" si="311"/>
        <v>-0.6</v>
      </c>
      <c r="J386" s="14"/>
      <c r="K386" s="14"/>
      <c r="L386" s="14">
        <f t="shared" ref="L386:N386" si="312">ROUND(AVERAGE(L341:L371),1)</f>
        <v>-0.2</v>
      </c>
      <c r="M386" s="14">
        <f t="shared" si="312"/>
        <v>0.3</v>
      </c>
      <c r="N386" s="14">
        <f t="shared" si="312"/>
        <v>1</v>
      </c>
      <c r="O386" s="14"/>
      <c r="P386" s="14">
        <f t="shared" ref="P386" si="313">ROUND(AVERAGE(P341:P371),1)</f>
        <v>2.6</v>
      </c>
      <c r="Q386" s="14">
        <f>SUM(Q341:Q371)</f>
        <v>0</v>
      </c>
      <c r="R386" s="14">
        <f>ROUND(AVERAGE(R341:R371),1)</f>
        <v>-3.1</v>
      </c>
      <c r="S386" s="14">
        <f>ROUND(MAX(R341:R371),1)</f>
        <v>3.9</v>
      </c>
      <c r="T386" s="14"/>
      <c r="U386" s="14"/>
      <c r="V386" s="14">
        <f>ROUND(AVERAGE(V341:V371),1)</f>
        <v>-5.8</v>
      </c>
      <c r="W386" s="14">
        <f>ROUND(MAX(V341:V371),1)</f>
        <v>-0.5</v>
      </c>
      <c r="X386" s="14">
        <f>ROUND(AVERAGE(X341:X371),1)</f>
        <v>-0.5</v>
      </c>
      <c r="Y386" s="14"/>
      <c r="Z386" s="14"/>
      <c r="AA386" s="14">
        <f>ROUND(AVERAGE(AA341:AA371),1)</f>
        <v>-0.1</v>
      </c>
      <c r="AB386" s="14"/>
      <c r="AC386" s="14"/>
      <c r="AD386" s="14">
        <f>ROUND(AVERAGE(AD341:AD371),1)</f>
        <v>6.8</v>
      </c>
      <c r="AE386" s="14">
        <f>ROUND(MAX(AD341:AD371),1)</f>
        <v>9.1999999999999993</v>
      </c>
      <c r="AF386" s="14">
        <f>ROUND(AVERAGE(AF341:AF371),1)</f>
        <v>-14.7</v>
      </c>
      <c r="AG386" s="14">
        <f>ROUND(MIN(AF341:AF371),1)</f>
        <v>-41.7</v>
      </c>
      <c r="AH386" s="14">
        <f>ROUND(AVERAGE(AH341:AH371),1)</f>
        <v>64.599999999999994</v>
      </c>
      <c r="AI386" s="14">
        <f>ROUND(MIN(AH341:AH371),1)</f>
        <v>52.4</v>
      </c>
      <c r="AJ386" s="14">
        <f>ROUND(AVERAGE(AJ341:AJ371),1)</f>
        <v>-18.5</v>
      </c>
      <c r="AK386" s="14">
        <f>ROUND(MIN(AJ341:AJ371),1)</f>
        <v>-34.4</v>
      </c>
      <c r="AL386" s="14">
        <f>ROUND(AVERAGE(AL341:AL371),1)</f>
        <v>-0.8</v>
      </c>
      <c r="AM386" s="14"/>
      <c r="AN386" s="14"/>
      <c r="AO386" s="14">
        <f>ROUND(AVERAGE(AO341:AO371),1)</f>
        <v>-0.3</v>
      </c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9"/>
      <c r="BE386" s="19"/>
      <c r="BF386" s="19">
        <f>BF371</f>
        <v>858</v>
      </c>
      <c r="BH386" s="14"/>
      <c r="BI386" s="15"/>
      <c r="BJ386" s="15">
        <f>ROUND(AVERAGE(BJ341:BJ371),2)</f>
        <v>3.07</v>
      </c>
      <c r="BK386" s="15">
        <f>ROUND(AVERAGE(BK341:BK371),2)</f>
        <v>6.19</v>
      </c>
      <c r="BL386" s="23"/>
      <c r="BM386" s="3"/>
      <c r="BN386" s="23"/>
      <c r="BO386" s="14">
        <f>ROUND(AVERAGE(BO341:BO371),1)</f>
        <v>60.7</v>
      </c>
      <c r="BP386" s="15"/>
      <c r="BQ386" s="15">
        <f>ROUND(AVERAGE(BQ341:BQ371),2)</f>
        <v>0.26</v>
      </c>
      <c r="BR386" s="14">
        <f>ROUND(MIN(BO341:BO371),1)</f>
        <v>49.4</v>
      </c>
      <c r="BS386" s="14">
        <f>SUM(BS341:BS371)</f>
        <v>73.5</v>
      </c>
      <c r="BT386" s="14">
        <f>SUM(BT341:BT371)</f>
        <v>67.2</v>
      </c>
      <c r="BU386" s="15">
        <f>ROUND(MAX(BQ341:BQ371),2)</f>
        <v>0.5</v>
      </c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23"/>
      <c r="DE386" s="3"/>
      <c r="DF386" s="3"/>
      <c r="DG386" s="3"/>
      <c r="DH386" s="3"/>
      <c r="DI386" s="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</row>
    <row r="387" spans="1:124" x14ac:dyDescent="0.2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19"/>
      <c r="BF387" s="3"/>
      <c r="BG387" s="3"/>
      <c r="BH387" s="3"/>
      <c r="BI387" s="3"/>
      <c r="BJ387" s="3"/>
      <c r="BK387" s="3"/>
      <c r="BL387" s="1"/>
      <c r="BM387" s="3"/>
      <c r="BP387" s="3"/>
      <c r="BQ387" s="3"/>
    </row>
    <row r="388" spans="1:124" x14ac:dyDescent="0.2">
      <c r="A388" s="19" t="s">
        <v>101</v>
      </c>
      <c r="C388" s="19">
        <f t="shared" ref="C388:I388" si="314">COUNT(C7:C37)</f>
        <v>31</v>
      </c>
      <c r="D388" s="19">
        <f t="shared" si="314"/>
        <v>31</v>
      </c>
      <c r="E388" s="19">
        <f t="shared" si="314"/>
        <v>31</v>
      </c>
      <c r="F388" s="19">
        <f t="shared" si="314"/>
        <v>31</v>
      </c>
      <c r="G388" s="19">
        <f t="shared" si="314"/>
        <v>31</v>
      </c>
      <c r="H388" s="19">
        <f t="shared" si="314"/>
        <v>31</v>
      </c>
      <c r="I388" s="19">
        <f t="shared" si="314"/>
        <v>31</v>
      </c>
      <c r="J388" s="19"/>
      <c r="K388" s="19"/>
      <c r="L388" s="19">
        <f>COUNT(L7:L37)</f>
        <v>31</v>
      </c>
      <c r="M388" s="19">
        <f>COUNT(M7:M37)</f>
        <v>31</v>
      </c>
      <c r="N388" s="19">
        <f>COUNT(N7:N37)</f>
        <v>31</v>
      </c>
      <c r="O388" s="19"/>
      <c r="P388" s="19">
        <f t="shared" ref="P388:X388" si="315">COUNT(P7:P37)</f>
        <v>31</v>
      </c>
      <c r="Q388" s="19">
        <f t="shared" si="315"/>
        <v>0</v>
      </c>
      <c r="R388" s="19">
        <f t="shared" si="315"/>
        <v>31</v>
      </c>
      <c r="S388" s="19">
        <f t="shared" si="315"/>
        <v>31</v>
      </c>
      <c r="T388" s="19">
        <f t="shared" si="315"/>
        <v>31</v>
      </c>
      <c r="U388" s="19">
        <f t="shared" si="315"/>
        <v>31</v>
      </c>
      <c r="V388" s="19">
        <f t="shared" si="315"/>
        <v>31</v>
      </c>
      <c r="W388" s="19">
        <f t="shared" si="315"/>
        <v>31</v>
      </c>
      <c r="X388" s="19">
        <f t="shared" si="315"/>
        <v>31</v>
      </c>
      <c r="Y388" s="19"/>
      <c r="Z388" s="19"/>
      <c r="AA388" s="19">
        <f>COUNT(AA7:AA37)</f>
        <v>31</v>
      </c>
      <c r="AB388" s="19"/>
      <c r="AC388" s="19"/>
      <c r="AD388" s="19">
        <f t="shared" ref="AD388:AL388" si="316">COUNT(AD7:AD37)</f>
        <v>31</v>
      </c>
      <c r="AE388" s="19">
        <f t="shared" si="316"/>
        <v>31</v>
      </c>
      <c r="AF388" s="19">
        <f t="shared" si="316"/>
        <v>31</v>
      </c>
      <c r="AG388" s="19">
        <f t="shared" si="316"/>
        <v>31</v>
      </c>
      <c r="AH388" s="19">
        <f t="shared" si="316"/>
        <v>31</v>
      </c>
      <c r="AI388" s="19">
        <f t="shared" si="316"/>
        <v>31</v>
      </c>
      <c r="AJ388" s="19">
        <f t="shared" si="316"/>
        <v>31</v>
      </c>
      <c r="AK388" s="19">
        <f t="shared" si="316"/>
        <v>31</v>
      </c>
      <c r="AL388" s="19">
        <f t="shared" si="316"/>
        <v>31</v>
      </c>
      <c r="AM388" s="19"/>
      <c r="AN388" s="19"/>
      <c r="AO388" s="19">
        <f>COUNT(AO7:AO37)</f>
        <v>31</v>
      </c>
      <c r="AP388" s="19">
        <f>COUNT(AP7:AP37)</f>
        <v>31</v>
      </c>
      <c r="AQ388" s="19">
        <f>COUNT(AQ7:AQ37)</f>
        <v>31</v>
      </c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>
        <f>COUNT(BF7:BF37)</f>
        <v>31</v>
      </c>
      <c r="BG388" s="19"/>
      <c r="BH388" s="19"/>
      <c r="BI388" s="19"/>
      <c r="BJ388" s="19">
        <f>COUNT(BJ7:BJ37)</f>
        <v>31</v>
      </c>
      <c r="BK388" s="19">
        <f>COUNT(BK7:BK37)</f>
        <v>31</v>
      </c>
      <c r="BL388" s="1"/>
      <c r="BM388" s="3"/>
      <c r="BO388" s="19">
        <f>COUNT(BO7:BO37)</f>
        <v>31</v>
      </c>
      <c r="BP388" s="19"/>
      <c r="BQ388" s="19">
        <f>COUNT(BQ7:BQ37)</f>
        <v>31</v>
      </c>
      <c r="BS388" s="19">
        <f>COUNT(BS7:BS37)</f>
        <v>4</v>
      </c>
      <c r="BT388" s="19">
        <f>COUNT(BT7:BT37)</f>
        <v>0</v>
      </c>
    </row>
    <row r="389" spans="1:124" x14ac:dyDescent="0.2">
      <c r="A389" s="19" t="s">
        <v>102</v>
      </c>
      <c r="C389" s="19">
        <f t="shared" ref="C389:I389" si="317">COUNT(C38:C65)</f>
        <v>28</v>
      </c>
      <c r="D389" s="19">
        <f t="shared" si="317"/>
        <v>28</v>
      </c>
      <c r="E389" s="19">
        <f t="shared" si="317"/>
        <v>28</v>
      </c>
      <c r="F389" s="19">
        <f t="shared" si="317"/>
        <v>28</v>
      </c>
      <c r="G389" s="19">
        <f t="shared" si="317"/>
        <v>28</v>
      </c>
      <c r="H389" s="19">
        <f t="shared" si="317"/>
        <v>28</v>
      </c>
      <c r="I389" s="19">
        <f t="shared" si="317"/>
        <v>28</v>
      </c>
      <c r="J389" s="19"/>
      <c r="K389" s="19"/>
      <c r="L389" s="19">
        <f>COUNT(L38:L65)</f>
        <v>28</v>
      </c>
      <c r="M389" s="19">
        <f>COUNT(M38:M65)</f>
        <v>28</v>
      </c>
      <c r="N389" s="19">
        <f>COUNT(N38:N65)</f>
        <v>28</v>
      </c>
      <c r="O389" s="19"/>
      <c r="P389" s="19">
        <f t="shared" ref="P389:X389" si="318">COUNT(P38:P65)</f>
        <v>28</v>
      </c>
      <c r="Q389" s="19">
        <f t="shared" si="318"/>
        <v>0</v>
      </c>
      <c r="R389" s="19">
        <f t="shared" si="318"/>
        <v>28</v>
      </c>
      <c r="S389" s="19">
        <f t="shared" si="318"/>
        <v>28</v>
      </c>
      <c r="T389" s="19">
        <f t="shared" si="318"/>
        <v>28</v>
      </c>
      <c r="U389" s="19">
        <f t="shared" si="318"/>
        <v>28</v>
      </c>
      <c r="V389" s="19">
        <f t="shared" si="318"/>
        <v>28</v>
      </c>
      <c r="W389" s="19">
        <f t="shared" si="318"/>
        <v>28</v>
      </c>
      <c r="X389" s="19">
        <f t="shared" si="318"/>
        <v>28</v>
      </c>
      <c r="Y389" s="19"/>
      <c r="Z389" s="19"/>
      <c r="AA389" s="19">
        <f>COUNT(AA38:AA65)</f>
        <v>28</v>
      </c>
      <c r="AB389" s="19"/>
      <c r="AC389" s="19"/>
      <c r="AD389" s="19">
        <f t="shared" ref="AD389:AL389" si="319">COUNT(AD38:AD65)</f>
        <v>28</v>
      </c>
      <c r="AE389" s="19">
        <f t="shared" si="319"/>
        <v>28</v>
      </c>
      <c r="AF389" s="19">
        <f t="shared" si="319"/>
        <v>28</v>
      </c>
      <c r="AG389" s="19">
        <f t="shared" si="319"/>
        <v>28</v>
      </c>
      <c r="AH389" s="19">
        <f t="shared" si="319"/>
        <v>28</v>
      </c>
      <c r="AI389" s="19">
        <f t="shared" si="319"/>
        <v>28</v>
      </c>
      <c r="AJ389" s="19">
        <f t="shared" si="319"/>
        <v>28</v>
      </c>
      <c r="AK389" s="19">
        <f t="shared" si="319"/>
        <v>28</v>
      </c>
      <c r="AL389" s="19">
        <f t="shared" si="319"/>
        <v>28</v>
      </c>
      <c r="AM389" s="19"/>
      <c r="AN389" s="19"/>
      <c r="AO389" s="19">
        <f>COUNT(AO38:AO65)</f>
        <v>28</v>
      </c>
      <c r="AP389" s="19">
        <f>COUNT(AP38:AP65)</f>
        <v>28</v>
      </c>
      <c r="AQ389" s="19">
        <f>COUNT(AQ38:AQ65)</f>
        <v>28</v>
      </c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>
        <f>COUNT(BF38:BF65)</f>
        <v>28</v>
      </c>
      <c r="BG389" s="19"/>
      <c r="BH389" s="19"/>
      <c r="BI389" s="19"/>
      <c r="BJ389" s="19">
        <f>COUNT(BJ38:BJ65)</f>
        <v>28</v>
      </c>
      <c r="BK389" s="19">
        <f>COUNT(BK38:BK65)</f>
        <v>28</v>
      </c>
      <c r="BL389" s="1"/>
      <c r="BM389" s="3"/>
      <c r="BO389" s="19">
        <f>COUNT(BO38:BO65)</f>
        <v>28</v>
      </c>
      <c r="BP389" s="19"/>
      <c r="BQ389" s="19">
        <f>COUNT(BQ38:BQ65)</f>
        <v>28</v>
      </c>
      <c r="BS389" s="19">
        <f>COUNT(BS38:BS65)</f>
        <v>28</v>
      </c>
      <c r="BT389" s="19">
        <f>COUNT(BT38:BT65)</f>
        <v>0</v>
      </c>
    </row>
    <row r="390" spans="1:124" x14ac:dyDescent="0.2">
      <c r="A390" s="19" t="s">
        <v>103</v>
      </c>
      <c r="C390" s="19">
        <f>COUNT(C66:C96)</f>
        <v>31</v>
      </c>
      <c r="D390" s="19">
        <f>COUNT(D66:D96)</f>
        <v>31</v>
      </c>
      <c r="E390" s="19">
        <f>COUNT(E66:E96)</f>
        <v>31</v>
      </c>
      <c r="F390" s="19">
        <f>COUNT(F66:F96)</f>
        <v>31</v>
      </c>
      <c r="G390" s="19">
        <f t="shared" ref="G390:AQ390" si="320">COUNT(G66:G96)</f>
        <v>31</v>
      </c>
      <c r="H390" s="19">
        <f t="shared" si="320"/>
        <v>31</v>
      </c>
      <c r="I390" s="19">
        <f t="shared" si="320"/>
        <v>31</v>
      </c>
      <c r="J390" s="19"/>
      <c r="K390" s="19"/>
      <c r="L390" s="19">
        <f t="shared" si="320"/>
        <v>31</v>
      </c>
      <c r="M390" s="19">
        <f t="shared" si="320"/>
        <v>31</v>
      </c>
      <c r="N390" s="19">
        <f t="shared" si="320"/>
        <v>31</v>
      </c>
      <c r="O390" s="19"/>
      <c r="P390" s="19">
        <f t="shared" ref="P390" si="321">COUNT(P66:P96)</f>
        <v>31</v>
      </c>
      <c r="Q390" s="19">
        <f t="shared" si="320"/>
        <v>0</v>
      </c>
      <c r="R390" s="19">
        <f t="shared" si="320"/>
        <v>31</v>
      </c>
      <c r="S390" s="19">
        <f t="shared" si="320"/>
        <v>31</v>
      </c>
      <c r="T390" s="19">
        <f t="shared" si="320"/>
        <v>31</v>
      </c>
      <c r="U390" s="19">
        <f t="shared" si="320"/>
        <v>31</v>
      </c>
      <c r="V390" s="19">
        <f t="shared" si="320"/>
        <v>31</v>
      </c>
      <c r="W390" s="19">
        <f t="shared" si="320"/>
        <v>31</v>
      </c>
      <c r="X390" s="19">
        <f t="shared" si="320"/>
        <v>31</v>
      </c>
      <c r="Y390" s="19"/>
      <c r="Z390" s="19"/>
      <c r="AA390" s="19">
        <f t="shared" si="320"/>
        <v>31</v>
      </c>
      <c r="AB390" s="19"/>
      <c r="AC390" s="19"/>
      <c r="AD390" s="19">
        <f t="shared" si="320"/>
        <v>31</v>
      </c>
      <c r="AE390" s="19">
        <f t="shared" si="320"/>
        <v>31</v>
      </c>
      <c r="AF390" s="19">
        <f t="shared" si="320"/>
        <v>31</v>
      </c>
      <c r="AG390" s="19">
        <f t="shared" si="320"/>
        <v>31</v>
      </c>
      <c r="AH390" s="19">
        <f t="shared" si="320"/>
        <v>31</v>
      </c>
      <c r="AI390" s="19">
        <f t="shared" si="320"/>
        <v>31</v>
      </c>
      <c r="AJ390" s="19">
        <f t="shared" si="320"/>
        <v>31</v>
      </c>
      <c r="AK390" s="19">
        <f t="shared" si="320"/>
        <v>31</v>
      </c>
      <c r="AL390" s="19">
        <f t="shared" si="320"/>
        <v>31</v>
      </c>
      <c r="AM390" s="19"/>
      <c r="AN390" s="19"/>
      <c r="AO390" s="19">
        <f t="shared" si="320"/>
        <v>31</v>
      </c>
      <c r="AP390" s="19">
        <f t="shared" si="320"/>
        <v>31</v>
      </c>
      <c r="AQ390" s="19">
        <f t="shared" si="320"/>
        <v>31</v>
      </c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>
        <f t="shared" ref="BF390" si="322">COUNT(BF66:BF96)</f>
        <v>31</v>
      </c>
      <c r="BG390" s="19"/>
      <c r="BH390" s="19"/>
      <c r="BI390" s="19"/>
      <c r="BJ390" s="19">
        <f t="shared" ref="BJ390:BK390" si="323">COUNT(BJ66:BJ96)</f>
        <v>31</v>
      </c>
      <c r="BK390" s="19">
        <f t="shared" si="323"/>
        <v>31</v>
      </c>
      <c r="BL390" s="1"/>
      <c r="BM390" s="3"/>
      <c r="BO390" s="19">
        <f t="shared" ref="BO390:BS390" si="324">COUNT(BO66:BO96)</f>
        <v>31</v>
      </c>
      <c r="BP390" s="19"/>
      <c r="BQ390" s="19">
        <f t="shared" ref="BQ390" si="325">COUNT(BQ66:BQ96)</f>
        <v>31</v>
      </c>
      <c r="BS390" s="19">
        <f t="shared" si="324"/>
        <v>24</v>
      </c>
      <c r="BT390" s="19">
        <f t="shared" ref="BT390" si="326">COUNT(BT66:BT96)</f>
        <v>0</v>
      </c>
    </row>
    <row r="391" spans="1:124" x14ac:dyDescent="0.2">
      <c r="A391" s="19" t="s">
        <v>92</v>
      </c>
      <c r="C391" s="19">
        <f>COUNT(C97:C126)</f>
        <v>30</v>
      </c>
      <c r="D391" s="19">
        <f>COUNT(D97:D126)</f>
        <v>30</v>
      </c>
      <c r="E391" s="19">
        <f>COUNT(E97:E126)</f>
        <v>30</v>
      </c>
      <c r="F391" s="19">
        <f>COUNT(F97:F126)</f>
        <v>30</v>
      </c>
      <c r="G391" s="19">
        <f t="shared" ref="G391:AQ391" si="327">COUNT(G97:G126)</f>
        <v>30</v>
      </c>
      <c r="H391" s="19">
        <f t="shared" si="327"/>
        <v>30</v>
      </c>
      <c r="I391" s="19">
        <f t="shared" si="327"/>
        <v>30</v>
      </c>
      <c r="J391" s="19"/>
      <c r="K391" s="19"/>
      <c r="L391" s="19">
        <f t="shared" si="327"/>
        <v>30</v>
      </c>
      <c r="M391" s="19">
        <f t="shared" si="327"/>
        <v>30</v>
      </c>
      <c r="N391" s="19">
        <f t="shared" si="327"/>
        <v>30</v>
      </c>
      <c r="O391" s="19"/>
      <c r="P391" s="19">
        <f t="shared" ref="P391" si="328">COUNT(P97:P126)</f>
        <v>30</v>
      </c>
      <c r="Q391" s="19">
        <f t="shared" si="327"/>
        <v>0</v>
      </c>
      <c r="R391" s="19">
        <f t="shared" si="327"/>
        <v>30</v>
      </c>
      <c r="S391" s="19">
        <f t="shared" si="327"/>
        <v>30</v>
      </c>
      <c r="T391" s="19">
        <f t="shared" si="327"/>
        <v>30</v>
      </c>
      <c r="U391" s="19">
        <f t="shared" si="327"/>
        <v>30</v>
      </c>
      <c r="V391" s="19">
        <f t="shared" si="327"/>
        <v>30</v>
      </c>
      <c r="W391" s="19">
        <f t="shared" si="327"/>
        <v>30</v>
      </c>
      <c r="X391" s="19">
        <f t="shared" si="327"/>
        <v>30</v>
      </c>
      <c r="Y391" s="19"/>
      <c r="Z391" s="19"/>
      <c r="AA391" s="19">
        <f t="shared" si="327"/>
        <v>30</v>
      </c>
      <c r="AB391" s="19"/>
      <c r="AC391" s="19"/>
      <c r="AD391" s="19">
        <f t="shared" si="327"/>
        <v>30</v>
      </c>
      <c r="AE391" s="19">
        <f t="shared" si="327"/>
        <v>30</v>
      </c>
      <c r="AF391" s="19">
        <f t="shared" si="327"/>
        <v>30</v>
      </c>
      <c r="AG391" s="19">
        <f t="shared" si="327"/>
        <v>30</v>
      </c>
      <c r="AH391" s="19">
        <f t="shared" si="327"/>
        <v>30</v>
      </c>
      <c r="AI391" s="19">
        <f t="shared" si="327"/>
        <v>30</v>
      </c>
      <c r="AJ391" s="19">
        <f t="shared" si="327"/>
        <v>30</v>
      </c>
      <c r="AK391" s="19">
        <f t="shared" si="327"/>
        <v>30</v>
      </c>
      <c r="AL391" s="19">
        <f t="shared" si="327"/>
        <v>30</v>
      </c>
      <c r="AM391" s="19"/>
      <c r="AN391" s="19"/>
      <c r="AO391" s="19">
        <f t="shared" si="327"/>
        <v>30</v>
      </c>
      <c r="AP391" s="19">
        <f t="shared" si="327"/>
        <v>30</v>
      </c>
      <c r="AQ391" s="19">
        <f t="shared" si="327"/>
        <v>30</v>
      </c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>
        <f t="shared" ref="BF391" si="329">COUNT(BF97:BF126)</f>
        <v>30</v>
      </c>
      <c r="BG391" s="19"/>
      <c r="BH391" s="19"/>
      <c r="BI391" s="19"/>
      <c r="BJ391" s="19">
        <f t="shared" ref="BJ391:BK391" si="330">COUNT(BJ97:BJ126)</f>
        <v>30</v>
      </c>
      <c r="BK391" s="19">
        <f t="shared" si="330"/>
        <v>30</v>
      </c>
      <c r="BL391" s="1"/>
      <c r="BM391" s="3"/>
      <c r="BO391" s="19">
        <f t="shared" ref="BO391:BS391" si="331">COUNT(BO97:BO126)</f>
        <v>30</v>
      </c>
      <c r="BP391" s="19"/>
      <c r="BQ391" s="19">
        <f t="shared" ref="BQ391" si="332">COUNT(BQ97:BQ126)</f>
        <v>30</v>
      </c>
      <c r="BS391" s="19">
        <f t="shared" si="331"/>
        <v>30</v>
      </c>
      <c r="BT391" s="19">
        <f t="shared" ref="BT391" si="333">COUNT(BT97:BT126)</f>
        <v>5</v>
      </c>
    </row>
    <row r="392" spans="1:124" x14ac:dyDescent="0.2">
      <c r="A392" s="19" t="s">
        <v>93</v>
      </c>
      <c r="C392" s="19">
        <f>COUNT(C127:C157)</f>
        <v>31</v>
      </c>
      <c r="D392" s="19">
        <f>COUNT(D127:D157)</f>
        <v>31</v>
      </c>
      <c r="E392" s="19">
        <f>COUNT(E127:E157)</f>
        <v>31</v>
      </c>
      <c r="F392" s="19">
        <f>COUNT(F127:F157)</f>
        <v>31</v>
      </c>
      <c r="G392" s="19">
        <f t="shared" ref="G392:AQ392" si="334">COUNT(G127:G157)</f>
        <v>31</v>
      </c>
      <c r="H392" s="19">
        <f t="shared" si="334"/>
        <v>31</v>
      </c>
      <c r="I392" s="19">
        <f t="shared" si="334"/>
        <v>31</v>
      </c>
      <c r="J392" s="19"/>
      <c r="K392" s="19"/>
      <c r="L392" s="19">
        <f t="shared" si="334"/>
        <v>31</v>
      </c>
      <c r="M392" s="19">
        <f t="shared" si="334"/>
        <v>31</v>
      </c>
      <c r="N392" s="19">
        <f t="shared" si="334"/>
        <v>31</v>
      </c>
      <c r="O392" s="19"/>
      <c r="P392" s="19">
        <f t="shared" ref="P392" si="335">COUNT(P127:P157)</f>
        <v>31</v>
      </c>
      <c r="Q392" s="19">
        <f t="shared" si="334"/>
        <v>13</v>
      </c>
      <c r="R392" s="19">
        <f t="shared" si="334"/>
        <v>31</v>
      </c>
      <c r="S392" s="19">
        <f t="shared" si="334"/>
        <v>31</v>
      </c>
      <c r="T392" s="19">
        <f t="shared" si="334"/>
        <v>31</v>
      </c>
      <c r="U392" s="19">
        <f t="shared" si="334"/>
        <v>31</v>
      </c>
      <c r="V392" s="19">
        <f t="shared" si="334"/>
        <v>31</v>
      </c>
      <c r="W392" s="19">
        <f t="shared" si="334"/>
        <v>31</v>
      </c>
      <c r="X392" s="19">
        <f t="shared" si="334"/>
        <v>31</v>
      </c>
      <c r="Y392" s="19"/>
      <c r="Z392" s="19"/>
      <c r="AA392" s="19">
        <f t="shared" si="334"/>
        <v>31</v>
      </c>
      <c r="AB392" s="19"/>
      <c r="AC392" s="19"/>
      <c r="AD392" s="19">
        <f t="shared" si="334"/>
        <v>31</v>
      </c>
      <c r="AE392" s="19">
        <f t="shared" si="334"/>
        <v>31</v>
      </c>
      <c r="AF392" s="19">
        <f t="shared" si="334"/>
        <v>31</v>
      </c>
      <c r="AG392" s="19">
        <f t="shared" si="334"/>
        <v>31</v>
      </c>
      <c r="AH392" s="19">
        <f t="shared" si="334"/>
        <v>31</v>
      </c>
      <c r="AI392" s="19">
        <f t="shared" si="334"/>
        <v>31</v>
      </c>
      <c r="AJ392" s="19">
        <f t="shared" si="334"/>
        <v>31</v>
      </c>
      <c r="AK392" s="19">
        <f t="shared" si="334"/>
        <v>31</v>
      </c>
      <c r="AL392" s="19">
        <f t="shared" si="334"/>
        <v>31</v>
      </c>
      <c r="AM392" s="19"/>
      <c r="AN392" s="19"/>
      <c r="AO392" s="19">
        <f t="shared" si="334"/>
        <v>31</v>
      </c>
      <c r="AP392" s="19">
        <f t="shared" si="334"/>
        <v>31</v>
      </c>
      <c r="AQ392" s="19">
        <f t="shared" si="334"/>
        <v>31</v>
      </c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>
        <f t="shared" ref="BF392" si="336">COUNT(BF127:BF157)</f>
        <v>31</v>
      </c>
      <c r="BG392" s="19"/>
      <c r="BH392" s="19"/>
      <c r="BI392" s="19"/>
      <c r="BJ392" s="19">
        <f t="shared" ref="BJ392:BK392" si="337">COUNT(BJ127:BJ157)</f>
        <v>31</v>
      </c>
      <c r="BK392" s="19">
        <f t="shared" si="337"/>
        <v>31</v>
      </c>
      <c r="BL392" s="1"/>
      <c r="BM392" s="3"/>
      <c r="BO392" s="19">
        <f t="shared" ref="BO392:BS392" si="338">COUNT(BO127:BO157)</f>
        <v>31</v>
      </c>
      <c r="BP392" s="19"/>
      <c r="BQ392" s="19">
        <f t="shared" ref="BQ392" si="339">COUNT(BQ127:BQ157)</f>
        <v>31</v>
      </c>
      <c r="BS392" s="19">
        <f t="shared" si="338"/>
        <v>31</v>
      </c>
      <c r="BT392" s="19">
        <f t="shared" ref="BT392" si="340">COUNT(BT127:BT157)</f>
        <v>27</v>
      </c>
    </row>
    <row r="393" spans="1:124" x14ac:dyDescent="0.2">
      <c r="A393" s="19" t="s">
        <v>94</v>
      </c>
      <c r="C393" s="19">
        <f>COUNT(C158:C187)</f>
        <v>30</v>
      </c>
      <c r="D393" s="19">
        <f>COUNT(D158:D187)</f>
        <v>30</v>
      </c>
      <c r="E393" s="19">
        <f>COUNT(E158:E187)</f>
        <v>30</v>
      </c>
      <c r="F393" s="19">
        <f>COUNT(F158:F187)</f>
        <v>30</v>
      </c>
      <c r="G393" s="19">
        <f t="shared" ref="G393:AQ393" si="341">COUNT(G158:G187)</f>
        <v>30</v>
      </c>
      <c r="H393" s="19">
        <f t="shared" si="341"/>
        <v>30</v>
      </c>
      <c r="I393" s="19">
        <f t="shared" si="341"/>
        <v>30</v>
      </c>
      <c r="J393" s="19"/>
      <c r="K393" s="19"/>
      <c r="L393" s="19">
        <f t="shared" si="341"/>
        <v>30</v>
      </c>
      <c r="M393" s="19">
        <f t="shared" si="341"/>
        <v>30</v>
      </c>
      <c r="N393" s="19">
        <f t="shared" si="341"/>
        <v>30</v>
      </c>
      <c r="O393" s="19"/>
      <c r="P393" s="19">
        <f t="shared" ref="P393" si="342">COUNT(P158:P187)</f>
        <v>30</v>
      </c>
      <c r="Q393" s="19">
        <f t="shared" si="341"/>
        <v>30</v>
      </c>
      <c r="R393" s="19">
        <f t="shared" si="341"/>
        <v>30</v>
      </c>
      <c r="S393" s="19">
        <f t="shared" si="341"/>
        <v>30</v>
      </c>
      <c r="T393" s="19">
        <f t="shared" si="341"/>
        <v>30</v>
      </c>
      <c r="U393" s="19">
        <f t="shared" si="341"/>
        <v>30</v>
      </c>
      <c r="V393" s="19">
        <f t="shared" si="341"/>
        <v>30</v>
      </c>
      <c r="W393" s="19">
        <f t="shared" si="341"/>
        <v>30</v>
      </c>
      <c r="X393" s="19">
        <f t="shared" si="341"/>
        <v>30</v>
      </c>
      <c r="Y393" s="19"/>
      <c r="Z393" s="19"/>
      <c r="AA393" s="19">
        <f t="shared" si="341"/>
        <v>30</v>
      </c>
      <c r="AB393" s="19"/>
      <c r="AC393" s="19"/>
      <c r="AD393" s="19">
        <f t="shared" si="341"/>
        <v>30</v>
      </c>
      <c r="AE393" s="19">
        <f t="shared" si="341"/>
        <v>30</v>
      </c>
      <c r="AF393" s="19">
        <f t="shared" si="341"/>
        <v>30</v>
      </c>
      <c r="AG393" s="19">
        <f t="shared" si="341"/>
        <v>30</v>
      </c>
      <c r="AH393" s="19">
        <f t="shared" si="341"/>
        <v>30</v>
      </c>
      <c r="AI393" s="19">
        <f t="shared" si="341"/>
        <v>30</v>
      </c>
      <c r="AJ393" s="19">
        <f t="shared" si="341"/>
        <v>30</v>
      </c>
      <c r="AK393" s="19">
        <f t="shared" si="341"/>
        <v>30</v>
      </c>
      <c r="AL393" s="19">
        <f t="shared" si="341"/>
        <v>30</v>
      </c>
      <c r="AM393" s="19"/>
      <c r="AN393" s="19"/>
      <c r="AO393" s="19">
        <f t="shared" si="341"/>
        <v>30</v>
      </c>
      <c r="AP393" s="19">
        <f t="shared" si="341"/>
        <v>30</v>
      </c>
      <c r="AQ393" s="19">
        <f t="shared" si="341"/>
        <v>30</v>
      </c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>
        <f t="shared" ref="BF393" si="343">COUNT(BF158:BF187)</f>
        <v>30</v>
      </c>
      <c r="BG393" s="19"/>
      <c r="BH393" s="19"/>
      <c r="BI393" s="19"/>
      <c r="BJ393" s="19">
        <f t="shared" ref="BJ393:BK393" si="344">COUNT(BJ158:BJ187)</f>
        <v>30</v>
      </c>
      <c r="BK393" s="19">
        <f t="shared" si="344"/>
        <v>30</v>
      </c>
      <c r="BL393" s="1"/>
      <c r="BM393" s="3"/>
      <c r="BO393" s="19">
        <f t="shared" ref="BO393:BS393" si="345">COUNT(BO158:BO187)</f>
        <v>30</v>
      </c>
      <c r="BP393" s="19"/>
      <c r="BQ393" s="19">
        <f t="shared" ref="BQ393" si="346">COUNT(BQ158:BQ187)</f>
        <v>30</v>
      </c>
      <c r="BS393" s="19">
        <f t="shared" si="345"/>
        <v>30</v>
      </c>
      <c r="BT393" s="19">
        <f t="shared" ref="BT393" si="347">COUNT(BT158:BT187)</f>
        <v>0</v>
      </c>
    </row>
    <row r="394" spans="1:124" x14ac:dyDescent="0.2">
      <c r="A394" s="19" t="s">
        <v>95</v>
      </c>
      <c r="C394" s="19">
        <f>COUNT(C188:C218)</f>
        <v>31</v>
      </c>
      <c r="D394" s="19">
        <f>COUNT(D188:D218)</f>
        <v>31</v>
      </c>
      <c r="E394" s="19">
        <f>COUNT(E188:E218)</f>
        <v>31</v>
      </c>
      <c r="F394" s="19">
        <f>COUNT(F188:F218)</f>
        <v>31</v>
      </c>
      <c r="G394" s="19">
        <f t="shared" ref="G394:AQ394" si="348">COUNT(G188:G218)</f>
        <v>31</v>
      </c>
      <c r="H394" s="19">
        <f t="shared" si="348"/>
        <v>31</v>
      </c>
      <c r="I394" s="19">
        <f t="shared" si="348"/>
        <v>31</v>
      </c>
      <c r="J394" s="19"/>
      <c r="K394" s="19"/>
      <c r="L394" s="19">
        <f t="shared" si="348"/>
        <v>31</v>
      </c>
      <c r="M394" s="19">
        <f t="shared" si="348"/>
        <v>31</v>
      </c>
      <c r="N394" s="19">
        <f t="shared" si="348"/>
        <v>31</v>
      </c>
      <c r="O394" s="19"/>
      <c r="P394" s="19">
        <f t="shared" ref="P394" si="349">COUNT(P188:P218)</f>
        <v>31</v>
      </c>
      <c r="Q394" s="19">
        <f t="shared" si="348"/>
        <v>31</v>
      </c>
      <c r="R394" s="19">
        <f t="shared" si="348"/>
        <v>31</v>
      </c>
      <c r="S394" s="19">
        <f t="shared" si="348"/>
        <v>31</v>
      </c>
      <c r="T394" s="19">
        <f t="shared" si="348"/>
        <v>31</v>
      </c>
      <c r="U394" s="19">
        <f t="shared" si="348"/>
        <v>31</v>
      </c>
      <c r="V394" s="19">
        <f t="shared" si="348"/>
        <v>31</v>
      </c>
      <c r="W394" s="19">
        <f t="shared" si="348"/>
        <v>31</v>
      </c>
      <c r="X394" s="19">
        <f t="shared" si="348"/>
        <v>31</v>
      </c>
      <c r="Y394" s="19"/>
      <c r="Z394" s="19"/>
      <c r="AA394" s="19">
        <f t="shared" si="348"/>
        <v>31</v>
      </c>
      <c r="AB394" s="19"/>
      <c r="AC394" s="19"/>
      <c r="AD394" s="19">
        <f t="shared" si="348"/>
        <v>31</v>
      </c>
      <c r="AE394" s="19">
        <f t="shared" si="348"/>
        <v>31</v>
      </c>
      <c r="AF394" s="19">
        <f t="shared" si="348"/>
        <v>31</v>
      </c>
      <c r="AG394" s="19">
        <f t="shared" si="348"/>
        <v>31</v>
      </c>
      <c r="AH394" s="19">
        <f t="shared" si="348"/>
        <v>31</v>
      </c>
      <c r="AI394" s="19">
        <f t="shared" si="348"/>
        <v>31</v>
      </c>
      <c r="AJ394" s="19">
        <f t="shared" si="348"/>
        <v>31</v>
      </c>
      <c r="AK394" s="19">
        <f t="shared" si="348"/>
        <v>31</v>
      </c>
      <c r="AL394" s="19">
        <f t="shared" si="348"/>
        <v>31</v>
      </c>
      <c r="AM394" s="19"/>
      <c r="AN394" s="19"/>
      <c r="AO394" s="19">
        <f t="shared" si="348"/>
        <v>31</v>
      </c>
      <c r="AP394" s="19">
        <f t="shared" si="348"/>
        <v>31</v>
      </c>
      <c r="AQ394" s="19">
        <f t="shared" si="348"/>
        <v>31</v>
      </c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>
        <f t="shared" ref="BF394" si="350">COUNT(BF188:BF218)</f>
        <v>31</v>
      </c>
      <c r="BG394" s="19"/>
      <c r="BH394" s="19"/>
      <c r="BI394" s="19"/>
      <c r="BJ394" s="19">
        <f t="shared" ref="BJ394:BK394" si="351">COUNT(BJ188:BJ218)</f>
        <v>31</v>
      </c>
      <c r="BK394" s="19">
        <f t="shared" si="351"/>
        <v>31</v>
      </c>
      <c r="BL394" s="1"/>
      <c r="BM394" s="3"/>
      <c r="BO394" s="19">
        <f t="shared" ref="BO394:BS394" si="352">COUNT(BO188:BO218)</f>
        <v>31</v>
      </c>
      <c r="BP394" s="19"/>
      <c r="BQ394" s="19">
        <f t="shared" ref="BQ394" si="353">COUNT(BQ188:BQ218)</f>
        <v>31</v>
      </c>
      <c r="BS394" s="19">
        <f t="shared" si="352"/>
        <v>31</v>
      </c>
      <c r="BT394" s="19">
        <f t="shared" ref="BT394" si="354">COUNT(BT188:BT218)</f>
        <v>0</v>
      </c>
    </row>
    <row r="395" spans="1:124" x14ac:dyDescent="0.2">
      <c r="A395" s="19" t="s">
        <v>96</v>
      </c>
      <c r="C395" s="19">
        <f>COUNT(C219:C249)</f>
        <v>31</v>
      </c>
      <c r="D395" s="19">
        <f>COUNT(D219:D249)</f>
        <v>31</v>
      </c>
      <c r="E395" s="19">
        <f>COUNT(E219:E249)</f>
        <v>31</v>
      </c>
      <c r="F395" s="19">
        <f>COUNT(F219:F249)</f>
        <v>31</v>
      </c>
      <c r="G395" s="19">
        <f t="shared" ref="G395:AQ395" si="355">COUNT(G219:G249)</f>
        <v>31</v>
      </c>
      <c r="H395" s="19">
        <f t="shared" si="355"/>
        <v>31</v>
      </c>
      <c r="I395" s="19">
        <f t="shared" si="355"/>
        <v>31</v>
      </c>
      <c r="J395" s="19"/>
      <c r="K395" s="19"/>
      <c r="L395" s="19">
        <f t="shared" si="355"/>
        <v>31</v>
      </c>
      <c r="M395" s="19">
        <f t="shared" si="355"/>
        <v>31</v>
      </c>
      <c r="N395" s="19">
        <f t="shared" si="355"/>
        <v>31</v>
      </c>
      <c r="O395" s="19"/>
      <c r="P395" s="19">
        <f t="shared" ref="P395" si="356">COUNT(P219:P249)</f>
        <v>31</v>
      </c>
      <c r="Q395" s="19">
        <f t="shared" si="355"/>
        <v>31</v>
      </c>
      <c r="R395" s="19">
        <f t="shared" si="355"/>
        <v>31</v>
      </c>
      <c r="S395" s="19">
        <f t="shared" si="355"/>
        <v>31</v>
      </c>
      <c r="T395" s="19">
        <f t="shared" si="355"/>
        <v>31</v>
      </c>
      <c r="U395" s="19">
        <f t="shared" si="355"/>
        <v>31</v>
      </c>
      <c r="V395" s="19">
        <f t="shared" si="355"/>
        <v>31</v>
      </c>
      <c r="W395" s="19">
        <f t="shared" si="355"/>
        <v>31</v>
      </c>
      <c r="X395" s="19">
        <f t="shared" si="355"/>
        <v>31</v>
      </c>
      <c r="Y395" s="19"/>
      <c r="Z395" s="19"/>
      <c r="AA395" s="19">
        <f t="shared" si="355"/>
        <v>31</v>
      </c>
      <c r="AB395" s="19"/>
      <c r="AC395" s="19"/>
      <c r="AD395" s="19">
        <f t="shared" si="355"/>
        <v>31</v>
      </c>
      <c r="AE395" s="19">
        <f t="shared" si="355"/>
        <v>31</v>
      </c>
      <c r="AF395" s="19">
        <f t="shared" si="355"/>
        <v>31</v>
      </c>
      <c r="AG395" s="19">
        <f t="shared" si="355"/>
        <v>31</v>
      </c>
      <c r="AH395" s="19">
        <f t="shared" si="355"/>
        <v>31</v>
      </c>
      <c r="AI395" s="19">
        <f t="shared" si="355"/>
        <v>31</v>
      </c>
      <c r="AJ395" s="19">
        <f t="shared" si="355"/>
        <v>31</v>
      </c>
      <c r="AK395" s="19">
        <f t="shared" si="355"/>
        <v>31</v>
      </c>
      <c r="AL395" s="19">
        <f t="shared" si="355"/>
        <v>31</v>
      </c>
      <c r="AM395" s="19"/>
      <c r="AN395" s="19"/>
      <c r="AO395" s="19">
        <f t="shared" si="355"/>
        <v>31</v>
      </c>
      <c r="AP395" s="19">
        <f t="shared" si="355"/>
        <v>31</v>
      </c>
      <c r="AQ395" s="19">
        <f t="shared" si="355"/>
        <v>31</v>
      </c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>
        <f t="shared" ref="BF395" si="357">COUNT(BF219:BF249)</f>
        <v>31</v>
      </c>
      <c r="BG395" s="19"/>
      <c r="BH395" s="19"/>
      <c r="BI395" s="19"/>
      <c r="BJ395" s="19">
        <f t="shared" ref="BJ395:BK395" si="358">COUNT(BJ219:BJ249)</f>
        <v>31</v>
      </c>
      <c r="BK395" s="19">
        <f t="shared" si="358"/>
        <v>31</v>
      </c>
      <c r="BL395" s="1"/>
      <c r="BM395" s="3"/>
      <c r="BO395" s="19">
        <f t="shared" ref="BO395:BS395" si="359">COUNT(BO219:BO249)</f>
        <v>31</v>
      </c>
      <c r="BP395" s="19"/>
      <c r="BQ395" s="19">
        <f t="shared" ref="BQ395" si="360">COUNT(BQ219:BQ249)</f>
        <v>31</v>
      </c>
      <c r="BS395" s="19">
        <f t="shared" si="359"/>
        <v>31</v>
      </c>
      <c r="BT395" s="19">
        <f t="shared" ref="BT395" si="361">COUNT(BT219:BT249)</f>
        <v>0</v>
      </c>
    </row>
    <row r="396" spans="1:124" x14ac:dyDescent="0.2">
      <c r="A396" s="19" t="s">
        <v>97</v>
      </c>
      <c r="C396" s="19">
        <f>COUNT(C250:C279)</f>
        <v>30</v>
      </c>
      <c r="D396" s="19">
        <f>COUNT(D250:D279)</f>
        <v>30</v>
      </c>
      <c r="E396" s="19">
        <f>COUNT(E250:E279)</f>
        <v>30</v>
      </c>
      <c r="F396" s="19">
        <f>COUNT(F250:F279)</f>
        <v>30</v>
      </c>
      <c r="G396" s="19">
        <f t="shared" ref="G396:AQ396" si="362">COUNT(G250:G279)</f>
        <v>30</v>
      </c>
      <c r="H396" s="19">
        <f t="shared" si="362"/>
        <v>30</v>
      </c>
      <c r="I396" s="19">
        <f t="shared" si="362"/>
        <v>30</v>
      </c>
      <c r="J396" s="19"/>
      <c r="K396" s="19"/>
      <c r="L396" s="19">
        <f t="shared" si="362"/>
        <v>30</v>
      </c>
      <c r="M396" s="19">
        <f t="shared" si="362"/>
        <v>30</v>
      </c>
      <c r="N396" s="19">
        <f t="shared" si="362"/>
        <v>30</v>
      </c>
      <c r="O396" s="19"/>
      <c r="P396" s="19">
        <f t="shared" ref="P396" si="363">COUNT(P250:P279)</f>
        <v>30</v>
      </c>
      <c r="Q396" s="19">
        <f t="shared" si="362"/>
        <v>30</v>
      </c>
      <c r="R396" s="19">
        <f t="shared" si="362"/>
        <v>30</v>
      </c>
      <c r="S396" s="19">
        <f t="shared" si="362"/>
        <v>30</v>
      </c>
      <c r="T396" s="19">
        <f t="shared" si="362"/>
        <v>30</v>
      </c>
      <c r="U396" s="19">
        <f t="shared" si="362"/>
        <v>30</v>
      </c>
      <c r="V396" s="19">
        <f t="shared" si="362"/>
        <v>30</v>
      </c>
      <c r="W396" s="19">
        <f t="shared" si="362"/>
        <v>30</v>
      </c>
      <c r="X396" s="19">
        <f t="shared" si="362"/>
        <v>30</v>
      </c>
      <c r="Y396" s="19"/>
      <c r="Z396" s="19"/>
      <c r="AA396" s="19">
        <f t="shared" si="362"/>
        <v>30</v>
      </c>
      <c r="AB396" s="19"/>
      <c r="AC396" s="19"/>
      <c r="AD396" s="19">
        <f t="shared" si="362"/>
        <v>30</v>
      </c>
      <c r="AE396" s="19">
        <f t="shared" si="362"/>
        <v>30</v>
      </c>
      <c r="AF396" s="19">
        <f t="shared" si="362"/>
        <v>30</v>
      </c>
      <c r="AG396" s="19">
        <f t="shared" si="362"/>
        <v>30</v>
      </c>
      <c r="AH396" s="19">
        <f t="shared" si="362"/>
        <v>30</v>
      </c>
      <c r="AI396" s="19">
        <f t="shared" si="362"/>
        <v>30</v>
      </c>
      <c r="AJ396" s="19">
        <f t="shared" si="362"/>
        <v>30</v>
      </c>
      <c r="AK396" s="19">
        <f t="shared" si="362"/>
        <v>30</v>
      </c>
      <c r="AL396" s="19">
        <f t="shared" si="362"/>
        <v>30</v>
      </c>
      <c r="AM396" s="19"/>
      <c r="AN396" s="19"/>
      <c r="AO396" s="19">
        <f t="shared" si="362"/>
        <v>30</v>
      </c>
      <c r="AP396" s="19">
        <f t="shared" si="362"/>
        <v>30</v>
      </c>
      <c r="AQ396" s="19">
        <f t="shared" si="362"/>
        <v>30</v>
      </c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>
        <f t="shared" ref="BF396" si="364">COUNT(BF250:BF279)</f>
        <v>30</v>
      </c>
      <c r="BG396" s="19"/>
      <c r="BH396" s="19"/>
      <c r="BI396" s="19"/>
      <c r="BJ396" s="19">
        <f t="shared" ref="BJ396:BK396" si="365">COUNT(BJ250:BJ279)</f>
        <v>30</v>
      </c>
      <c r="BK396" s="19">
        <f t="shared" si="365"/>
        <v>30</v>
      </c>
      <c r="BL396" s="1"/>
      <c r="BM396" s="3"/>
      <c r="BO396" s="19">
        <f t="shared" ref="BO396:BS396" si="366">COUNT(BO250:BO279)</f>
        <v>30</v>
      </c>
      <c r="BP396" s="19"/>
      <c r="BQ396" s="19">
        <f t="shared" ref="BQ396" si="367">COUNT(BQ250:BQ279)</f>
        <v>30</v>
      </c>
      <c r="BS396" s="19">
        <f t="shared" si="366"/>
        <v>30</v>
      </c>
      <c r="BT396" s="19">
        <f t="shared" ref="BT396" si="368">COUNT(BT250:BT279)</f>
        <v>0</v>
      </c>
    </row>
    <row r="397" spans="1:124" x14ac:dyDescent="0.2">
      <c r="A397" s="19" t="s">
        <v>98</v>
      </c>
      <c r="C397" s="19">
        <f>COUNT(C280:C310)</f>
        <v>31</v>
      </c>
      <c r="D397" s="19">
        <f>COUNT(D280:D310)</f>
        <v>31</v>
      </c>
      <c r="E397" s="19">
        <f>COUNT(E280:E310)</f>
        <v>31</v>
      </c>
      <c r="F397" s="19">
        <f>COUNT(F280:F310)</f>
        <v>31</v>
      </c>
      <c r="G397" s="19">
        <f t="shared" ref="G397:AQ397" si="369">COUNT(G280:G310)</f>
        <v>31</v>
      </c>
      <c r="H397" s="19">
        <f t="shared" si="369"/>
        <v>31</v>
      </c>
      <c r="I397" s="19">
        <f t="shared" si="369"/>
        <v>31</v>
      </c>
      <c r="J397" s="19"/>
      <c r="K397" s="19"/>
      <c r="L397" s="19">
        <f t="shared" si="369"/>
        <v>31</v>
      </c>
      <c r="M397" s="19">
        <f t="shared" si="369"/>
        <v>31</v>
      </c>
      <c r="N397" s="19">
        <f t="shared" si="369"/>
        <v>31</v>
      </c>
      <c r="O397" s="19"/>
      <c r="P397" s="19">
        <f t="shared" ref="P397" si="370">COUNT(P280:P310)</f>
        <v>31</v>
      </c>
      <c r="Q397" s="19">
        <f t="shared" si="369"/>
        <v>31</v>
      </c>
      <c r="R397" s="19">
        <f t="shared" si="369"/>
        <v>31</v>
      </c>
      <c r="S397" s="19">
        <f t="shared" si="369"/>
        <v>31</v>
      </c>
      <c r="T397" s="19">
        <f t="shared" si="369"/>
        <v>31</v>
      </c>
      <c r="U397" s="19">
        <f t="shared" si="369"/>
        <v>31</v>
      </c>
      <c r="V397" s="19">
        <f t="shared" si="369"/>
        <v>31</v>
      </c>
      <c r="W397" s="19">
        <f t="shared" si="369"/>
        <v>31</v>
      </c>
      <c r="X397" s="19">
        <f t="shared" si="369"/>
        <v>31</v>
      </c>
      <c r="Y397" s="19"/>
      <c r="Z397" s="19"/>
      <c r="AA397" s="19">
        <f t="shared" si="369"/>
        <v>31</v>
      </c>
      <c r="AB397" s="19"/>
      <c r="AC397" s="19"/>
      <c r="AD397" s="19">
        <f t="shared" si="369"/>
        <v>31</v>
      </c>
      <c r="AE397" s="19">
        <f t="shared" si="369"/>
        <v>31</v>
      </c>
      <c r="AF397" s="19">
        <f t="shared" si="369"/>
        <v>31</v>
      </c>
      <c r="AG397" s="19">
        <f t="shared" si="369"/>
        <v>31</v>
      </c>
      <c r="AH397" s="19">
        <f t="shared" si="369"/>
        <v>31</v>
      </c>
      <c r="AI397" s="19">
        <f t="shared" si="369"/>
        <v>31</v>
      </c>
      <c r="AJ397" s="19">
        <f t="shared" si="369"/>
        <v>31</v>
      </c>
      <c r="AK397" s="19">
        <f t="shared" si="369"/>
        <v>31</v>
      </c>
      <c r="AL397" s="19">
        <f t="shared" si="369"/>
        <v>31</v>
      </c>
      <c r="AM397" s="19"/>
      <c r="AN397" s="19"/>
      <c r="AO397" s="19">
        <f t="shared" si="369"/>
        <v>31</v>
      </c>
      <c r="AP397" s="19">
        <f t="shared" si="369"/>
        <v>31</v>
      </c>
      <c r="AQ397" s="19">
        <f t="shared" si="369"/>
        <v>31</v>
      </c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>
        <f t="shared" ref="BF397" si="371">COUNT(BF280:BF310)</f>
        <v>31</v>
      </c>
      <c r="BG397" s="19"/>
      <c r="BH397" s="19"/>
      <c r="BI397" s="19"/>
      <c r="BJ397" s="19">
        <f t="shared" ref="BJ397:BK397" si="372">COUNT(BJ280:BJ310)</f>
        <v>31</v>
      </c>
      <c r="BK397" s="19">
        <f t="shared" si="372"/>
        <v>31</v>
      </c>
      <c r="BL397" s="1"/>
      <c r="BM397" s="3"/>
      <c r="BO397" s="19">
        <f t="shared" ref="BO397:BS397" si="373">COUNT(BO280:BO310)</f>
        <v>31</v>
      </c>
      <c r="BP397" s="19"/>
      <c r="BQ397" s="19">
        <f t="shared" ref="BQ397" si="374">COUNT(BQ280:BQ310)</f>
        <v>31</v>
      </c>
      <c r="BS397" s="19">
        <f t="shared" si="373"/>
        <v>31</v>
      </c>
      <c r="BT397" s="19">
        <f t="shared" ref="BT397" si="375">COUNT(BT280:BT310)</f>
        <v>0</v>
      </c>
    </row>
    <row r="398" spans="1:124" x14ac:dyDescent="0.2">
      <c r="A398" s="19" t="s">
        <v>99</v>
      </c>
      <c r="C398" s="19">
        <f>COUNT(C311:C340)</f>
        <v>30</v>
      </c>
      <c r="D398" s="19">
        <f>COUNT(D311:D340)</f>
        <v>30</v>
      </c>
      <c r="E398" s="19">
        <f>COUNT(E311:E340)</f>
        <v>30</v>
      </c>
      <c r="F398" s="19">
        <f>COUNT(F311:F340)</f>
        <v>30</v>
      </c>
      <c r="G398" s="19">
        <f t="shared" ref="G398:AQ398" si="376">COUNT(G311:G340)</f>
        <v>30</v>
      </c>
      <c r="H398" s="19">
        <f t="shared" si="376"/>
        <v>30</v>
      </c>
      <c r="I398" s="19">
        <f t="shared" si="376"/>
        <v>30</v>
      </c>
      <c r="J398" s="19"/>
      <c r="K398" s="19"/>
      <c r="L398" s="19">
        <f t="shared" si="376"/>
        <v>30</v>
      </c>
      <c r="M398" s="19">
        <f t="shared" si="376"/>
        <v>30</v>
      </c>
      <c r="N398" s="19">
        <f t="shared" si="376"/>
        <v>30</v>
      </c>
      <c r="O398" s="19"/>
      <c r="P398" s="19">
        <f t="shared" ref="P398" si="377">COUNT(P311:P340)</f>
        <v>30</v>
      </c>
      <c r="Q398" s="19">
        <f t="shared" si="376"/>
        <v>0</v>
      </c>
      <c r="R398" s="19">
        <f t="shared" si="376"/>
        <v>30</v>
      </c>
      <c r="S398" s="19">
        <f t="shared" si="376"/>
        <v>30</v>
      </c>
      <c r="T398" s="19">
        <f t="shared" si="376"/>
        <v>30</v>
      </c>
      <c r="U398" s="19">
        <f t="shared" si="376"/>
        <v>30</v>
      </c>
      <c r="V398" s="19">
        <f t="shared" si="376"/>
        <v>30</v>
      </c>
      <c r="W398" s="19">
        <f t="shared" si="376"/>
        <v>30</v>
      </c>
      <c r="X398" s="19">
        <f t="shared" si="376"/>
        <v>30</v>
      </c>
      <c r="Y398" s="19"/>
      <c r="Z398" s="19"/>
      <c r="AA398" s="19">
        <f t="shared" si="376"/>
        <v>30</v>
      </c>
      <c r="AB398" s="19"/>
      <c r="AC398" s="19"/>
      <c r="AD398" s="19">
        <f t="shared" si="376"/>
        <v>30</v>
      </c>
      <c r="AE398" s="19">
        <f t="shared" si="376"/>
        <v>30</v>
      </c>
      <c r="AF398" s="19">
        <f t="shared" si="376"/>
        <v>30</v>
      </c>
      <c r="AG398" s="19">
        <f t="shared" si="376"/>
        <v>30</v>
      </c>
      <c r="AH398" s="19">
        <f t="shared" si="376"/>
        <v>30</v>
      </c>
      <c r="AI398" s="19">
        <f t="shared" si="376"/>
        <v>30</v>
      </c>
      <c r="AJ398" s="19">
        <f t="shared" si="376"/>
        <v>30</v>
      </c>
      <c r="AK398" s="19">
        <f t="shared" si="376"/>
        <v>30</v>
      </c>
      <c r="AL398" s="19">
        <f t="shared" si="376"/>
        <v>30</v>
      </c>
      <c r="AM398" s="19"/>
      <c r="AN398" s="19"/>
      <c r="AO398" s="19">
        <f t="shared" si="376"/>
        <v>30</v>
      </c>
      <c r="AP398" s="19">
        <f t="shared" si="376"/>
        <v>30</v>
      </c>
      <c r="AQ398" s="19">
        <f t="shared" si="376"/>
        <v>30</v>
      </c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>
        <f t="shared" ref="BF398" si="378">COUNT(BF311:BF340)</f>
        <v>30</v>
      </c>
      <c r="BG398" s="19"/>
      <c r="BH398" s="19"/>
      <c r="BI398" s="19"/>
      <c r="BJ398" s="19">
        <f t="shared" ref="BJ398:BK398" si="379">COUNT(BJ311:BJ340)</f>
        <v>30</v>
      </c>
      <c r="BK398" s="19">
        <f t="shared" si="379"/>
        <v>30</v>
      </c>
      <c r="BL398" s="1"/>
      <c r="BM398" s="3"/>
      <c r="BO398" s="19">
        <f t="shared" ref="BO398:BS398" si="380">COUNT(BO311:BO340)</f>
        <v>30</v>
      </c>
      <c r="BP398" s="19"/>
      <c r="BQ398" s="19">
        <f t="shared" ref="BQ398" si="381">COUNT(BQ311:BQ340)</f>
        <v>30</v>
      </c>
      <c r="BS398" s="19">
        <f t="shared" si="380"/>
        <v>30</v>
      </c>
      <c r="BT398" s="19">
        <f t="shared" ref="BT398" si="382">COUNT(BT311:BT340)</f>
        <v>30</v>
      </c>
    </row>
    <row r="399" spans="1:124" x14ac:dyDescent="0.2">
      <c r="A399" s="19" t="s">
        <v>100</v>
      </c>
      <c r="C399" s="19">
        <f>COUNT(C341:C371)</f>
        <v>7</v>
      </c>
      <c r="D399" s="19">
        <f>COUNT(D341:D371)</f>
        <v>7</v>
      </c>
      <c r="E399" s="19">
        <f>COUNT(E341:E371)</f>
        <v>31</v>
      </c>
      <c r="F399" s="19">
        <f>COUNT(F341:F371)</f>
        <v>7</v>
      </c>
      <c r="G399" s="19">
        <f t="shared" ref="G399:AQ399" si="383">COUNT(G341:G371)</f>
        <v>7</v>
      </c>
      <c r="H399" s="19">
        <f t="shared" si="383"/>
        <v>7</v>
      </c>
      <c r="I399" s="19">
        <f t="shared" si="383"/>
        <v>7</v>
      </c>
      <c r="J399" s="19"/>
      <c r="K399" s="19"/>
      <c r="L399" s="19">
        <f t="shared" si="383"/>
        <v>7</v>
      </c>
      <c r="M399" s="19">
        <f t="shared" si="383"/>
        <v>7</v>
      </c>
      <c r="N399" s="19">
        <f t="shared" si="383"/>
        <v>7</v>
      </c>
      <c r="O399" s="19"/>
      <c r="P399" s="19">
        <f t="shared" ref="P399" si="384">COUNT(P341:P371)</f>
        <v>7</v>
      </c>
      <c r="Q399" s="19">
        <f t="shared" si="383"/>
        <v>0</v>
      </c>
      <c r="R399" s="19">
        <f t="shared" si="383"/>
        <v>31</v>
      </c>
      <c r="S399" s="19">
        <f t="shared" si="383"/>
        <v>7</v>
      </c>
      <c r="T399" s="19">
        <f t="shared" si="383"/>
        <v>7</v>
      </c>
      <c r="U399" s="19">
        <f t="shared" si="383"/>
        <v>7</v>
      </c>
      <c r="V399" s="19">
        <f t="shared" si="383"/>
        <v>7</v>
      </c>
      <c r="W399" s="19">
        <f t="shared" si="383"/>
        <v>7</v>
      </c>
      <c r="X399" s="19">
        <f t="shared" si="383"/>
        <v>7</v>
      </c>
      <c r="Y399" s="19"/>
      <c r="Z399" s="19"/>
      <c r="AA399" s="19">
        <f t="shared" si="383"/>
        <v>7</v>
      </c>
      <c r="AB399" s="19"/>
      <c r="AC399" s="19"/>
      <c r="AD399" s="19">
        <f t="shared" si="383"/>
        <v>7</v>
      </c>
      <c r="AE399" s="19">
        <f t="shared" si="383"/>
        <v>7</v>
      </c>
      <c r="AF399" s="19">
        <f t="shared" si="383"/>
        <v>31</v>
      </c>
      <c r="AG399" s="19">
        <f t="shared" si="383"/>
        <v>7</v>
      </c>
      <c r="AH399" s="19">
        <f t="shared" si="383"/>
        <v>7</v>
      </c>
      <c r="AI399" s="19">
        <f t="shared" si="383"/>
        <v>7</v>
      </c>
      <c r="AJ399" s="19">
        <f t="shared" si="383"/>
        <v>7</v>
      </c>
      <c r="AK399" s="19">
        <f t="shared" si="383"/>
        <v>7</v>
      </c>
      <c r="AL399" s="19">
        <f t="shared" si="383"/>
        <v>7</v>
      </c>
      <c r="AM399" s="19"/>
      <c r="AN399" s="19"/>
      <c r="AO399" s="19">
        <f t="shared" si="383"/>
        <v>7</v>
      </c>
      <c r="AP399" s="19">
        <f t="shared" si="383"/>
        <v>7</v>
      </c>
      <c r="AQ399" s="19">
        <f t="shared" si="383"/>
        <v>7</v>
      </c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>
        <f t="shared" ref="BF399" si="385">COUNT(BF341:BF371)</f>
        <v>31</v>
      </c>
      <c r="BG399" s="19"/>
      <c r="BH399" s="19"/>
      <c r="BI399" s="19"/>
      <c r="BJ399" s="19">
        <f t="shared" ref="BJ399:BK399" si="386">COUNT(BJ341:BJ371)</f>
        <v>7</v>
      </c>
      <c r="BK399" s="19">
        <f t="shared" si="386"/>
        <v>7</v>
      </c>
      <c r="BL399" s="1"/>
      <c r="BM399" s="3"/>
      <c r="BO399" s="19">
        <f t="shared" ref="BO399:BS399" si="387">COUNT(BO341:BO371)</f>
        <v>7</v>
      </c>
      <c r="BP399" s="19"/>
      <c r="BQ399" s="19">
        <f t="shared" ref="BQ399" si="388">COUNT(BQ341:BQ371)</f>
        <v>31</v>
      </c>
      <c r="BS399" s="19">
        <f t="shared" si="387"/>
        <v>31</v>
      </c>
      <c r="BT399" s="19">
        <f t="shared" ref="BT399" si="389">COUNT(BT341:BT371)</f>
        <v>31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164</v>
      </c>
      <c r="P5" s="3"/>
    </row>
    <row r="6" spans="1:16" x14ac:dyDescent="0.2">
      <c r="A6" s="9" t="s">
        <v>42</v>
      </c>
      <c r="B6" s="6" t="s">
        <v>120</v>
      </c>
      <c r="C6" s="3" t="s">
        <v>165</v>
      </c>
      <c r="D6" s="3" t="s">
        <v>166</v>
      </c>
      <c r="E6" s="3" t="s">
        <v>167</v>
      </c>
      <c r="F6" s="3"/>
      <c r="H6" s="59" t="s">
        <v>168</v>
      </c>
      <c r="I6" t="s">
        <v>169</v>
      </c>
      <c r="J6" t="s">
        <v>170</v>
      </c>
      <c r="K6" s="3"/>
      <c r="L6" s="3" t="s">
        <v>165</v>
      </c>
      <c r="M6" s="3" t="s">
        <v>166</v>
      </c>
      <c r="N6" s="3" t="s">
        <v>167</v>
      </c>
      <c r="O6" s="3" t="s">
        <v>166</v>
      </c>
      <c r="P6" s="3" t="s">
        <v>167</v>
      </c>
    </row>
    <row r="7" spans="1:16" x14ac:dyDescent="0.2">
      <c r="A7" s="40">
        <v>34700</v>
      </c>
      <c r="B7" s="3">
        <v>1</v>
      </c>
      <c r="C7" s="3">
        <v>199501</v>
      </c>
      <c r="D7" s="3">
        <f>ROUND(IF(Data!E7&lt;0,0-Data!E7,0),1)</f>
        <v>15.6</v>
      </c>
      <c r="E7" s="3">
        <f>ROUND(IF(Data!E7&gt;5,Data!E7-5,0),1)</f>
        <v>0</v>
      </c>
      <c r="F7" s="3"/>
      <c r="H7" s="57">
        <v>199501</v>
      </c>
      <c r="I7" s="58">
        <v>219.20000000000005</v>
      </c>
      <c r="J7" s="58">
        <v>0</v>
      </c>
      <c r="K7" s="3"/>
      <c r="L7" s="3">
        <f>H7</f>
        <v>199501</v>
      </c>
      <c r="M7" s="3">
        <f t="shared" ref="M7:N10" si="0">I7</f>
        <v>219.20000000000005</v>
      </c>
      <c r="N7" s="3">
        <f t="shared" si="0"/>
        <v>0</v>
      </c>
      <c r="O7" s="3">
        <f>M7</f>
        <v>219.20000000000005</v>
      </c>
      <c r="P7" s="3">
        <f>N7</f>
        <v>0</v>
      </c>
    </row>
    <row r="8" spans="1:16" x14ac:dyDescent="0.2">
      <c r="A8" s="40">
        <v>34701</v>
      </c>
      <c r="B8" s="3">
        <v>2</v>
      </c>
      <c r="C8" s="3">
        <v>199501</v>
      </c>
      <c r="D8" s="3">
        <f>ROUND(IF(Data!E8&lt;0,0-Data!E8,0),1)</f>
        <v>16.399999999999999</v>
      </c>
      <c r="E8" s="3">
        <f>ROUND(IF(Data!E8&gt;5,Data!E8-5,0),1)</f>
        <v>0</v>
      </c>
      <c r="F8" s="3"/>
      <c r="H8" s="57">
        <v>199502</v>
      </c>
      <c r="I8" s="58">
        <v>171.40000000000003</v>
      </c>
      <c r="J8" s="58">
        <v>0</v>
      </c>
      <c r="K8" s="3"/>
      <c r="L8" s="3">
        <f t="shared" ref="L8:N18" si="1">H8</f>
        <v>199502</v>
      </c>
      <c r="M8" s="3">
        <f t="shared" si="0"/>
        <v>171.40000000000003</v>
      </c>
      <c r="N8" s="3">
        <f t="shared" si="0"/>
        <v>0</v>
      </c>
      <c r="O8" s="3">
        <f>M8+O7</f>
        <v>390.60000000000008</v>
      </c>
      <c r="P8" s="3">
        <f t="shared" ref="P8:P18" si="2">N8+P7</f>
        <v>0</v>
      </c>
    </row>
    <row r="9" spans="1:16" x14ac:dyDescent="0.2">
      <c r="A9" s="40">
        <v>34702</v>
      </c>
      <c r="B9" s="3">
        <v>3</v>
      </c>
      <c r="C9" s="3">
        <v>199501</v>
      </c>
      <c r="D9" s="3">
        <f>ROUND(IF(Data!E9&lt;0,0-Data!E9,0),1)</f>
        <v>16.100000000000001</v>
      </c>
      <c r="E9" s="3">
        <f>ROUND(IF(Data!E9&gt;5,Data!E9-5,0),1)</f>
        <v>0</v>
      </c>
      <c r="F9" s="3"/>
      <c r="H9" s="57">
        <v>199503</v>
      </c>
      <c r="I9" s="58">
        <v>139.40000000000003</v>
      </c>
      <c r="J9" s="58">
        <v>0</v>
      </c>
      <c r="K9" s="3"/>
      <c r="L9" s="3">
        <f t="shared" si="1"/>
        <v>199503</v>
      </c>
      <c r="M9" s="3">
        <f t="shared" si="0"/>
        <v>139.40000000000003</v>
      </c>
      <c r="N9" s="3">
        <f t="shared" si="0"/>
        <v>0</v>
      </c>
      <c r="O9" s="3">
        <f t="shared" ref="O9:O18" si="3">M9+O8</f>
        <v>530.00000000000011</v>
      </c>
      <c r="P9" s="3">
        <f t="shared" si="2"/>
        <v>0</v>
      </c>
    </row>
    <row r="10" spans="1:16" x14ac:dyDescent="0.2">
      <c r="A10" s="40">
        <v>34703</v>
      </c>
      <c r="B10" s="3">
        <v>4</v>
      </c>
      <c r="C10" s="3">
        <v>199501</v>
      </c>
      <c r="D10" s="3">
        <f>ROUND(IF(Data!E10&lt;0,0-Data!E10,0),1)</f>
        <v>15.3</v>
      </c>
      <c r="E10" s="3">
        <f>ROUND(IF(Data!E10&gt;5,Data!E10-5,0),1)</f>
        <v>0</v>
      </c>
      <c r="F10" s="3"/>
      <c r="H10" s="57">
        <v>199504</v>
      </c>
      <c r="I10" s="58">
        <v>29.000000000000004</v>
      </c>
      <c r="J10" s="58">
        <v>1.2</v>
      </c>
      <c r="K10" s="3"/>
      <c r="L10" s="3">
        <f t="shared" si="1"/>
        <v>199504</v>
      </c>
      <c r="M10" s="3">
        <f t="shared" si="0"/>
        <v>29.000000000000004</v>
      </c>
      <c r="N10" s="3">
        <f t="shared" si="0"/>
        <v>1.2</v>
      </c>
      <c r="O10" s="3">
        <f t="shared" si="3"/>
        <v>559.00000000000011</v>
      </c>
      <c r="P10" s="3">
        <f t="shared" si="2"/>
        <v>1.2</v>
      </c>
    </row>
    <row r="11" spans="1:16" x14ac:dyDescent="0.2">
      <c r="A11" s="40">
        <v>34704</v>
      </c>
      <c r="B11" s="3">
        <v>5</v>
      </c>
      <c r="C11" s="3">
        <v>199501</v>
      </c>
      <c r="D11" s="3">
        <f>ROUND(IF(Data!E11&lt;0,0-Data!E11,0),1)</f>
        <v>17.100000000000001</v>
      </c>
      <c r="E11" s="3">
        <f>ROUND(IF(Data!E11&gt;5,Data!E11-5,0),1)</f>
        <v>0</v>
      </c>
      <c r="F11" s="3"/>
      <c r="H11" s="57">
        <v>199505</v>
      </c>
      <c r="I11" s="58">
        <v>0</v>
      </c>
      <c r="J11" s="58">
        <v>48</v>
      </c>
      <c r="K11" s="3"/>
      <c r="L11" s="3">
        <f t="shared" si="1"/>
        <v>199505</v>
      </c>
      <c r="M11" s="3">
        <f t="shared" si="1"/>
        <v>0</v>
      </c>
      <c r="N11" s="3">
        <f t="shared" si="1"/>
        <v>48</v>
      </c>
      <c r="O11" s="3">
        <f t="shared" si="3"/>
        <v>559.00000000000011</v>
      </c>
      <c r="P11" s="3">
        <f t="shared" si="2"/>
        <v>49.2</v>
      </c>
    </row>
    <row r="12" spans="1:16" x14ac:dyDescent="0.2">
      <c r="A12" s="40">
        <v>34705</v>
      </c>
      <c r="B12" s="3">
        <v>6</v>
      </c>
      <c r="C12" s="3">
        <v>199501</v>
      </c>
      <c r="D12" s="3">
        <f>ROUND(IF(Data!E12&lt;0,0-Data!E12,0),1)</f>
        <v>16.7</v>
      </c>
      <c r="E12" s="3">
        <f>ROUND(IF(Data!E12&gt;5,Data!E12-5,0),1)</f>
        <v>0</v>
      </c>
      <c r="F12" s="3"/>
      <c r="H12" s="57">
        <v>199506</v>
      </c>
      <c r="I12" s="58">
        <v>0</v>
      </c>
      <c r="J12" s="58">
        <v>134.79999999999998</v>
      </c>
      <c r="K12" s="3"/>
      <c r="L12" s="3">
        <f t="shared" si="1"/>
        <v>199506</v>
      </c>
      <c r="M12" s="3">
        <f t="shared" si="1"/>
        <v>0</v>
      </c>
      <c r="N12" s="3">
        <f t="shared" si="1"/>
        <v>134.79999999999998</v>
      </c>
      <c r="O12" s="3">
        <f t="shared" si="3"/>
        <v>559.00000000000011</v>
      </c>
      <c r="P12" s="3">
        <f t="shared" si="2"/>
        <v>184</v>
      </c>
    </row>
    <row r="13" spans="1:16" x14ac:dyDescent="0.2">
      <c r="A13" s="40">
        <v>34706</v>
      </c>
      <c r="B13" s="3">
        <v>7</v>
      </c>
      <c r="C13" s="3">
        <v>199501</v>
      </c>
      <c r="D13" s="3">
        <f>ROUND(IF(Data!E13&lt;0,0-Data!E13,0),1)</f>
        <v>15.8</v>
      </c>
      <c r="E13" s="3">
        <f>ROUND(IF(Data!E13&gt;5,Data!E13-5,0),1)</f>
        <v>0</v>
      </c>
      <c r="F13" s="3"/>
      <c r="H13" s="57">
        <v>199507</v>
      </c>
      <c r="I13" s="58">
        <v>0</v>
      </c>
      <c r="J13" s="58">
        <v>193.99999999999997</v>
      </c>
      <c r="K13" s="3"/>
      <c r="L13" s="3">
        <f t="shared" si="1"/>
        <v>199507</v>
      </c>
      <c r="M13" s="3">
        <f t="shared" si="1"/>
        <v>0</v>
      </c>
      <c r="N13" s="3">
        <f t="shared" si="1"/>
        <v>193.99999999999997</v>
      </c>
      <c r="O13" s="3">
        <f t="shared" si="3"/>
        <v>559.00000000000011</v>
      </c>
      <c r="P13" s="3">
        <f t="shared" si="2"/>
        <v>378</v>
      </c>
    </row>
    <row r="14" spans="1:16" x14ac:dyDescent="0.2">
      <c r="A14" s="40">
        <v>34707</v>
      </c>
      <c r="B14" s="3">
        <v>8</v>
      </c>
      <c r="C14" s="3">
        <v>199501</v>
      </c>
      <c r="D14" s="3">
        <f>ROUND(IF(Data!E14&lt;0,0-Data!E14,0),1)</f>
        <v>3.9</v>
      </c>
      <c r="E14" s="3">
        <f>ROUND(IF(Data!E14&gt;5,Data!E14-5,0),1)</f>
        <v>0</v>
      </c>
      <c r="F14" s="3"/>
      <c r="H14" s="57">
        <v>199508</v>
      </c>
      <c r="I14" s="58">
        <v>0</v>
      </c>
      <c r="J14" s="58">
        <v>101.89999999999998</v>
      </c>
      <c r="K14" s="3"/>
      <c r="L14" s="3">
        <f t="shared" si="1"/>
        <v>199508</v>
      </c>
      <c r="M14" s="3">
        <f t="shared" si="1"/>
        <v>0</v>
      </c>
      <c r="N14" s="3">
        <f t="shared" si="1"/>
        <v>101.89999999999998</v>
      </c>
      <c r="O14" s="3">
        <f t="shared" si="3"/>
        <v>559.00000000000011</v>
      </c>
      <c r="P14" s="3">
        <f t="shared" si="2"/>
        <v>479.9</v>
      </c>
    </row>
    <row r="15" spans="1:16" x14ac:dyDescent="0.2">
      <c r="A15" s="40">
        <v>34708</v>
      </c>
      <c r="B15" s="3">
        <v>9</v>
      </c>
      <c r="C15" s="3">
        <v>199501</v>
      </c>
      <c r="D15" s="3">
        <f>ROUND(IF(Data!E15&lt;0,0-Data!E15,0),1)</f>
        <v>1.2</v>
      </c>
      <c r="E15" s="3">
        <f>ROUND(IF(Data!E15&gt;5,Data!E15-5,0),1)</f>
        <v>0</v>
      </c>
      <c r="F15" s="3"/>
      <c r="H15" s="57">
        <v>199509</v>
      </c>
      <c r="I15" s="58">
        <v>0</v>
      </c>
      <c r="J15" s="58">
        <v>96.100000000000009</v>
      </c>
      <c r="K15" s="3"/>
      <c r="L15" s="3">
        <f t="shared" si="1"/>
        <v>199509</v>
      </c>
      <c r="M15" s="3">
        <f t="shared" si="1"/>
        <v>0</v>
      </c>
      <c r="N15" s="3">
        <f t="shared" si="1"/>
        <v>96.100000000000009</v>
      </c>
      <c r="O15" s="3">
        <f t="shared" si="3"/>
        <v>559.00000000000011</v>
      </c>
      <c r="P15" s="3">
        <f t="shared" si="2"/>
        <v>576</v>
      </c>
    </row>
    <row r="16" spans="1:16" x14ac:dyDescent="0.2">
      <c r="A16" s="40">
        <v>34709</v>
      </c>
      <c r="B16" s="3">
        <v>10</v>
      </c>
      <c r="C16" s="3">
        <v>199501</v>
      </c>
      <c r="D16" s="3">
        <f>ROUND(IF(Data!E16&lt;0,0-Data!E16,0),1)</f>
        <v>0.4</v>
      </c>
      <c r="E16" s="3">
        <f>ROUND(IF(Data!E16&gt;5,Data!E16-5,0),1)</f>
        <v>0</v>
      </c>
      <c r="F16" s="3"/>
      <c r="H16" s="57">
        <v>199510</v>
      </c>
      <c r="I16" s="58">
        <v>44.400000000000006</v>
      </c>
      <c r="J16" s="58">
        <v>0</v>
      </c>
      <c r="K16" s="3"/>
      <c r="L16" s="3">
        <f t="shared" si="1"/>
        <v>199510</v>
      </c>
      <c r="M16" s="3">
        <f t="shared" si="1"/>
        <v>44.400000000000006</v>
      </c>
      <c r="N16" s="3">
        <f t="shared" si="1"/>
        <v>0</v>
      </c>
      <c r="O16" s="3">
        <f t="shared" si="3"/>
        <v>603.40000000000009</v>
      </c>
      <c r="P16" s="3">
        <f t="shared" si="2"/>
        <v>576</v>
      </c>
    </row>
    <row r="17" spans="1:16" x14ac:dyDescent="0.2">
      <c r="A17" s="40">
        <v>34710</v>
      </c>
      <c r="B17" s="3">
        <v>11</v>
      </c>
      <c r="C17" s="3">
        <v>199501</v>
      </c>
      <c r="D17" s="3">
        <f>ROUND(IF(Data!E17&lt;0,0-Data!E17,0),1)</f>
        <v>3.7</v>
      </c>
      <c r="E17" s="3">
        <f>ROUND(IF(Data!E17&gt;5,Data!E17-5,0),1)</f>
        <v>0</v>
      </c>
      <c r="F17" s="3"/>
      <c r="H17" s="57">
        <v>199511</v>
      </c>
      <c r="I17" s="58">
        <v>100.89999999999998</v>
      </c>
      <c r="J17" s="58">
        <v>0</v>
      </c>
      <c r="K17" s="3"/>
      <c r="L17" s="3">
        <f t="shared" si="1"/>
        <v>199511</v>
      </c>
      <c r="M17" s="3">
        <f t="shared" si="1"/>
        <v>100.89999999999998</v>
      </c>
      <c r="N17" s="3">
        <f t="shared" si="1"/>
        <v>0</v>
      </c>
      <c r="O17" s="3">
        <f t="shared" si="3"/>
        <v>704.30000000000007</v>
      </c>
      <c r="P17" s="3">
        <f t="shared" si="2"/>
        <v>576</v>
      </c>
    </row>
    <row r="18" spans="1:16" x14ac:dyDescent="0.2">
      <c r="A18" s="40">
        <v>34711</v>
      </c>
      <c r="B18" s="3">
        <v>12</v>
      </c>
      <c r="C18" s="3">
        <v>199501</v>
      </c>
      <c r="D18" s="3">
        <f>ROUND(IF(Data!E18&lt;0,0-Data!E18,0),1)</f>
        <v>3.8</v>
      </c>
      <c r="E18" s="3">
        <f>ROUND(IF(Data!E18&gt;5,Data!E18-5,0),1)</f>
        <v>0</v>
      </c>
      <c r="F18" s="3"/>
      <c r="H18" s="57">
        <v>199512</v>
      </c>
      <c r="I18" s="58">
        <v>287.7</v>
      </c>
      <c r="J18" s="58">
        <v>0</v>
      </c>
      <c r="K18" s="3"/>
      <c r="L18" s="3">
        <f t="shared" si="1"/>
        <v>199512</v>
      </c>
      <c r="M18" s="3">
        <f t="shared" si="1"/>
        <v>287.7</v>
      </c>
      <c r="N18" s="3">
        <f t="shared" si="1"/>
        <v>0</v>
      </c>
      <c r="O18" s="3">
        <f t="shared" si="3"/>
        <v>992</v>
      </c>
      <c r="P18" s="3">
        <f t="shared" si="2"/>
        <v>576</v>
      </c>
    </row>
    <row r="19" spans="1:16" x14ac:dyDescent="0.2">
      <c r="A19" s="40">
        <v>34712</v>
      </c>
      <c r="B19" s="3">
        <v>13</v>
      </c>
      <c r="C19" s="3">
        <v>199501</v>
      </c>
      <c r="D19" s="3">
        <f>ROUND(IF(Data!E19&lt;0,0-Data!E19,0),1)</f>
        <v>1.7</v>
      </c>
      <c r="E19" s="3">
        <f>ROUND(IF(Data!E19&gt;5,Data!E19-5,0),1)</f>
        <v>0</v>
      </c>
      <c r="F19" s="3"/>
      <c r="H19" s="57" t="s">
        <v>171</v>
      </c>
      <c r="I19" s="58">
        <v>992</v>
      </c>
      <c r="J19" s="58">
        <v>576</v>
      </c>
      <c r="K19" s="3"/>
      <c r="L19" s="3"/>
      <c r="M19" s="3"/>
      <c r="N19" s="3"/>
      <c r="O19" s="3"/>
      <c r="P19" s="3"/>
    </row>
    <row r="20" spans="1:16" x14ac:dyDescent="0.2">
      <c r="A20" s="40">
        <v>34713</v>
      </c>
      <c r="B20" s="3">
        <v>14</v>
      </c>
      <c r="C20" s="3">
        <v>199501</v>
      </c>
      <c r="D20" s="3">
        <f>ROUND(IF(Data!E20&lt;0,0-Data!E20,0),1)</f>
        <v>2.7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40">
        <v>34714</v>
      </c>
      <c r="B21" s="3">
        <v>15</v>
      </c>
      <c r="C21" s="3">
        <v>199501</v>
      </c>
      <c r="D21" s="3">
        <f>ROUND(IF(Data!E21&lt;0,0-Data!E21,0),1)</f>
        <v>2.8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40">
        <v>34715</v>
      </c>
      <c r="B22" s="3">
        <v>16</v>
      </c>
      <c r="C22" s="3">
        <v>199501</v>
      </c>
      <c r="D22" s="3">
        <f>ROUND(IF(Data!E22&lt;0,0-Data!E22,0),1)</f>
        <v>4.2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40">
        <v>34716</v>
      </c>
      <c r="B23" s="3">
        <v>17</v>
      </c>
      <c r="C23" s="3">
        <v>199501</v>
      </c>
      <c r="D23" s="3">
        <f>ROUND(IF(Data!E23&lt;0,0-Data!E23,0),1)</f>
        <v>5.8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40">
        <v>34717</v>
      </c>
      <c r="B24" s="3">
        <v>18</v>
      </c>
      <c r="C24" s="3">
        <v>199501</v>
      </c>
      <c r="D24" s="3">
        <f>ROUND(IF(Data!E24&lt;0,0-Data!E24,0),1)</f>
        <v>3.6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40">
        <v>34718</v>
      </c>
      <c r="B25" s="3">
        <v>19</v>
      </c>
      <c r="C25" s="3">
        <v>199501</v>
      </c>
      <c r="D25" s="3">
        <f>ROUND(IF(Data!E25&lt;0,0-Data!E25,0),1)</f>
        <v>6.3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40">
        <v>34719</v>
      </c>
      <c r="B26" s="3">
        <v>20</v>
      </c>
      <c r="C26" s="3">
        <v>199501</v>
      </c>
      <c r="D26" s="3">
        <f>ROUND(IF(Data!E26&lt;0,0-Data!E26,0),1)</f>
        <v>8.5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40">
        <v>34720</v>
      </c>
      <c r="B27" s="3">
        <v>21</v>
      </c>
      <c r="C27" s="3">
        <v>199501</v>
      </c>
      <c r="D27" s="3">
        <f>ROUND(IF(Data!E27&lt;0,0-Data!E27,0),1)</f>
        <v>10.1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40">
        <v>34721</v>
      </c>
      <c r="B28" s="3">
        <v>22</v>
      </c>
      <c r="C28" s="3">
        <v>199501</v>
      </c>
      <c r="D28" s="3">
        <f>ROUND(IF(Data!E28&lt;0,0-Data!E28,0),1)</f>
        <v>11.6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40">
        <v>34722</v>
      </c>
      <c r="B29" s="3">
        <v>23</v>
      </c>
      <c r="C29" s="3">
        <v>199501</v>
      </c>
      <c r="D29" s="3">
        <f>ROUND(IF(Data!E29&lt;0,0-Data!E29,0),1)</f>
        <v>12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40">
        <v>34723</v>
      </c>
      <c r="B30" s="3">
        <v>24</v>
      </c>
      <c r="C30" s="3">
        <v>199501</v>
      </c>
      <c r="D30" s="3">
        <f>ROUND(IF(Data!E30&lt;0,0-Data!E30,0),1)</f>
        <v>7.4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40">
        <v>34724</v>
      </c>
      <c r="B31" s="3">
        <v>25</v>
      </c>
      <c r="C31" s="3">
        <v>199501</v>
      </c>
      <c r="D31" s="3">
        <f>ROUND(IF(Data!E31&lt;0,0-Data!E31,0),1)</f>
        <v>1.4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40">
        <v>34725</v>
      </c>
      <c r="B32" s="3">
        <v>26</v>
      </c>
      <c r="C32" s="3">
        <v>199501</v>
      </c>
      <c r="D32" s="3">
        <f>ROUND(IF(Data!E32&lt;0,0-Data!E32,0),1)</f>
        <v>1.9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40">
        <v>34726</v>
      </c>
      <c r="B33" s="3">
        <v>27</v>
      </c>
      <c r="C33" s="3">
        <v>199501</v>
      </c>
      <c r="D33" s="3">
        <f>ROUND(IF(Data!E33&lt;0,0-Data!E33,0),1)</f>
        <v>7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40">
        <v>34727</v>
      </c>
      <c r="B34" s="3">
        <v>28</v>
      </c>
      <c r="C34" s="3">
        <v>199501</v>
      </c>
      <c r="D34" s="3">
        <f>ROUND(IF(Data!E34&lt;0,0-Data!E34,0),1)</f>
        <v>5.9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40">
        <v>34728</v>
      </c>
      <c r="B35" s="3">
        <v>29</v>
      </c>
      <c r="C35" s="3">
        <v>199501</v>
      </c>
      <c r="D35" s="3">
        <f>ROUND(IF(Data!E35&lt;0,0-Data!E35,0),1)</f>
        <v>0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40">
        <v>34729</v>
      </c>
      <c r="B36" s="3">
        <v>30</v>
      </c>
      <c r="C36" s="3">
        <v>199501</v>
      </c>
      <c r="D36" s="3">
        <f>ROUND(IF(Data!E36&lt;0,0-Data!E36,0),1)</f>
        <v>0.3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40">
        <v>34730</v>
      </c>
      <c r="B37" s="3">
        <v>31</v>
      </c>
      <c r="C37" s="3">
        <v>199501</v>
      </c>
      <c r="D37" s="3">
        <f>ROUND(IF(Data!E37&lt;0,0-Data!E37,0),1)</f>
        <v>0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40">
        <v>34731</v>
      </c>
      <c r="B38" s="3">
        <v>32</v>
      </c>
      <c r="C38" s="3">
        <v>199502</v>
      </c>
      <c r="D38" s="3">
        <f>ROUND(IF(Data!E38&lt;0,0-Data!E38,0),1)</f>
        <v>0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40">
        <v>34732</v>
      </c>
      <c r="B39" s="3">
        <v>33</v>
      </c>
      <c r="C39" s="3">
        <v>199502</v>
      </c>
      <c r="D39" s="3">
        <f>ROUND(IF(Data!E39&lt;0,0-Data!E39,0),1)</f>
        <v>1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40">
        <v>34733</v>
      </c>
      <c r="B40" s="3">
        <v>34</v>
      </c>
      <c r="C40" s="3">
        <v>199502</v>
      </c>
      <c r="D40" s="3">
        <f>ROUND(IF(Data!E40&lt;0,0-Data!E40,0),1)</f>
        <v>0.9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40">
        <v>34734</v>
      </c>
      <c r="B41" s="3">
        <v>35</v>
      </c>
      <c r="C41" s="3">
        <v>199502</v>
      </c>
      <c r="D41" s="3">
        <f>ROUND(IF(Data!E41&lt;0,0-Data!E41,0),1)</f>
        <v>4.5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40">
        <v>34735</v>
      </c>
      <c r="B42" s="3">
        <v>36</v>
      </c>
      <c r="C42" s="3">
        <v>199502</v>
      </c>
      <c r="D42" s="3">
        <f>ROUND(IF(Data!E42&lt;0,0-Data!E42,0),1)</f>
        <v>0.5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40">
        <v>34736</v>
      </c>
      <c r="B43" s="3">
        <v>37</v>
      </c>
      <c r="C43" s="3">
        <v>199502</v>
      </c>
      <c r="D43" s="3">
        <f>ROUND(IF(Data!E43&lt;0,0-Data!E43,0),1)</f>
        <v>0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40">
        <v>34737</v>
      </c>
      <c r="B44" s="3">
        <v>38</v>
      </c>
      <c r="C44" s="3">
        <v>199502</v>
      </c>
      <c r="D44" s="3">
        <f>ROUND(IF(Data!E44&lt;0,0-Data!E44,0),1)</f>
        <v>1.9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40">
        <v>34738</v>
      </c>
      <c r="B45" s="3">
        <v>39</v>
      </c>
      <c r="C45" s="3">
        <v>199502</v>
      </c>
      <c r="D45" s="3">
        <f>ROUND(IF(Data!E45&lt;0,0-Data!E45,0),1)</f>
        <v>6.7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40">
        <v>34739</v>
      </c>
      <c r="B46" s="3">
        <v>40</v>
      </c>
      <c r="C46" s="3">
        <v>199502</v>
      </c>
      <c r="D46" s="3">
        <f>ROUND(IF(Data!E46&lt;0,0-Data!E46,0),1)</f>
        <v>6.3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40">
        <v>34740</v>
      </c>
      <c r="B47" s="3">
        <v>41</v>
      </c>
      <c r="C47" s="3">
        <v>199502</v>
      </c>
      <c r="D47" s="3">
        <f>ROUND(IF(Data!E47&lt;0,0-Data!E47,0),1)</f>
        <v>6.8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40">
        <v>34741</v>
      </c>
      <c r="B48" s="3">
        <v>42</v>
      </c>
      <c r="C48" s="3">
        <v>199502</v>
      </c>
      <c r="D48" s="3">
        <f>ROUND(IF(Data!E48&lt;0,0-Data!E48,0),1)</f>
        <v>12.2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40">
        <v>34742</v>
      </c>
      <c r="B49" s="3">
        <v>43</v>
      </c>
      <c r="C49" s="3">
        <v>199502</v>
      </c>
      <c r="D49" s="3">
        <f>ROUND(IF(Data!E49&lt;0,0-Data!E49,0),1)</f>
        <v>16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40">
        <v>34743</v>
      </c>
      <c r="B50" s="3">
        <v>44</v>
      </c>
      <c r="C50" s="3">
        <v>199502</v>
      </c>
      <c r="D50" s="3">
        <f>ROUND(IF(Data!E50&lt;0,0-Data!E50,0),1)</f>
        <v>20.6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40">
        <v>34744</v>
      </c>
      <c r="B51" s="3">
        <v>45</v>
      </c>
      <c r="C51" s="3">
        <v>199502</v>
      </c>
      <c r="D51" s="3">
        <f>ROUND(IF(Data!E51&lt;0,0-Data!E51,0),1)</f>
        <v>19.5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40">
        <v>34745</v>
      </c>
      <c r="B52" s="3">
        <v>46</v>
      </c>
      <c r="C52" s="3">
        <v>199502</v>
      </c>
      <c r="D52" s="3">
        <f>ROUND(IF(Data!E52&lt;0,0-Data!E52,0),1)</f>
        <v>11.3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40">
        <v>34746</v>
      </c>
      <c r="B53" s="3">
        <v>47</v>
      </c>
      <c r="C53" s="3">
        <v>199502</v>
      </c>
      <c r="D53" s="3">
        <f>ROUND(IF(Data!E53&lt;0,0-Data!E53,0),1)</f>
        <v>5.7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40">
        <v>34747</v>
      </c>
      <c r="B54" s="3">
        <v>48</v>
      </c>
      <c r="C54" s="3">
        <v>199502</v>
      </c>
      <c r="D54" s="3">
        <f>ROUND(IF(Data!E54&lt;0,0-Data!E54,0),1)</f>
        <v>1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40">
        <v>34748</v>
      </c>
      <c r="B55" s="3">
        <v>49</v>
      </c>
      <c r="C55" s="3">
        <v>199502</v>
      </c>
      <c r="D55" s="3">
        <f>ROUND(IF(Data!E55&lt;0,0-Data!E55,0),1)</f>
        <v>0.9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40">
        <v>34749</v>
      </c>
      <c r="B56" s="3">
        <v>50</v>
      </c>
      <c r="C56" s="3">
        <v>199502</v>
      </c>
      <c r="D56" s="3">
        <f>ROUND(IF(Data!E56&lt;0,0-Data!E56,0),1)</f>
        <v>0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40">
        <v>34750</v>
      </c>
      <c r="B57" s="3">
        <v>51</v>
      </c>
      <c r="C57" s="3">
        <v>199502</v>
      </c>
      <c r="D57" s="3">
        <f>ROUND(IF(Data!E57&lt;0,0-Data!E57,0),1)</f>
        <v>0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40">
        <v>34751</v>
      </c>
      <c r="B58" s="3">
        <v>52</v>
      </c>
      <c r="C58" s="3">
        <v>199502</v>
      </c>
      <c r="D58" s="3">
        <f>ROUND(IF(Data!E58&lt;0,0-Data!E58,0),1)</f>
        <v>0.2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40">
        <v>34752</v>
      </c>
      <c r="B59" s="3">
        <v>53</v>
      </c>
      <c r="C59" s="3">
        <v>199502</v>
      </c>
      <c r="D59" s="3">
        <f>ROUND(IF(Data!E59&lt;0,0-Data!E59,0),1)</f>
        <v>5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40">
        <v>34753</v>
      </c>
      <c r="B60" s="3">
        <v>54</v>
      </c>
      <c r="C60" s="3">
        <v>199502</v>
      </c>
      <c r="D60" s="3">
        <f>ROUND(IF(Data!E60&lt;0,0-Data!E60,0),1)</f>
        <v>2.2999999999999998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40">
        <v>34754</v>
      </c>
      <c r="B61" s="3">
        <v>55</v>
      </c>
      <c r="C61" s="3">
        <v>199502</v>
      </c>
      <c r="D61" s="3">
        <f>ROUND(IF(Data!E61&lt;0,0-Data!E61,0),1)</f>
        <v>0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40">
        <v>34755</v>
      </c>
      <c r="B62" s="3">
        <v>56</v>
      </c>
      <c r="C62" s="3">
        <v>199502</v>
      </c>
      <c r="D62" s="3">
        <f>ROUND(IF(Data!E62&lt;0,0-Data!E62,0),1)</f>
        <v>3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40">
        <v>34756</v>
      </c>
      <c r="B63" s="3">
        <v>57</v>
      </c>
      <c r="C63" s="3">
        <v>199502</v>
      </c>
      <c r="D63" s="3">
        <f>ROUND(IF(Data!E63&lt;0,0-Data!E63,0),1)</f>
        <v>11.9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40">
        <v>34757</v>
      </c>
      <c r="B64" s="3">
        <v>58</v>
      </c>
      <c r="C64" s="3">
        <v>199502</v>
      </c>
      <c r="D64" s="3">
        <f>ROUND(IF(Data!E64&lt;0,0-Data!E64,0),1)</f>
        <v>16.3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40">
        <v>34758</v>
      </c>
      <c r="B65" s="3">
        <v>59</v>
      </c>
      <c r="C65" s="3">
        <v>199502</v>
      </c>
      <c r="D65" s="3">
        <f>ROUND(IF(Data!E65&lt;0,0-Data!E65,0),1)</f>
        <v>16.899999999999999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40">
        <v>34759</v>
      </c>
      <c r="B66" s="3">
        <v>60</v>
      </c>
      <c r="C66" s="3">
        <v>199503</v>
      </c>
      <c r="D66" s="3">
        <f>ROUND(IF(Data!E66&lt;0,0-Data!E66,0),1)</f>
        <v>16.100000000000001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40">
        <v>34760</v>
      </c>
      <c r="B67" s="3">
        <v>61</v>
      </c>
      <c r="C67" s="3">
        <v>199503</v>
      </c>
      <c r="D67" s="3">
        <f>ROUND(IF(Data!E67&lt;0,0-Data!E67,0),1)</f>
        <v>13.1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40">
        <v>34761</v>
      </c>
      <c r="B68" s="3">
        <v>62</v>
      </c>
      <c r="C68" s="3">
        <v>199503</v>
      </c>
      <c r="D68" s="3">
        <f>ROUND(IF(Data!E68&lt;0,0-Data!E68,0),1)</f>
        <v>9.5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40">
        <v>34762</v>
      </c>
      <c r="B69" s="3">
        <v>63</v>
      </c>
      <c r="C69" s="3">
        <v>199503</v>
      </c>
      <c r="D69" s="3">
        <f>ROUND(IF(Data!E69&lt;0,0-Data!E69,0),1)</f>
        <v>10.8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40">
        <v>34763</v>
      </c>
      <c r="B70" s="3">
        <v>64</v>
      </c>
      <c r="C70" s="3">
        <v>199503</v>
      </c>
      <c r="D70" s="3">
        <f>ROUND(IF(Data!E70&lt;0,0-Data!E70,0),1)</f>
        <v>16.899999999999999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40">
        <v>34764</v>
      </c>
      <c r="B71" s="3">
        <v>65</v>
      </c>
      <c r="C71" s="3">
        <v>199503</v>
      </c>
      <c r="D71" s="3">
        <f>ROUND(IF(Data!E71&lt;0,0-Data!E71,0),1)</f>
        <v>18.899999999999999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40">
        <v>34765</v>
      </c>
      <c r="B72" s="3">
        <v>66</v>
      </c>
      <c r="C72" s="3">
        <v>199503</v>
      </c>
      <c r="D72" s="3">
        <f>ROUND(IF(Data!E72&lt;0,0-Data!E72,0),1)</f>
        <v>11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40">
        <v>34766</v>
      </c>
      <c r="B73" s="3">
        <v>67</v>
      </c>
      <c r="C73" s="3">
        <v>199503</v>
      </c>
      <c r="D73" s="3">
        <f>ROUND(IF(Data!E73&lt;0,0-Data!E73,0),1)</f>
        <v>4.7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40">
        <v>34767</v>
      </c>
      <c r="B74" s="3">
        <v>68</v>
      </c>
      <c r="C74" s="3">
        <v>199503</v>
      </c>
      <c r="D74" s="3">
        <f>ROUND(IF(Data!E74&lt;0,0-Data!E74,0),1)</f>
        <v>0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40">
        <v>34768</v>
      </c>
      <c r="B75" s="3">
        <v>69</v>
      </c>
      <c r="C75" s="3">
        <v>199503</v>
      </c>
      <c r="D75" s="3">
        <f>ROUND(IF(Data!E75&lt;0,0-Data!E75,0),1)</f>
        <v>0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40">
        <v>34769</v>
      </c>
      <c r="B76" s="3">
        <v>70</v>
      </c>
      <c r="C76" s="3">
        <v>199503</v>
      </c>
      <c r="D76" s="3">
        <f>ROUND(IF(Data!E76&lt;0,0-Data!E76,0),1)</f>
        <v>0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40">
        <v>34770</v>
      </c>
      <c r="B77" s="3">
        <v>71</v>
      </c>
      <c r="C77" s="3">
        <v>199503</v>
      </c>
      <c r="D77" s="3">
        <f>ROUND(IF(Data!E77&lt;0,0-Data!E77,0),1)</f>
        <v>1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40">
        <v>34771</v>
      </c>
      <c r="B78" s="3">
        <v>72</v>
      </c>
      <c r="C78" s="3">
        <v>199503</v>
      </c>
      <c r="D78" s="3">
        <f>ROUND(IF(Data!E78&lt;0,0-Data!E78,0),1)</f>
        <v>2.4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40">
        <v>34772</v>
      </c>
      <c r="B79" s="3">
        <v>73</v>
      </c>
      <c r="C79" s="3">
        <v>199503</v>
      </c>
      <c r="D79" s="3">
        <f>ROUND(IF(Data!E79&lt;0,0-Data!E79,0),1)</f>
        <v>0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40">
        <v>34773</v>
      </c>
      <c r="B80" s="3">
        <v>74</v>
      </c>
      <c r="C80" s="3">
        <v>199503</v>
      </c>
      <c r="D80" s="3">
        <f>ROUND(IF(Data!E80&lt;0,0-Data!E80,0),1)</f>
        <v>1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40">
        <v>34774</v>
      </c>
      <c r="B81" s="3">
        <v>75</v>
      </c>
      <c r="C81" s="3">
        <v>199503</v>
      </c>
      <c r="D81" s="3">
        <f>ROUND(IF(Data!E81&lt;0,0-Data!E81,0),1)</f>
        <v>1.6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40">
        <v>34775</v>
      </c>
      <c r="B82" s="3">
        <v>76</v>
      </c>
      <c r="C82" s="3">
        <v>199503</v>
      </c>
      <c r="D82" s="3">
        <f>ROUND(IF(Data!E82&lt;0,0-Data!E82,0),1)</f>
        <v>0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40">
        <v>34776</v>
      </c>
      <c r="B83" s="3">
        <v>77</v>
      </c>
      <c r="C83" s="3">
        <v>199503</v>
      </c>
      <c r="D83" s="3">
        <f>ROUND(IF(Data!E83&lt;0,0-Data!E83,0),1)</f>
        <v>0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40">
        <v>34777</v>
      </c>
      <c r="B84" s="3">
        <v>78</v>
      </c>
      <c r="C84" s="3">
        <v>199503</v>
      </c>
      <c r="D84" s="3">
        <f>ROUND(IF(Data!E84&lt;0,0-Data!E84,0),1)</f>
        <v>0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40">
        <v>34778</v>
      </c>
      <c r="B85" s="3">
        <v>79</v>
      </c>
      <c r="C85" s="3">
        <v>199503</v>
      </c>
      <c r="D85" s="3">
        <f>ROUND(IF(Data!E85&lt;0,0-Data!E85,0),1)</f>
        <v>0.9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40">
        <v>34779</v>
      </c>
      <c r="B86" s="3">
        <v>80</v>
      </c>
      <c r="C86" s="3">
        <v>199503</v>
      </c>
      <c r="D86" s="3">
        <f>ROUND(IF(Data!E86&lt;0,0-Data!E86,0),1)</f>
        <v>2.8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40">
        <v>34780</v>
      </c>
      <c r="B87" s="3">
        <v>81</v>
      </c>
      <c r="C87" s="3">
        <v>199503</v>
      </c>
      <c r="D87" s="3">
        <f>ROUND(IF(Data!E87&lt;0,0-Data!E87,0),1)</f>
        <v>3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40">
        <v>34781</v>
      </c>
      <c r="B88" s="3">
        <v>82</v>
      </c>
      <c r="C88" s="3">
        <v>199503</v>
      </c>
      <c r="D88" s="3">
        <f>ROUND(IF(Data!E88&lt;0,0-Data!E88,0),1)</f>
        <v>2.2000000000000002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40">
        <v>34782</v>
      </c>
      <c r="B89" s="3">
        <v>83</v>
      </c>
      <c r="C89" s="3">
        <v>199503</v>
      </c>
      <c r="D89" s="3">
        <f>ROUND(IF(Data!E89&lt;0,0-Data!E89,0),1)</f>
        <v>4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40">
        <v>34783</v>
      </c>
      <c r="B90" s="3">
        <v>84</v>
      </c>
      <c r="C90" s="3">
        <v>199503</v>
      </c>
      <c r="D90" s="3">
        <f>ROUND(IF(Data!E90&lt;0,0-Data!E90,0),1)</f>
        <v>7.9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40">
        <v>34784</v>
      </c>
      <c r="B91" s="3">
        <v>85</v>
      </c>
      <c r="C91" s="3">
        <v>199503</v>
      </c>
      <c r="D91" s="3">
        <f>ROUND(IF(Data!E91&lt;0,0-Data!E91,0),1)</f>
        <v>6.7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40">
        <v>34785</v>
      </c>
      <c r="B92" s="3">
        <v>86</v>
      </c>
      <c r="C92" s="3">
        <v>199503</v>
      </c>
      <c r="D92" s="3">
        <f>ROUND(IF(Data!E92&lt;0,0-Data!E92,0),1)</f>
        <v>3.4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40">
        <v>34786</v>
      </c>
      <c r="B93" s="3">
        <v>87</v>
      </c>
      <c r="C93" s="3">
        <v>199503</v>
      </c>
      <c r="D93" s="3">
        <f>ROUND(IF(Data!E93&lt;0,0-Data!E93,0),1)</f>
        <v>1.5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40">
        <v>34787</v>
      </c>
      <c r="B94" s="3">
        <v>88</v>
      </c>
      <c r="C94" s="3">
        <v>199503</v>
      </c>
      <c r="D94" s="3">
        <f>ROUND(IF(Data!E94&lt;0,0-Data!E94,0),1)</f>
        <v>0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40">
        <v>34788</v>
      </c>
      <c r="B95" s="3">
        <v>89</v>
      </c>
      <c r="C95" s="3">
        <v>199503</v>
      </c>
      <c r="D95" s="3">
        <f>ROUND(IF(Data!E95&lt;0,0-Data!E95,0),1)</f>
        <v>0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40">
        <v>34789</v>
      </c>
      <c r="B96" s="3">
        <v>90</v>
      </c>
      <c r="C96" s="3">
        <v>199503</v>
      </c>
      <c r="D96" s="3">
        <f>ROUND(IF(Data!E96&lt;0,0-Data!E96,0),1)</f>
        <v>0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40">
        <v>34790</v>
      </c>
      <c r="B97" s="3">
        <v>91</v>
      </c>
      <c r="C97" s="3">
        <v>199504</v>
      </c>
      <c r="D97" s="3">
        <f>ROUND(IF(Data!E97&lt;0,0-Data!E97,0),1)</f>
        <v>0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40">
        <v>34791</v>
      </c>
      <c r="B98" s="3">
        <v>92</v>
      </c>
      <c r="C98" s="3">
        <v>199504</v>
      </c>
      <c r="D98" s="3">
        <f>ROUND(IF(Data!E98&lt;0,0-Data!E98,0),1)</f>
        <v>1.3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40">
        <v>34792</v>
      </c>
      <c r="B99" s="3">
        <v>93</v>
      </c>
      <c r="C99" s="3">
        <v>199504</v>
      </c>
      <c r="D99" s="3">
        <f>ROUND(IF(Data!E99&lt;0,0-Data!E99,0),1)</f>
        <v>0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40">
        <v>34793</v>
      </c>
      <c r="B100" s="3">
        <v>94</v>
      </c>
      <c r="C100" s="3">
        <v>199504</v>
      </c>
      <c r="D100" s="3">
        <f>ROUND(IF(Data!E100&lt;0,0-Data!E100,0),1)</f>
        <v>0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40">
        <v>34794</v>
      </c>
      <c r="B101" s="3">
        <v>95</v>
      </c>
      <c r="C101" s="3">
        <v>199504</v>
      </c>
      <c r="D101" s="3">
        <f>ROUND(IF(Data!E101&lt;0,0-Data!E101,0),1)</f>
        <v>2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40">
        <v>34795</v>
      </c>
      <c r="B102" s="3">
        <v>96</v>
      </c>
      <c r="C102" s="3">
        <v>199504</v>
      </c>
      <c r="D102" s="3">
        <f>ROUND(IF(Data!E102&lt;0,0-Data!E102,0),1)</f>
        <v>0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40">
        <v>34796</v>
      </c>
      <c r="B103" s="3">
        <v>97</v>
      </c>
      <c r="C103" s="3">
        <v>199504</v>
      </c>
      <c r="D103" s="3">
        <f>ROUND(IF(Data!E103&lt;0,0-Data!E103,0),1)</f>
        <v>0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40">
        <v>34797</v>
      </c>
      <c r="B104" s="3">
        <v>98</v>
      </c>
      <c r="C104" s="3">
        <v>199504</v>
      </c>
      <c r="D104" s="3">
        <f>ROUND(IF(Data!E104&lt;0,0-Data!E104,0),1)</f>
        <v>1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40">
        <v>34798</v>
      </c>
      <c r="B105" s="3">
        <v>99</v>
      </c>
      <c r="C105" s="3">
        <v>199504</v>
      </c>
      <c r="D105" s="3">
        <f>ROUND(IF(Data!E105&lt;0,0-Data!E105,0),1)</f>
        <v>0.9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40">
        <v>34799</v>
      </c>
      <c r="B106" s="3">
        <v>100</v>
      </c>
      <c r="C106" s="3">
        <v>199504</v>
      </c>
      <c r="D106" s="3">
        <f>ROUND(IF(Data!E106&lt;0,0-Data!E106,0),1)</f>
        <v>1.9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40">
        <v>34800</v>
      </c>
      <c r="B107" s="3">
        <v>101</v>
      </c>
      <c r="C107" s="3">
        <v>199504</v>
      </c>
      <c r="D107" s="3">
        <f>ROUND(IF(Data!E107&lt;0,0-Data!E107,0),1)</f>
        <v>3.2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40">
        <v>34801</v>
      </c>
      <c r="B108" s="3">
        <v>102</v>
      </c>
      <c r="C108" s="3">
        <v>199504</v>
      </c>
      <c r="D108" s="3">
        <f>ROUND(IF(Data!E108&lt;0,0-Data!E108,0),1)</f>
        <v>2.8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40">
        <v>34802</v>
      </c>
      <c r="B109" s="3">
        <v>103</v>
      </c>
      <c r="C109" s="3">
        <v>199504</v>
      </c>
      <c r="D109" s="3">
        <f>ROUND(IF(Data!E109&lt;0,0-Data!E109,0),1)</f>
        <v>0.6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40">
        <v>34803</v>
      </c>
      <c r="B110" s="3">
        <v>104</v>
      </c>
      <c r="C110" s="3">
        <v>199504</v>
      </c>
      <c r="D110" s="3">
        <f>ROUND(IF(Data!E110&lt;0,0-Data!E110,0),1)</f>
        <v>3.1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40">
        <v>34804</v>
      </c>
      <c r="B111" s="3">
        <v>105</v>
      </c>
      <c r="C111" s="3">
        <v>199504</v>
      </c>
      <c r="D111" s="3">
        <f>ROUND(IF(Data!E111&lt;0,0-Data!E111,0),1)</f>
        <v>3.4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40">
        <v>34805</v>
      </c>
      <c r="B112" s="3">
        <v>106</v>
      </c>
      <c r="C112" s="3">
        <v>199504</v>
      </c>
      <c r="D112" s="3">
        <f>ROUND(IF(Data!E112&lt;0,0-Data!E112,0),1)</f>
        <v>3.6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40">
        <v>34806</v>
      </c>
      <c r="B113" s="3">
        <v>107</v>
      </c>
      <c r="C113" s="3">
        <v>199504</v>
      </c>
      <c r="D113" s="3">
        <f>ROUND(IF(Data!E113&lt;0,0-Data!E113,0),1)</f>
        <v>0.5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40">
        <v>34807</v>
      </c>
      <c r="B114" s="3">
        <v>108</v>
      </c>
      <c r="C114" s="3">
        <v>199504</v>
      </c>
      <c r="D114" s="3">
        <f>ROUND(IF(Data!E114&lt;0,0-Data!E114,0),1)</f>
        <v>0.6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40">
        <v>34808</v>
      </c>
      <c r="B115" s="3">
        <v>109</v>
      </c>
      <c r="C115" s="3">
        <v>199504</v>
      </c>
      <c r="D115" s="3">
        <f>ROUND(IF(Data!E115&lt;0,0-Data!E115,0),1)</f>
        <v>1.8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40">
        <v>34809</v>
      </c>
      <c r="B116" s="3">
        <v>110</v>
      </c>
      <c r="C116" s="3">
        <v>199504</v>
      </c>
      <c r="D116" s="3">
        <f>ROUND(IF(Data!E116&lt;0,0-Data!E116,0),1)</f>
        <v>1.8</v>
      </c>
      <c r="E116" s="3">
        <f>ROUND(IF(Data!E116&gt;5,Data!E116-5,0),1)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40">
        <v>34810</v>
      </c>
      <c r="B117" s="3">
        <v>111</v>
      </c>
      <c r="C117" s="3">
        <v>199504</v>
      </c>
      <c r="D117" s="3">
        <f>ROUND(IF(Data!E117&lt;0,0-Data!E117,0),1)</f>
        <v>0.5</v>
      </c>
      <c r="E117" s="3">
        <f>ROUND(IF(Data!E117&gt;5,Data!E117-5,0),1)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40">
        <v>34811</v>
      </c>
      <c r="B118" s="3">
        <v>112</v>
      </c>
      <c r="C118" s="3">
        <v>199504</v>
      </c>
      <c r="D118" s="3">
        <f>ROUND(IF(Data!E118&lt;0,0-Data!E118,0),1)</f>
        <v>0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40">
        <v>34812</v>
      </c>
      <c r="B119" s="3">
        <v>113</v>
      </c>
      <c r="C119" s="3">
        <v>199504</v>
      </c>
      <c r="D119" s="3">
        <f>ROUND(IF(Data!E119&lt;0,0-Data!E119,0),1)</f>
        <v>0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40">
        <v>34813</v>
      </c>
      <c r="B120" s="3">
        <v>114</v>
      </c>
      <c r="C120" s="3">
        <v>199504</v>
      </c>
      <c r="D120" s="3">
        <f>ROUND(IF(Data!E120&lt;0,0-Data!E120,0),1)</f>
        <v>0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40">
        <v>34814</v>
      </c>
      <c r="B121" s="3">
        <v>115</v>
      </c>
      <c r="C121" s="3">
        <v>199504</v>
      </c>
      <c r="D121" s="3">
        <f>ROUND(IF(Data!E121&lt;0,0-Data!E121,0),1)</f>
        <v>0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40">
        <v>34815</v>
      </c>
      <c r="B122" s="3">
        <v>116</v>
      </c>
      <c r="C122" s="3">
        <v>199504</v>
      </c>
      <c r="D122" s="3">
        <f>ROUND(IF(Data!E122&lt;0,0-Data!E122,0),1)</f>
        <v>0</v>
      </c>
      <c r="E122" s="3">
        <f>ROUND(IF(Data!E122&gt;5,Data!E122-5,0),1)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40">
        <v>34816</v>
      </c>
      <c r="B123" s="3">
        <v>117</v>
      </c>
      <c r="C123" s="3">
        <v>199504</v>
      </c>
      <c r="D123" s="3">
        <f>ROUND(IF(Data!E123&lt;0,0-Data!E123,0),1)</f>
        <v>0</v>
      </c>
      <c r="E123" s="3">
        <f>ROUND(IF(Data!E123&gt;5,Data!E123-5,0),1)</f>
        <v>1.2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40">
        <v>34817</v>
      </c>
      <c r="B124" s="3">
        <v>118</v>
      </c>
      <c r="C124" s="3">
        <v>199504</v>
      </c>
      <c r="D124" s="3">
        <f>ROUND(IF(Data!E124&lt;0,0-Data!E124,0),1)</f>
        <v>0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40">
        <v>34818</v>
      </c>
      <c r="B125" s="3">
        <v>119</v>
      </c>
      <c r="C125" s="3">
        <v>199504</v>
      </c>
      <c r="D125" s="3">
        <f>ROUND(IF(Data!E125&lt;0,0-Data!E125,0),1)</f>
        <v>0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40">
        <v>34819</v>
      </c>
      <c r="B126" s="3">
        <v>120</v>
      </c>
      <c r="C126" s="3">
        <v>199504</v>
      </c>
      <c r="D126" s="3">
        <f>ROUND(IF(Data!E126&lt;0,0-Data!E126,0),1)</f>
        <v>0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40">
        <v>34820</v>
      </c>
      <c r="B127" s="3">
        <v>121</v>
      </c>
      <c r="C127" s="3">
        <v>199505</v>
      </c>
      <c r="D127" s="3">
        <f>ROUND(IF(Data!E127&lt;0,0-Data!E127,0),1)</f>
        <v>0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40">
        <v>34821</v>
      </c>
      <c r="B128" s="3">
        <v>122</v>
      </c>
      <c r="C128" s="3">
        <v>199505</v>
      </c>
      <c r="D128" s="3">
        <f>ROUND(IF(Data!E128&lt;0,0-Data!E128,0),1)</f>
        <v>0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40">
        <v>34822</v>
      </c>
      <c r="B129" s="3">
        <v>123</v>
      </c>
      <c r="C129" s="3">
        <v>199505</v>
      </c>
      <c r="D129" s="3">
        <f>ROUND(IF(Data!E129&lt;0,0-Data!E129,0),1)</f>
        <v>0</v>
      </c>
      <c r="E129" s="3">
        <f>ROUND(IF(Data!E129&gt;5,Data!E129-5,0),1)</f>
        <v>0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40">
        <v>34823</v>
      </c>
      <c r="B130" s="3">
        <v>124</v>
      </c>
      <c r="C130" s="3">
        <v>199505</v>
      </c>
      <c r="D130" s="3">
        <f>ROUND(IF(Data!E130&lt;0,0-Data!E130,0),1)</f>
        <v>0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40">
        <v>34824</v>
      </c>
      <c r="B131" s="3">
        <v>125</v>
      </c>
      <c r="C131" s="3">
        <v>199505</v>
      </c>
      <c r="D131" s="3">
        <f>ROUND(IF(Data!E131&lt;0,0-Data!E131,0),1)</f>
        <v>0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40">
        <v>34825</v>
      </c>
      <c r="B132" s="3">
        <v>126</v>
      </c>
      <c r="C132" s="3">
        <v>199505</v>
      </c>
      <c r="D132" s="3">
        <f>ROUND(IF(Data!E132&lt;0,0-Data!E132,0),1)</f>
        <v>0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40">
        <v>34826</v>
      </c>
      <c r="B133" s="3">
        <v>127</v>
      </c>
      <c r="C133" s="3">
        <v>199505</v>
      </c>
      <c r="D133" s="3">
        <f>ROUND(IF(Data!E133&lt;0,0-Data!E133,0),1)</f>
        <v>0</v>
      </c>
      <c r="E133" s="3">
        <f>ROUND(IF(Data!E133&gt;5,Data!E133-5,0),1)</f>
        <v>0.7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40">
        <v>34827</v>
      </c>
      <c r="B134" s="3">
        <v>128</v>
      </c>
      <c r="C134" s="3">
        <v>199505</v>
      </c>
      <c r="D134" s="3">
        <f>ROUND(IF(Data!E134&lt;0,0-Data!E134,0),1)</f>
        <v>0</v>
      </c>
      <c r="E134" s="3">
        <f>ROUND(IF(Data!E134&gt;5,Data!E134-5,0),1)</f>
        <v>1.4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40">
        <v>34828</v>
      </c>
      <c r="B135" s="3">
        <v>129</v>
      </c>
      <c r="C135" s="3">
        <v>199505</v>
      </c>
      <c r="D135" s="3">
        <f>ROUND(IF(Data!E135&lt;0,0-Data!E135,0),1)</f>
        <v>0</v>
      </c>
      <c r="E135" s="3">
        <f>ROUND(IF(Data!E135&gt;5,Data!E135-5,0),1)</f>
        <v>2.1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40">
        <v>34829</v>
      </c>
      <c r="B136" s="3">
        <v>130</v>
      </c>
      <c r="C136" s="3">
        <v>199505</v>
      </c>
      <c r="D136" s="3">
        <f>ROUND(IF(Data!E136&lt;0,0-Data!E136,0),1)</f>
        <v>0</v>
      </c>
      <c r="E136" s="3">
        <f>ROUND(IF(Data!E136&gt;5,Data!E136-5,0),1)</f>
        <v>0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40">
        <v>34830</v>
      </c>
      <c r="B137" s="3">
        <v>131</v>
      </c>
      <c r="C137" s="3">
        <v>199505</v>
      </c>
      <c r="D137" s="3">
        <f>ROUND(IF(Data!E137&lt;0,0-Data!E137,0),1)</f>
        <v>0</v>
      </c>
      <c r="E137" s="3">
        <f>ROUND(IF(Data!E137&gt;5,Data!E137-5,0),1)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40">
        <v>34831</v>
      </c>
      <c r="B138" s="3">
        <v>132</v>
      </c>
      <c r="C138" s="3">
        <v>199505</v>
      </c>
      <c r="D138" s="3">
        <f>ROUND(IF(Data!E138&lt;0,0-Data!E138,0),1)</f>
        <v>0</v>
      </c>
      <c r="E138" s="3">
        <f>ROUND(IF(Data!E138&gt;5,Data!E138-5,0),1)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40">
        <v>34832</v>
      </c>
      <c r="B139" s="3">
        <v>133</v>
      </c>
      <c r="C139" s="3">
        <v>199505</v>
      </c>
      <c r="D139" s="3">
        <f>ROUND(IF(Data!E139&lt;0,0-Data!E139,0),1)</f>
        <v>0</v>
      </c>
      <c r="E139" s="3">
        <f>ROUND(IF(Data!E139&gt;5,Data!E139-5,0),1)</f>
        <v>0.4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40">
        <v>34833</v>
      </c>
      <c r="B140" s="3">
        <v>134</v>
      </c>
      <c r="C140" s="3">
        <v>199505</v>
      </c>
      <c r="D140" s="3">
        <f>ROUND(IF(Data!E140&lt;0,0-Data!E140,0),1)</f>
        <v>0</v>
      </c>
      <c r="E140" s="3">
        <f>ROUND(IF(Data!E140&gt;5,Data!E140-5,0),1)</f>
        <v>1.5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40">
        <v>34834</v>
      </c>
      <c r="B141" s="3">
        <v>135</v>
      </c>
      <c r="C141" s="3">
        <v>199505</v>
      </c>
      <c r="D141" s="3">
        <f>ROUND(IF(Data!E141&lt;0,0-Data!E141,0),1)</f>
        <v>0</v>
      </c>
      <c r="E141" s="3">
        <f>ROUND(IF(Data!E141&gt;5,Data!E141-5,0),1)</f>
        <v>2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40">
        <v>34835</v>
      </c>
      <c r="B142" s="3">
        <v>136</v>
      </c>
      <c r="C142" s="3">
        <v>199505</v>
      </c>
      <c r="D142" s="3">
        <f>ROUND(IF(Data!E142&lt;0,0-Data!E142,0),1)</f>
        <v>0</v>
      </c>
      <c r="E142" s="3">
        <f>ROUND(IF(Data!E142&gt;5,Data!E142-5,0),1)</f>
        <v>2.8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40">
        <v>34836</v>
      </c>
      <c r="B143" s="3">
        <v>137</v>
      </c>
      <c r="C143" s="3">
        <v>199505</v>
      </c>
      <c r="D143" s="3">
        <f>ROUND(IF(Data!E143&lt;0,0-Data!E143,0),1)</f>
        <v>0</v>
      </c>
      <c r="E143" s="3">
        <f>ROUND(IF(Data!E143&gt;5,Data!E143-5,0),1)</f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40">
        <v>34837</v>
      </c>
      <c r="B144" s="3">
        <v>138</v>
      </c>
      <c r="C144" s="3">
        <v>199505</v>
      </c>
      <c r="D144" s="3">
        <f>ROUND(IF(Data!E144&lt;0,0-Data!E144,0),1)</f>
        <v>0</v>
      </c>
      <c r="E144" s="3">
        <f>ROUND(IF(Data!E144&gt;5,Data!E144-5,0),1)</f>
        <v>0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40">
        <v>34838</v>
      </c>
      <c r="B145" s="3">
        <v>139</v>
      </c>
      <c r="C145" s="3">
        <v>199505</v>
      </c>
      <c r="D145" s="3">
        <f>ROUND(IF(Data!E145&lt;0,0-Data!E145,0),1)</f>
        <v>0</v>
      </c>
      <c r="E145" s="3">
        <f>ROUND(IF(Data!E145&gt;5,Data!E145-5,0),1)</f>
        <v>0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40">
        <v>34839</v>
      </c>
      <c r="B146" s="3">
        <v>140</v>
      </c>
      <c r="C146" s="3">
        <v>199505</v>
      </c>
      <c r="D146" s="3">
        <f>ROUND(IF(Data!E146&lt;0,0-Data!E146,0),1)</f>
        <v>0</v>
      </c>
      <c r="E146" s="3">
        <f>ROUND(IF(Data!E146&gt;5,Data!E146-5,0),1)</f>
        <v>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40">
        <v>34840</v>
      </c>
      <c r="B147" s="3">
        <v>141</v>
      </c>
      <c r="C147" s="3">
        <v>199505</v>
      </c>
      <c r="D147" s="3">
        <f>ROUND(IF(Data!E147&lt;0,0-Data!E147,0),1)</f>
        <v>0</v>
      </c>
      <c r="E147" s="3">
        <f>ROUND(IF(Data!E147&gt;5,Data!E147-5,0),1)</f>
        <v>0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40">
        <v>34841</v>
      </c>
      <c r="B148" s="3">
        <v>142</v>
      </c>
      <c r="C148" s="3">
        <v>199505</v>
      </c>
      <c r="D148" s="3">
        <f>ROUND(IF(Data!E148&lt;0,0-Data!E148,0),1)</f>
        <v>0</v>
      </c>
      <c r="E148" s="3">
        <f>ROUND(IF(Data!E148&gt;5,Data!E148-5,0),1)</f>
        <v>0.6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40">
        <v>34842</v>
      </c>
      <c r="B149" s="3">
        <v>143</v>
      </c>
      <c r="C149" s="3">
        <v>199505</v>
      </c>
      <c r="D149" s="3">
        <f>ROUND(IF(Data!E149&lt;0,0-Data!E149,0),1)</f>
        <v>0</v>
      </c>
      <c r="E149" s="3">
        <f>ROUND(IF(Data!E149&gt;5,Data!E149-5,0),1)</f>
        <v>2.4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40">
        <v>34843</v>
      </c>
      <c r="B150" s="3">
        <v>144</v>
      </c>
      <c r="C150" s="3">
        <v>199505</v>
      </c>
      <c r="D150" s="3">
        <f>ROUND(IF(Data!E150&lt;0,0-Data!E150,0),1)</f>
        <v>0</v>
      </c>
      <c r="E150" s="3">
        <f>ROUND(IF(Data!E150&gt;5,Data!E150-5,0),1)</f>
        <v>2.5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40">
        <v>34844</v>
      </c>
      <c r="B151" s="3">
        <v>145</v>
      </c>
      <c r="C151" s="3">
        <v>199505</v>
      </c>
      <c r="D151" s="3">
        <f>ROUND(IF(Data!E151&lt;0,0-Data!E151,0),1)</f>
        <v>0</v>
      </c>
      <c r="E151" s="3">
        <f>ROUND(IF(Data!E151&gt;5,Data!E151-5,0),1)</f>
        <v>1.5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40">
        <v>34845</v>
      </c>
      <c r="B152" s="3">
        <v>146</v>
      </c>
      <c r="C152" s="3">
        <v>199505</v>
      </c>
      <c r="D152" s="3">
        <f>ROUND(IF(Data!E152&lt;0,0-Data!E152,0),1)</f>
        <v>0</v>
      </c>
      <c r="E152" s="3">
        <f>ROUND(IF(Data!E152&gt;5,Data!E152-5,0),1)</f>
        <v>1.3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40">
        <v>34846</v>
      </c>
      <c r="B153" s="3">
        <v>147</v>
      </c>
      <c r="C153" s="3">
        <v>199505</v>
      </c>
      <c r="D153" s="3">
        <f>ROUND(IF(Data!E153&lt;0,0-Data!E153,0),1)</f>
        <v>0</v>
      </c>
      <c r="E153" s="3">
        <f>ROUND(IF(Data!E153&gt;5,Data!E153-5,0),1)</f>
        <v>4.0999999999999996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40">
        <v>34847</v>
      </c>
      <c r="B154" s="3">
        <v>148</v>
      </c>
      <c r="C154" s="3">
        <v>199505</v>
      </c>
      <c r="D154" s="3">
        <f>ROUND(IF(Data!E154&lt;0,0-Data!E154,0),1)</f>
        <v>0</v>
      </c>
      <c r="E154" s="3">
        <f>ROUND(IF(Data!E154&gt;5,Data!E154-5,0),1)</f>
        <v>6.4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40">
        <v>34848</v>
      </c>
      <c r="B155" s="3">
        <v>149</v>
      </c>
      <c r="C155" s="3">
        <v>199505</v>
      </c>
      <c r="D155" s="3">
        <f>ROUND(IF(Data!E155&lt;0,0-Data!E155,0),1)</f>
        <v>0</v>
      </c>
      <c r="E155" s="3">
        <f>ROUND(IF(Data!E155&gt;5,Data!E155-5,0),1)</f>
        <v>7.6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40">
        <v>34849</v>
      </c>
      <c r="B156" s="3">
        <v>150</v>
      </c>
      <c r="C156" s="3">
        <v>199505</v>
      </c>
      <c r="D156" s="3">
        <f>ROUND(IF(Data!E156&lt;0,0-Data!E156,0),1)</f>
        <v>0</v>
      </c>
      <c r="E156" s="3">
        <f>ROUND(IF(Data!E156&gt;5,Data!E156-5,0),1)</f>
        <v>6.2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40">
        <v>34850</v>
      </c>
      <c r="B157" s="3">
        <v>151</v>
      </c>
      <c r="C157" s="3">
        <v>199505</v>
      </c>
      <c r="D157" s="3">
        <f>ROUND(IF(Data!E157&lt;0,0-Data!E157,0),1)</f>
        <v>0</v>
      </c>
      <c r="E157" s="3">
        <f>ROUND(IF(Data!E157&gt;5,Data!E157-5,0),1)</f>
        <v>4.5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40">
        <v>34851</v>
      </c>
      <c r="B158" s="3">
        <v>152</v>
      </c>
      <c r="C158" s="3">
        <v>199506</v>
      </c>
      <c r="D158" s="3">
        <f>ROUND(IF(Data!E158&lt;0,0-Data!E158,0),1)</f>
        <v>0</v>
      </c>
      <c r="E158" s="3">
        <f>ROUND(IF(Data!E158&gt;5,Data!E158-5,0),1)</f>
        <v>6.1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40">
        <v>34852</v>
      </c>
      <c r="B159" s="3">
        <v>153</v>
      </c>
      <c r="C159" s="3">
        <v>199506</v>
      </c>
      <c r="D159" s="3">
        <f>ROUND(IF(Data!E159&lt;0,0-Data!E159,0),1)</f>
        <v>0</v>
      </c>
      <c r="E159" s="3">
        <f>ROUND(IF(Data!E159&gt;5,Data!E159-5,0),1)</f>
        <v>6.2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40">
        <v>34853</v>
      </c>
      <c r="B160" s="3">
        <v>154</v>
      </c>
      <c r="C160" s="3">
        <v>199506</v>
      </c>
      <c r="D160" s="3">
        <f>ROUND(IF(Data!E160&lt;0,0-Data!E160,0),1)</f>
        <v>0</v>
      </c>
      <c r="E160" s="3">
        <f>ROUND(IF(Data!E160&gt;5,Data!E160-5,0),1)</f>
        <v>6.3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40">
        <v>34854</v>
      </c>
      <c r="B161" s="3">
        <v>155</v>
      </c>
      <c r="C161" s="3">
        <v>199506</v>
      </c>
      <c r="D161" s="3">
        <f>ROUND(IF(Data!E161&lt;0,0-Data!E161,0),1)</f>
        <v>0</v>
      </c>
      <c r="E161" s="3">
        <f>ROUND(IF(Data!E161&gt;5,Data!E161-5,0),1)</f>
        <v>5.2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40">
        <v>34855</v>
      </c>
      <c r="B162" s="3">
        <v>156</v>
      </c>
      <c r="C162" s="3">
        <v>199506</v>
      </c>
      <c r="D162" s="3">
        <f>ROUND(IF(Data!E162&lt;0,0-Data!E162,0),1)</f>
        <v>0</v>
      </c>
      <c r="E162" s="3">
        <f>ROUND(IF(Data!E162&gt;5,Data!E162-5,0),1)</f>
        <v>0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40">
        <v>34856</v>
      </c>
      <c r="B163" s="3">
        <v>157</v>
      </c>
      <c r="C163" s="3">
        <v>199506</v>
      </c>
      <c r="D163" s="3">
        <f>ROUND(IF(Data!E163&lt;0,0-Data!E163,0),1)</f>
        <v>0</v>
      </c>
      <c r="E163" s="3">
        <f>ROUND(IF(Data!E163&gt;5,Data!E163-5,0),1)</f>
        <v>0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40">
        <v>34857</v>
      </c>
      <c r="B164" s="3">
        <v>158</v>
      </c>
      <c r="C164" s="3">
        <v>199506</v>
      </c>
      <c r="D164" s="3">
        <f>ROUND(IF(Data!E164&lt;0,0-Data!E164,0),1)</f>
        <v>0</v>
      </c>
      <c r="E164" s="3">
        <f>ROUND(IF(Data!E164&gt;5,Data!E164-5,0),1)</f>
        <v>3.7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40">
        <v>34858</v>
      </c>
      <c r="B165" s="3">
        <v>159</v>
      </c>
      <c r="C165" s="3">
        <v>199506</v>
      </c>
      <c r="D165" s="3">
        <f>ROUND(IF(Data!E165&lt;0,0-Data!E165,0),1)</f>
        <v>0</v>
      </c>
      <c r="E165" s="3">
        <f>ROUND(IF(Data!E165&gt;5,Data!E165-5,0),1)</f>
        <v>4.7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40">
        <v>34859</v>
      </c>
      <c r="B166" s="3">
        <v>160</v>
      </c>
      <c r="C166" s="3">
        <v>199506</v>
      </c>
      <c r="D166" s="3">
        <f>ROUND(IF(Data!E166&lt;0,0-Data!E166,0),1)</f>
        <v>0</v>
      </c>
      <c r="E166" s="3">
        <f>ROUND(IF(Data!E166&gt;5,Data!E166-5,0),1)</f>
        <v>4.9000000000000004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40">
        <v>34860</v>
      </c>
      <c r="B167" s="3">
        <v>161</v>
      </c>
      <c r="C167" s="3">
        <v>199506</v>
      </c>
      <c r="D167" s="3">
        <f>ROUND(IF(Data!E167&lt;0,0-Data!E167,0),1)</f>
        <v>0</v>
      </c>
      <c r="E167" s="3">
        <f>ROUND(IF(Data!E167&gt;5,Data!E167-5,0),1)</f>
        <v>5.0999999999999996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40">
        <v>34861</v>
      </c>
      <c r="B168" s="3">
        <v>162</v>
      </c>
      <c r="C168" s="3">
        <v>199506</v>
      </c>
      <c r="D168" s="3">
        <f>ROUND(IF(Data!E168&lt;0,0-Data!E168,0),1)</f>
        <v>0</v>
      </c>
      <c r="E168" s="3">
        <f>ROUND(IF(Data!E168&gt;5,Data!E168-5,0),1)</f>
        <v>2.6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40">
        <v>34862</v>
      </c>
      <c r="B169" s="3">
        <v>163</v>
      </c>
      <c r="C169" s="3">
        <v>199506</v>
      </c>
      <c r="D169" s="3">
        <f>ROUND(IF(Data!E169&lt;0,0-Data!E169,0),1)</f>
        <v>0</v>
      </c>
      <c r="E169" s="3">
        <f>ROUND(IF(Data!E169&gt;5,Data!E169-5,0),1)</f>
        <v>3.3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40">
        <v>34863</v>
      </c>
      <c r="B170" s="3">
        <v>164</v>
      </c>
      <c r="C170" s="3">
        <v>199506</v>
      </c>
      <c r="D170" s="3">
        <f>ROUND(IF(Data!E170&lt;0,0-Data!E170,0),1)</f>
        <v>0</v>
      </c>
      <c r="E170" s="3">
        <f>ROUND(IF(Data!E170&gt;5,Data!E170-5,0),1)</f>
        <v>0.8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40">
        <v>34864</v>
      </c>
      <c r="B171" s="3">
        <v>165</v>
      </c>
      <c r="C171" s="3">
        <v>199506</v>
      </c>
      <c r="D171" s="3">
        <f>ROUND(IF(Data!E171&lt;0,0-Data!E171,0),1)</f>
        <v>0</v>
      </c>
      <c r="E171" s="3">
        <f>ROUND(IF(Data!E171&gt;5,Data!E171-5,0),1)</f>
        <v>1.4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40">
        <v>34865</v>
      </c>
      <c r="B172" s="3">
        <v>166</v>
      </c>
      <c r="C172" s="3">
        <v>199506</v>
      </c>
      <c r="D172" s="3">
        <f>ROUND(IF(Data!E172&lt;0,0-Data!E172,0),1)</f>
        <v>0</v>
      </c>
      <c r="E172" s="3">
        <f>ROUND(IF(Data!E172&gt;5,Data!E172-5,0),1)</f>
        <v>3.3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40">
        <v>34866</v>
      </c>
      <c r="B173" s="3">
        <v>167</v>
      </c>
      <c r="C173" s="3">
        <v>199506</v>
      </c>
      <c r="D173" s="3">
        <f>ROUND(IF(Data!E173&lt;0,0-Data!E173,0),1)</f>
        <v>0</v>
      </c>
      <c r="E173" s="3">
        <f>ROUND(IF(Data!E173&gt;5,Data!E173-5,0),1)</f>
        <v>4.5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40">
        <v>34867</v>
      </c>
      <c r="B174" s="3">
        <v>168</v>
      </c>
      <c r="C174" s="3">
        <v>199506</v>
      </c>
      <c r="D174" s="3">
        <f>ROUND(IF(Data!E174&lt;0,0-Data!E174,0),1)</f>
        <v>0</v>
      </c>
      <c r="E174" s="3">
        <f>ROUND(IF(Data!E174&gt;5,Data!E174-5,0),1)</f>
        <v>2.9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40">
        <v>34868</v>
      </c>
      <c r="B175" s="3">
        <v>169</v>
      </c>
      <c r="C175" s="3">
        <v>199506</v>
      </c>
      <c r="D175" s="3">
        <f>ROUND(IF(Data!E175&lt;0,0-Data!E175,0),1)</f>
        <v>0</v>
      </c>
      <c r="E175" s="3">
        <f>ROUND(IF(Data!E175&gt;5,Data!E175-5,0),1)</f>
        <v>2.4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40">
        <v>34869</v>
      </c>
      <c r="B176" s="3">
        <v>170</v>
      </c>
      <c r="C176" s="3">
        <v>199506</v>
      </c>
      <c r="D176" s="3">
        <f>ROUND(IF(Data!E176&lt;0,0-Data!E176,0),1)</f>
        <v>0</v>
      </c>
      <c r="E176" s="3">
        <f>ROUND(IF(Data!E176&gt;5,Data!E176-5,0),1)</f>
        <v>2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40">
        <v>34870</v>
      </c>
      <c r="B177" s="3">
        <v>171</v>
      </c>
      <c r="C177" s="3">
        <v>199506</v>
      </c>
      <c r="D177" s="3">
        <f>ROUND(IF(Data!E177&lt;0,0-Data!E177,0),1)</f>
        <v>0</v>
      </c>
      <c r="E177" s="3">
        <f>ROUND(IF(Data!E177&gt;5,Data!E177-5,0),1)</f>
        <v>2.8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40">
        <v>34871</v>
      </c>
      <c r="B178" s="3">
        <v>172</v>
      </c>
      <c r="C178" s="3">
        <v>199506</v>
      </c>
      <c r="D178" s="3">
        <f>ROUND(IF(Data!E178&lt;0,0-Data!E178,0),1)</f>
        <v>0</v>
      </c>
      <c r="E178" s="3">
        <f>ROUND(IF(Data!E178&gt;5,Data!E178-5,0),1)</f>
        <v>4.7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40">
        <v>34872</v>
      </c>
      <c r="B179" s="3">
        <v>173</v>
      </c>
      <c r="C179" s="3">
        <v>199506</v>
      </c>
      <c r="D179" s="3">
        <f>ROUND(IF(Data!E179&lt;0,0-Data!E179,0),1)</f>
        <v>0</v>
      </c>
      <c r="E179" s="3">
        <f>ROUND(IF(Data!E179&gt;5,Data!E179-5,0),1)</f>
        <v>5.6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40">
        <v>34873</v>
      </c>
      <c r="B180" s="3">
        <v>174</v>
      </c>
      <c r="C180" s="3">
        <v>199506</v>
      </c>
      <c r="D180" s="3">
        <f>ROUND(IF(Data!E180&lt;0,0-Data!E180,0),1)</f>
        <v>0</v>
      </c>
      <c r="E180" s="3">
        <f>ROUND(IF(Data!E180&gt;5,Data!E180-5,0),1)</f>
        <v>7.7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40">
        <v>34874</v>
      </c>
      <c r="B181" s="3">
        <v>175</v>
      </c>
      <c r="C181" s="3">
        <v>199506</v>
      </c>
      <c r="D181" s="3">
        <f>ROUND(IF(Data!E181&lt;0,0-Data!E181,0),1)</f>
        <v>0</v>
      </c>
      <c r="E181" s="3">
        <f>ROUND(IF(Data!E181&gt;5,Data!E181-5,0),1)</f>
        <v>8.1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40">
        <v>34875</v>
      </c>
      <c r="B182" s="3">
        <v>176</v>
      </c>
      <c r="C182" s="3">
        <v>199506</v>
      </c>
      <c r="D182" s="3">
        <f>ROUND(IF(Data!E182&lt;0,0-Data!E182,0),1)</f>
        <v>0</v>
      </c>
      <c r="E182" s="3">
        <f>ROUND(IF(Data!E182&gt;5,Data!E182-5,0),1)</f>
        <v>6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40">
        <v>34876</v>
      </c>
      <c r="B183" s="3">
        <v>177</v>
      </c>
      <c r="C183" s="3">
        <v>199506</v>
      </c>
      <c r="D183" s="3">
        <f>ROUND(IF(Data!E183&lt;0,0-Data!E183,0),1)</f>
        <v>0</v>
      </c>
      <c r="E183" s="3">
        <f>ROUND(IF(Data!E183&gt;5,Data!E183-5,0),1)</f>
        <v>3.5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40">
        <v>34877</v>
      </c>
      <c r="B184" s="3">
        <v>178</v>
      </c>
      <c r="C184" s="3">
        <v>199506</v>
      </c>
      <c r="D184" s="3">
        <f>ROUND(IF(Data!E184&lt;0,0-Data!E184,0),1)</f>
        <v>0</v>
      </c>
      <c r="E184" s="3">
        <f>ROUND(IF(Data!E184&gt;5,Data!E184-5,0),1)</f>
        <v>4.2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40">
        <v>34878</v>
      </c>
      <c r="B185" s="3">
        <v>179</v>
      </c>
      <c r="C185" s="3">
        <v>199506</v>
      </c>
      <c r="D185" s="3">
        <f>ROUND(IF(Data!E185&lt;0,0-Data!E185,0),1)</f>
        <v>0</v>
      </c>
      <c r="E185" s="3">
        <f>ROUND(IF(Data!E185&gt;5,Data!E185-5,0),1)</f>
        <v>7.5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40">
        <v>34879</v>
      </c>
      <c r="B186" s="3">
        <v>180</v>
      </c>
      <c r="C186" s="3">
        <v>199506</v>
      </c>
      <c r="D186" s="3">
        <f>ROUND(IF(Data!E186&lt;0,0-Data!E186,0),1)</f>
        <v>0</v>
      </c>
      <c r="E186" s="3">
        <f>ROUND(IF(Data!E186&gt;5,Data!E186-5,0),1)</f>
        <v>8.8000000000000007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40">
        <v>34880</v>
      </c>
      <c r="B187" s="3">
        <v>181</v>
      </c>
      <c r="C187" s="3">
        <v>199506</v>
      </c>
      <c r="D187" s="3">
        <f>ROUND(IF(Data!E187&lt;0,0-Data!E187,0),1)</f>
        <v>0</v>
      </c>
      <c r="E187" s="3">
        <f>ROUND(IF(Data!E187&gt;5,Data!E187-5,0),1)</f>
        <v>10.5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40">
        <v>34881</v>
      </c>
      <c r="B188" s="3">
        <v>182</v>
      </c>
      <c r="C188" s="3">
        <v>199507</v>
      </c>
      <c r="D188" s="3">
        <f>ROUND(IF(Data!E188&lt;0,0-Data!E188,0),1)</f>
        <v>0</v>
      </c>
      <c r="E188" s="3">
        <f>ROUND(IF(Data!E188&gt;5,Data!E188-5,0),1)</f>
        <v>11.6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40">
        <v>34882</v>
      </c>
      <c r="B189" s="3">
        <v>183</v>
      </c>
      <c r="C189" s="3">
        <v>199507</v>
      </c>
      <c r="D189" s="3">
        <f>ROUND(IF(Data!E189&lt;0,0-Data!E189,0),1)</f>
        <v>0</v>
      </c>
      <c r="E189" s="3">
        <f>ROUND(IF(Data!E189&gt;5,Data!E189-5,0),1)</f>
        <v>6.6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40">
        <v>34883</v>
      </c>
      <c r="B190" s="3">
        <v>184</v>
      </c>
      <c r="C190" s="3">
        <v>199507</v>
      </c>
      <c r="D190" s="3">
        <f>ROUND(IF(Data!E190&lt;0,0-Data!E190,0),1)</f>
        <v>0</v>
      </c>
      <c r="E190" s="3">
        <f>ROUND(IF(Data!E190&gt;5,Data!E190-5,0),1)</f>
        <v>5.0999999999999996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40">
        <v>34884</v>
      </c>
      <c r="B191" s="3">
        <v>185</v>
      </c>
      <c r="C191" s="3">
        <v>199507</v>
      </c>
      <c r="D191" s="3">
        <f>ROUND(IF(Data!E191&lt;0,0-Data!E191,0),1)</f>
        <v>0</v>
      </c>
      <c r="E191" s="3">
        <f>ROUND(IF(Data!E191&gt;5,Data!E191-5,0),1)</f>
        <v>3.5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40">
        <v>34885</v>
      </c>
      <c r="B192" s="3">
        <v>186</v>
      </c>
      <c r="C192" s="3">
        <v>199507</v>
      </c>
      <c r="D192" s="3">
        <f>ROUND(IF(Data!E192&lt;0,0-Data!E192,0),1)</f>
        <v>0</v>
      </c>
      <c r="E192" s="3">
        <f>ROUND(IF(Data!E192&gt;5,Data!E192-5,0),1)</f>
        <v>4.7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40">
        <v>34886</v>
      </c>
      <c r="B193" s="3">
        <v>187</v>
      </c>
      <c r="C193" s="3">
        <v>199507</v>
      </c>
      <c r="D193" s="3">
        <f>ROUND(IF(Data!E193&lt;0,0-Data!E193,0),1)</f>
        <v>0</v>
      </c>
      <c r="E193" s="3">
        <f>ROUND(IF(Data!E193&gt;5,Data!E193-5,0),1)</f>
        <v>5.2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40">
        <v>34887</v>
      </c>
      <c r="B194" s="3">
        <v>188</v>
      </c>
      <c r="C194" s="3">
        <v>199507</v>
      </c>
      <c r="D194" s="3">
        <f>ROUND(IF(Data!E194&lt;0,0-Data!E194,0),1)</f>
        <v>0</v>
      </c>
      <c r="E194" s="3">
        <f>ROUND(IF(Data!E194&gt;5,Data!E194-5,0),1)</f>
        <v>6.3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40">
        <v>34888</v>
      </c>
      <c r="B195" s="3">
        <v>189</v>
      </c>
      <c r="C195" s="3">
        <v>199507</v>
      </c>
      <c r="D195" s="3">
        <f>ROUND(IF(Data!E195&lt;0,0-Data!E195,0),1)</f>
        <v>0</v>
      </c>
      <c r="E195" s="3">
        <f>ROUND(IF(Data!E195&gt;5,Data!E195-5,0),1)</f>
        <v>6.9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40">
        <v>34889</v>
      </c>
      <c r="B196" s="3">
        <v>190</v>
      </c>
      <c r="C196" s="3">
        <v>199507</v>
      </c>
      <c r="D196" s="3">
        <f>ROUND(IF(Data!E196&lt;0,0-Data!E196,0),1)</f>
        <v>0</v>
      </c>
      <c r="E196" s="3">
        <f>ROUND(IF(Data!E196&gt;5,Data!E196-5,0),1)</f>
        <v>8.8000000000000007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40">
        <v>34890</v>
      </c>
      <c r="B197" s="3">
        <v>191</v>
      </c>
      <c r="C197" s="3">
        <v>199507</v>
      </c>
      <c r="D197" s="3">
        <f>ROUND(IF(Data!E197&lt;0,0-Data!E197,0),1)</f>
        <v>0</v>
      </c>
      <c r="E197" s="3">
        <f>ROUND(IF(Data!E197&gt;5,Data!E197-5,0),1)</f>
        <v>4.3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40">
        <v>34891</v>
      </c>
      <c r="B198" s="3">
        <v>192</v>
      </c>
      <c r="C198" s="3">
        <v>199507</v>
      </c>
      <c r="D198" s="3">
        <f>ROUND(IF(Data!E198&lt;0,0-Data!E198,0),1)</f>
        <v>0</v>
      </c>
      <c r="E198" s="3">
        <f>ROUND(IF(Data!E198&gt;5,Data!E198-5,0),1)</f>
        <v>3.9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40">
        <v>34892</v>
      </c>
      <c r="B199" s="3">
        <v>193</v>
      </c>
      <c r="C199" s="3">
        <v>199507</v>
      </c>
      <c r="D199" s="3">
        <f>ROUND(IF(Data!E199&lt;0,0-Data!E199,0),1)</f>
        <v>0</v>
      </c>
      <c r="E199" s="3">
        <f>ROUND(IF(Data!E199&gt;5,Data!E199-5,0),1)</f>
        <v>4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40">
        <v>34893</v>
      </c>
      <c r="B200" s="3">
        <v>194</v>
      </c>
      <c r="C200" s="3">
        <v>199507</v>
      </c>
      <c r="D200" s="3">
        <f>ROUND(IF(Data!E200&lt;0,0-Data!E200,0),1)</f>
        <v>0</v>
      </c>
      <c r="E200" s="3">
        <f>ROUND(IF(Data!E200&gt;5,Data!E200-5,0),1)</f>
        <v>6.3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40">
        <v>34894</v>
      </c>
      <c r="B201" s="3">
        <v>195</v>
      </c>
      <c r="C201" s="3">
        <v>199507</v>
      </c>
      <c r="D201" s="3">
        <f>ROUND(IF(Data!E201&lt;0,0-Data!E201,0),1)</f>
        <v>0</v>
      </c>
      <c r="E201" s="3">
        <f>ROUND(IF(Data!E201&gt;5,Data!E201-5,0),1)</f>
        <v>6.2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40">
        <v>34895</v>
      </c>
      <c r="B202" s="3">
        <v>196</v>
      </c>
      <c r="C202" s="3">
        <v>199507</v>
      </c>
      <c r="D202" s="3">
        <f>ROUND(IF(Data!E202&lt;0,0-Data!E202,0),1)</f>
        <v>0</v>
      </c>
      <c r="E202" s="3">
        <f>ROUND(IF(Data!E202&gt;5,Data!E202-5,0),1)</f>
        <v>6.2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40">
        <v>34896</v>
      </c>
      <c r="B203" s="3">
        <v>197</v>
      </c>
      <c r="C203" s="3">
        <v>199507</v>
      </c>
      <c r="D203" s="3">
        <f>ROUND(IF(Data!E203&lt;0,0-Data!E203,0),1)</f>
        <v>0</v>
      </c>
      <c r="E203" s="3">
        <f>ROUND(IF(Data!E203&gt;5,Data!E203-5,0),1)</f>
        <v>8.1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40">
        <v>34897</v>
      </c>
      <c r="B204" s="3">
        <v>198</v>
      </c>
      <c r="C204" s="3">
        <v>199507</v>
      </c>
      <c r="D204" s="3">
        <f>ROUND(IF(Data!E204&lt;0,0-Data!E204,0),1)</f>
        <v>0</v>
      </c>
      <c r="E204" s="3">
        <f>ROUND(IF(Data!E204&gt;5,Data!E204-5,0),1)</f>
        <v>8.6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40">
        <v>34898</v>
      </c>
      <c r="B205" s="3">
        <v>199</v>
      </c>
      <c r="C205" s="3">
        <v>199507</v>
      </c>
      <c r="D205" s="3">
        <f>ROUND(IF(Data!E205&lt;0,0-Data!E205,0),1)</f>
        <v>0</v>
      </c>
      <c r="E205" s="3">
        <f>ROUND(IF(Data!E205&gt;5,Data!E205-5,0),1)</f>
        <v>8.6999999999999993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40">
        <v>34899</v>
      </c>
      <c r="B206" s="3">
        <v>200</v>
      </c>
      <c r="C206" s="3">
        <v>199507</v>
      </c>
      <c r="D206" s="3">
        <f>ROUND(IF(Data!E206&lt;0,0-Data!E206,0),1)</f>
        <v>0</v>
      </c>
      <c r="E206" s="3">
        <f>ROUND(IF(Data!E206&gt;5,Data!E206-5,0),1)</f>
        <v>9.4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40">
        <v>34900</v>
      </c>
      <c r="B207" s="3">
        <v>201</v>
      </c>
      <c r="C207" s="3">
        <v>199507</v>
      </c>
      <c r="D207" s="3">
        <f>ROUND(IF(Data!E207&lt;0,0-Data!E207,0),1)</f>
        <v>0</v>
      </c>
      <c r="E207" s="3">
        <f>ROUND(IF(Data!E207&gt;5,Data!E207-5,0),1)</f>
        <v>10.6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40">
        <v>34901</v>
      </c>
      <c r="B208" s="3">
        <v>202</v>
      </c>
      <c r="C208" s="3">
        <v>199507</v>
      </c>
      <c r="D208" s="3">
        <f>ROUND(IF(Data!E208&lt;0,0-Data!E208,0),1)</f>
        <v>0</v>
      </c>
      <c r="E208" s="3">
        <f>ROUND(IF(Data!E208&gt;5,Data!E208-5,0),1)</f>
        <v>8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40">
        <v>34902</v>
      </c>
      <c r="B209" s="3">
        <v>203</v>
      </c>
      <c r="C209" s="3">
        <v>199507</v>
      </c>
      <c r="D209" s="3">
        <f>ROUND(IF(Data!E209&lt;0,0-Data!E209,0),1)</f>
        <v>0</v>
      </c>
      <c r="E209" s="3">
        <f>ROUND(IF(Data!E209&gt;5,Data!E209-5,0),1)</f>
        <v>9.3000000000000007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40">
        <v>34903</v>
      </c>
      <c r="B210" s="3">
        <v>204</v>
      </c>
      <c r="C210" s="3">
        <v>199507</v>
      </c>
      <c r="D210" s="3">
        <f>ROUND(IF(Data!E210&lt;0,0-Data!E210,0),1)</f>
        <v>0</v>
      </c>
      <c r="E210" s="3">
        <f>ROUND(IF(Data!E210&gt;5,Data!E210-5,0),1)</f>
        <v>6.5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40">
        <v>34904</v>
      </c>
      <c r="B211" s="3">
        <v>205</v>
      </c>
      <c r="C211" s="3">
        <v>199507</v>
      </c>
      <c r="D211" s="3">
        <f>ROUND(IF(Data!E211&lt;0,0-Data!E211,0),1)</f>
        <v>0</v>
      </c>
      <c r="E211" s="3">
        <f>ROUND(IF(Data!E211&gt;5,Data!E211-5,0),1)</f>
        <v>6.6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40">
        <v>34905</v>
      </c>
      <c r="B212" s="3">
        <v>206</v>
      </c>
      <c r="C212" s="3">
        <v>199507</v>
      </c>
      <c r="D212" s="3">
        <f>ROUND(IF(Data!E212&lt;0,0-Data!E212,0),1)</f>
        <v>0</v>
      </c>
      <c r="E212" s="3">
        <f>ROUND(IF(Data!E212&gt;5,Data!E212-5,0),1)</f>
        <v>5.7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40">
        <v>34906</v>
      </c>
      <c r="B213" s="3">
        <v>207</v>
      </c>
      <c r="C213" s="3">
        <v>199507</v>
      </c>
      <c r="D213" s="3">
        <f>ROUND(IF(Data!E213&lt;0,0-Data!E213,0),1)</f>
        <v>0</v>
      </c>
      <c r="E213" s="3">
        <f>ROUND(IF(Data!E213&gt;5,Data!E213-5,0),1)</f>
        <v>5.9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40">
        <v>34907</v>
      </c>
      <c r="B214" s="3">
        <v>208</v>
      </c>
      <c r="C214" s="3">
        <v>199507</v>
      </c>
      <c r="D214" s="3">
        <f>ROUND(IF(Data!E214&lt;0,0-Data!E214,0),1)</f>
        <v>0</v>
      </c>
      <c r="E214" s="3">
        <f>ROUND(IF(Data!E214&gt;5,Data!E214-5,0),1)</f>
        <v>2.7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40">
        <v>34908</v>
      </c>
      <c r="B215" s="3">
        <v>209</v>
      </c>
      <c r="C215" s="3">
        <v>199507</v>
      </c>
      <c r="D215" s="3">
        <f>ROUND(IF(Data!E215&lt;0,0-Data!E215,0),1)</f>
        <v>0</v>
      </c>
      <c r="E215" s="3">
        <f>ROUND(IF(Data!E215&gt;5,Data!E215-5,0),1)</f>
        <v>4.8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40">
        <v>34909</v>
      </c>
      <c r="B216" s="3">
        <v>210</v>
      </c>
      <c r="C216" s="3">
        <v>199507</v>
      </c>
      <c r="D216" s="3">
        <f>ROUND(IF(Data!E216&lt;0,0-Data!E216,0),1)</f>
        <v>0</v>
      </c>
      <c r="E216" s="3">
        <f>ROUND(IF(Data!E216&gt;5,Data!E216-5,0),1)</f>
        <v>0.2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40">
        <v>34910</v>
      </c>
      <c r="B217" s="3">
        <v>211</v>
      </c>
      <c r="C217" s="3">
        <v>199507</v>
      </c>
      <c r="D217" s="3">
        <f>ROUND(IF(Data!E217&lt;0,0-Data!E217,0),1)</f>
        <v>0</v>
      </c>
      <c r="E217" s="3">
        <f>ROUND(IF(Data!E217&gt;5,Data!E217-5,0),1)</f>
        <v>3.6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40">
        <v>34911</v>
      </c>
      <c r="B218" s="3">
        <v>212</v>
      </c>
      <c r="C218" s="3">
        <v>199507</v>
      </c>
      <c r="D218" s="3">
        <f>ROUND(IF(Data!E218&lt;0,0-Data!E218,0),1)</f>
        <v>0</v>
      </c>
      <c r="E218" s="3">
        <f>ROUND(IF(Data!E218&gt;5,Data!E218-5,0),1)</f>
        <v>5.7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40">
        <v>34912</v>
      </c>
      <c r="B219" s="3">
        <v>213</v>
      </c>
      <c r="C219" s="3">
        <v>199508</v>
      </c>
      <c r="D219" s="3">
        <f>ROUND(IF(Data!E219&lt;0,0-Data!E219,0),1)</f>
        <v>0</v>
      </c>
      <c r="E219" s="3">
        <f>ROUND(IF(Data!E219&gt;5,Data!E219-5,0),1)</f>
        <v>4.9000000000000004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40">
        <v>34913</v>
      </c>
      <c r="B220" s="3">
        <v>214</v>
      </c>
      <c r="C220" s="3">
        <v>199508</v>
      </c>
      <c r="D220" s="3">
        <f>ROUND(IF(Data!E220&lt;0,0-Data!E220,0),1)</f>
        <v>0</v>
      </c>
      <c r="E220" s="3">
        <f>ROUND(IF(Data!E220&gt;5,Data!E220-5,0),1)</f>
        <v>5.0999999999999996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40">
        <v>34914</v>
      </c>
      <c r="B221" s="3">
        <v>215</v>
      </c>
      <c r="C221" s="3">
        <v>199508</v>
      </c>
      <c r="D221" s="3">
        <f>ROUND(IF(Data!E221&lt;0,0-Data!E221,0),1)</f>
        <v>0</v>
      </c>
      <c r="E221" s="3">
        <f>ROUND(IF(Data!E221&gt;5,Data!E221-5,0),1)</f>
        <v>6.9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40">
        <v>34915</v>
      </c>
      <c r="B222" s="3">
        <v>216</v>
      </c>
      <c r="C222" s="3">
        <v>199508</v>
      </c>
      <c r="D222" s="3">
        <f>ROUND(IF(Data!E222&lt;0,0-Data!E222,0),1)</f>
        <v>0</v>
      </c>
      <c r="E222" s="3">
        <f>ROUND(IF(Data!E222&gt;5,Data!E222-5,0),1)</f>
        <v>11.1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40">
        <v>34916</v>
      </c>
      <c r="B223" s="3">
        <v>217</v>
      </c>
      <c r="C223" s="3">
        <v>199508</v>
      </c>
      <c r="D223" s="3">
        <f>ROUND(IF(Data!E223&lt;0,0-Data!E223,0),1)</f>
        <v>0</v>
      </c>
      <c r="E223" s="3">
        <f>ROUND(IF(Data!E223&gt;5,Data!E223-5,0),1)</f>
        <v>7.3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40">
        <v>34917</v>
      </c>
      <c r="B224" s="3">
        <v>218</v>
      </c>
      <c r="C224" s="3">
        <v>199508</v>
      </c>
      <c r="D224" s="3">
        <f>ROUND(IF(Data!E224&lt;0,0-Data!E224,0),1)</f>
        <v>0</v>
      </c>
      <c r="E224" s="3">
        <f>ROUND(IF(Data!E224&gt;5,Data!E224-5,0),1)</f>
        <v>0.4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40">
        <v>34918</v>
      </c>
      <c r="B225" s="3">
        <v>219</v>
      </c>
      <c r="C225" s="3">
        <v>199508</v>
      </c>
      <c r="D225" s="3">
        <f>ROUND(IF(Data!E225&lt;0,0-Data!E225,0),1)</f>
        <v>0</v>
      </c>
      <c r="E225" s="3">
        <f>ROUND(IF(Data!E225&gt;5,Data!E225-5,0),1)</f>
        <v>1.7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40">
        <v>34919</v>
      </c>
      <c r="B226" s="3">
        <v>220</v>
      </c>
      <c r="C226" s="3">
        <v>199508</v>
      </c>
      <c r="D226" s="3">
        <f>ROUND(IF(Data!E226&lt;0,0-Data!E226,0),1)</f>
        <v>0</v>
      </c>
      <c r="E226" s="3">
        <f>ROUND(IF(Data!E226&gt;5,Data!E226-5,0),1)</f>
        <v>0.8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40">
        <v>34920</v>
      </c>
      <c r="B227" s="3">
        <v>221</v>
      </c>
      <c r="C227" s="3">
        <v>199508</v>
      </c>
      <c r="D227" s="3">
        <f>ROUND(IF(Data!E227&lt;0,0-Data!E227,0),1)</f>
        <v>0</v>
      </c>
      <c r="E227" s="3">
        <f>ROUND(IF(Data!E227&gt;5,Data!E227-5,0),1)</f>
        <v>3.4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40">
        <v>34921</v>
      </c>
      <c r="B228" s="3">
        <v>222</v>
      </c>
      <c r="C228" s="3">
        <v>199508</v>
      </c>
      <c r="D228" s="3">
        <f>ROUND(IF(Data!E228&lt;0,0-Data!E228,0),1)</f>
        <v>0</v>
      </c>
      <c r="E228" s="3">
        <f>ROUND(IF(Data!E228&gt;5,Data!E228-5,0),1)</f>
        <v>5.0999999999999996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40">
        <v>34922</v>
      </c>
      <c r="B229" s="3">
        <v>223</v>
      </c>
      <c r="C229" s="3">
        <v>199508</v>
      </c>
      <c r="D229" s="3">
        <f>ROUND(IF(Data!E229&lt;0,0-Data!E229,0),1)</f>
        <v>0</v>
      </c>
      <c r="E229" s="3">
        <f>ROUND(IF(Data!E229&gt;5,Data!E229-5,0),1)</f>
        <v>3.3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40">
        <v>34923</v>
      </c>
      <c r="B230" s="3">
        <v>224</v>
      </c>
      <c r="C230" s="3">
        <v>199508</v>
      </c>
      <c r="D230" s="3">
        <f>ROUND(IF(Data!E230&lt;0,0-Data!E230,0),1)</f>
        <v>0</v>
      </c>
      <c r="E230" s="3">
        <f>ROUND(IF(Data!E230&gt;5,Data!E230-5,0),1)</f>
        <v>0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40">
        <v>34924</v>
      </c>
      <c r="B231" s="3">
        <v>225</v>
      </c>
      <c r="C231" s="3">
        <v>199508</v>
      </c>
      <c r="D231" s="3">
        <f>ROUND(IF(Data!E231&lt;0,0-Data!E231,0),1)</f>
        <v>0</v>
      </c>
      <c r="E231" s="3">
        <f>ROUND(IF(Data!E231&gt;5,Data!E231-5,0),1)</f>
        <v>2.6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40">
        <v>34925</v>
      </c>
      <c r="B232" s="3">
        <v>226</v>
      </c>
      <c r="C232" s="3">
        <v>199508</v>
      </c>
      <c r="D232" s="3">
        <f>ROUND(IF(Data!E232&lt;0,0-Data!E232,0),1)</f>
        <v>0</v>
      </c>
      <c r="E232" s="3">
        <f>ROUND(IF(Data!E232&gt;5,Data!E232-5,0),1)</f>
        <v>3.4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40">
        <v>34926</v>
      </c>
      <c r="B233" s="3">
        <v>227</v>
      </c>
      <c r="C233" s="3">
        <v>199508</v>
      </c>
      <c r="D233" s="3">
        <f>ROUND(IF(Data!E233&lt;0,0-Data!E233,0),1)</f>
        <v>0</v>
      </c>
      <c r="E233" s="3">
        <f>ROUND(IF(Data!E233&gt;5,Data!E233-5,0),1)</f>
        <v>1.3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40">
        <v>34927</v>
      </c>
      <c r="B234" s="3">
        <v>228</v>
      </c>
      <c r="C234" s="3">
        <v>199508</v>
      </c>
      <c r="D234" s="3">
        <f>ROUND(IF(Data!E234&lt;0,0-Data!E234,0),1)</f>
        <v>0</v>
      </c>
      <c r="E234" s="3">
        <f>ROUND(IF(Data!E234&gt;5,Data!E234-5,0),1)</f>
        <v>0.5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40">
        <v>34928</v>
      </c>
      <c r="B235" s="3">
        <v>229</v>
      </c>
      <c r="C235" s="3">
        <v>199508</v>
      </c>
      <c r="D235" s="3">
        <f>ROUND(IF(Data!E235&lt;0,0-Data!E235,0),1)</f>
        <v>0</v>
      </c>
      <c r="E235" s="3">
        <f>ROUND(IF(Data!E235&gt;5,Data!E235-5,0),1)</f>
        <v>0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40">
        <v>34929</v>
      </c>
      <c r="B236" s="3">
        <v>230</v>
      </c>
      <c r="C236" s="3">
        <v>199508</v>
      </c>
      <c r="D236" s="3">
        <f>ROUND(IF(Data!E236&lt;0,0-Data!E236,0),1)</f>
        <v>0</v>
      </c>
      <c r="E236" s="3">
        <f>ROUND(IF(Data!E236&gt;5,Data!E236-5,0),1)</f>
        <v>0.8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40">
        <v>34930</v>
      </c>
      <c r="B237" s="3">
        <v>231</v>
      </c>
      <c r="C237" s="3">
        <v>199508</v>
      </c>
      <c r="D237" s="3">
        <f>ROUND(IF(Data!E237&lt;0,0-Data!E237,0),1)</f>
        <v>0</v>
      </c>
      <c r="E237" s="3">
        <f>ROUND(IF(Data!E237&gt;5,Data!E237-5,0),1)</f>
        <v>3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40">
        <v>34931</v>
      </c>
      <c r="B238" s="3">
        <v>232</v>
      </c>
      <c r="C238" s="3">
        <v>199508</v>
      </c>
      <c r="D238" s="3">
        <f>ROUND(IF(Data!E238&lt;0,0-Data!E238,0),1)</f>
        <v>0</v>
      </c>
      <c r="E238" s="3">
        <f>ROUND(IF(Data!E238&gt;5,Data!E238-5,0),1)</f>
        <v>4.9000000000000004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40">
        <v>34932</v>
      </c>
      <c r="B239" s="3">
        <v>233</v>
      </c>
      <c r="C239" s="3">
        <v>199508</v>
      </c>
      <c r="D239" s="3">
        <f>ROUND(IF(Data!E239&lt;0,0-Data!E239,0),1)</f>
        <v>0</v>
      </c>
      <c r="E239" s="3">
        <f>ROUND(IF(Data!E239&gt;5,Data!E239-5,0),1)</f>
        <v>7.3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40">
        <v>34933</v>
      </c>
      <c r="B240" s="3">
        <v>234</v>
      </c>
      <c r="C240" s="3">
        <v>199508</v>
      </c>
      <c r="D240" s="3">
        <f>ROUND(IF(Data!E240&lt;0,0-Data!E240,0),1)</f>
        <v>0</v>
      </c>
      <c r="E240" s="3">
        <f>ROUND(IF(Data!E240&gt;5,Data!E240-5,0),1)</f>
        <v>4.5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40">
        <v>34934</v>
      </c>
      <c r="B241" s="3">
        <v>235</v>
      </c>
      <c r="C241" s="3">
        <v>199508</v>
      </c>
      <c r="D241" s="3">
        <f>ROUND(IF(Data!E241&lt;0,0-Data!E241,0),1)</f>
        <v>0</v>
      </c>
      <c r="E241" s="3">
        <f>ROUND(IF(Data!E241&gt;5,Data!E241-5,0),1)</f>
        <v>4.8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40">
        <v>34935</v>
      </c>
      <c r="B242" s="3">
        <v>236</v>
      </c>
      <c r="C242" s="3">
        <v>199508</v>
      </c>
      <c r="D242" s="3">
        <f>ROUND(IF(Data!E242&lt;0,0-Data!E242,0),1)</f>
        <v>0</v>
      </c>
      <c r="E242" s="3">
        <f>ROUND(IF(Data!E242&gt;5,Data!E242-5,0),1)</f>
        <v>1.1000000000000001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40">
        <v>34936</v>
      </c>
      <c r="B243" s="3">
        <v>237</v>
      </c>
      <c r="C243" s="3">
        <v>199508</v>
      </c>
      <c r="D243" s="3">
        <f>ROUND(IF(Data!E243&lt;0,0-Data!E243,0),1)</f>
        <v>0</v>
      </c>
      <c r="E243" s="3">
        <f>ROUND(IF(Data!E243&gt;5,Data!E243-5,0),1)</f>
        <v>1.8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40">
        <v>34937</v>
      </c>
      <c r="B244" s="3">
        <v>238</v>
      </c>
      <c r="C244" s="3">
        <v>199508</v>
      </c>
      <c r="D244" s="3">
        <f>ROUND(IF(Data!E244&lt;0,0-Data!E244,0),1)</f>
        <v>0</v>
      </c>
      <c r="E244" s="3">
        <f>ROUND(IF(Data!E244&gt;5,Data!E244-5,0),1)</f>
        <v>2.5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40">
        <v>34938</v>
      </c>
      <c r="B245" s="3">
        <v>239</v>
      </c>
      <c r="C245" s="3">
        <v>199508</v>
      </c>
      <c r="D245" s="3">
        <f>ROUND(IF(Data!E245&lt;0,0-Data!E245,0),1)</f>
        <v>0</v>
      </c>
      <c r="E245" s="3">
        <f>ROUND(IF(Data!E245&gt;5,Data!E245-5,0),1)</f>
        <v>3.2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40">
        <v>34939</v>
      </c>
      <c r="B246" s="3">
        <v>240</v>
      </c>
      <c r="C246" s="3">
        <v>199508</v>
      </c>
      <c r="D246" s="3">
        <f>ROUND(IF(Data!E246&lt;0,0-Data!E246,0),1)</f>
        <v>0</v>
      </c>
      <c r="E246" s="3">
        <f>ROUND(IF(Data!E246&gt;5,Data!E246-5,0),1)</f>
        <v>4.8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40">
        <v>34940</v>
      </c>
      <c r="B247" s="3">
        <v>241</v>
      </c>
      <c r="C247" s="3">
        <v>199508</v>
      </c>
      <c r="D247" s="3">
        <f>ROUND(IF(Data!E247&lt;0,0-Data!E247,0),1)</f>
        <v>0</v>
      </c>
      <c r="E247" s="3">
        <f>ROUND(IF(Data!E247&gt;5,Data!E247-5,0),1)</f>
        <v>0.7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40">
        <v>34941</v>
      </c>
      <c r="B248" s="3">
        <v>242</v>
      </c>
      <c r="C248" s="3">
        <v>199508</v>
      </c>
      <c r="D248" s="3">
        <f>ROUND(IF(Data!E248&lt;0,0-Data!E248,0),1)</f>
        <v>0</v>
      </c>
      <c r="E248" s="3">
        <f>ROUND(IF(Data!E248&gt;5,Data!E248-5,0),1)</f>
        <v>1.7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40">
        <v>34942</v>
      </c>
      <c r="B249" s="3">
        <v>243</v>
      </c>
      <c r="C249" s="3">
        <v>199508</v>
      </c>
      <c r="D249" s="3">
        <f>ROUND(IF(Data!E249&lt;0,0-Data!E249,0),1)</f>
        <v>0</v>
      </c>
      <c r="E249" s="3">
        <f>ROUND(IF(Data!E249&gt;5,Data!E249-5,0),1)</f>
        <v>3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40">
        <v>34943</v>
      </c>
      <c r="B250" s="3">
        <v>244</v>
      </c>
      <c r="C250" s="3">
        <v>199509</v>
      </c>
      <c r="D250" s="3">
        <f>ROUND(IF(Data!E250&lt;0,0-Data!E250,0),1)</f>
        <v>0</v>
      </c>
      <c r="E250" s="3">
        <f>ROUND(IF(Data!E250&gt;5,Data!E250-5,0),1)</f>
        <v>4.9000000000000004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40">
        <v>34944</v>
      </c>
      <c r="B251" s="3">
        <v>245</v>
      </c>
      <c r="C251" s="3">
        <v>199509</v>
      </c>
      <c r="D251" s="3">
        <f>ROUND(IF(Data!E251&lt;0,0-Data!E251,0),1)</f>
        <v>0</v>
      </c>
      <c r="E251" s="3">
        <f>ROUND(IF(Data!E251&gt;5,Data!E251-5,0),1)</f>
        <v>5.9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40">
        <v>34945</v>
      </c>
      <c r="B252" s="3">
        <v>246</v>
      </c>
      <c r="C252" s="3">
        <v>199509</v>
      </c>
      <c r="D252" s="3">
        <f>ROUND(IF(Data!E252&lt;0,0-Data!E252,0),1)</f>
        <v>0</v>
      </c>
      <c r="E252" s="3">
        <f>ROUND(IF(Data!E252&gt;5,Data!E252-5,0),1)</f>
        <v>6.3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40">
        <v>34946</v>
      </c>
      <c r="B253" s="3">
        <v>247</v>
      </c>
      <c r="C253" s="3">
        <v>199509</v>
      </c>
      <c r="D253" s="3">
        <f>ROUND(IF(Data!E253&lt;0,0-Data!E253,0),1)</f>
        <v>0</v>
      </c>
      <c r="E253" s="3">
        <f>ROUND(IF(Data!E253&gt;5,Data!E253-5,0),1)</f>
        <v>10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40">
        <v>34947</v>
      </c>
      <c r="B254" s="3">
        <v>248</v>
      </c>
      <c r="C254" s="3">
        <v>199509</v>
      </c>
      <c r="D254" s="3">
        <f>ROUND(IF(Data!E254&lt;0,0-Data!E254,0),1)</f>
        <v>0</v>
      </c>
      <c r="E254" s="3">
        <f>ROUND(IF(Data!E254&gt;5,Data!E254-5,0),1)</f>
        <v>4.4000000000000004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40">
        <v>34948</v>
      </c>
      <c r="B255" s="3">
        <v>249</v>
      </c>
      <c r="C255" s="3">
        <v>199509</v>
      </c>
      <c r="D255" s="3">
        <f>ROUND(IF(Data!E255&lt;0,0-Data!E255,0),1)</f>
        <v>0</v>
      </c>
      <c r="E255" s="3">
        <f>ROUND(IF(Data!E255&gt;5,Data!E255-5,0),1)</f>
        <v>4.0999999999999996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40">
        <v>34949</v>
      </c>
      <c r="B256" s="3">
        <v>250</v>
      </c>
      <c r="C256" s="3">
        <v>199509</v>
      </c>
      <c r="D256" s="3">
        <f>ROUND(IF(Data!E256&lt;0,0-Data!E256,0),1)</f>
        <v>0</v>
      </c>
      <c r="E256" s="3">
        <f>ROUND(IF(Data!E256&gt;5,Data!E256-5,0),1)</f>
        <v>5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40">
        <v>34950</v>
      </c>
      <c r="B257" s="3">
        <v>251</v>
      </c>
      <c r="C257" s="3">
        <v>199509</v>
      </c>
      <c r="D257" s="3">
        <f>ROUND(IF(Data!E257&lt;0,0-Data!E257,0),1)</f>
        <v>0</v>
      </c>
      <c r="E257" s="3">
        <f>ROUND(IF(Data!E257&gt;5,Data!E257-5,0),1)</f>
        <v>5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40">
        <v>34951</v>
      </c>
      <c r="B258" s="3">
        <v>252</v>
      </c>
      <c r="C258" s="3">
        <v>199509</v>
      </c>
      <c r="D258" s="3">
        <f>ROUND(IF(Data!E258&lt;0,0-Data!E258,0),1)</f>
        <v>0</v>
      </c>
      <c r="E258" s="3">
        <f>ROUND(IF(Data!E258&gt;5,Data!E258-5,0),1)</f>
        <v>5.4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40">
        <v>34952</v>
      </c>
      <c r="B259" s="3">
        <v>253</v>
      </c>
      <c r="C259" s="3">
        <v>199509</v>
      </c>
      <c r="D259" s="3">
        <f>ROUND(IF(Data!E259&lt;0,0-Data!E259,0),1)</f>
        <v>0</v>
      </c>
      <c r="E259" s="3">
        <f>ROUND(IF(Data!E259&gt;5,Data!E259-5,0),1)</f>
        <v>5.9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40">
        <v>34953</v>
      </c>
      <c r="B260" s="3">
        <v>254</v>
      </c>
      <c r="C260" s="3">
        <v>199509</v>
      </c>
      <c r="D260" s="3">
        <f>ROUND(IF(Data!E260&lt;0,0-Data!E260,0),1)</f>
        <v>0</v>
      </c>
      <c r="E260" s="3">
        <f>ROUND(IF(Data!E260&gt;5,Data!E260-5,0),1)</f>
        <v>4.7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40">
        <v>34954</v>
      </c>
      <c r="B261" s="3">
        <v>255</v>
      </c>
      <c r="C261" s="3">
        <v>199509</v>
      </c>
      <c r="D261" s="3">
        <f>ROUND(IF(Data!E261&lt;0,0-Data!E261,0),1)</f>
        <v>0</v>
      </c>
      <c r="E261" s="3">
        <f>ROUND(IF(Data!E261&gt;5,Data!E261-5,0),1)</f>
        <v>4.2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40">
        <v>34955</v>
      </c>
      <c r="B262" s="3">
        <v>256</v>
      </c>
      <c r="C262" s="3">
        <v>199509</v>
      </c>
      <c r="D262" s="3">
        <f>ROUND(IF(Data!E262&lt;0,0-Data!E262,0),1)</f>
        <v>0</v>
      </c>
      <c r="E262" s="3">
        <f>ROUND(IF(Data!E262&gt;5,Data!E262-5,0),1)</f>
        <v>4.4000000000000004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40">
        <v>34956</v>
      </c>
      <c r="B263" s="3">
        <v>257</v>
      </c>
      <c r="C263" s="3">
        <v>199509</v>
      </c>
      <c r="D263" s="3">
        <f>ROUND(IF(Data!E263&lt;0,0-Data!E263,0),1)</f>
        <v>0</v>
      </c>
      <c r="E263" s="3">
        <f>ROUND(IF(Data!E263&gt;5,Data!E263-5,0),1)</f>
        <v>3.9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40">
        <v>34957</v>
      </c>
      <c r="B264" s="3">
        <v>258</v>
      </c>
      <c r="C264" s="3">
        <v>199509</v>
      </c>
      <c r="D264" s="3">
        <f>ROUND(IF(Data!E264&lt;0,0-Data!E264,0),1)</f>
        <v>0</v>
      </c>
      <c r="E264" s="3">
        <f>ROUND(IF(Data!E264&gt;5,Data!E264-5,0),1)</f>
        <v>4.0999999999999996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40">
        <v>34958</v>
      </c>
      <c r="B265" s="3">
        <v>259</v>
      </c>
      <c r="C265" s="3">
        <v>199509</v>
      </c>
      <c r="D265" s="3">
        <f>ROUND(IF(Data!E265&lt;0,0-Data!E265,0),1)</f>
        <v>0</v>
      </c>
      <c r="E265" s="3">
        <f>ROUND(IF(Data!E265&gt;5,Data!E265-5,0),1)</f>
        <v>2.2000000000000002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40">
        <v>34959</v>
      </c>
      <c r="B266" s="3">
        <v>260</v>
      </c>
      <c r="C266" s="3">
        <v>199509</v>
      </c>
      <c r="D266" s="3">
        <f>ROUND(IF(Data!E266&lt;0,0-Data!E266,0),1)</f>
        <v>0</v>
      </c>
      <c r="E266" s="3">
        <f>ROUND(IF(Data!E266&gt;5,Data!E266-5,0),1)</f>
        <v>2.2000000000000002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40">
        <v>34960</v>
      </c>
      <c r="B267" s="3">
        <v>261</v>
      </c>
      <c r="C267" s="3">
        <v>199509</v>
      </c>
      <c r="D267" s="3">
        <f>ROUND(IF(Data!E267&lt;0,0-Data!E267,0),1)</f>
        <v>0</v>
      </c>
      <c r="E267" s="3">
        <f>ROUND(IF(Data!E267&gt;5,Data!E267-5,0),1)</f>
        <v>1.7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40">
        <v>34961</v>
      </c>
      <c r="B268" s="3">
        <v>262</v>
      </c>
      <c r="C268" s="3">
        <v>199509</v>
      </c>
      <c r="D268" s="3">
        <f>ROUND(IF(Data!E268&lt;0,0-Data!E268,0),1)</f>
        <v>0</v>
      </c>
      <c r="E268" s="3">
        <f>ROUND(IF(Data!E268&gt;5,Data!E268-5,0),1)</f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40">
        <v>34962</v>
      </c>
      <c r="B269" s="3">
        <v>263</v>
      </c>
      <c r="C269" s="3">
        <v>199509</v>
      </c>
      <c r="D269" s="3">
        <f>ROUND(IF(Data!E269&lt;0,0-Data!E269,0),1)</f>
        <v>0</v>
      </c>
      <c r="E269" s="3">
        <f>ROUND(IF(Data!E269&gt;5,Data!E269-5,0),1)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40">
        <v>34963</v>
      </c>
      <c r="B270" s="3">
        <v>264</v>
      </c>
      <c r="C270" s="3">
        <v>199509</v>
      </c>
      <c r="D270" s="3">
        <f>ROUND(IF(Data!E270&lt;0,0-Data!E270,0),1)</f>
        <v>0</v>
      </c>
      <c r="E270" s="3">
        <f>ROUND(IF(Data!E270&gt;5,Data!E270-5,0),1)</f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40">
        <v>34964</v>
      </c>
      <c r="B271" s="3">
        <v>265</v>
      </c>
      <c r="C271" s="3">
        <v>199509</v>
      </c>
      <c r="D271" s="3">
        <f>ROUND(IF(Data!E271&lt;0,0-Data!E271,0),1)</f>
        <v>0</v>
      </c>
      <c r="E271" s="3">
        <f>ROUND(IF(Data!E271&gt;5,Data!E271-5,0),1)</f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40">
        <v>34965</v>
      </c>
      <c r="B272" s="3">
        <v>266</v>
      </c>
      <c r="C272" s="3">
        <v>199509</v>
      </c>
      <c r="D272" s="3">
        <f>ROUND(IF(Data!E272&lt;0,0-Data!E272,0),1)</f>
        <v>0</v>
      </c>
      <c r="E272" s="3">
        <f>ROUND(IF(Data!E272&gt;5,Data!E272-5,0),1)</f>
        <v>2.9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40">
        <v>34966</v>
      </c>
      <c r="B273" s="3">
        <v>267</v>
      </c>
      <c r="C273" s="3">
        <v>199509</v>
      </c>
      <c r="D273" s="3">
        <f>ROUND(IF(Data!E273&lt;0,0-Data!E273,0),1)</f>
        <v>0</v>
      </c>
      <c r="E273" s="3">
        <f>ROUND(IF(Data!E273&gt;5,Data!E273-5,0),1)</f>
        <v>3.1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40">
        <v>34967</v>
      </c>
      <c r="B274" s="3">
        <v>268</v>
      </c>
      <c r="C274" s="3">
        <v>199509</v>
      </c>
      <c r="D274" s="3">
        <f>ROUND(IF(Data!E274&lt;0,0-Data!E274,0),1)</f>
        <v>0</v>
      </c>
      <c r="E274" s="3">
        <f>ROUND(IF(Data!E274&gt;5,Data!E274-5,0),1)</f>
        <v>2.1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40">
        <v>34968</v>
      </c>
      <c r="B275" s="3">
        <v>269</v>
      </c>
      <c r="C275" s="3">
        <v>199509</v>
      </c>
      <c r="D275" s="3">
        <f>ROUND(IF(Data!E275&lt;0,0-Data!E275,0),1)</f>
        <v>0</v>
      </c>
      <c r="E275" s="3">
        <f>ROUND(IF(Data!E275&gt;5,Data!E275-5,0),1)</f>
        <v>0.5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40">
        <v>34969</v>
      </c>
      <c r="B276" s="3">
        <v>270</v>
      </c>
      <c r="C276" s="3">
        <v>199509</v>
      </c>
      <c r="D276" s="3">
        <f>ROUND(IF(Data!E276&lt;0,0-Data!E276,0),1)</f>
        <v>0</v>
      </c>
      <c r="E276" s="3">
        <f>ROUND(IF(Data!E276&gt;5,Data!E276-5,0),1)</f>
        <v>1.3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40">
        <v>34970</v>
      </c>
      <c r="B277" s="3">
        <v>271</v>
      </c>
      <c r="C277" s="3">
        <v>199509</v>
      </c>
      <c r="D277" s="3">
        <f>ROUND(IF(Data!E277&lt;0,0-Data!E277,0),1)</f>
        <v>0</v>
      </c>
      <c r="E277" s="3">
        <f>ROUND(IF(Data!E277&gt;5,Data!E277-5,0),1)</f>
        <v>1.2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40">
        <v>34971</v>
      </c>
      <c r="B278" s="3">
        <v>272</v>
      </c>
      <c r="C278" s="3">
        <v>199509</v>
      </c>
      <c r="D278" s="3">
        <f>ROUND(IF(Data!E278&lt;0,0-Data!E278,0),1)</f>
        <v>0</v>
      </c>
      <c r="E278" s="3">
        <f>ROUND(IF(Data!E278&gt;5,Data!E278-5,0),1)</f>
        <v>0.7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40">
        <v>34972</v>
      </c>
      <c r="B279" s="3">
        <v>273</v>
      </c>
      <c r="C279" s="3">
        <v>199509</v>
      </c>
      <c r="D279" s="3">
        <f>ROUND(IF(Data!E279&lt;0,0-Data!E279,0),1)</f>
        <v>0</v>
      </c>
      <c r="E279" s="3">
        <f>ROUND(IF(Data!E279&gt;5,Data!E279-5,0),1)</f>
        <v>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40">
        <v>34973</v>
      </c>
      <c r="B280" s="3">
        <v>274</v>
      </c>
      <c r="C280" s="3">
        <v>199510</v>
      </c>
      <c r="D280" s="3">
        <f>ROUND(IF(Data!E280&lt;0,0-Data!E280,0),1)</f>
        <v>0.2</v>
      </c>
      <c r="E280" s="3">
        <f>ROUND(IF(Data!E280&gt;5,Data!E280-5,0),1)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40">
        <v>34974</v>
      </c>
      <c r="B281" s="3">
        <v>275</v>
      </c>
      <c r="C281" s="3">
        <v>199510</v>
      </c>
      <c r="D281" s="3">
        <f>ROUND(IF(Data!E281&lt;0,0-Data!E281,0),1)</f>
        <v>0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40">
        <v>34975</v>
      </c>
      <c r="B282" s="3">
        <v>276</v>
      </c>
      <c r="C282" s="3">
        <v>199510</v>
      </c>
      <c r="D282" s="3">
        <f>ROUND(IF(Data!E282&lt;0,0-Data!E282,0),1)</f>
        <v>0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40">
        <v>34976</v>
      </c>
      <c r="B283" s="3">
        <v>277</v>
      </c>
      <c r="C283" s="3">
        <v>199510</v>
      </c>
      <c r="D283" s="3">
        <f>ROUND(IF(Data!E283&lt;0,0-Data!E283,0),1)</f>
        <v>0.7</v>
      </c>
      <c r="E283" s="3">
        <f>ROUND(IF(Data!E283&gt;5,Data!E283-5,0),1)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40">
        <v>34977</v>
      </c>
      <c r="B284" s="3">
        <v>278</v>
      </c>
      <c r="C284" s="3">
        <v>199510</v>
      </c>
      <c r="D284" s="3">
        <f>ROUND(IF(Data!E284&lt;0,0-Data!E284,0),1)</f>
        <v>0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40">
        <v>34978</v>
      </c>
      <c r="B285" s="3">
        <v>279</v>
      </c>
      <c r="C285" s="3">
        <v>199510</v>
      </c>
      <c r="D285" s="3">
        <f>ROUND(IF(Data!E285&lt;0,0-Data!E285,0),1)</f>
        <v>0</v>
      </c>
      <c r="E285" s="3">
        <f>ROUND(IF(Data!E285&gt;5,Data!E285-5,0),1)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40">
        <v>34979</v>
      </c>
      <c r="B286" s="3">
        <v>280</v>
      </c>
      <c r="C286" s="3">
        <v>199510</v>
      </c>
      <c r="D286" s="3">
        <f>ROUND(IF(Data!E286&lt;0,0-Data!E286,0),1)</f>
        <v>0</v>
      </c>
      <c r="E286" s="3">
        <f>ROUND(IF(Data!E286&gt;5,Data!E286-5,0),1)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40">
        <v>34980</v>
      </c>
      <c r="B287" s="3">
        <v>281</v>
      </c>
      <c r="C287" s="3">
        <v>199510</v>
      </c>
      <c r="D287" s="3">
        <f>ROUND(IF(Data!E287&lt;0,0-Data!E287,0),1)</f>
        <v>0</v>
      </c>
      <c r="E287" s="3">
        <f>ROUND(IF(Data!E287&gt;5,Data!E287-5,0),1)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40">
        <v>34981</v>
      </c>
      <c r="B288" s="3">
        <v>282</v>
      </c>
      <c r="C288" s="3">
        <v>199510</v>
      </c>
      <c r="D288" s="3">
        <f>ROUND(IF(Data!E288&lt;0,0-Data!E288,0),1)</f>
        <v>0</v>
      </c>
      <c r="E288" s="3">
        <f>ROUND(IF(Data!E288&gt;5,Data!E288-5,0),1)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40">
        <v>34982</v>
      </c>
      <c r="B289" s="3">
        <v>283</v>
      </c>
      <c r="C289" s="3">
        <v>199510</v>
      </c>
      <c r="D289" s="3">
        <f>ROUND(IF(Data!E289&lt;0,0-Data!E289,0),1)</f>
        <v>0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40">
        <v>34983</v>
      </c>
      <c r="B290" s="3">
        <v>284</v>
      </c>
      <c r="C290" s="3">
        <v>199510</v>
      </c>
      <c r="D290" s="3">
        <f>ROUND(IF(Data!E290&lt;0,0-Data!E290,0),1)</f>
        <v>0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40">
        <v>34984</v>
      </c>
      <c r="B291" s="3">
        <v>285</v>
      </c>
      <c r="C291" s="3">
        <v>199510</v>
      </c>
      <c r="D291" s="3">
        <f>ROUND(IF(Data!E291&lt;0,0-Data!E291,0),1)</f>
        <v>0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40">
        <v>34985</v>
      </c>
      <c r="B292" s="3">
        <v>286</v>
      </c>
      <c r="C292" s="3">
        <v>199510</v>
      </c>
      <c r="D292" s="3">
        <f>ROUND(IF(Data!E292&lt;0,0-Data!E292,0),1)</f>
        <v>0.4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40">
        <v>34986</v>
      </c>
      <c r="B293" s="3">
        <v>287</v>
      </c>
      <c r="C293" s="3">
        <v>199510</v>
      </c>
      <c r="D293" s="3">
        <f>ROUND(IF(Data!E293&lt;0,0-Data!E293,0),1)</f>
        <v>0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40">
        <v>34987</v>
      </c>
      <c r="B294" s="3">
        <v>288</v>
      </c>
      <c r="C294" s="3">
        <v>199510</v>
      </c>
      <c r="D294" s="3">
        <f>ROUND(IF(Data!E294&lt;0,0-Data!E294,0),1)</f>
        <v>0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40">
        <v>34988</v>
      </c>
      <c r="B295" s="3">
        <v>289</v>
      </c>
      <c r="C295" s="3">
        <v>199510</v>
      </c>
      <c r="D295" s="3">
        <f>ROUND(IF(Data!E295&lt;0,0-Data!E295,0),1)</f>
        <v>0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40">
        <v>34989</v>
      </c>
      <c r="B296" s="3">
        <v>290</v>
      </c>
      <c r="C296" s="3">
        <v>199510</v>
      </c>
      <c r="D296" s="3">
        <f>ROUND(IF(Data!E296&lt;0,0-Data!E296,0),1)</f>
        <v>0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40">
        <v>34990</v>
      </c>
      <c r="B297" s="42">
        <v>291</v>
      </c>
      <c r="C297" s="3">
        <v>199510</v>
      </c>
      <c r="D297" s="3">
        <f>ROUND(IF(Data!E297&lt;0,0-Data!E297,0),1)</f>
        <v>1.2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40">
        <v>34991</v>
      </c>
      <c r="B298" s="42">
        <v>292</v>
      </c>
      <c r="C298" s="3">
        <v>199510</v>
      </c>
      <c r="D298" s="3">
        <f>ROUND(IF(Data!E298&lt;0,0-Data!E298,0),1)</f>
        <v>0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40">
        <v>34992</v>
      </c>
      <c r="B299" s="42">
        <v>293</v>
      </c>
      <c r="C299" s="3">
        <v>199510</v>
      </c>
      <c r="D299" s="3">
        <f>ROUND(IF(Data!E299&lt;0,0-Data!E299,0),1)</f>
        <v>0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40">
        <v>34993</v>
      </c>
      <c r="B300" s="42">
        <v>294</v>
      </c>
      <c r="C300" s="3">
        <v>199510</v>
      </c>
      <c r="D300" s="3">
        <f>ROUND(IF(Data!E300&lt;0,0-Data!E300,0),1)</f>
        <v>0.8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40">
        <v>34994</v>
      </c>
      <c r="B301" s="42">
        <v>295</v>
      </c>
      <c r="C301" s="3">
        <v>199510</v>
      </c>
      <c r="D301" s="3">
        <f>ROUND(IF(Data!E301&lt;0,0-Data!E301,0),1)</f>
        <v>1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40">
        <v>34995</v>
      </c>
      <c r="B302" s="42">
        <v>296</v>
      </c>
      <c r="C302" s="3">
        <v>199510</v>
      </c>
      <c r="D302" s="3">
        <f>ROUND(IF(Data!E302&lt;0,0-Data!E302,0),1)</f>
        <v>0.5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40">
        <v>34996</v>
      </c>
      <c r="B303" s="42">
        <v>297</v>
      </c>
      <c r="C303" s="3">
        <v>199510</v>
      </c>
      <c r="D303" s="3">
        <f>ROUND(IF(Data!E303&lt;0,0-Data!E303,0),1)</f>
        <v>0.4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40">
        <v>34997</v>
      </c>
      <c r="B304" s="42">
        <v>298</v>
      </c>
      <c r="C304" s="3">
        <v>199510</v>
      </c>
      <c r="D304" s="3">
        <f>ROUND(IF(Data!E304&lt;0,0-Data!E304,0),1)</f>
        <v>0.3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40">
        <v>34998</v>
      </c>
      <c r="B305" s="42">
        <v>299</v>
      </c>
      <c r="C305" s="3">
        <v>199510</v>
      </c>
      <c r="D305" s="3">
        <f>ROUND(IF(Data!E305&lt;0,0-Data!E305,0),1)</f>
        <v>0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40">
        <v>34999</v>
      </c>
      <c r="B306" s="42">
        <v>300</v>
      </c>
      <c r="C306" s="3">
        <v>199510</v>
      </c>
      <c r="D306" s="3">
        <f>ROUND(IF(Data!E306&lt;0,0-Data!E306,0),1)</f>
        <v>3.3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40">
        <v>35000</v>
      </c>
      <c r="B307" s="42">
        <v>301</v>
      </c>
      <c r="C307" s="3">
        <v>199510</v>
      </c>
      <c r="D307" s="3">
        <f>ROUND(IF(Data!E307&lt;0,0-Data!E307,0),1)</f>
        <v>5.8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40">
        <v>35001</v>
      </c>
      <c r="B308" s="42">
        <v>302</v>
      </c>
      <c r="C308" s="3">
        <v>199510</v>
      </c>
      <c r="D308" s="3">
        <f>ROUND(IF(Data!E308&lt;0,0-Data!E308,0),1)</f>
        <v>8.9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40">
        <v>35002</v>
      </c>
      <c r="B309" s="42">
        <v>303</v>
      </c>
      <c r="C309" s="3">
        <v>199510</v>
      </c>
      <c r="D309" s="3">
        <f>ROUND(IF(Data!E309&lt;0,0-Data!E309,0),1)</f>
        <v>11.6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40">
        <v>35003</v>
      </c>
      <c r="B310" s="42">
        <v>304</v>
      </c>
      <c r="C310" s="3">
        <v>199510</v>
      </c>
      <c r="D310" s="3">
        <f>ROUND(IF(Data!E310&lt;0,0-Data!E310,0),1)</f>
        <v>9.3000000000000007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40">
        <v>35004</v>
      </c>
      <c r="B311" s="42">
        <v>305</v>
      </c>
      <c r="C311" s="3">
        <v>199511</v>
      </c>
      <c r="D311" s="3">
        <f>ROUND(IF(Data!E311&lt;0,0-Data!E311,0),1)</f>
        <v>13.2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40">
        <v>35005</v>
      </c>
      <c r="B312" s="42">
        <v>306</v>
      </c>
      <c r="C312" s="3">
        <v>199511</v>
      </c>
      <c r="D312" s="3">
        <f>ROUND(IF(Data!E312&lt;0,0-Data!E312,0),1)</f>
        <v>10.7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40">
        <v>35006</v>
      </c>
      <c r="B313" s="42">
        <v>307</v>
      </c>
      <c r="C313" s="3">
        <v>199511</v>
      </c>
      <c r="D313" s="3">
        <f>ROUND(IF(Data!E313&lt;0,0-Data!E313,0),1)</f>
        <v>9.1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40">
        <v>35007</v>
      </c>
      <c r="B314" s="42">
        <v>308</v>
      </c>
      <c r="C314" s="3">
        <v>199511</v>
      </c>
      <c r="D314" s="3">
        <f>ROUND(IF(Data!E314&lt;0,0-Data!E314,0),1)</f>
        <v>4.8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40">
        <v>35008</v>
      </c>
      <c r="B315" s="42">
        <v>309</v>
      </c>
      <c r="C315" s="3">
        <v>199511</v>
      </c>
      <c r="D315" s="3">
        <f>ROUND(IF(Data!E315&lt;0,0-Data!E315,0),1)</f>
        <v>5.6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40">
        <v>35009</v>
      </c>
      <c r="B316" s="42">
        <v>310</v>
      </c>
      <c r="C316" s="3">
        <v>199511</v>
      </c>
      <c r="D316" s="3">
        <f>ROUND(IF(Data!E316&lt;0,0-Data!E316,0),1)</f>
        <v>7.7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40">
        <v>35010</v>
      </c>
      <c r="B317" s="42">
        <v>311</v>
      </c>
      <c r="C317" s="3">
        <v>199511</v>
      </c>
      <c r="D317" s="3">
        <f>ROUND(IF(Data!E317&lt;0,0-Data!E317,0),1)</f>
        <v>6.7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40">
        <v>35011</v>
      </c>
      <c r="B318" s="42">
        <v>312</v>
      </c>
      <c r="C318" s="3">
        <v>199511</v>
      </c>
      <c r="D318" s="3">
        <f>ROUND(IF(Data!E318&lt;0,0-Data!E318,0),1)</f>
        <v>0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40">
        <v>35012</v>
      </c>
      <c r="B319" s="42">
        <v>313</v>
      </c>
      <c r="C319" s="3">
        <v>199511</v>
      </c>
      <c r="D319" s="3">
        <f>ROUND(IF(Data!E319&lt;0,0-Data!E319,0),1)</f>
        <v>7.7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40">
        <v>35013</v>
      </c>
      <c r="B320" s="42">
        <v>314</v>
      </c>
      <c r="C320" s="3">
        <v>199511</v>
      </c>
      <c r="D320" s="3">
        <f>ROUND(IF(Data!E320&lt;0,0-Data!E320,0),1)</f>
        <v>13.1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40">
        <v>35014</v>
      </c>
      <c r="B321" s="42">
        <v>315</v>
      </c>
      <c r="C321" s="3">
        <v>199511</v>
      </c>
      <c r="D321" s="3">
        <f>ROUND(IF(Data!E321&lt;0,0-Data!E321,0),1)</f>
        <v>3.5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40">
        <v>35015</v>
      </c>
      <c r="B322" s="42">
        <v>316</v>
      </c>
      <c r="C322" s="3">
        <v>199511</v>
      </c>
      <c r="D322" s="3">
        <f>ROUND(IF(Data!E322&lt;0,0-Data!E322,0),1)</f>
        <v>1.8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40">
        <v>35016</v>
      </c>
      <c r="B323" s="42">
        <v>317</v>
      </c>
      <c r="C323" s="3">
        <v>199511</v>
      </c>
      <c r="D323" s="3">
        <f>ROUND(IF(Data!E323&lt;0,0-Data!E323,0),1)</f>
        <v>1.3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40">
        <v>35017</v>
      </c>
      <c r="B324" s="42">
        <v>318</v>
      </c>
      <c r="C324" s="3">
        <v>199511</v>
      </c>
      <c r="D324" s="3">
        <f>ROUND(IF(Data!E324&lt;0,0-Data!E324,0),1)</f>
        <v>0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40">
        <v>35018</v>
      </c>
      <c r="B325" s="42">
        <v>319</v>
      </c>
      <c r="C325" s="3">
        <v>199511</v>
      </c>
      <c r="D325" s="3">
        <f>ROUND(IF(Data!E325&lt;0,0-Data!E325,0),1)</f>
        <v>0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40">
        <v>35019</v>
      </c>
      <c r="B326" s="42">
        <v>320</v>
      </c>
      <c r="C326" s="3">
        <v>199511</v>
      </c>
      <c r="D326" s="3">
        <f>ROUND(IF(Data!E326&lt;0,0-Data!E326,0),1)</f>
        <v>0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40">
        <v>35020</v>
      </c>
      <c r="B327" s="42">
        <v>321</v>
      </c>
      <c r="C327" s="3">
        <v>199511</v>
      </c>
      <c r="D327" s="3">
        <f>ROUND(IF(Data!E327&lt;0,0-Data!E327,0),1)</f>
        <v>0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40">
        <v>35021</v>
      </c>
      <c r="B328" s="42">
        <v>322</v>
      </c>
      <c r="C328" s="3">
        <v>199511</v>
      </c>
      <c r="D328" s="3">
        <f>ROUND(IF(Data!E328&lt;0,0-Data!E328,0),1)</f>
        <v>0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40">
        <v>35022</v>
      </c>
      <c r="B329" s="42">
        <v>323</v>
      </c>
      <c r="C329" s="3">
        <v>199511</v>
      </c>
      <c r="D329" s="3">
        <f>ROUND(IF(Data!E329&lt;0,0-Data!E329,0),1)</f>
        <v>4.5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40">
        <v>35023</v>
      </c>
      <c r="B330" s="42">
        <v>324</v>
      </c>
      <c r="C330" s="3">
        <v>199511</v>
      </c>
      <c r="D330" s="3">
        <f>ROUND(IF(Data!E330&lt;0,0-Data!E330,0),1)</f>
        <v>4.0999999999999996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40">
        <v>35024</v>
      </c>
      <c r="B331" s="42">
        <v>325</v>
      </c>
      <c r="C331" s="3">
        <v>199511</v>
      </c>
      <c r="D331" s="3">
        <f>ROUND(IF(Data!E331&lt;0,0-Data!E331,0),1)</f>
        <v>0.7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40">
        <v>35025</v>
      </c>
      <c r="B332" s="42">
        <v>326</v>
      </c>
      <c r="C332" s="3">
        <v>199511</v>
      </c>
      <c r="D332" s="3">
        <f>ROUND(IF(Data!E332&lt;0,0-Data!E332,0),1)</f>
        <v>0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40">
        <v>35026</v>
      </c>
      <c r="B333" s="42">
        <v>327</v>
      </c>
      <c r="C333" s="3">
        <v>199511</v>
      </c>
      <c r="D333" s="3">
        <f>ROUND(IF(Data!E333&lt;0,0-Data!E333,0),1)</f>
        <v>0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40">
        <v>35027</v>
      </c>
      <c r="B334" s="42">
        <v>328</v>
      </c>
      <c r="C334" s="3">
        <v>199511</v>
      </c>
      <c r="D334" s="3">
        <f>ROUND(IF(Data!E334&lt;0,0-Data!E334,0),1)</f>
        <v>0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40">
        <v>35028</v>
      </c>
      <c r="B335" s="42">
        <v>329</v>
      </c>
      <c r="C335" s="3">
        <v>199511</v>
      </c>
      <c r="D335" s="3">
        <f>ROUND(IF(Data!E335&lt;0,0-Data!E335,0),1)</f>
        <v>0.2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40">
        <v>35029</v>
      </c>
      <c r="B336" s="42">
        <v>330</v>
      </c>
      <c r="C336" s="3">
        <v>199511</v>
      </c>
      <c r="D336" s="3">
        <f>ROUND(IF(Data!E336&lt;0,0-Data!E336,0),1)</f>
        <v>1.8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40">
        <v>35030</v>
      </c>
      <c r="B337" s="42">
        <v>331</v>
      </c>
      <c r="C337" s="3">
        <v>199511</v>
      </c>
      <c r="D337" s="3">
        <f>ROUND(IF(Data!E337&lt;0,0-Data!E337,0),1)</f>
        <v>3.3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40">
        <v>35031</v>
      </c>
      <c r="B338" s="42">
        <v>332</v>
      </c>
      <c r="C338" s="3">
        <v>199511</v>
      </c>
      <c r="D338" s="3">
        <f>ROUND(IF(Data!E338&lt;0,0-Data!E338,0),1)</f>
        <v>1.1000000000000001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40">
        <v>35032</v>
      </c>
      <c r="B339" s="42">
        <v>333</v>
      </c>
      <c r="C339" s="3">
        <v>199511</v>
      </c>
      <c r="D339" s="3">
        <f>ROUND(IF(Data!E339&lt;0,0-Data!E339,0),1)</f>
        <v>0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40">
        <v>35033</v>
      </c>
      <c r="B340" s="42">
        <v>334</v>
      </c>
      <c r="C340" s="3">
        <v>199511</v>
      </c>
      <c r="D340" s="3">
        <f>ROUND(IF(Data!E340&lt;0,0-Data!E340,0),1)</f>
        <v>0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40">
        <v>35034</v>
      </c>
      <c r="B341" s="42">
        <v>335</v>
      </c>
      <c r="C341" s="3">
        <v>199512</v>
      </c>
      <c r="D341" s="3">
        <f>ROUND(IF(Data!E341&lt;0,0-Data!E341,0),1)</f>
        <v>1.9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40">
        <v>35035</v>
      </c>
      <c r="B342" s="42">
        <v>336</v>
      </c>
      <c r="C342" s="3">
        <v>199512</v>
      </c>
      <c r="D342" s="3">
        <f>ROUND(IF(Data!E342&lt;0,0-Data!E342,0),1)</f>
        <v>5.6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40">
        <v>35036</v>
      </c>
      <c r="B343" s="42">
        <v>337</v>
      </c>
      <c r="C343" s="3">
        <v>199512</v>
      </c>
      <c r="D343" s="3">
        <f>ROUND(IF(Data!E343&lt;0,0-Data!E343,0),1)</f>
        <v>5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40">
        <v>35037</v>
      </c>
      <c r="B344" s="42">
        <v>338</v>
      </c>
      <c r="C344" s="3">
        <v>199512</v>
      </c>
      <c r="D344" s="3">
        <f>ROUND(IF(Data!E344&lt;0,0-Data!E344,0),1)</f>
        <v>11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40">
        <v>35038</v>
      </c>
      <c r="B345" s="42">
        <v>339</v>
      </c>
      <c r="C345" s="3">
        <v>199512</v>
      </c>
      <c r="D345" s="3">
        <f>ROUND(IF(Data!E345&lt;0,0-Data!E345,0),1)</f>
        <v>20.3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40">
        <v>35039</v>
      </c>
      <c r="B346" s="42">
        <v>340</v>
      </c>
      <c r="C346" s="3">
        <v>199512</v>
      </c>
      <c r="D346" s="3">
        <f>ROUND(IF(Data!E346&lt;0,0-Data!E346,0),1)</f>
        <v>15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40">
        <v>35040</v>
      </c>
      <c r="B347" s="42">
        <v>341</v>
      </c>
      <c r="C347" s="3">
        <v>199512</v>
      </c>
      <c r="D347" s="3">
        <f>ROUND(IF(Data!E347&lt;0,0-Data!E347,0),1)</f>
        <v>19.8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40">
        <v>35041</v>
      </c>
      <c r="B348" s="3">
        <v>342</v>
      </c>
      <c r="C348" s="3">
        <v>199512</v>
      </c>
      <c r="D348" s="3">
        <f>ROUND(IF(Data!E348&lt;0,0-Data!E348,0),1)</f>
        <v>28.6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40">
        <v>35042</v>
      </c>
      <c r="B349" s="3">
        <v>343</v>
      </c>
      <c r="C349" s="3">
        <v>199512</v>
      </c>
      <c r="D349" s="3">
        <f>ROUND(IF(Data!E349&lt;0,0-Data!E349,0),1)</f>
        <v>18.5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40">
        <v>35043</v>
      </c>
      <c r="B350" s="3">
        <v>344</v>
      </c>
      <c r="C350" s="3">
        <v>199512</v>
      </c>
      <c r="D350" s="3">
        <f>ROUND(IF(Data!E350&lt;0,0-Data!E350,0),1)</f>
        <v>9.1999999999999993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40">
        <v>35044</v>
      </c>
      <c r="B351" s="3">
        <v>345</v>
      </c>
      <c r="C351" s="3">
        <v>199512</v>
      </c>
      <c r="D351" s="3">
        <f>ROUND(IF(Data!E351&lt;0,0-Data!E351,0),1)</f>
        <v>3.1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40">
        <v>35045</v>
      </c>
      <c r="B352" s="3">
        <v>346</v>
      </c>
      <c r="C352" s="3">
        <v>199512</v>
      </c>
      <c r="D352" s="3">
        <f>ROUND(IF(Data!E352&lt;0,0-Data!E352,0),1)</f>
        <v>0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40">
        <v>35046</v>
      </c>
      <c r="B353" s="3">
        <v>347</v>
      </c>
      <c r="C353" s="3">
        <v>199512</v>
      </c>
      <c r="D353" s="3">
        <f>ROUND(IF(Data!E353&lt;0,0-Data!E353,0),1)</f>
        <v>1.7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40">
        <v>35047</v>
      </c>
      <c r="B354" s="3">
        <v>348</v>
      </c>
      <c r="C354" s="3">
        <v>199512</v>
      </c>
      <c r="D354" s="3">
        <f>ROUND(IF(Data!E354&lt;0,0-Data!E354,0),1)</f>
        <v>5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40">
        <v>35048</v>
      </c>
      <c r="B355" s="3">
        <v>349</v>
      </c>
      <c r="C355" s="3">
        <v>199512</v>
      </c>
      <c r="D355" s="3">
        <f>ROUND(IF(Data!E355&lt;0,0-Data!E355,0),1)</f>
        <v>7.6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40">
        <v>35049</v>
      </c>
      <c r="B356" s="3">
        <v>350</v>
      </c>
      <c r="C356" s="3">
        <v>199512</v>
      </c>
      <c r="D356" s="3">
        <f>ROUND(IF(Data!E356&lt;0,0-Data!E356,0),1)</f>
        <v>8.3000000000000007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40">
        <v>35050</v>
      </c>
      <c r="B357" s="3">
        <v>351</v>
      </c>
      <c r="C357" s="3">
        <v>199512</v>
      </c>
      <c r="D357" s="3">
        <f>ROUND(IF(Data!E357&lt;0,0-Data!E357,0),1)</f>
        <v>7.9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40">
        <v>35051</v>
      </c>
      <c r="B358" s="3">
        <v>352</v>
      </c>
      <c r="C358" s="3">
        <v>199512</v>
      </c>
      <c r="D358" s="3">
        <f>ROUND(IF(Data!E358&lt;0,0-Data!E358,0),1)</f>
        <v>6.6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40">
        <v>35052</v>
      </c>
      <c r="B359" s="3">
        <v>353</v>
      </c>
      <c r="C359" s="3">
        <v>199512</v>
      </c>
      <c r="D359" s="3">
        <f>ROUND(IF(Data!E359&lt;0,0-Data!E359,0),1)</f>
        <v>5.9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40">
        <v>35053</v>
      </c>
      <c r="B360" s="3">
        <v>354</v>
      </c>
      <c r="C360" s="3">
        <v>199512</v>
      </c>
      <c r="D360" s="3">
        <f>ROUND(IF(Data!E360&lt;0,0-Data!E360,0),1)</f>
        <v>5.3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40">
        <v>35054</v>
      </c>
      <c r="B361" s="3">
        <v>355</v>
      </c>
      <c r="C361" s="3">
        <v>199512</v>
      </c>
      <c r="D361" s="3">
        <f>ROUND(IF(Data!E361&lt;0,0-Data!E361,0),1)</f>
        <v>7.5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40">
        <v>35055</v>
      </c>
      <c r="B362" s="3">
        <v>356</v>
      </c>
      <c r="C362" s="3">
        <v>199512</v>
      </c>
      <c r="D362" s="3">
        <f>ROUND(IF(Data!E362&lt;0,0-Data!E362,0),1)</f>
        <v>10.3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40">
        <v>35056</v>
      </c>
      <c r="B363" s="3">
        <v>357</v>
      </c>
      <c r="C363" s="3">
        <v>199512</v>
      </c>
      <c r="D363" s="3">
        <f>ROUND(IF(Data!E363&lt;0,0-Data!E363,0),1)</f>
        <v>12.9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40">
        <v>35057</v>
      </c>
      <c r="B364" s="3">
        <v>358</v>
      </c>
      <c r="C364" s="3">
        <v>199512</v>
      </c>
      <c r="D364" s="3">
        <f>ROUND(IF(Data!E364&lt;0,0-Data!E364,0),1)</f>
        <v>11.1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40">
        <v>35058</v>
      </c>
      <c r="B365" s="3">
        <v>359</v>
      </c>
      <c r="C365" s="3">
        <v>199512</v>
      </c>
      <c r="D365" s="3">
        <f>ROUND(IF(Data!E365&lt;0,0-Data!E365,0),1)</f>
        <v>12.6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40">
        <v>35059</v>
      </c>
      <c r="B366" s="3">
        <v>360</v>
      </c>
      <c r="C366" s="3">
        <v>199512</v>
      </c>
      <c r="D366" s="3">
        <f>ROUND(IF(Data!E366&lt;0,0-Data!E366,0),1)</f>
        <v>11.9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40">
        <v>35060</v>
      </c>
      <c r="B367" s="3">
        <v>361</v>
      </c>
      <c r="C367" s="3">
        <v>199512</v>
      </c>
      <c r="D367" s="3">
        <f>ROUND(IF(Data!E367&lt;0,0-Data!E367,0),1)</f>
        <v>10.1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40">
        <v>35061</v>
      </c>
      <c r="B368" s="3">
        <v>362</v>
      </c>
      <c r="C368" s="3">
        <v>199512</v>
      </c>
      <c r="D368" s="3">
        <f>ROUND(IF(Data!E368&lt;0,0-Data!E368,0),1)</f>
        <v>8.8000000000000007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40">
        <v>35062</v>
      </c>
      <c r="B369" s="3">
        <v>363</v>
      </c>
      <c r="C369" s="3">
        <v>199512</v>
      </c>
      <c r="D369" s="3">
        <f>ROUND(IF(Data!E369&lt;0,0-Data!E369,0),1)</f>
        <v>7.2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40">
        <v>35063</v>
      </c>
      <c r="B370" s="3">
        <v>364</v>
      </c>
      <c r="C370" s="3">
        <v>199512</v>
      </c>
      <c r="D370" s="3">
        <f>ROUND(IF(Data!E370&lt;0,0-Data!E370,0),1)</f>
        <v>5.6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40">
        <v>35064</v>
      </c>
      <c r="B371" s="3">
        <v>365</v>
      </c>
      <c r="C371" s="3">
        <v>199512</v>
      </c>
      <c r="D371" s="3">
        <f>ROUND(IF(Data!E371&lt;0,0-Data!E371,0),1)</f>
        <v>3.4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15</vt:i4>
      </vt:variant>
    </vt:vector>
  </HeadingPairs>
  <TitlesOfParts>
    <vt:vector size="19" baseType="lpstr">
      <vt:lpstr>Meta</vt:lpstr>
      <vt:lpstr>PPTest</vt:lpstr>
      <vt:lpstr>Data</vt:lpstr>
      <vt:lpstr>DerVar</vt:lpstr>
      <vt:lpstr>Solar</vt:lpstr>
      <vt:lpstr>PAR</vt:lpstr>
      <vt:lpstr>Tair6m</vt:lpstr>
      <vt:lpstr>Ta3m</vt:lpstr>
      <vt:lpstr>TA15m</vt:lpstr>
      <vt:lpstr>Ta25m</vt:lpstr>
      <vt:lpstr>Rh</vt:lpstr>
      <vt:lpstr>RhCor</vt:lpstr>
      <vt:lpstr>Tduff</vt:lpstr>
      <vt:lpstr>Soil15</vt:lpstr>
      <vt:lpstr>Soil50</vt:lpstr>
      <vt:lpstr>Wind</vt:lpstr>
      <vt:lpstr>PPT</vt:lpstr>
      <vt:lpstr>VPD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2025-04-21T23:24:31Z</dcterms:modified>
</cp:coreProperties>
</file>