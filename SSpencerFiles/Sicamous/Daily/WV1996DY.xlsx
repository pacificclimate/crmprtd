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drawings/drawing18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x" sheetId="18" r:id="rId18"/>
    <sheet name="Snow" sheetId="22" r:id="rId19"/>
  </sheets>
  <calcPr calcId="145621" iterate="1" iterateCount="1"/>
  <pivotCaches>
    <pivotCache cacheId="11" r:id="rId20"/>
  </pivotCaches>
</workbook>
</file>

<file path=xl/calcChain.xml><?xml version="1.0" encoding="utf-8"?>
<calcChain xmlns="http://schemas.openxmlformats.org/spreadsheetml/2006/main">
  <c r="BP317" i="1" l="1"/>
  <c r="BQ317" i="1" s="1"/>
  <c r="BP316" i="1"/>
  <c r="BQ316" i="1" s="1"/>
  <c r="BP315" i="1"/>
  <c r="BQ315" i="1" s="1"/>
  <c r="BP314" i="1"/>
  <c r="BQ314" i="1" s="1"/>
  <c r="BP313" i="1"/>
  <c r="BQ313" i="1" s="1"/>
  <c r="BP312" i="1"/>
  <c r="BQ312" i="1" s="1"/>
  <c r="BP311" i="1"/>
  <c r="BQ311" i="1" s="1"/>
  <c r="BP310" i="1"/>
  <c r="BQ310" i="1" s="1"/>
  <c r="BP309" i="1"/>
  <c r="BQ309" i="1" s="1"/>
  <c r="BP308" i="1"/>
  <c r="BQ308" i="1" s="1"/>
  <c r="BP307" i="1"/>
  <c r="BQ307" i="1" s="1"/>
  <c r="BP306" i="1"/>
  <c r="BQ306" i="1" s="1"/>
  <c r="BP305" i="1"/>
  <c r="BQ305" i="1" s="1"/>
  <c r="BP304" i="1"/>
  <c r="BQ304" i="1" s="1"/>
  <c r="BP303" i="1"/>
  <c r="BQ303" i="1" s="1"/>
  <c r="BP302" i="1"/>
  <c r="BQ302" i="1" s="1"/>
  <c r="BP301" i="1"/>
  <c r="BQ301" i="1" s="1"/>
  <c r="BP300" i="1"/>
  <c r="BQ300" i="1" s="1"/>
  <c r="BP299" i="1"/>
  <c r="BQ299" i="1" s="1"/>
  <c r="BP298" i="1"/>
  <c r="BQ298" i="1" s="1"/>
  <c r="BP297" i="1"/>
  <c r="BQ297" i="1" s="1"/>
  <c r="BP296" i="1"/>
  <c r="BQ296" i="1" s="1"/>
  <c r="BP295" i="1"/>
  <c r="BQ295" i="1" s="1"/>
  <c r="BP294" i="1"/>
  <c r="BQ294" i="1" s="1"/>
  <c r="BP293" i="1"/>
  <c r="BQ293" i="1" s="1"/>
  <c r="BP292" i="1"/>
  <c r="BQ292" i="1" s="1"/>
  <c r="BP291" i="1"/>
  <c r="BQ291" i="1" s="1"/>
  <c r="BP290" i="1"/>
  <c r="BQ290" i="1" s="1"/>
  <c r="BP289" i="1"/>
  <c r="BQ289" i="1" s="1"/>
  <c r="BP288" i="1"/>
  <c r="BQ288" i="1" s="1"/>
  <c r="BP287" i="1"/>
  <c r="BQ287" i="1" s="1"/>
  <c r="BP286" i="1"/>
  <c r="BQ286" i="1" s="1"/>
  <c r="BP285" i="1"/>
  <c r="BQ285" i="1" s="1"/>
  <c r="BP284" i="1"/>
  <c r="BQ284" i="1" s="1"/>
  <c r="BP283" i="1"/>
  <c r="BQ283" i="1" s="1"/>
  <c r="BP282" i="1"/>
  <c r="BQ282" i="1" s="1"/>
  <c r="BP281" i="1"/>
  <c r="BQ281" i="1" s="1"/>
  <c r="BP280" i="1"/>
  <c r="BQ280" i="1" s="1"/>
  <c r="BP279" i="1"/>
  <c r="BQ279" i="1" s="1"/>
  <c r="BP278" i="1"/>
  <c r="BQ278" i="1" s="1"/>
  <c r="BP277" i="1"/>
  <c r="BQ277" i="1" s="1"/>
  <c r="BP276" i="1"/>
  <c r="BQ276" i="1" s="1"/>
  <c r="BP275" i="1"/>
  <c r="BQ275" i="1" s="1"/>
  <c r="BP274" i="1"/>
  <c r="BQ274" i="1" s="1"/>
  <c r="BP273" i="1"/>
  <c r="BQ273" i="1" s="1"/>
  <c r="BP272" i="1"/>
  <c r="BQ272" i="1" s="1"/>
  <c r="BP271" i="1"/>
  <c r="BQ271" i="1" s="1"/>
  <c r="BP270" i="1"/>
  <c r="BQ270" i="1" s="1"/>
  <c r="BP269" i="1"/>
  <c r="BQ269" i="1" s="1"/>
  <c r="BP268" i="1"/>
  <c r="BQ268" i="1" s="1"/>
  <c r="BP267" i="1"/>
  <c r="BQ267" i="1" s="1"/>
  <c r="BP266" i="1"/>
  <c r="BQ266" i="1" s="1"/>
  <c r="BP265" i="1"/>
  <c r="BQ265" i="1" s="1"/>
  <c r="BP264" i="1"/>
  <c r="BQ264" i="1" s="1"/>
  <c r="BP263" i="1"/>
  <c r="BQ263" i="1" s="1"/>
  <c r="BP262" i="1"/>
  <c r="BQ262" i="1" s="1"/>
  <c r="BP261" i="1"/>
  <c r="BQ261" i="1" s="1"/>
  <c r="BP260" i="1"/>
  <c r="BQ260" i="1" s="1"/>
  <c r="BP259" i="1"/>
  <c r="BQ259" i="1" s="1"/>
  <c r="BP258" i="1"/>
  <c r="BQ258" i="1" s="1"/>
  <c r="BP257" i="1"/>
  <c r="BQ257" i="1" s="1"/>
  <c r="BP256" i="1"/>
  <c r="BQ256" i="1" s="1"/>
  <c r="BP255" i="1"/>
  <c r="BQ255" i="1" s="1"/>
  <c r="BP254" i="1"/>
  <c r="BQ254" i="1" s="1"/>
  <c r="BP253" i="1"/>
  <c r="BQ253" i="1" s="1"/>
  <c r="BP252" i="1"/>
  <c r="BQ252" i="1" s="1"/>
  <c r="BP171" i="1"/>
  <c r="BQ171" i="1" s="1"/>
  <c r="BP170" i="1"/>
  <c r="BQ170" i="1" s="1"/>
  <c r="BP169" i="1"/>
  <c r="BQ169" i="1" s="1"/>
  <c r="BP168" i="1"/>
  <c r="BQ168" i="1" s="1"/>
  <c r="BP167" i="1"/>
  <c r="BQ167" i="1" s="1"/>
  <c r="BP166" i="1"/>
  <c r="BQ166" i="1" s="1"/>
  <c r="BP165" i="1"/>
  <c r="BQ165" i="1" s="1"/>
  <c r="BP164" i="1"/>
  <c r="BQ164" i="1" s="1"/>
  <c r="BP163" i="1"/>
  <c r="BQ163" i="1" s="1"/>
  <c r="BP158" i="1"/>
  <c r="BQ158" i="1" s="1"/>
  <c r="BP157" i="1"/>
  <c r="BQ157" i="1" s="1"/>
  <c r="BP156" i="1"/>
  <c r="BQ156" i="1" s="1"/>
  <c r="BP155" i="1"/>
  <c r="BQ155" i="1" s="1"/>
  <c r="BP154" i="1"/>
  <c r="BQ154" i="1" s="1"/>
  <c r="BP153" i="1"/>
  <c r="BQ153" i="1" s="1"/>
  <c r="BP152" i="1"/>
  <c r="BQ152" i="1" s="1"/>
  <c r="BP151" i="1"/>
  <c r="BQ151" i="1" s="1"/>
  <c r="BP150" i="1"/>
  <c r="BQ150" i="1" s="1"/>
  <c r="BP149" i="1"/>
  <c r="BQ149" i="1" s="1"/>
  <c r="BP148" i="1"/>
  <c r="BQ148" i="1" s="1"/>
  <c r="BP147" i="1"/>
  <c r="BQ147" i="1" s="1"/>
  <c r="BP146" i="1"/>
  <c r="BQ146" i="1" s="1"/>
  <c r="BP145" i="1"/>
  <c r="BQ145" i="1" s="1"/>
  <c r="BP142" i="1"/>
  <c r="BQ142" i="1" s="1"/>
  <c r="BP141" i="1"/>
  <c r="BQ141" i="1" s="1"/>
  <c r="BP140" i="1"/>
  <c r="BQ140" i="1" s="1"/>
  <c r="BP139" i="1"/>
  <c r="BQ139" i="1" s="1"/>
  <c r="BQ138" i="1"/>
  <c r="CW53" i="1" l="1"/>
  <c r="J136" i="23"/>
  <c r="K136" i="23" s="1"/>
  <c r="CW136" i="1" s="1"/>
  <c r="J135" i="23"/>
  <c r="K135" i="23" s="1"/>
  <c r="CW135" i="1" s="1"/>
  <c r="J134" i="23"/>
  <c r="K134" i="23" s="1"/>
  <c r="CW134" i="1" s="1"/>
  <c r="J133" i="23"/>
  <c r="K133" i="23" s="1"/>
  <c r="CW133" i="1" s="1"/>
  <c r="J132" i="23"/>
  <c r="K132" i="23" s="1"/>
  <c r="CW132" i="1" s="1"/>
  <c r="J131" i="23"/>
  <c r="K131" i="23" s="1"/>
  <c r="CW131" i="1" s="1"/>
  <c r="J130" i="23"/>
  <c r="K130" i="23" s="1"/>
  <c r="CW130" i="1" s="1"/>
  <c r="J129" i="23"/>
  <c r="K129" i="23" s="1"/>
  <c r="J128" i="23"/>
  <c r="K128" i="23" s="1"/>
  <c r="CW128" i="1" s="1"/>
  <c r="J127" i="23"/>
  <c r="K127" i="23" s="1"/>
  <c r="CW127" i="1" s="1"/>
  <c r="J126" i="23"/>
  <c r="K126" i="23" s="1"/>
  <c r="CW126" i="1" s="1"/>
  <c r="J125" i="23"/>
  <c r="K125" i="23" s="1"/>
  <c r="CW125" i="1" s="1"/>
  <c r="J124" i="23"/>
  <c r="K124" i="23" s="1"/>
  <c r="CW124" i="1" s="1"/>
  <c r="J123" i="23"/>
  <c r="K123" i="23" s="1"/>
  <c r="CW123" i="1" s="1"/>
  <c r="J122" i="23"/>
  <c r="K122" i="23" s="1"/>
  <c r="CW122" i="1" s="1"/>
  <c r="J121" i="23"/>
  <c r="K121" i="23" s="1"/>
  <c r="CW121" i="1" s="1"/>
  <c r="J120" i="23"/>
  <c r="K120" i="23" s="1"/>
  <c r="CW120" i="1" s="1"/>
  <c r="J119" i="23"/>
  <c r="K119" i="23" s="1"/>
  <c r="CW119" i="1" s="1"/>
  <c r="J118" i="23"/>
  <c r="K118" i="23" s="1"/>
  <c r="CW118" i="1" s="1"/>
  <c r="J117" i="23"/>
  <c r="K117" i="23" s="1"/>
  <c r="CW117" i="1" s="1"/>
  <c r="J116" i="23"/>
  <c r="K116" i="23" s="1"/>
  <c r="CW116" i="1" s="1"/>
  <c r="J115" i="23"/>
  <c r="K115" i="23" s="1"/>
  <c r="CW115" i="1" s="1"/>
  <c r="J114" i="23"/>
  <c r="K114" i="23" s="1"/>
  <c r="CW114" i="1" s="1"/>
  <c r="J113" i="23"/>
  <c r="K113" i="23" s="1"/>
  <c r="CW113" i="1" s="1"/>
  <c r="J112" i="23"/>
  <c r="K112" i="23" s="1"/>
  <c r="CW112" i="1" s="1"/>
  <c r="J111" i="23"/>
  <c r="K111" i="23" s="1"/>
  <c r="CW111" i="1" s="1"/>
  <c r="J110" i="23"/>
  <c r="K110" i="23" s="1"/>
  <c r="CW110" i="1" s="1"/>
  <c r="J109" i="23"/>
  <c r="K109" i="23" s="1"/>
  <c r="CW109" i="1" s="1"/>
  <c r="J108" i="23"/>
  <c r="K108" i="23" s="1"/>
  <c r="CW108" i="1" s="1"/>
  <c r="J107" i="23"/>
  <c r="K107" i="23" s="1"/>
  <c r="CW107" i="1" s="1"/>
  <c r="J106" i="23"/>
  <c r="K106" i="23" s="1"/>
  <c r="CW106" i="1" s="1"/>
  <c r="J105" i="23"/>
  <c r="K105" i="23" s="1"/>
  <c r="CW105" i="1" s="1"/>
  <c r="J104" i="23"/>
  <c r="K104" i="23" s="1"/>
  <c r="CW104" i="1" s="1"/>
  <c r="J103" i="23"/>
  <c r="K103" i="23" s="1"/>
  <c r="CW103" i="1" s="1"/>
  <c r="J102" i="23"/>
  <c r="K102" i="23" s="1"/>
  <c r="CW102" i="1" s="1"/>
  <c r="J101" i="23"/>
  <c r="K101" i="23" s="1"/>
  <c r="CW101" i="1" s="1"/>
  <c r="J100" i="23"/>
  <c r="K100" i="23" s="1"/>
  <c r="CW100" i="1" s="1"/>
  <c r="J99" i="23"/>
  <c r="K99" i="23" s="1"/>
  <c r="CW99" i="1" s="1"/>
  <c r="J98" i="23"/>
  <c r="K98" i="23" s="1"/>
  <c r="CW98" i="1" s="1"/>
  <c r="J97" i="23"/>
  <c r="K97" i="23" s="1"/>
  <c r="CW97" i="1" s="1"/>
  <c r="J96" i="23"/>
  <c r="K96" i="23" s="1"/>
  <c r="CW96" i="1" s="1"/>
  <c r="J95" i="23"/>
  <c r="K95" i="23" s="1"/>
  <c r="CW95" i="1" s="1"/>
  <c r="J94" i="23"/>
  <c r="K94" i="23" s="1"/>
  <c r="CW94" i="1" s="1"/>
  <c r="J93" i="23"/>
  <c r="K93" i="23" s="1"/>
  <c r="CW93" i="1" s="1"/>
  <c r="J92" i="23"/>
  <c r="K92" i="23" s="1"/>
  <c r="CW92" i="1" s="1"/>
  <c r="J91" i="23"/>
  <c r="K91" i="23" s="1"/>
  <c r="CW91" i="1" s="1"/>
  <c r="J90" i="23"/>
  <c r="K90" i="23" s="1"/>
  <c r="CW90" i="1" s="1"/>
  <c r="J89" i="23"/>
  <c r="K89" i="23" s="1"/>
  <c r="CW89" i="1" s="1"/>
  <c r="J88" i="23"/>
  <c r="K88" i="23" s="1"/>
  <c r="CW88" i="1" s="1"/>
  <c r="J87" i="23"/>
  <c r="K87" i="23" s="1"/>
  <c r="CW87" i="1" s="1"/>
  <c r="J86" i="23"/>
  <c r="K86" i="23" s="1"/>
  <c r="CW86" i="1" s="1"/>
  <c r="J85" i="23"/>
  <c r="K85" i="23" s="1"/>
  <c r="CW85" i="1" s="1"/>
  <c r="J84" i="23"/>
  <c r="K84" i="23" s="1"/>
  <c r="CW84" i="1" s="1"/>
  <c r="J83" i="23"/>
  <c r="K83" i="23" s="1"/>
  <c r="CW83" i="1" s="1"/>
  <c r="J82" i="23"/>
  <c r="K82" i="23" s="1"/>
  <c r="CW82" i="1" s="1"/>
  <c r="J81" i="23"/>
  <c r="K81" i="23" s="1"/>
  <c r="CW81" i="1" s="1"/>
  <c r="J80" i="23"/>
  <c r="K80" i="23" s="1"/>
  <c r="CW80" i="1" s="1"/>
  <c r="J79" i="23"/>
  <c r="K79" i="23" s="1"/>
  <c r="CW79" i="1" s="1"/>
  <c r="J78" i="23"/>
  <c r="K78" i="23" s="1"/>
  <c r="CW78" i="1" s="1"/>
  <c r="J77" i="23"/>
  <c r="K77" i="23" s="1"/>
  <c r="CW77" i="1" s="1"/>
  <c r="J76" i="23"/>
  <c r="K76" i="23" s="1"/>
  <c r="CW76" i="1" s="1"/>
  <c r="J75" i="23"/>
  <c r="K75" i="23" s="1"/>
  <c r="CW75" i="1" s="1"/>
  <c r="J74" i="23"/>
  <c r="K74" i="23" s="1"/>
  <c r="CW74" i="1" s="1"/>
  <c r="J73" i="23"/>
  <c r="K73" i="23" s="1"/>
  <c r="CW73" i="1" s="1"/>
  <c r="J72" i="23"/>
  <c r="K72" i="23" s="1"/>
  <c r="CW72" i="1" s="1"/>
  <c r="J71" i="23"/>
  <c r="K71" i="23" s="1"/>
  <c r="CW71" i="1" s="1"/>
  <c r="J70" i="23"/>
  <c r="K70" i="23" s="1"/>
  <c r="CW70" i="1" s="1"/>
  <c r="J69" i="23"/>
  <c r="K69" i="23" s="1"/>
  <c r="CW69" i="1" s="1"/>
  <c r="J68" i="23"/>
  <c r="K68" i="23" s="1"/>
  <c r="CW68" i="1" s="1"/>
  <c r="J67" i="23"/>
  <c r="K67" i="23" s="1"/>
  <c r="CW67" i="1" s="1"/>
  <c r="J66" i="23"/>
  <c r="K66" i="23" s="1"/>
  <c r="CW66" i="1" s="1"/>
  <c r="J65" i="23"/>
  <c r="K65" i="23" s="1"/>
  <c r="CW65" i="1" s="1"/>
  <c r="J64" i="23"/>
  <c r="K64" i="23" s="1"/>
  <c r="CW64" i="1" s="1"/>
  <c r="J63" i="23"/>
  <c r="K63" i="23" s="1"/>
  <c r="CW63" i="1" s="1"/>
  <c r="J62" i="23"/>
  <c r="K62" i="23" s="1"/>
  <c r="CW62" i="1" s="1"/>
  <c r="J61" i="23"/>
  <c r="K61" i="23" s="1"/>
  <c r="CW61" i="1" s="1"/>
  <c r="J60" i="23"/>
  <c r="K60" i="23" s="1"/>
  <c r="CW60" i="1" s="1"/>
  <c r="J59" i="23"/>
  <c r="K59" i="23" s="1"/>
  <c r="CW59" i="1" s="1"/>
  <c r="J58" i="23"/>
  <c r="K58" i="23" s="1"/>
  <c r="CW58" i="1" s="1"/>
  <c r="J57" i="23"/>
  <c r="K57" i="23" s="1"/>
  <c r="CW57" i="1" s="1"/>
  <c r="J56" i="23"/>
  <c r="K56" i="23" s="1"/>
  <c r="CW56" i="1" s="1"/>
  <c r="J55" i="23"/>
  <c r="K55" i="23" s="1"/>
  <c r="CW55" i="1" s="1"/>
  <c r="J53" i="23"/>
  <c r="K53" i="23" s="1"/>
  <c r="J52" i="23"/>
  <c r="K52" i="23" s="1"/>
  <c r="CW52" i="1" s="1"/>
  <c r="J54" i="23"/>
  <c r="K54" i="23" s="1"/>
  <c r="CW54" i="1" s="1"/>
  <c r="CW129" i="1" l="1"/>
  <c r="Q6" i="23" l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DB372" i="1" l="1"/>
  <c r="CY372" i="1"/>
  <c r="CX372" i="1"/>
  <c r="CT372" i="1"/>
  <c r="CS372" i="1"/>
  <c r="CR372" i="1"/>
  <c r="CQ372" i="1"/>
  <c r="CP372" i="1"/>
  <c r="CO372" i="1"/>
  <c r="CN372" i="1"/>
  <c r="CL372" i="1"/>
  <c r="CK372" i="1"/>
  <c r="CJ372" i="1"/>
  <c r="CI372" i="1"/>
  <c r="CH372" i="1"/>
  <c r="CG372" i="1"/>
  <c r="CF372" i="1"/>
  <c r="CD372" i="1"/>
  <c r="CC372" i="1"/>
  <c r="CB372" i="1"/>
  <c r="CA372" i="1"/>
  <c r="BZ372" i="1"/>
  <c r="BY372" i="1"/>
  <c r="BX372" i="1"/>
  <c r="DB371" i="1"/>
  <c r="CY371" i="1"/>
  <c r="CX371" i="1"/>
  <c r="CT371" i="1"/>
  <c r="CS371" i="1"/>
  <c r="CR371" i="1"/>
  <c r="CQ371" i="1"/>
  <c r="CP371" i="1"/>
  <c r="CO371" i="1"/>
  <c r="CN371" i="1"/>
  <c r="CL371" i="1"/>
  <c r="CK371" i="1"/>
  <c r="CJ371" i="1"/>
  <c r="CI371" i="1"/>
  <c r="CH371" i="1"/>
  <c r="CG371" i="1"/>
  <c r="CF371" i="1"/>
  <c r="CD371" i="1"/>
  <c r="CC371" i="1"/>
  <c r="CB371" i="1"/>
  <c r="CA371" i="1"/>
  <c r="BZ371" i="1"/>
  <c r="BY371" i="1"/>
  <c r="BX371" i="1"/>
  <c r="DB370" i="1"/>
  <c r="CY370" i="1"/>
  <c r="CX370" i="1"/>
  <c r="CT370" i="1"/>
  <c r="CS370" i="1"/>
  <c r="CR370" i="1"/>
  <c r="CQ370" i="1"/>
  <c r="CP370" i="1"/>
  <c r="CO370" i="1"/>
  <c r="CN370" i="1"/>
  <c r="CL370" i="1"/>
  <c r="CK370" i="1"/>
  <c r="CJ370" i="1"/>
  <c r="CI370" i="1"/>
  <c r="CH370" i="1"/>
  <c r="CG370" i="1"/>
  <c r="CF370" i="1"/>
  <c r="CD370" i="1"/>
  <c r="CC370" i="1"/>
  <c r="CB370" i="1"/>
  <c r="CA370" i="1"/>
  <c r="BZ370" i="1"/>
  <c r="BY370" i="1"/>
  <c r="BX370" i="1"/>
  <c r="DB369" i="1"/>
  <c r="CY369" i="1"/>
  <c r="CX369" i="1"/>
  <c r="CT369" i="1"/>
  <c r="CS369" i="1"/>
  <c r="CR369" i="1"/>
  <c r="CQ369" i="1"/>
  <c r="CP369" i="1"/>
  <c r="CO369" i="1"/>
  <c r="CN369" i="1"/>
  <c r="CL369" i="1"/>
  <c r="CK369" i="1"/>
  <c r="CJ369" i="1"/>
  <c r="CI369" i="1"/>
  <c r="CH369" i="1"/>
  <c r="CG369" i="1"/>
  <c r="CF369" i="1"/>
  <c r="CD369" i="1"/>
  <c r="CC369" i="1"/>
  <c r="CB369" i="1"/>
  <c r="CA369" i="1"/>
  <c r="BZ369" i="1"/>
  <c r="BY369" i="1"/>
  <c r="BX369" i="1"/>
  <c r="DB368" i="1"/>
  <c r="CY368" i="1"/>
  <c r="CX368" i="1"/>
  <c r="CT368" i="1"/>
  <c r="CS368" i="1"/>
  <c r="CR368" i="1"/>
  <c r="CQ368" i="1"/>
  <c r="CP368" i="1"/>
  <c r="CO368" i="1"/>
  <c r="CN368" i="1"/>
  <c r="CL368" i="1"/>
  <c r="CK368" i="1"/>
  <c r="CJ368" i="1"/>
  <c r="CI368" i="1"/>
  <c r="CH368" i="1"/>
  <c r="CG368" i="1"/>
  <c r="CF368" i="1"/>
  <c r="CD368" i="1"/>
  <c r="CC368" i="1"/>
  <c r="CB368" i="1"/>
  <c r="CA368" i="1"/>
  <c r="BZ368" i="1"/>
  <c r="BY368" i="1"/>
  <c r="BX368" i="1"/>
  <c r="DB367" i="1"/>
  <c r="CY367" i="1"/>
  <c r="CX367" i="1"/>
  <c r="CT367" i="1"/>
  <c r="CS367" i="1"/>
  <c r="CR367" i="1"/>
  <c r="CQ367" i="1"/>
  <c r="CP367" i="1"/>
  <c r="CO367" i="1"/>
  <c r="CN367" i="1"/>
  <c r="CL367" i="1"/>
  <c r="CK367" i="1"/>
  <c r="CJ367" i="1"/>
  <c r="CI367" i="1"/>
  <c r="CH367" i="1"/>
  <c r="CG367" i="1"/>
  <c r="CF367" i="1"/>
  <c r="CD367" i="1"/>
  <c r="CC367" i="1"/>
  <c r="CB367" i="1"/>
  <c r="CA367" i="1"/>
  <c r="BZ367" i="1"/>
  <c r="BY367" i="1"/>
  <c r="BX367" i="1"/>
  <c r="DB366" i="1"/>
  <c r="CY366" i="1"/>
  <c r="CX366" i="1"/>
  <c r="CT366" i="1"/>
  <c r="CS366" i="1"/>
  <c r="CR366" i="1"/>
  <c r="CQ366" i="1"/>
  <c r="CP366" i="1"/>
  <c r="CO366" i="1"/>
  <c r="CN366" i="1"/>
  <c r="CL366" i="1"/>
  <c r="CK366" i="1"/>
  <c r="CJ366" i="1"/>
  <c r="CI366" i="1"/>
  <c r="CH366" i="1"/>
  <c r="CG366" i="1"/>
  <c r="CF366" i="1"/>
  <c r="CD366" i="1"/>
  <c r="CC366" i="1"/>
  <c r="CB366" i="1"/>
  <c r="CA366" i="1"/>
  <c r="BZ366" i="1"/>
  <c r="BY366" i="1"/>
  <c r="BX366" i="1"/>
  <c r="DB365" i="1"/>
  <c r="CY365" i="1"/>
  <c r="CX365" i="1"/>
  <c r="CT365" i="1"/>
  <c r="CS365" i="1"/>
  <c r="CR365" i="1"/>
  <c r="CQ365" i="1"/>
  <c r="CP365" i="1"/>
  <c r="CO365" i="1"/>
  <c r="CN365" i="1"/>
  <c r="CL365" i="1"/>
  <c r="CK365" i="1"/>
  <c r="CJ365" i="1"/>
  <c r="CI365" i="1"/>
  <c r="CH365" i="1"/>
  <c r="CG365" i="1"/>
  <c r="CF365" i="1"/>
  <c r="CD365" i="1"/>
  <c r="CC365" i="1"/>
  <c r="CB365" i="1"/>
  <c r="CA365" i="1"/>
  <c r="BZ365" i="1"/>
  <c r="BY365" i="1"/>
  <c r="BX365" i="1"/>
  <c r="DB364" i="1"/>
  <c r="CY364" i="1"/>
  <c r="CX364" i="1"/>
  <c r="CT364" i="1"/>
  <c r="CS364" i="1"/>
  <c r="CR364" i="1"/>
  <c r="CQ364" i="1"/>
  <c r="CP364" i="1"/>
  <c r="CO364" i="1"/>
  <c r="CN364" i="1"/>
  <c r="CL364" i="1"/>
  <c r="CK364" i="1"/>
  <c r="CJ364" i="1"/>
  <c r="CI364" i="1"/>
  <c r="CH364" i="1"/>
  <c r="CG364" i="1"/>
  <c r="CF364" i="1"/>
  <c r="CD364" i="1"/>
  <c r="CC364" i="1"/>
  <c r="CB364" i="1"/>
  <c r="CA364" i="1"/>
  <c r="BZ364" i="1"/>
  <c r="BY364" i="1"/>
  <c r="BX364" i="1"/>
  <c r="DB363" i="1"/>
  <c r="CY363" i="1"/>
  <c r="CX363" i="1"/>
  <c r="CT363" i="1"/>
  <c r="CS363" i="1"/>
  <c r="CR363" i="1"/>
  <c r="CQ363" i="1"/>
  <c r="CP363" i="1"/>
  <c r="CO363" i="1"/>
  <c r="CN363" i="1"/>
  <c r="CL363" i="1"/>
  <c r="CK363" i="1"/>
  <c r="CJ363" i="1"/>
  <c r="CI363" i="1"/>
  <c r="CH363" i="1"/>
  <c r="CG363" i="1"/>
  <c r="CF363" i="1"/>
  <c r="CD363" i="1"/>
  <c r="CC363" i="1"/>
  <c r="CB363" i="1"/>
  <c r="CA363" i="1"/>
  <c r="BZ363" i="1"/>
  <c r="BY363" i="1"/>
  <c r="BX363" i="1"/>
  <c r="DB362" i="1"/>
  <c r="CY362" i="1"/>
  <c r="CX362" i="1"/>
  <c r="CT362" i="1"/>
  <c r="CS362" i="1"/>
  <c r="CR362" i="1"/>
  <c r="CQ362" i="1"/>
  <c r="CP362" i="1"/>
  <c r="CO362" i="1"/>
  <c r="CN362" i="1"/>
  <c r="CL362" i="1"/>
  <c r="CK362" i="1"/>
  <c r="CJ362" i="1"/>
  <c r="CI362" i="1"/>
  <c r="CH362" i="1"/>
  <c r="CG362" i="1"/>
  <c r="CF362" i="1"/>
  <c r="CD362" i="1"/>
  <c r="CC362" i="1"/>
  <c r="CB362" i="1"/>
  <c r="CA362" i="1"/>
  <c r="BZ362" i="1"/>
  <c r="BY362" i="1"/>
  <c r="BX362" i="1"/>
  <c r="DB361" i="1"/>
  <c r="CY361" i="1"/>
  <c r="CX361" i="1"/>
  <c r="CT361" i="1"/>
  <c r="CS361" i="1"/>
  <c r="CR361" i="1"/>
  <c r="CQ361" i="1"/>
  <c r="CP361" i="1"/>
  <c r="CO361" i="1"/>
  <c r="CN361" i="1"/>
  <c r="CL361" i="1"/>
  <c r="CK361" i="1"/>
  <c r="CJ361" i="1"/>
  <c r="CI361" i="1"/>
  <c r="CH361" i="1"/>
  <c r="CG361" i="1"/>
  <c r="CF361" i="1"/>
  <c r="CD361" i="1"/>
  <c r="CC361" i="1"/>
  <c r="CB361" i="1"/>
  <c r="CA361" i="1"/>
  <c r="BZ361" i="1"/>
  <c r="BY361" i="1"/>
  <c r="BX361" i="1"/>
  <c r="DB360" i="1"/>
  <c r="CY360" i="1"/>
  <c r="CX360" i="1"/>
  <c r="CT360" i="1"/>
  <c r="CS360" i="1"/>
  <c r="CR360" i="1"/>
  <c r="CQ360" i="1"/>
  <c r="CP360" i="1"/>
  <c r="CO360" i="1"/>
  <c r="CN360" i="1"/>
  <c r="CL360" i="1"/>
  <c r="CK360" i="1"/>
  <c r="CJ360" i="1"/>
  <c r="CI360" i="1"/>
  <c r="CH360" i="1"/>
  <c r="CG360" i="1"/>
  <c r="CF360" i="1"/>
  <c r="CD360" i="1"/>
  <c r="CC360" i="1"/>
  <c r="CB360" i="1"/>
  <c r="CA360" i="1"/>
  <c r="BZ360" i="1"/>
  <c r="BY360" i="1"/>
  <c r="BX360" i="1"/>
  <c r="DB359" i="1"/>
  <c r="CY359" i="1"/>
  <c r="CX359" i="1"/>
  <c r="CT359" i="1"/>
  <c r="CS359" i="1"/>
  <c r="CR359" i="1"/>
  <c r="CQ359" i="1"/>
  <c r="CP359" i="1"/>
  <c r="CO359" i="1"/>
  <c r="CN359" i="1"/>
  <c r="CL359" i="1"/>
  <c r="CK359" i="1"/>
  <c r="CJ359" i="1"/>
  <c r="CI359" i="1"/>
  <c r="CH359" i="1"/>
  <c r="CG359" i="1"/>
  <c r="CF359" i="1"/>
  <c r="CD359" i="1"/>
  <c r="CC359" i="1"/>
  <c r="CB359" i="1"/>
  <c r="CA359" i="1"/>
  <c r="BZ359" i="1"/>
  <c r="BY359" i="1"/>
  <c r="BX359" i="1"/>
  <c r="DB358" i="1"/>
  <c r="CY358" i="1"/>
  <c r="CX358" i="1"/>
  <c r="CT358" i="1"/>
  <c r="CS358" i="1"/>
  <c r="CR358" i="1"/>
  <c r="CQ358" i="1"/>
  <c r="CP358" i="1"/>
  <c r="CO358" i="1"/>
  <c r="CN358" i="1"/>
  <c r="CL358" i="1"/>
  <c r="CK358" i="1"/>
  <c r="CJ358" i="1"/>
  <c r="CI358" i="1"/>
  <c r="CH358" i="1"/>
  <c r="CG358" i="1"/>
  <c r="CF358" i="1"/>
  <c r="CD358" i="1"/>
  <c r="CC358" i="1"/>
  <c r="CB358" i="1"/>
  <c r="CA358" i="1"/>
  <c r="BZ358" i="1"/>
  <c r="BY358" i="1"/>
  <c r="BX358" i="1"/>
  <c r="DB357" i="1"/>
  <c r="CY357" i="1"/>
  <c r="CX357" i="1"/>
  <c r="CT357" i="1"/>
  <c r="CS357" i="1"/>
  <c r="CR357" i="1"/>
  <c r="CQ357" i="1"/>
  <c r="CP357" i="1"/>
  <c r="CO357" i="1"/>
  <c r="CN357" i="1"/>
  <c r="CL357" i="1"/>
  <c r="CK357" i="1"/>
  <c r="CJ357" i="1"/>
  <c r="CI357" i="1"/>
  <c r="CH357" i="1"/>
  <c r="CG357" i="1"/>
  <c r="CF357" i="1"/>
  <c r="CD357" i="1"/>
  <c r="CC357" i="1"/>
  <c r="CB357" i="1"/>
  <c r="CA357" i="1"/>
  <c r="BZ357" i="1"/>
  <c r="BY357" i="1"/>
  <c r="BX357" i="1"/>
  <c r="DB356" i="1"/>
  <c r="CY356" i="1"/>
  <c r="CX356" i="1"/>
  <c r="CT356" i="1"/>
  <c r="CS356" i="1"/>
  <c r="CR356" i="1"/>
  <c r="CQ356" i="1"/>
  <c r="CP356" i="1"/>
  <c r="CO356" i="1"/>
  <c r="CN356" i="1"/>
  <c r="CL356" i="1"/>
  <c r="CK356" i="1"/>
  <c r="CJ356" i="1"/>
  <c r="CI356" i="1"/>
  <c r="CH356" i="1"/>
  <c r="CG356" i="1"/>
  <c r="CF356" i="1"/>
  <c r="CD356" i="1"/>
  <c r="CC356" i="1"/>
  <c r="CB356" i="1"/>
  <c r="CA356" i="1"/>
  <c r="BZ356" i="1"/>
  <c r="BY356" i="1"/>
  <c r="BX356" i="1"/>
  <c r="DB355" i="1"/>
  <c r="CY355" i="1"/>
  <c r="CX355" i="1"/>
  <c r="CT355" i="1"/>
  <c r="CS355" i="1"/>
  <c r="CR355" i="1"/>
  <c r="CQ355" i="1"/>
  <c r="CP355" i="1"/>
  <c r="CO355" i="1"/>
  <c r="CN355" i="1"/>
  <c r="CL355" i="1"/>
  <c r="CK355" i="1"/>
  <c r="CJ355" i="1"/>
  <c r="CI355" i="1"/>
  <c r="CH355" i="1"/>
  <c r="CG355" i="1"/>
  <c r="CF355" i="1"/>
  <c r="CD355" i="1"/>
  <c r="CC355" i="1"/>
  <c r="CB355" i="1"/>
  <c r="CA355" i="1"/>
  <c r="BZ355" i="1"/>
  <c r="BY355" i="1"/>
  <c r="BX355" i="1"/>
  <c r="DB354" i="1"/>
  <c r="CY354" i="1"/>
  <c r="CX354" i="1"/>
  <c r="CT354" i="1"/>
  <c r="CS354" i="1"/>
  <c r="CR354" i="1"/>
  <c r="CQ354" i="1"/>
  <c r="CP354" i="1"/>
  <c r="CO354" i="1"/>
  <c r="CN354" i="1"/>
  <c r="CL354" i="1"/>
  <c r="CK354" i="1"/>
  <c r="CJ354" i="1"/>
  <c r="CI354" i="1"/>
  <c r="CH354" i="1"/>
  <c r="CG354" i="1"/>
  <c r="CF354" i="1"/>
  <c r="CD354" i="1"/>
  <c r="CC354" i="1"/>
  <c r="CB354" i="1"/>
  <c r="CA354" i="1"/>
  <c r="BZ354" i="1"/>
  <c r="BY354" i="1"/>
  <c r="BX354" i="1"/>
  <c r="DB353" i="1"/>
  <c r="CY353" i="1"/>
  <c r="CX353" i="1"/>
  <c r="CT353" i="1"/>
  <c r="CS353" i="1"/>
  <c r="CR353" i="1"/>
  <c r="CQ353" i="1"/>
  <c r="CP353" i="1"/>
  <c r="CO353" i="1"/>
  <c r="CN353" i="1"/>
  <c r="CL353" i="1"/>
  <c r="CK353" i="1"/>
  <c r="CJ353" i="1"/>
  <c r="CI353" i="1"/>
  <c r="CH353" i="1"/>
  <c r="CG353" i="1"/>
  <c r="CF353" i="1"/>
  <c r="CD353" i="1"/>
  <c r="CC353" i="1"/>
  <c r="CB353" i="1"/>
  <c r="CA353" i="1"/>
  <c r="BZ353" i="1"/>
  <c r="BY353" i="1"/>
  <c r="BX353" i="1"/>
  <c r="DB352" i="1"/>
  <c r="CY352" i="1"/>
  <c r="CX352" i="1"/>
  <c r="CT352" i="1"/>
  <c r="CS352" i="1"/>
  <c r="CR352" i="1"/>
  <c r="CQ352" i="1"/>
  <c r="CP352" i="1"/>
  <c r="CO352" i="1"/>
  <c r="CN352" i="1"/>
  <c r="CL352" i="1"/>
  <c r="CK352" i="1"/>
  <c r="CJ352" i="1"/>
  <c r="CI352" i="1"/>
  <c r="CH352" i="1"/>
  <c r="CG352" i="1"/>
  <c r="CF352" i="1"/>
  <c r="CD352" i="1"/>
  <c r="CC352" i="1"/>
  <c r="CB352" i="1"/>
  <c r="CA352" i="1"/>
  <c r="BZ352" i="1"/>
  <c r="BY352" i="1"/>
  <c r="BX352" i="1"/>
  <c r="DB351" i="1"/>
  <c r="CY351" i="1"/>
  <c r="CX351" i="1"/>
  <c r="CT351" i="1"/>
  <c r="CS351" i="1"/>
  <c r="CR351" i="1"/>
  <c r="CQ351" i="1"/>
  <c r="CP351" i="1"/>
  <c r="CO351" i="1"/>
  <c r="CN351" i="1"/>
  <c r="CL351" i="1"/>
  <c r="CK351" i="1"/>
  <c r="CJ351" i="1"/>
  <c r="CI351" i="1"/>
  <c r="CH351" i="1"/>
  <c r="CG351" i="1"/>
  <c r="CF351" i="1"/>
  <c r="CD351" i="1"/>
  <c r="CC351" i="1"/>
  <c r="CB351" i="1"/>
  <c r="CA351" i="1"/>
  <c r="BZ351" i="1"/>
  <c r="BY351" i="1"/>
  <c r="BX351" i="1"/>
  <c r="DB350" i="1"/>
  <c r="CY350" i="1"/>
  <c r="CX350" i="1"/>
  <c r="CT350" i="1"/>
  <c r="CS350" i="1"/>
  <c r="CR350" i="1"/>
  <c r="CQ350" i="1"/>
  <c r="CP350" i="1"/>
  <c r="CO350" i="1"/>
  <c r="CN350" i="1"/>
  <c r="CL350" i="1"/>
  <c r="CK350" i="1"/>
  <c r="CJ350" i="1"/>
  <c r="CI350" i="1"/>
  <c r="CH350" i="1"/>
  <c r="CG350" i="1"/>
  <c r="CF350" i="1"/>
  <c r="CD350" i="1"/>
  <c r="CC350" i="1"/>
  <c r="CB350" i="1"/>
  <c r="CA350" i="1"/>
  <c r="BZ350" i="1"/>
  <c r="BY350" i="1"/>
  <c r="BX350" i="1"/>
  <c r="DB349" i="1"/>
  <c r="CY349" i="1"/>
  <c r="CX349" i="1"/>
  <c r="CT349" i="1"/>
  <c r="CS349" i="1"/>
  <c r="CR349" i="1"/>
  <c r="CQ349" i="1"/>
  <c r="CP349" i="1"/>
  <c r="CO349" i="1"/>
  <c r="CN349" i="1"/>
  <c r="CL349" i="1"/>
  <c r="CK349" i="1"/>
  <c r="CJ349" i="1"/>
  <c r="CI349" i="1"/>
  <c r="CH349" i="1"/>
  <c r="CG349" i="1"/>
  <c r="CF349" i="1"/>
  <c r="CD349" i="1"/>
  <c r="CC349" i="1"/>
  <c r="CB349" i="1"/>
  <c r="CA349" i="1"/>
  <c r="BZ349" i="1"/>
  <c r="BY349" i="1"/>
  <c r="BX349" i="1"/>
  <c r="DB348" i="1"/>
  <c r="CY348" i="1"/>
  <c r="CX348" i="1"/>
  <c r="CT348" i="1"/>
  <c r="CS348" i="1"/>
  <c r="CR348" i="1"/>
  <c r="CQ348" i="1"/>
  <c r="CP348" i="1"/>
  <c r="CO348" i="1"/>
  <c r="CN348" i="1"/>
  <c r="CL348" i="1"/>
  <c r="CK348" i="1"/>
  <c r="CJ348" i="1"/>
  <c r="CI348" i="1"/>
  <c r="CH348" i="1"/>
  <c r="CG348" i="1"/>
  <c r="CF348" i="1"/>
  <c r="CD348" i="1"/>
  <c r="CC348" i="1"/>
  <c r="CB348" i="1"/>
  <c r="CA348" i="1"/>
  <c r="BZ348" i="1"/>
  <c r="BY348" i="1"/>
  <c r="BX348" i="1"/>
  <c r="DB347" i="1"/>
  <c r="CY347" i="1"/>
  <c r="CX347" i="1"/>
  <c r="CT347" i="1"/>
  <c r="CS347" i="1"/>
  <c r="CR347" i="1"/>
  <c r="CQ347" i="1"/>
  <c r="CP347" i="1"/>
  <c r="CO347" i="1"/>
  <c r="CN347" i="1"/>
  <c r="CL347" i="1"/>
  <c r="CK347" i="1"/>
  <c r="CJ347" i="1"/>
  <c r="CI347" i="1"/>
  <c r="CH347" i="1"/>
  <c r="CG347" i="1"/>
  <c r="CF347" i="1"/>
  <c r="CD347" i="1"/>
  <c r="CC347" i="1"/>
  <c r="CB347" i="1"/>
  <c r="CA347" i="1"/>
  <c r="BZ347" i="1"/>
  <c r="BY347" i="1"/>
  <c r="BX347" i="1"/>
  <c r="DB346" i="1"/>
  <c r="CY346" i="1"/>
  <c r="CX346" i="1"/>
  <c r="CT346" i="1"/>
  <c r="CS346" i="1"/>
  <c r="CR346" i="1"/>
  <c r="CQ346" i="1"/>
  <c r="CP346" i="1"/>
  <c r="CO346" i="1"/>
  <c r="CN346" i="1"/>
  <c r="CL346" i="1"/>
  <c r="CK346" i="1"/>
  <c r="CJ346" i="1"/>
  <c r="CI346" i="1"/>
  <c r="CH346" i="1"/>
  <c r="CG346" i="1"/>
  <c r="CF346" i="1"/>
  <c r="CD346" i="1"/>
  <c r="CC346" i="1"/>
  <c r="CB346" i="1"/>
  <c r="CA346" i="1"/>
  <c r="BZ346" i="1"/>
  <c r="BY346" i="1"/>
  <c r="BX346" i="1"/>
  <c r="DB345" i="1"/>
  <c r="CY345" i="1"/>
  <c r="CX345" i="1"/>
  <c r="CT345" i="1"/>
  <c r="CS345" i="1"/>
  <c r="CR345" i="1"/>
  <c r="CQ345" i="1"/>
  <c r="CP345" i="1"/>
  <c r="CO345" i="1"/>
  <c r="CN345" i="1"/>
  <c r="CL345" i="1"/>
  <c r="CK345" i="1"/>
  <c r="CJ345" i="1"/>
  <c r="CI345" i="1"/>
  <c r="CH345" i="1"/>
  <c r="CG345" i="1"/>
  <c r="CF345" i="1"/>
  <c r="CD345" i="1"/>
  <c r="CC345" i="1"/>
  <c r="CB345" i="1"/>
  <c r="CA345" i="1"/>
  <c r="BZ345" i="1"/>
  <c r="BY345" i="1"/>
  <c r="BX345" i="1"/>
  <c r="DB344" i="1"/>
  <c r="CY344" i="1"/>
  <c r="CX344" i="1"/>
  <c r="CT344" i="1"/>
  <c r="CS344" i="1"/>
  <c r="CR344" i="1"/>
  <c r="CQ344" i="1"/>
  <c r="CP344" i="1"/>
  <c r="CO344" i="1"/>
  <c r="CN344" i="1"/>
  <c r="CL344" i="1"/>
  <c r="CK344" i="1"/>
  <c r="CJ344" i="1"/>
  <c r="CI344" i="1"/>
  <c r="CH344" i="1"/>
  <c r="CG344" i="1"/>
  <c r="CF344" i="1"/>
  <c r="CD344" i="1"/>
  <c r="CC344" i="1"/>
  <c r="CB344" i="1"/>
  <c r="CA344" i="1"/>
  <c r="BZ344" i="1"/>
  <c r="BY344" i="1"/>
  <c r="BX344" i="1"/>
  <c r="DB343" i="1"/>
  <c r="CY343" i="1"/>
  <c r="CX343" i="1"/>
  <c r="CT343" i="1"/>
  <c r="CS343" i="1"/>
  <c r="CR343" i="1"/>
  <c r="CQ343" i="1"/>
  <c r="CP343" i="1"/>
  <c r="CO343" i="1"/>
  <c r="CN343" i="1"/>
  <c r="CL343" i="1"/>
  <c r="CK343" i="1"/>
  <c r="CJ343" i="1"/>
  <c r="CI343" i="1"/>
  <c r="CH343" i="1"/>
  <c r="CG343" i="1"/>
  <c r="CF343" i="1"/>
  <c r="CD343" i="1"/>
  <c r="CC343" i="1"/>
  <c r="CB343" i="1"/>
  <c r="CA343" i="1"/>
  <c r="BZ343" i="1"/>
  <c r="BY343" i="1"/>
  <c r="BX343" i="1"/>
  <c r="DB342" i="1"/>
  <c r="CY342" i="1"/>
  <c r="CX342" i="1"/>
  <c r="CT342" i="1"/>
  <c r="CS342" i="1"/>
  <c r="CR342" i="1"/>
  <c r="CQ342" i="1"/>
  <c r="CP342" i="1"/>
  <c r="CO342" i="1"/>
  <c r="CN342" i="1"/>
  <c r="CL342" i="1"/>
  <c r="CK342" i="1"/>
  <c r="CJ342" i="1"/>
  <c r="CI342" i="1"/>
  <c r="CH342" i="1"/>
  <c r="CG342" i="1"/>
  <c r="CF342" i="1"/>
  <c r="CD342" i="1"/>
  <c r="CC342" i="1"/>
  <c r="CB342" i="1"/>
  <c r="CA342" i="1"/>
  <c r="BZ342" i="1"/>
  <c r="BY342" i="1"/>
  <c r="BX342" i="1"/>
  <c r="DB341" i="1"/>
  <c r="CY341" i="1"/>
  <c r="CX341" i="1"/>
  <c r="CT341" i="1"/>
  <c r="CS341" i="1"/>
  <c r="CR341" i="1"/>
  <c r="CQ341" i="1"/>
  <c r="CP341" i="1"/>
  <c r="CO341" i="1"/>
  <c r="CN341" i="1"/>
  <c r="CL341" i="1"/>
  <c r="CK341" i="1"/>
  <c r="CJ341" i="1"/>
  <c r="CI341" i="1"/>
  <c r="CH341" i="1"/>
  <c r="CG341" i="1"/>
  <c r="CF341" i="1"/>
  <c r="CD341" i="1"/>
  <c r="CC341" i="1"/>
  <c r="CB341" i="1"/>
  <c r="CA341" i="1"/>
  <c r="BZ341" i="1"/>
  <c r="BY341" i="1"/>
  <c r="BX341" i="1"/>
  <c r="DB340" i="1"/>
  <c r="CY340" i="1"/>
  <c r="CX340" i="1"/>
  <c r="CT340" i="1"/>
  <c r="CS340" i="1"/>
  <c r="CR340" i="1"/>
  <c r="CQ340" i="1"/>
  <c r="CP340" i="1"/>
  <c r="CO340" i="1"/>
  <c r="CN340" i="1"/>
  <c r="CL340" i="1"/>
  <c r="CK340" i="1"/>
  <c r="CJ340" i="1"/>
  <c r="CI340" i="1"/>
  <c r="CH340" i="1"/>
  <c r="CG340" i="1"/>
  <c r="CF340" i="1"/>
  <c r="CD340" i="1"/>
  <c r="CC340" i="1"/>
  <c r="CB340" i="1"/>
  <c r="CA340" i="1"/>
  <c r="BZ340" i="1"/>
  <c r="BY340" i="1"/>
  <c r="BX340" i="1"/>
  <c r="DB339" i="1"/>
  <c r="CY339" i="1"/>
  <c r="CX339" i="1"/>
  <c r="CT339" i="1"/>
  <c r="CS339" i="1"/>
  <c r="CR339" i="1"/>
  <c r="CQ339" i="1"/>
  <c r="CP339" i="1"/>
  <c r="CO339" i="1"/>
  <c r="CN339" i="1"/>
  <c r="CL339" i="1"/>
  <c r="CK339" i="1"/>
  <c r="CJ339" i="1"/>
  <c r="CI339" i="1"/>
  <c r="CH339" i="1"/>
  <c r="CG339" i="1"/>
  <c r="CF339" i="1"/>
  <c r="CD339" i="1"/>
  <c r="CC339" i="1"/>
  <c r="CB339" i="1"/>
  <c r="CA339" i="1"/>
  <c r="BZ339" i="1"/>
  <c r="BY339" i="1"/>
  <c r="BX339" i="1"/>
  <c r="DB338" i="1"/>
  <c r="CY338" i="1"/>
  <c r="CX338" i="1"/>
  <c r="CT338" i="1"/>
  <c r="CS338" i="1"/>
  <c r="CR338" i="1"/>
  <c r="CQ338" i="1"/>
  <c r="CP338" i="1"/>
  <c r="CO338" i="1"/>
  <c r="CN338" i="1"/>
  <c r="CL338" i="1"/>
  <c r="CK338" i="1"/>
  <c r="CJ338" i="1"/>
  <c r="CI338" i="1"/>
  <c r="CH338" i="1"/>
  <c r="CG338" i="1"/>
  <c r="CF338" i="1"/>
  <c r="CD338" i="1"/>
  <c r="CC338" i="1"/>
  <c r="CB338" i="1"/>
  <c r="CA338" i="1"/>
  <c r="BZ338" i="1"/>
  <c r="BY338" i="1"/>
  <c r="BX338" i="1"/>
  <c r="DB337" i="1"/>
  <c r="CY337" i="1"/>
  <c r="CX337" i="1"/>
  <c r="CT337" i="1"/>
  <c r="CS337" i="1"/>
  <c r="CR337" i="1"/>
  <c r="CQ337" i="1"/>
  <c r="CP337" i="1"/>
  <c r="CO337" i="1"/>
  <c r="CN337" i="1"/>
  <c r="CL337" i="1"/>
  <c r="CK337" i="1"/>
  <c r="CJ337" i="1"/>
  <c r="CI337" i="1"/>
  <c r="CH337" i="1"/>
  <c r="CG337" i="1"/>
  <c r="CF337" i="1"/>
  <c r="CD337" i="1"/>
  <c r="CC337" i="1"/>
  <c r="CB337" i="1"/>
  <c r="CA337" i="1"/>
  <c r="BZ337" i="1"/>
  <c r="BY337" i="1"/>
  <c r="BX337" i="1"/>
  <c r="DB336" i="1"/>
  <c r="CY336" i="1"/>
  <c r="CX336" i="1"/>
  <c r="CT336" i="1"/>
  <c r="CS336" i="1"/>
  <c r="CR336" i="1"/>
  <c r="CQ336" i="1"/>
  <c r="CP336" i="1"/>
  <c r="CO336" i="1"/>
  <c r="CN336" i="1"/>
  <c r="CL336" i="1"/>
  <c r="CK336" i="1"/>
  <c r="CJ336" i="1"/>
  <c r="CI336" i="1"/>
  <c r="CH336" i="1"/>
  <c r="CG336" i="1"/>
  <c r="CF336" i="1"/>
  <c r="CD336" i="1"/>
  <c r="CC336" i="1"/>
  <c r="CB336" i="1"/>
  <c r="CA336" i="1"/>
  <c r="BZ336" i="1"/>
  <c r="BY336" i="1"/>
  <c r="BX336" i="1"/>
  <c r="DB335" i="1"/>
  <c r="CY335" i="1"/>
  <c r="CX335" i="1"/>
  <c r="CT335" i="1"/>
  <c r="CS335" i="1"/>
  <c r="CR335" i="1"/>
  <c r="CQ335" i="1"/>
  <c r="CP335" i="1"/>
  <c r="CO335" i="1"/>
  <c r="CN335" i="1"/>
  <c r="CL335" i="1"/>
  <c r="CK335" i="1"/>
  <c r="CJ335" i="1"/>
  <c r="CI335" i="1"/>
  <c r="CH335" i="1"/>
  <c r="CG335" i="1"/>
  <c r="CF335" i="1"/>
  <c r="CD335" i="1"/>
  <c r="CC335" i="1"/>
  <c r="CB335" i="1"/>
  <c r="CA335" i="1"/>
  <c r="BZ335" i="1"/>
  <c r="BY335" i="1"/>
  <c r="BX335" i="1"/>
  <c r="DB334" i="1"/>
  <c r="CY334" i="1"/>
  <c r="CX334" i="1"/>
  <c r="CT334" i="1"/>
  <c r="CS334" i="1"/>
  <c r="CR334" i="1"/>
  <c r="CQ334" i="1"/>
  <c r="CP334" i="1"/>
  <c r="CO334" i="1"/>
  <c r="CN334" i="1"/>
  <c r="CL334" i="1"/>
  <c r="CK334" i="1"/>
  <c r="CJ334" i="1"/>
  <c r="CI334" i="1"/>
  <c r="CH334" i="1"/>
  <c r="CG334" i="1"/>
  <c r="CF334" i="1"/>
  <c r="CD334" i="1"/>
  <c r="CC334" i="1"/>
  <c r="CB334" i="1"/>
  <c r="CA334" i="1"/>
  <c r="BZ334" i="1"/>
  <c r="BY334" i="1"/>
  <c r="BX334" i="1"/>
  <c r="DB333" i="1"/>
  <c r="CY333" i="1"/>
  <c r="CX333" i="1"/>
  <c r="CT333" i="1"/>
  <c r="CS333" i="1"/>
  <c r="CR333" i="1"/>
  <c r="CQ333" i="1"/>
  <c r="CP333" i="1"/>
  <c r="CO333" i="1"/>
  <c r="CN333" i="1"/>
  <c r="CL333" i="1"/>
  <c r="CK333" i="1"/>
  <c r="CJ333" i="1"/>
  <c r="CI333" i="1"/>
  <c r="CH333" i="1"/>
  <c r="CG333" i="1"/>
  <c r="CF333" i="1"/>
  <c r="CD333" i="1"/>
  <c r="CC333" i="1"/>
  <c r="CB333" i="1"/>
  <c r="CA333" i="1"/>
  <c r="BZ333" i="1"/>
  <c r="BY333" i="1"/>
  <c r="BX333" i="1"/>
  <c r="DB332" i="1"/>
  <c r="CY332" i="1"/>
  <c r="CX332" i="1"/>
  <c r="CT332" i="1"/>
  <c r="CS332" i="1"/>
  <c r="CR332" i="1"/>
  <c r="CQ332" i="1"/>
  <c r="CP332" i="1"/>
  <c r="CO332" i="1"/>
  <c r="CN332" i="1"/>
  <c r="CL332" i="1"/>
  <c r="CK332" i="1"/>
  <c r="CJ332" i="1"/>
  <c r="CI332" i="1"/>
  <c r="CH332" i="1"/>
  <c r="CG332" i="1"/>
  <c r="CF332" i="1"/>
  <c r="CD332" i="1"/>
  <c r="CC332" i="1"/>
  <c r="CB332" i="1"/>
  <c r="CA332" i="1"/>
  <c r="BZ332" i="1"/>
  <c r="BY332" i="1"/>
  <c r="BX332" i="1"/>
  <c r="DB331" i="1"/>
  <c r="CY331" i="1"/>
  <c r="CX331" i="1"/>
  <c r="CT331" i="1"/>
  <c r="CS331" i="1"/>
  <c r="CR331" i="1"/>
  <c r="CQ331" i="1"/>
  <c r="CP331" i="1"/>
  <c r="CO331" i="1"/>
  <c r="CN331" i="1"/>
  <c r="CL331" i="1"/>
  <c r="CK331" i="1"/>
  <c r="CJ331" i="1"/>
  <c r="CI331" i="1"/>
  <c r="CH331" i="1"/>
  <c r="CG331" i="1"/>
  <c r="CF331" i="1"/>
  <c r="CD331" i="1"/>
  <c r="CC331" i="1"/>
  <c r="CB331" i="1"/>
  <c r="CA331" i="1"/>
  <c r="BZ331" i="1"/>
  <c r="BY331" i="1"/>
  <c r="BX331" i="1"/>
  <c r="DB330" i="1"/>
  <c r="CY330" i="1"/>
  <c r="CX330" i="1"/>
  <c r="CT330" i="1"/>
  <c r="CS330" i="1"/>
  <c r="CR330" i="1"/>
  <c r="CQ330" i="1"/>
  <c r="CP330" i="1"/>
  <c r="CO330" i="1"/>
  <c r="CN330" i="1"/>
  <c r="CL330" i="1"/>
  <c r="CK330" i="1"/>
  <c r="CJ330" i="1"/>
  <c r="CI330" i="1"/>
  <c r="CH330" i="1"/>
  <c r="CG330" i="1"/>
  <c r="CF330" i="1"/>
  <c r="CD330" i="1"/>
  <c r="CC330" i="1"/>
  <c r="CB330" i="1"/>
  <c r="CA330" i="1"/>
  <c r="BZ330" i="1"/>
  <c r="BY330" i="1"/>
  <c r="BX330" i="1"/>
  <c r="DB329" i="1"/>
  <c r="CY329" i="1"/>
  <c r="CX329" i="1"/>
  <c r="CT329" i="1"/>
  <c r="CS329" i="1"/>
  <c r="CR329" i="1"/>
  <c r="CQ329" i="1"/>
  <c r="CP329" i="1"/>
  <c r="CO329" i="1"/>
  <c r="CN329" i="1"/>
  <c r="CL329" i="1"/>
  <c r="CK329" i="1"/>
  <c r="CJ329" i="1"/>
  <c r="CI329" i="1"/>
  <c r="CH329" i="1"/>
  <c r="CG329" i="1"/>
  <c r="CF329" i="1"/>
  <c r="CD329" i="1"/>
  <c r="CC329" i="1"/>
  <c r="CB329" i="1"/>
  <c r="CA329" i="1"/>
  <c r="BZ329" i="1"/>
  <c r="BY329" i="1"/>
  <c r="BX329" i="1"/>
  <c r="DB328" i="1"/>
  <c r="CY328" i="1"/>
  <c r="CX328" i="1"/>
  <c r="CT328" i="1"/>
  <c r="CS328" i="1"/>
  <c r="CR328" i="1"/>
  <c r="CQ328" i="1"/>
  <c r="CP328" i="1"/>
  <c r="CO328" i="1"/>
  <c r="CN328" i="1"/>
  <c r="CL328" i="1"/>
  <c r="CK328" i="1"/>
  <c r="CJ328" i="1"/>
  <c r="CI328" i="1"/>
  <c r="CH328" i="1"/>
  <c r="CG328" i="1"/>
  <c r="CF328" i="1"/>
  <c r="CD328" i="1"/>
  <c r="CC328" i="1"/>
  <c r="CB328" i="1"/>
  <c r="CA328" i="1"/>
  <c r="BZ328" i="1"/>
  <c r="BY328" i="1"/>
  <c r="BX328" i="1"/>
  <c r="DB327" i="1"/>
  <c r="CY327" i="1"/>
  <c r="CX327" i="1"/>
  <c r="CT327" i="1"/>
  <c r="CS327" i="1"/>
  <c r="CR327" i="1"/>
  <c r="CQ327" i="1"/>
  <c r="CP327" i="1"/>
  <c r="CO327" i="1"/>
  <c r="CN327" i="1"/>
  <c r="CL327" i="1"/>
  <c r="CK327" i="1"/>
  <c r="CJ327" i="1"/>
  <c r="CI327" i="1"/>
  <c r="CH327" i="1"/>
  <c r="CG327" i="1"/>
  <c r="CF327" i="1"/>
  <c r="CD327" i="1"/>
  <c r="CC327" i="1"/>
  <c r="CB327" i="1"/>
  <c r="CA327" i="1"/>
  <c r="BZ327" i="1"/>
  <c r="BY327" i="1"/>
  <c r="BX327" i="1"/>
  <c r="DB326" i="1"/>
  <c r="CY326" i="1"/>
  <c r="CX326" i="1"/>
  <c r="CT326" i="1"/>
  <c r="CS326" i="1"/>
  <c r="CR326" i="1"/>
  <c r="CQ326" i="1"/>
  <c r="CP326" i="1"/>
  <c r="CO326" i="1"/>
  <c r="CN326" i="1"/>
  <c r="CL326" i="1"/>
  <c r="CK326" i="1"/>
  <c r="CJ326" i="1"/>
  <c r="CI326" i="1"/>
  <c r="CH326" i="1"/>
  <c r="CG326" i="1"/>
  <c r="CF326" i="1"/>
  <c r="CD326" i="1"/>
  <c r="CC326" i="1"/>
  <c r="CB326" i="1"/>
  <c r="CA326" i="1"/>
  <c r="BZ326" i="1"/>
  <c r="BY326" i="1"/>
  <c r="BX326" i="1"/>
  <c r="DB325" i="1"/>
  <c r="CY325" i="1"/>
  <c r="CX325" i="1"/>
  <c r="CT325" i="1"/>
  <c r="CS325" i="1"/>
  <c r="CR325" i="1"/>
  <c r="CQ325" i="1"/>
  <c r="CP325" i="1"/>
  <c r="CO325" i="1"/>
  <c r="CN325" i="1"/>
  <c r="CL325" i="1"/>
  <c r="CK325" i="1"/>
  <c r="CJ325" i="1"/>
  <c r="CI325" i="1"/>
  <c r="CH325" i="1"/>
  <c r="CG325" i="1"/>
  <c r="CF325" i="1"/>
  <c r="CD325" i="1"/>
  <c r="CC325" i="1"/>
  <c r="CB325" i="1"/>
  <c r="CA325" i="1"/>
  <c r="BZ325" i="1"/>
  <c r="BY325" i="1"/>
  <c r="BX325" i="1"/>
  <c r="DB251" i="1"/>
  <c r="CY251" i="1"/>
  <c r="CX251" i="1"/>
  <c r="CT251" i="1"/>
  <c r="CS251" i="1"/>
  <c r="CR251" i="1"/>
  <c r="CQ251" i="1"/>
  <c r="CP251" i="1"/>
  <c r="CO251" i="1"/>
  <c r="CN251" i="1"/>
  <c r="CL251" i="1"/>
  <c r="CK251" i="1"/>
  <c r="CJ251" i="1"/>
  <c r="CI251" i="1"/>
  <c r="CH251" i="1"/>
  <c r="CG251" i="1"/>
  <c r="CF251" i="1"/>
  <c r="CD251" i="1"/>
  <c r="CC251" i="1"/>
  <c r="CB251" i="1"/>
  <c r="CA251" i="1"/>
  <c r="BZ251" i="1"/>
  <c r="BY251" i="1"/>
  <c r="BX251" i="1"/>
  <c r="DB250" i="1"/>
  <c r="CY250" i="1"/>
  <c r="CX250" i="1"/>
  <c r="CT250" i="1"/>
  <c r="CS250" i="1"/>
  <c r="CR250" i="1"/>
  <c r="CQ250" i="1"/>
  <c r="CP250" i="1"/>
  <c r="CO250" i="1"/>
  <c r="CN250" i="1"/>
  <c r="CL250" i="1"/>
  <c r="CK250" i="1"/>
  <c r="CJ250" i="1"/>
  <c r="CI250" i="1"/>
  <c r="CH250" i="1"/>
  <c r="CG250" i="1"/>
  <c r="CF250" i="1"/>
  <c r="CD250" i="1"/>
  <c r="CC250" i="1"/>
  <c r="CB250" i="1"/>
  <c r="CA250" i="1"/>
  <c r="BZ250" i="1"/>
  <c r="BY250" i="1"/>
  <c r="BX250" i="1"/>
  <c r="DB249" i="1"/>
  <c r="CY249" i="1"/>
  <c r="CX249" i="1"/>
  <c r="CT249" i="1"/>
  <c r="CS249" i="1"/>
  <c r="CR249" i="1"/>
  <c r="CQ249" i="1"/>
  <c r="CP249" i="1"/>
  <c r="CO249" i="1"/>
  <c r="CN249" i="1"/>
  <c r="CL249" i="1"/>
  <c r="CK249" i="1"/>
  <c r="CJ249" i="1"/>
  <c r="CI249" i="1"/>
  <c r="CH249" i="1"/>
  <c r="CG249" i="1"/>
  <c r="CF249" i="1"/>
  <c r="CD249" i="1"/>
  <c r="CC249" i="1"/>
  <c r="CB249" i="1"/>
  <c r="CA249" i="1"/>
  <c r="BZ249" i="1"/>
  <c r="BY249" i="1"/>
  <c r="BX249" i="1"/>
  <c r="DB248" i="1"/>
  <c r="CY248" i="1"/>
  <c r="CX248" i="1"/>
  <c r="CT248" i="1"/>
  <c r="CS248" i="1"/>
  <c r="CR248" i="1"/>
  <c r="CQ248" i="1"/>
  <c r="CP248" i="1"/>
  <c r="CO248" i="1"/>
  <c r="CN248" i="1"/>
  <c r="CL248" i="1"/>
  <c r="CK248" i="1"/>
  <c r="CJ248" i="1"/>
  <c r="CI248" i="1"/>
  <c r="CH248" i="1"/>
  <c r="CG248" i="1"/>
  <c r="CF248" i="1"/>
  <c r="CD248" i="1"/>
  <c r="CC248" i="1"/>
  <c r="CB248" i="1"/>
  <c r="CA248" i="1"/>
  <c r="BZ248" i="1"/>
  <c r="BY248" i="1"/>
  <c r="BX248" i="1"/>
  <c r="DB247" i="1"/>
  <c r="CY247" i="1"/>
  <c r="CX247" i="1"/>
  <c r="CT247" i="1"/>
  <c r="CS247" i="1"/>
  <c r="CR247" i="1"/>
  <c r="CQ247" i="1"/>
  <c r="CP247" i="1"/>
  <c r="CO247" i="1"/>
  <c r="CN247" i="1"/>
  <c r="CL247" i="1"/>
  <c r="CK247" i="1"/>
  <c r="CJ247" i="1"/>
  <c r="CI247" i="1"/>
  <c r="CH247" i="1"/>
  <c r="CG247" i="1"/>
  <c r="CF247" i="1"/>
  <c r="CD247" i="1"/>
  <c r="CC247" i="1"/>
  <c r="CB247" i="1"/>
  <c r="CA247" i="1"/>
  <c r="BZ247" i="1"/>
  <c r="BY247" i="1"/>
  <c r="BX247" i="1"/>
  <c r="DB246" i="1"/>
  <c r="CY246" i="1"/>
  <c r="CX246" i="1"/>
  <c r="CT246" i="1"/>
  <c r="CS246" i="1"/>
  <c r="CR246" i="1"/>
  <c r="CQ246" i="1"/>
  <c r="CP246" i="1"/>
  <c r="CO246" i="1"/>
  <c r="CN246" i="1"/>
  <c r="CL246" i="1"/>
  <c r="CK246" i="1"/>
  <c r="CJ246" i="1"/>
  <c r="CI246" i="1"/>
  <c r="CH246" i="1"/>
  <c r="CG246" i="1"/>
  <c r="CF246" i="1"/>
  <c r="CD246" i="1"/>
  <c r="CC246" i="1"/>
  <c r="CB246" i="1"/>
  <c r="CA246" i="1"/>
  <c r="BZ246" i="1"/>
  <c r="BY246" i="1"/>
  <c r="BX246" i="1"/>
  <c r="DB245" i="1"/>
  <c r="CY245" i="1"/>
  <c r="CX245" i="1"/>
  <c r="CT245" i="1"/>
  <c r="CS245" i="1"/>
  <c r="CR245" i="1"/>
  <c r="CQ245" i="1"/>
  <c r="CP245" i="1"/>
  <c r="CO245" i="1"/>
  <c r="CN245" i="1"/>
  <c r="CL245" i="1"/>
  <c r="CK245" i="1"/>
  <c r="CJ245" i="1"/>
  <c r="CI245" i="1"/>
  <c r="CH245" i="1"/>
  <c r="CG245" i="1"/>
  <c r="CF245" i="1"/>
  <c r="CD245" i="1"/>
  <c r="CC245" i="1"/>
  <c r="CB245" i="1"/>
  <c r="CA245" i="1"/>
  <c r="BZ245" i="1"/>
  <c r="BY245" i="1"/>
  <c r="BX245" i="1"/>
  <c r="DB244" i="1"/>
  <c r="CY244" i="1"/>
  <c r="CX244" i="1"/>
  <c r="CT244" i="1"/>
  <c r="CS244" i="1"/>
  <c r="CR244" i="1"/>
  <c r="CQ244" i="1"/>
  <c r="CP244" i="1"/>
  <c r="CO244" i="1"/>
  <c r="CN244" i="1"/>
  <c r="CL244" i="1"/>
  <c r="CK244" i="1"/>
  <c r="CJ244" i="1"/>
  <c r="CI244" i="1"/>
  <c r="CH244" i="1"/>
  <c r="CG244" i="1"/>
  <c r="CF244" i="1"/>
  <c r="CD244" i="1"/>
  <c r="CC244" i="1"/>
  <c r="CB244" i="1"/>
  <c r="CA244" i="1"/>
  <c r="BZ244" i="1"/>
  <c r="BY244" i="1"/>
  <c r="BX244" i="1"/>
  <c r="DB243" i="1"/>
  <c r="CY243" i="1"/>
  <c r="CX243" i="1"/>
  <c r="CT243" i="1"/>
  <c r="CS243" i="1"/>
  <c r="CR243" i="1"/>
  <c r="CQ243" i="1"/>
  <c r="CP243" i="1"/>
  <c r="CO243" i="1"/>
  <c r="CN243" i="1"/>
  <c r="CL243" i="1"/>
  <c r="CK243" i="1"/>
  <c r="CJ243" i="1"/>
  <c r="CI243" i="1"/>
  <c r="CH243" i="1"/>
  <c r="CG243" i="1"/>
  <c r="CF243" i="1"/>
  <c r="CD243" i="1"/>
  <c r="CC243" i="1"/>
  <c r="CB243" i="1"/>
  <c r="CA243" i="1"/>
  <c r="BZ243" i="1"/>
  <c r="BY243" i="1"/>
  <c r="BX243" i="1"/>
  <c r="DB242" i="1"/>
  <c r="CY242" i="1"/>
  <c r="CX242" i="1"/>
  <c r="CT242" i="1"/>
  <c r="CS242" i="1"/>
  <c r="CR242" i="1"/>
  <c r="CQ242" i="1"/>
  <c r="CP242" i="1"/>
  <c r="CO242" i="1"/>
  <c r="CN242" i="1"/>
  <c r="CL242" i="1"/>
  <c r="CK242" i="1"/>
  <c r="CJ242" i="1"/>
  <c r="CI242" i="1"/>
  <c r="CH242" i="1"/>
  <c r="CG242" i="1"/>
  <c r="CF242" i="1"/>
  <c r="CD242" i="1"/>
  <c r="CC242" i="1"/>
  <c r="CB242" i="1"/>
  <c r="CA242" i="1"/>
  <c r="BZ242" i="1"/>
  <c r="BY242" i="1"/>
  <c r="BX242" i="1"/>
  <c r="DB241" i="1"/>
  <c r="CY241" i="1"/>
  <c r="CX241" i="1"/>
  <c r="CT241" i="1"/>
  <c r="CS241" i="1"/>
  <c r="CR241" i="1"/>
  <c r="CQ241" i="1"/>
  <c r="CP241" i="1"/>
  <c r="CO241" i="1"/>
  <c r="CN241" i="1"/>
  <c r="CL241" i="1"/>
  <c r="CK241" i="1"/>
  <c r="CJ241" i="1"/>
  <c r="CI241" i="1"/>
  <c r="CH241" i="1"/>
  <c r="CG241" i="1"/>
  <c r="CF241" i="1"/>
  <c r="CD241" i="1"/>
  <c r="CC241" i="1"/>
  <c r="CB241" i="1"/>
  <c r="CA241" i="1"/>
  <c r="BZ241" i="1"/>
  <c r="BY241" i="1"/>
  <c r="BX241" i="1"/>
  <c r="DB240" i="1"/>
  <c r="CY240" i="1"/>
  <c r="CX240" i="1"/>
  <c r="CT240" i="1"/>
  <c r="CS240" i="1"/>
  <c r="CR240" i="1"/>
  <c r="CQ240" i="1"/>
  <c r="CP240" i="1"/>
  <c r="CO240" i="1"/>
  <c r="CN240" i="1"/>
  <c r="CL240" i="1"/>
  <c r="CK240" i="1"/>
  <c r="CJ240" i="1"/>
  <c r="CI240" i="1"/>
  <c r="CH240" i="1"/>
  <c r="CG240" i="1"/>
  <c r="CF240" i="1"/>
  <c r="CD240" i="1"/>
  <c r="CC240" i="1"/>
  <c r="CB240" i="1"/>
  <c r="CA240" i="1"/>
  <c r="BZ240" i="1"/>
  <c r="BY240" i="1"/>
  <c r="BX240" i="1"/>
  <c r="DB239" i="1"/>
  <c r="CY239" i="1"/>
  <c r="CX239" i="1"/>
  <c r="CT239" i="1"/>
  <c r="CS239" i="1"/>
  <c r="CR239" i="1"/>
  <c r="CQ239" i="1"/>
  <c r="CP239" i="1"/>
  <c r="CO239" i="1"/>
  <c r="CN239" i="1"/>
  <c r="CL239" i="1"/>
  <c r="CK239" i="1"/>
  <c r="CJ239" i="1"/>
  <c r="CI239" i="1"/>
  <c r="CH239" i="1"/>
  <c r="CG239" i="1"/>
  <c r="CF239" i="1"/>
  <c r="CD239" i="1"/>
  <c r="CC239" i="1"/>
  <c r="CB239" i="1"/>
  <c r="CA239" i="1"/>
  <c r="BZ239" i="1"/>
  <c r="BY239" i="1"/>
  <c r="BX239" i="1"/>
  <c r="DB238" i="1"/>
  <c r="CY238" i="1"/>
  <c r="CX238" i="1"/>
  <c r="CT238" i="1"/>
  <c r="CS238" i="1"/>
  <c r="CR238" i="1"/>
  <c r="CQ238" i="1"/>
  <c r="CP238" i="1"/>
  <c r="CO238" i="1"/>
  <c r="CN238" i="1"/>
  <c r="CL238" i="1"/>
  <c r="CK238" i="1"/>
  <c r="CJ238" i="1"/>
  <c r="CI238" i="1"/>
  <c r="CH238" i="1"/>
  <c r="CG238" i="1"/>
  <c r="CF238" i="1"/>
  <c r="CD238" i="1"/>
  <c r="CC238" i="1"/>
  <c r="CB238" i="1"/>
  <c r="CA238" i="1"/>
  <c r="BZ238" i="1"/>
  <c r="BY238" i="1"/>
  <c r="BX238" i="1"/>
  <c r="DB237" i="1"/>
  <c r="CY237" i="1"/>
  <c r="CX237" i="1"/>
  <c r="CT237" i="1"/>
  <c r="CS237" i="1"/>
  <c r="CR237" i="1"/>
  <c r="CQ237" i="1"/>
  <c r="CP237" i="1"/>
  <c r="CO237" i="1"/>
  <c r="CN237" i="1"/>
  <c r="CL237" i="1"/>
  <c r="CK237" i="1"/>
  <c r="CJ237" i="1"/>
  <c r="CI237" i="1"/>
  <c r="CH237" i="1"/>
  <c r="CG237" i="1"/>
  <c r="CF237" i="1"/>
  <c r="CD237" i="1"/>
  <c r="CC237" i="1"/>
  <c r="CB237" i="1"/>
  <c r="CA237" i="1"/>
  <c r="BZ237" i="1"/>
  <c r="BY237" i="1"/>
  <c r="BX237" i="1"/>
  <c r="DB236" i="1"/>
  <c r="CY236" i="1"/>
  <c r="CX236" i="1"/>
  <c r="CT236" i="1"/>
  <c r="CS236" i="1"/>
  <c r="CR236" i="1"/>
  <c r="CQ236" i="1"/>
  <c r="CP236" i="1"/>
  <c r="CO236" i="1"/>
  <c r="CN236" i="1"/>
  <c r="CL236" i="1"/>
  <c r="CK236" i="1"/>
  <c r="CJ236" i="1"/>
  <c r="CI236" i="1"/>
  <c r="CH236" i="1"/>
  <c r="CG236" i="1"/>
  <c r="CF236" i="1"/>
  <c r="CD236" i="1"/>
  <c r="CC236" i="1"/>
  <c r="CB236" i="1"/>
  <c r="CA236" i="1"/>
  <c r="BZ236" i="1"/>
  <c r="BY236" i="1"/>
  <c r="BX236" i="1"/>
  <c r="DB235" i="1"/>
  <c r="CY235" i="1"/>
  <c r="CX235" i="1"/>
  <c r="CT235" i="1"/>
  <c r="CS235" i="1"/>
  <c r="CR235" i="1"/>
  <c r="CQ235" i="1"/>
  <c r="CP235" i="1"/>
  <c r="CO235" i="1"/>
  <c r="CN235" i="1"/>
  <c r="CL235" i="1"/>
  <c r="CK235" i="1"/>
  <c r="CJ235" i="1"/>
  <c r="CI235" i="1"/>
  <c r="CH235" i="1"/>
  <c r="CG235" i="1"/>
  <c r="CF235" i="1"/>
  <c r="CD235" i="1"/>
  <c r="CC235" i="1"/>
  <c r="CB235" i="1"/>
  <c r="CA235" i="1"/>
  <c r="BZ235" i="1"/>
  <c r="BY235" i="1"/>
  <c r="BX235" i="1"/>
  <c r="DB234" i="1"/>
  <c r="CY234" i="1"/>
  <c r="CX234" i="1"/>
  <c r="CT234" i="1"/>
  <c r="CS234" i="1"/>
  <c r="CR234" i="1"/>
  <c r="CQ234" i="1"/>
  <c r="CP234" i="1"/>
  <c r="CO234" i="1"/>
  <c r="CN234" i="1"/>
  <c r="CL234" i="1"/>
  <c r="CK234" i="1"/>
  <c r="CJ234" i="1"/>
  <c r="CI234" i="1"/>
  <c r="CH234" i="1"/>
  <c r="CG234" i="1"/>
  <c r="CF234" i="1"/>
  <c r="CD234" i="1"/>
  <c r="CC234" i="1"/>
  <c r="CB234" i="1"/>
  <c r="CA234" i="1"/>
  <c r="BZ234" i="1"/>
  <c r="BY234" i="1"/>
  <c r="BX234" i="1"/>
  <c r="DB233" i="1"/>
  <c r="CY233" i="1"/>
  <c r="CX233" i="1"/>
  <c r="CT233" i="1"/>
  <c r="CS233" i="1"/>
  <c r="CR233" i="1"/>
  <c r="CQ233" i="1"/>
  <c r="CP233" i="1"/>
  <c r="CO233" i="1"/>
  <c r="CN233" i="1"/>
  <c r="CL233" i="1"/>
  <c r="CK233" i="1"/>
  <c r="CJ233" i="1"/>
  <c r="CI233" i="1"/>
  <c r="CH233" i="1"/>
  <c r="CG233" i="1"/>
  <c r="CF233" i="1"/>
  <c r="CD233" i="1"/>
  <c r="CC233" i="1"/>
  <c r="CB233" i="1"/>
  <c r="CA233" i="1"/>
  <c r="BZ233" i="1"/>
  <c r="BY233" i="1"/>
  <c r="BX233" i="1"/>
  <c r="DB232" i="1"/>
  <c r="CY232" i="1"/>
  <c r="CX232" i="1"/>
  <c r="CT232" i="1"/>
  <c r="CS232" i="1"/>
  <c r="CR232" i="1"/>
  <c r="CQ232" i="1"/>
  <c r="CP232" i="1"/>
  <c r="CO232" i="1"/>
  <c r="CN232" i="1"/>
  <c r="CL232" i="1"/>
  <c r="CK232" i="1"/>
  <c r="CJ232" i="1"/>
  <c r="CI232" i="1"/>
  <c r="CH232" i="1"/>
  <c r="CG232" i="1"/>
  <c r="CF232" i="1"/>
  <c r="CD232" i="1"/>
  <c r="CC232" i="1"/>
  <c r="CB232" i="1"/>
  <c r="CA232" i="1"/>
  <c r="BZ232" i="1"/>
  <c r="BY232" i="1"/>
  <c r="BX232" i="1"/>
  <c r="DB231" i="1"/>
  <c r="CY231" i="1"/>
  <c r="CX231" i="1"/>
  <c r="CT231" i="1"/>
  <c r="CS231" i="1"/>
  <c r="CR231" i="1"/>
  <c r="CQ231" i="1"/>
  <c r="CP231" i="1"/>
  <c r="CO231" i="1"/>
  <c r="CN231" i="1"/>
  <c r="CL231" i="1"/>
  <c r="CK231" i="1"/>
  <c r="CJ231" i="1"/>
  <c r="CI231" i="1"/>
  <c r="CH231" i="1"/>
  <c r="CG231" i="1"/>
  <c r="CF231" i="1"/>
  <c r="CD231" i="1"/>
  <c r="CC231" i="1"/>
  <c r="CB231" i="1"/>
  <c r="CA231" i="1"/>
  <c r="BZ231" i="1"/>
  <c r="BY231" i="1"/>
  <c r="BX231" i="1"/>
  <c r="DB230" i="1"/>
  <c r="CY230" i="1"/>
  <c r="CX230" i="1"/>
  <c r="CT230" i="1"/>
  <c r="CS230" i="1"/>
  <c r="CR230" i="1"/>
  <c r="CQ230" i="1"/>
  <c r="CP230" i="1"/>
  <c r="CO230" i="1"/>
  <c r="CN230" i="1"/>
  <c r="CL230" i="1"/>
  <c r="CK230" i="1"/>
  <c r="CJ230" i="1"/>
  <c r="CI230" i="1"/>
  <c r="CH230" i="1"/>
  <c r="CG230" i="1"/>
  <c r="CF230" i="1"/>
  <c r="CD230" i="1"/>
  <c r="CC230" i="1"/>
  <c r="CB230" i="1"/>
  <c r="CA230" i="1"/>
  <c r="BZ230" i="1"/>
  <c r="BY230" i="1"/>
  <c r="BX230" i="1"/>
  <c r="DB229" i="1"/>
  <c r="CY229" i="1"/>
  <c r="CX229" i="1"/>
  <c r="CT229" i="1"/>
  <c r="CS229" i="1"/>
  <c r="CR229" i="1"/>
  <c r="CQ229" i="1"/>
  <c r="CP229" i="1"/>
  <c r="CO229" i="1"/>
  <c r="CN229" i="1"/>
  <c r="CL229" i="1"/>
  <c r="CK229" i="1"/>
  <c r="CJ229" i="1"/>
  <c r="CI229" i="1"/>
  <c r="CH229" i="1"/>
  <c r="CG229" i="1"/>
  <c r="CF229" i="1"/>
  <c r="CD229" i="1"/>
  <c r="CC229" i="1"/>
  <c r="CB229" i="1"/>
  <c r="CA229" i="1"/>
  <c r="BZ229" i="1"/>
  <c r="BY229" i="1"/>
  <c r="BX229" i="1"/>
  <c r="DB228" i="1"/>
  <c r="CY228" i="1"/>
  <c r="CX228" i="1"/>
  <c r="CT228" i="1"/>
  <c r="CS228" i="1"/>
  <c r="CR228" i="1"/>
  <c r="CQ228" i="1"/>
  <c r="CP228" i="1"/>
  <c r="CO228" i="1"/>
  <c r="CN228" i="1"/>
  <c r="CL228" i="1"/>
  <c r="CK228" i="1"/>
  <c r="CJ228" i="1"/>
  <c r="CI228" i="1"/>
  <c r="CH228" i="1"/>
  <c r="CG228" i="1"/>
  <c r="CF228" i="1"/>
  <c r="CD228" i="1"/>
  <c r="CC228" i="1"/>
  <c r="CB228" i="1"/>
  <c r="CA228" i="1"/>
  <c r="BZ228" i="1"/>
  <c r="BY228" i="1"/>
  <c r="BX228" i="1"/>
  <c r="DB227" i="1"/>
  <c r="CY227" i="1"/>
  <c r="CX227" i="1"/>
  <c r="CT227" i="1"/>
  <c r="CS227" i="1"/>
  <c r="CR227" i="1"/>
  <c r="CQ227" i="1"/>
  <c r="CP227" i="1"/>
  <c r="CO227" i="1"/>
  <c r="CN227" i="1"/>
  <c r="CL227" i="1"/>
  <c r="CK227" i="1"/>
  <c r="CJ227" i="1"/>
  <c r="CI227" i="1"/>
  <c r="CH227" i="1"/>
  <c r="CG227" i="1"/>
  <c r="CF227" i="1"/>
  <c r="CD227" i="1"/>
  <c r="CC227" i="1"/>
  <c r="CB227" i="1"/>
  <c r="CA227" i="1"/>
  <c r="BZ227" i="1"/>
  <c r="BY227" i="1"/>
  <c r="BX227" i="1"/>
  <c r="DB226" i="1"/>
  <c r="CY226" i="1"/>
  <c r="CX226" i="1"/>
  <c r="CT226" i="1"/>
  <c r="CS226" i="1"/>
  <c r="CR226" i="1"/>
  <c r="CQ226" i="1"/>
  <c r="CP226" i="1"/>
  <c r="CO226" i="1"/>
  <c r="CN226" i="1"/>
  <c r="CL226" i="1"/>
  <c r="CK226" i="1"/>
  <c r="CJ226" i="1"/>
  <c r="CI226" i="1"/>
  <c r="CH226" i="1"/>
  <c r="CG226" i="1"/>
  <c r="CF226" i="1"/>
  <c r="CD226" i="1"/>
  <c r="CC226" i="1"/>
  <c r="CB226" i="1"/>
  <c r="CA226" i="1"/>
  <c r="BZ226" i="1"/>
  <c r="BY226" i="1"/>
  <c r="BX226" i="1"/>
  <c r="DB225" i="1"/>
  <c r="CY225" i="1"/>
  <c r="CX225" i="1"/>
  <c r="CT225" i="1"/>
  <c r="CS225" i="1"/>
  <c r="CR225" i="1"/>
  <c r="CQ225" i="1"/>
  <c r="CP225" i="1"/>
  <c r="CO225" i="1"/>
  <c r="CN225" i="1"/>
  <c r="CL225" i="1"/>
  <c r="CK225" i="1"/>
  <c r="CJ225" i="1"/>
  <c r="CI225" i="1"/>
  <c r="CH225" i="1"/>
  <c r="CG225" i="1"/>
  <c r="CF225" i="1"/>
  <c r="CD225" i="1"/>
  <c r="CC225" i="1"/>
  <c r="CB225" i="1"/>
  <c r="CA225" i="1"/>
  <c r="BZ225" i="1"/>
  <c r="BY225" i="1"/>
  <c r="BX225" i="1"/>
  <c r="DB224" i="1"/>
  <c r="CY224" i="1"/>
  <c r="CX224" i="1"/>
  <c r="CT224" i="1"/>
  <c r="CS224" i="1"/>
  <c r="CR224" i="1"/>
  <c r="CQ224" i="1"/>
  <c r="CP224" i="1"/>
  <c r="CO224" i="1"/>
  <c r="CN224" i="1"/>
  <c r="CL224" i="1"/>
  <c r="CK224" i="1"/>
  <c r="CJ224" i="1"/>
  <c r="CI224" i="1"/>
  <c r="CH224" i="1"/>
  <c r="CG224" i="1"/>
  <c r="CF224" i="1"/>
  <c r="CD224" i="1"/>
  <c r="CC224" i="1"/>
  <c r="CB224" i="1"/>
  <c r="CA224" i="1"/>
  <c r="BZ224" i="1"/>
  <c r="BY224" i="1"/>
  <c r="BX224" i="1"/>
  <c r="DB223" i="1"/>
  <c r="CY223" i="1"/>
  <c r="CX223" i="1"/>
  <c r="CT223" i="1"/>
  <c r="CS223" i="1"/>
  <c r="CR223" i="1"/>
  <c r="CQ223" i="1"/>
  <c r="CP223" i="1"/>
  <c r="CO223" i="1"/>
  <c r="CN223" i="1"/>
  <c r="CL223" i="1"/>
  <c r="CK223" i="1"/>
  <c r="CJ223" i="1"/>
  <c r="CI223" i="1"/>
  <c r="CH223" i="1"/>
  <c r="CG223" i="1"/>
  <c r="CF223" i="1"/>
  <c r="CD223" i="1"/>
  <c r="CC223" i="1"/>
  <c r="CB223" i="1"/>
  <c r="CA223" i="1"/>
  <c r="BZ223" i="1"/>
  <c r="BY223" i="1"/>
  <c r="BX223" i="1"/>
  <c r="DB222" i="1"/>
  <c r="CY222" i="1"/>
  <c r="CX222" i="1"/>
  <c r="CT222" i="1"/>
  <c r="CS222" i="1"/>
  <c r="CR222" i="1"/>
  <c r="CQ222" i="1"/>
  <c r="CP222" i="1"/>
  <c r="CO222" i="1"/>
  <c r="CN222" i="1"/>
  <c r="CL222" i="1"/>
  <c r="CK222" i="1"/>
  <c r="CJ222" i="1"/>
  <c r="CI222" i="1"/>
  <c r="CH222" i="1"/>
  <c r="CG222" i="1"/>
  <c r="CF222" i="1"/>
  <c r="CD222" i="1"/>
  <c r="CC222" i="1"/>
  <c r="CB222" i="1"/>
  <c r="CA222" i="1"/>
  <c r="BZ222" i="1"/>
  <c r="BY222" i="1"/>
  <c r="BX222" i="1"/>
  <c r="DB221" i="1"/>
  <c r="CY221" i="1"/>
  <c r="CX221" i="1"/>
  <c r="CT221" i="1"/>
  <c r="CS221" i="1"/>
  <c r="CR221" i="1"/>
  <c r="CQ221" i="1"/>
  <c r="CP221" i="1"/>
  <c r="CO221" i="1"/>
  <c r="CN221" i="1"/>
  <c r="CL221" i="1"/>
  <c r="CK221" i="1"/>
  <c r="CJ221" i="1"/>
  <c r="CI221" i="1"/>
  <c r="CH221" i="1"/>
  <c r="CG221" i="1"/>
  <c r="CF221" i="1"/>
  <c r="CD221" i="1"/>
  <c r="CC221" i="1"/>
  <c r="CB221" i="1"/>
  <c r="CA221" i="1"/>
  <c r="BZ221" i="1"/>
  <c r="BY221" i="1"/>
  <c r="BX221" i="1"/>
  <c r="DB220" i="1"/>
  <c r="CY220" i="1"/>
  <c r="CX220" i="1"/>
  <c r="CT220" i="1"/>
  <c r="CS220" i="1"/>
  <c r="CR220" i="1"/>
  <c r="CQ220" i="1"/>
  <c r="CP220" i="1"/>
  <c r="CO220" i="1"/>
  <c r="CN220" i="1"/>
  <c r="CL220" i="1"/>
  <c r="CK220" i="1"/>
  <c r="CJ220" i="1"/>
  <c r="CI220" i="1"/>
  <c r="CH220" i="1"/>
  <c r="CG220" i="1"/>
  <c r="CF220" i="1"/>
  <c r="CD220" i="1"/>
  <c r="CC220" i="1"/>
  <c r="CB220" i="1"/>
  <c r="CA220" i="1"/>
  <c r="BZ220" i="1"/>
  <c r="BY220" i="1"/>
  <c r="BX220" i="1"/>
  <c r="DB219" i="1"/>
  <c r="CY219" i="1"/>
  <c r="CX219" i="1"/>
  <c r="CT219" i="1"/>
  <c r="CS219" i="1"/>
  <c r="CR219" i="1"/>
  <c r="CQ219" i="1"/>
  <c r="CP219" i="1"/>
  <c r="CO219" i="1"/>
  <c r="CN219" i="1"/>
  <c r="CL219" i="1"/>
  <c r="CK219" i="1"/>
  <c r="CJ219" i="1"/>
  <c r="CI219" i="1"/>
  <c r="CH219" i="1"/>
  <c r="CG219" i="1"/>
  <c r="CF219" i="1"/>
  <c r="CD219" i="1"/>
  <c r="CC219" i="1"/>
  <c r="CB219" i="1"/>
  <c r="CA219" i="1"/>
  <c r="BZ219" i="1"/>
  <c r="BY219" i="1"/>
  <c r="BX219" i="1"/>
  <c r="DB218" i="1"/>
  <c r="CY218" i="1"/>
  <c r="CX218" i="1"/>
  <c r="CT218" i="1"/>
  <c r="CS218" i="1"/>
  <c r="CR218" i="1"/>
  <c r="CQ218" i="1"/>
  <c r="CP218" i="1"/>
  <c r="CO218" i="1"/>
  <c r="CN218" i="1"/>
  <c r="CL218" i="1"/>
  <c r="CK218" i="1"/>
  <c r="CJ218" i="1"/>
  <c r="CI218" i="1"/>
  <c r="CH218" i="1"/>
  <c r="CG218" i="1"/>
  <c r="CF218" i="1"/>
  <c r="CD218" i="1"/>
  <c r="CC218" i="1"/>
  <c r="CB218" i="1"/>
  <c r="CA218" i="1"/>
  <c r="BZ218" i="1"/>
  <c r="BY218" i="1"/>
  <c r="BX218" i="1"/>
  <c r="DB205" i="1"/>
  <c r="CY205" i="1"/>
  <c r="CX205" i="1"/>
  <c r="CT205" i="1"/>
  <c r="CS205" i="1"/>
  <c r="CR205" i="1"/>
  <c r="CQ205" i="1"/>
  <c r="CP205" i="1"/>
  <c r="CO205" i="1"/>
  <c r="CN205" i="1"/>
  <c r="CL205" i="1"/>
  <c r="CK205" i="1"/>
  <c r="CJ205" i="1"/>
  <c r="CI205" i="1"/>
  <c r="CH205" i="1"/>
  <c r="CG205" i="1"/>
  <c r="CF205" i="1"/>
  <c r="CD205" i="1"/>
  <c r="CC205" i="1"/>
  <c r="CB205" i="1"/>
  <c r="CA205" i="1"/>
  <c r="BZ205" i="1"/>
  <c r="BY205" i="1"/>
  <c r="BX205" i="1"/>
  <c r="DB204" i="1"/>
  <c r="CY204" i="1"/>
  <c r="CX204" i="1"/>
  <c r="CT204" i="1"/>
  <c r="CS204" i="1"/>
  <c r="CR204" i="1"/>
  <c r="CQ204" i="1"/>
  <c r="CP204" i="1"/>
  <c r="CO204" i="1"/>
  <c r="CN204" i="1"/>
  <c r="CL204" i="1"/>
  <c r="CK204" i="1"/>
  <c r="CJ204" i="1"/>
  <c r="CI204" i="1"/>
  <c r="CH204" i="1"/>
  <c r="CG204" i="1"/>
  <c r="CF204" i="1"/>
  <c r="CD204" i="1"/>
  <c r="CC204" i="1"/>
  <c r="CB204" i="1"/>
  <c r="CA204" i="1"/>
  <c r="BZ204" i="1"/>
  <c r="BY204" i="1"/>
  <c r="BX204" i="1"/>
  <c r="DB203" i="1"/>
  <c r="CY203" i="1"/>
  <c r="CX203" i="1"/>
  <c r="CT203" i="1"/>
  <c r="CS203" i="1"/>
  <c r="CR203" i="1"/>
  <c r="CQ203" i="1"/>
  <c r="CP203" i="1"/>
  <c r="CO203" i="1"/>
  <c r="CN203" i="1"/>
  <c r="CL203" i="1"/>
  <c r="CK203" i="1"/>
  <c r="CJ203" i="1"/>
  <c r="CI203" i="1"/>
  <c r="CH203" i="1"/>
  <c r="CG203" i="1"/>
  <c r="CF203" i="1"/>
  <c r="CD203" i="1"/>
  <c r="CC203" i="1"/>
  <c r="CB203" i="1"/>
  <c r="CA203" i="1"/>
  <c r="BZ203" i="1"/>
  <c r="BY203" i="1"/>
  <c r="BX203" i="1"/>
  <c r="DB202" i="1"/>
  <c r="CY202" i="1"/>
  <c r="CX202" i="1"/>
  <c r="CT202" i="1"/>
  <c r="CS202" i="1"/>
  <c r="CR202" i="1"/>
  <c r="CQ202" i="1"/>
  <c r="CP202" i="1"/>
  <c r="CO202" i="1"/>
  <c r="CN202" i="1"/>
  <c r="CL202" i="1"/>
  <c r="CK202" i="1"/>
  <c r="CJ202" i="1"/>
  <c r="CI202" i="1"/>
  <c r="CH202" i="1"/>
  <c r="CG202" i="1"/>
  <c r="CF202" i="1"/>
  <c r="CD202" i="1"/>
  <c r="CC202" i="1"/>
  <c r="CB202" i="1"/>
  <c r="CA202" i="1"/>
  <c r="BZ202" i="1"/>
  <c r="BY202" i="1"/>
  <c r="BX202" i="1"/>
  <c r="DB201" i="1"/>
  <c r="CY201" i="1"/>
  <c r="CX201" i="1"/>
  <c r="CT201" i="1"/>
  <c r="CS201" i="1"/>
  <c r="CR201" i="1"/>
  <c r="CQ201" i="1"/>
  <c r="CP201" i="1"/>
  <c r="CO201" i="1"/>
  <c r="CN201" i="1"/>
  <c r="CL201" i="1"/>
  <c r="CK201" i="1"/>
  <c r="CJ201" i="1"/>
  <c r="CI201" i="1"/>
  <c r="CH201" i="1"/>
  <c r="CG201" i="1"/>
  <c r="CF201" i="1"/>
  <c r="CD201" i="1"/>
  <c r="CC201" i="1"/>
  <c r="CB201" i="1"/>
  <c r="CA201" i="1"/>
  <c r="BZ201" i="1"/>
  <c r="BY201" i="1"/>
  <c r="BX201" i="1"/>
  <c r="DB200" i="1"/>
  <c r="CY200" i="1"/>
  <c r="CX200" i="1"/>
  <c r="CT200" i="1"/>
  <c r="CS200" i="1"/>
  <c r="CR200" i="1"/>
  <c r="CQ200" i="1"/>
  <c r="CP200" i="1"/>
  <c r="CO200" i="1"/>
  <c r="CN200" i="1"/>
  <c r="CL200" i="1"/>
  <c r="CK200" i="1"/>
  <c r="CJ200" i="1"/>
  <c r="CI200" i="1"/>
  <c r="CH200" i="1"/>
  <c r="CG200" i="1"/>
  <c r="CF200" i="1"/>
  <c r="CD200" i="1"/>
  <c r="CC200" i="1"/>
  <c r="CB200" i="1"/>
  <c r="CA200" i="1"/>
  <c r="BZ200" i="1"/>
  <c r="BY200" i="1"/>
  <c r="BX200" i="1"/>
  <c r="DB199" i="1"/>
  <c r="CY199" i="1"/>
  <c r="CX199" i="1"/>
  <c r="CT199" i="1"/>
  <c r="CS199" i="1"/>
  <c r="CR199" i="1"/>
  <c r="CQ199" i="1"/>
  <c r="CP199" i="1"/>
  <c r="CO199" i="1"/>
  <c r="CN199" i="1"/>
  <c r="CL199" i="1"/>
  <c r="CK199" i="1"/>
  <c r="CJ199" i="1"/>
  <c r="CI199" i="1"/>
  <c r="CH199" i="1"/>
  <c r="CG199" i="1"/>
  <c r="CF199" i="1"/>
  <c r="CD199" i="1"/>
  <c r="CC199" i="1"/>
  <c r="CB199" i="1"/>
  <c r="CA199" i="1"/>
  <c r="BZ199" i="1"/>
  <c r="BY199" i="1"/>
  <c r="BX199" i="1"/>
  <c r="DB198" i="1"/>
  <c r="CY198" i="1"/>
  <c r="CX198" i="1"/>
  <c r="CT198" i="1"/>
  <c r="CS198" i="1"/>
  <c r="CR198" i="1"/>
  <c r="CQ198" i="1"/>
  <c r="CP198" i="1"/>
  <c r="CO198" i="1"/>
  <c r="CN198" i="1"/>
  <c r="CL198" i="1"/>
  <c r="CK198" i="1"/>
  <c r="CJ198" i="1"/>
  <c r="CI198" i="1"/>
  <c r="CH198" i="1"/>
  <c r="CG198" i="1"/>
  <c r="CF198" i="1"/>
  <c r="CD198" i="1"/>
  <c r="CC198" i="1"/>
  <c r="CB198" i="1"/>
  <c r="CA198" i="1"/>
  <c r="BZ198" i="1"/>
  <c r="BY198" i="1"/>
  <c r="BX198" i="1"/>
  <c r="DB197" i="1"/>
  <c r="CY197" i="1"/>
  <c r="CX197" i="1"/>
  <c r="CT197" i="1"/>
  <c r="CS197" i="1"/>
  <c r="CR197" i="1"/>
  <c r="CQ197" i="1"/>
  <c r="CP197" i="1"/>
  <c r="CO197" i="1"/>
  <c r="CN197" i="1"/>
  <c r="CL197" i="1"/>
  <c r="CK197" i="1"/>
  <c r="CJ197" i="1"/>
  <c r="CI197" i="1"/>
  <c r="CH197" i="1"/>
  <c r="CG197" i="1"/>
  <c r="CF197" i="1"/>
  <c r="CD197" i="1"/>
  <c r="CC197" i="1"/>
  <c r="CB197" i="1"/>
  <c r="CA197" i="1"/>
  <c r="BZ197" i="1"/>
  <c r="BY197" i="1"/>
  <c r="BX197" i="1"/>
  <c r="DB196" i="1"/>
  <c r="CY196" i="1"/>
  <c r="CX196" i="1"/>
  <c r="CT196" i="1"/>
  <c r="CS196" i="1"/>
  <c r="CR196" i="1"/>
  <c r="CQ196" i="1"/>
  <c r="CP196" i="1"/>
  <c r="CO196" i="1"/>
  <c r="CN196" i="1"/>
  <c r="CL196" i="1"/>
  <c r="CK196" i="1"/>
  <c r="CJ196" i="1"/>
  <c r="CI196" i="1"/>
  <c r="CH196" i="1"/>
  <c r="CG196" i="1"/>
  <c r="CF196" i="1"/>
  <c r="CD196" i="1"/>
  <c r="CC196" i="1"/>
  <c r="CB196" i="1"/>
  <c r="CA196" i="1"/>
  <c r="BZ196" i="1"/>
  <c r="BY196" i="1"/>
  <c r="BX196" i="1"/>
  <c r="DB195" i="1"/>
  <c r="CY195" i="1"/>
  <c r="CX195" i="1"/>
  <c r="CT195" i="1"/>
  <c r="CS195" i="1"/>
  <c r="CR195" i="1"/>
  <c r="CQ195" i="1"/>
  <c r="CP195" i="1"/>
  <c r="CO195" i="1"/>
  <c r="CN195" i="1"/>
  <c r="CL195" i="1"/>
  <c r="CK195" i="1"/>
  <c r="CJ195" i="1"/>
  <c r="CI195" i="1"/>
  <c r="CH195" i="1"/>
  <c r="CG195" i="1"/>
  <c r="CF195" i="1"/>
  <c r="CD195" i="1"/>
  <c r="CC195" i="1"/>
  <c r="CB195" i="1"/>
  <c r="CA195" i="1"/>
  <c r="BZ195" i="1"/>
  <c r="BY195" i="1"/>
  <c r="BX195" i="1"/>
  <c r="DB194" i="1"/>
  <c r="CY194" i="1"/>
  <c r="CX194" i="1"/>
  <c r="CT194" i="1"/>
  <c r="CS194" i="1"/>
  <c r="CR194" i="1"/>
  <c r="CQ194" i="1"/>
  <c r="CP194" i="1"/>
  <c r="CO194" i="1"/>
  <c r="CN194" i="1"/>
  <c r="CL194" i="1"/>
  <c r="CK194" i="1"/>
  <c r="CJ194" i="1"/>
  <c r="CI194" i="1"/>
  <c r="CH194" i="1"/>
  <c r="CG194" i="1"/>
  <c r="CF194" i="1"/>
  <c r="CD194" i="1"/>
  <c r="CC194" i="1"/>
  <c r="CB194" i="1"/>
  <c r="CA194" i="1"/>
  <c r="BZ194" i="1"/>
  <c r="BY194" i="1"/>
  <c r="BX194" i="1"/>
  <c r="DB193" i="1"/>
  <c r="CY193" i="1"/>
  <c r="CX193" i="1"/>
  <c r="CT193" i="1"/>
  <c r="CS193" i="1"/>
  <c r="CR193" i="1"/>
  <c r="CQ193" i="1"/>
  <c r="CP193" i="1"/>
  <c r="CO193" i="1"/>
  <c r="CN193" i="1"/>
  <c r="CL193" i="1"/>
  <c r="CK193" i="1"/>
  <c r="CJ193" i="1"/>
  <c r="CI193" i="1"/>
  <c r="CH193" i="1"/>
  <c r="CG193" i="1"/>
  <c r="CF193" i="1"/>
  <c r="CD193" i="1"/>
  <c r="CC193" i="1"/>
  <c r="CB193" i="1"/>
  <c r="CA193" i="1"/>
  <c r="BZ193" i="1"/>
  <c r="BY193" i="1"/>
  <c r="BX193" i="1"/>
  <c r="DB192" i="1"/>
  <c r="CY192" i="1"/>
  <c r="CX192" i="1"/>
  <c r="CT192" i="1"/>
  <c r="CS192" i="1"/>
  <c r="CR192" i="1"/>
  <c r="CQ192" i="1"/>
  <c r="CP192" i="1"/>
  <c r="CO192" i="1"/>
  <c r="CN192" i="1"/>
  <c r="CL192" i="1"/>
  <c r="CK192" i="1"/>
  <c r="CJ192" i="1"/>
  <c r="CI192" i="1"/>
  <c r="CH192" i="1"/>
  <c r="CG192" i="1"/>
  <c r="CF192" i="1"/>
  <c r="CD192" i="1"/>
  <c r="CC192" i="1"/>
  <c r="CB192" i="1"/>
  <c r="CA192" i="1"/>
  <c r="BZ192" i="1"/>
  <c r="BY192" i="1"/>
  <c r="BX192" i="1"/>
  <c r="DB191" i="1"/>
  <c r="CY191" i="1"/>
  <c r="CX191" i="1"/>
  <c r="CT191" i="1"/>
  <c r="CS191" i="1"/>
  <c r="CR191" i="1"/>
  <c r="CQ191" i="1"/>
  <c r="CP191" i="1"/>
  <c r="CO191" i="1"/>
  <c r="CN191" i="1"/>
  <c r="CL191" i="1"/>
  <c r="CK191" i="1"/>
  <c r="CJ191" i="1"/>
  <c r="CI191" i="1"/>
  <c r="CH191" i="1"/>
  <c r="CG191" i="1"/>
  <c r="CF191" i="1"/>
  <c r="CD191" i="1"/>
  <c r="CC191" i="1"/>
  <c r="CB191" i="1"/>
  <c r="CA191" i="1"/>
  <c r="BZ191" i="1"/>
  <c r="BY191" i="1"/>
  <c r="BX191" i="1"/>
  <c r="DB190" i="1"/>
  <c r="CY190" i="1"/>
  <c r="CX190" i="1"/>
  <c r="CT190" i="1"/>
  <c r="CS190" i="1"/>
  <c r="CR190" i="1"/>
  <c r="CQ190" i="1"/>
  <c r="CP190" i="1"/>
  <c r="CO190" i="1"/>
  <c r="CN190" i="1"/>
  <c r="CL190" i="1"/>
  <c r="CK190" i="1"/>
  <c r="CJ190" i="1"/>
  <c r="CI190" i="1"/>
  <c r="CH190" i="1"/>
  <c r="CG190" i="1"/>
  <c r="CF190" i="1"/>
  <c r="CD190" i="1"/>
  <c r="CC190" i="1"/>
  <c r="CB190" i="1"/>
  <c r="CA190" i="1"/>
  <c r="BZ190" i="1"/>
  <c r="BY190" i="1"/>
  <c r="BX190" i="1"/>
  <c r="DB189" i="1"/>
  <c r="CY189" i="1"/>
  <c r="CX189" i="1"/>
  <c r="CT189" i="1"/>
  <c r="CS189" i="1"/>
  <c r="CR189" i="1"/>
  <c r="CQ189" i="1"/>
  <c r="CP189" i="1"/>
  <c r="CO189" i="1"/>
  <c r="CN189" i="1"/>
  <c r="CL189" i="1"/>
  <c r="CK189" i="1"/>
  <c r="CJ189" i="1"/>
  <c r="CI189" i="1"/>
  <c r="CH189" i="1"/>
  <c r="CG189" i="1"/>
  <c r="CF189" i="1"/>
  <c r="CD189" i="1"/>
  <c r="CC189" i="1"/>
  <c r="CB189" i="1"/>
  <c r="CA189" i="1"/>
  <c r="BZ189" i="1"/>
  <c r="BY189" i="1"/>
  <c r="BX189" i="1"/>
  <c r="DB188" i="1"/>
  <c r="CY188" i="1"/>
  <c r="CX188" i="1"/>
  <c r="CT188" i="1"/>
  <c r="CS188" i="1"/>
  <c r="CR188" i="1"/>
  <c r="CQ188" i="1"/>
  <c r="CP188" i="1"/>
  <c r="CO188" i="1"/>
  <c r="CN188" i="1"/>
  <c r="CL188" i="1"/>
  <c r="CK188" i="1"/>
  <c r="CJ188" i="1"/>
  <c r="CI188" i="1"/>
  <c r="CH188" i="1"/>
  <c r="CG188" i="1"/>
  <c r="CF188" i="1"/>
  <c r="CD188" i="1"/>
  <c r="CC188" i="1"/>
  <c r="CB188" i="1"/>
  <c r="CA188" i="1"/>
  <c r="BZ188" i="1"/>
  <c r="BY188" i="1"/>
  <c r="BX188" i="1"/>
  <c r="DB187" i="1"/>
  <c r="CY187" i="1"/>
  <c r="CX187" i="1"/>
  <c r="CT187" i="1"/>
  <c r="CS187" i="1"/>
  <c r="CR187" i="1"/>
  <c r="CQ187" i="1"/>
  <c r="CP187" i="1"/>
  <c r="CO187" i="1"/>
  <c r="CN187" i="1"/>
  <c r="CL187" i="1"/>
  <c r="CK187" i="1"/>
  <c r="CJ187" i="1"/>
  <c r="CI187" i="1"/>
  <c r="CH187" i="1"/>
  <c r="CG187" i="1"/>
  <c r="CF187" i="1"/>
  <c r="CD187" i="1"/>
  <c r="CC187" i="1"/>
  <c r="CB187" i="1"/>
  <c r="CA187" i="1"/>
  <c r="BZ187" i="1"/>
  <c r="BY187" i="1"/>
  <c r="BX187" i="1"/>
  <c r="DB186" i="1"/>
  <c r="CY186" i="1"/>
  <c r="CX186" i="1"/>
  <c r="CT186" i="1"/>
  <c r="CS186" i="1"/>
  <c r="CR186" i="1"/>
  <c r="CQ186" i="1"/>
  <c r="CP186" i="1"/>
  <c r="CO186" i="1"/>
  <c r="CN186" i="1"/>
  <c r="CL186" i="1"/>
  <c r="CK186" i="1"/>
  <c r="CJ186" i="1"/>
  <c r="CI186" i="1"/>
  <c r="CH186" i="1"/>
  <c r="CG186" i="1"/>
  <c r="CF186" i="1"/>
  <c r="CD186" i="1"/>
  <c r="CC186" i="1"/>
  <c r="CB186" i="1"/>
  <c r="CA186" i="1"/>
  <c r="BZ186" i="1"/>
  <c r="BY186" i="1"/>
  <c r="BX186" i="1"/>
  <c r="DB185" i="1"/>
  <c r="CY185" i="1"/>
  <c r="CX185" i="1"/>
  <c r="CT185" i="1"/>
  <c r="CS185" i="1"/>
  <c r="CR185" i="1"/>
  <c r="CQ185" i="1"/>
  <c r="CP185" i="1"/>
  <c r="CO185" i="1"/>
  <c r="CN185" i="1"/>
  <c r="CL185" i="1"/>
  <c r="CK185" i="1"/>
  <c r="CJ185" i="1"/>
  <c r="CI185" i="1"/>
  <c r="CH185" i="1"/>
  <c r="CG185" i="1"/>
  <c r="CF185" i="1"/>
  <c r="CD185" i="1"/>
  <c r="CC185" i="1"/>
  <c r="CB185" i="1"/>
  <c r="CA185" i="1"/>
  <c r="BZ185" i="1"/>
  <c r="BY185" i="1"/>
  <c r="BX185" i="1"/>
  <c r="DB184" i="1"/>
  <c r="CY184" i="1"/>
  <c r="CX184" i="1"/>
  <c r="CT184" i="1"/>
  <c r="CS184" i="1"/>
  <c r="CR184" i="1"/>
  <c r="CQ184" i="1"/>
  <c r="CP184" i="1"/>
  <c r="CO184" i="1"/>
  <c r="CN184" i="1"/>
  <c r="CL184" i="1"/>
  <c r="CK184" i="1"/>
  <c r="CJ184" i="1"/>
  <c r="CI184" i="1"/>
  <c r="CH184" i="1"/>
  <c r="CG184" i="1"/>
  <c r="CF184" i="1"/>
  <c r="CD184" i="1"/>
  <c r="CC184" i="1"/>
  <c r="CB184" i="1"/>
  <c r="CA184" i="1"/>
  <c r="BZ184" i="1"/>
  <c r="BY184" i="1"/>
  <c r="BX184" i="1"/>
  <c r="DB183" i="1"/>
  <c r="CY183" i="1"/>
  <c r="CX183" i="1"/>
  <c r="CT183" i="1"/>
  <c r="CS183" i="1"/>
  <c r="CR183" i="1"/>
  <c r="CQ183" i="1"/>
  <c r="CP183" i="1"/>
  <c r="CO183" i="1"/>
  <c r="CN183" i="1"/>
  <c r="CL183" i="1"/>
  <c r="CK183" i="1"/>
  <c r="CJ183" i="1"/>
  <c r="CI183" i="1"/>
  <c r="CH183" i="1"/>
  <c r="CG183" i="1"/>
  <c r="CF183" i="1"/>
  <c r="CD183" i="1"/>
  <c r="CC183" i="1"/>
  <c r="CB183" i="1"/>
  <c r="CA183" i="1"/>
  <c r="BZ183" i="1"/>
  <c r="BY183" i="1"/>
  <c r="BX183" i="1"/>
  <c r="DB182" i="1"/>
  <c r="CY182" i="1"/>
  <c r="CX182" i="1"/>
  <c r="CT182" i="1"/>
  <c r="CS182" i="1"/>
  <c r="CR182" i="1"/>
  <c r="CQ182" i="1"/>
  <c r="CP182" i="1"/>
  <c r="CO182" i="1"/>
  <c r="CN182" i="1"/>
  <c r="CL182" i="1"/>
  <c r="CK182" i="1"/>
  <c r="CJ182" i="1"/>
  <c r="CI182" i="1"/>
  <c r="CH182" i="1"/>
  <c r="CG182" i="1"/>
  <c r="CF182" i="1"/>
  <c r="CD182" i="1"/>
  <c r="CC182" i="1"/>
  <c r="CB182" i="1"/>
  <c r="CA182" i="1"/>
  <c r="BZ182" i="1"/>
  <c r="BY182" i="1"/>
  <c r="BX182" i="1"/>
  <c r="DB181" i="1"/>
  <c r="CY181" i="1"/>
  <c r="CX181" i="1"/>
  <c r="CT181" i="1"/>
  <c r="CS181" i="1"/>
  <c r="CR181" i="1"/>
  <c r="CQ181" i="1"/>
  <c r="CP181" i="1"/>
  <c r="CO181" i="1"/>
  <c r="CN181" i="1"/>
  <c r="CL181" i="1"/>
  <c r="CK181" i="1"/>
  <c r="CJ181" i="1"/>
  <c r="CI181" i="1"/>
  <c r="CH181" i="1"/>
  <c r="CG181" i="1"/>
  <c r="CF181" i="1"/>
  <c r="CD181" i="1"/>
  <c r="CC181" i="1"/>
  <c r="CB181" i="1"/>
  <c r="CA181" i="1"/>
  <c r="BZ181" i="1"/>
  <c r="BY181" i="1"/>
  <c r="BX181" i="1"/>
  <c r="DB180" i="1"/>
  <c r="CY180" i="1"/>
  <c r="CX180" i="1"/>
  <c r="CT180" i="1"/>
  <c r="CS180" i="1"/>
  <c r="CR180" i="1"/>
  <c r="CQ180" i="1"/>
  <c r="CP180" i="1"/>
  <c r="CO180" i="1"/>
  <c r="CN180" i="1"/>
  <c r="CL180" i="1"/>
  <c r="CK180" i="1"/>
  <c r="CJ180" i="1"/>
  <c r="CI180" i="1"/>
  <c r="CH180" i="1"/>
  <c r="CG180" i="1"/>
  <c r="CF180" i="1"/>
  <c r="CD180" i="1"/>
  <c r="CC180" i="1"/>
  <c r="CB180" i="1"/>
  <c r="CA180" i="1"/>
  <c r="BZ180" i="1"/>
  <c r="BY180" i="1"/>
  <c r="BX180" i="1"/>
  <c r="DB179" i="1"/>
  <c r="CY179" i="1"/>
  <c r="CX179" i="1"/>
  <c r="CT179" i="1"/>
  <c r="CS179" i="1"/>
  <c r="CR179" i="1"/>
  <c r="CQ179" i="1"/>
  <c r="CP179" i="1"/>
  <c r="CO179" i="1"/>
  <c r="CN179" i="1"/>
  <c r="CL179" i="1"/>
  <c r="CK179" i="1"/>
  <c r="CJ179" i="1"/>
  <c r="CI179" i="1"/>
  <c r="CH179" i="1"/>
  <c r="CG179" i="1"/>
  <c r="CF179" i="1"/>
  <c r="CD179" i="1"/>
  <c r="CC179" i="1"/>
  <c r="CB179" i="1"/>
  <c r="CA179" i="1"/>
  <c r="BZ179" i="1"/>
  <c r="BY179" i="1"/>
  <c r="BX179" i="1"/>
  <c r="DB178" i="1"/>
  <c r="CY178" i="1"/>
  <c r="CX178" i="1"/>
  <c r="CT178" i="1"/>
  <c r="CS178" i="1"/>
  <c r="CR178" i="1"/>
  <c r="CQ178" i="1"/>
  <c r="CP178" i="1"/>
  <c r="CO178" i="1"/>
  <c r="CN178" i="1"/>
  <c r="CL178" i="1"/>
  <c r="CK178" i="1"/>
  <c r="CJ178" i="1"/>
  <c r="CI178" i="1"/>
  <c r="CH178" i="1"/>
  <c r="CG178" i="1"/>
  <c r="CF178" i="1"/>
  <c r="CD178" i="1"/>
  <c r="CC178" i="1"/>
  <c r="CB178" i="1"/>
  <c r="CA178" i="1"/>
  <c r="BZ178" i="1"/>
  <c r="BY178" i="1"/>
  <c r="BX178" i="1"/>
  <c r="DB177" i="1"/>
  <c r="CY177" i="1"/>
  <c r="CX177" i="1"/>
  <c r="CT177" i="1"/>
  <c r="CS177" i="1"/>
  <c r="CR177" i="1"/>
  <c r="CQ177" i="1"/>
  <c r="CP177" i="1"/>
  <c r="CO177" i="1"/>
  <c r="CN177" i="1"/>
  <c r="CL177" i="1"/>
  <c r="CK177" i="1"/>
  <c r="CJ177" i="1"/>
  <c r="CI177" i="1"/>
  <c r="CH177" i="1"/>
  <c r="CG177" i="1"/>
  <c r="CF177" i="1"/>
  <c r="CD177" i="1"/>
  <c r="CC177" i="1"/>
  <c r="CB177" i="1"/>
  <c r="CA177" i="1"/>
  <c r="BZ177" i="1"/>
  <c r="BY177" i="1"/>
  <c r="BX177" i="1"/>
  <c r="DB176" i="1"/>
  <c r="CY176" i="1"/>
  <c r="CX176" i="1"/>
  <c r="CT176" i="1"/>
  <c r="CS176" i="1"/>
  <c r="CR176" i="1"/>
  <c r="CQ176" i="1"/>
  <c r="CP176" i="1"/>
  <c r="CO176" i="1"/>
  <c r="CN176" i="1"/>
  <c r="CL176" i="1"/>
  <c r="CK176" i="1"/>
  <c r="CJ176" i="1"/>
  <c r="CI176" i="1"/>
  <c r="CH176" i="1"/>
  <c r="CG176" i="1"/>
  <c r="CF176" i="1"/>
  <c r="CD176" i="1"/>
  <c r="CC176" i="1"/>
  <c r="CB176" i="1"/>
  <c r="CA176" i="1"/>
  <c r="BZ176" i="1"/>
  <c r="BY176" i="1"/>
  <c r="BX176" i="1"/>
  <c r="DB175" i="1"/>
  <c r="CY175" i="1"/>
  <c r="CX175" i="1"/>
  <c r="CT175" i="1"/>
  <c r="CS175" i="1"/>
  <c r="CR175" i="1"/>
  <c r="CQ175" i="1"/>
  <c r="CP175" i="1"/>
  <c r="CO175" i="1"/>
  <c r="CN175" i="1"/>
  <c r="CL175" i="1"/>
  <c r="CK175" i="1"/>
  <c r="CJ175" i="1"/>
  <c r="CI175" i="1"/>
  <c r="CH175" i="1"/>
  <c r="CG175" i="1"/>
  <c r="CF175" i="1"/>
  <c r="CD175" i="1"/>
  <c r="CC175" i="1"/>
  <c r="CB175" i="1"/>
  <c r="CA175" i="1"/>
  <c r="BZ175" i="1"/>
  <c r="BY175" i="1"/>
  <c r="BX175" i="1"/>
  <c r="DB174" i="1"/>
  <c r="CY174" i="1"/>
  <c r="CX174" i="1"/>
  <c r="CT174" i="1"/>
  <c r="CS174" i="1"/>
  <c r="CR174" i="1"/>
  <c r="CQ174" i="1"/>
  <c r="CP174" i="1"/>
  <c r="CO174" i="1"/>
  <c r="CN174" i="1"/>
  <c r="CL174" i="1"/>
  <c r="CK174" i="1"/>
  <c r="CJ174" i="1"/>
  <c r="CI174" i="1"/>
  <c r="CH174" i="1"/>
  <c r="CG174" i="1"/>
  <c r="CF174" i="1"/>
  <c r="CD174" i="1"/>
  <c r="CC174" i="1"/>
  <c r="CB174" i="1"/>
  <c r="CA174" i="1"/>
  <c r="BZ174" i="1"/>
  <c r="BY174" i="1"/>
  <c r="BX174" i="1"/>
  <c r="DB173" i="1"/>
  <c r="CY173" i="1"/>
  <c r="CX173" i="1"/>
  <c r="CT173" i="1"/>
  <c r="CS173" i="1"/>
  <c r="CR173" i="1"/>
  <c r="CQ173" i="1"/>
  <c r="CP173" i="1"/>
  <c r="CO173" i="1"/>
  <c r="CN173" i="1"/>
  <c r="CL173" i="1"/>
  <c r="CK173" i="1"/>
  <c r="CJ173" i="1"/>
  <c r="CI173" i="1"/>
  <c r="CH173" i="1"/>
  <c r="CG173" i="1"/>
  <c r="CF173" i="1"/>
  <c r="CD173" i="1"/>
  <c r="CC173" i="1"/>
  <c r="CB173" i="1"/>
  <c r="CA173" i="1"/>
  <c r="BZ173" i="1"/>
  <c r="BY173" i="1"/>
  <c r="BX173" i="1"/>
  <c r="DB172" i="1"/>
  <c r="CY172" i="1"/>
  <c r="CX172" i="1"/>
  <c r="CT172" i="1"/>
  <c r="CS172" i="1"/>
  <c r="CR172" i="1"/>
  <c r="CQ172" i="1"/>
  <c r="CP172" i="1"/>
  <c r="CO172" i="1"/>
  <c r="CN172" i="1"/>
  <c r="CL172" i="1"/>
  <c r="CK172" i="1"/>
  <c r="CJ172" i="1"/>
  <c r="CI172" i="1"/>
  <c r="CH172" i="1"/>
  <c r="CG172" i="1"/>
  <c r="CF172" i="1"/>
  <c r="CD172" i="1"/>
  <c r="CC172" i="1"/>
  <c r="CB172" i="1"/>
  <c r="CA172" i="1"/>
  <c r="BZ172" i="1"/>
  <c r="BY172" i="1"/>
  <c r="BX172" i="1"/>
  <c r="BP219" i="1"/>
  <c r="BQ219" i="1" s="1"/>
  <c r="DA219" i="1" s="1"/>
  <c r="BP218" i="1"/>
  <c r="CZ219" i="1" l="1"/>
  <c r="BQ218" i="1"/>
  <c r="DA218" i="1" s="1"/>
  <c r="CZ218" i="1"/>
  <c r="AF324" i="1"/>
  <c r="R324" i="1"/>
  <c r="CF324" i="1" s="1"/>
  <c r="E324" i="1"/>
  <c r="BX324" i="1" s="1"/>
  <c r="AF323" i="1"/>
  <c r="R323" i="1"/>
  <c r="CF323" i="1" s="1"/>
  <c r="E323" i="1"/>
  <c r="BX323" i="1" s="1"/>
  <c r="AF322" i="1"/>
  <c r="R322" i="1"/>
  <c r="CF322" i="1" s="1"/>
  <c r="E322" i="1"/>
  <c r="BX322" i="1" s="1"/>
  <c r="AF321" i="1"/>
  <c r="R321" i="1"/>
  <c r="CF321" i="1" s="1"/>
  <c r="E321" i="1"/>
  <c r="BX321" i="1" s="1"/>
  <c r="AF320" i="1"/>
  <c r="R320" i="1"/>
  <c r="CF320" i="1" s="1"/>
  <c r="E320" i="1"/>
  <c r="BX320" i="1" s="1"/>
  <c r="AF319" i="1"/>
  <c r="R319" i="1"/>
  <c r="CF319" i="1" s="1"/>
  <c r="E319" i="1"/>
  <c r="BX319" i="1" s="1"/>
  <c r="AF318" i="1"/>
  <c r="R318" i="1"/>
  <c r="CF318" i="1" s="1"/>
  <c r="E318" i="1"/>
  <c r="BX318" i="1" s="1"/>
  <c r="AF65" i="1"/>
  <c r="R65" i="1"/>
  <c r="CF65" i="1" s="1"/>
  <c r="E65" i="1"/>
  <c r="BX65" i="1" s="1"/>
  <c r="AF64" i="1"/>
  <c r="R64" i="1"/>
  <c r="CF64" i="1" s="1"/>
  <c r="E64" i="1"/>
  <c r="BX64" i="1" s="1"/>
  <c r="AF63" i="1"/>
  <c r="R63" i="1"/>
  <c r="CF63" i="1" s="1"/>
  <c r="E63" i="1"/>
  <c r="BX63" i="1" s="1"/>
  <c r="AF62" i="1"/>
  <c r="R62" i="1"/>
  <c r="CF62" i="1" s="1"/>
  <c r="E62" i="1"/>
  <c r="BX62" i="1" s="1"/>
  <c r="AF61" i="1"/>
  <c r="R61" i="1"/>
  <c r="CF61" i="1" s="1"/>
  <c r="E61" i="1"/>
  <c r="BX61" i="1" s="1"/>
  <c r="AF60" i="1"/>
  <c r="R60" i="1"/>
  <c r="CF60" i="1" s="1"/>
  <c r="E60" i="1"/>
  <c r="BX60" i="1" s="1"/>
  <c r="AF59" i="1"/>
  <c r="R59" i="1"/>
  <c r="CF59" i="1" s="1"/>
  <c r="E59" i="1"/>
  <c r="BX59" i="1" s="1"/>
  <c r="AF58" i="1"/>
  <c r="R58" i="1"/>
  <c r="CF58" i="1" s="1"/>
  <c r="E58" i="1"/>
  <c r="BX58" i="1" s="1"/>
  <c r="AF57" i="1"/>
  <c r="R57" i="1"/>
  <c r="CF57" i="1" s="1"/>
  <c r="E57" i="1"/>
  <c r="BX57" i="1" s="1"/>
  <c r="AF56" i="1"/>
  <c r="R56" i="1"/>
  <c r="CF56" i="1" s="1"/>
  <c r="E56" i="1"/>
  <c r="BX56" i="1" s="1"/>
  <c r="AF55" i="1"/>
  <c r="R55" i="1"/>
  <c r="CF55" i="1" s="1"/>
  <c r="E55" i="1"/>
  <c r="BX55" i="1" s="1"/>
  <c r="AF54" i="1"/>
  <c r="R54" i="1"/>
  <c r="CF54" i="1" s="1"/>
  <c r="E54" i="1"/>
  <c r="BX54" i="1" s="1"/>
  <c r="AF53" i="1"/>
  <c r="R53" i="1"/>
  <c r="CF53" i="1" s="1"/>
  <c r="E53" i="1"/>
  <c r="BX53" i="1" s="1"/>
  <c r="AF52" i="1"/>
  <c r="R52" i="1"/>
  <c r="CF52" i="1" s="1"/>
  <c r="E52" i="1"/>
  <c r="BX52" i="1" s="1"/>
  <c r="AF51" i="1"/>
  <c r="R51" i="1"/>
  <c r="CF51" i="1" s="1"/>
  <c r="E51" i="1"/>
  <c r="BX51" i="1" s="1"/>
  <c r="AF50" i="1"/>
  <c r="R50" i="1"/>
  <c r="CF50" i="1" s="1"/>
  <c r="E50" i="1"/>
  <c r="BX50" i="1" s="1"/>
  <c r="AF49" i="1"/>
  <c r="R49" i="1"/>
  <c r="CF49" i="1" s="1"/>
  <c r="E49" i="1"/>
  <c r="BX49" i="1" s="1"/>
  <c r="AF48" i="1"/>
  <c r="R48" i="1"/>
  <c r="CF48" i="1" s="1"/>
  <c r="E48" i="1"/>
  <c r="BX48" i="1" s="1"/>
  <c r="AF47" i="1"/>
  <c r="R47" i="1"/>
  <c r="CF47" i="1" s="1"/>
  <c r="E47" i="1"/>
  <c r="BX47" i="1" s="1"/>
  <c r="AF46" i="1"/>
  <c r="R46" i="1"/>
  <c r="CF46" i="1" s="1"/>
  <c r="E46" i="1"/>
  <c r="BX46" i="1" s="1"/>
  <c r="AF45" i="1"/>
  <c r="R45" i="1"/>
  <c r="CF45" i="1" s="1"/>
  <c r="E45" i="1"/>
  <c r="BX45" i="1" s="1"/>
  <c r="AF44" i="1"/>
  <c r="R44" i="1"/>
  <c r="CF44" i="1" s="1"/>
  <c r="E44" i="1"/>
  <c r="BX44" i="1" s="1"/>
  <c r="AF43" i="1"/>
  <c r="R43" i="1"/>
  <c r="CF43" i="1" s="1"/>
  <c r="E43" i="1"/>
  <c r="BX43" i="1" s="1"/>
  <c r="AF42" i="1"/>
  <c r="R42" i="1"/>
  <c r="CF42" i="1" s="1"/>
  <c r="E42" i="1"/>
  <c r="BX42" i="1" s="1"/>
  <c r="AF41" i="1"/>
  <c r="R41" i="1"/>
  <c r="CF41" i="1" s="1"/>
  <c r="E41" i="1"/>
  <c r="BX41" i="1" s="1"/>
  <c r="AF40" i="1"/>
  <c r="R40" i="1"/>
  <c r="CF40" i="1" s="1"/>
  <c r="E40" i="1"/>
  <c r="BX40" i="1" s="1"/>
  <c r="AF39" i="1"/>
  <c r="R39" i="1"/>
  <c r="CF39" i="1" s="1"/>
  <c r="E39" i="1"/>
  <c r="BX39" i="1" s="1"/>
  <c r="AF38" i="1"/>
  <c r="R38" i="1"/>
  <c r="CF38" i="1" s="1"/>
  <c r="E38" i="1"/>
  <c r="BX38" i="1" s="1"/>
  <c r="AF37" i="1"/>
  <c r="R37" i="1"/>
  <c r="CF37" i="1" s="1"/>
  <c r="E37" i="1"/>
  <c r="BX37" i="1" s="1"/>
  <c r="AF36" i="1"/>
  <c r="R36" i="1"/>
  <c r="CF36" i="1" s="1"/>
  <c r="E36" i="1"/>
  <c r="BX36" i="1" s="1"/>
  <c r="AF35" i="1"/>
  <c r="R35" i="1"/>
  <c r="CF35" i="1" s="1"/>
  <c r="E35" i="1"/>
  <c r="BX35" i="1" s="1"/>
  <c r="AF34" i="1"/>
  <c r="R34" i="1"/>
  <c r="CF34" i="1" s="1"/>
  <c r="E34" i="1"/>
  <c r="BX34" i="1" s="1"/>
  <c r="AF33" i="1"/>
  <c r="R33" i="1"/>
  <c r="CF33" i="1" s="1"/>
  <c r="E33" i="1"/>
  <c r="BX33" i="1" s="1"/>
  <c r="AF32" i="1"/>
  <c r="R32" i="1"/>
  <c r="CF32" i="1" s="1"/>
  <c r="E32" i="1"/>
  <c r="BX32" i="1" s="1"/>
  <c r="AF31" i="1"/>
  <c r="R31" i="1"/>
  <c r="CF31" i="1" s="1"/>
  <c r="E31" i="1"/>
  <c r="BX31" i="1" s="1"/>
  <c r="AF30" i="1"/>
  <c r="R30" i="1"/>
  <c r="CF30" i="1" s="1"/>
  <c r="E30" i="1"/>
  <c r="BX30" i="1" s="1"/>
  <c r="AF29" i="1"/>
  <c r="R29" i="1"/>
  <c r="CF29" i="1" s="1"/>
  <c r="E29" i="1"/>
  <c r="BX29" i="1" s="1"/>
  <c r="AF28" i="1"/>
  <c r="R28" i="1"/>
  <c r="CF28" i="1" s="1"/>
  <c r="E28" i="1"/>
  <c r="BX28" i="1" s="1"/>
  <c r="AF27" i="1"/>
  <c r="R27" i="1"/>
  <c r="CF27" i="1" s="1"/>
  <c r="E27" i="1"/>
  <c r="BX27" i="1" s="1"/>
  <c r="AF26" i="1"/>
  <c r="R26" i="1"/>
  <c r="CF26" i="1" s="1"/>
  <c r="E26" i="1"/>
  <c r="BX26" i="1" s="1"/>
  <c r="AF25" i="1"/>
  <c r="R25" i="1"/>
  <c r="CF25" i="1" s="1"/>
  <c r="E25" i="1"/>
  <c r="BX25" i="1" s="1"/>
  <c r="AF24" i="1"/>
  <c r="R24" i="1"/>
  <c r="CF24" i="1" s="1"/>
  <c r="E24" i="1"/>
  <c r="BX24" i="1" s="1"/>
  <c r="AF23" i="1"/>
  <c r="R23" i="1"/>
  <c r="CF23" i="1" s="1"/>
  <c r="E23" i="1"/>
  <c r="BX23" i="1" s="1"/>
  <c r="AF22" i="1"/>
  <c r="R22" i="1"/>
  <c r="CF22" i="1" s="1"/>
  <c r="E22" i="1"/>
  <c r="BX22" i="1" s="1"/>
  <c r="AF21" i="1"/>
  <c r="R21" i="1"/>
  <c r="CF21" i="1" s="1"/>
  <c r="E21" i="1"/>
  <c r="BX21" i="1" s="1"/>
  <c r="AF20" i="1"/>
  <c r="R20" i="1"/>
  <c r="CF20" i="1" s="1"/>
  <c r="E20" i="1"/>
  <c r="BX20" i="1" s="1"/>
  <c r="AF19" i="1"/>
  <c r="R19" i="1"/>
  <c r="CF19" i="1" s="1"/>
  <c r="E19" i="1"/>
  <c r="BX19" i="1" s="1"/>
  <c r="AF18" i="1"/>
  <c r="R18" i="1"/>
  <c r="CF18" i="1" s="1"/>
  <c r="E18" i="1"/>
  <c r="BX18" i="1" s="1"/>
  <c r="AF17" i="1"/>
  <c r="R17" i="1"/>
  <c r="CF17" i="1" s="1"/>
  <c r="E17" i="1"/>
  <c r="BX17" i="1" s="1"/>
  <c r="AF16" i="1"/>
  <c r="R16" i="1"/>
  <c r="CF16" i="1" s="1"/>
  <c r="E16" i="1"/>
  <c r="BX16" i="1" s="1"/>
  <c r="AF15" i="1"/>
  <c r="R15" i="1"/>
  <c r="CF15" i="1" s="1"/>
  <c r="E15" i="1"/>
  <c r="BX15" i="1" s="1"/>
  <c r="AF14" i="1"/>
  <c r="R14" i="1"/>
  <c r="CF14" i="1" s="1"/>
  <c r="E14" i="1"/>
  <c r="BX14" i="1" s="1"/>
  <c r="AF13" i="1"/>
  <c r="R13" i="1"/>
  <c r="CF13" i="1" s="1"/>
  <c r="E13" i="1"/>
  <c r="BX13" i="1" s="1"/>
  <c r="AF12" i="1"/>
  <c r="R12" i="1"/>
  <c r="CF12" i="1" s="1"/>
  <c r="E12" i="1"/>
  <c r="BX12" i="1" s="1"/>
  <c r="AF11" i="1"/>
  <c r="R11" i="1"/>
  <c r="CF11" i="1" s="1"/>
  <c r="E11" i="1"/>
  <c r="BX11" i="1" s="1"/>
  <c r="AF10" i="1"/>
  <c r="R10" i="1"/>
  <c r="CF10" i="1" s="1"/>
  <c r="E10" i="1"/>
  <c r="BX10" i="1" s="1"/>
  <c r="AF9" i="1"/>
  <c r="R9" i="1"/>
  <c r="CF9" i="1" s="1"/>
  <c r="E9" i="1"/>
  <c r="BX9" i="1" s="1"/>
  <c r="AF8" i="1"/>
  <c r="R8" i="1"/>
  <c r="CF8" i="1" s="1"/>
  <c r="E8" i="1"/>
  <c r="BX8" i="1" s="1"/>
  <c r="AF7" i="1"/>
  <c r="R7" i="1"/>
  <c r="CF7" i="1" s="1"/>
  <c r="E7" i="1"/>
  <c r="BX7" i="1" s="1"/>
  <c r="AF74" i="1"/>
  <c r="R74" i="1"/>
  <c r="E74" i="1"/>
  <c r="BX74" i="1" s="1"/>
  <c r="AF73" i="1"/>
  <c r="R73" i="1"/>
  <c r="E73" i="1"/>
  <c r="BX73" i="1" s="1"/>
  <c r="AF72" i="1"/>
  <c r="R72" i="1"/>
  <c r="E72" i="1"/>
  <c r="BX72" i="1" s="1"/>
  <c r="AF71" i="1"/>
  <c r="R71" i="1"/>
  <c r="E71" i="1"/>
  <c r="BX71" i="1" s="1"/>
  <c r="AF70" i="1"/>
  <c r="R70" i="1"/>
  <c r="CF70" i="1" s="1"/>
  <c r="E70" i="1"/>
  <c r="BX70" i="1" s="1"/>
  <c r="AF69" i="1"/>
  <c r="R69" i="1"/>
  <c r="CF69" i="1" s="1"/>
  <c r="E69" i="1"/>
  <c r="BX69" i="1" s="1"/>
  <c r="AF68" i="1"/>
  <c r="R68" i="1"/>
  <c r="CF68" i="1" s="1"/>
  <c r="E68" i="1"/>
  <c r="BX68" i="1" s="1"/>
  <c r="AF67" i="1"/>
  <c r="R67" i="1"/>
  <c r="CF67" i="1" s="1"/>
  <c r="E67" i="1"/>
  <c r="BX67" i="1" s="1"/>
  <c r="AF66" i="1"/>
  <c r="R66" i="1"/>
  <c r="CF66" i="1" s="1"/>
  <c r="E66" i="1"/>
  <c r="BX66" i="1" s="1"/>
  <c r="AF162" i="1"/>
  <c r="R162" i="1"/>
  <c r="CF162" i="1" s="1"/>
  <c r="E162" i="1"/>
  <c r="BX162" i="1" s="1"/>
  <c r="AF161" i="1"/>
  <c r="R161" i="1"/>
  <c r="CF161" i="1" s="1"/>
  <c r="E161" i="1"/>
  <c r="BX161" i="1" s="1"/>
  <c r="AF160" i="1"/>
  <c r="R160" i="1"/>
  <c r="CF160" i="1" s="1"/>
  <c r="E160" i="1"/>
  <c r="BX160" i="1" s="1"/>
  <c r="AF159" i="1"/>
  <c r="R159" i="1"/>
  <c r="CF159" i="1" s="1"/>
  <c r="E159" i="1"/>
  <c r="BX159" i="1" s="1"/>
  <c r="AF144" i="1"/>
  <c r="R144" i="1"/>
  <c r="CF144" i="1" s="1"/>
  <c r="E144" i="1"/>
  <c r="BX144" i="1" s="1"/>
  <c r="AF143" i="1"/>
  <c r="R143" i="1"/>
  <c r="CF143" i="1" s="1"/>
  <c r="E143" i="1"/>
  <c r="BX143" i="1" s="1"/>
  <c r="AF137" i="1"/>
  <c r="R137" i="1"/>
  <c r="E137" i="1"/>
  <c r="BX137" i="1" s="1"/>
  <c r="AF136" i="1"/>
  <c r="R136" i="1"/>
  <c r="E136" i="1"/>
  <c r="BX136" i="1" s="1"/>
  <c r="AF135" i="1"/>
  <c r="R135" i="1"/>
  <c r="E135" i="1"/>
  <c r="BX135" i="1" s="1"/>
  <c r="AF134" i="1"/>
  <c r="R134" i="1"/>
  <c r="E134" i="1"/>
  <c r="BX134" i="1" s="1"/>
  <c r="AF133" i="1"/>
  <c r="R133" i="1"/>
  <c r="E133" i="1"/>
  <c r="BX133" i="1" s="1"/>
  <c r="AF132" i="1"/>
  <c r="R132" i="1"/>
  <c r="E132" i="1"/>
  <c r="BX132" i="1" s="1"/>
  <c r="AF131" i="1"/>
  <c r="R131" i="1"/>
  <c r="E131" i="1"/>
  <c r="BX131" i="1" s="1"/>
  <c r="AF130" i="1"/>
  <c r="R130" i="1"/>
  <c r="E130" i="1"/>
  <c r="BX130" i="1" s="1"/>
  <c r="AF129" i="1"/>
  <c r="R129" i="1"/>
  <c r="E129" i="1"/>
  <c r="BX129" i="1" s="1"/>
  <c r="AF128" i="1"/>
  <c r="R128" i="1"/>
  <c r="E128" i="1"/>
  <c r="BX128" i="1" s="1"/>
  <c r="AF127" i="1"/>
  <c r="R127" i="1"/>
  <c r="E127" i="1"/>
  <c r="BX127" i="1" s="1"/>
  <c r="AF126" i="1"/>
  <c r="R126" i="1"/>
  <c r="E126" i="1"/>
  <c r="BX126" i="1" s="1"/>
  <c r="AF125" i="1"/>
  <c r="R125" i="1"/>
  <c r="E125" i="1"/>
  <c r="BX125" i="1" s="1"/>
  <c r="AF124" i="1"/>
  <c r="R124" i="1"/>
  <c r="E124" i="1"/>
  <c r="BX124" i="1" s="1"/>
  <c r="AF123" i="1"/>
  <c r="R123" i="1"/>
  <c r="E123" i="1"/>
  <c r="BX123" i="1" s="1"/>
  <c r="AF122" i="1"/>
  <c r="R122" i="1"/>
  <c r="E122" i="1"/>
  <c r="BX122" i="1" s="1"/>
  <c r="AF121" i="1"/>
  <c r="R121" i="1"/>
  <c r="E121" i="1"/>
  <c r="BX121" i="1" s="1"/>
  <c r="AF120" i="1"/>
  <c r="R120" i="1"/>
  <c r="E120" i="1"/>
  <c r="BX120" i="1" s="1"/>
  <c r="AF119" i="1"/>
  <c r="R119" i="1"/>
  <c r="E119" i="1"/>
  <c r="BX119" i="1" s="1"/>
  <c r="AF118" i="1"/>
  <c r="R118" i="1"/>
  <c r="E118" i="1"/>
  <c r="BX118" i="1" s="1"/>
  <c r="AF117" i="1"/>
  <c r="R117" i="1"/>
  <c r="E117" i="1"/>
  <c r="BX117" i="1" s="1"/>
  <c r="AF116" i="1"/>
  <c r="R116" i="1"/>
  <c r="E116" i="1"/>
  <c r="BX116" i="1" s="1"/>
  <c r="AF115" i="1"/>
  <c r="R115" i="1"/>
  <c r="E115" i="1"/>
  <c r="BX115" i="1" s="1"/>
  <c r="AF114" i="1"/>
  <c r="R114" i="1"/>
  <c r="E114" i="1"/>
  <c r="BX114" i="1" s="1"/>
  <c r="AF113" i="1"/>
  <c r="R113" i="1"/>
  <c r="E113" i="1"/>
  <c r="BX113" i="1" s="1"/>
  <c r="AF112" i="1"/>
  <c r="R112" i="1"/>
  <c r="E112" i="1"/>
  <c r="BX112" i="1" s="1"/>
  <c r="AF111" i="1"/>
  <c r="R111" i="1"/>
  <c r="E111" i="1"/>
  <c r="BX111" i="1" s="1"/>
  <c r="AF110" i="1"/>
  <c r="R110" i="1"/>
  <c r="E110" i="1"/>
  <c r="BX110" i="1" s="1"/>
  <c r="AF109" i="1"/>
  <c r="R109" i="1"/>
  <c r="E109" i="1"/>
  <c r="BX109" i="1" s="1"/>
  <c r="AF108" i="1"/>
  <c r="R108" i="1"/>
  <c r="E108" i="1"/>
  <c r="BX108" i="1" s="1"/>
  <c r="AF107" i="1"/>
  <c r="R107" i="1"/>
  <c r="E107" i="1"/>
  <c r="BX107" i="1" s="1"/>
  <c r="AF106" i="1"/>
  <c r="R106" i="1"/>
  <c r="E106" i="1"/>
  <c r="BX106" i="1" s="1"/>
  <c r="AF105" i="1"/>
  <c r="R105" i="1"/>
  <c r="E105" i="1"/>
  <c r="BX105" i="1" s="1"/>
  <c r="AF104" i="1"/>
  <c r="R104" i="1"/>
  <c r="E104" i="1"/>
  <c r="BX104" i="1" s="1"/>
  <c r="AF103" i="1"/>
  <c r="R103" i="1"/>
  <c r="E103" i="1"/>
  <c r="BX103" i="1" s="1"/>
  <c r="AF102" i="1"/>
  <c r="R102" i="1"/>
  <c r="E102" i="1"/>
  <c r="BX102" i="1" s="1"/>
  <c r="AF101" i="1"/>
  <c r="R101" i="1"/>
  <c r="E101" i="1"/>
  <c r="BX101" i="1" s="1"/>
  <c r="AF100" i="1"/>
  <c r="R100" i="1"/>
  <c r="E100" i="1"/>
  <c r="BX100" i="1" s="1"/>
  <c r="AF99" i="1"/>
  <c r="R99" i="1"/>
  <c r="E99" i="1"/>
  <c r="BX99" i="1" s="1"/>
  <c r="AF98" i="1"/>
  <c r="R98" i="1"/>
  <c r="E98" i="1"/>
  <c r="BX98" i="1" s="1"/>
  <c r="AF97" i="1"/>
  <c r="R97" i="1"/>
  <c r="E97" i="1"/>
  <c r="BX97" i="1" s="1"/>
  <c r="AF96" i="1"/>
  <c r="R96" i="1"/>
  <c r="E96" i="1"/>
  <c r="BX96" i="1" s="1"/>
  <c r="AF95" i="1"/>
  <c r="R95" i="1"/>
  <c r="E95" i="1"/>
  <c r="BX95" i="1" s="1"/>
  <c r="AF94" i="1"/>
  <c r="R94" i="1"/>
  <c r="E94" i="1"/>
  <c r="BX94" i="1" s="1"/>
  <c r="AF93" i="1"/>
  <c r="R93" i="1"/>
  <c r="E93" i="1"/>
  <c r="BX93" i="1" s="1"/>
  <c r="AF92" i="1"/>
  <c r="R92" i="1"/>
  <c r="E92" i="1"/>
  <c r="BX92" i="1" s="1"/>
  <c r="AF91" i="1"/>
  <c r="R91" i="1"/>
  <c r="E91" i="1"/>
  <c r="BX91" i="1" s="1"/>
  <c r="AF90" i="1"/>
  <c r="R90" i="1"/>
  <c r="E90" i="1"/>
  <c r="BX90" i="1" s="1"/>
  <c r="AF89" i="1"/>
  <c r="R89" i="1"/>
  <c r="E89" i="1"/>
  <c r="BX89" i="1" s="1"/>
  <c r="AF88" i="1"/>
  <c r="R88" i="1"/>
  <c r="E88" i="1"/>
  <c r="BX88" i="1" s="1"/>
  <c r="AF87" i="1"/>
  <c r="R87" i="1"/>
  <c r="E87" i="1"/>
  <c r="BX87" i="1" s="1"/>
  <c r="AF86" i="1"/>
  <c r="R86" i="1"/>
  <c r="E86" i="1"/>
  <c r="BX86" i="1" s="1"/>
  <c r="AF85" i="1"/>
  <c r="R85" i="1"/>
  <c r="E85" i="1"/>
  <c r="BX85" i="1" s="1"/>
  <c r="AF84" i="1"/>
  <c r="R84" i="1"/>
  <c r="E84" i="1"/>
  <c r="BX84" i="1" s="1"/>
  <c r="AF83" i="1"/>
  <c r="R83" i="1"/>
  <c r="E83" i="1"/>
  <c r="BX83" i="1" s="1"/>
  <c r="AF82" i="1"/>
  <c r="R82" i="1"/>
  <c r="E82" i="1"/>
  <c r="BX82" i="1" s="1"/>
  <c r="AF81" i="1"/>
  <c r="R81" i="1"/>
  <c r="E81" i="1"/>
  <c r="BX81" i="1" s="1"/>
  <c r="AF80" i="1"/>
  <c r="R80" i="1"/>
  <c r="E80" i="1"/>
  <c r="BX80" i="1" s="1"/>
  <c r="AF79" i="1"/>
  <c r="R79" i="1"/>
  <c r="E79" i="1"/>
  <c r="BX79" i="1" s="1"/>
  <c r="AF78" i="1"/>
  <c r="R78" i="1"/>
  <c r="E78" i="1"/>
  <c r="BX78" i="1" s="1"/>
  <c r="AF77" i="1"/>
  <c r="R77" i="1"/>
  <c r="E77" i="1"/>
  <c r="BX77" i="1" s="1"/>
  <c r="AF76" i="1"/>
  <c r="R76" i="1"/>
  <c r="E76" i="1"/>
  <c r="BX76" i="1" s="1"/>
  <c r="AF75" i="1"/>
  <c r="R75" i="1"/>
  <c r="E75" i="1"/>
  <c r="BX75" i="1" s="1"/>
  <c r="CN75" i="1" l="1"/>
  <c r="BP75" i="1"/>
  <c r="CZ75" i="1" s="1"/>
  <c r="CF76" i="1"/>
  <c r="CN77" i="1"/>
  <c r="BP77" i="1"/>
  <c r="CZ77" i="1" s="1"/>
  <c r="CF78" i="1"/>
  <c r="CN79" i="1"/>
  <c r="BP79" i="1"/>
  <c r="CZ79" i="1" s="1"/>
  <c r="CF80" i="1"/>
  <c r="CN81" i="1"/>
  <c r="BP81" i="1"/>
  <c r="CZ81" i="1" s="1"/>
  <c r="CF82" i="1"/>
  <c r="CN83" i="1"/>
  <c r="BP83" i="1"/>
  <c r="CZ83" i="1" s="1"/>
  <c r="CF84" i="1"/>
  <c r="CN85" i="1"/>
  <c r="BP85" i="1"/>
  <c r="CZ85" i="1" s="1"/>
  <c r="CF86" i="1"/>
  <c r="CN87" i="1"/>
  <c r="BP87" i="1"/>
  <c r="CZ87" i="1" s="1"/>
  <c r="CF88" i="1"/>
  <c r="CN89" i="1"/>
  <c r="BP89" i="1"/>
  <c r="CZ89" i="1" s="1"/>
  <c r="CF90" i="1"/>
  <c r="CN91" i="1"/>
  <c r="BP91" i="1"/>
  <c r="CZ91" i="1" s="1"/>
  <c r="CF92" i="1"/>
  <c r="CN93" i="1"/>
  <c r="BP93" i="1"/>
  <c r="CZ93" i="1" s="1"/>
  <c r="CF94" i="1"/>
  <c r="CN95" i="1"/>
  <c r="BP95" i="1"/>
  <c r="CZ95" i="1" s="1"/>
  <c r="CF96" i="1"/>
  <c r="CN97" i="1"/>
  <c r="BP97" i="1"/>
  <c r="CZ97" i="1" s="1"/>
  <c r="CF98" i="1"/>
  <c r="CN99" i="1"/>
  <c r="BP99" i="1"/>
  <c r="CZ99" i="1" s="1"/>
  <c r="CF100" i="1"/>
  <c r="CN101" i="1"/>
  <c r="BP101" i="1"/>
  <c r="CZ101" i="1" s="1"/>
  <c r="CF102" i="1"/>
  <c r="CN103" i="1"/>
  <c r="BP103" i="1"/>
  <c r="CZ103" i="1" s="1"/>
  <c r="CF104" i="1"/>
  <c r="CN105" i="1"/>
  <c r="BP105" i="1"/>
  <c r="CZ105" i="1" s="1"/>
  <c r="CF106" i="1"/>
  <c r="CN107" i="1"/>
  <c r="BP107" i="1"/>
  <c r="CZ107" i="1" s="1"/>
  <c r="CF108" i="1"/>
  <c r="CN109" i="1"/>
  <c r="BP109" i="1"/>
  <c r="CZ109" i="1" s="1"/>
  <c r="CF110" i="1"/>
  <c r="CN111" i="1"/>
  <c r="BP111" i="1"/>
  <c r="CZ111" i="1" s="1"/>
  <c r="CF112" i="1"/>
  <c r="CN113" i="1"/>
  <c r="BP113" i="1"/>
  <c r="CZ113" i="1" s="1"/>
  <c r="CF114" i="1"/>
  <c r="CN115" i="1"/>
  <c r="BP115" i="1"/>
  <c r="CZ115" i="1" s="1"/>
  <c r="CF116" i="1"/>
  <c r="CN117" i="1"/>
  <c r="BP117" i="1"/>
  <c r="CZ117" i="1" s="1"/>
  <c r="CF118" i="1"/>
  <c r="CN119" i="1"/>
  <c r="BP119" i="1"/>
  <c r="CZ119" i="1" s="1"/>
  <c r="CF120" i="1"/>
  <c r="CN121" i="1"/>
  <c r="BP121" i="1"/>
  <c r="CZ121" i="1" s="1"/>
  <c r="CF122" i="1"/>
  <c r="CN123" i="1"/>
  <c r="BP123" i="1"/>
  <c r="CZ123" i="1" s="1"/>
  <c r="CF124" i="1"/>
  <c r="CN125" i="1"/>
  <c r="BP125" i="1"/>
  <c r="CZ125" i="1" s="1"/>
  <c r="CF126" i="1"/>
  <c r="CN127" i="1"/>
  <c r="BP127" i="1"/>
  <c r="CZ127" i="1" s="1"/>
  <c r="CF128" i="1"/>
  <c r="CN129" i="1"/>
  <c r="BP129" i="1"/>
  <c r="CZ129" i="1" s="1"/>
  <c r="CF130" i="1"/>
  <c r="CN131" i="1"/>
  <c r="BP131" i="1"/>
  <c r="CZ131" i="1" s="1"/>
  <c r="CF132" i="1"/>
  <c r="CN133" i="1"/>
  <c r="BP133" i="1"/>
  <c r="CZ133" i="1" s="1"/>
  <c r="CF134" i="1"/>
  <c r="CN135" i="1"/>
  <c r="BP135" i="1"/>
  <c r="CZ135" i="1" s="1"/>
  <c r="CF136" i="1"/>
  <c r="CN137" i="1"/>
  <c r="BP137" i="1"/>
  <c r="CZ137" i="1" s="1"/>
  <c r="CN144" i="1"/>
  <c r="BP144" i="1"/>
  <c r="CN160" i="1"/>
  <c r="BP160" i="1"/>
  <c r="CN162" i="1"/>
  <c r="BP162" i="1"/>
  <c r="CN67" i="1"/>
  <c r="BP67" i="1"/>
  <c r="CN69" i="1"/>
  <c r="BP69" i="1"/>
  <c r="CN71" i="1"/>
  <c r="BP71" i="1"/>
  <c r="CZ71" i="1" s="1"/>
  <c r="CF72" i="1"/>
  <c r="CN73" i="1"/>
  <c r="BP73" i="1"/>
  <c r="CZ73" i="1" s="1"/>
  <c r="CF74" i="1"/>
  <c r="CN7" i="1"/>
  <c r="BP7" i="1"/>
  <c r="CN9" i="1"/>
  <c r="BP9" i="1"/>
  <c r="CN11" i="1"/>
  <c r="BP11" i="1"/>
  <c r="CN13" i="1"/>
  <c r="BP13" i="1"/>
  <c r="CN15" i="1"/>
  <c r="BP15" i="1"/>
  <c r="CN17" i="1"/>
  <c r="BP17" i="1"/>
  <c r="CN19" i="1"/>
  <c r="BP19" i="1"/>
  <c r="CN21" i="1"/>
  <c r="BP21" i="1"/>
  <c r="CN23" i="1"/>
  <c r="BP23" i="1"/>
  <c r="CN25" i="1"/>
  <c r="BP25" i="1"/>
  <c r="CN27" i="1"/>
  <c r="BP27" i="1"/>
  <c r="CN29" i="1"/>
  <c r="BP29" i="1"/>
  <c r="CN31" i="1"/>
  <c r="BP31" i="1"/>
  <c r="CN33" i="1"/>
  <c r="BP33" i="1"/>
  <c r="CN35" i="1"/>
  <c r="BP35" i="1"/>
  <c r="CN37" i="1"/>
  <c r="BP37" i="1"/>
  <c r="CN39" i="1"/>
  <c r="BP39" i="1"/>
  <c r="CN41" i="1"/>
  <c r="BP41" i="1"/>
  <c r="CN43" i="1"/>
  <c r="BP43" i="1"/>
  <c r="CN45" i="1"/>
  <c r="BP45" i="1"/>
  <c r="CN47" i="1"/>
  <c r="BP47" i="1"/>
  <c r="CN49" i="1"/>
  <c r="BP49" i="1"/>
  <c r="CN51" i="1"/>
  <c r="BP51" i="1"/>
  <c r="CN53" i="1"/>
  <c r="BP53" i="1"/>
  <c r="CN55" i="1"/>
  <c r="BP55" i="1"/>
  <c r="CN57" i="1"/>
  <c r="BP57" i="1"/>
  <c r="CN59" i="1"/>
  <c r="BP59" i="1"/>
  <c r="CN61" i="1"/>
  <c r="BP61" i="1"/>
  <c r="CN63" i="1"/>
  <c r="BP63" i="1"/>
  <c r="CN65" i="1"/>
  <c r="BP65" i="1"/>
  <c r="BP319" i="1"/>
  <c r="CN319" i="1"/>
  <c r="CN321" i="1"/>
  <c r="BP321" i="1"/>
  <c r="CN323" i="1"/>
  <c r="BP323" i="1"/>
  <c r="BQ75" i="1"/>
  <c r="DA75" i="1" s="1"/>
  <c r="CF75" i="1"/>
  <c r="CN76" i="1"/>
  <c r="BP76" i="1"/>
  <c r="CZ76" i="1" s="1"/>
  <c r="BQ77" i="1"/>
  <c r="DA77" i="1" s="1"/>
  <c r="CF77" i="1"/>
  <c r="CN78" i="1"/>
  <c r="BP78" i="1"/>
  <c r="CZ78" i="1" s="1"/>
  <c r="BQ79" i="1"/>
  <c r="DA79" i="1" s="1"/>
  <c r="CF79" i="1"/>
  <c r="CN80" i="1"/>
  <c r="BP80" i="1"/>
  <c r="CZ80" i="1" s="1"/>
  <c r="BQ81" i="1"/>
  <c r="DA81" i="1" s="1"/>
  <c r="CF81" i="1"/>
  <c r="CN82" i="1"/>
  <c r="BP82" i="1"/>
  <c r="CZ82" i="1" s="1"/>
  <c r="BQ83" i="1"/>
  <c r="DA83" i="1" s="1"/>
  <c r="CF83" i="1"/>
  <c r="CN84" i="1"/>
  <c r="BP84" i="1"/>
  <c r="CZ84" i="1" s="1"/>
  <c r="BQ85" i="1"/>
  <c r="DA85" i="1" s="1"/>
  <c r="CF85" i="1"/>
  <c r="CN86" i="1"/>
  <c r="BP86" i="1"/>
  <c r="CZ86" i="1" s="1"/>
  <c r="BQ87" i="1"/>
  <c r="DA87" i="1" s="1"/>
  <c r="CF87" i="1"/>
  <c r="CN88" i="1"/>
  <c r="BP88" i="1"/>
  <c r="CZ88" i="1" s="1"/>
  <c r="BQ89" i="1"/>
  <c r="DA89" i="1" s="1"/>
  <c r="CF89" i="1"/>
  <c r="CN90" i="1"/>
  <c r="BP90" i="1"/>
  <c r="CZ90" i="1" s="1"/>
  <c r="BQ91" i="1"/>
  <c r="DA91" i="1" s="1"/>
  <c r="CF91" i="1"/>
  <c r="CN92" i="1"/>
  <c r="BP92" i="1"/>
  <c r="CZ92" i="1" s="1"/>
  <c r="BQ93" i="1"/>
  <c r="DA93" i="1" s="1"/>
  <c r="CF93" i="1"/>
  <c r="CN94" i="1"/>
  <c r="BP94" i="1"/>
  <c r="CZ94" i="1" s="1"/>
  <c r="BQ95" i="1"/>
  <c r="DA95" i="1" s="1"/>
  <c r="CF95" i="1"/>
  <c r="CN96" i="1"/>
  <c r="BP96" i="1"/>
  <c r="CZ96" i="1" s="1"/>
  <c r="BQ97" i="1"/>
  <c r="DA97" i="1" s="1"/>
  <c r="CF97" i="1"/>
  <c r="CN98" i="1"/>
  <c r="BP98" i="1"/>
  <c r="BQ99" i="1"/>
  <c r="DA99" i="1" s="1"/>
  <c r="CF99" i="1"/>
  <c r="CN100" i="1"/>
  <c r="BP100" i="1"/>
  <c r="CZ100" i="1" s="1"/>
  <c r="BQ101" i="1"/>
  <c r="DA101" i="1" s="1"/>
  <c r="CF101" i="1"/>
  <c r="CN102" i="1"/>
  <c r="BP102" i="1"/>
  <c r="CZ102" i="1" s="1"/>
  <c r="BQ103" i="1"/>
  <c r="DA103" i="1" s="1"/>
  <c r="CF103" i="1"/>
  <c r="CN104" i="1"/>
  <c r="BP104" i="1"/>
  <c r="CZ104" i="1" s="1"/>
  <c r="BQ105" i="1"/>
  <c r="DA105" i="1" s="1"/>
  <c r="CF105" i="1"/>
  <c r="CN106" i="1"/>
  <c r="BP106" i="1"/>
  <c r="CZ106" i="1" s="1"/>
  <c r="BQ107" i="1"/>
  <c r="DA107" i="1" s="1"/>
  <c r="CF107" i="1"/>
  <c r="CN108" i="1"/>
  <c r="BP108" i="1"/>
  <c r="CZ108" i="1" s="1"/>
  <c r="BQ109" i="1"/>
  <c r="DA109" i="1" s="1"/>
  <c r="CF109" i="1"/>
  <c r="CN110" i="1"/>
  <c r="BP110" i="1"/>
  <c r="CZ110" i="1" s="1"/>
  <c r="BQ111" i="1"/>
  <c r="DA111" i="1" s="1"/>
  <c r="CF111" i="1"/>
  <c r="CN112" i="1"/>
  <c r="BP112" i="1"/>
  <c r="CZ112" i="1" s="1"/>
  <c r="BQ113" i="1"/>
  <c r="DA113" i="1" s="1"/>
  <c r="CF113" i="1"/>
  <c r="CN114" i="1"/>
  <c r="BP114" i="1"/>
  <c r="CZ114" i="1" s="1"/>
  <c r="BQ115" i="1"/>
  <c r="DA115" i="1" s="1"/>
  <c r="CF115" i="1"/>
  <c r="CN116" i="1"/>
  <c r="BP116" i="1"/>
  <c r="CZ116" i="1" s="1"/>
  <c r="BQ117" i="1"/>
  <c r="DA117" i="1" s="1"/>
  <c r="CF117" i="1"/>
  <c r="CN118" i="1"/>
  <c r="BP118" i="1"/>
  <c r="CZ118" i="1" s="1"/>
  <c r="BQ119" i="1"/>
  <c r="DA119" i="1" s="1"/>
  <c r="CF119" i="1"/>
  <c r="CN120" i="1"/>
  <c r="BP120" i="1"/>
  <c r="CZ120" i="1" s="1"/>
  <c r="BQ121" i="1"/>
  <c r="DA121" i="1" s="1"/>
  <c r="CF121" i="1"/>
  <c r="CN122" i="1"/>
  <c r="BP122" i="1"/>
  <c r="CZ122" i="1" s="1"/>
  <c r="BQ123" i="1"/>
  <c r="DA123" i="1" s="1"/>
  <c r="CF123" i="1"/>
  <c r="CN124" i="1"/>
  <c r="BP124" i="1"/>
  <c r="CZ124" i="1" s="1"/>
  <c r="CF125" i="1"/>
  <c r="BQ125" i="1"/>
  <c r="DA125" i="1" s="1"/>
  <c r="CN126" i="1"/>
  <c r="BP126" i="1"/>
  <c r="CZ126" i="1" s="1"/>
  <c r="CF127" i="1"/>
  <c r="CN128" i="1"/>
  <c r="BP128" i="1"/>
  <c r="CF129" i="1"/>
  <c r="BQ129" i="1"/>
  <c r="DA129" i="1" s="1"/>
  <c r="CN130" i="1"/>
  <c r="BP130" i="1"/>
  <c r="CZ130" i="1" s="1"/>
  <c r="CF131" i="1"/>
  <c r="CN132" i="1"/>
  <c r="BP132" i="1"/>
  <c r="CZ132" i="1" s="1"/>
  <c r="CF133" i="1"/>
  <c r="BQ133" i="1"/>
  <c r="DA133" i="1" s="1"/>
  <c r="CN134" i="1"/>
  <c r="BP134" i="1"/>
  <c r="CZ134" i="1" s="1"/>
  <c r="CF135" i="1"/>
  <c r="CN136" i="1"/>
  <c r="BP136" i="1"/>
  <c r="CZ136" i="1" s="1"/>
  <c r="CF137" i="1"/>
  <c r="BQ137" i="1"/>
  <c r="DA137" i="1" s="1"/>
  <c r="CN143" i="1"/>
  <c r="BP143" i="1"/>
  <c r="CN159" i="1"/>
  <c r="BP159" i="1"/>
  <c r="CN161" i="1"/>
  <c r="BP161" i="1"/>
  <c r="CN66" i="1"/>
  <c r="BP66" i="1"/>
  <c r="CN68" i="1"/>
  <c r="BP68" i="1"/>
  <c r="CN70" i="1"/>
  <c r="BP70" i="1"/>
  <c r="BQ71" i="1"/>
  <c r="DA71" i="1" s="1"/>
  <c r="CF71" i="1"/>
  <c r="CN72" i="1"/>
  <c r="BP72" i="1"/>
  <c r="CZ72" i="1" s="1"/>
  <c r="CF73" i="1"/>
  <c r="CN74" i="1"/>
  <c r="BP74" i="1"/>
  <c r="CZ74" i="1" s="1"/>
  <c r="CN8" i="1"/>
  <c r="BP8" i="1"/>
  <c r="CN10" i="1"/>
  <c r="BP10" i="1"/>
  <c r="CN12" i="1"/>
  <c r="BP12" i="1"/>
  <c r="CN14" i="1"/>
  <c r="BP14" i="1"/>
  <c r="CN16" i="1"/>
  <c r="BP16" i="1"/>
  <c r="CN18" i="1"/>
  <c r="BP18" i="1"/>
  <c r="CN20" i="1"/>
  <c r="BP20" i="1"/>
  <c r="CN22" i="1"/>
  <c r="BP22" i="1"/>
  <c r="CN24" i="1"/>
  <c r="BP24" i="1"/>
  <c r="CN26" i="1"/>
  <c r="BP26" i="1"/>
  <c r="CN28" i="1"/>
  <c r="BP28" i="1"/>
  <c r="CN30" i="1"/>
  <c r="BP30" i="1"/>
  <c r="CN32" i="1"/>
  <c r="BP32" i="1"/>
  <c r="CN34" i="1"/>
  <c r="BP34" i="1"/>
  <c r="CN36" i="1"/>
  <c r="BP36" i="1"/>
  <c r="CN38" i="1"/>
  <c r="BP38" i="1"/>
  <c r="CN40" i="1"/>
  <c r="BP40" i="1"/>
  <c r="CN42" i="1"/>
  <c r="BP42" i="1"/>
  <c r="CN44" i="1"/>
  <c r="BP44" i="1"/>
  <c r="CN46" i="1"/>
  <c r="BP46" i="1"/>
  <c r="CN48" i="1"/>
  <c r="BP48" i="1"/>
  <c r="CN50" i="1"/>
  <c r="BP50" i="1"/>
  <c r="CN52" i="1"/>
  <c r="BP52" i="1"/>
  <c r="CN54" i="1"/>
  <c r="BP54" i="1"/>
  <c r="CN56" i="1"/>
  <c r="BP56" i="1"/>
  <c r="CN58" i="1"/>
  <c r="BP58" i="1"/>
  <c r="CN60" i="1"/>
  <c r="BP60" i="1"/>
  <c r="CN62" i="1"/>
  <c r="BP62" i="1"/>
  <c r="CN64" i="1"/>
  <c r="BP64" i="1"/>
  <c r="CN318" i="1"/>
  <c r="BP318" i="1"/>
  <c r="CN320" i="1"/>
  <c r="BP320" i="1"/>
  <c r="CN322" i="1"/>
  <c r="BP322" i="1"/>
  <c r="CN324" i="1"/>
  <c r="BP324" i="1"/>
  <c r="E372" i="26"/>
  <c r="D372" i="26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62" i="26"/>
  <c r="D162" i="26"/>
  <c r="E161" i="26"/>
  <c r="D161" i="26"/>
  <c r="E160" i="26"/>
  <c r="D160" i="26"/>
  <c r="E159" i="26"/>
  <c r="D159" i="26"/>
  <c r="E144" i="26"/>
  <c r="D144" i="26"/>
  <c r="E143" i="26"/>
  <c r="D143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N10" i="26"/>
  <c r="M10" i="26"/>
  <c r="L10" i="26"/>
  <c r="N9" i="26"/>
  <c r="M9" i="26"/>
  <c r="L9" i="26"/>
  <c r="N8" i="26"/>
  <c r="M8" i="26"/>
  <c r="L8" i="26"/>
  <c r="N7" i="26"/>
  <c r="P7" i="26" s="1"/>
  <c r="M7" i="26"/>
  <c r="O7" i="26" s="1"/>
  <c r="L7" i="26"/>
  <c r="BQ73" i="1" l="1"/>
  <c r="DA73" i="1" s="1"/>
  <c r="BP377" i="1"/>
  <c r="BQ135" i="1"/>
  <c r="DA135" i="1" s="1"/>
  <c r="BQ131" i="1"/>
  <c r="DA131" i="1" s="1"/>
  <c r="CZ128" i="1"/>
  <c r="BQ127" i="1"/>
  <c r="DA127" i="1" s="1"/>
  <c r="CZ98" i="1"/>
  <c r="BP379" i="1"/>
  <c r="BP376" i="1"/>
  <c r="BP378" i="1"/>
  <c r="BQ324" i="1"/>
  <c r="DA324" i="1" s="1"/>
  <c r="CZ324" i="1"/>
  <c r="BQ322" i="1"/>
  <c r="DA322" i="1" s="1"/>
  <c r="CZ322" i="1"/>
  <c r="BQ320" i="1"/>
  <c r="DA320" i="1" s="1"/>
  <c r="CZ320" i="1"/>
  <c r="BQ318" i="1"/>
  <c r="DA318" i="1" s="1"/>
  <c r="CZ318" i="1"/>
  <c r="BQ64" i="1"/>
  <c r="DA64" i="1" s="1"/>
  <c r="CZ64" i="1"/>
  <c r="BQ62" i="1"/>
  <c r="DA62" i="1" s="1"/>
  <c r="CZ62" i="1"/>
  <c r="BQ60" i="1"/>
  <c r="DA60" i="1" s="1"/>
  <c r="CZ60" i="1"/>
  <c r="BQ58" i="1"/>
  <c r="DA58" i="1" s="1"/>
  <c r="CZ58" i="1"/>
  <c r="BQ56" i="1"/>
  <c r="DA56" i="1" s="1"/>
  <c r="CZ56" i="1"/>
  <c r="BQ54" i="1"/>
  <c r="DA54" i="1" s="1"/>
  <c r="CZ54" i="1"/>
  <c r="BQ52" i="1"/>
  <c r="DA52" i="1" s="1"/>
  <c r="CZ52" i="1"/>
  <c r="BQ50" i="1"/>
  <c r="DA50" i="1" s="1"/>
  <c r="CZ50" i="1"/>
  <c r="BQ48" i="1"/>
  <c r="DA48" i="1" s="1"/>
  <c r="CZ48" i="1"/>
  <c r="BQ46" i="1"/>
  <c r="DA46" i="1" s="1"/>
  <c r="CZ46" i="1"/>
  <c r="BQ44" i="1"/>
  <c r="DA44" i="1" s="1"/>
  <c r="CZ44" i="1"/>
  <c r="BQ42" i="1"/>
  <c r="DA42" i="1" s="1"/>
  <c r="CZ42" i="1"/>
  <c r="BQ40" i="1"/>
  <c r="DA40" i="1" s="1"/>
  <c r="CZ40" i="1"/>
  <c r="BQ38" i="1"/>
  <c r="DA38" i="1" s="1"/>
  <c r="CZ38" i="1"/>
  <c r="BQ36" i="1"/>
  <c r="DA36" i="1" s="1"/>
  <c r="CZ36" i="1"/>
  <c r="BQ34" i="1"/>
  <c r="DA34" i="1" s="1"/>
  <c r="CZ34" i="1"/>
  <c r="BQ32" i="1"/>
  <c r="DA32" i="1" s="1"/>
  <c r="CZ32" i="1"/>
  <c r="BQ30" i="1"/>
  <c r="DA30" i="1" s="1"/>
  <c r="CZ30" i="1"/>
  <c r="BQ28" i="1"/>
  <c r="DA28" i="1" s="1"/>
  <c r="CZ28" i="1"/>
  <c r="BQ26" i="1"/>
  <c r="DA26" i="1" s="1"/>
  <c r="CZ26" i="1"/>
  <c r="BQ24" i="1"/>
  <c r="DA24" i="1" s="1"/>
  <c r="CZ24" i="1"/>
  <c r="BQ22" i="1"/>
  <c r="DA22" i="1" s="1"/>
  <c r="CZ22" i="1"/>
  <c r="BQ20" i="1"/>
  <c r="DA20" i="1" s="1"/>
  <c r="CZ20" i="1"/>
  <c r="BQ18" i="1"/>
  <c r="DA18" i="1" s="1"/>
  <c r="CZ18" i="1"/>
  <c r="BQ16" i="1"/>
  <c r="DA16" i="1" s="1"/>
  <c r="CZ16" i="1"/>
  <c r="BQ14" i="1"/>
  <c r="DA14" i="1" s="1"/>
  <c r="CZ14" i="1"/>
  <c r="BQ12" i="1"/>
  <c r="DA12" i="1" s="1"/>
  <c r="CZ12" i="1"/>
  <c r="BQ10" i="1"/>
  <c r="DA10" i="1" s="1"/>
  <c r="CZ10" i="1"/>
  <c r="BQ8" i="1"/>
  <c r="DA8" i="1" s="1"/>
  <c r="CZ8" i="1"/>
  <c r="BQ70" i="1"/>
  <c r="DA70" i="1" s="1"/>
  <c r="CZ70" i="1"/>
  <c r="BQ68" i="1"/>
  <c r="DA68" i="1" s="1"/>
  <c r="CZ68" i="1"/>
  <c r="BQ66" i="1"/>
  <c r="DA66" i="1" s="1"/>
  <c r="CZ66" i="1"/>
  <c r="BQ161" i="1"/>
  <c r="DA161" i="1" s="1"/>
  <c r="CZ161" i="1"/>
  <c r="BQ159" i="1"/>
  <c r="DA159" i="1" s="1"/>
  <c r="CZ159" i="1"/>
  <c r="BQ143" i="1"/>
  <c r="DA143" i="1" s="1"/>
  <c r="CZ143" i="1"/>
  <c r="BQ323" i="1"/>
  <c r="DA323" i="1" s="1"/>
  <c r="CZ323" i="1"/>
  <c r="BQ321" i="1"/>
  <c r="DA321" i="1" s="1"/>
  <c r="CZ321" i="1"/>
  <c r="BQ65" i="1"/>
  <c r="DA65" i="1" s="1"/>
  <c r="CZ65" i="1"/>
  <c r="BQ63" i="1"/>
  <c r="DA63" i="1" s="1"/>
  <c r="CZ63" i="1"/>
  <c r="BQ61" i="1"/>
  <c r="DA61" i="1" s="1"/>
  <c r="CZ61" i="1"/>
  <c r="BQ59" i="1"/>
  <c r="DA59" i="1" s="1"/>
  <c r="CZ59" i="1"/>
  <c r="BQ57" i="1"/>
  <c r="DA57" i="1" s="1"/>
  <c r="CZ57" i="1"/>
  <c r="BQ55" i="1"/>
  <c r="DA55" i="1" s="1"/>
  <c r="CZ55" i="1"/>
  <c r="BQ53" i="1"/>
  <c r="DA53" i="1" s="1"/>
  <c r="CZ53" i="1"/>
  <c r="BQ51" i="1"/>
  <c r="DA51" i="1" s="1"/>
  <c r="CZ51" i="1"/>
  <c r="BQ49" i="1"/>
  <c r="DA49" i="1" s="1"/>
  <c r="CZ49" i="1"/>
  <c r="BQ47" i="1"/>
  <c r="DA47" i="1" s="1"/>
  <c r="CZ47" i="1"/>
  <c r="BQ45" i="1"/>
  <c r="DA45" i="1" s="1"/>
  <c r="CZ45" i="1"/>
  <c r="BQ43" i="1"/>
  <c r="DA43" i="1" s="1"/>
  <c r="CZ43" i="1"/>
  <c r="BQ41" i="1"/>
  <c r="DA41" i="1" s="1"/>
  <c r="CZ41" i="1"/>
  <c r="BQ39" i="1"/>
  <c r="DA39" i="1" s="1"/>
  <c r="CZ39" i="1"/>
  <c r="BQ37" i="1"/>
  <c r="DA37" i="1" s="1"/>
  <c r="CZ37" i="1"/>
  <c r="BQ35" i="1"/>
  <c r="DA35" i="1" s="1"/>
  <c r="CZ35" i="1"/>
  <c r="BQ33" i="1"/>
  <c r="DA33" i="1" s="1"/>
  <c r="CZ33" i="1"/>
  <c r="BQ31" i="1"/>
  <c r="DA31" i="1" s="1"/>
  <c r="CZ31" i="1"/>
  <c r="BQ29" i="1"/>
  <c r="DA29" i="1" s="1"/>
  <c r="CZ29" i="1"/>
  <c r="BQ27" i="1"/>
  <c r="DA27" i="1" s="1"/>
  <c r="CZ27" i="1"/>
  <c r="BQ25" i="1"/>
  <c r="DA25" i="1" s="1"/>
  <c r="CZ25" i="1"/>
  <c r="BQ23" i="1"/>
  <c r="DA23" i="1" s="1"/>
  <c r="CZ23" i="1"/>
  <c r="BQ21" i="1"/>
  <c r="DA21" i="1" s="1"/>
  <c r="CZ21" i="1"/>
  <c r="BQ19" i="1"/>
  <c r="DA19" i="1" s="1"/>
  <c r="CZ19" i="1"/>
  <c r="BQ17" i="1"/>
  <c r="DA17" i="1" s="1"/>
  <c r="CZ17" i="1"/>
  <c r="BQ15" i="1"/>
  <c r="DA15" i="1" s="1"/>
  <c r="CZ15" i="1"/>
  <c r="BQ13" i="1"/>
  <c r="DA13" i="1" s="1"/>
  <c r="CZ13" i="1"/>
  <c r="BQ11" i="1"/>
  <c r="DA11" i="1" s="1"/>
  <c r="CZ11" i="1"/>
  <c r="BQ9" i="1"/>
  <c r="DA9" i="1" s="1"/>
  <c r="CZ9" i="1"/>
  <c r="BQ7" i="1"/>
  <c r="DA7" i="1" s="1"/>
  <c r="CZ7" i="1"/>
  <c r="BQ74" i="1"/>
  <c r="DA74" i="1" s="1"/>
  <c r="BQ69" i="1"/>
  <c r="DA69" i="1" s="1"/>
  <c r="CZ69" i="1"/>
  <c r="BQ67" i="1"/>
  <c r="DA67" i="1" s="1"/>
  <c r="CZ67" i="1"/>
  <c r="BQ162" i="1"/>
  <c r="DA162" i="1" s="1"/>
  <c r="CZ162" i="1"/>
  <c r="BQ160" i="1"/>
  <c r="DA160" i="1" s="1"/>
  <c r="CZ160" i="1"/>
  <c r="BQ144" i="1"/>
  <c r="DA144" i="1" s="1"/>
  <c r="CZ144" i="1"/>
  <c r="BQ136" i="1"/>
  <c r="DA136" i="1" s="1"/>
  <c r="BQ134" i="1"/>
  <c r="DA134" i="1" s="1"/>
  <c r="BQ132" i="1"/>
  <c r="DA132" i="1" s="1"/>
  <c r="BQ130" i="1"/>
  <c r="DA130" i="1" s="1"/>
  <c r="BQ126" i="1"/>
  <c r="DA126" i="1" s="1"/>
  <c r="BQ122" i="1"/>
  <c r="DA122" i="1" s="1"/>
  <c r="BQ118" i="1"/>
  <c r="DA118" i="1" s="1"/>
  <c r="BQ114" i="1"/>
  <c r="DA114" i="1" s="1"/>
  <c r="BQ110" i="1"/>
  <c r="DA110" i="1" s="1"/>
  <c r="BQ106" i="1"/>
  <c r="DA106" i="1" s="1"/>
  <c r="BQ102" i="1"/>
  <c r="DA102" i="1" s="1"/>
  <c r="BQ98" i="1"/>
  <c r="DA98" i="1" s="1"/>
  <c r="BQ94" i="1"/>
  <c r="DA94" i="1" s="1"/>
  <c r="BQ90" i="1"/>
  <c r="DA90" i="1" s="1"/>
  <c r="BQ86" i="1"/>
  <c r="DA86" i="1" s="1"/>
  <c r="BQ82" i="1"/>
  <c r="DA82" i="1" s="1"/>
  <c r="BQ78" i="1"/>
  <c r="DA78" i="1" s="1"/>
  <c r="BQ319" i="1"/>
  <c r="DA319" i="1" s="1"/>
  <c r="CZ319" i="1"/>
  <c r="BQ72" i="1"/>
  <c r="DA72" i="1" s="1"/>
  <c r="BQ128" i="1"/>
  <c r="DA128" i="1" s="1"/>
  <c r="BQ124" i="1"/>
  <c r="DA124" i="1" s="1"/>
  <c r="BQ120" i="1"/>
  <c r="DA120" i="1" s="1"/>
  <c r="BQ116" i="1"/>
  <c r="DA116" i="1" s="1"/>
  <c r="BQ112" i="1"/>
  <c r="DA112" i="1" s="1"/>
  <c r="BQ108" i="1"/>
  <c r="DA108" i="1" s="1"/>
  <c r="BQ104" i="1"/>
  <c r="DA104" i="1" s="1"/>
  <c r="BQ100" i="1"/>
  <c r="DA100" i="1" s="1"/>
  <c r="BQ96" i="1"/>
  <c r="DA96" i="1" s="1"/>
  <c r="BQ92" i="1"/>
  <c r="DA92" i="1" s="1"/>
  <c r="BQ88" i="1"/>
  <c r="DA88" i="1" s="1"/>
  <c r="BQ84" i="1"/>
  <c r="DA84" i="1" s="1"/>
  <c r="BQ80" i="1"/>
  <c r="DA80" i="1" s="1"/>
  <c r="BQ76" i="1"/>
  <c r="DA76" i="1" s="1"/>
  <c r="P8" i="26"/>
  <c r="P9" i="26" s="1"/>
  <c r="P10" i="26" s="1"/>
  <c r="P11" i="26" s="1"/>
  <c r="P12" i="26" s="1"/>
  <c r="P13" i="26" s="1"/>
  <c r="P14" i="26" s="1"/>
  <c r="P15" i="26" s="1"/>
  <c r="P16" i="26" s="1"/>
  <c r="P17" i="26" s="1"/>
  <c r="P18" i="26" s="1"/>
  <c r="O8" i="26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BO317" i="1"/>
  <c r="CU317" i="1" s="1"/>
  <c r="BO316" i="1"/>
  <c r="CU316" i="1" s="1"/>
  <c r="BO315" i="1"/>
  <c r="CU315" i="1" s="1"/>
  <c r="BO314" i="1"/>
  <c r="CU314" i="1" s="1"/>
  <c r="BO313" i="1"/>
  <c r="CU313" i="1" s="1"/>
  <c r="BO312" i="1"/>
  <c r="CU312" i="1" s="1"/>
  <c r="BO311" i="1"/>
  <c r="CU311" i="1" s="1"/>
  <c r="BO310" i="1"/>
  <c r="CU310" i="1" s="1"/>
  <c r="BO309" i="1"/>
  <c r="CU309" i="1" s="1"/>
  <c r="BO308" i="1"/>
  <c r="CU308" i="1" s="1"/>
  <c r="BO307" i="1"/>
  <c r="CU307" i="1" s="1"/>
  <c r="BO306" i="1"/>
  <c r="CU306" i="1" s="1"/>
  <c r="BO305" i="1"/>
  <c r="CU305" i="1" s="1"/>
  <c r="BO304" i="1"/>
  <c r="CU304" i="1" s="1"/>
  <c r="BO303" i="1"/>
  <c r="CU303" i="1" s="1"/>
  <c r="BO302" i="1"/>
  <c r="CU302" i="1" s="1"/>
  <c r="BO301" i="1"/>
  <c r="CU301" i="1" s="1"/>
  <c r="BO300" i="1"/>
  <c r="CU300" i="1" s="1"/>
  <c r="BO299" i="1"/>
  <c r="CU299" i="1" s="1"/>
  <c r="BO298" i="1"/>
  <c r="CU298" i="1" s="1"/>
  <c r="BO297" i="1"/>
  <c r="CU297" i="1" s="1"/>
  <c r="BO296" i="1"/>
  <c r="CU296" i="1" s="1"/>
  <c r="BO295" i="1"/>
  <c r="CU295" i="1" s="1"/>
  <c r="BO294" i="1"/>
  <c r="CU294" i="1" s="1"/>
  <c r="BO293" i="1"/>
  <c r="CU293" i="1" s="1"/>
  <c r="BO292" i="1"/>
  <c r="CU292" i="1" s="1"/>
  <c r="BO291" i="1"/>
  <c r="CU291" i="1" s="1"/>
  <c r="BO290" i="1"/>
  <c r="CU290" i="1" s="1"/>
  <c r="BO289" i="1"/>
  <c r="CU289" i="1" s="1"/>
  <c r="BO288" i="1"/>
  <c r="CU288" i="1" s="1"/>
  <c r="BO287" i="1"/>
  <c r="CU287" i="1" s="1"/>
  <c r="BO286" i="1"/>
  <c r="CU286" i="1" s="1"/>
  <c r="BO285" i="1"/>
  <c r="CU285" i="1" s="1"/>
  <c r="BO284" i="1"/>
  <c r="CU284" i="1" s="1"/>
  <c r="BO283" i="1"/>
  <c r="CU283" i="1" s="1"/>
  <c r="BO282" i="1"/>
  <c r="CU282" i="1" s="1"/>
  <c r="BO281" i="1"/>
  <c r="CU281" i="1" s="1"/>
  <c r="BO280" i="1"/>
  <c r="CU280" i="1" s="1"/>
  <c r="BO279" i="1"/>
  <c r="CU279" i="1" s="1"/>
  <c r="BO278" i="1"/>
  <c r="CU278" i="1" s="1"/>
  <c r="BO277" i="1"/>
  <c r="CU277" i="1" s="1"/>
  <c r="BO276" i="1"/>
  <c r="CU276" i="1" s="1"/>
  <c r="BO275" i="1"/>
  <c r="CU275" i="1" s="1"/>
  <c r="BO274" i="1"/>
  <c r="CU274" i="1" s="1"/>
  <c r="BO273" i="1"/>
  <c r="CU273" i="1" s="1"/>
  <c r="BO272" i="1"/>
  <c r="CU272" i="1" s="1"/>
  <c r="BO271" i="1"/>
  <c r="CU271" i="1" s="1"/>
  <c r="BO270" i="1"/>
  <c r="CU270" i="1" s="1"/>
  <c r="BO269" i="1"/>
  <c r="CU269" i="1" s="1"/>
  <c r="BO268" i="1"/>
  <c r="CU268" i="1" s="1"/>
  <c r="BO267" i="1"/>
  <c r="CU267" i="1" s="1"/>
  <c r="BO266" i="1"/>
  <c r="CU266" i="1" s="1"/>
  <c r="BO265" i="1"/>
  <c r="CU265" i="1" s="1"/>
  <c r="BO264" i="1"/>
  <c r="CU264" i="1" s="1"/>
  <c r="BO263" i="1"/>
  <c r="CU263" i="1" s="1"/>
  <c r="BO262" i="1"/>
  <c r="CU262" i="1" s="1"/>
  <c r="BO261" i="1"/>
  <c r="CU261" i="1" s="1"/>
  <c r="BO260" i="1"/>
  <c r="CU260" i="1" s="1"/>
  <c r="BO259" i="1"/>
  <c r="CU259" i="1" s="1"/>
  <c r="BO258" i="1"/>
  <c r="CU258" i="1" s="1"/>
  <c r="BO257" i="1"/>
  <c r="CU257" i="1" s="1"/>
  <c r="BO256" i="1"/>
  <c r="CU256" i="1" s="1"/>
  <c r="BO255" i="1"/>
  <c r="CU255" i="1" s="1"/>
  <c r="BO254" i="1"/>
  <c r="CU254" i="1" s="1"/>
  <c r="BO253" i="1"/>
  <c r="CU253" i="1" s="1"/>
  <c r="BO252" i="1"/>
  <c r="CU252" i="1" s="1"/>
  <c r="AF317" i="1"/>
  <c r="CN317" i="1" s="1"/>
  <c r="R317" i="1"/>
  <c r="E317" i="1"/>
  <c r="BX317" i="1" s="1"/>
  <c r="AF316" i="1"/>
  <c r="CN316" i="1" s="1"/>
  <c r="R316" i="1"/>
  <c r="E316" i="1"/>
  <c r="BX316" i="1" s="1"/>
  <c r="AF315" i="1"/>
  <c r="CN315" i="1" s="1"/>
  <c r="R315" i="1"/>
  <c r="E315" i="1"/>
  <c r="BX315" i="1" s="1"/>
  <c r="AF314" i="1"/>
  <c r="CN314" i="1" s="1"/>
  <c r="R314" i="1"/>
  <c r="E314" i="1"/>
  <c r="BX314" i="1" s="1"/>
  <c r="AF313" i="1"/>
  <c r="CN313" i="1" s="1"/>
  <c r="R313" i="1"/>
  <c r="E313" i="1"/>
  <c r="BX313" i="1" s="1"/>
  <c r="AF312" i="1"/>
  <c r="CN312" i="1" s="1"/>
  <c r="R312" i="1"/>
  <c r="E312" i="1"/>
  <c r="BX312" i="1" s="1"/>
  <c r="AF311" i="1"/>
  <c r="CN311" i="1" s="1"/>
  <c r="R311" i="1"/>
  <c r="E311" i="1"/>
  <c r="BX311" i="1" s="1"/>
  <c r="AF310" i="1"/>
  <c r="CN310" i="1" s="1"/>
  <c r="R310" i="1"/>
  <c r="E310" i="1"/>
  <c r="BX310" i="1" s="1"/>
  <c r="AF309" i="1"/>
  <c r="CN309" i="1" s="1"/>
  <c r="R309" i="1"/>
  <c r="E309" i="1"/>
  <c r="BX309" i="1" s="1"/>
  <c r="AF308" i="1"/>
  <c r="CN308" i="1" s="1"/>
  <c r="R308" i="1"/>
  <c r="E308" i="1"/>
  <c r="BX308" i="1" s="1"/>
  <c r="AF307" i="1"/>
  <c r="CN307" i="1" s="1"/>
  <c r="R307" i="1"/>
  <c r="E307" i="1"/>
  <c r="BX307" i="1" s="1"/>
  <c r="AF306" i="1"/>
  <c r="CN306" i="1" s="1"/>
  <c r="R306" i="1"/>
  <c r="E306" i="1"/>
  <c r="BX306" i="1" s="1"/>
  <c r="AF305" i="1"/>
  <c r="CN305" i="1" s="1"/>
  <c r="R305" i="1"/>
  <c r="E305" i="1"/>
  <c r="BX305" i="1" s="1"/>
  <c r="AF304" i="1"/>
  <c r="CN304" i="1" s="1"/>
  <c r="R304" i="1"/>
  <c r="E304" i="1"/>
  <c r="BX304" i="1" s="1"/>
  <c r="AF303" i="1"/>
  <c r="CN303" i="1" s="1"/>
  <c r="R303" i="1"/>
  <c r="E303" i="1"/>
  <c r="BX303" i="1" s="1"/>
  <c r="AF302" i="1"/>
  <c r="CN302" i="1" s="1"/>
  <c r="R302" i="1"/>
  <c r="E302" i="1"/>
  <c r="BX302" i="1" s="1"/>
  <c r="AF301" i="1"/>
  <c r="CN301" i="1" s="1"/>
  <c r="R301" i="1"/>
  <c r="E301" i="1"/>
  <c r="BX301" i="1" s="1"/>
  <c r="AF300" i="1"/>
  <c r="CN300" i="1" s="1"/>
  <c r="R300" i="1"/>
  <c r="E300" i="1"/>
  <c r="BX300" i="1" s="1"/>
  <c r="AF299" i="1"/>
  <c r="CN299" i="1" s="1"/>
  <c r="R299" i="1"/>
  <c r="E299" i="1"/>
  <c r="BX299" i="1" s="1"/>
  <c r="AF298" i="1"/>
  <c r="CN298" i="1" s="1"/>
  <c r="R298" i="1"/>
  <c r="E298" i="1"/>
  <c r="BX298" i="1" s="1"/>
  <c r="AF297" i="1"/>
  <c r="CN297" i="1" s="1"/>
  <c r="R297" i="1"/>
  <c r="E297" i="1"/>
  <c r="BX297" i="1" s="1"/>
  <c r="AF296" i="1"/>
  <c r="CN296" i="1" s="1"/>
  <c r="R296" i="1"/>
  <c r="E296" i="1"/>
  <c r="BX296" i="1" s="1"/>
  <c r="AF295" i="1"/>
  <c r="CN295" i="1" s="1"/>
  <c r="R295" i="1"/>
  <c r="E295" i="1"/>
  <c r="BX295" i="1" s="1"/>
  <c r="AF294" i="1"/>
  <c r="CN294" i="1" s="1"/>
  <c r="R294" i="1"/>
  <c r="E294" i="1"/>
  <c r="BX294" i="1" s="1"/>
  <c r="AF293" i="1"/>
  <c r="CN293" i="1" s="1"/>
  <c r="R293" i="1"/>
  <c r="E293" i="1"/>
  <c r="BX293" i="1" s="1"/>
  <c r="AF292" i="1"/>
  <c r="CN292" i="1" s="1"/>
  <c r="R292" i="1"/>
  <c r="E292" i="1"/>
  <c r="BX292" i="1" s="1"/>
  <c r="AF291" i="1"/>
  <c r="CN291" i="1" s="1"/>
  <c r="R291" i="1"/>
  <c r="E291" i="1"/>
  <c r="BX291" i="1" s="1"/>
  <c r="AF290" i="1"/>
  <c r="CN290" i="1" s="1"/>
  <c r="R290" i="1"/>
  <c r="E290" i="1"/>
  <c r="BX290" i="1" s="1"/>
  <c r="AF289" i="1"/>
  <c r="CN289" i="1" s="1"/>
  <c r="R289" i="1"/>
  <c r="E289" i="1"/>
  <c r="BX289" i="1" s="1"/>
  <c r="AF288" i="1"/>
  <c r="CN288" i="1" s="1"/>
  <c r="R288" i="1"/>
  <c r="E288" i="1"/>
  <c r="BX288" i="1" s="1"/>
  <c r="AF287" i="1"/>
  <c r="CN287" i="1" s="1"/>
  <c r="R287" i="1"/>
  <c r="E287" i="1"/>
  <c r="BX287" i="1" s="1"/>
  <c r="AF286" i="1"/>
  <c r="CN286" i="1" s="1"/>
  <c r="R286" i="1"/>
  <c r="E286" i="1"/>
  <c r="BX286" i="1" s="1"/>
  <c r="AF285" i="1"/>
  <c r="CN285" i="1" s="1"/>
  <c r="R285" i="1"/>
  <c r="E285" i="1"/>
  <c r="BX285" i="1" s="1"/>
  <c r="AF284" i="1"/>
  <c r="CN284" i="1" s="1"/>
  <c r="R284" i="1"/>
  <c r="E284" i="1"/>
  <c r="BX284" i="1" s="1"/>
  <c r="AF283" i="1"/>
  <c r="CN283" i="1" s="1"/>
  <c r="R283" i="1"/>
  <c r="E283" i="1"/>
  <c r="BX283" i="1" s="1"/>
  <c r="AF282" i="1"/>
  <c r="CN282" i="1" s="1"/>
  <c r="R282" i="1"/>
  <c r="E282" i="1"/>
  <c r="BX282" i="1" s="1"/>
  <c r="AF281" i="1"/>
  <c r="CN281" i="1" s="1"/>
  <c r="R281" i="1"/>
  <c r="E281" i="1"/>
  <c r="BX281" i="1" s="1"/>
  <c r="AF280" i="1"/>
  <c r="CN280" i="1" s="1"/>
  <c r="R280" i="1"/>
  <c r="E280" i="1"/>
  <c r="BX280" i="1" s="1"/>
  <c r="AF279" i="1"/>
  <c r="CN279" i="1" s="1"/>
  <c r="R279" i="1"/>
  <c r="E279" i="1"/>
  <c r="BX279" i="1" s="1"/>
  <c r="AF278" i="1"/>
  <c r="CN278" i="1" s="1"/>
  <c r="R278" i="1"/>
  <c r="E278" i="1"/>
  <c r="BX278" i="1" s="1"/>
  <c r="AF277" i="1"/>
  <c r="CN277" i="1" s="1"/>
  <c r="R277" i="1"/>
  <c r="E277" i="1"/>
  <c r="BX277" i="1" s="1"/>
  <c r="AF276" i="1"/>
  <c r="CN276" i="1" s="1"/>
  <c r="R276" i="1"/>
  <c r="E276" i="1"/>
  <c r="BX276" i="1" s="1"/>
  <c r="AF275" i="1"/>
  <c r="CN275" i="1" s="1"/>
  <c r="R275" i="1"/>
  <c r="E275" i="1"/>
  <c r="BX275" i="1" s="1"/>
  <c r="AF274" i="1"/>
  <c r="CN274" i="1" s="1"/>
  <c r="R274" i="1"/>
  <c r="E274" i="1"/>
  <c r="BX274" i="1" s="1"/>
  <c r="AF273" i="1"/>
  <c r="CN273" i="1" s="1"/>
  <c r="R273" i="1"/>
  <c r="E273" i="1"/>
  <c r="BX273" i="1" s="1"/>
  <c r="AF272" i="1"/>
  <c r="CN272" i="1" s="1"/>
  <c r="R272" i="1"/>
  <c r="E272" i="1"/>
  <c r="BX272" i="1" s="1"/>
  <c r="AF271" i="1"/>
  <c r="CN271" i="1" s="1"/>
  <c r="R271" i="1"/>
  <c r="E271" i="1"/>
  <c r="BX271" i="1" s="1"/>
  <c r="AF270" i="1"/>
  <c r="CN270" i="1" s="1"/>
  <c r="R270" i="1"/>
  <c r="E270" i="1"/>
  <c r="BX270" i="1" s="1"/>
  <c r="AF269" i="1"/>
  <c r="CN269" i="1" s="1"/>
  <c r="R269" i="1"/>
  <c r="E269" i="1"/>
  <c r="BX269" i="1" s="1"/>
  <c r="AF268" i="1"/>
  <c r="CN268" i="1" s="1"/>
  <c r="R268" i="1"/>
  <c r="E268" i="1"/>
  <c r="BX268" i="1" s="1"/>
  <c r="AF267" i="1"/>
  <c r="CN267" i="1" s="1"/>
  <c r="R267" i="1"/>
  <c r="E267" i="1"/>
  <c r="BX267" i="1" s="1"/>
  <c r="AF266" i="1"/>
  <c r="CN266" i="1" s="1"/>
  <c r="R266" i="1"/>
  <c r="E266" i="1"/>
  <c r="BX266" i="1" s="1"/>
  <c r="AF265" i="1"/>
  <c r="CN265" i="1" s="1"/>
  <c r="R265" i="1"/>
  <c r="E265" i="1"/>
  <c r="BX265" i="1" s="1"/>
  <c r="AF264" i="1"/>
  <c r="CN264" i="1" s="1"/>
  <c r="R264" i="1"/>
  <c r="E264" i="1"/>
  <c r="BX264" i="1" s="1"/>
  <c r="AF263" i="1"/>
  <c r="CN263" i="1" s="1"/>
  <c r="R263" i="1"/>
  <c r="E263" i="1"/>
  <c r="BX263" i="1" s="1"/>
  <c r="AF262" i="1"/>
  <c r="CN262" i="1" s="1"/>
  <c r="R262" i="1"/>
  <c r="E262" i="1"/>
  <c r="BX262" i="1" s="1"/>
  <c r="AF261" i="1"/>
  <c r="CN261" i="1" s="1"/>
  <c r="R261" i="1"/>
  <c r="E261" i="1"/>
  <c r="BX261" i="1" s="1"/>
  <c r="AF260" i="1"/>
  <c r="CN260" i="1" s="1"/>
  <c r="R260" i="1"/>
  <c r="E260" i="1"/>
  <c r="BX260" i="1" s="1"/>
  <c r="AF259" i="1"/>
  <c r="CN259" i="1" s="1"/>
  <c r="R259" i="1"/>
  <c r="E259" i="1"/>
  <c r="BX259" i="1" s="1"/>
  <c r="AF258" i="1"/>
  <c r="CN258" i="1" s="1"/>
  <c r="R258" i="1"/>
  <c r="E258" i="1"/>
  <c r="BX258" i="1" s="1"/>
  <c r="AF257" i="1"/>
  <c r="CN257" i="1" s="1"/>
  <c r="R257" i="1"/>
  <c r="E257" i="1"/>
  <c r="BX257" i="1" s="1"/>
  <c r="AF256" i="1"/>
  <c r="CN256" i="1" s="1"/>
  <c r="R256" i="1"/>
  <c r="E256" i="1"/>
  <c r="BX256" i="1" s="1"/>
  <c r="AF255" i="1"/>
  <c r="CN255" i="1" s="1"/>
  <c r="R255" i="1"/>
  <c r="E255" i="1"/>
  <c r="BX255" i="1" s="1"/>
  <c r="AF254" i="1"/>
  <c r="CN254" i="1" s="1"/>
  <c r="R254" i="1"/>
  <c r="E254" i="1"/>
  <c r="BX254" i="1" s="1"/>
  <c r="AF253" i="1"/>
  <c r="CN253" i="1" s="1"/>
  <c r="R253" i="1"/>
  <c r="E253" i="1"/>
  <c r="BX253" i="1" s="1"/>
  <c r="AF252" i="1"/>
  <c r="CN252" i="1" s="1"/>
  <c r="R252" i="1"/>
  <c r="E252" i="1"/>
  <c r="BX252" i="1" s="1"/>
  <c r="BO138" i="1"/>
  <c r="CU138" i="1" s="1"/>
  <c r="AF138" i="1"/>
  <c r="CN138" i="1" s="1"/>
  <c r="R138" i="1"/>
  <c r="E138" i="1"/>
  <c r="BX138" i="1" s="1"/>
  <c r="AF150" i="1"/>
  <c r="CN150" i="1" s="1"/>
  <c r="R150" i="1"/>
  <c r="E150" i="1"/>
  <c r="BX150" i="1" s="1"/>
  <c r="AF149" i="1"/>
  <c r="CN149" i="1" s="1"/>
  <c r="R149" i="1"/>
  <c r="E149" i="1"/>
  <c r="BX149" i="1" s="1"/>
  <c r="AF148" i="1"/>
  <c r="CN148" i="1" s="1"/>
  <c r="R148" i="1"/>
  <c r="E148" i="1"/>
  <c r="BX148" i="1" s="1"/>
  <c r="AF147" i="1"/>
  <c r="CN147" i="1" s="1"/>
  <c r="R147" i="1"/>
  <c r="E147" i="1"/>
  <c r="BX147" i="1" s="1"/>
  <c r="AF146" i="1"/>
  <c r="CN146" i="1" s="1"/>
  <c r="R146" i="1"/>
  <c r="E146" i="1"/>
  <c r="BX146" i="1" s="1"/>
  <c r="AF145" i="1"/>
  <c r="CN145" i="1" s="1"/>
  <c r="R145" i="1"/>
  <c r="E145" i="1"/>
  <c r="BX145" i="1" s="1"/>
  <c r="AF142" i="1"/>
  <c r="CN142" i="1" s="1"/>
  <c r="R142" i="1"/>
  <c r="E142" i="1"/>
  <c r="BX142" i="1" s="1"/>
  <c r="AF141" i="1"/>
  <c r="CN141" i="1" s="1"/>
  <c r="R141" i="1"/>
  <c r="E141" i="1"/>
  <c r="BX141" i="1" s="1"/>
  <c r="AF140" i="1"/>
  <c r="CN140" i="1" s="1"/>
  <c r="R140" i="1"/>
  <c r="E140" i="1"/>
  <c r="BX140" i="1" s="1"/>
  <c r="AF139" i="1"/>
  <c r="CN139" i="1" s="1"/>
  <c r="R139" i="1"/>
  <c r="E139" i="1"/>
  <c r="BX139" i="1" s="1"/>
  <c r="BO142" i="1"/>
  <c r="CU142" i="1" s="1"/>
  <c r="BO141" i="1"/>
  <c r="CU141" i="1" s="1"/>
  <c r="BO140" i="1"/>
  <c r="CU140" i="1" s="1"/>
  <c r="BO139" i="1"/>
  <c r="CU139" i="1" s="1"/>
  <c r="BO150" i="1"/>
  <c r="CU150" i="1" s="1"/>
  <c r="BO149" i="1"/>
  <c r="CU149" i="1" s="1"/>
  <c r="BO148" i="1"/>
  <c r="CU148" i="1" s="1"/>
  <c r="BO147" i="1"/>
  <c r="CU147" i="1" s="1"/>
  <c r="BO146" i="1"/>
  <c r="CU146" i="1" s="1"/>
  <c r="BO145" i="1"/>
  <c r="CU145" i="1" s="1"/>
  <c r="BO171" i="1"/>
  <c r="CU171" i="1" s="1"/>
  <c r="BO170" i="1"/>
  <c r="CU170" i="1" s="1"/>
  <c r="BO169" i="1"/>
  <c r="CU169" i="1" s="1"/>
  <c r="BO168" i="1"/>
  <c r="CU168" i="1" s="1"/>
  <c r="BO167" i="1"/>
  <c r="CU167" i="1" s="1"/>
  <c r="BO166" i="1"/>
  <c r="CU166" i="1" s="1"/>
  <c r="BO165" i="1"/>
  <c r="CU165" i="1" s="1"/>
  <c r="BO164" i="1"/>
  <c r="CU164" i="1" s="1"/>
  <c r="BO163" i="1"/>
  <c r="CU163" i="1" s="1"/>
  <c r="BO158" i="1"/>
  <c r="CU158" i="1" s="1"/>
  <c r="BO157" i="1"/>
  <c r="CU157" i="1" s="1"/>
  <c r="BO156" i="1"/>
  <c r="CU156" i="1" s="1"/>
  <c r="BO155" i="1"/>
  <c r="CU155" i="1" s="1"/>
  <c r="BO154" i="1"/>
  <c r="CU154" i="1" s="1"/>
  <c r="BO153" i="1"/>
  <c r="CU153" i="1" s="1"/>
  <c r="BO152" i="1"/>
  <c r="CU152" i="1" s="1"/>
  <c r="BO151" i="1"/>
  <c r="CU151" i="1" s="1"/>
  <c r="AF217" i="1"/>
  <c r="R217" i="1"/>
  <c r="CF217" i="1" s="1"/>
  <c r="E217" i="1"/>
  <c r="BX217" i="1" s="1"/>
  <c r="AF216" i="1"/>
  <c r="R216" i="1"/>
  <c r="CF216" i="1" s="1"/>
  <c r="E216" i="1"/>
  <c r="BX216" i="1" s="1"/>
  <c r="AF215" i="1"/>
  <c r="R215" i="1"/>
  <c r="CF215" i="1" s="1"/>
  <c r="E215" i="1"/>
  <c r="BX215" i="1" s="1"/>
  <c r="AF214" i="1"/>
  <c r="R214" i="1"/>
  <c r="CF214" i="1" s="1"/>
  <c r="E214" i="1"/>
  <c r="BX214" i="1" s="1"/>
  <c r="AF213" i="1"/>
  <c r="R213" i="1"/>
  <c r="CF213" i="1" s="1"/>
  <c r="E213" i="1"/>
  <c r="BX213" i="1" s="1"/>
  <c r="AF212" i="1"/>
  <c r="R212" i="1"/>
  <c r="CF212" i="1" s="1"/>
  <c r="E212" i="1"/>
  <c r="BX212" i="1" s="1"/>
  <c r="AF211" i="1"/>
  <c r="R211" i="1"/>
  <c r="CF211" i="1" s="1"/>
  <c r="E211" i="1"/>
  <c r="BX211" i="1" s="1"/>
  <c r="AF210" i="1"/>
  <c r="R210" i="1"/>
  <c r="CF210" i="1" s="1"/>
  <c r="E210" i="1"/>
  <c r="BX210" i="1" s="1"/>
  <c r="AF209" i="1"/>
  <c r="R209" i="1"/>
  <c r="CF209" i="1" s="1"/>
  <c r="E209" i="1"/>
  <c r="BX209" i="1" s="1"/>
  <c r="AF208" i="1"/>
  <c r="R208" i="1"/>
  <c r="CF208" i="1" s="1"/>
  <c r="E208" i="1"/>
  <c r="BX208" i="1" s="1"/>
  <c r="AF207" i="1"/>
  <c r="R207" i="1"/>
  <c r="CF207" i="1" s="1"/>
  <c r="E207" i="1"/>
  <c r="BX207" i="1" s="1"/>
  <c r="AF206" i="1"/>
  <c r="R206" i="1"/>
  <c r="CF206" i="1" s="1"/>
  <c r="E206" i="1"/>
  <c r="BX206" i="1" s="1"/>
  <c r="AF171" i="1"/>
  <c r="CN171" i="1" s="1"/>
  <c r="R171" i="1"/>
  <c r="E171" i="1"/>
  <c r="BX171" i="1" s="1"/>
  <c r="AF170" i="1"/>
  <c r="CN170" i="1" s="1"/>
  <c r="R170" i="1"/>
  <c r="E170" i="1"/>
  <c r="BX170" i="1" s="1"/>
  <c r="AF169" i="1"/>
  <c r="CN169" i="1" s="1"/>
  <c r="R169" i="1"/>
  <c r="E169" i="1"/>
  <c r="BX169" i="1" s="1"/>
  <c r="AF168" i="1"/>
  <c r="CN168" i="1" s="1"/>
  <c r="R168" i="1"/>
  <c r="E168" i="1"/>
  <c r="BX168" i="1" s="1"/>
  <c r="AF167" i="1"/>
  <c r="CN167" i="1" s="1"/>
  <c r="R167" i="1"/>
  <c r="E167" i="1"/>
  <c r="BX167" i="1" s="1"/>
  <c r="AF166" i="1"/>
  <c r="CN166" i="1" s="1"/>
  <c r="R166" i="1"/>
  <c r="E166" i="1"/>
  <c r="BX166" i="1" s="1"/>
  <c r="AF165" i="1"/>
  <c r="CN165" i="1" s="1"/>
  <c r="R165" i="1"/>
  <c r="E165" i="1"/>
  <c r="BX165" i="1" s="1"/>
  <c r="AF164" i="1"/>
  <c r="CN164" i="1" s="1"/>
  <c r="R164" i="1"/>
  <c r="E164" i="1"/>
  <c r="BX164" i="1" s="1"/>
  <c r="AF163" i="1"/>
  <c r="CN163" i="1" s="1"/>
  <c r="R163" i="1"/>
  <c r="E163" i="1"/>
  <c r="BX163" i="1" s="1"/>
  <c r="AF158" i="1"/>
  <c r="CN158" i="1" s="1"/>
  <c r="R158" i="1"/>
  <c r="E158" i="1"/>
  <c r="BX158" i="1" s="1"/>
  <c r="AF157" i="1"/>
  <c r="CN157" i="1" s="1"/>
  <c r="R157" i="1"/>
  <c r="E157" i="1"/>
  <c r="BX157" i="1" s="1"/>
  <c r="AF156" i="1"/>
  <c r="CN156" i="1" s="1"/>
  <c r="R156" i="1"/>
  <c r="E156" i="1"/>
  <c r="BX156" i="1" s="1"/>
  <c r="AF155" i="1"/>
  <c r="CN155" i="1" s="1"/>
  <c r="R155" i="1"/>
  <c r="E155" i="1"/>
  <c r="BX155" i="1" s="1"/>
  <c r="AF154" i="1"/>
  <c r="CN154" i="1" s="1"/>
  <c r="R154" i="1"/>
  <c r="E154" i="1"/>
  <c r="BX154" i="1" s="1"/>
  <c r="AF153" i="1"/>
  <c r="CN153" i="1" s="1"/>
  <c r="R153" i="1"/>
  <c r="E153" i="1"/>
  <c r="BX153" i="1" s="1"/>
  <c r="AF152" i="1"/>
  <c r="CN152" i="1" s="1"/>
  <c r="R152" i="1"/>
  <c r="E152" i="1"/>
  <c r="BX152" i="1" s="1"/>
  <c r="AF151" i="1"/>
  <c r="CN151" i="1" s="1"/>
  <c r="R151" i="1"/>
  <c r="E151" i="1"/>
  <c r="BX151" i="1" s="1"/>
  <c r="CN216" i="1" l="1"/>
  <c r="BP216" i="1"/>
  <c r="CZ139" i="1"/>
  <c r="CF139" i="1"/>
  <c r="CZ141" i="1"/>
  <c r="CF141" i="1"/>
  <c r="CZ145" i="1"/>
  <c r="CF145" i="1"/>
  <c r="CZ147" i="1"/>
  <c r="CF147" i="1"/>
  <c r="CZ149" i="1"/>
  <c r="CF149" i="1"/>
  <c r="BP138" i="1"/>
  <c r="CF138" i="1"/>
  <c r="CZ252" i="1"/>
  <c r="CF252" i="1"/>
  <c r="CZ254" i="1"/>
  <c r="CF254" i="1"/>
  <c r="CZ256" i="1"/>
  <c r="CF256" i="1"/>
  <c r="CZ258" i="1"/>
  <c r="CF258" i="1"/>
  <c r="CZ260" i="1"/>
  <c r="CF260" i="1"/>
  <c r="CZ262" i="1"/>
  <c r="CF262" i="1"/>
  <c r="CZ264" i="1"/>
  <c r="CF264" i="1"/>
  <c r="CZ266" i="1"/>
  <c r="CF266" i="1"/>
  <c r="CZ268" i="1"/>
  <c r="CF268" i="1"/>
  <c r="CZ270" i="1"/>
  <c r="CF270" i="1"/>
  <c r="CZ272" i="1"/>
  <c r="CF272" i="1"/>
  <c r="CZ274" i="1"/>
  <c r="CF274" i="1"/>
  <c r="CZ276" i="1"/>
  <c r="CF276" i="1"/>
  <c r="CZ278" i="1"/>
  <c r="CF278" i="1"/>
  <c r="CZ280" i="1"/>
  <c r="CF280" i="1"/>
  <c r="CZ282" i="1"/>
  <c r="CF282" i="1"/>
  <c r="CZ284" i="1"/>
  <c r="CF284" i="1"/>
  <c r="CZ286" i="1"/>
  <c r="CF286" i="1"/>
  <c r="CZ288" i="1"/>
  <c r="CF288" i="1"/>
  <c r="CZ290" i="1"/>
  <c r="CF290" i="1"/>
  <c r="CZ292" i="1"/>
  <c r="CF292" i="1"/>
  <c r="CZ294" i="1"/>
  <c r="CF294" i="1"/>
  <c r="CZ296" i="1"/>
  <c r="CF296" i="1"/>
  <c r="CZ298" i="1"/>
  <c r="CF298" i="1"/>
  <c r="CZ300" i="1"/>
  <c r="CF300" i="1"/>
  <c r="CZ302" i="1"/>
  <c r="CF302" i="1"/>
  <c r="CZ304" i="1"/>
  <c r="CF304" i="1"/>
  <c r="CZ306" i="1"/>
  <c r="CF306" i="1"/>
  <c r="CZ308" i="1"/>
  <c r="CF308" i="1"/>
  <c r="CZ310" i="1"/>
  <c r="CF310" i="1"/>
  <c r="CF312" i="1"/>
  <c r="CZ314" i="1"/>
  <c r="CF314" i="1"/>
  <c r="CZ316" i="1"/>
  <c r="CF316" i="1"/>
  <c r="CZ151" i="1"/>
  <c r="CF151" i="1"/>
  <c r="CZ153" i="1"/>
  <c r="CF153" i="1"/>
  <c r="CZ155" i="1"/>
  <c r="CF155" i="1"/>
  <c r="CZ157" i="1"/>
  <c r="CF157" i="1"/>
  <c r="CF163" i="1"/>
  <c r="CZ165" i="1"/>
  <c r="CF165" i="1"/>
  <c r="CF167" i="1"/>
  <c r="CZ169" i="1"/>
  <c r="CF169" i="1"/>
  <c r="CF171" i="1"/>
  <c r="CN206" i="1"/>
  <c r="BP206" i="1"/>
  <c r="CN208" i="1"/>
  <c r="BP208" i="1"/>
  <c r="CN210" i="1"/>
  <c r="BP210" i="1"/>
  <c r="CN212" i="1"/>
  <c r="BP212" i="1"/>
  <c r="CN214" i="1"/>
  <c r="BP214" i="1"/>
  <c r="CF152" i="1"/>
  <c r="CF154" i="1"/>
  <c r="CF156" i="1"/>
  <c r="CF158" i="1"/>
  <c r="CZ164" i="1"/>
  <c r="CF164" i="1"/>
  <c r="CZ166" i="1"/>
  <c r="CF166" i="1"/>
  <c r="CZ168" i="1"/>
  <c r="CF168" i="1"/>
  <c r="CZ170" i="1"/>
  <c r="CF170" i="1"/>
  <c r="CN207" i="1"/>
  <c r="BP207" i="1"/>
  <c r="BP209" i="1"/>
  <c r="CN209" i="1"/>
  <c r="CN211" i="1"/>
  <c r="BP211" i="1"/>
  <c r="BP213" i="1"/>
  <c r="CN213" i="1"/>
  <c r="CN215" i="1"/>
  <c r="BP215" i="1"/>
  <c r="BP217" i="1"/>
  <c r="CN217" i="1"/>
  <c r="CZ140" i="1"/>
  <c r="CF140" i="1"/>
  <c r="CZ142" i="1"/>
  <c r="CF142" i="1"/>
  <c r="CZ146" i="1"/>
  <c r="CF146" i="1"/>
  <c r="CZ148" i="1"/>
  <c r="CF148" i="1"/>
  <c r="CZ150" i="1"/>
  <c r="CF150" i="1"/>
  <c r="CF253" i="1"/>
  <c r="CZ255" i="1"/>
  <c r="CF255" i="1"/>
  <c r="CZ257" i="1"/>
  <c r="CF257" i="1"/>
  <c r="CZ259" i="1"/>
  <c r="CF259" i="1"/>
  <c r="CF261" i="1"/>
  <c r="CZ263" i="1"/>
  <c r="CF263" i="1"/>
  <c r="CZ265" i="1"/>
  <c r="CF265" i="1"/>
  <c r="CZ267" i="1"/>
  <c r="CF267" i="1"/>
  <c r="CF269" i="1"/>
  <c r="CZ271" i="1"/>
  <c r="CF271" i="1"/>
  <c r="CZ273" i="1"/>
  <c r="CF273" i="1"/>
  <c r="CZ275" i="1"/>
  <c r="CF275" i="1"/>
  <c r="CF277" i="1"/>
  <c r="CZ279" i="1"/>
  <c r="CF279" i="1"/>
  <c r="CF281" i="1"/>
  <c r="CZ283" i="1"/>
  <c r="CF283" i="1"/>
  <c r="CF285" i="1"/>
  <c r="CZ287" i="1"/>
  <c r="CF287" i="1"/>
  <c r="CZ289" i="1"/>
  <c r="CF289" i="1"/>
  <c r="CZ291" i="1"/>
  <c r="CF291" i="1"/>
  <c r="CF293" i="1"/>
  <c r="CZ295" i="1"/>
  <c r="CF295" i="1"/>
  <c r="CZ297" i="1"/>
  <c r="CF297" i="1"/>
  <c r="CZ299" i="1"/>
  <c r="CF299" i="1"/>
  <c r="CF301" i="1"/>
  <c r="CZ303" i="1"/>
  <c r="CF303" i="1"/>
  <c r="CZ305" i="1"/>
  <c r="CF305" i="1"/>
  <c r="CZ307" i="1"/>
  <c r="CF307" i="1"/>
  <c r="CF309" i="1"/>
  <c r="CZ311" i="1"/>
  <c r="CF311" i="1"/>
  <c r="CZ313" i="1"/>
  <c r="CF313" i="1"/>
  <c r="CZ315" i="1"/>
  <c r="CF315" i="1"/>
  <c r="CF317" i="1"/>
  <c r="DA139" i="1"/>
  <c r="DA141" i="1"/>
  <c r="DA149" i="1"/>
  <c r="DA252" i="1"/>
  <c r="DA254" i="1"/>
  <c r="DA256" i="1"/>
  <c r="DA258" i="1"/>
  <c r="DA260" i="1"/>
  <c r="DA262" i="1"/>
  <c r="DA264" i="1"/>
  <c r="DA266" i="1"/>
  <c r="DA268" i="1"/>
  <c r="DA270" i="1"/>
  <c r="DA272" i="1"/>
  <c r="DA274" i="1"/>
  <c r="DA276" i="1"/>
  <c r="DA278" i="1"/>
  <c r="DA280" i="1"/>
  <c r="DA282" i="1"/>
  <c r="DA284" i="1"/>
  <c r="DA286" i="1"/>
  <c r="DA288" i="1"/>
  <c r="DA290" i="1"/>
  <c r="DA292" i="1"/>
  <c r="DA294" i="1"/>
  <c r="DA296" i="1"/>
  <c r="DA298" i="1"/>
  <c r="DA300" i="1"/>
  <c r="DA302" i="1"/>
  <c r="DA304" i="1"/>
  <c r="DA306" i="1"/>
  <c r="DA308" i="1"/>
  <c r="DA310" i="1"/>
  <c r="DA312" i="1"/>
  <c r="DA314" i="1"/>
  <c r="DA316" i="1"/>
  <c r="D152" i="26"/>
  <c r="E152" i="26"/>
  <c r="D154" i="26"/>
  <c r="E154" i="26"/>
  <c r="D156" i="26"/>
  <c r="E156" i="26"/>
  <c r="D158" i="26"/>
  <c r="E158" i="26"/>
  <c r="D164" i="26"/>
  <c r="E164" i="26"/>
  <c r="E166" i="26"/>
  <c r="D166" i="26"/>
  <c r="E168" i="26"/>
  <c r="D168" i="26"/>
  <c r="E170" i="26"/>
  <c r="D170" i="26"/>
  <c r="E206" i="26"/>
  <c r="D206" i="26"/>
  <c r="E208" i="26"/>
  <c r="D208" i="26"/>
  <c r="E210" i="26"/>
  <c r="D210" i="26"/>
  <c r="E212" i="26"/>
  <c r="D212" i="26"/>
  <c r="E214" i="26"/>
  <c r="D214" i="26"/>
  <c r="E216" i="26"/>
  <c r="D216" i="26"/>
  <c r="D140" i="26"/>
  <c r="E140" i="26"/>
  <c r="D142" i="26"/>
  <c r="E142" i="26"/>
  <c r="D146" i="26"/>
  <c r="E146" i="26"/>
  <c r="D148" i="26"/>
  <c r="E148" i="26"/>
  <c r="D150" i="26"/>
  <c r="E150" i="26"/>
  <c r="DA140" i="1"/>
  <c r="E253" i="26"/>
  <c r="D253" i="26"/>
  <c r="E255" i="26"/>
  <c r="D255" i="26"/>
  <c r="E257" i="26"/>
  <c r="D257" i="26"/>
  <c r="E259" i="26"/>
  <c r="D259" i="26"/>
  <c r="E261" i="26"/>
  <c r="D261" i="26"/>
  <c r="E263" i="26"/>
  <c r="D263" i="26"/>
  <c r="E265" i="26"/>
  <c r="D265" i="26"/>
  <c r="E267" i="26"/>
  <c r="D267" i="26"/>
  <c r="E269" i="26"/>
  <c r="D269" i="26"/>
  <c r="E271" i="26"/>
  <c r="D271" i="26"/>
  <c r="E273" i="26"/>
  <c r="D273" i="26"/>
  <c r="E275" i="26"/>
  <c r="D275" i="26"/>
  <c r="E277" i="26"/>
  <c r="D277" i="26"/>
  <c r="E279" i="26"/>
  <c r="D279" i="26"/>
  <c r="E281" i="26"/>
  <c r="D281" i="26"/>
  <c r="E283" i="26"/>
  <c r="D283" i="26"/>
  <c r="E285" i="26"/>
  <c r="D285" i="26"/>
  <c r="E287" i="26"/>
  <c r="D287" i="26"/>
  <c r="E289" i="26"/>
  <c r="D289" i="26"/>
  <c r="E291" i="26"/>
  <c r="D291" i="26"/>
  <c r="E293" i="26"/>
  <c r="D293" i="26"/>
  <c r="E295" i="26"/>
  <c r="D295" i="26"/>
  <c r="E297" i="26"/>
  <c r="D297" i="26"/>
  <c r="E299" i="26"/>
  <c r="D299" i="26"/>
  <c r="E301" i="26"/>
  <c r="D301" i="26"/>
  <c r="E303" i="26"/>
  <c r="D303" i="26"/>
  <c r="E305" i="26"/>
  <c r="D305" i="26"/>
  <c r="E307" i="26"/>
  <c r="D307" i="26"/>
  <c r="E309" i="26"/>
  <c r="D309" i="26"/>
  <c r="E311" i="26"/>
  <c r="D311" i="26"/>
  <c r="E313" i="26"/>
  <c r="D313" i="26"/>
  <c r="E315" i="26"/>
  <c r="D315" i="26"/>
  <c r="E317" i="26"/>
  <c r="D317" i="26"/>
  <c r="DA257" i="1"/>
  <c r="DA265" i="1"/>
  <c r="DA273" i="1"/>
  <c r="DA281" i="1"/>
  <c r="DA289" i="1"/>
  <c r="DA297" i="1"/>
  <c r="DA305" i="1"/>
  <c r="DA313" i="1"/>
  <c r="D151" i="26"/>
  <c r="E151" i="26"/>
  <c r="D153" i="26"/>
  <c r="E153" i="26"/>
  <c r="D155" i="26"/>
  <c r="E155" i="26"/>
  <c r="D157" i="26"/>
  <c r="E157" i="26"/>
  <c r="D163" i="26"/>
  <c r="E163" i="26"/>
  <c r="E165" i="26"/>
  <c r="D165" i="26"/>
  <c r="E167" i="26"/>
  <c r="D167" i="26"/>
  <c r="E169" i="26"/>
  <c r="D169" i="26"/>
  <c r="E171" i="26"/>
  <c r="D171" i="26"/>
  <c r="E207" i="26"/>
  <c r="D207" i="26"/>
  <c r="E209" i="26"/>
  <c r="D209" i="26"/>
  <c r="E211" i="26"/>
  <c r="D211" i="26"/>
  <c r="E213" i="26"/>
  <c r="D213" i="26"/>
  <c r="E215" i="26"/>
  <c r="D215" i="26"/>
  <c r="E217" i="26"/>
  <c r="D217" i="26"/>
  <c r="DA147" i="1"/>
  <c r="D139" i="26"/>
  <c r="E139" i="26"/>
  <c r="D141" i="26"/>
  <c r="E141" i="26"/>
  <c r="DA142" i="1"/>
  <c r="D145" i="26"/>
  <c r="E145" i="26"/>
  <c r="DA146" i="1"/>
  <c r="D147" i="26"/>
  <c r="E147" i="26"/>
  <c r="DA148" i="1"/>
  <c r="D149" i="26"/>
  <c r="E149" i="26"/>
  <c r="DA150" i="1"/>
  <c r="D138" i="26"/>
  <c r="E138" i="26"/>
  <c r="E252" i="26"/>
  <c r="D252" i="26"/>
  <c r="E254" i="26"/>
  <c r="D254" i="26"/>
  <c r="DA255" i="1"/>
  <c r="E256" i="26"/>
  <c r="D256" i="26"/>
  <c r="E258" i="26"/>
  <c r="D258" i="26"/>
  <c r="DA259" i="1"/>
  <c r="E260" i="26"/>
  <c r="D260" i="26"/>
  <c r="E262" i="26"/>
  <c r="D262" i="26"/>
  <c r="DA263" i="1"/>
  <c r="E264" i="26"/>
  <c r="D264" i="26"/>
  <c r="E266" i="26"/>
  <c r="D266" i="26"/>
  <c r="DA267" i="1"/>
  <c r="E268" i="26"/>
  <c r="D268" i="26"/>
  <c r="E270" i="26"/>
  <c r="D270" i="26"/>
  <c r="DA271" i="1"/>
  <c r="E272" i="26"/>
  <c r="D272" i="26"/>
  <c r="E274" i="26"/>
  <c r="D274" i="26"/>
  <c r="DA275" i="1"/>
  <c r="E276" i="26"/>
  <c r="D276" i="26"/>
  <c r="E278" i="26"/>
  <c r="D278" i="26"/>
  <c r="DA279" i="1"/>
  <c r="E280" i="26"/>
  <c r="D280" i="26"/>
  <c r="E282" i="26"/>
  <c r="D282" i="26"/>
  <c r="DA283" i="1"/>
  <c r="E284" i="26"/>
  <c r="D284" i="26"/>
  <c r="E286" i="26"/>
  <c r="D286" i="26"/>
  <c r="DA287" i="1"/>
  <c r="E288" i="26"/>
  <c r="D288" i="26"/>
  <c r="E290" i="26"/>
  <c r="D290" i="26"/>
  <c r="DA291" i="1"/>
  <c r="E292" i="26"/>
  <c r="D292" i="26"/>
  <c r="E294" i="26"/>
  <c r="D294" i="26"/>
  <c r="DA295" i="1"/>
  <c r="E296" i="26"/>
  <c r="D296" i="26"/>
  <c r="E298" i="26"/>
  <c r="D298" i="26"/>
  <c r="DA299" i="1"/>
  <c r="E300" i="26"/>
  <c r="D300" i="26"/>
  <c r="E302" i="26"/>
  <c r="D302" i="26"/>
  <c r="DA303" i="1"/>
  <c r="E304" i="26"/>
  <c r="D304" i="26"/>
  <c r="E306" i="26"/>
  <c r="D306" i="26"/>
  <c r="DA307" i="1"/>
  <c r="E308" i="26"/>
  <c r="D308" i="26"/>
  <c r="E310" i="26"/>
  <c r="D310" i="26"/>
  <c r="DA311" i="1"/>
  <c r="E312" i="26"/>
  <c r="D312" i="26"/>
  <c r="E314" i="26"/>
  <c r="D314" i="26"/>
  <c r="DA315" i="1"/>
  <c r="E316" i="26"/>
  <c r="D316" i="26"/>
  <c r="DA166" i="1"/>
  <c r="DA153" i="1"/>
  <c r="DA157" i="1"/>
  <c r="DA165" i="1"/>
  <c r="DA169" i="1"/>
  <c r="DA170" i="1"/>
  <c r="DA151" i="1"/>
  <c r="DA155" i="1"/>
  <c r="DA164" i="1"/>
  <c r="DA168" i="1"/>
  <c r="DA145" i="1"/>
  <c r="BO372" i="1"/>
  <c r="BM372" i="1"/>
  <c r="CM372" i="1" s="1"/>
  <c r="BN372" i="1"/>
  <c r="CE372" i="1" s="1"/>
  <c r="BO371" i="1"/>
  <c r="BM371" i="1"/>
  <c r="CM371" i="1" s="1"/>
  <c r="BN371" i="1"/>
  <c r="CE371" i="1" s="1"/>
  <c r="BO370" i="1"/>
  <c r="BM370" i="1"/>
  <c r="CM370" i="1" s="1"/>
  <c r="BN370" i="1"/>
  <c r="CE370" i="1" s="1"/>
  <c r="BO369" i="1"/>
  <c r="BM369" i="1"/>
  <c r="CM369" i="1" s="1"/>
  <c r="BN369" i="1"/>
  <c r="CE369" i="1" s="1"/>
  <c r="BO368" i="1"/>
  <c r="BM368" i="1"/>
  <c r="CM368" i="1" s="1"/>
  <c r="BN368" i="1"/>
  <c r="CE368" i="1" s="1"/>
  <c r="BO367" i="1"/>
  <c r="BM367" i="1"/>
  <c r="CM367" i="1" s="1"/>
  <c r="BN367" i="1"/>
  <c r="CE367" i="1" s="1"/>
  <c r="BO366" i="1"/>
  <c r="BM366" i="1"/>
  <c r="CM366" i="1" s="1"/>
  <c r="BN366" i="1"/>
  <c r="CE366" i="1" s="1"/>
  <c r="BO365" i="1"/>
  <c r="BM365" i="1"/>
  <c r="CM365" i="1" s="1"/>
  <c r="BN365" i="1"/>
  <c r="CE365" i="1" s="1"/>
  <c r="BO364" i="1"/>
  <c r="BM364" i="1"/>
  <c r="CM364" i="1" s="1"/>
  <c r="BN364" i="1"/>
  <c r="CE364" i="1" s="1"/>
  <c r="BO363" i="1"/>
  <c r="BM363" i="1"/>
  <c r="CM363" i="1" s="1"/>
  <c r="BN363" i="1"/>
  <c r="CE363" i="1" s="1"/>
  <c r="BO362" i="1"/>
  <c r="BM362" i="1"/>
  <c r="CM362" i="1" s="1"/>
  <c r="BN362" i="1"/>
  <c r="CE362" i="1" s="1"/>
  <c r="BO361" i="1"/>
  <c r="BM361" i="1"/>
  <c r="CM361" i="1" s="1"/>
  <c r="BN361" i="1"/>
  <c r="CE361" i="1" s="1"/>
  <c r="BO360" i="1"/>
  <c r="BM360" i="1"/>
  <c r="CM360" i="1" s="1"/>
  <c r="BN360" i="1"/>
  <c r="CE360" i="1" s="1"/>
  <c r="BO359" i="1"/>
  <c r="BM359" i="1"/>
  <c r="CM359" i="1" s="1"/>
  <c r="BN359" i="1"/>
  <c r="CE359" i="1" s="1"/>
  <c r="BO358" i="1"/>
  <c r="BM358" i="1"/>
  <c r="CM358" i="1" s="1"/>
  <c r="BN358" i="1"/>
  <c r="CE358" i="1" s="1"/>
  <c r="BO357" i="1"/>
  <c r="BM357" i="1"/>
  <c r="CM357" i="1" s="1"/>
  <c r="BN357" i="1"/>
  <c r="CE357" i="1" s="1"/>
  <c r="BO356" i="1"/>
  <c r="BM356" i="1"/>
  <c r="CM356" i="1" s="1"/>
  <c r="BN356" i="1"/>
  <c r="CE356" i="1" s="1"/>
  <c r="BO355" i="1"/>
  <c r="BM355" i="1"/>
  <c r="CM355" i="1" s="1"/>
  <c r="BN355" i="1"/>
  <c r="CE355" i="1" s="1"/>
  <c r="BO354" i="1"/>
  <c r="BM354" i="1"/>
  <c r="CM354" i="1" s="1"/>
  <c r="BN354" i="1"/>
  <c r="CE354" i="1" s="1"/>
  <c r="BO353" i="1"/>
  <c r="BM353" i="1"/>
  <c r="CM353" i="1" s="1"/>
  <c r="BN353" i="1"/>
  <c r="CE353" i="1" s="1"/>
  <c r="BO352" i="1"/>
  <c r="BM352" i="1"/>
  <c r="CM352" i="1" s="1"/>
  <c r="BN352" i="1"/>
  <c r="CE352" i="1" s="1"/>
  <c r="BO351" i="1"/>
  <c r="BM351" i="1"/>
  <c r="CM351" i="1" s="1"/>
  <c r="BN351" i="1"/>
  <c r="CE351" i="1" s="1"/>
  <c r="BO350" i="1"/>
  <c r="BM350" i="1"/>
  <c r="CM350" i="1" s="1"/>
  <c r="BN350" i="1"/>
  <c r="CE350" i="1" s="1"/>
  <c r="BO349" i="1"/>
  <c r="BM349" i="1"/>
  <c r="CM349" i="1" s="1"/>
  <c r="BN349" i="1"/>
  <c r="CE349" i="1" s="1"/>
  <c r="BO348" i="1"/>
  <c r="BM348" i="1"/>
  <c r="CM348" i="1" s="1"/>
  <c r="BN348" i="1"/>
  <c r="CE348" i="1" s="1"/>
  <c r="BO347" i="1"/>
  <c r="BM347" i="1"/>
  <c r="CM347" i="1" s="1"/>
  <c r="BN347" i="1"/>
  <c r="CE347" i="1" s="1"/>
  <c r="BO346" i="1"/>
  <c r="BM346" i="1"/>
  <c r="CM346" i="1" s="1"/>
  <c r="BN346" i="1"/>
  <c r="CE346" i="1" s="1"/>
  <c r="BO345" i="1"/>
  <c r="BM345" i="1"/>
  <c r="CM345" i="1" s="1"/>
  <c r="BN345" i="1"/>
  <c r="CE345" i="1" s="1"/>
  <c r="BO344" i="1"/>
  <c r="BM344" i="1"/>
  <c r="CM344" i="1" s="1"/>
  <c r="BN344" i="1"/>
  <c r="CE344" i="1" s="1"/>
  <c r="BO343" i="1"/>
  <c r="BM343" i="1"/>
  <c r="CM343" i="1" s="1"/>
  <c r="BN343" i="1"/>
  <c r="CE343" i="1" s="1"/>
  <c r="BO342" i="1"/>
  <c r="BM342" i="1"/>
  <c r="CM342" i="1" s="1"/>
  <c r="BN342" i="1"/>
  <c r="CE342" i="1" s="1"/>
  <c r="BO341" i="1"/>
  <c r="BM341" i="1"/>
  <c r="CM341" i="1" s="1"/>
  <c r="BN341" i="1"/>
  <c r="CE341" i="1" s="1"/>
  <c r="BO340" i="1"/>
  <c r="BM340" i="1"/>
  <c r="CM340" i="1" s="1"/>
  <c r="BN340" i="1"/>
  <c r="CE340" i="1" s="1"/>
  <c r="BO339" i="1"/>
  <c r="BM339" i="1"/>
  <c r="CM339" i="1" s="1"/>
  <c r="BN339" i="1"/>
  <c r="CE339" i="1" s="1"/>
  <c r="BO338" i="1"/>
  <c r="BM338" i="1"/>
  <c r="CM338" i="1" s="1"/>
  <c r="BN338" i="1"/>
  <c r="CE338" i="1" s="1"/>
  <c r="BO337" i="1"/>
  <c r="BM337" i="1"/>
  <c r="CM337" i="1" s="1"/>
  <c r="BN337" i="1"/>
  <c r="CE337" i="1" s="1"/>
  <c r="BO336" i="1"/>
  <c r="BM336" i="1"/>
  <c r="CM336" i="1" s="1"/>
  <c r="BN336" i="1"/>
  <c r="CE336" i="1" s="1"/>
  <c r="BO335" i="1"/>
  <c r="BM335" i="1"/>
  <c r="CM335" i="1" s="1"/>
  <c r="BN335" i="1"/>
  <c r="CE335" i="1" s="1"/>
  <c r="BO334" i="1"/>
  <c r="BM334" i="1"/>
  <c r="CM334" i="1" s="1"/>
  <c r="BN334" i="1"/>
  <c r="CE334" i="1" s="1"/>
  <c r="BO333" i="1"/>
  <c r="BM333" i="1"/>
  <c r="CM333" i="1" s="1"/>
  <c r="BN333" i="1"/>
  <c r="CE333" i="1" s="1"/>
  <c r="BO332" i="1"/>
  <c r="BM332" i="1"/>
  <c r="CM332" i="1" s="1"/>
  <c r="BN332" i="1"/>
  <c r="CE332" i="1" s="1"/>
  <c r="BO331" i="1"/>
  <c r="BM331" i="1"/>
  <c r="CM331" i="1" s="1"/>
  <c r="BN331" i="1"/>
  <c r="CE331" i="1" s="1"/>
  <c r="BO330" i="1"/>
  <c r="BM330" i="1"/>
  <c r="CM330" i="1" s="1"/>
  <c r="BN330" i="1"/>
  <c r="CE330" i="1" s="1"/>
  <c r="BO329" i="1"/>
  <c r="BM329" i="1"/>
  <c r="CM329" i="1" s="1"/>
  <c r="BN329" i="1"/>
  <c r="CE329" i="1" s="1"/>
  <c r="BO328" i="1"/>
  <c r="BM328" i="1"/>
  <c r="CM328" i="1" s="1"/>
  <c r="BN328" i="1"/>
  <c r="CE328" i="1" s="1"/>
  <c r="BO327" i="1"/>
  <c r="BM327" i="1"/>
  <c r="CM327" i="1" s="1"/>
  <c r="BN327" i="1"/>
  <c r="CE327" i="1" s="1"/>
  <c r="BO326" i="1"/>
  <c r="BM326" i="1"/>
  <c r="CM326" i="1" s="1"/>
  <c r="BN326" i="1"/>
  <c r="CE326" i="1" s="1"/>
  <c r="BO325" i="1"/>
  <c r="BM325" i="1"/>
  <c r="CM325" i="1" s="1"/>
  <c r="BN325" i="1"/>
  <c r="CE325" i="1" s="1"/>
  <c r="BO251" i="1"/>
  <c r="BM251" i="1"/>
  <c r="CM251" i="1" s="1"/>
  <c r="BN251" i="1"/>
  <c r="CE251" i="1" s="1"/>
  <c r="BO250" i="1"/>
  <c r="BM250" i="1"/>
  <c r="CM250" i="1" s="1"/>
  <c r="BN250" i="1"/>
  <c r="CE250" i="1" s="1"/>
  <c r="BO249" i="1"/>
  <c r="BM249" i="1"/>
  <c r="CM249" i="1" s="1"/>
  <c r="BN249" i="1"/>
  <c r="CE249" i="1" s="1"/>
  <c r="BO248" i="1"/>
  <c r="BM248" i="1"/>
  <c r="CM248" i="1" s="1"/>
  <c r="BN248" i="1"/>
  <c r="CE248" i="1" s="1"/>
  <c r="BO247" i="1"/>
  <c r="BM247" i="1"/>
  <c r="CM247" i="1" s="1"/>
  <c r="BN247" i="1"/>
  <c r="CE247" i="1" s="1"/>
  <c r="BO246" i="1"/>
  <c r="BM246" i="1"/>
  <c r="CM246" i="1" s="1"/>
  <c r="BN246" i="1"/>
  <c r="CE246" i="1" s="1"/>
  <c r="BO245" i="1"/>
  <c r="BM245" i="1"/>
  <c r="CM245" i="1" s="1"/>
  <c r="BN245" i="1"/>
  <c r="CE245" i="1" s="1"/>
  <c r="BO244" i="1"/>
  <c r="BM244" i="1"/>
  <c r="CM244" i="1" s="1"/>
  <c r="BN244" i="1"/>
  <c r="CE244" i="1" s="1"/>
  <c r="BO243" i="1"/>
  <c r="BM243" i="1"/>
  <c r="CM243" i="1" s="1"/>
  <c r="BN243" i="1"/>
  <c r="CE243" i="1" s="1"/>
  <c r="BO242" i="1"/>
  <c r="BM242" i="1"/>
  <c r="CM242" i="1" s="1"/>
  <c r="BN242" i="1"/>
  <c r="CE242" i="1" s="1"/>
  <c r="BO241" i="1"/>
  <c r="BM241" i="1"/>
  <c r="CM241" i="1" s="1"/>
  <c r="BN241" i="1"/>
  <c r="CE241" i="1" s="1"/>
  <c r="BO240" i="1"/>
  <c r="BM240" i="1"/>
  <c r="CM240" i="1" s="1"/>
  <c r="BN240" i="1"/>
  <c r="CE240" i="1" s="1"/>
  <c r="BO239" i="1"/>
  <c r="BM239" i="1"/>
  <c r="CM239" i="1" s="1"/>
  <c r="BN239" i="1"/>
  <c r="CE239" i="1" s="1"/>
  <c r="BO238" i="1"/>
  <c r="BM238" i="1"/>
  <c r="CM238" i="1" s="1"/>
  <c r="BN238" i="1"/>
  <c r="CE238" i="1" s="1"/>
  <c r="BO237" i="1"/>
  <c r="BM237" i="1"/>
  <c r="CM237" i="1" s="1"/>
  <c r="BN237" i="1"/>
  <c r="CE237" i="1" s="1"/>
  <c r="BO236" i="1"/>
  <c r="BM236" i="1"/>
  <c r="CM236" i="1" s="1"/>
  <c r="BN236" i="1"/>
  <c r="CE236" i="1" s="1"/>
  <c r="BO235" i="1"/>
  <c r="BM235" i="1"/>
  <c r="CM235" i="1" s="1"/>
  <c r="BN235" i="1"/>
  <c r="CE235" i="1" s="1"/>
  <c r="BO234" i="1"/>
  <c r="BM234" i="1"/>
  <c r="CM234" i="1" s="1"/>
  <c r="BN234" i="1"/>
  <c r="CE234" i="1" s="1"/>
  <c r="BO233" i="1"/>
  <c r="BM233" i="1"/>
  <c r="CM233" i="1" s="1"/>
  <c r="BN233" i="1"/>
  <c r="CE233" i="1" s="1"/>
  <c r="BO232" i="1"/>
  <c r="BM232" i="1"/>
  <c r="CM232" i="1" s="1"/>
  <c r="BN232" i="1"/>
  <c r="CE232" i="1" s="1"/>
  <c r="BO231" i="1"/>
  <c r="BM231" i="1"/>
  <c r="CM231" i="1" s="1"/>
  <c r="BN231" i="1"/>
  <c r="CE231" i="1" s="1"/>
  <c r="BO230" i="1"/>
  <c r="BM230" i="1"/>
  <c r="CM230" i="1" s="1"/>
  <c r="BN230" i="1"/>
  <c r="CE230" i="1" s="1"/>
  <c r="BO229" i="1"/>
  <c r="BM229" i="1"/>
  <c r="CM229" i="1" s="1"/>
  <c r="BN229" i="1"/>
  <c r="CE229" i="1" s="1"/>
  <c r="BO228" i="1"/>
  <c r="BM228" i="1"/>
  <c r="CM228" i="1" s="1"/>
  <c r="BN228" i="1"/>
  <c r="CE228" i="1" s="1"/>
  <c r="BO227" i="1"/>
  <c r="BM227" i="1"/>
  <c r="CM227" i="1" s="1"/>
  <c r="BN227" i="1"/>
  <c r="CE227" i="1" s="1"/>
  <c r="BO226" i="1"/>
  <c r="BM226" i="1"/>
  <c r="CM226" i="1" s="1"/>
  <c r="BN226" i="1"/>
  <c r="CE226" i="1" s="1"/>
  <c r="BO225" i="1"/>
  <c r="BM225" i="1"/>
  <c r="CM225" i="1" s="1"/>
  <c r="BN225" i="1"/>
  <c r="CE225" i="1" s="1"/>
  <c r="BO224" i="1"/>
  <c r="BM224" i="1"/>
  <c r="CM224" i="1" s="1"/>
  <c r="BN224" i="1"/>
  <c r="CE224" i="1" s="1"/>
  <c r="BO223" i="1"/>
  <c r="BM223" i="1"/>
  <c r="CM223" i="1" s="1"/>
  <c r="BN223" i="1"/>
  <c r="CE223" i="1" s="1"/>
  <c r="BO222" i="1"/>
  <c r="BM222" i="1"/>
  <c r="CM222" i="1" s="1"/>
  <c r="BN222" i="1"/>
  <c r="CE222" i="1" s="1"/>
  <c r="BO221" i="1"/>
  <c r="BM221" i="1"/>
  <c r="CM221" i="1" s="1"/>
  <c r="BN221" i="1"/>
  <c r="CE221" i="1" s="1"/>
  <c r="BO220" i="1"/>
  <c r="BM220" i="1"/>
  <c r="CM220" i="1" s="1"/>
  <c r="BN220" i="1"/>
  <c r="CE220" i="1" s="1"/>
  <c r="BO219" i="1"/>
  <c r="CU219" i="1" s="1"/>
  <c r="BM219" i="1"/>
  <c r="CM219" i="1" s="1"/>
  <c r="BN219" i="1"/>
  <c r="CE219" i="1" s="1"/>
  <c r="BO218" i="1"/>
  <c r="CU218" i="1" s="1"/>
  <c r="BM218" i="1"/>
  <c r="CM218" i="1" s="1"/>
  <c r="BN218" i="1"/>
  <c r="CE218" i="1" s="1"/>
  <c r="BO205" i="1"/>
  <c r="BM205" i="1"/>
  <c r="CM205" i="1" s="1"/>
  <c r="BN205" i="1"/>
  <c r="CE205" i="1" s="1"/>
  <c r="BO204" i="1"/>
  <c r="BM204" i="1"/>
  <c r="CM204" i="1" s="1"/>
  <c r="BN204" i="1"/>
  <c r="CE204" i="1" s="1"/>
  <c r="BO203" i="1"/>
  <c r="BM203" i="1"/>
  <c r="CM203" i="1" s="1"/>
  <c r="BN203" i="1"/>
  <c r="CE203" i="1" s="1"/>
  <c r="BO202" i="1"/>
  <c r="BM202" i="1"/>
  <c r="CM202" i="1" s="1"/>
  <c r="BN202" i="1"/>
  <c r="CE202" i="1" s="1"/>
  <c r="BO201" i="1"/>
  <c r="BM201" i="1"/>
  <c r="CM201" i="1" s="1"/>
  <c r="BN201" i="1"/>
  <c r="CE201" i="1" s="1"/>
  <c r="BO200" i="1"/>
  <c r="BM200" i="1"/>
  <c r="CM200" i="1" s="1"/>
  <c r="BN200" i="1"/>
  <c r="CE200" i="1" s="1"/>
  <c r="BO199" i="1"/>
  <c r="BM199" i="1"/>
  <c r="CM199" i="1" s="1"/>
  <c r="BN199" i="1"/>
  <c r="CE199" i="1" s="1"/>
  <c r="BO198" i="1"/>
  <c r="BM198" i="1"/>
  <c r="CM198" i="1" s="1"/>
  <c r="BN198" i="1"/>
  <c r="CE198" i="1" s="1"/>
  <c r="BO197" i="1"/>
  <c r="BM197" i="1"/>
  <c r="CM197" i="1" s="1"/>
  <c r="BN197" i="1"/>
  <c r="CE197" i="1" s="1"/>
  <c r="BO196" i="1"/>
  <c r="BM196" i="1"/>
  <c r="CM196" i="1" s="1"/>
  <c r="BN196" i="1"/>
  <c r="CE196" i="1" s="1"/>
  <c r="BO195" i="1"/>
  <c r="BM195" i="1"/>
  <c r="CM195" i="1" s="1"/>
  <c r="BN195" i="1"/>
  <c r="CE195" i="1" s="1"/>
  <c r="BO194" i="1"/>
  <c r="BM194" i="1"/>
  <c r="CM194" i="1" s="1"/>
  <c r="BN194" i="1"/>
  <c r="CE194" i="1" s="1"/>
  <c r="BO193" i="1"/>
  <c r="BM193" i="1"/>
  <c r="CM193" i="1" s="1"/>
  <c r="BN193" i="1"/>
  <c r="CE193" i="1" s="1"/>
  <c r="BO192" i="1"/>
  <c r="BM192" i="1"/>
  <c r="CM192" i="1" s="1"/>
  <c r="BN192" i="1"/>
  <c r="CE192" i="1" s="1"/>
  <c r="BO191" i="1"/>
  <c r="BM191" i="1"/>
  <c r="CM191" i="1" s="1"/>
  <c r="BN191" i="1"/>
  <c r="CE191" i="1" s="1"/>
  <c r="BO190" i="1"/>
  <c r="BM190" i="1"/>
  <c r="CM190" i="1" s="1"/>
  <c r="BN190" i="1"/>
  <c r="CE190" i="1" s="1"/>
  <c r="BO189" i="1"/>
  <c r="BM189" i="1"/>
  <c r="CM189" i="1" s="1"/>
  <c r="BN189" i="1"/>
  <c r="CE189" i="1" s="1"/>
  <c r="BO188" i="1"/>
  <c r="BM188" i="1"/>
  <c r="CM188" i="1" s="1"/>
  <c r="BN188" i="1"/>
  <c r="CE188" i="1" s="1"/>
  <c r="BO187" i="1"/>
  <c r="BM187" i="1"/>
  <c r="CM187" i="1" s="1"/>
  <c r="BN187" i="1"/>
  <c r="CE187" i="1" s="1"/>
  <c r="BO186" i="1"/>
  <c r="BM186" i="1"/>
  <c r="CM186" i="1" s="1"/>
  <c r="BN186" i="1"/>
  <c r="CE186" i="1" s="1"/>
  <c r="BO185" i="1"/>
  <c r="BM185" i="1"/>
  <c r="CM185" i="1" s="1"/>
  <c r="BN185" i="1"/>
  <c r="CE185" i="1" s="1"/>
  <c r="BO184" i="1"/>
  <c r="BM184" i="1"/>
  <c r="CM184" i="1" s="1"/>
  <c r="BN184" i="1"/>
  <c r="CE184" i="1" s="1"/>
  <c r="BO183" i="1"/>
  <c r="BM183" i="1"/>
  <c r="CM183" i="1" s="1"/>
  <c r="BN183" i="1"/>
  <c r="CE183" i="1" s="1"/>
  <c r="BO182" i="1"/>
  <c r="BM182" i="1"/>
  <c r="CM182" i="1" s="1"/>
  <c r="BN182" i="1"/>
  <c r="CE182" i="1" s="1"/>
  <c r="BO181" i="1"/>
  <c r="BM181" i="1"/>
  <c r="CM181" i="1" s="1"/>
  <c r="BN181" i="1"/>
  <c r="CE181" i="1" s="1"/>
  <c r="BO180" i="1"/>
  <c r="BM180" i="1"/>
  <c r="CM180" i="1" s="1"/>
  <c r="BN180" i="1"/>
  <c r="CE180" i="1" s="1"/>
  <c r="BO179" i="1"/>
  <c r="BM179" i="1"/>
  <c r="CM179" i="1" s="1"/>
  <c r="BN179" i="1"/>
  <c r="CE179" i="1" s="1"/>
  <c r="BO178" i="1"/>
  <c r="BM178" i="1"/>
  <c r="CM178" i="1" s="1"/>
  <c r="BN178" i="1"/>
  <c r="CE178" i="1" s="1"/>
  <c r="BO177" i="1"/>
  <c r="BM177" i="1"/>
  <c r="CM177" i="1" s="1"/>
  <c r="BN177" i="1"/>
  <c r="CE177" i="1" s="1"/>
  <c r="BO176" i="1"/>
  <c r="BM176" i="1"/>
  <c r="CM176" i="1" s="1"/>
  <c r="BN176" i="1"/>
  <c r="CE176" i="1" s="1"/>
  <c r="BO175" i="1"/>
  <c r="BM175" i="1"/>
  <c r="CM175" i="1" s="1"/>
  <c r="BN175" i="1"/>
  <c r="CE175" i="1" s="1"/>
  <c r="BO174" i="1"/>
  <c r="BM174" i="1"/>
  <c r="CM174" i="1" s="1"/>
  <c r="BN174" i="1"/>
  <c r="CE174" i="1" s="1"/>
  <c r="BO173" i="1"/>
  <c r="BM173" i="1"/>
  <c r="CM173" i="1" s="1"/>
  <c r="BN173" i="1"/>
  <c r="CE173" i="1" s="1"/>
  <c r="BO172" i="1"/>
  <c r="BM172" i="1"/>
  <c r="BN172" i="1"/>
  <c r="CE172" i="1" s="1"/>
  <c r="CM172" i="1" l="1"/>
  <c r="BM2" i="1"/>
  <c r="CU173" i="1"/>
  <c r="BP173" i="1"/>
  <c r="BQ173" i="1" s="1"/>
  <c r="CU175" i="1"/>
  <c r="BP175" i="1"/>
  <c r="BQ175" i="1" s="1"/>
  <c r="CU177" i="1"/>
  <c r="BP177" i="1"/>
  <c r="BQ177" i="1" s="1"/>
  <c r="CU179" i="1"/>
  <c r="BP179" i="1"/>
  <c r="BQ179" i="1" s="1"/>
  <c r="CU181" i="1"/>
  <c r="BP181" i="1"/>
  <c r="BQ181" i="1" s="1"/>
  <c r="CU183" i="1"/>
  <c r="BP183" i="1"/>
  <c r="BQ183" i="1" s="1"/>
  <c r="CU185" i="1"/>
  <c r="BP185" i="1"/>
  <c r="BQ185" i="1" s="1"/>
  <c r="CU187" i="1"/>
  <c r="BP187" i="1"/>
  <c r="BQ187" i="1" s="1"/>
  <c r="CU189" i="1"/>
  <c r="BP189" i="1"/>
  <c r="BQ189" i="1" s="1"/>
  <c r="CU191" i="1"/>
  <c r="BP191" i="1"/>
  <c r="BQ191" i="1" s="1"/>
  <c r="CU193" i="1"/>
  <c r="BP193" i="1"/>
  <c r="BQ193" i="1" s="1"/>
  <c r="CU195" i="1"/>
  <c r="BP195" i="1"/>
  <c r="BQ195" i="1" s="1"/>
  <c r="CU197" i="1"/>
  <c r="BP197" i="1"/>
  <c r="BQ197" i="1" s="1"/>
  <c r="CU199" i="1"/>
  <c r="BP199" i="1"/>
  <c r="BQ199" i="1" s="1"/>
  <c r="CU201" i="1"/>
  <c r="BP201" i="1"/>
  <c r="BQ201" i="1" s="1"/>
  <c r="CU203" i="1"/>
  <c r="BP203" i="1"/>
  <c r="BQ203" i="1" s="1"/>
  <c r="CU205" i="1"/>
  <c r="BP205" i="1"/>
  <c r="BQ205" i="1" s="1"/>
  <c r="CU221" i="1"/>
  <c r="BP221" i="1"/>
  <c r="BQ221" i="1" s="1"/>
  <c r="CU223" i="1"/>
  <c r="BP223" i="1"/>
  <c r="BQ223" i="1" s="1"/>
  <c r="CU225" i="1"/>
  <c r="BP225" i="1"/>
  <c r="BQ225" i="1" s="1"/>
  <c r="CU227" i="1"/>
  <c r="BP227" i="1"/>
  <c r="BQ227" i="1" s="1"/>
  <c r="CU229" i="1"/>
  <c r="BP229" i="1"/>
  <c r="BQ229" i="1" s="1"/>
  <c r="CU231" i="1"/>
  <c r="BP231" i="1"/>
  <c r="BQ231" i="1" s="1"/>
  <c r="CU233" i="1"/>
  <c r="BP233" i="1"/>
  <c r="BQ233" i="1" s="1"/>
  <c r="CU235" i="1"/>
  <c r="BP235" i="1"/>
  <c r="BQ235" i="1" s="1"/>
  <c r="CU237" i="1"/>
  <c r="BP237" i="1"/>
  <c r="BQ237" i="1" s="1"/>
  <c r="CU239" i="1"/>
  <c r="BP239" i="1"/>
  <c r="BQ239" i="1" s="1"/>
  <c r="CU241" i="1"/>
  <c r="BP241" i="1"/>
  <c r="BQ241" i="1" s="1"/>
  <c r="CU243" i="1"/>
  <c r="BP243" i="1"/>
  <c r="BQ243" i="1" s="1"/>
  <c r="CU245" i="1"/>
  <c r="BP245" i="1"/>
  <c r="BQ245" i="1" s="1"/>
  <c r="CU247" i="1"/>
  <c r="BP247" i="1"/>
  <c r="BQ247" i="1" s="1"/>
  <c r="CU249" i="1"/>
  <c r="BP249" i="1"/>
  <c r="BQ249" i="1" s="1"/>
  <c r="CU251" i="1"/>
  <c r="BP251" i="1"/>
  <c r="BQ251" i="1" s="1"/>
  <c r="CU326" i="1"/>
  <c r="BP326" i="1"/>
  <c r="BQ326" i="1" s="1"/>
  <c r="CU328" i="1"/>
  <c r="BP328" i="1"/>
  <c r="BQ328" i="1" s="1"/>
  <c r="CU330" i="1"/>
  <c r="BP330" i="1"/>
  <c r="BQ330" i="1" s="1"/>
  <c r="CU332" i="1"/>
  <c r="BP332" i="1"/>
  <c r="BQ332" i="1" s="1"/>
  <c r="CU334" i="1"/>
  <c r="BP334" i="1"/>
  <c r="BQ334" i="1" s="1"/>
  <c r="CU336" i="1"/>
  <c r="BP336" i="1"/>
  <c r="BQ336" i="1" s="1"/>
  <c r="CU338" i="1"/>
  <c r="BP338" i="1"/>
  <c r="BQ338" i="1" s="1"/>
  <c r="CU340" i="1"/>
  <c r="BP340" i="1"/>
  <c r="BQ340" i="1" s="1"/>
  <c r="CU342" i="1"/>
  <c r="BP342" i="1"/>
  <c r="BQ342" i="1" s="1"/>
  <c r="CU344" i="1"/>
  <c r="BP344" i="1"/>
  <c r="BQ344" i="1" s="1"/>
  <c r="CU346" i="1"/>
  <c r="BP346" i="1"/>
  <c r="BQ346" i="1" s="1"/>
  <c r="CU348" i="1"/>
  <c r="BP348" i="1"/>
  <c r="BQ348" i="1" s="1"/>
  <c r="CU350" i="1"/>
  <c r="BP350" i="1"/>
  <c r="BQ350" i="1" s="1"/>
  <c r="CU352" i="1"/>
  <c r="BP352" i="1"/>
  <c r="BQ352" i="1" s="1"/>
  <c r="CU354" i="1"/>
  <c r="BP354" i="1"/>
  <c r="BQ354" i="1" s="1"/>
  <c r="CU356" i="1"/>
  <c r="BP356" i="1"/>
  <c r="BQ356" i="1" s="1"/>
  <c r="CU358" i="1"/>
  <c r="BP358" i="1"/>
  <c r="BQ358" i="1" s="1"/>
  <c r="CU360" i="1"/>
  <c r="BP360" i="1"/>
  <c r="BQ360" i="1" s="1"/>
  <c r="CU362" i="1"/>
  <c r="BP362" i="1"/>
  <c r="BQ362" i="1" s="1"/>
  <c r="CU364" i="1"/>
  <c r="BP364" i="1"/>
  <c r="BQ364" i="1" s="1"/>
  <c r="CU366" i="1"/>
  <c r="BP366" i="1"/>
  <c r="BQ366" i="1" s="1"/>
  <c r="CU368" i="1"/>
  <c r="BP368" i="1"/>
  <c r="BQ368" i="1" s="1"/>
  <c r="CU370" i="1"/>
  <c r="BP370" i="1"/>
  <c r="BQ370" i="1" s="1"/>
  <c r="CU372" i="1"/>
  <c r="BP372" i="1"/>
  <c r="BQ372" i="1" s="1"/>
  <c r="CU172" i="1"/>
  <c r="BP172" i="1"/>
  <c r="BQ172" i="1" s="1"/>
  <c r="CU174" i="1"/>
  <c r="BP174" i="1"/>
  <c r="BQ174" i="1" s="1"/>
  <c r="CU176" i="1"/>
  <c r="BP176" i="1"/>
  <c r="BQ176" i="1" s="1"/>
  <c r="CU178" i="1"/>
  <c r="BP178" i="1"/>
  <c r="BQ178" i="1" s="1"/>
  <c r="CU180" i="1"/>
  <c r="BP180" i="1"/>
  <c r="BQ180" i="1" s="1"/>
  <c r="CU182" i="1"/>
  <c r="BP182" i="1"/>
  <c r="BQ182" i="1" s="1"/>
  <c r="CU184" i="1"/>
  <c r="BP184" i="1"/>
  <c r="BQ184" i="1" s="1"/>
  <c r="CU186" i="1"/>
  <c r="BP186" i="1"/>
  <c r="BQ186" i="1" s="1"/>
  <c r="CU188" i="1"/>
  <c r="BP188" i="1"/>
  <c r="BQ188" i="1" s="1"/>
  <c r="CU190" i="1"/>
  <c r="BP190" i="1"/>
  <c r="BQ190" i="1" s="1"/>
  <c r="CU192" i="1"/>
  <c r="BP192" i="1"/>
  <c r="BQ192" i="1" s="1"/>
  <c r="CU194" i="1"/>
  <c r="BP194" i="1"/>
  <c r="BQ194" i="1" s="1"/>
  <c r="CU196" i="1"/>
  <c r="BP196" i="1"/>
  <c r="BQ196" i="1" s="1"/>
  <c r="CU198" i="1"/>
  <c r="BP198" i="1"/>
  <c r="BQ198" i="1" s="1"/>
  <c r="CU200" i="1"/>
  <c r="BP200" i="1"/>
  <c r="BQ200" i="1" s="1"/>
  <c r="CU202" i="1"/>
  <c r="BP202" i="1"/>
  <c r="BQ202" i="1" s="1"/>
  <c r="CU204" i="1"/>
  <c r="BP204" i="1"/>
  <c r="BQ204" i="1" s="1"/>
  <c r="CU220" i="1"/>
  <c r="BP220" i="1"/>
  <c r="BQ220" i="1" s="1"/>
  <c r="CU222" i="1"/>
  <c r="BP222" i="1"/>
  <c r="BQ222" i="1" s="1"/>
  <c r="CU224" i="1"/>
  <c r="BP224" i="1"/>
  <c r="BQ224" i="1" s="1"/>
  <c r="CU226" i="1"/>
  <c r="BP226" i="1"/>
  <c r="BQ226" i="1" s="1"/>
  <c r="CU228" i="1"/>
  <c r="BP228" i="1"/>
  <c r="BQ228" i="1" s="1"/>
  <c r="CU230" i="1"/>
  <c r="BP230" i="1"/>
  <c r="BQ230" i="1" s="1"/>
  <c r="CU232" i="1"/>
  <c r="BP232" i="1"/>
  <c r="BQ232" i="1" s="1"/>
  <c r="CU234" i="1"/>
  <c r="BP234" i="1"/>
  <c r="BQ234" i="1" s="1"/>
  <c r="CU236" i="1"/>
  <c r="BP236" i="1"/>
  <c r="BQ236" i="1" s="1"/>
  <c r="CU238" i="1"/>
  <c r="BP238" i="1"/>
  <c r="BQ238" i="1" s="1"/>
  <c r="CU240" i="1"/>
  <c r="BP240" i="1"/>
  <c r="BQ240" i="1" s="1"/>
  <c r="CU242" i="1"/>
  <c r="BP242" i="1"/>
  <c r="BQ242" i="1" s="1"/>
  <c r="CU244" i="1"/>
  <c r="BP244" i="1"/>
  <c r="BQ244" i="1" s="1"/>
  <c r="CU246" i="1"/>
  <c r="BP246" i="1"/>
  <c r="BQ246" i="1" s="1"/>
  <c r="CU248" i="1"/>
  <c r="BP248" i="1"/>
  <c r="BQ248" i="1" s="1"/>
  <c r="CU250" i="1"/>
  <c r="BP250" i="1"/>
  <c r="BQ250" i="1" s="1"/>
  <c r="CU325" i="1"/>
  <c r="BP325" i="1"/>
  <c r="BQ325" i="1" s="1"/>
  <c r="CU327" i="1"/>
  <c r="BP327" i="1"/>
  <c r="BQ327" i="1" s="1"/>
  <c r="CU329" i="1"/>
  <c r="BP329" i="1"/>
  <c r="BQ329" i="1" s="1"/>
  <c r="CU331" i="1"/>
  <c r="BP331" i="1"/>
  <c r="BQ331" i="1" s="1"/>
  <c r="CU333" i="1"/>
  <c r="BP333" i="1"/>
  <c r="BQ333" i="1" s="1"/>
  <c r="CU335" i="1"/>
  <c r="BP335" i="1"/>
  <c r="BQ335" i="1" s="1"/>
  <c r="CU337" i="1"/>
  <c r="BP337" i="1"/>
  <c r="BQ337" i="1" s="1"/>
  <c r="CU339" i="1"/>
  <c r="BP339" i="1"/>
  <c r="BQ339" i="1" s="1"/>
  <c r="CU341" i="1"/>
  <c r="BP341" i="1"/>
  <c r="BQ341" i="1" s="1"/>
  <c r="CU343" i="1"/>
  <c r="BP343" i="1"/>
  <c r="BQ343" i="1" s="1"/>
  <c r="CU345" i="1"/>
  <c r="BP345" i="1"/>
  <c r="BQ345" i="1" s="1"/>
  <c r="CU347" i="1"/>
  <c r="BP347" i="1"/>
  <c r="BQ347" i="1" s="1"/>
  <c r="CU349" i="1"/>
  <c r="BP349" i="1"/>
  <c r="BQ349" i="1" s="1"/>
  <c r="CU351" i="1"/>
  <c r="BP351" i="1"/>
  <c r="BQ351" i="1" s="1"/>
  <c r="CU353" i="1"/>
  <c r="BP353" i="1"/>
  <c r="BQ353" i="1" s="1"/>
  <c r="CU355" i="1"/>
  <c r="BP355" i="1"/>
  <c r="BQ355" i="1" s="1"/>
  <c r="CU357" i="1"/>
  <c r="BP357" i="1"/>
  <c r="BQ357" i="1" s="1"/>
  <c r="CU359" i="1"/>
  <c r="BP359" i="1"/>
  <c r="BQ359" i="1" s="1"/>
  <c r="CU361" i="1"/>
  <c r="BP361" i="1"/>
  <c r="BQ361" i="1" s="1"/>
  <c r="CU363" i="1"/>
  <c r="BP363" i="1"/>
  <c r="BQ363" i="1" s="1"/>
  <c r="CU365" i="1"/>
  <c r="BP365" i="1"/>
  <c r="BQ365" i="1" s="1"/>
  <c r="CU367" i="1"/>
  <c r="BP367" i="1"/>
  <c r="BQ367" i="1" s="1"/>
  <c r="CU369" i="1"/>
  <c r="BP369" i="1"/>
  <c r="BQ369" i="1" s="1"/>
  <c r="CU371" i="1"/>
  <c r="BP371" i="1"/>
  <c r="BQ371" i="1" s="1"/>
  <c r="CZ281" i="1"/>
  <c r="BP385" i="1"/>
  <c r="CZ312" i="1"/>
  <c r="BP380" i="1"/>
  <c r="BQ216" i="1"/>
  <c r="DA216" i="1" s="1"/>
  <c r="CZ216" i="1"/>
  <c r="BQ215" i="1"/>
  <c r="DA215" i="1" s="1"/>
  <c r="CZ215" i="1"/>
  <c r="BQ211" i="1"/>
  <c r="DA211" i="1" s="1"/>
  <c r="CZ211" i="1"/>
  <c r="BQ207" i="1"/>
  <c r="DA207" i="1" s="1"/>
  <c r="CZ207" i="1"/>
  <c r="BQ214" i="1"/>
  <c r="DA214" i="1" s="1"/>
  <c r="CZ214" i="1"/>
  <c r="BQ212" i="1"/>
  <c r="DA212" i="1" s="1"/>
  <c r="CZ212" i="1"/>
  <c r="BQ210" i="1"/>
  <c r="DA210" i="1" s="1"/>
  <c r="CZ210" i="1"/>
  <c r="BQ208" i="1"/>
  <c r="DA208" i="1" s="1"/>
  <c r="CZ208" i="1"/>
  <c r="BQ206" i="1"/>
  <c r="DA206" i="1" s="1"/>
  <c r="CZ206" i="1"/>
  <c r="DA317" i="1"/>
  <c r="CZ317" i="1"/>
  <c r="DA309" i="1"/>
  <c r="CZ309" i="1"/>
  <c r="DA301" i="1"/>
  <c r="CZ301" i="1"/>
  <c r="DA293" i="1"/>
  <c r="CZ293" i="1"/>
  <c r="DA285" i="1"/>
  <c r="CZ285" i="1"/>
  <c r="DA277" i="1"/>
  <c r="CZ277" i="1"/>
  <c r="DA269" i="1"/>
  <c r="CZ269" i="1"/>
  <c r="DA261" i="1"/>
  <c r="CZ261" i="1"/>
  <c r="DA253" i="1"/>
  <c r="CZ253" i="1"/>
  <c r="BQ217" i="1"/>
  <c r="DA217" i="1" s="1"/>
  <c r="CZ217" i="1"/>
  <c r="BQ213" i="1"/>
  <c r="DA213" i="1" s="1"/>
  <c r="CZ213" i="1"/>
  <c r="BQ209" i="1"/>
  <c r="DA209" i="1" s="1"/>
  <c r="CZ209" i="1"/>
  <c r="DA158" i="1"/>
  <c r="CZ158" i="1"/>
  <c r="DA156" i="1"/>
  <c r="CZ156" i="1"/>
  <c r="DA154" i="1"/>
  <c r="CZ154" i="1"/>
  <c r="DA152" i="1"/>
  <c r="CZ152" i="1"/>
  <c r="DA171" i="1"/>
  <c r="CZ171" i="1"/>
  <c r="DA167" i="1"/>
  <c r="CZ167" i="1"/>
  <c r="DA163" i="1"/>
  <c r="CZ163" i="1"/>
  <c r="DA138" i="1"/>
  <c r="CZ1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372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E371" i="23" l="1"/>
  <c r="D371" i="23"/>
  <c r="E370" i="23"/>
  <c r="D370" i="23"/>
  <c r="E369" i="23"/>
  <c r="D369" i="23"/>
  <c r="E368" i="23"/>
  <c r="D368" i="23"/>
  <c r="E367" i="23"/>
  <c r="D367" i="23"/>
  <c r="E366" i="23"/>
  <c r="D366" i="23"/>
  <c r="E365" i="23"/>
  <c r="D365" i="23"/>
  <c r="E364" i="23"/>
  <c r="D364" i="23"/>
  <c r="E363" i="23"/>
  <c r="D363" i="23"/>
  <c r="E362" i="23"/>
  <c r="D362" i="23"/>
  <c r="E361" i="23"/>
  <c r="D361" i="23"/>
  <c r="E360" i="23"/>
  <c r="D360" i="23"/>
  <c r="E359" i="23"/>
  <c r="D359" i="23"/>
  <c r="E358" i="23"/>
  <c r="D358" i="23"/>
  <c r="E357" i="23"/>
  <c r="D357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F324" i="23"/>
  <c r="E324" i="23"/>
  <c r="D324" i="23"/>
  <c r="F323" i="23"/>
  <c r="E323" i="23"/>
  <c r="D323" i="23"/>
  <c r="F322" i="23"/>
  <c r="E322" i="23"/>
  <c r="D322" i="23"/>
  <c r="F321" i="23"/>
  <c r="E321" i="23"/>
  <c r="D321" i="23"/>
  <c r="F320" i="23"/>
  <c r="E320" i="23"/>
  <c r="D320" i="23"/>
  <c r="F319" i="23"/>
  <c r="E319" i="23"/>
  <c r="D319" i="23"/>
  <c r="F318" i="23"/>
  <c r="E318" i="23"/>
  <c r="D318" i="23"/>
  <c r="F317" i="23"/>
  <c r="E317" i="23"/>
  <c r="D317" i="23"/>
  <c r="F316" i="23"/>
  <c r="E316" i="23"/>
  <c r="D316" i="23"/>
  <c r="F315" i="23"/>
  <c r="E315" i="23"/>
  <c r="D315" i="23"/>
  <c r="F314" i="23"/>
  <c r="E314" i="23"/>
  <c r="D314" i="23"/>
  <c r="F313" i="23"/>
  <c r="E313" i="23"/>
  <c r="D313" i="23"/>
  <c r="F312" i="23"/>
  <c r="E312" i="23"/>
  <c r="D312" i="23"/>
  <c r="F311" i="23"/>
  <c r="E311" i="23"/>
  <c r="D311" i="23"/>
  <c r="F310" i="23"/>
  <c r="E310" i="23"/>
  <c r="D310" i="23"/>
  <c r="F309" i="23"/>
  <c r="E309" i="23"/>
  <c r="D309" i="23"/>
  <c r="F308" i="23"/>
  <c r="E308" i="23"/>
  <c r="D308" i="23"/>
  <c r="F307" i="23"/>
  <c r="E307" i="23"/>
  <c r="D307" i="23"/>
  <c r="F306" i="23"/>
  <c r="E306" i="23"/>
  <c r="D306" i="23"/>
  <c r="F305" i="23"/>
  <c r="E305" i="23"/>
  <c r="D305" i="23"/>
  <c r="F304" i="23"/>
  <c r="E304" i="23"/>
  <c r="D304" i="23"/>
  <c r="F303" i="23"/>
  <c r="E303" i="23"/>
  <c r="D303" i="23"/>
  <c r="F302" i="23"/>
  <c r="E302" i="23"/>
  <c r="D302" i="23"/>
  <c r="F301" i="23"/>
  <c r="E301" i="23"/>
  <c r="D301" i="23"/>
  <c r="F300" i="23"/>
  <c r="E300" i="23"/>
  <c r="D300" i="23"/>
  <c r="F299" i="23"/>
  <c r="E299" i="23"/>
  <c r="D299" i="23"/>
  <c r="F298" i="23"/>
  <c r="E298" i="23"/>
  <c r="D298" i="23"/>
  <c r="F297" i="23"/>
  <c r="E297" i="23"/>
  <c r="D297" i="23"/>
  <c r="F296" i="23"/>
  <c r="E296" i="23"/>
  <c r="D296" i="23"/>
  <c r="F295" i="23"/>
  <c r="E295" i="23"/>
  <c r="D295" i="23"/>
  <c r="F294" i="23"/>
  <c r="E294" i="23"/>
  <c r="D294" i="23"/>
  <c r="F293" i="23"/>
  <c r="E293" i="23"/>
  <c r="D293" i="23"/>
  <c r="F292" i="23"/>
  <c r="E292" i="23"/>
  <c r="D292" i="23"/>
  <c r="F291" i="23"/>
  <c r="E291" i="23"/>
  <c r="D291" i="23"/>
  <c r="F290" i="23"/>
  <c r="E290" i="23"/>
  <c r="D290" i="23"/>
  <c r="F289" i="23"/>
  <c r="E289" i="23"/>
  <c r="D289" i="23"/>
  <c r="F288" i="23"/>
  <c r="E288" i="23"/>
  <c r="D288" i="23"/>
  <c r="F287" i="23"/>
  <c r="E287" i="23"/>
  <c r="D287" i="23"/>
  <c r="F286" i="23"/>
  <c r="E286" i="23"/>
  <c r="D286" i="23"/>
  <c r="F285" i="23"/>
  <c r="E285" i="23"/>
  <c r="D285" i="23"/>
  <c r="F284" i="23"/>
  <c r="E284" i="23"/>
  <c r="D284" i="23"/>
  <c r="F283" i="23"/>
  <c r="E283" i="23"/>
  <c r="D283" i="23"/>
  <c r="F282" i="23"/>
  <c r="E282" i="23"/>
  <c r="D282" i="23"/>
  <c r="F281" i="23"/>
  <c r="E281" i="23"/>
  <c r="D281" i="23"/>
  <c r="F280" i="23"/>
  <c r="E280" i="23"/>
  <c r="D280" i="23"/>
  <c r="F279" i="23"/>
  <c r="E279" i="23"/>
  <c r="D279" i="23"/>
  <c r="F278" i="23"/>
  <c r="E278" i="23"/>
  <c r="D278" i="23"/>
  <c r="F277" i="23"/>
  <c r="E277" i="23"/>
  <c r="D277" i="23"/>
  <c r="F276" i="23"/>
  <c r="E276" i="23"/>
  <c r="D276" i="23"/>
  <c r="F275" i="23"/>
  <c r="E275" i="23"/>
  <c r="D275" i="23"/>
  <c r="F274" i="23"/>
  <c r="E274" i="23"/>
  <c r="D274" i="23"/>
  <c r="F273" i="23"/>
  <c r="E273" i="23"/>
  <c r="D273" i="23"/>
  <c r="F272" i="23"/>
  <c r="E272" i="23"/>
  <c r="D272" i="23"/>
  <c r="F271" i="23"/>
  <c r="E271" i="23"/>
  <c r="D271" i="23"/>
  <c r="F270" i="23"/>
  <c r="E270" i="23"/>
  <c r="D270" i="23"/>
  <c r="F269" i="23"/>
  <c r="E269" i="23"/>
  <c r="D269" i="23"/>
  <c r="F268" i="23"/>
  <c r="E268" i="23"/>
  <c r="D268" i="23"/>
  <c r="F267" i="23"/>
  <c r="E267" i="23"/>
  <c r="D267" i="23"/>
  <c r="F266" i="23"/>
  <c r="E266" i="23"/>
  <c r="D266" i="23"/>
  <c r="F265" i="23"/>
  <c r="E265" i="23"/>
  <c r="D265" i="23"/>
  <c r="F264" i="23"/>
  <c r="E264" i="23"/>
  <c r="D264" i="23"/>
  <c r="F263" i="23"/>
  <c r="E263" i="23"/>
  <c r="D263" i="23"/>
  <c r="F262" i="23"/>
  <c r="E262" i="23"/>
  <c r="D262" i="23"/>
  <c r="F261" i="23"/>
  <c r="E261" i="23"/>
  <c r="D261" i="23"/>
  <c r="F260" i="23"/>
  <c r="E260" i="23"/>
  <c r="D260" i="23"/>
  <c r="F259" i="23"/>
  <c r="E259" i="23"/>
  <c r="D259" i="23"/>
  <c r="F258" i="23"/>
  <c r="E258" i="23"/>
  <c r="D258" i="23"/>
  <c r="F257" i="23"/>
  <c r="E257" i="23"/>
  <c r="D257" i="23"/>
  <c r="F256" i="23"/>
  <c r="E256" i="23"/>
  <c r="D256" i="23"/>
  <c r="F255" i="23"/>
  <c r="E255" i="23"/>
  <c r="D255" i="23"/>
  <c r="F254" i="23"/>
  <c r="E254" i="23"/>
  <c r="D254" i="23"/>
  <c r="F253" i="23"/>
  <c r="E253" i="23"/>
  <c r="D253" i="23"/>
  <c r="F252" i="23"/>
  <c r="E252" i="23"/>
  <c r="D252" i="23"/>
  <c r="E251" i="23"/>
  <c r="D251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E218" i="23"/>
  <c r="D218" i="23"/>
  <c r="F217" i="23"/>
  <c r="E217" i="23"/>
  <c r="D217" i="23"/>
  <c r="F216" i="23"/>
  <c r="E216" i="23"/>
  <c r="D216" i="23"/>
  <c r="F215" i="23"/>
  <c r="E215" i="23"/>
  <c r="D215" i="23"/>
  <c r="F214" i="23"/>
  <c r="E214" i="23"/>
  <c r="D214" i="23"/>
  <c r="F213" i="23"/>
  <c r="E213" i="23"/>
  <c r="D213" i="23"/>
  <c r="F212" i="23"/>
  <c r="E212" i="23"/>
  <c r="D212" i="23"/>
  <c r="F211" i="23"/>
  <c r="E211" i="23"/>
  <c r="D211" i="23"/>
  <c r="F210" i="23"/>
  <c r="E210" i="23"/>
  <c r="D210" i="23"/>
  <c r="F209" i="23"/>
  <c r="E209" i="23"/>
  <c r="D209" i="23"/>
  <c r="F208" i="23"/>
  <c r="E208" i="23"/>
  <c r="D208" i="23"/>
  <c r="F207" i="23"/>
  <c r="E207" i="23"/>
  <c r="D207" i="23"/>
  <c r="F206" i="23"/>
  <c r="E206" i="23"/>
  <c r="D206" i="23"/>
  <c r="E205" i="23"/>
  <c r="D205" i="23"/>
  <c r="E204" i="23"/>
  <c r="D204" i="23"/>
  <c r="E203" i="23"/>
  <c r="D203" i="23"/>
  <c r="E202" i="23"/>
  <c r="D202" i="23"/>
  <c r="E201" i="23"/>
  <c r="D201" i="23"/>
  <c r="E200" i="23"/>
  <c r="D200" i="23"/>
  <c r="E199" i="23"/>
  <c r="D199" i="23"/>
  <c r="E198" i="23"/>
  <c r="D198" i="23"/>
  <c r="E197" i="23"/>
  <c r="D197" i="23"/>
  <c r="E196" i="23"/>
  <c r="D196" i="23"/>
  <c r="E195" i="23"/>
  <c r="D195" i="23"/>
  <c r="E194" i="23"/>
  <c r="D194" i="23"/>
  <c r="E193" i="23"/>
  <c r="D193" i="23"/>
  <c r="E192" i="23"/>
  <c r="D192" i="23"/>
  <c r="E191" i="23"/>
  <c r="D191" i="23"/>
  <c r="E190" i="23"/>
  <c r="D190" i="23"/>
  <c r="E189" i="23"/>
  <c r="D189" i="23"/>
  <c r="E188" i="23"/>
  <c r="D188" i="23"/>
  <c r="E187" i="23"/>
  <c r="D187" i="23"/>
  <c r="E186" i="23"/>
  <c r="D186" i="23"/>
  <c r="E185" i="23"/>
  <c r="D185" i="23"/>
  <c r="E184" i="23"/>
  <c r="D184" i="23"/>
  <c r="E183" i="23"/>
  <c r="D183" i="23"/>
  <c r="E182" i="23"/>
  <c r="D182" i="23"/>
  <c r="E181" i="23"/>
  <c r="D181" i="23"/>
  <c r="E180" i="23"/>
  <c r="D180" i="23"/>
  <c r="E179" i="23"/>
  <c r="D179" i="23"/>
  <c r="E178" i="23"/>
  <c r="D178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F171" i="23"/>
  <c r="E171" i="23"/>
  <c r="D171" i="23"/>
  <c r="F170" i="23"/>
  <c r="E170" i="23"/>
  <c r="D170" i="23"/>
  <c r="F169" i="23"/>
  <c r="E169" i="23"/>
  <c r="D169" i="23"/>
  <c r="F168" i="23"/>
  <c r="E168" i="23"/>
  <c r="D168" i="23"/>
  <c r="F167" i="23"/>
  <c r="E167" i="23"/>
  <c r="D167" i="23"/>
  <c r="F166" i="23"/>
  <c r="E166" i="23"/>
  <c r="D166" i="23"/>
  <c r="F165" i="23"/>
  <c r="E165" i="23"/>
  <c r="D165" i="23"/>
  <c r="F164" i="23"/>
  <c r="E164" i="23"/>
  <c r="D164" i="23"/>
  <c r="F163" i="23"/>
  <c r="E163" i="23"/>
  <c r="D163" i="23"/>
  <c r="F162" i="23"/>
  <c r="E162" i="23"/>
  <c r="D162" i="23"/>
  <c r="F161" i="23"/>
  <c r="E161" i="23"/>
  <c r="D161" i="23"/>
  <c r="F160" i="23"/>
  <c r="E160" i="23"/>
  <c r="D160" i="23"/>
  <c r="F159" i="23"/>
  <c r="E159" i="23"/>
  <c r="D159" i="23"/>
  <c r="F158" i="23"/>
  <c r="E158" i="23"/>
  <c r="D158" i="23"/>
  <c r="F157" i="23"/>
  <c r="E157" i="23"/>
  <c r="D157" i="23"/>
  <c r="F156" i="23"/>
  <c r="E156" i="23"/>
  <c r="D156" i="23"/>
  <c r="F155" i="23"/>
  <c r="E155" i="23"/>
  <c r="D155" i="23"/>
  <c r="F154" i="23"/>
  <c r="E154" i="23"/>
  <c r="D154" i="23"/>
  <c r="F153" i="23"/>
  <c r="E153" i="23"/>
  <c r="D153" i="23"/>
  <c r="F152" i="23"/>
  <c r="E152" i="23"/>
  <c r="D152" i="23"/>
  <c r="F151" i="23"/>
  <c r="E151" i="23"/>
  <c r="D151" i="23"/>
  <c r="F150" i="23"/>
  <c r="E150" i="23"/>
  <c r="D150" i="23"/>
  <c r="F149" i="23"/>
  <c r="E149" i="23"/>
  <c r="D149" i="23"/>
  <c r="F148" i="23"/>
  <c r="E148" i="23"/>
  <c r="D148" i="23"/>
  <c r="F147" i="23"/>
  <c r="E147" i="23"/>
  <c r="D147" i="23"/>
  <c r="F146" i="23"/>
  <c r="E146" i="23"/>
  <c r="D146" i="23"/>
  <c r="F145" i="23"/>
  <c r="E145" i="23"/>
  <c r="D145" i="23"/>
  <c r="F144" i="23"/>
  <c r="E144" i="23"/>
  <c r="D144" i="23"/>
  <c r="F143" i="23"/>
  <c r="E143" i="23"/>
  <c r="D143" i="23"/>
  <c r="F142" i="23"/>
  <c r="E142" i="23"/>
  <c r="D142" i="23"/>
  <c r="F141" i="23"/>
  <c r="E141" i="23"/>
  <c r="D141" i="23"/>
  <c r="F140" i="23"/>
  <c r="E140" i="23"/>
  <c r="D140" i="23"/>
  <c r="F139" i="23"/>
  <c r="E139" i="23"/>
  <c r="D139" i="23"/>
  <c r="F138" i="23"/>
  <c r="E138" i="23"/>
  <c r="D138" i="23"/>
  <c r="F137" i="23"/>
  <c r="E137" i="23"/>
  <c r="D137" i="23"/>
  <c r="F136" i="23"/>
  <c r="E136" i="23"/>
  <c r="D136" i="23"/>
  <c r="F135" i="23"/>
  <c r="E135" i="23"/>
  <c r="D135" i="23"/>
  <c r="F134" i="23"/>
  <c r="E134" i="23"/>
  <c r="D134" i="23"/>
  <c r="F133" i="23"/>
  <c r="E133" i="23"/>
  <c r="D133" i="23"/>
  <c r="F132" i="23"/>
  <c r="E132" i="23"/>
  <c r="D132" i="23"/>
  <c r="F131" i="23"/>
  <c r="E131" i="23"/>
  <c r="D131" i="23"/>
  <c r="F130" i="23"/>
  <c r="E130" i="23"/>
  <c r="D130" i="23"/>
  <c r="F129" i="23"/>
  <c r="E129" i="23"/>
  <c r="D129" i="23"/>
  <c r="F128" i="23"/>
  <c r="E128" i="23"/>
  <c r="D128" i="23"/>
  <c r="F127" i="23"/>
  <c r="E127" i="23"/>
  <c r="D127" i="23"/>
  <c r="F126" i="23"/>
  <c r="E126" i="23"/>
  <c r="D126" i="23"/>
  <c r="F125" i="23"/>
  <c r="E125" i="23"/>
  <c r="D125" i="23"/>
  <c r="F124" i="23"/>
  <c r="E124" i="23"/>
  <c r="D124" i="23"/>
  <c r="F123" i="23"/>
  <c r="E123" i="23"/>
  <c r="D123" i="23"/>
  <c r="F122" i="23"/>
  <c r="E122" i="23"/>
  <c r="D122" i="23"/>
  <c r="F121" i="23"/>
  <c r="E121" i="23"/>
  <c r="D121" i="23"/>
  <c r="F120" i="23"/>
  <c r="E120" i="23"/>
  <c r="D120" i="23"/>
  <c r="F119" i="23"/>
  <c r="E119" i="23"/>
  <c r="D119" i="23"/>
  <c r="F118" i="23"/>
  <c r="E118" i="23"/>
  <c r="D118" i="23"/>
  <c r="F117" i="23"/>
  <c r="E117" i="23"/>
  <c r="D117" i="23"/>
  <c r="F116" i="23"/>
  <c r="E116" i="23"/>
  <c r="D116" i="23"/>
  <c r="F115" i="23"/>
  <c r="E115" i="23"/>
  <c r="D115" i="23"/>
  <c r="F114" i="23"/>
  <c r="E114" i="23"/>
  <c r="D114" i="23"/>
  <c r="F113" i="23"/>
  <c r="E113" i="23"/>
  <c r="D113" i="23"/>
  <c r="F112" i="23"/>
  <c r="E112" i="23"/>
  <c r="D112" i="23"/>
  <c r="F111" i="23"/>
  <c r="E111" i="23"/>
  <c r="D111" i="23"/>
  <c r="F110" i="23"/>
  <c r="E110" i="23"/>
  <c r="D110" i="23"/>
  <c r="F109" i="23"/>
  <c r="E109" i="23"/>
  <c r="D109" i="23"/>
  <c r="F108" i="23"/>
  <c r="E108" i="23"/>
  <c r="D108" i="23"/>
  <c r="F107" i="23"/>
  <c r="E107" i="23"/>
  <c r="D107" i="23"/>
  <c r="F106" i="23"/>
  <c r="E106" i="23"/>
  <c r="D106" i="23"/>
  <c r="F105" i="23"/>
  <c r="E105" i="23"/>
  <c r="D105" i="23"/>
  <c r="F104" i="23"/>
  <c r="E104" i="23"/>
  <c r="D104" i="23"/>
  <c r="F103" i="23"/>
  <c r="E103" i="23"/>
  <c r="D103" i="23"/>
  <c r="F102" i="23"/>
  <c r="E102" i="23"/>
  <c r="D102" i="23"/>
  <c r="F101" i="23"/>
  <c r="E101" i="23"/>
  <c r="D101" i="23"/>
  <c r="F100" i="23"/>
  <c r="E100" i="23"/>
  <c r="D100" i="23"/>
  <c r="F99" i="23"/>
  <c r="E99" i="23"/>
  <c r="D99" i="23"/>
  <c r="F98" i="23"/>
  <c r="E98" i="23"/>
  <c r="D98" i="23"/>
  <c r="F97" i="23"/>
  <c r="E97" i="23"/>
  <c r="D97" i="23"/>
  <c r="F96" i="23"/>
  <c r="E96" i="23"/>
  <c r="D96" i="23"/>
  <c r="F95" i="23"/>
  <c r="E95" i="23"/>
  <c r="D95" i="23"/>
  <c r="F94" i="23"/>
  <c r="E94" i="23"/>
  <c r="D94" i="23"/>
  <c r="F93" i="23"/>
  <c r="E93" i="23"/>
  <c r="D93" i="23"/>
  <c r="F92" i="23"/>
  <c r="E92" i="23"/>
  <c r="D92" i="23"/>
  <c r="F91" i="23"/>
  <c r="E91" i="23"/>
  <c r="D91" i="23"/>
  <c r="F90" i="23"/>
  <c r="E90" i="23"/>
  <c r="D90" i="23"/>
  <c r="F89" i="23"/>
  <c r="E89" i="23"/>
  <c r="D89" i="23"/>
  <c r="F88" i="23"/>
  <c r="E88" i="23"/>
  <c r="D88" i="23"/>
  <c r="F87" i="23"/>
  <c r="E87" i="23"/>
  <c r="D87" i="23"/>
  <c r="F86" i="23"/>
  <c r="E86" i="23"/>
  <c r="D86" i="23"/>
  <c r="F85" i="23"/>
  <c r="E85" i="23"/>
  <c r="D85" i="23"/>
  <c r="F84" i="23"/>
  <c r="E84" i="23"/>
  <c r="D84" i="23"/>
  <c r="F83" i="23"/>
  <c r="E83" i="23"/>
  <c r="D83" i="23"/>
  <c r="F82" i="23"/>
  <c r="E82" i="23"/>
  <c r="D82" i="23"/>
  <c r="F81" i="23"/>
  <c r="E81" i="23"/>
  <c r="D81" i="23"/>
  <c r="F80" i="23"/>
  <c r="E80" i="23"/>
  <c r="D80" i="23"/>
  <c r="F79" i="23"/>
  <c r="E79" i="23"/>
  <c r="D79" i="23"/>
  <c r="F78" i="23"/>
  <c r="E78" i="23"/>
  <c r="D78" i="23"/>
  <c r="F77" i="23"/>
  <c r="E77" i="23"/>
  <c r="D77" i="23"/>
  <c r="F76" i="23"/>
  <c r="E76" i="23"/>
  <c r="D76" i="23"/>
  <c r="F75" i="23"/>
  <c r="E75" i="23"/>
  <c r="D75" i="23"/>
  <c r="F74" i="23"/>
  <c r="E74" i="23"/>
  <c r="D74" i="23"/>
  <c r="F73" i="23"/>
  <c r="E73" i="23"/>
  <c r="D73" i="23"/>
  <c r="F72" i="23"/>
  <c r="E72" i="23"/>
  <c r="D72" i="23"/>
  <c r="F71" i="23"/>
  <c r="E71" i="23"/>
  <c r="D71" i="23"/>
  <c r="F70" i="23"/>
  <c r="E70" i="23"/>
  <c r="D70" i="23"/>
  <c r="F69" i="23"/>
  <c r="E69" i="23"/>
  <c r="D69" i="23"/>
  <c r="F68" i="23"/>
  <c r="E68" i="23"/>
  <c r="D68" i="23"/>
  <c r="F67" i="23"/>
  <c r="E67" i="23"/>
  <c r="D67" i="23"/>
  <c r="F66" i="23"/>
  <c r="E66" i="23"/>
  <c r="D66" i="23"/>
  <c r="F65" i="23"/>
  <c r="E65" i="23"/>
  <c r="D65" i="23"/>
  <c r="F64" i="23"/>
  <c r="E64" i="23"/>
  <c r="D64" i="23"/>
  <c r="F63" i="23"/>
  <c r="E63" i="23"/>
  <c r="D63" i="23"/>
  <c r="F62" i="23"/>
  <c r="E62" i="23"/>
  <c r="D62" i="23"/>
  <c r="F61" i="23"/>
  <c r="E61" i="23"/>
  <c r="D61" i="23"/>
  <c r="F60" i="23"/>
  <c r="E60" i="23"/>
  <c r="D60" i="23"/>
  <c r="F59" i="23"/>
  <c r="E59" i="23"/>
  <c r="D59" i="23"/>
  <c r="F58" i="23"/>
  <c r="E58" i="23"/>
  <c r="D58" i="23"/>
  <c r="F57" i="23"/>
  <c r="E57" i="23"/>
  <c r="D57" i="23"/>
  <c r="F56" i="23"/>
  <c r="E56" i="23"/>
  <c r="D56" i="23"/>
  <c r="F55" i="23"/>
  <c r="E55" i="23"/>
  <c r="D55" i="23"/>
  <c r="F54" i="23"/>
  <c r="E54" i="23"/>
  <c r="D54" i="23"/>
  <c r="F53" i="23"/>
  <c r="E53" i="23"/>
  <c r="D53" i="23"/>
  <c r="F52" i="23"/>
  <c r="E52" i="23"/>
  <c r="D52" i="23"/>
  <c r="F51" i="23"/>
  <c r="E51" i="23"/>
  <c r="D51" i="23"/>
  <c r="F50" i="23"/>
  <c r="E50" i="23"/>
  <c r="D50" i="23"/>
  <c r="F49" i="23"/>
  <c r="E49" i="23"/>
  <c r="D49" i="23"/>
  <c r="F48" i="23"/>
  <c r="E48" i="23"/>
  <c r="D48" i="23"/>
  <c r="F47" i="23"/>
  <c r="E47" i="23"/>
  <c r="D47" i="23"/>
  <c r="F46" i="23"/>
  <c r="E46" i="23"/>
  <c r="D46" i="23"/>
  <c r="F45" i="23"/>
  <c r="E45" i="23"/>
  <c r="D45" i="23"/>
  <c r="F44" i="23"/>
  <c r="E44" i="23"/>
  <c r="D44" i="23"/>
  <c r="F43" i="23"/>
  <c r="E43" i="23"/>
  <c r="D43" i="23"/>
  <c r="F42" i="23"/>
  <c r="E42" i="23"/>
  <c r="D42" i="23"/>
  <c r="F41" i="23"/>
  <c r="E41" i="23"/>
  <c r="D41" i="23"/>
  <c r="F40" i="23"/>
  <c r="E40" i="23"/>
  <c r="D40" i="23"/>
  <c r="F39" i="23"/>
  <c r="E39" i="23"/>
  <c r="D39" i="23"/>
  <c r="F38" i="23"/>
  <c r="E38" i="23"/>
  <c r="D38" i="23"/>
  <c r="F37" i="23"/>
  <c r="E37" i="23"/>
  <c r="D37" i="23"/>
  <c r="F36" i="23"/>
  <c r="E36" i="23"/>
  <c r="D36" i="23"/>
  <c r="F35" i="23"/>
  <c r="E35" i="23"/>
  <c r="D35" i="23"/>
  <c r="F34" i="23"/>
  <c r="E34" i="23"/>
  <c r="D34" i="23"/>
  <c r="F33" i="23"/>
  <c r="E33" i="23"/>
  <c r="D33" i="23"/>
  <c r="F32" i="23"/>
  <c r="E32" i="23"/>
  <c r="D32" i="23"/>
  <c r="F31" i="23"/>
  <c r="E31" i="23"/>
  <c r="D31" i="23"/>
  <c r="F30" i="23"/>
  <c r="E30" i="23"/>
  <c r="D30" i="23"/>
  <c r="F29" i="23"/>
  <c r="E29" i="23"/>
  <c r="D29" i="23"/>
  <c r="F28" i="23"/>
  <c r="E28" i="23"/>
  <c r="D28" i="23"/>
  <c r="F27" i="23"/>
  <c r="E27" i="23"/>
  <c r="D27" i="23"/>
  <c r="F26" i="23"/>
  <c r="E26" i="23"/>
  <c r="D26" i="23"/>
  <c r="F25" i="23"/>
  <c r="E25" i="23"/>
  <c r="D25" i="23"/>
  <c r="F24" i="23"/>
  <c r="E24" i="23"/>
  <c r="D24" i="23"/>
  <c r="F23" i="23"/>
  <c r="E23" i="23"/>
  <c r="D23" i="23"/>
  <c r="F22" i="23"/>
  <c r="E22" i="23"/>
  <c r="D22" i="23"/>
  <c r="F21" i="23"/>
  <c r="E21" i="23"/>
  <c r="D21" i="23"/>
  <c r="F20" i="23"/>
  <c r="E20" i="23"/>
  <c r="D20" i="23"/>
  <c r="F19" i="23"/>
  <c r="E19" i="23"/>
  <c r="D19" i="23"/>
  <c r="F18" i="23"/>
  <c r="E18" i="23"/>
  <c r="D18" i="23"/>
  <c r="F17" i="23"/>
  <c r="E17" i="23"/>
  <c r="D17" i="23"/>
  <c r="F16" i="23"/>
  <c r="E16" i="23"/>
  <c r="D16" i="23"/>
  <c r="F15" i="23"/>
  <c r="E15" i="23"/>
  <c r="D15" i="23"/>
  <c r="F14" i="23"/>
  <c r="E14" i="23"/>
  <c r="D14" i="23"/>
  <c r="F13" i="23"/>
  <c r="E13" i="23"/>
  <c r="D13" i="23"/>
  <c r="F12" i="23"/>
  <c r="E12" i="23"/>
  <c r="D12" i="23"/>
  <c r="F11" i="23"/>
  <c r="E11" i="23"/>
  <c r="D11" i="23"/>
  <c r="F10" i="23"/>
  <c r="E10" i="23"/>
  <c r="D10" i="23"/>
  <c r="F9" i="23"/>
  <c r="E9" i="23"/>
  <c r="D9" i="23"/>
  <c r="F8" i="23"/>
  <c r="E8" i="23"/>
  <c r="D8" i="23"/>
  <c r="F7" i="23"/>
  <c r="E7" i="23"/>
  <c r="D7" i="23"/>
  <c r="E372" i="23"/>
  <c r="D372" i="23"/>
  <c r="BK2" i="1" l="1"/>
  <c r="BS400" i="1"/>
  <c r="BS399" i="1"/>
  <c r="BS398" i="1"/>
  <c r="BS397" i="1"/>
  <c r="BS396" i="1"/>
  <c r="BS395" i="1"/>
  <c r="BS394" i="1"/>
  <c r="BS393" i="1"/>
  <c r="BS392" i="1"/>
  <c r="BS391" i="1"/>
  <c r="BS390" i="1"/>
  <c r="BS389" i="1"/>
  <c r="BS387" i="1"/>
  <c r="BS386" i="1"/>
  <c r="BS385" i="1"/>
  <c r="BS384" i="1"/>
  <c r="BS383" i="1"/>
  <c r="BS382" i="1"/>
  <c r="BS381" i="1"/>
  <c r="BS380" i="1"/>
  <c r="BS379" i="1"/>
  <c r="BS378" i="1"/>
  <c r="BS377" i="1"/>
  <c r="BS376" i="1"/>
  <c r="G64" i="23"/>
  <c r="C64" i="23"/>
  <c r="BK372" i="1"/>
  <c r="BW372" i="1" s="1"/>
  <c r="BJ372" i="1"/>
  <c r="BV372" i="1" s="1"/>
  <c r="F371" i="23"/>
  <c r="BK371" i="1"/>
  <c r="BW371" i="1" s="1"/>
  <c r="BJ371" i="1"/>
  <c r="BV371" i="1" s="1"/>
  <c r="F370" i="23"/>
  <c r="BK370" i="1"/>
  <c r="BW370" i="1" s="1"/>
  <c r="BJ370" i="1"/>
  <c r="BV370" i="1" s="1"/>
  <c r="F369" i="23"/>
  <c r="BK369" i="1"/>
  <c r="BW369" i="1" s="1"/>
  <c r="BJ369" i="1"/>
  <c r="BV369" i="1" s="1"/>
  <c r="F368" i="23"/>
  <c r="BK368" i="1"/>
  <c r="BW368" i="1" s="1"/>
  <c r="BJ368" i="1"/>
  <c r="BV368" i="1" s="1"/>
  <c r="F367" i="23"/>
  <c r="BK367" i="1"/>
  <c r="BW367" i="1" s="1"/>
  <c r="BJ367" i="1"/>
  <c r="BV367" i="1" s="1"/>
  <c r="F366" i="23"/>
  <c r="BK366" i="1"/>
  <c r="BW366" i="1" s="1"/>
  <c r="BJ366" i="1"/>
  <c r="BV366" i="1" s="1"/>
  <c r="F365" i="23"/>
  <c r="BK365" i="1"/>
  <c r="BW365" i="1" s="1"/>
  <c r="BJ365" i="1"/>
  <c r="BV365" i="1" s="1"/>
  <c r="F364" i="23"/>
  <c r="BK364" i="1"/>
  <c r="BW364" i="1" s="1"/>
  <c r="BJ364" i="1"/>
  <c r="BV364" i="1" s="1"/>
  <c r="F363" i="23"/>
  <c r="BK363" i="1"/>
  <c r="BW363" i="1" s="1"/>
  <c r="BJ363" i="1"/>
  <c r="BV363" i="1" s="1"/>
  <c r="F362" i="23"/>
  <c r="BK362" i="1"/>
  <c r="BW362" i="1" s="1"/>
  <c r="BJ362" i="1"/>
  <c r="BV362" i="1" s="1"/>
  <c r="F361" i="23"/>
  <c r="BK361" i="1"/>
  <c r="BW361" i="1" s="1"/>
  <c r="BJ361" i="1"/>
  <c r="BV361" i="1" s="1"/>
  <c r="F360" i="23"/>
  <c r="BK360" i="1"/>
  <c r="BW360" i="1" s="1"/>
  <c r="BJ360" i="1"/>
  <c r="BV360" i="1" s="1"/>
  <c r="F359" i="23"/>
  <c r="BK359" i="1"/>
  <c r="BW359" i="1" s="1"/>
  <c r="BJ359" i="1"/>
  <c r="BV359" i="1" s="1"/>
  <c r="F358" i="23"/>
  <c r="BK358" i="1"/>
  <c r="BW358" i="1" s="1"/>
  <c r="BJ358" i="1"/>
  <c r="BV358" i="1" s="1"/>
  <c r="F357" i="23"/>
  <c r="BK357" i="1"/>
  <c r="BW357" i="1" s="1"/>
  <c r="BJ357" i="1"/>
  <c r="BV357" i="1" s="1"/>
  <c r="CZ371" i="1"/>
  <c r="CZ370" i="1"/>
  <c r="CZ369" i="1"/>
  <c r="CZ368" i="1"/>
  <c r="CZ367" i="1"/>
  <c r="CZ366" i="1"/>
  <c r="CZ365" i="1"/>
  <c r="CZ364" i="1"/>
  <c r="CZ363" i="1"/>
  <c r="CZ362" i="1"/>
  <c r="CZ361" i="1"/>
  <c r="CZ360" i="1"/>
  <c r="CZ359" i="1"/>
  <c r="CZ358" i="1"/>
  <c r="CZ357" i="1"/>
  <c r="BK344" i="1"/>
  <c r="BW344" i="1" s="1"/>
  <c r="BJ344" i="1"/>
  <c r="BV344" i="1" s="1"/>
  <c r="BK343" i="1"/>
  <c r="BW343" i="1" s="1"/>
  <c r="BJ343" i="1"/>
  <c r="BV343" i="1" s="1"/>
  <c r="BK342" i="1"/>
  <c r="BW342" i="1" s="1"/>
  <c r="BJ342" i="1"/>
  <c r="BV342" i="1" s="1"/>
  <c r="BK341" i="1"/>
  <c r="BW341" i="1" s="1"/>
  <c r="BJ341" i="1"/>
  <c r="BV341" i="1" s="1"/>
  <c r="BK340" i="1"/>
  <c r="BW340" i="1" s="1"/>
  <c r="BJ340" i="1"/>
  <c r="BV340" i="1" s="1"/>
  <c r="BK339" i="1"/>
  <c r="BW339" i="1" s="1"/>
  <c r="BJ339" i="1"/>
  <c r="BV339" i="1" s="1"/>
  <c r="BK338" i="1"/>
  <c r="BW338" i="1" s="1"/>
  <c r="BJ338" i="1"/>
  <c r="BV338" i="1" s="1"/>
  <c r="BK337" i="1"/>
  <c r="BW337" i="1" s="1"/>
  <c r="BJ337" i="1"/>
  <c r="BV337" i="1" s="1"/>
  <c r="BK336" i="1"/>
  <c r="BW336" i="1" s="1"/>
  <c r="BJ336" i="1"/>
  <c r="BV336" i="1" s="1"/>
  <c r="BK335" i="1"/>
  <c r="BW335" i="1" s="1"/>
  <c r="BJ335" i="1"/>
  <c r="BV335" i="1" s="1"/>
  <c r="BK334" i="1"/>
  <c r="BW334" i="1" s="1"/>
  <c r="BJ334" i="1"/>
  <c r="BV334" i="1" s="1"/>
  <c r="BK333" i="1"/>
  <c r="BW333" i="1" s="1"/>
  <c r="BJ333" i="1"/>
  <c r="BV333" i="1" s="1"/>
  <c r="BK332" i="1"/>
  <c r="BW332" i="1" s="1"/>
  <c r="BJ332" i="1"/>
  <c r="BV332" i="1" s="1"/>
  <c r="BK331" i="1"/>
  <c r="BW331" i="1" s="1"/>
  <c r="BJ331" i="1"/>
  <c r="BV331" i="1" s="1"/>
  <c r="BK330" i="1"/>
  <c r="BW330" i="1" s="1"/>
  <c r="BJ330" i="1"/>
  <c r="BV330" i="1" s="1"/>
  <c r="BK329" i="1"/>
  <c r="BW329" i="1" s="1"/>
  <c r="BJ329" i="1"/>
  <c r="BV329" i="1" s="1"/>
  <c r="BK328" i="1"/>
  <c r="BW328" i="1" s="1"/>
  <c r="BJ328" i="1"/>
  <c r="BV328" i="1" s="1"/>
  <c r="BK327" i="1"/>
  <c r="BW327" i="1" s="1"/>
  <c r="BJ327" i="1"/>
  <c r="BV327" i="1" s="1"/>
  <c r="BK326" i="1"/>
  <c r="BW326" i="1" s="1"/>
  <c r="BJ326" i="1"/>
  <c r="BV326" i="1" s="1"/>
  <c r="BK325" i="1"/>
  <c r="BW325" i="1" s="1"/>
  <c r="BJ325" i="1"/>
  <c r="BV325" i="1" s="1"/>
  <c r="CZ344" i="1"/>
  <c r="CZ343" i="1"/>
  <c r="CZ341" i="1"/>
  <c r="CZ340" i="1"/>
  <c r="CZ339" i="1"/>
  <c r="CZ338" i="1"/>
  <c r="CZ337" i="1"/>
  <c r="CZ336" i="1"/>
  <c r="CZ335" i="1"/>
  <c r="CZ334" i="1"/>
  <c r="CZ333" i="1"/>
  <c r="CZ332" i="1"/>
  <c r="CZ331" i="1"/>
  <c r="CZ330" i="1"/>
  <c r="CZ329" i="1"/>
  <c r="CZ328" i="1"/>
  <c r="CZ327" i="1"/>
  <c r="CZ326" i="1"/>
  <c r="F344" i="23"/>
  <c r="F343" i="23"/>
  <c r="F342" i="23"/>
  <c r="F341" i="23"/>
  <c r="F340" i="23"/>
  <c r="F339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F188" i="23"/>
  <c r="F187" i="23"/>
  <c r="F186" i="23"/>
  <c r="F185" i="23"/>
  <c r="F184" i="23"/>
  <c r="F183" i="23"/>
  <c r="F182" i="23"/>
  <c r="F181" i="23"/>
  <c r="F180" i="23"/>
  <c r="F179" i="23"/>
  <c r="F178" i="23"/>
  <c r="CZ204" i="1"/>
  <c r="CZ203" i="1"/>
  <c r="CZ202" i="1"/>
  <c r="CZ201" i="1"/>
  <c r="CZ200" i="1"/>
  <c r="CZ199" i="1"/>
  <c r="CZ198" i="1"/>
  <c r="CZ197" i="1"/>
  <c r="CZ196" i="1"/>
  <c r="CZ195" i="1"/>
  <c r="CZ194" i="1"/>
  <c r="CZ193" i="1"/>
  <c r="CZ192" i="1"/>
  <c r="CZ191" i="1"/>
  <c r="CZ190" i="1"/>
  <c r="CZ188" i="1"/>
  <c r="CZ187" i="1"/>
  <c r="CZ186" i="1"/>
  <c r="CZ185" i="1"/>
  <c r="CZ184" i="1"/>
  <c r="CZ183" i="1"/>
  <c r="CZ182" i="1"/>
  <c r="CZ181" i="1"/>
  <c r="CZ180" i="1"/>
  <c r="CZ179" i="1"/>
  <c r="CZ178" i="1"/>
  <c r="CZ325" i="1" l="1"/>
  <c r="BP386" i="1"/>
  <c r="CZ189" i="1"/>
  <c r="BP382" i="1"/>
  <c r="CZ342" i="1"/>
  <c r="DA205" i="1"/>
  <c r="CZ205" i="1"/>
  <c r="DA372" i="1"/>
  <c r="CZ372" i="1"/>
  <c r="DA180" i="1"/>
  <c r="DA184" i="1"/>
  <c r="DA187" i="1"/>
  <c r="DA365" i="1"/>
  <c r="DA369" i="1"/>
  <c r="DA189" i="1"/>
  <c r="DA190" i="1"/>
  <c r="DA194" i="1"/>
  <c r="DA198" i="1"/>
  <c r="DA202" i="1"/>
  <c r="DA188" i="1"/>
  <c r="DA357" i="1"/>
  <c r="DA364" i="1"/>
  <c r="DA179" i="1"/>
  <c r="DA197" i="1"/>
  <c r="DA201" i="1"/>
  <c r="DA327" i="1"/>
  <c r="DA331" i="1"/>
  <c r="DA335" i="1"/>
  <c r="DA339" i="1"/>
  <c r="DA343" i="1"/>
  <c r="DA368" i="1"/>
  <c r="DA183" i="1"/>
  <c r="DA193" i="1"/>
  <c r="DA360" i="1"/>
  <c r="DA332" i="1"/>
  <c r="DA340" i="1"/>
  <c r="DA178" i="1"/>
  <c r="DA181" i="1"/>
  <c r="DA195" i="1"/>
  <c r="DA203" i="1"/>
  <c r="DA325" i="1"/>
  <c r="DA330" i="1"/>
  <c r="DA333" i="1"/>
  <c r="DA338" i="1"/>
  <c r="DA341" i="1"/>
  <c r="DA358" i="1"/>
  <c r="DA361" i="1"/>
  <c r="DA366" i="1"/>
  <c r="DA328" i="1"/>
  <c r="DA336" i="1"/>
  <c r="DA344" i="1"/>
  <c r="DA185" i="1"/>
  <c r="DA191" i="1"/>
  <c r="DA199" i="1"/>
  <c r="DA326" i="1"/>
  <c r="DA329" i="1"/>
  <c r="DA334" i="1"/>
  <c r="DA337" i="1"/>
  <c r="DA342" i="1"/>
  <c r="DA362" i="1"/>
  <c r="DA370" i="1"/>
  <c r="DA363" i="1"/>
  <c r="DA371" i="1"/>
  <c r="DA359" i="1"/>
  <c r="DA367" i="1"/>
  <c r="DA182" i="1"/>
  <c r="DA196" i="1"/>
  <c r="DA204" i="1"/>
  <c r="DA186" i="1"/>
  <c r="DA192" i="1"/>
  <c r="DA200" i="1"/>
  <c r="F251" i="23"/>
  <c r="F356" i="23"/>
  <c r="BK356" i="1"/>
  <c r="BW356" i="1" s="1"/>
  <c r="BJ356" i="1"/>
  <c r="BV356" i="1" s="1"/>
  <c r="F355" i="23"/>
  <c r="BK355" i="1"/>
  <c r="BW355" i="1" s="1"/>
  <c r="BJ355" i="1"/>
  <c r="BV355" i="1" s="1"/>
  <c r="F354" i="23"/>
  <c r="BK354" i="1"/>
  <c r="BW354" i="1" s="1"/>
  <c r="BJ354" i="1"/>
  <c r="BV354" i="1" s="1"/>
  <c r="F353" i="23"/>
  <c r="BK353" i="1"/>
  <c r="BW353" i="1" s="1"/>
  <c r="BJ353" i="1"/>
  <c r="BV353" i="1" s="1"/>
  <c r="F352" i="23"/>
  <c r="BK352" i="1"/>
  <c r="BW352" i="1" s="1"/>
  <c r="BJ352" i="1"/>
  <c r="BV352" i="1" s="1"/>
  <c r="F351" i="23"/>
  <c r="BK351" i="1"/>
  <c r="BW351" i="1" s="1"/>
  <c r="BJ351" i="1"/>
  <c r="BV351" i="1" s="1"/>
  <c r="F350" i="23"/>
  <c r="BK350" i="1"/>
  <c r="BW350" i="1" s="1"/>
  <c r="BJ350" i="1"/>
  <c r="BV350" i="1" s="1"/>
  <c r="F349" i="23"/>
  <c r="BK349" i="1"/>
  <c r="BW349" i="1" s="1"/>
  <c r="BJ349" i="1"/>
  <c r="BV349" i="1" s="1"/>
  <c r="F348" i="23"/>
  <c r="BK348" i="1"/>
  <c r="BW348" i="1" s="1"/>
  <c r="BJ348" i="1"/>
  <c r="BV348" i="1" s="1"/>
  <c r="F347" i="23"/>
  <c r="BK347" i="1"/>
  <c r="BW347" i="1" s="1"/>
  <c r="BJ347" i="1"/>
  <c r="BV347" i="1" s="1"/>
  <c r="F346" i="23"/>
  <c r="BK346" i="1"/>
  <c r="BW346" i="1" s="1"/>
  <c r="BJ346" i="1"/>
  <c r="BV346" i="1" s="1"/>
  <c r="F345" i="23"/>
  <c r="BK345" i="1"/>
  <c r="BW345" i="1" s="1"/>
  <c r="BJ345" i="1"/>
  <c r="BV345" i="1" s="1"/>
  <c r="CZ356" i="1"/>
  <c r="CZ355" i="1"/>
  <c r="CZ354" i="1"/>
  <c r="CZ353" i="1"/>
  <c r="CZ352" i="1"/>
  <c r="CZ351" i="1"/>
  <c r="CZ350" i="1"/>
  <c r="CZ349" i="1"/>
  <c r="CZ348" i="1"/>
  <c r="CZ347" i="1"/>
  <c r="CZ346" i="1"/>
  <c r="CZ345" i="1"/>
  <c r="BP387" i="1" l="1"/>
  <c r="DA348" i="1"/>
  <c r="DA352" i="1"/>
  <c r="DA356" i="1"/>
  <c r="DA346" i="1"/>
  <c r="DA350" i="1"/>
  <c r="DA354" i="1"/>
  <c r="DA347" i="1"/>
  <c r="DA351" i="1"/>
  <c r="DA355" i="1"/>
  <c r="DA345" i="1"/>
  <c r="DA349" i="1"/>
  <c r="DA353" i="1"/>
  <c r="BK251" i="1" l="1"/>
  <c r="BW251" i="1" s="1"/>
  <c r="BJ251" i="1"/>
  <c r="BV251" i="1" s="1"/>
  <c r="F250" i="23"/>
  <c r="BK250" i="1"/>
  <c r="BW250" i="1" s="1"/>
  <c r="BJ250" i="1"/>
  <c r="BV250" i="1" s="1"/>
  <c r="F249" i="23"/>
  <c r="BK249" i="1"/>
  <c r="BW249" i="1" s="1"/>
  <c r="BJ249" i="1"/>
  <c r="BV249" i="1" s="1"/>
  <c r="F248" i="23"/>
  <c r="BK248" i="1"/>
  <c r="BW248" i="1" s="1"/>
  <c r="BJ248" i="1"/>
  <c r="BV248" i="1" s="1"/>
  <c r="F247" i="23"/>
  <c r="BK247" i="1"/>
  <c r="BW247" i="1" s="1"/>
  <c r="BJ247" i="1"/>
  <c r="BV247" i="1" s="1"/>
  <c r="F246" i="23"/>
  <c r="BK246" i="1"/>
  <c r="BW246" i="1" s="1"/>
  <c r="BJ246" i="1"/>
  <c r="BV246" i="1" s="1"/>
  <c r="BK245" i="1"/>
  <c r="BW245" i="1" s="1"/>
  <c r="BJ245" i="1"/>
  <c r="BV245" i="1" s="1"/>
  <c r="BK244" i="1"/>
  <c r="BW244" i="1" s="1"/>
  <c r="BJ244" i="1"/>
  <c r="BV244" i="1" s="1"/>
  <c r="BK243" i="1"/>
  <c r="BW243" i="1" s="1"/>
  <c r="BJ243" i="1"/>
  <c r="BV243" i="1" s="1"/>
  <c r="BK242" i="1"/>
  <c r="BW242" i="1" s="1"/>
  <c r="BJ242" i="1"/>
  <c r="BV242" i="1" s="1"/>
  <c r="BK241" i="1"/>
  <c r="BW241" i="1" s="1"/>
  <c r="BJ241" i="1"/>
  <c r="BV241" i="1" s="1"/>
  <c r="BK240" i="1"/>
  <c r="BW240" i="1" s="1"/>
  <c r="BJ240" i="1"/>
  <c r="BV240" i="1" s="1"/>
  <c r="BK239" i="1"/>
  <c r="BW239" i="1" s="1"/>
  <c r="BJ239" i="1"/>
  <c r="BV239" i="1" s="1"/>
  <c r="BK238" i="1"/>
  <c r="BW238" i="1" s="1"/>
  <c r="BJ238" i="1"/>
  <c r="BV238" i="1" s="1"/>
  <c r="BK237" i="1"/>
  <c r="BW237" i="1" s="1"/>
  <c r="BJ237" i="1"/>
  <c r="BV237" i="1" s="1"/>
  <c r="BK236" i="1"/>
  <c r="BW236" i="1" s="1"/>
  <c r="BJ236" i="1"/>
  <c r="BV236" i="1" s="1"/>
  <c r="BK235" i="1"/>
  <c r="BW235" i="1" s="1"/>
  <c r="BJ235" i="1"/>
  <c r="BV235" i="1" s="1"/>
  <c r="BK234" i="1"/>
  <c r="BW234" i="1" s="1"/>
  <c r="BJ234" i="1"/>
  <c r="BV234" i="1" s="1"/>
  <c r="BK233" i="1"/>
  <c r="BW233" i="1" s="1"/>
  <c r="BJ233" i="1"/>
  <c r="BV233" i="1" s="1"/>
  <c r="BK232" i="1"/>
  <c r="BW232" i="1" s="1"/>
  <c r="BJ232" i="1"/>
  <c r="BV232" i="1" s="1"/>
  <c r="BK231" i="1"/>
  <c r="BW231" i="1" s="1"/>
  <c r="BJ231" i="1"/>
  <c r="BV231" i="1" s="1"/>
  <c r="BK230" i="1"/>
  <c r="BW230" i="1" s="1"/>
  <c r="BJ230" i="1"/>
  <c r="BV230" i="1" s="1"/>
  <c r="BK229" i="1"/>
  <c r="BW229" i="1" s="1"/>
  <c r="BJ229" i="1"/>
  <c r="BV229" i="1" s="1"/>
  <c r="BK228" i="1"/>
  <c r="BW228" i="1" s="1"/>
  <c r="BJ228" i="1"/>
  <c r="BV228" i="1" s="1"/>
  <c r="BK227" i="1"/>
  <c r="BW227" i="1" s="1"/>
  <c r="BJ227" i="1"/>
  <c r="BV227" i="1" s="1"/>
  <c r="BK226" i="1"/>
  <c r="BW226" i="1" s="1"/>
  <c r="BJ226" i="1"/>
  <c r="BV226" i="1" s="1"/>
  <c r="BK225" i="1"/>
  <c r="BW225" i="1" s="1"/>
  <c r="BJ225" i="1"/>
  <c r="BV225" i="1" s="1"/>
  <c r="BK224" i="1"/>
  <c r="BW224" i="1" s="1"/>
  <c r="BJ224" i="1"/>
  <c r="BV224" i="1" s="1"/>
  <c r="BK223" i="1"/>
  <c r="BW223" i="1" s="1"/>
  <c r="BJ223" i="1"/>
  <c r="BV223" i="1" s="1"/>
  <c r="BK222" i="1"/>
  <c r="BW222" i="1" s="1"/>
  <c r="BJ222" i="1"/>
  <c r="BV222" i="1" s="1"/>
  <c r="BK221" i="1"/>
  <c r="BW221" i="1" s="1"/>
  <c r="BJ221" i="1"/>
  <c r="BV221" i="1" s="1"/>
  <c r="BK220" i="1"/>
  <c r="BW220" i="1" s="1"/>
  <c r="BJ220" i="1"/>
  <c r="BV220" i="1" s="1"/>
  <c r="BK219" i="1"/>
  <c r="BW219" i="1" s="1"/>
  <c r="BJ219" i="1"/>
  <c r="BV219" i="1" s="1"/>
  <c r="BK218" i="1"/>
  <c r="BW218" i="1" s="1"/>
  <c r="BJ218" i="1"/>
  <c r="BV218" i="1" s="1"/>
  <c r="BK205" i="1"/>
  <c r="BW205" i="1" s="1"/>
  <c r="BJ205" i="1"/>
  <c r="BV205" i="1" s="1"/>
  <c r="BK204" i="1"/>
  <c r="BW204" i="1" s="1"/>
  <c r="BJ204" i="1"/>
  <c r="BV204" i="1" s="1"/>
  <c r="BK203" i="1"/>
  <c r="BW203" i="1" s="1"/>
  <c r="BJ203" i="1"/>
  <c r="BV203" i="1" s="1"/>
  <c r="BK202" i="1"/>
  <c r="BW202" i="1" s="1"/>
  <c r="BJ202" i="1"/>
  <c r="BV202" i="1" s="1"/>
  <c r="BK201" i="1"/>
  <c r="BW201" i="1" s="1"/>
  <c r="BJ201" i="1"/>
  <c r="BV201" i="1" s="1"/>
  <c r="BK200" i="1"/>
  <c r="BW200" i="1" s="1"/>
  <c r="BJ200" i="1"/>
  <c r="BV200" i="1" s="1"/>
  <c r="BK199" i="1"/>
  <c r="BW199" i="1" s="1"/>
  <c r="BJ199" i="1"/>
  <c r="BV199" i="1" s="1"/>
  <c r="BK198" i="1"/>
  <c r="BW198" i="1" s="1"/>
  <c r="BJ198" i="1"/>
  <c r="BV198" i="1" s="1"/>
  <c r="BK197" i="1"/>
  <c r="BW197" i="1" s="1"/>
  <c r="BJ197" i="1"/>
  <c r="BV197" i="1" s="1"/>
  <c r="BK196" i="1"/>
  <c r="BW196" i="1" s="1"/>
  <c r="BJ196" i="1"/>
  <c r="BV196" i="1" s="1"/>
  <c r="BK195" i="1"/>
  <c r="BW195" i="1" s="1"/>
  <c r="BJ195" i="1"/>
  <c r="BV195" i="1" s="1"/>
  <c r="BK194" i="1"/>
  <c r="BW194" i="1" s="1"/>
  <c r="BJ194" i="1"/>
  <c r="BV194" i="1" s="1"/>
  <c r="BK193" i="1"/>
  <c r="BW193" i="1" s="1"/>
  <c r="BJ193" i="1"/>
  <c r="BV193" i="1" s="1"/>
  <c r="BK192" i="1"/>
  <c r="BW192" i="1" s="1"/>
  <c r="BJ192" i="1"/>
  <c r="BV192" i="1" s="1"/>
  <c r="BK191" i="1"/>
  <c r="BW191" i="1" s="1"/>
  <c r="BJ191" i="1"/>
  <c r="BV191" i="1" s="1"/>
  <c r="BK190" i="1"/>
  <c r="BW190" i="1" s="1"/>
  <c r="BJ190" i="1"/>
  <c r="BV190" i="1" s="1"/>
  <c r="BK189" i="1"/>
  <c r="BW189" i="1" s="1"/>
  <c r="BJ189" i="1"/>
  <c r="BV189" i="1" s="1"/>
  <c r="BK188" i="1"/>
  <c r="BW188" i="1" s="1"/>
  <c r="BJ188" i="1"/>
  <c r="BV188" i="1" s="1"/>
  <c r="BK187" i="1"/>
  <c r="BW187" i="1" s="1"/>
  <c r="BJ187" i="1"/>
  <c r="BV187" i="1" s="1"/>
  <c r="BK186" i="1"/>
  <c r="BW186" i="1" s="1"/>
  <c r="BJ186" i="1"/>
  <c r="BV186" i="1" s="1"/>
  <c r="BK185" i="1"/>
  <c r="BW185" i="1" s="1"/>
  <c r="BJ185" i="1"/>
  <c r="BV185" i="1" s="1"/>
  <c r="BK184" i="1"/>
  <c r="BW184" i="1" s="1"/>
  <c r="BJ184" i="1"/>
  <c r="BV184" i="1" s="1"/>
  <c r="BK183" i="1"/>
  <c r="BW183" i="1" s="1"/>
  <c r="BJ183" i="1"/>
  <c r="BV183" i="1" s="1"/>
  <c r="BK182" i="1"/>
  <c r="BW182" i="1" s="1"/>
  <c r="BJ182" i="1"/>
  <c r="BV182" i="1" s="1"/>
  <c r="BK181" i="1"/>
  <c r="BW181" i="1" s="1"/>
  <c r="BJ181" i="1"/>
  <c r="BV181" i="1" s="1"/>
  <c r="BK180" i="1"/>
  <c r="BW180" i="1" s="1"/>
  <c r="BJ180" i="1"/>
  <c r="BV180" i="1" s="1"/>
  <c r="BK179" i="1"/>
  <c r="BW179" i="1" s="1"/>
  <c r="BJ179" i="1"/>
  <c r="BV179" i="1" s="1"/>
  <c r="BK178" i="1"/>
  <c r="BW178" i="1" s="1"/>
  <c r="BJ178" i="1"/>
  <c r="BV178" i="1" s="1"/>
  <c r="F177" i="23"/>
  <c r="BK177" i="1"/>
  <c r="BW177" i="1" s="1"/>
  <c r="BJ177" i="1"/>
  <c r="BV177" i="1" s="1"/>
  <c r="F176" i="23"/>
  <c r="BK176" i="1"/>
  <c r="BW176" i="1" s="1"/>
  <c r="BJ176" i="1"/>
  <c r="BV176" i="1" s="1"/>
  <c r="F175" i="23"/>
  <c r="BK175" i="1"/>
  <c r="BW175" i="1" s="1"/>
  <c r="BJ175" i="1"/>
  <c r="BV175" i="1" s="1"/>
  <c r="F174" i="23"/>
  <c r="BK174" i="1"/>
  <c r="BW174" i="1" s="1"/>
  <c r="BJ174" i="1"/>
  <c r="BV174" i="1" s="1"/>
  <c r="F173" i="23"/>
  <c r="BK173" i="1"/>
  <c r="BW173" i="1" s="1"/>
  <c r="BJ173" i="1"/>
  <c r="BV173" i="1" s="1"/>
  <c r="F172" i="23"/>
  <c r="BK172" i="1"/>
  <c r="BW172" i="1" s="1"/>
  <c r="BJ172" i="1"/>
  <c r="BV172" i="1" s="1"/>
  <c r="BP384" i="1"/>
  <c r="CZ250" i="1"/>
  <c r="CZ249" i="1"/>
  <c r="CZ248" i="1"/>
  <c r="CZ247" i="1"/>
  <c r="CZ246" i="1"/>
  <c r="CZ245" i="1"/>
  <c r="CZ244" i="1"/>
  <c r="CZ243" i="1"/>
  <c r="CZ242" i="1"/>
  <c r="CZ241" i="1"/>
  <c r="CZ240" i="1"/>
  <c r="CZ239" i="1"/>
  <c r="CZ238" i="1"/>
  <c r="CZ237" i="1"/>
  <c r="CZ236" i="1"/>
  <c r="CZ235" i="1"/>
  <c r="CZ234" i="1"/>
  <c r="CZ233" i="1"/>
  <c r="CZ232" i="1"/>
  <c r="CZ231" i="1"/>
  <c r="CZ230" i="1"/>
  <c r="CZ229" i="1"/>
  <c r="CZ228" i="1"/>
  <c r="CZ227" i="1"/>
  <c r="CZ226" i="1"/>
  <c r="CZ225" i="1"/>
  <c r="CZ224" i="1"/>
  <c r="CZ223" i="1"/>
  <c r="CZ222" i="1"/>
  <c r="CZ221" i="1"/>
  <c r="CZ177" i="1"/>
  <c r="CZ176" i="1"/>
  <c r="CZ175" i="1"/>
  <c r="CZ174" i="1"/>
  <c r="CZ173" i="1"/>
  <c r="BF377" i="1"/>
  <c r="CZ172" i="1" l="1"/>
  <c r="BP381" i="1"/>
  <c r="CZ220" i="1"/>
  <c r="BP383" i="1"/>
  <c r="DA251" i="1"/>
  <c r="CZ251" i="1"/>
  <c r="DA225" i="1"/>
  <c r="DA233" i="1"/>
  <c r="DA241" i="1"/>
  <c r="DA249" i="1"/>
  <c r="DA222" i="1"/>
  <c r="DA226" i="1"/>
  <c r="DA230" i="1"/>
  <c r="DA234" i="1"/>
  <c r="DA238" i="1"/>
  <c r="DA242" i="1"/>
  <c r="DA246" i="1"/>
  <c r="DA250" i="1"/>
  <c r="DA221" i="1"/>
  <c r="DA229" i="1"/>
  <c r="DA237" i="1"/>
  <c r="DA245" i="1"/>
  <c r="DA173" i="1"/>
  <c r="DA174" i="1"/>
  <c r="DA177" i="1"/>
  <c r="DA220" i="1"/>
  <c r="DA224" i="1"/>
  <c r="DA228" i="1"/>
  <c r="DA232" i="1"/>
  <c r="DA236" i="1"/>
  <c r="DA240" i="1"/>
  <c r="DA244" i="1"/>
  <c r="DA248" i="1"/>
  <c r="DA172" i="1"/>
  <c r="DA176" i="1"/>
  <c r="DA175" i="1"/>
  <c r="DA223" i="1"/>
  <c r="DA227" i="1"/>
  <c r="DA231" i="1"/>
  <c r="DA235" i="1"/>
  <c r="DA239" i="1"/>
  <c r="DA243" i="1"/>
  <c r="DA247" i="1"/>
  <c r="J372" i="23"/>
  <c r="K372" i="23" s="1"/>
  <c r="CW372" i="1" s="1"/>
  <c r="J371" i="23"/>
  <c r="K371" i="23" s="1"/>
  <c r="CW371" i="1" s="1"/>
  <c r="J370" i="23"/>
  <c r="K370" i="23" s="1"/>
  <c r="CW370" i="1" s="1"/>
  <c r="J369" i="23"/>
  <c r="K369" i="23" s="1"/>
  <c r="CW369" i="1" s="1"/>
  <c r="J368" i="23"/>
  <c r="K368" i="23" s="1"/>
  <c r="CW368" i="1" s="1"/>
  <c r="J367" i="23"/>
  <c r="K367" i="23" s="1"/>
  <c r="CW367" i="1" s="1"/>
  <c r="J366" i="23"/>
  <c r="K366" i="23" s="1"/>
  <c r="CW366" i="1" s="1"/>
  <c r="J365" i="23"/>
  <c r="K365" i="23" s="1"/>
  <c r="CW365" i="1" s="1"/>
  <c r="J364" i="23"/>
  <c r="K364" i="23" s="1"/>
  <c r="CW364" i="1" s="1"/>
  <c r="J363" i="23"/>
  <c r="K363" i="23" s="1"/>
  <c r="CW363" i="1" s="1"/>
  <c r="J362" i="23"/>
  <c r="K362" i="23" s="1"/>
  <c r="CW362" i="1" s="1"/>
  <c r="J361" i="23"/>
  <c r="K361" i="23" s="1"/>
  <c r="CW361" i="1" s="1"/>
  <c r="J360" i="23"/>
  <c r="K360" i="23" s="1"/>
  <c r="CW360" i="1" s="1"/>
  <c r="J359" i="23"/>
  <c r="K359" i="23" s="1"/>
  <c r="CW359" i="1" s="1"/>
  <c r="J358" i="23"/>
  <c r="K358" i="23" s="1"/>
  <c r="CW358" i="1" s="1"/>
  <c r="J357" i="23"/>
  <c r="K357" i="23" s="1"/>
  <c r="CW357" i="1" s="1"/>
  <c r="J356" i="23"/>
  <c r="K356" i="23" s="1"/>
  <c r="CW356" i="1" s="1"/>
  <c r="J355" i="23"/>
  <c r="K355" i="23" s="1"/>
  <c r="CW355" i="1" s="1"/>
  <c r="J354" i="23"/>
  <c r="K354" i="23" s="1"/>
  <c r="CW354" i="1" s="1"/>
  <c r="J353" i="23"/>
  <c r="K353" i="23" s="1"/>
  <c r="CW353" i="1" s="1"/>
  <c r="J352" i="23"/>
  <c r="K352" i="23" s="1"/>
  <c r="CW352" i="1" s="1"/>
  <c r="J351" i="23"/>
  <c r="K351" i="23" s="1"/>
  <c r="CW351" i="1" s="1"/>
  <c r="J350" i="23"/>
  <c r="K350" i="23" s="1"/>
  <c r="CW350" i="1" s="1"/>
  <c r="J349" i="23"/>
  <c r="K349" i="23" s="1"/>
  <c r="CW349" i="1" s="1"/>
  <c r="J348" i="23"/>
  <c r="K348" i="23" s="1"/>
  <c r="CW348" i="1" s="1"/>
  <c r="J347" i="23"/>
  <c r="K347" i="23" s="1"/>
  <c r="CW347" i="1" s="1"/>
  <c r="J346" i="23"/>
  <c r="K346" i="23" s="1"/>
  <c r="CW346" i="1" s="1"/>
  <c r="J345" i="23"/>
  <c r="K345" i="23" s="1"/>
  <c r="CW345" i="1" s="1"/>
  <c r="J344" i="23"/>
  <c r="K344" i="23" s="1"/>
  <c r="CW344" i="1" s="1"/>
  <c r="J343" i="23"/>
  <c r="K343" i="23" s="1"/>
  <c r="CW343" i="1" s="1"/>
  <c r="J342" i="23"/>
  <c r="K342" i="23" s="1"/>
  <c r="CW342" i="1" s="1"/>
  <c r="J341" i="23"/>
  <c r="K341" i="23" s="1"/>
  <c r="CW341" i="1" s="1"/>
  <c r="J340" i="23"/>
  <c r="K340" i="23" s="1"/>
  <c r="CW340" i="1" s="1"/>
  <c r="J339" i="23"/>
  <c r="K339" i="23" s="1"/>
  <c r="CW339" i="1" s="1"/>
  <c r="J338" i="23"/>
  <c r="K338" i="23" s="1"/>
  <c r="CW338" i="1" s="1"/>
  <c r="J337" i="23"/>
  <c r="K337" i="23" s="1"/>
  <c r="CW337" i="1" s="1"/>
  <c r="J336" i="23"/>
  <c r="K336" i="23" s="1"/>
  <c r="CW336" i="1" s="1"/>
  <c r="J335" i="23"/>
  <c r="K335" i="23" s="1"/>
  <c r="CW335" i="1" s="1"/>
  <c r="J334" i="23"/>
  <c r="K334" i="23" s="1"/>
  <c r="CW334" i="1" s="1"/>
  <c r="J333" i="23"/>
  <c r="K333" i="23" s="1"/>
  <c r="CW333" i="1" s="1"/>
  <c r="J332" i="23"/>
  <c r="K332" i="23" s="1"/>
  <c r="CW332" i="1" s="1"/>
  <c r="J331" i="23"/>
  <c r="K331" i="23" s="1"/>
  <c r="CW331" i="1" s="1"/>
  <c r="J330" i="23"/>
  <c r="K330" i="23" s="1"/>
  <c r="CW330" i="1" s="1"/>
  <c r="J329" i="23"/>
  <c r="K329" i="23" s="1"/>
  <c r="CW329" i="1" s="1"/>
  <c r="J328" i="23"/>
  <c r="K328" i="23" s="1"/>
  <c r="CW328" i="1" s="1"/>
  <c r="J327" i="23"/>
  <c r="K327" i="23" s="1"/>
  <c r="CW327" i="1" s="1"/>
  <c r="J326" i="23"/>
  <c r="K326" i="23" s="1"/>
  <c r="CW326" i="1" s="1"/>
  <c r="J325" i="23"/>
  <c r="K325" i="23" s="1"/>
  <c r="CW325" i="1" s="1"/>
  <c r="J324" i="23"/>
  <c r="K324" i="23" s="1"/>
  <c r="CW324" i="1" s="1"/>
  <c r="J323" i="23"/>
  <c r="K323" i="23" s="1"/>
  <c r="CW323" i="1" s="1"/>
  <c r="J322" i="23"/>
  <c r="K322" i="23" s="1"/>
  <c r="CW322" i="1" s="1"/>
  <c r="J321" i="23"/>
  <c r="K321" i="23" s="1"/>
  <c r="CW321" i="1" s="1"/>
  <c r="J320" i="23"/>
  <c r="K320" i="23" s="1"/>
  <c r="CW320" i="1" s="1"/>
  <c r="J319" i="23"/>
  <c r="K319" i="23" s="1"/>
  <c r="CW319" i="1" s="1"/>
  <c r="J318" i="23"/>
  <c r="K318" i="23" s="1"/>
  <c r="CW318" i="1" s="1"/>
  <c r="J317" i="23"/>
  <c r="K317" i="23" s="1"/>
  <c r="CW317" i="1" s="1"/>
  <c r="J316" i="23"/>
  <c r="K316" i="23" s="1"/>
  <c r="CW316" i="1" s="1"/>
  <c r="J315" i="23"/>
  <c r="K315" i="23" s="1"/>
  <c r="CW315" i="1" s="1"/>
  <c r="J314" i="23"/>
  <c r="K314" i="23" s="1"/>
  <c r="CW314" i="1" s="1"/>
  <c r="J313" i="23"/>
  <c r="K313" i="23" s="1"/>
  <c r="CW313" i="1" s="1"/>
  <c r="J312" i="23"/>
  <c r="K312" i="23" s="1"/>
  <c r="CW312" i="1" s="1"/>
  <c r="J311" i="23"/>
  <c r="K311" i="23" s="1"/>
  <c r="CW311" i="1" s="1"/>
  <c r="J310" i="23"/>
  <c r="K310" i="23" s="1"/>
  <c r="CW310" i="1" s="1"/>
  <c r="J309" i="23"/>
  <c r="K309" i="23" s="1"/>
  <c r="CW309" i="1" s="1"/>
  <c r="J308" i="23"/>
  <c r="K308" i="23" s="1"/>
  <c r="CW308" i="1" s="1"/>
  <c r="J307" i="23"/>
  <c r="K307" i="23" s="1"/>
  <c r="CW307" i="1" s="1"/>
  <c r="J306" i="23"/>
  <c r="K306" i="23" s="1"/>
  <c r="CW306" i="1" s="1"/>
  <c r="J305" i="23"/>
  <c r="K305" i="23" s="1"/>
  <c r="CW305" i="1" s="1"/>
  <c r="J304" i="23"/>
  <c r="K304" i="23" s="1"/>
  <c r="CW304" i="1" s="1"/>
  <c r="J303" i="23"/>
  <c r="K303" i="23" s="1"/>
  <c r="CW303" i="1" s="1"/>
  <c r="J302" i="23"/>
  <c r="K302" i="23" s="1"/>
  <c r="CW302" i="1" s="1"/>
  <c r="J301" i="23"/>
  <c r="K301" i="23" s="1"/>
  <c r="CW301" i="1" s="1"/>
  <c r="J300" i="23"/>
  <c r="K300" i="23" s="1"/>
  <c r="CW300" i="1" s="1"/>
  <c r="J299" i="23"/>
  <c r="K299" i="23" s="1"/>
  <c r="CW299" i="1" s="1"/>
  <c r="J298" i="23"/>
  <c r="K298" i="23" s="1"/>
  <c r="CW298" i="1" s="1"/>
  <c r="J297" i="23"/>
  <c r="K297" i="23" s="1"/>
  <c r="CW297" i="1" s="1"/>
  <c r="J296" i="23"/>
  <c r="K296" i="23" s="1"/>
  <c r="CW296" i="1" s="1"/>
  <c r="J295" i="23"/>
  <c r="K295" i="23" s="1"/>
  <c r="CW295" i="1" s="1"/>
  <c r="J294" i="23"/>
  <c r="K294" i="23" s="1"/>
  <c r="CW294" i="1" s="1"/>
  <c r="J293" i="23"/>
  <c r="K293" i="23" s="1"/>
  <c r="CW293" i="1" s="1"/>
  <c r="J292" i="23"/>
  <c r="K292" i="23" s="1"/>
  <c r="CW292" i="1" s="1"/>
  <c r="J291" i="23"/>
  <c r="K291" i="23" s="1"/>
  <c r="CW291" i="1" s="1"/>
  <c r="J290" i="23"/>
  <c r="K290" i="23" s="1"/>
  <c r="CW290" i="1" s="1"/>
  <c r="J289" i="23"/>
  <c r="K289" i="23" s="1"/>
  <c r="CW289" i="1" s="1"/>
  <c r="J288" i="23"/>
  <c r="K288" i="23" s="1"/>
  <c r="CW288" i="1" s="1"/>
  <c r="J287" i="23"/>
  <c r="K287" i="23" s="1"/>
  <c r="CW287" i="1" s="1"/>
  <c r="J286" i="23"/>
  <c r="K286" i="23" s="1"/>
  <c r="CW286" i="1" s="1"/>
  <c r="J285" i="23"/>
  <c r="K285" i="23" s="1"/>
  <c r="CW285" i="1" s="1"/>
  <c r="J284" i="23"/>
  <c r="K284" i="23" s="1"/>
  <c r="CW284" i="1" s="1"/>
  <c r="J283" i="23"/>
  <c r="K283" i="23" s="1"/>
  <c r="CW283" i="1" s="1"/>
  <c r="J282" i="23"/>
  <c r="K282" i="23" s="1"/>
  <c r="CW282" i="1" s="1"/>
  <c r="J281" i="23"/>
  <c r="K281" i="23" s="1"/>
  <c r="CW281" i="1" s="1"/>
  <c r="J280" i="23"/>
  <c r="K280" i="23" s="1"/>
  <c r="CW280" i="1" s="1"/>
  <c r="J279" i="23"/>
  <c r="K279" i="23" s="1"/>
  <c r="CW279" i="1" s="1"/>
  <c r="J278" i="23"/>
  <c r="K278" i="23" s="1"/>
  <c r="CW278" i="1" s="1"/>
  <c r="J277" i="23"/>
  <c r="K277" i="23" s="1"/>
  <c r="CW277" i="1" s="1"/>
  <c r="J276" i="23"/>
  <c r="K276" i="23" s="1"/>
  <c r="CW276" i="1" s="1"/>
  <c r="J275" i="23"/>
  <c r="K275" i="23" s="1"/>
  <c r="CW275" i="1" s="1"/>
  <c r="J274" i="23"/>
  <c r="K274" i="23" s="1"/>
  <c r="CW274" i="1" s="1"/>
  <c r="J273" i="23"/>
  <c r="K273" i="23" s="1"/>
  <c r="CW273" i="1" s="1"/>
  <c r="J272" i="23"/>
  <c r="K272" i="23" s="1"/>
  <c r="CW272" i="1" s="1"/>
  <c r="J271" i="23"/>
  <c r="K271" i="23" s="1"/>
  <c r="CW271" i="1" s="1"/>
  <c r="J270" i="23"/>
  <c r="K270" i="23" s="1"/>
  <c r="CW270" i="1" s="1"/>
  <c r="J269" i="23"/>
  <c r="K269" i="23" s="1"/>
  <c r="CW269" i="1" s="1"/>
  <c r="J268" i="23"/>
  <c r="K268" i="23" s="1"/>
  <c r="CW268" i="1" s="1"/>
  <c r="J267" i="23"/>
  <c r="K267" i="23" s="1"/>
  <c r="CW267" i="1" s="1"/>
  <c r="J266" i="23"/>
  <c r="K266" i="23" s="1"/>
  <c r="CW266" i="1" s="1"/>
  <c r="J265" i="23"/>
  <c r="K265" i="23" s="1"/>
  <c r="CW265" i="1" s="1"/>
  <c r="J264" i="23"/>
  <c r="K264" i="23" s="1"/>
  <c r="CW264" i="1" s="1"/>
  <c r="J263" i="23"/>
  <c r="K263" i="23" s="1"/>
  <c r="CW263" i="1" s="1"/>
  <c r="J262" i="23"/>
  <c r="K262" i="23" s="1"/>
  <c r="CW262" i="1" s="1"/>
  <c r="J261" i="23"/>
  <c r="K261" i="23" s="1"/>
  <c r="CW261" i="1" s="1"/>
  <c r="J260" i="23"/>
  <c r="K260" i="23" s="1"/>
  <c r="CW260" i="1" s="1"/>
  <c r="J259" i="23"/>
  <c r="K259" i="23" s="1"/>
  <c r="CW259" i="1" s="1"/>
  <c r="J258" i="23"/>
  <c r="K258" i="23" s="1"/>
  <c r="CW258" i="1" s="1"/>
  <c r="J257" i="23"/>
  <c r="K257" i="23" s="1"/>
  <c r="CW257" i="1" s="1"/>
  <c r="J256" i="23"/>
  <c r="K256" i="23" s="1"/>
  <c r="CW256" i="1" s="1"/>
  <c r="J255" i="23"/>
  <c r="K255" i="23" s="1"/>
  <c r="CW255" i="1" s="1"/>
  <c r="J254" i="23"/>
  <c r="K254" i="23" s="1"/>
  <c r="CW254" i="1" s="1"/>
  <c r="J253" i="23"/>
  <c r="K253" i="23" s="1"/>
  <c r="CW253" i="1" s="1"/>
  <c r="J252" i="23"/>
  <c r="K252" i="23" s="1"/>
  <c r="CW252" i="1" s="1"/>
  <c r="J251" i="23"/>
  <c r="J250" i="23"/>
  <c r="J249" i="23"/>
  <c r="J248" i="23"/>
  <c r="J247" i="23"/>
  <c r="J246" i="23"/>
  <c r="J245" i="23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8" i="23"/>
  <c r="J227" i="23"/>
  <c r="J226" i="23"/>
  <c r="J225" i="23"/>
  <c r="J224" i="23"/>
  <c r="J223" i="23"/>
  <c r="J222" i="23"/>
  <c r="J221" i="23"/>
  <c r="J220" i="23"/>
  <c r="J219" i="23"/>
  <c r="J218" i="23"/>
  <c r="J217" i="23"/>
  <c r="K217" i="23" s="1"/>
  <c r="CW217" i="1" s="1"/>
  <c r="J216" i="23"/>
  <c r="K216" i="23" s="1"/>
  <c r="CW216" i="1" s="1"/>
  <c r="J215" i="23"/>
  <c r="K215" i="23" s="1"/>
  <c r="CW215" i="1" s="1"/>
  <c r="J214" i="23"/>
  <c r="K214" i="23" s="1"/>
  <c r="CW214" i="1" s="1"/>
  <c r="J213" i="23"/>
  <c r="K213" i="23" s="1"/>
  <c r="CW213" i="1" s="1"/>
  <c r="J212" i="23"/>
  <c r="K212" i="23" s="1"/>
  <c r="CW212" i="1" s="1"/>
  <c r="J211" i="23"/>
  <c r="K211" i="23" s="1"/>
  <c r="CW211" i="1" s="1"/>
  <c r="J210" i="23"/>
  <c r="K210" i="23" s="1"/>
  <c r="CW210" i="1" s="1"/>
  <c r="J209" i="23"/>
  <c r="K209" i="23" s="1"/>
  <c r="CW209" i="1" s="1"/>
  <c r="J208" i="23"/>
  <c r="K208" i="23" s="1"/>
  <c r="CW208" i="1" s="1"/>
  <c r="J207" i="23"/>
  <c r="K207" i="23" s="1"/>
  <c r="CW207" i="1" s="1"/>
  <c r="J206" i="23"/>
  <c r="K206" i="23" s="1"/>
  <c r="CW206" i="1" s="1"/>
  <c r="J205" i="23"/>
  <c r="J204" i="23"/>
  <c r="J203" i="23"/>
  <c r="J202" i="23"/>
  <c r="J201" i="23"/>
  <c r="J200" i="23"/>
  <c r="J199" i="23"/>
  <c r="J198" i="23"/>
  <c r="J197" i="23"/>
  <c r="J196" i="23"/>
  <c r="J195" i="23"/>
  <c r="J194" i="23"/>
  <c r="J193" i="23"/>
  <c r="J192" i="23"/>
  <c r="J191" i="23"/>
  <c r="J190" i="23"/>
  <c r="J189" i="23"/>
  <c r="J188" i="23"/>
  <c r="J187" i="23"/>
  <c r="J186" i="23"/>
  <c r="J185" i="23"/>
  <c r="J184" i="23"/>
  <c r="J183" i="23"/>
  <c r="J182" i="23"/>
  <c r="J181" i="23"/>
  <c r="J180" i="23"/>
  <c r="J179" i="23"/>
  <c r="J178" i="23"/>
  <c r="J177" i="23"/>
  <c r="J176" i="23"/>
  <c r="J175" i="23"/>
  <c r="J174" i="23"/>
  <c r="J173" i="23"/>
  <c r="J172" i="23"/>
  <c r="J171" i="23"/>
  <c r="K171" i="23" s="1"/>
  <c r="CW171" i="1" s="1"/>
  <c r="J170" i="23"/>
  <c r="K170" i="23" s="1"/>
  <c r="CW170" i="1" s="1"/>
  <c r="J169" i="23"/>
  <c r="K169" i="23" s="1"/>
  <c r="CW169" i="1" s="1"/>
  <c r="J168" i="23"/>
  <c r="K168" i="23" s="1"/>
  <c r="CW168" i="1" s="1"/>
  <c r="J167" i="23"/>
  <c r="K167" i="23" s="1"/>
  <c r="CW167" i="1" s="1"/>
  <c r="J166" i="23"/>
  <c r="K166" i="23" s="1"/>
  <c r="CW166" i="1" s="1"/>
  <c r="J165" i="23"/>
  <c r="K165" i="23" s="1"/>
  <c r="CW165" i="1" s="1"/>
  <c r="J164" i="23"/>
  <c r="K164" i="23" s="1"/>
  <c r="CW164" i="1" s="1"/>
  <c r="J163" i="23"/>
  <c r="K163" i="23" s="1"/>
  <c r="CW163" i="1" s="1"/>
  <c r="J162" i="23"/>
  <c r="K162" i="23" s="1"/>
  <c r="CW162" i="1" s="1"/>
  <c r="J161" i="23"/>
  <c r="K161" i="23" s="1"/>
  <c r="CW161" i="1" s="1"/>
  <c r="J160" i="23"/>
  <c r="K160" i="23" s="1"/>
  <c r="CW160" i="1" s="1"/>
  <c r="J159" i="23"/>
  <c r="K159" i="23" s="1"/>
  <c r="CW159" i="1" s="1"/>
  <c r="J158" i="23"/>
  <c r="K158" i="23" s="1"/>
  <c r="CW158" i="1" s="1"/>
  <c r="J157" i="23"/>
  <c r="K157" i="23" s="1"/>
  <c r="CW157" i="1" s="1"/>
  <c r="J156" i="23"/>
  <c r="K156" i="23" s="1"/>
  <c r="CW156" i="1" s="1"/>
  <c r="J155" i="23"/>
  <c r="K155" i="23" s="1"/>
  <c r="CW155" i="1" s="1"/>
  <c r="J154" i="23"/>
  <c r="K154" i="23" s="1"/>
  <c r="CW154" i="1" s="1"/>
  <c r="J153" i="23"/>
  <c r="K153" i="23" s="1"/>
  <c r="CW153" i="1" s="1"/>
  <c r="J152" i="23"/>
  <c r="K152" i="23" s="1"/>
  <c r="CW152" i="1" s="1"/>
  <c r="J151" i="23"/>
  <c r="K151" i="23" s="1"/>
  <c r="CW151" i="1" s="1"/>
  <c r="J150" i="23"/>
  <c r="K150" i="23" s="1"/>
  <c r="CW150" i="1" s="1"/>
  <c r="J149" i="23"/>
  <c r="K149" i="23" s="1"/>
  <c r="CW149" i="1" s="1"/>
  <c r="J148" i="23"/>
  <c r="K148" i="23" s="1"/>
  <c r="CW148" i="1" s="1"/>
  <c r="J147" i="23"/>
  <c r="K147" i="23" s="1"/>
  <c r="CW147" i="1" s="1"/>
  <c r="J146" i="23"/>
  <c r="K146" i="23" s="1"/>
  <c r="CW146" i="1" s="1"/>
  <c r="J145" i="23"/>
  <c r="K145" i="23" s="1"/>
  <c r="CW145" i="1" s="1"/>
  <c r="J144" i="23"/>
  <c r="K144" i="23" s="1"/>
  <c r="CW144" i="1" s="1"/>
  <c r="J143" i="23"/>
  <c r="K143" i="23" s="1"/>
  <c r="CW143" i="1" s="1"/>
  <c r="J142" i="23"/>
  <c r="K142" i="23" s="1"/>
  <c r="CW142" i="1" s="1"/>
  <c r="J141" i="23"/>
  <c r="K141" i="23" s="1"/>
  <c r="CW141" i="1" s="1"/>
  <c r="J140" i="23"/>
  <c r="K140" i="23" s="1"/>
  <c r="CW140" i="1" s="1"/>
  <c r="J139" i="23"/>
  <c r="K139" i="23" s="1"/>
  <c r="CW139" i="1" s="1"/>
  <c r="J138" i="23"/>
  <c r="K138" i="23" s="1"/>
  <c r="CW138" i="1" s="1"/>
  <c r="J137" i="23"/>
  <c r="K137" i="23" s="1"/>
  <c r="CW137" i="1" s="1"/>
  <c r="J51" i="23"/>
  <c r="K51" i="23" s="1"/>
  <c r="CW51" i="1" s="1"/>
  <c r="J50" i="23"/>
  <c r="K50" i="23" s="1"/>
  <c r="CW50" i="1" s="1"/>
  <c r="J49" i="23"/>
  <c r="K49" i="23" s="1"/>
  <c r="CW49" i="1" s="1"/>
  <c r="J48" i="23"/>
  <c r="K48" i="23" s="1"/>
  <c r="CW48" i="1" s="1"/>
  <c r="J47" i="23"/>
  <c r="K47" i="23" s="1"/>
  <c r="CW47" i="1" s="1"/>
  <c r="J46" i="23"/>
  <c r="K46" i="23" s="1"/>
  <c r="CW46" i="1" s="1"/>
  <c r="J45" i="23"/>
  <c r="K45" i="23" s="1"/>
  <c r="CW45" i="1" s="1"/>
  <c r="J44" i="23"/>
  <c r="K44" i="23" s="1"/>
  <c r="CW44" i="1" s="1"/>
  <c r="J43" i="23"/>
  <c r="K43" i="23" s="1"/>
  <c r="CW43" i="1" s="1"/>
  <c r="J42" i="23"/>
  <c r="K42" i="23" s="1"/>
  <c r="CW42" i="1" s="1"/>
  <c r="J41" i="23"/>
  <c r="K41" i="23" s="1"/>
  <c r="CW41" i="1" s="1"/>
  <c r="J40" i="23"/>
  <c r="K40" i="23" s="1"/>
  <c r="CW40" i="1" s="1"/>
  <c r="J39" i="23"/>
  <c r="K39" i="23" s="1"/>
  <c r="CW39" i="1" s="1"/>
  <c r="J38" i="23"/>
  <c r="K38" i="23" s="1"/>
  <c r="CW38" i="1" s="1"/>
  <c r="J37" i="23"/>
  <c r="K37" i="23" s="1"/>
  <c r="CW37" i="1" s="1"/>
  <c r="J36" i="23"/>
  <c r="K36" i="23" s="1"/>
  <c r="CW36" i="1" s="1"/>
  <c r="J35" i="23"/>
  <c r="K35" i="23" s="1"/>
  <c r="CW35" i="1" s="1"/>
  <c r="J34" i="23"/>
  <c r="K34" i="23" s="1"/>
  <c r="CW34" i="1" s="1"/>
  <c r="J33" i="23"/>
  <c r="K33" i="23" s="1"/>
  <c r="CW33" i="1" s="1"/>
  <c r="J32" i="23"/>
  <c r="K32" i="23" s="1"/>
  <c r="CW32" i="1" s="1"/>
  <c r="J31" i="23"/>
  <c r="K31" i="23" s="1"/>
  <c r="CW31" i="1" s="1"/>
  <c r="J30" i="23"/>
  <c r="K30" i="23" s="1"/>
  <c r="CW30" i="1" s="1"/>
  <c r="J29" i="23"/>
  <c r="K29" i="23" s="1"/>
  <c r="CW29" i="1" s="1"/>
  <c r="J28" i="23"/>
  <c r="K28" i="23" s="1"/>
  <c r="CW28" i="1" s="1"/>
  <c r="J27" i="23"/>
  <c r="K27" i="23" s="1"/>
  <c r="CW27" i="1" s="1"/>
  <c r="J26" i="23"/>
  <c r="K26" i="23" s="1"/>
  <c r="CW26" i="1" s="1"/>
  <c r="J25" i="23"/>
  <c r="K25" i="23" s="1"/>
  <c r="CW25" i="1" s="1"/>
  <c r="J24" i="23"/>
  <c r="K24" i="23" s="1"/>
  <c r="CW24" i="1" s="1"/>
  <c r="J23" i="23"/>
  <c r="K23" i="23" s="1"/>
  <c r="CW23" i="1" s="1"/>
  <c r="J22" i="23"/>
  <c r="K22" i="23" s="1"/>
  <c r="CW22" i="1" s="1"/>
  <c r="J21" i="23"/>
  <c r="K21" i="23" s="1"/>
  <c r="CW21" i="1" s="1"/>
  <c r="J20" i="23"/>
  <c r="K20" i="23" s="1"/>
  <c r="CW20" i="1" s="1"/>
  <c r="J19" i="23"/>
  <c r="K19" i="23" s="1"/>
  <c r="CW19" i="1" s="1"/>
  <c r="J18" i="23"/>
  <c r="K18" i="23" s="1"/>
  <c r="CW18" i="1" s="1"/>
  <c r="J17" i="23"/>
  <c r="K17" i="23" s="1"/>
  <c r="CW17" i="1" s="1"/>
  <c r="J16" i="23"/>
  <c r="K16" i="23" s="1"/>
  <c r="CW16" i="1" s="1"/>
  <c r="J15" i="23"/>
  <c r="K15" i="23" s="1"/>
  <c r="CW15" i="1" s="1"/>
  <c r="J14" i="23"/>
  <c r="K14" i="23" s="1"/>
  <c r="CW14" i="1" s="1"/>
  <c r="J13" i="23"/>
  <c r="K13" i="23" s="1"/>
  <c r="CW13" i="1" s="1"/>
  <c r="J12" i="23"/>
  <c r="K12" i="23" s="1"/>
  <c r="CW12" i="1" s="1"/>
  <c r="J11" i="23"/>
  <c r="K11" i="23" s="1"/>
  <c r="CW11" i="1" s="1"/>
  <c r="J10" i="23"/>
  <c r="K10" i="23" s="1"/>
  <c r="CW10" i="1" s="1"/>
  <c r="J9" i="23"/>
  <c r="K9" i="23" s="1"/>
  <c r="CW9" i="1" s="1"/>
  <c r="J8" i="23"/>
  <c r="K8" i="23" s="1"/>
  <c r="J7" i="23"/>
  <c r="G372" i="23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G358" i="23"/>
  <c r="G357" i="23"/>
  <c r="G356" i="23"/>
  <c r="G355" i="23"/>
  <c r="G354" i="23"/>
  <c r="G353" i="23"/>
  <c r="G352" i="23"/>
  <c r="G351" i="23"/>
  <c r="G350" i="23"/>
  <c r="G349" i="23"/>
  <c r="G348" i="23"/>
  <c r="G347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G307" i="23"/>
  <c r="G306" i="23"/>
  <c r="G305" i="23"/>
  <c r="G304" i="23"/>
  <c r="G303" i="23"/>
  <c r="G302" i="23"/>
  <c r="G301" i="23"/>
  <c r="G300" i="23"/>
  <c r="G299" i="23"/>
  <c r="G298" i="23"/>
  <c r="G297" i="23"/>
  <c r="G296" i="23"/>
  <c r="G295" i="23"/>
  <c r="G294" i="23"/>
  <c r="G293" i="23"/>
  <c r="G292" i="23"/>
  <c r="G291" i="23"/>
  <c r="G290" i="23"/>
  <c r="G289" i="23"/>
  <c r="G288" i="23"/>
  <c r="G287" i="23"/>
  <c r="G286" i="23"/>
  <c r="G285" i="23"/>
  <c r="G284" i="23"/>
  <c r="G283" i="23"/>
  <c r="G282" i="23"/>
  <c r="G281" i="23"/>
  <c r="G280" i="23"/>
  <c r="G279" i="23"/>
  <c r="G278" i="23"/>
  <c r="G277" i="23"/>
  <c r="G276" i="23"/>
  <c r="G275" i="23"/>
  <c r="G274" i="23"/>
  <c r="G273" i="23"/>
  <c r="G272" i="23"/>
  <c r="G271" i="23"/>
  <c r="G270" i="23"/>
  <c r="G269" i="23"/>
  <c r="G268" i="23"/>
  <c r="C268" i="23"/>
  <c r="G267" i="23"/>
  <c r="C267" i="23"/>
  <c r="G266" i="23"/>
  <c r="C266" i="23"/>
  <c r="G265" i="23"/>
  <c r="C265" i="23"/>
  <c r="G264" i="23"/>
  <c r="C264" i="23"/>
  <c r="G263" i="23"/>
  <c r="C263" i="23"/>
  <c r="G262" i="23"/>
  <c r="C262" i="23"/>
  <c r="G261" i="23"/>
  <c r="C261" i="23"/>
  <c r="G260" i="23"/>
  <c r="C260" i="23"/>
  <c r="G259" i="23"/>
  <c r="C259" i="23"/>
  <c r="G258" i="23"/>
  <c r="C258" i="23"/>
  <c r="G257" i="23"/>
  <c r="C257" i="23"/>
  <c r="G256" i="23"/>
  <c r="C256" i="23"/>
  <c r="G255" i="23"/>
  <c r="C255" i="23"/>
  <c r="G254" i="23"/>
  <c r="C254" i="23"/>
  <c r="G253" i="23"/>
  <c r="C253" i="23"/>
  <c r="G252" i="23"/>
  <c r="C252" i="23"/>
  <c r="G251" i="23"/>
  <c r="K251" i="23" s="1"/>
  <c r="CW251" i="1" s="1"/>
  <c r="C251" i="23"/>
  <c r="G250" i="23"/>
  <c r="K250" i="23" s="1"/>
  <c r="CW250" i="1" s="1"/>
  <c r="C250" i="23"/>
  <c r="G249" i="23"/>
  <c r="K249" i="23" s="1"/>
  <c r="CW249" i="1" s="1"/>
  <c r="C249" i="23"/>
  <c r="G248" i="23"/>
  <c r="K248" i="23" s="1"/>
  <c r="CW248" i="1" s="1"/>
  <c r="C248" i="23"/>
  <c r="G247" i="23"/>
  <c r="K247" i="23" s="1"/>
  <c r="CW247" i="1" s="1"/>
  <c r="C247" i="23"/>
  <c r="G246" i="23"/>
  <c r="K246" i="23" s="1"/>
  <c r="CW246" i="1" s="1"/>
  <c r="C246" i="23"/>
  <c r="G245" i="23"/>
  <c r="K245" i="23" s="1"/>
  <c r="CW245" i="1" s="1"/>
  <c r="C245" i="23"/>
  <c r="G244" i="23"/>
  <c r="K244" i="23" s="1"/>
  <c r="CW244" i="1" s="1"/>
  <c r="C244" i="23"/>
  <c r="G243" i="23"/>
  <c r="K243" i="23" s="1"/>
  <c r="CW243" i="1" s="1"/>
  <c r="C243" i="23"/>
  <c r="G242" i="23"/>
  <c r="K242" i="23" s="1"/>
  <c r="CW242" i="1" s="1"/>
  <c r="C242" i="23"/>
  <c r="G241" i="23"/>
  <c r="K241" i="23" s="1"/>
  <c r="CW241" i="1" s="1"/>
  <c r="C241" i="23"/>
  <c r="G240" i="23"/>
  <c r="K240" i="23" s="1"/>
  <c r="CW240" i="1" s="1"/>
  <c r="C240" i="23"/>
  <c r="G239" i="23"/>
  <c r="K239" i="23" s="1"/>
  <c r="CW239" i="1" s="1"/>
  <c r="C239" i="23"/>
  <c r="G238" i="23"/>
  <c r="K238" i="23" s="1"/>
  <c r="CW238" i="1" s="1"/>
  <c r="C238" i="23"/>
  <c r="G237" i="23"/>
  <c r="K237" i="23" s="1"/>
  <c r="CW237" i="1" s="1"/>
  <c r="C237" i="23"/>
  <c r="G236" i="23"/>
  <c r="K236" i="23" s="1"/>
  <c r="CW236" i="1" s="1"/>
  <c r="C236" i="23"/>
  <c r="G235" i="23"/>
  <c r="K235" i="23" s="1"/>
  <c r="CW235" i="1" s="1"/>
  <c r="C235" i="23"/>
  <c r="G234" i="23"/>
  <c r="K234" i="23" s="1"/>
  <c r="CW234" i="1" s="1"/>
  <c r="C234" i="23"/>
  <c r="G233" i="23"/>
  <c r="K233" i="23" s="1"/>
  <c r="CW233" i="1" s="1"/>
  <c r="C233" i="23"/>
  <c r="G232" i="23"/>
  <c r="K232" i="23" s="1"/>
  <c r="CW232" i="1" s="1"/>
  <c r="C232" i="23"/>
  <c r="G231" i="23"/>
  <c r="K231" i="23" s="1"/>
  <c r="CW231" i="1" s="1"/>
  <c r="C231" i="23"/>
  <c r="G230" i="23"/>
  <c r="K230" i="23" s="1"/>
  <c r="CW230" i="1" s="1"/>
  <c r="C230" i="23"/>
  <c r="G229" i="23"/>
  <c r="K229" i="23" s="1"/>
  <c r="CW229" i="1" s="1"/>
  <c r="C229" i="23"/>
  <c r="G228" i="23"/>
  <c r="K228" i="23" s="1"/>
  <c r="CW228" i="1" s="1"/>
  <c r="C228" i="23"/>
  <c r="G227" i="23"/>
  <c r="K227" i="23" s="1"/>
  <c r="CW227" i="1" s="1"/>
  <c r="C227" i="23"/>
  <c r="G226" i="23"/>
  <c r="K226" i="23" s="1"/>
  <c r="CW226" i="1" s="1"/>
  <c r="C226" i="23"/>
  <c r="G225" i="23"/>
  <c r="K225" i="23" s="1"/>
  <c r="CW225" i="1" s="1"/>
  <c r="C225" i="23"/>
  <c r="G224" i="23"/>
  <c r="K224" i="23" s="1"/>
  <c r="CW224" i="1" s="1"/>
  <c r="C224" i="23"/>
  <c r="G223" i="23"/>
  <c r="K223" i="23" s="1"/>
  <c r="CW223" i="1" s="1"/>
  <c r="C223" i="23"/>
  <c r="G222" i="23"/>
  <c r="K222" i="23" s="1"/>
  <c r="CW222" i="1" s="1"/>
  <c r="C222" i="23"/>
  <c r="G221" i="23"/>
  <c r="K221" i="23" s="1"/>
  <c r="CW221" i="1" s="1"/>
  <c r="C221" i="23"/>
  <c r="G220" i="23"/>
  <c r="K220" i="23" s="1"/>
  <c r="CW220" i="1" s="1"/>
  <c r="C220" i="23"/>
  <c r="G219" i="23"/>
  <c r="K219" i="23" s="1"/>
  <c r="CW219" i="1" s="1"/>
  <c r="C219" i="23"/>
  <c r="G218" i="23"/>
  <c r="K218" i="23" s="1"/>
  <c r="CW218" i="1" s="1"/>
  <c r="C218" i="23"/>
  <c r="G217" i="23"/>
  <c r="C217" i="23"/>
  <c r="G216" i="23"/>
  <c r="C216" i="23"/>
  <c r="G215" i="23"/>
  <c r="C215" i="23"/>
  <c r="G214" i="23"/>
  <c r="C214" i="23"/>
  <c r="G213" i="23"/>
  <c r="C213" i="23"/>
  <c r="G212" i="23"/>
  <c r="C212" i="23"/>
  <c r="G211" i="23"/>
  <c r="C211" i="23"/>
  <c r="G210" i="23"/>
  <c r="C210" i="23"/>
  <c r="G209" i="23"/>
  <c r="C209" i="23"/>
  <c r="G208" i="23"/>
  <c r="C208" i="23"/>
  <c r="G207" i="23"/>
  <c r="C207" i="23"/>
  <c r="G206" i="23"/>
  <c r="C206" i="23"/>
  <c r="G205" i="23"/>
  <c r="K205" i="23" s="1"/>
  <c r="CW205" i="1" s="1"/>
  <c r="C205" i="23"/>
  <c r="G204" i="23"/>
  <c r="K204" i="23" s="1"/>
  <c r="CW204" i="1" s="1"/>
  <c r="C204" i="23"/>
  <c r="G203" i="23"/>
  <c r="K203" i="23" s="1"/>
  <c r="CW203" i="1" s="1"/>
  <c r="C203" i="23"/>
  <c r="G202" i="23"/>
  <c r="K202" i="23" s="1"/>
  <c r="CW202" i="1" s="1"/>
  <c r="C202" i="23"/>
  <c r="G201" i="23"/>
  <c r="K201" i="23" s="1"/>
  <c r="CW201" i="1" s="1"/>
  <c r="C201" i="23"/>
  <c r="G200" i="23"/>
  <c r="K200" i="23" s="1"/>
  <c r="CW200" i="1" s="1"/>
  <c r="C200" i="23"/>
  <c r="G199" i="23"/>
  <c r="K199" i="23" s="1"/>
  <c r="CW199" i="1" s="1"/>
  <c r="C199" i="23"/>
  <c r="G198" i="23"/>
  <c r="K198" i="23" s="1"/>
  <c r="CW198" i="1" s="1"/>
  <c r="C198" i="23"/>
  <c r="G197" i="23"/>
  <c r="K197" i="23" s="1"/>
  <c r="CW197" i="1" s="1"/>
  <c r="C197" i="23"/>
  <c r="G196" i="23"/>
  <c r="K196" i="23" s="1"/>
  <c r="CW196" i="1" s="1"/>
  <c r="C196" i="23"/>
  <c r="G195" i="23"/>
  <c r="K195" i="23" s="1"/>
  <c r="CW195" i="1" s="1"/>
  <c r="C195" i="23"/>
  <c r="G194" i="23"/>
  <c r="K194" i="23" s="1"/>
  <c r="CW194" i="1" s="1"/>
  <c r="C194" i="23"/>
  <c r="G193" i="23"/>
  <c r="K193" i="23" s="1"/>
  <c r="CW193" i="1" s="1"/>
  <c r="C193" i="23"/>
  <c r="G192" i="23"/>
  <c r="K192" i="23" s="1"/>
  <c r="CW192" i="1" s="1"/>
  <c r="C192" i="23"/>
  <c r="G191" i="23"/>
  <c r="K191" i="23" s="1"/>
  <c r="CW191" i="1" s="1"/>
  <c r="C191" i="23"/>
  <c r="G190" i="23"/>
  <c r="K190" i="23" s="1"/>
  <c r="CW190" i="1" s="1"/>
  <c r="C190" i="23"/>
  <c r="G189" i="23"/>
  <c r="K189" i="23" s="1"/>
  <c r="CW189" i="1" s="1"/>
  <c r="C189" i="23"/>
  <c r="G188" i="23"/>
  <c r="K188" i="23" s="1"/>
  <c r="CW188" i="1" s="1"/>
  <c r="C188" i="23"/>
  <c r="G187" i="23"/>
  <c r="K187" i="23" s="1"/>
  <c r="CW187" i="1" s="1"/>
  <c r="C187" i="23"/>
  <c r="G186" i="23"/>
  <c r="K186" i="23" s="1"/>
  <c r="CW186" i="1" s="1"/>
  <c r="C186" i="23"/>
  <c r="G185" i="23"/>
  <c r="K185" i="23" s="1"/>
  <c r="CW185" i="1" s="1"/>
  <c r="C185" i="23"/>
  <c r="G184" i="23"/>
  <c r="K184" i="23" s="1"/>
  <c r="CW184" i="1" s="1"/>
  <c r="C184" i="23"/>
  <c r="G183" i="23"/>
  <c r="K183" i="23" s="1"/>
  <c r="CW183" i="1" s="1"/>
  <c r="C183" i="23"/>
  <c r="G182" i="23"/>
  <c r="K182" i="23" s="1"/>
  <c r="CW182" i="1" s="1"/>
  <c r="C182" i="23"/>
  <c r="G181" i="23"/>
  <c r="K181" i="23" s="1"/>
  <c r="CW181" i="1" s="1"/>
  <c r="C181" i="23"/>
  <c r="G180" i="23"/>
  <c r="K180" i="23" s="1"/>
  <c r="CW180" i="1" s="1"/>
  <c r="C180" i="23"/>
  <c r="G179" i="23"/>
  <c r="K179" i="23" s="1"/>
  <c r="CW179" i="1" s="1"/>
  <c r="C179" i="23"/>
  <c r="G178" i="23"/>
  <c r="K178" i="23" s="1"/>
  <c r="CW178" i="1" s="1"/>
  <c r="C178" i="23"/>
  <c r="G177" i="23"/>
  <c r="K177" i="23" s="1"/>
  <c r="CW177" i="1" s="1"/>
  <c r="C177" i="23"/>
  <c r="G176" i="23"/>
  <c r="K176" i="23" s="1"/>
  <c r="CW176" i="1" s="1"/>
  <c r="C176" i="23"/>
  <c r="G175" i="23"/>
  <c r="K175" i="23" s="1"/>
  <c r="CW175" i="1" s="1"/>
  <c r="C175" i="23"/>
  <c r="G174" i="23"/>
  <c r="K174" i="23" s="1"/>
  <c r="CW174" i="1" s="1"/>
  <c r="C174" i="23"/>
  <c r="G173" i="23"/>
  <c r="K173" i="23" s="1"/>
  <c r="CW173" i="1" s="1"/>
  <c r="C173" i="23"/>
  <c r="G172" i="23"/>
  <c r="K172" i="23" s="1"/>
  <c r="CW172" i="1" s="1"/>
  <c r="C172" i="23"/>
  <c r="G171" i="23"/>
  <c r="C171" i="23"/>
  <c r="G170" i="23"/>
  <c r="C170" i="23"/>
  <c r="G169" i="23"/>
  <c r="C169" i="23"/>
  <c r="G168" i="23"/>
  <c r="C168" i="23"/>
  <c r="G167" i="23"/>
  <c r="C167" i="23"/>
  <c r="G166" i="23"/>
  <c r="C166" i="23"/>
  <c r="G165" i="23"/>
  <c r="C165" i="23"/>
  <c r="G164" i="23"/>
  <c r="C164" i="23"/>
  <c r="G163" i="23"/>
  <c r="C163" i="23"/>
  <c r="G162" i="23"/>
  <c r="C162" i="23"/>
  <c r="G161" i="23"/>
  <c r="C161" i="23"/>
  <c r="G160" i="23"/>
  <c r="C160" i="23"/>
  <c r="G159" i="23"/>
  <c r="C159" i="23"/>
  <c r="G158" i="23"/>
  <c r="G157" i="23"/>
  <c r="G156" i="23"/>
  <c r="G155" i="23"/>
  <c r="G154" i="23"/>
  <c r="C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C67" i="23"/>
  <c r="G66" i="23"/>
  <c r="C66" i="23"/>
  <c r="G65" i="23"/>
  <c r="C65" i="23"/>
  <c r="G63" i="23"/>
  <c r="C63" i="23"/>
  <c r="G62" i="23"/>
  <c r="C62" i="23"/>
  <c r="G61" i="23"/>
  <c r="C61" i="23"/>
  <c r="G60" i="23"/>
  <c r="C60" i="23"/>
  <c r="G59" i="23"/>
  <c r="C59" i="23"/>
  <c r="G58" i="23"/>
  <c r="C58" i="23"/>
  <c r="G57" i="23"/>
  <c r="C57" i="23"/>
  <c r="G56" i="23"/>
  <c r="C56" i="23"/>
  <c r="G55" i="23"/>
  <c r="C55" i="23"/>
  <c r="G54" i="23"/>
  <c r="C54" i="23"/>
  <c r="G53" i="23"/>
  <c r="C53" i="23"/>
  <c r="G52" i="23"/>
  <c r="C52" i="23"/>
  <c r="G51" i="23"/>
  <c r="C51" i="23"/>
  <c r="G50" i="23"/>
  <c r="C50" i="23"/>
  <c r="G49" i="23"/>
  <c r="C49" i="23"/>
  <c r="G48" i="23"/>
  <c r="C48" i="23"/>
  <c r="G47" i="23"/>
  <c r="C47" i="23"/>
  <c r="G46" i="23"/>
  <c r="C46" i="23"/>
  <c r="G45" i="23"/>
  <c r="C45" i="23"/>
  <c r="G44" i="23"/>
  <c r="C44" i="23"/>
  <c r="G43" i="23"/>
  <c r="C43" i="23"/>
  <c r="G42" i="23"/>
  <c r="C42" i="23"/>
  <c r="G41" i="23"/>
  <c r="C41" i="23"/>
  <c r="G40" i="23"/>
  <c r="C40" i="23"/>
  <c r="G39" i="23"/>
  <c r="C39" i="23"/>
  <c r="G38" i="23"/>
  <c r="C38" i="23"/>
  <c r="G37" i="23"/>
  <c r="C37" i="23"/>
  <c r="G36" i="23"/>
  <c r="C36" i="23"/>
  <c r="G35" i="23"/>
  <c r="C35" i="23"/>
  <c r="G34" i="23"/>
  <c r="C34" i="23"/>
  <c r="G33" i="23"/>
  <c r="C33" i="23"/>
  <c r="G32" i="23"/>
  <c r="C32" i="23"/>
  <c r="G31" i="23"/>
  <c r="C31" i="23"/>
  <c r="G30" i="23"/>
  <c r="C30" i="23"/>
  <c r="G29" i="23"/>
  <c r="C29" i="23"/>
  <c r="G28" i="23"/>
  <c r="C28" i="23"/>
  <c r="G27" i="23"/>
  <c r="C27" i="23"/>
  <c r="G26" i="23"/>
  <c r="C26" i="23"/>
  <c r="G25" i="23"/>
  <c r="C25" i="23"/>
  <c r="G24" i="23"/>
  <c r="C24" i="23"/>
  <c r="G23" i="23"/>
  <c r="C23" i="23"/>
  <c r="G22" i="23"/>
  <c r="C22" i="23"/>
  <c r="G21" i="23"/>
  <c r="C21" i="23"/>
  <c r="G20" i="23"/>
  <c r="C20" i="23"/>
  <c r="G19" i="23"/>
  <c r="C19" i="23"/>
  <c r="G18" i="23"/>
  <c r="C18" i="23"/>
  <c r="G17" i="23"/>
  <c r="C17" i="23"/>
  <c r="G16" i="23"/>
  <c r="C16" i="23"/>
  <c r="G15" i="23"/>
  <c r="C15" i="23"/>
  <c r="G14" i="23"/>
  <c r="C14" i="23"/>
  <c r="G13" i="23"/>
  <c r="C13" i="23"/>
  <c r="G12" i="23"/>
  <c r="C12" i="23"/>
  <c r="G11" i="23"/>
  <c r="C11" i="23"/>
  <c r="G10" i="23"/>
  <c r="C10" i="23"/>
  <c r="G9" i="23"/>
  <c r="C9" i="23"/>
  <c r="G8" i="23"/>
  <c r="C8" i="23"/>
  <c r="G7" i="23"/>
  <c r="C7" i="23"/>
  <c r="R6" i="23"/>
  <c r="BO396" i="1"/>
  <c r="BO395" i="1"/>
  <c r="BO394" i="1"/>
  <c r="BO390" i="1"/>
  <c r="BO389" i="1"/>
  <c r="BJ396" i="1"/>
  <c r="BJ395" i="1"/>
  <c r="BJ394" i="1"/>
  <c r="BJ390" i="1"/>
  <c r="BJ389" i="1"/>
  <c r="BF397" i="1"/>
  <c r="BF396" i="1"/>
  <c r="BF395" i="1"/>
  <c r="BF394" i="1"/>
  <c r="BF390" i="1"/>
  <c r="BF389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V387" i="1"/>
  <c r="W387" i="1"/>
  <c r="X387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P387" i="1"/>
  <c r="Q387" i="1"/>
  <c r="R387" i="1"/>
  <c r="S387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L387" i="1"/>
  <c r="M387" i="1"/>
  <c r="N387" i="1"/>
  <c r="BF384" i="1"/>
  <c r="BF376" i="1"/>
  <c r="BR383" i="1"/>
  <c r="BO383" i="1"/>
  <c r="BR382" i="1"/>
  <c r="BO382" i="1"/>
  <c r="BR381" i="1"/>
  <c r="BO381" i="1"/>
  <c r="BR377" i="1"/>
  <c r="BO377" i="1"/>
  <c r="BR376" i="1"/>
  <c r="BO376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AD387" i="1"/>
  <c r="AE387" i="1"/>
  <c r="AF387" i="1"/>
  <c r="AG387" i="1"/>
  <c r="AH387" i="1"/>
  <c r="AI387" i="1"/>
  <c r="AJ387" i="1"/>
  <c r="AK387" i="1"/>
  <c r="AL387" i="1"/>
  <c r="BK396" i="1"/>
  <c r="BK395" i="1"/>
  <c r="BK394" i="1"/>
  <c r="BK390" i="1"/>
  <c r="BK389" i="1"/>
  <c r="BK383" i="1"/>
  <c r="BJ383" i="1"/>
  <c r="BK382" i="1"/>
  <c r="BJ382" i="1"/>
  <c r="BK381" i="1"/>
  <c r="BJ381" i="1"/>
  <c r="BK377" i="1"/>
  <c r="BJ377" i="1"/>
  <c r="BK376" i="1"/>
  <c r="BJ376" i="1"/>
  <c r="AQ400" i="1"/>
  <c r="AP400" i="1"/>
  <c r="AO400" i="1"/>
  <c r="AL400" i="1"/>
  <c r="AK400" i="1"/>
  <c r="AJ400" i="1"/>
  <c r="AI400" i="1"/>
  <c r="AH400" i="1"/>
  <c r="AG400" i="1"/>
  <c r="AF400" i="1"/>
  <c r="AE400" i="1"/>
  <c r="AD400" i="1"/>
  <c r="AA400" i="1"/>
  <c r="X400" i="1"/>
  <c r="W400" i="1"/>
  <c r="V400" i="1"/>
  <c r="U400" i="1"/>
  <c r="T400" i="1"/>
  <c r="S400" i="1"/>
  <c r="R400" i="1"/>
  <c r="Q400" i="1"/>
  <c r="N400" i="1"/>
  <c r="M400" i="1"/>
  <c r="L400" i="1"/>
  <c r="I400" i="1"/>
  <c r="H400" i="1"/>
  <c r="G400" i="1"/>
  <c r="F400" i="1"/>
  <c r="E400" i="1"/>
  <c r="D400" i="1"/>
  <c r="C400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I387" i="1"/>
  <c r="H387" i="1"/>
  <c r="G387" i="1"/>
  <c r="F387" i="1"/>
  <c r="E387" i="1"/>
  <c r="D387" i="1"/>
  <c r="C387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CW8" i="1" l="1"/>
  <c r="K380" i="23"/>
  <c r="K383" i="23"/>
  <c r="K385" i="23"/>
  <c r="K386" i="23"/>
  <c r="K381" i="23"/>
  <c r="M7" i="23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K7" i="23"/>
  <c r="K382" i="23"/>
  <c r="K384" i="23"/>
  <c r="BQ390" i="1"/>
  <c r="BT376" i="1"/>
  <c r="BT377" i="1"/>
  <c r="BT383" i="1"/>
  <c r="BQ395" i="1"/>
  <c r="BQ396" i="1"/>
  <c r="BQ382" i="1"/>
  <c r="BQ394" i="1"/>
  <c r="BQ377" i="1"/>
  <c r="BQ389" i="1"/>
  <c r="BT382" i="1"/>
  <c r="BT381" i="1"/>
  <c r="BQ376" i="1"/>
  <c r="BQ381" i="1"/>
  <c r="BQ383" i="1"/>
  <c r="CW7" i="1" l="1"/>
  <c r="H7" i="23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H39" i="23" s="1"/>
  <c r="H40" i="23" s="1"/>
  <c r="H41" i="23" s="1"/>
  <c r="H42" i="23" s="1"/>
  <c r="H43" i="23" s="1"/>
  <c r="H44" i="23" s="1"/>
  <c r="H45" i="23" s="1"/>
  <c r="H46" i="23" s="1"/>
  <c r="H47" i="23" s="1"/>
  <c r="H48" i="23" s="1"/>
  <c r="H49" i="23" s="1"/>
  <c r="H50" i="23" s="1"/>
  <c r="H51" i="23" s="1"/>
  <c r="H52" i="23" s="1"/>
  <c r="H53" i="23" s="1"/>
  <c r="H54" i="23" s="1"/>
  <c r="H55" i="23" s="1"/>
  <c r="H56" i="23" s="1"/>
  <c r="H57" i="23" s="1"/>
  <c r="H58" i="23" s="1"/>
  <c r="H59" i="23" s="1"/>
  <c r="H60" i="23" s="1"/>
  <c r="H61" i="23" s="1"/>
  <c r="H62" i="23" s="1"/>
  <c r="H63" i="23" s="1"/>
  <c r="H64" i="23" s="1"/>
  <c r="H65" i="23" s="1"/>
  <c r="H66" i="23" s="1"/>
  <c r="H67" i="23" s="1"/>
  <c r="H68" i="23" s="1"/>
  <c r="H69" i="23" s="1"/>
  <c r="H70" i="23" s="1"/>
  <c r="H71" i="23" s="1"/>
  <c r="H72" i="23" s="1"/>
  <c r="H73" i="23" s="1"/>
  <c r="H74" i="23" s="1"/>
  <c r="H75" i="23" s="1"/>
  <c r="H76" i="23" s="1"/>
  <c r="H77" i="23" s="1"/>
  <c r="H78" i="23" s="1"/>
  <c r="H79" i="23" s="1"/>
  <c r="H80" i="23" s="1"/>
  <c r="H81" i="23" s="1"/>
  <c r="H82" i="23" s="1"/>
  <c r="H83" i="23" s="1"/>
  <c r="H84" i="23" s="1"/>
  <c r="H85" i="23" s="1"/>
  <c r="H86" i="23" s="1"/>
  <c r="H87" i="23" s="1"/>
  <c r="H88" i="23" s="1"/>
  <c r="H89" i="23" s="1"/>
  <c r="H90" i="23" s="1"/>
  <c r="H91" i="23" s="1"/>
  <c r="H92" i="23" s="1"/>
  <c r="H93" i="23" s="1"/>
  <c r="H94" i="23" s="1"/>
  <c r="H95" i="23" s="1"/>
  <c r="H96" i="23" s="1"/>
  <c r="H97" i="23" s="1"/>
  <c r="H98" i="23" s="1"/>
  <c r="H99" i="23" s="1"/>
  <c r="H100" i="23" s="1"/>
  <c r="H101" i="23" s="1"/>
  <c r="H102" i="23" s="1"/>
  <c r="H103" i="23" s="1"/>
  <c r="H104" i="23" s="1"/>
  <c r="H105" i="23" s="1"/>
  <c r="H106" i="23" s="1"/>
  <c r="H107" i="23" s="1"/>
  <c r="H108" i="23" s="1"/>
  <c r="H109" i="23" s="1"/>
  <c r="H110" i="23" s="1"/>
  <c r="H111" i="23" s="1"/>
  <c r="H112" i="23" s="1"/>
  <c r="H113" i="23" s="1"/>
  <c r="H114" i="23" s="1"/>
  <c r="H115" i="23" s="1"/>
  <c r="H116" i="23" s="1"/>
  <c r="H117" i="23" s="1"/>
  <c r="H118" i="23" s="1"/>
  <c r="H119" i="23" s="1"/>
  <c r="H120" i="23" s="1"/>
  <c r="H121" i="23" s="1"/>
  <c r="H122" i="23" s="1"/>
  <c r="H123" i="23" s="1"/>
  <c r="H124" i="23" s="1"/>
  <c r="H125" i="23" s="1"/>
  <c r="H126" i="23" s="1"/>
  <c r="H127" i="23" s="1"/>
  <c r="H128" i="23" s="1"/>
  <c r="H129" i="23" s="1"/>
  <c r="H130" i="23" s="1"/>
  <c r="H131" i="23" s="1"/>
  <c r="H132" i="23" s="1"/>
  <c r="H133" i="23" s="1"/>
  <c r="H134" i="23" s="1"/>
  <c r="H135" i="23" s="1"/>
  <c r="H136" i="23" s="1"/>
  <c r="M65" i="23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M372" i="23" s="1"/>
  <c r="M64" i="23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P7" i="23" l="1"/>
  <c r="Q7" i="23" s="1"/>
  <c r="R7" i="23" s="1"/>
  <c r="F372" i="23"/>
  <c r="C372" i="23"/>
  <c r="C371" i="23"/>
  <c r="BI1" i="1"/>
  <c r="BI334" i="1" s="1"/>
  <c r="C370" i="23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1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1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C296" i="23"/>
  <c r="C295" i="23"/>
  <c r="C294" i="23"/>
  <c r="C293" i="23"/>
  <c r="C292" i="23"/>
  <c r="C291" i="23"/>
  <c r="C290" i="23"/>
  <c r="C289" i="23"/>
  <c r="C288" i="23"/>
  <c r="C287" i="23"/>
  <c r="C286" i="23"/>
  <c r="C285" i="23"/>
  <c r="C284" i="23"/>
  <c r="C283" i="23"/>
  <c r="C282" i="23"/>
  <c r="C280" i="23"/>
  <c r="C279" i="23"/>
  <c r="C278" i="23"/>
  <c r="C277" i="23"/>
  <c r="C276" i="23"/>
  <c r="C275" i="23"/>
  <c r="C274" i="23"/>
  <c r="C273" i="23"/>
  <c r="C272" i="23"/>
  <c r="C271" i="23"/>
  <c r="C270" i="23"/>
  <c r="C158" i="23"/>
  <c r="C156" i="23"/>
  <c r="C155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S7" i="23" l="1"/>
  <c r="T7" i="23" s="1"/>
  <c r="P8" i="23"/>
  <c r="Q8" i="23" s="1"/>
  <c r="R8" i="23" s="1"/>
  <c r="BI106" i="1"/>
  <c r="BI148" i="1"/>
  <c r="BI12" i="1"/>
  <c r="BI198" i="1"/>
  <c r="BI310" i="1"/>
  <c r="BI314" i="1"/>
  <c r="BI156" i="1"/>
  <c r="BI160" i="1"/>
  <c r="BI345" i="1"/>
  <c r="BI44" i="1"/>
  <c r="BI177" i="1"/>
  <c r="BI241" i="1"/>
  <c r="BI338" i="1"/>
  <c r="BI60" i="1"/>
  <c r="BI189" i="1"/>
  <c r="BI261" i="1"/>
  <c r="BI290" i="1"/>
  <c r="BI284" i="1"/>
  <c r="BI320" i="1"/>
  <c r="BI332" i="1"/>
  <c r="BI356" i="1"/>
  <c r="BI28" i="1"/>
  <c r="BI221" i="1"/>
  <c r="BI326" i="1"/>
  <c r="BI7" i="1"/>
  <c r="BI80" i="1"/>
  <c r="BI96" i="1"/>
  <c r="BI116" i="1"/>
  <c r="BI132" i="1"/>
  <c r="BI164" i="1"/>
  <c r="BI184" i="1"/>
  <c r="BI188" i="1"/>
  <c r="BI192" i="1"/>
  <c r="BI196" i="1"/>
  <c r="BI19" i="1"/>
  <c r="BI31" i="1"/>
  <c r="BI47" i="1"/>
  <c r="BI59" i="1"/>
  <c r="BI76" i="1"/>
  <c r="BI88" i="1"/>
  <c r="BI104" i="1"/>
  <c r="BI128" i="1"/>
  <c r="BI140" i="1"/>
  <c r="BI176" i="1"/>
  <c r="BI200" i="1"/>
  <c r="BI212" i="1"/>
  <c r="BI228" i="1"/>
  <c r="BI244" i="1"/>
  <c r="BI260" i="1"/>
  <c r="BI277" i="1"/>
  <c r="BI317" i="1"/>
  <c r="BI20" i="1"/>
  <c r="BI36" i="1"/>
  <c r="BI52" i="1"/>
  <c r="BI157" i="1"/>
  <c r="BI165" i="1"/>
  <c r="BI209" i="1"/>
  <c r="BI229" i="1"/>
  <c r="BI253" i="1"/>
  <c r="BI274" i="1"/>
  <c r="BI302" i="1"/>
  <c r="BI9" i="1"/>
  <c r="BI13" i="1"/>
  <c r="BI17" i="1"/>
  <c r="BI15" i="1"/>
  <c r="BI27" i="1"/>
  <c r="BI39" i="1"/>
  <c r="BI55" i="1"/>
  <c r="BI68" i="1"/>
  <c r="BI108" i="1"/>
  <c r="BI124" i="1"/>
  <c r="BI136" i="1"/>
  <c r="BI152" i="1"/>
  <c r="BI180" i="1"/>
  <c r="BI204" i="1"/>
  <c r="BI220" i="1"/>
  <c r="BI232" i="1"/>
  <c r="BI248" i="1"/>
  <c r="BI256" i="1"/>
  <c r="BI273" i="1"/>
  <c r="BI309" i="1"/>
  <c r="BI8" i="1"/>
  <c r="BI24" i="1"/>
  <c r="BI40" i="1"/>
  <c r="BI56" i="1"/>
  <c r="BI169" i="1"/>
  <c r="BI197" i="1"/>
  <c r="BI213" i="1"/>
  <c r="BI237" i="1"/>
  <c r="BI257" i="1"/>
  <c r="BI286" i="1"/>
  <c r="BI322" i="1"/>
  <c r="BI10" i="1"/>
  <c r="BI14" i="1"/>
  <c r="BI18" i="1"/>
  <c r="BI64" i="1"/>
  <c r="BI263" i="1"/>
  <c r="BI306" i="1"/>
  <c r="BI300" i="1"/>
  <c r="BI294" i="1"/>
  <c r="BI282" i="1"/>
  <c r="BI278" i="1"/>
  <c r="BI272" i="1"/>
  <c r="BI266" i="1"/>
  <c r="BI249" i="1"/>
  <c r="BI233" i="1"/>
  <c r="BI217" i="1"/>
  <c r="BI201" i="1"/>
  <c r="BI193" i="1"/>
  <c r="BI185" i="1"/>
  <c r="BI173" i="1"/>
  <c r="BI161" i="1"/>
  <c r="BI11" i="1"/>
  <c r="BI23" i="1"/>
  <c r="BI35" i="1"/>
  <c r="BI43" i="1"/>
  <c r="BI51" i="1"/>
  <c r="BI63" i="1"/>
  <c r="BI72" i="1"/>
  <c r="BI84" i="1"/>
  <c r="BI92" i="1"/>
  <c r="BI100" i="1"/>
  <c r="BI112" i="1"/>
  <c r="BI120" i="1"/>
  <c r="BI144" i="1"/>
  <c r="BI168" i="1"/>
  <c r="BI172" i="1"/>
  <c r="BI208" i="1"/>
  <c r="BI216" i="1"/>
  <c r="BI224" i="1"/>
  <c r="BI236" i="1"/>
  <c r="BI240" i="1"/>
  <c r="BI252" i="1"/>
  <c r="BI265" i="1"/>
  <c r="BI269" i="1"/>
  <c r="BI281" i="1"/>
  <c r="BI285" i="1"/>
  <c r="BI289" i="1"/>
  <c r="BI293" i="1"/>
  <c r="BI297" i="1"/>
  <c r="BI301" i="1"/>
  <c r="BI305" i="1"/>
  <c r="BI313" i="1"/>
  <c r="BI321" i="1"/>
  <c r="BI325" i="1"/>
  <c r="BI329" i="1"/>
  <c r="BI333" i="1"/>
  <c r="BI337" i="1"/>
  <c r="BI341" i="1"/>
  <c r="BI349" i="1"/>
  <c r="BI353" i="1"/>
  <c r="BI357" i="1"/>
  <c r="BI361" i="1"/>
  <c r="BI365" i="1"/>
  <c r="BI369" i="1"/>
  <c r="BI16" i="1"/>
  <c r="BI32" i="1"/>
  <c r="BI48" i="1"/>
  <c r="BI65" i="1"/>
  <c r="BI181" i="1"/>
  <c r="BI205" i="1"/>
  <c r="BI225" i="1"/>
  <c r="BI245" i="1"/>
  <c r="BI270" i="1"/>
  <c r="BI298" i="1"/>
  <c r="BI308" i="1"/>
  <c r="BI318" i="1"/>
  <c r="BI330" i="1"/>
  <c r="BI342" i="1"/>
  <c r="BI21" i="1"/>
  <c r="BI25" i="1"/>
  <c r="BI29" i="1"/>
  <c r="BI33" i="1"/>
  <c r="BI37" i="1"/>
  <c r="BI41" i="1"/>
  <c r="BI45" i="1"/>
  <c r="BI49" i="1"/>
  <c r="BI53" i="1"/>
  <c r="BI57" i="1"/>
  <c r="BI61" i="1"/>
  <c r="BI66" i="1"/>
  <c r="BI70" i="1"/>
  <c r="BI74" i="1"/>
  <c r="BI78" i="1"/>
  <c r="BI82" i="1"/>
  <c r="BI86" i="1"/>
  <c r="BI90" i="1"/>
  <c r="BI94" i="1"/>
  <c r="BI98" i="1"/>
  <c r="BI102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62" i="1"/>
  <c r="BI166" i="1"/>
  <c r="BI170" i="1"/>
  <c r="BI174" i="1"/>
  <c r="BI178" i="1"/>
  <c r="BI182" i="1"/>
  <c r="BI186" i="1"/>
  <c r="BI190" i="1"/>
  <c r="BI194" i="1"/>
  <c r="BI202" i="1"/>
  <c r="BI206" i="1"/>
  <c r="BI210" i="1"/>
  <c r="BI214" i="1"/>
  <c r="BI218" i="1"/>
  <c r="BI222" i="1"/>
  <c r="BI226" i="1"/>
  <c r="BI230" i="1"/>
  <c r="BI234" i="1"/>
  <c r="BI238" i="1"/>
  <c r="BI242" i="1"/>
  <c r="BI246" i="1"/>
  <c r="BI250" i="1"/>
  <c r="BI254" i="1"/>
  <c r="BI258" i="1"/>
  <c r="BI262" i="1"/>
  <c r="BI267" i="1"/>
  <c r="BI271" i="1"/>
  <c r="BI275" i="1"/>
  <c r="BI279" i="1"/>
  <c r="BI283" i="1"/>
  <c r="BI287" i="1"/>
  <c r="BI291" i="1"/>
  <c r="BI295" i="1"/>
  <c r="BI299" i="1"/>
  <c r="BI303" i="1"/>
  <c r="BI307" i="1"/>
  <c r="BI311" i="1"/>
  <c r="BI315" i="1"/>
  <c r="BI319" i="1"/>
  <c r="BI323" i="1"/>
  <c r="BI327" i="1"/>
  <c r="BI331" i="1"/>
  <c r="BI335" i="1"/>
  <c r="BI339" i="1"/>
  <c r="BI343" i="1"/>
  <c r="BI347" i="1"/>
  <c r="BI351" i="1"/>
  <c r="BI355" i="1"/>
  <c r="BI359" i="1"/>
  <c r="BI363" i="1"/>
  <c r="BI367" i="1"/>
  <c r="BI22" i="1"/>
  <c r="BI26" i="1"/>
  <c r="BI30" i="1"/>
  <c r="BI34" i="1"/>
  <c r="BI38" i="1"/>
  <c r="BI42" i="1"/>
  <c r="BI46" i="1"/>
  <c r="BI50" i="1"/>
  <c r="BI54" i="1"/>
  <c r="BI58" i="1"/>
  <c r="BI62" i="1"/>
  <c r="BI67" i="1"/>
  <c r="BI71" i="1"/>
  <c r="BI75" i="1"/>
  <c r="BI79" i="1"/>
  <c r="BI83" i="1"/>
  <c r="BI87" i="1"/>
  <c r="BI91" i="1"/>
  <c r="BI95" i="1"/>
  <c r="BI99" i="1"/>
  <c r="BI103" i="1"/>
  <c r="BI107" i="1"/>
  <c r="BI111" i="1"/>
  <c r="BI115" i="1"/>
  <c r="BI119" i="1"/>
  <c r="BI123" i="1"/>
  <c r="BI127" i="1"/>
  <c r="BI131" i="1"/>
  <c r="BI135" i="1"/>
  <c r="BI139" i="1"/>
  <c r="BI143" i="1"/>
  <c r="BI147" i="1"/>
  <c r="BI151" i="1"/>
  <c r="BI155" i="1"/>
  <c r="BI159" i="1"/>
  <c r="BI163" i="1"/>
  <c r="BI167" i="1"/>
  <c r="BI171" i="1"/>
  <c r="BI175" i="1"/>
  <c r="BI179" i="1"/>
  <c r="BI183" i="1"/>
  <c r="BI187" i="1"/>
  <c r="BI191" i="1"/>
  <c r="BI195" i="1"/>
  <c r="BI199" i="1"/>
  <c r="BI203" i="1"/>
  <c r="BI207" i="1"/>
  <c r="BI211" i="1"/>
  <c r="BI215" i="1"/>
  <c r="BI219" i="1"/>
  <c r="BI223" i="1"/>
  <c r="BI227" i="1"/>
  <c r="BI231" i="1"/>
  <c r="BI235" i="1"/>
  <c r="BI239" i="1"/>
  <c r="BI243" i="1"/>
  <c r="BI247" i="1"/>
  <c r="BI251" i="1"/>
  <c r="BI255" i="1"/>
  <c r="BI259" i="1"/>
  <c r="BI264" i="1"/>
  <c r="BI268" i="1"/>
  <c r="BI276" i="1"/>
  <c r="BI280" i="1"/>
  <c r="BI288" i="1"/>
  <c r="BI292" i="1"/>
  <c r="BI296" i="1"/>
  <c r="BI304" i="1"/>
  <c r="BI312" i="1"/>
  <c r="BI316" i="1"/>
  <c r="BI324" i="1"/>
  <c r="BI328" i="1"/>
  <c r="BI336" i="1"/>
  <c r="BI340" i="1"/>
  <c r="BI344" i="1"/>
  <c r="BI348" i="1"/>
  <c r="BI352" i="1"/>
  <c r="BI360" i="1"/>
  <c r="BI364" i="1"/>
  <c r="BI368" i="1"/>
  <c r="BI69" i="1"/>
  <c r="BI73" i="1"/>
  <c r="BI77" i="1"/>
  <c r="BI81" i="1"/>
  <c r="BI85" i="1"/>
  <c r="BI89" i="1"/>
  <c r="BI93" i="1"/>
  <c r="BI97" i="1"/>
  <c r="BI101" i="1"/>
  <c r="BI105" i="1"/>
  <c r="BI109" i="1"/>
  <c r="BI113" i="1"/>
  <c r="BI117" i="1"/>
  <c r="BI121" i="1"/>
  <c r="BI125" i="1"/>
  <c r="BI129" i="1"/>
  <c r="BI133" i="1"/>
  <c r="BI137" i="1"/>
  <c r="BI141" i="1"/>
  <c r="BI145" i="1"/>
  <c r="BI149" i="1"/>
  <c r="BI153" i="1"/>
  <c r="BI346" i="1"/>
  <c r="BI350" i="1"/>
  <c r="BI354" i="1"/>
  <c r="BI358" i="1"/>
  <c r="BI362" i="1"/>
  <c r="BI366" i="1"/>
  <c r="BI370" i="1"/>
  <c r="BF378" i="1"/>
  <c r="BF385" i="1"/>
  <c r="BF387" i="1"/>
  <c r="BF379" i="1"/>
  <c r="BF386" i="1"/>
  <c r="BK378" i="1"/>
  <c r="BK391" i="1"/>
  <c r="BK392" i="1"/>
  <c r="BK379" i="1"/>
  <c r="BK397" i="1"/>
  <c r="BK384" i="1"/>
  <c r="BK398" i="1"/>
  <c r="BK385" i="1"/>
  <c r="BK399" i="1"/>
  <c r="BK386" i="1"/>
  <c r="BF380" i="1"/>
  <c r="C68" i="23"/>
  <c r="BJ378" i="1"/>
  <c r="BJ391" i="1"/>
  <c r="C98" i="23"/>
  <c r="BJ392" i="1"/>
  <c r="BJ379" i="1"/>
  <c r="C128" i="23"/>
  <c r="C269" i="23"/>
  <c r="BJ384" i="1"/>
  <c r="BJ397" i="1"/>
  <c r="C281" i="23"/>
  <c r="BJ398" i="1"/>
  <c r="BJ385" i="1"/>
  <c r="C312" i="23"/>
  <c r="BJ386" i="1"/>
  <c r="BJ399" i="1"/>
  <c r="C342" i="23"/>
  <c r="BJ400" i="1"/>
  <c r="BJ387" i="1"/>
  <c r="BO391" i="1"/>
  <c r="BO378" i="1"/>
  <c r="BR378" i="1"/>
  <c r="BR379" i="1"/>
  <c r="BO392" i="1"/>
  <c r="BO379" i="1"/>
  <c r="BR380" i="1"/>
  <c r="BO380" i="1"/>
  <c r="BO393" i="1"/>
  <c r="BO397" i="1"/>
  <c r="BR384" i="1"/>
  <c r="BO384" i="1"/>
  <c r="BO398" i="1"/>
  <c r="BO385" i="1"/>
  <c r="BR385" i="1"/>
  <c r="BO399" i="1"/>
  <c r="BR386" i="1"/>
  <c r="BO386" i="1"/>
  <c r="BO400" i="1"/>
  <c r="BO387" i="1"/>
  <c r="BR387" i="1"/>
  <c r="BF392" i="1"/>
  <c r="BF399" i="1"/>
  <c r="BF391" i="1"/>
  <c r="BF393" i="1"/>
  <c r="BF398" i="1"/>
  <c r="BF400" i="1"/>
  <c r="BI371" i="1"/>
  <c r="BK380" i="1"/>
  <c r="BK387" i="1"/>
  <c r="C157" i="23"/>
  <c r="BI372" i="1"/>
  <c r="P9" i="23" l="1"/>
  <c r="Q9" i="23" s="1"/>
  <c r="R9" i="23" s="1"/>
  <c r="S8" i="23"/>
  <c r="T8" i="23" s="1"/>
  <c r="BQ398" i="1"/>
  <c r="BQ397" i="1"/>
  <c r="BQ399" i="1"/>
  <c r="BT386" i="1"/>
  <c r="BQ386" i="1"/>
  <c r="BQ392" i="1"/>
  <c r="BQ379" i="1"/>
  <c r="BT379" i="1"/>
  <c r="BJ393" i="1"/>
  <c r="BK400" i="1"/>
  <c r="BK393" i="1"/>
  <c r="BQ385" i="1"/>
  <c r="BT385" i="1"/>
  <c r="BT384" i="1"/>
  <c r="BT387" i="1"/>
  <c r="BQ400" i="1"/>
  <c r="BQ387" i="1"/>
  <c r="BQ393" i="1"/>
  <c r="BQ380" i="1"/>
  <c r="BT380" i="1"/>
  <c r="BQ378" i="1"/>
  <c r="BQ391" i="1"/>
  <c r="BT378" i="1"/>
  <c r="BJ380" i="1"/>
  <c r="BQ384" i="1"/>
  <c r="S9" i="23" l="1"/>
  <c r="T9" i="23" s="1"/>
  <c r="P10" i="23"/>
  <c r="Q10" i="23" s="1"/>
  <c r="R10" i="23" s="1"/>
  <c r="P11" i="23" l="1"/>
  <c r="Q11" i="23" s="1"/>
  <c r="R11" i="23" s="1"/>
  <c r="S10" i="23"/>
  <c r="T10" i="23" s="1"/>
  <c r="P12" i="23" l="1"/>
  <c r="Q12" i="23" s="1"/>
  <c r="R12" i="23" s="1"/>
  <c r="S11" i="23"/>
  <c r="T11" i="23" s="1"/>
  <c r="P13" i="23" l="1"/>
  <c r="Q13" i="23" s="1"/>
  <c r="R13" i="23" s="1"/>
  <c r="S12" i="23"/>
  <c r="T12" i="23" s="1"/>
  <c r="P14" i="23" l="1"/>
  <c r="Q14" i="23" s="1"/>
  <c r="R14" i="23" s="1"/>
  <c r="S13" i="23"/>
  <c r="T13" i="23" s="1"/>
  <c r="P15" i="23" l="1"/>
  <c r="Q15" i="23" s="1"/>
  <c r="R15" i="23" s="1"/>
  <c r="S14" i="23"/>
  <c r="T14" i="23" s="1"/>
  <c r="P16" i="23" l="1"/>
  <c r="Q16" i="23" s="1"/>
  <c r="R16" i="23" s="1"/>
  <c r="S15" i="23"/>
  <c r="T15" i="23" s="1"/>
  <c r="P17" i="23" l="1"/>
  <c r="Q17" i="23" s="1"/>
  <c r="R17" i="23" s="1"/>
  <c r="S16" i="23"/>
  <c r="T16" i="23" s="1"/>
  <c r="P18" i="23" l="1"/>
  <c r="Q18" i="23" s="1"/>
  <c r="R18" i="23" s="1"/>
  <c r="S17" i="23"/>
  <c r="T17" i="23" s="1"/>
  <c r="P19" i="23" l="1"/>
  <c r="Q19" i="23" s="1"/>
  <c r="R19" i="23" s="1"/>
  <c r="S18" i="23"/>
  <c r="T18" i="23" s="1"/>
  <c r="P20" i="23" l="1"/>
  <c r="Q20" i="23" s="1"/>
  <c r="R20" i="23" s="1"/>
  <c r="S19" i="23"/>
  <c r="T19" i="23" s="1"/>
  <c r="P21" i="23" l="1"/>
  <c r="Q21" i="23" s="1"/>
  <c r="R21" i="23" s="1"/>
  <c r="S20" i="23"/>
  <c r="T20" i="23" s="1"/>
  <c r="P22" i="23" l="1"/>
  <c r="Q22" i="23" s="1"/>
  <c r="R22" i="23" s="1"/>
  <c r="S21" i="23"/>
  <c r="T21" i="23" s="1"/>
  <c r="P23" i="23" l="1"/>
  <c r="Q23" i="23" s="1"/>
  <c r="R23" i="23" s="1"/>
  <c r="S22" i="23"/>
  <c r="T22" i="23" s="1"/>
  <c r="P24" i="23" l="1"/>
  <c r="Q24" i="23" s="1"/>
  <c r="R24" i="23" s="1"/>
  <c r="S23" i="23"/>
  <c r="T23" i="23" s="1"/>
  <c r="P25" i="23" l="1"/>
  <c r="Q25" i="23" s="1"/>
  <c r="R25" i="23" s="1"/>
  <c r="S24" i="23"/>
  <c r="T24" i="23" s="1"/>
  <c r="P26" i="23" l="1"/>
  <c r="Q26" i="23" s="1"/>
  <c r="R26" i="23" s="1"/>
  <c r="S25" i="23"/>
  <c r="T25" i="23" s="1"/>
  <c r="P27" i="23" l="1"/>
  <c r="Q27" i="23" s="1"/>
  <c r="R27" i="23" s="1"/>
  <c r="S26" i="23"/>
  <c r="T26" i="23" s="1"/>
  <c r="P28" i="23" l="1"/>
  <c r="Q28" i="23" s="1"/>
  <c r="R28" i="23" s="1"/>
  <c r="S27" i="23"/>
  <c r="T27" i="23" s="1"/>
  <c r="P29" i="23" l="1"/>
  <c r="Q29" i="23" s="1"/>
  <c r="R29" i="23" s="1"/>
  <c r="S28" i="23"/>
  <c r="T28" i="23" s="1"/>
  <c r="P30" i="23" l="1"/>
  <c r="Q30" i="23" s="1"/>
  <c r="R30" i="23" s="1"/>
  <c r="S29" i="23"/>
  <c r="T29" i="23" s="1"/>
  <c r="P31" i="23" l="1"/>
  <c r="Q31" i="23" s="1"/>
  <c r="R31" i="23" s="1"/>
  <c r="S30" i="23"/>
  <c r="T30" i="23" s="1"/>
  <c r="P32" i="23" l="1"/>
  <c r="Q32" i="23" s="1"/>
  <c r="R32" i="23" s="1"/>
  <c r="S31" i="23"/>
  <c r="T31" i="23" s="1"/>
  <c r="P33" i="23" l="1"/>
  <c r="Q33" i="23" s="1"/>
  <c r="R33" i="23" s="1"/>
  <c r="S32" i="23"/>
  <c r="T32" i="23" s="1"/>
  <c r="P34" i="23" l="1"/>
  <c r="Q34" i="23" s="1"/>
  <c r="R34" i="23" s="1"/>
  <c r="S33" i="23"/>
  <c r="T33" i="23" s="1"/>
  <c r="P35" i="23" l="1"/>
  <c r="Q35" i="23" s="1"/>
  <c r="R35" i="23" s="1"/>
  <c r="S34" i="23"/>
  <c r="T34" i="23" s="1"/>
  <c r="P36" i="23" l="1"/>
  <c r="Q36" i="23" s="1"/>
  <c r="R36" i="23" s="1"/>
  <c r="S35" i="23"/>
  <c r="T35" i="23" s="1"/>
  <c r="P37" i="23" l="1"/>
  <c r="Q37" i="23" s="1"/>
  <c r="R37" i="23" s="1"/>
  <c r="S36" i="23"/>
  <c r="T36" i="23" s="1"/>
  <c r="P38" i="23" l="1"/>
  <c r="Q38" i="23" s="1"/>
  <c r="R38" i="23" s="1"/>
  <c r="S37" i="23"/>
  <c r="T37" i="23" s="1"/>
  <c r="P39" i="23" l="1"/>
  <c r="Q39" i="23" s="1"/>
  <c r="R39" i="23" s="1"/>
  <c r="S38" i="23"/>
  <c r="T38" i="23" s="1"/>
  <c r="P40" i="23" l="1"/>
  <c r="Q40" i="23" s="1"/>
  <c r="R40" i="23" s="1"/>
  <c r="S39" i="23"/>
  <c r="T39" i="23" s="1"/>
  <c r="P41" i="23" l="1"/>
  <c r="Q41" i="23" s="1"/>
  <c r="R41" i="23" s="1"/>
  <c r="S40" i="23"/>
  <c r="T40" i="23" s="1"/>
  <c r="P42" i="23" l="1"/>
  <c r="Q42" i="23" s="1"/>
  <c r="R42" i="23" s="1"/>
  <c r="S41" i="23"/>
  <c r="T41" i="23" s="1"/>
  <c r="P43" i="23" l="1"/>
  <c r="Q43" i="23" s="1"/>
  <c r="R43" i="23" s="1"/>
  <c r="S42" i="23"/>
  <c r="T42" i="23" s="1"/>
  <c r="P44" i="23" l="1"/>
  <c r="Q44" i="23" s="1"/>
  <c r="R44" i="23" s="1"/>
  <c r="S43" i="23"/>
  <c r="T43" i="23" s="1"/>
  <c r="P45" i="23" l="1"/>
  <c r="Q45" i="23" s="1"/>
  <c r="R45" i="23" s="1"/>
  <c r="S44" i="23"/>
  <c r="T44" i="23" s="1"/>
  <c r="P46" i="23" l="1"/>
  <c r="Q46" i="23" s="1"/>
  <c r="R46" i="23" s="1"/>
  <c r="S45" i="23"/>
  <c r="T45" i="23" s="1"/>
  <c r="P47" i="23" l="1"/>
  <c r="Q47" i="23" s="1"/>
  <c r="R47" i="23" s="1"/>
  <c r="S46" i="23"/>
  <c r="T46" i="23" s="1"/>
  <c r="P48" i="23" l="1"/>
  <c r="Q48" i="23" s="1"/>
  <c r="R48" i="23" s="1"/>
  <c r="S47" i="23"/>
  <c r="T47" i="23" s="1"/>
  <c r="P49" i="23" l="1"/>
  <c r="Q49" i="23" s="1"/>
  <c r="R49" i="23" s="1"/>
  <c r="S48" i="23"/>
  <c r="T48" i="23" s="1"/>
  <c r="P50" i="23" l="1"/>
  <c r="Q50" i="23" s="1"/>
  <c r="R50" i="23" s="1"/>
  <c r="S49" i="23"/>
  <c r="T49" i="23" s="1"/>
  <c r="K377" i="23"/>
  <c r="K378" i="23"/>
  <c r="K379" i="23"/>
  <c r="N37" i="23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K375" i="23"/>
  <c r="K376" i="23"/>
  <c r="P51" i="23" l="1"/>
  <c r="Q51" i="23" s="1"/>
  <c r="R51" i="23" s="1"/>
  <c r="S50" i="23"/>
  <c r="T50" i="23" s="1"/>
  <c r="N65" i="23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N372" i="23" s="1"/>
  <c r="N64" i="23"/>
  <c r="P52" i="23" l="1"/>
  <c r="Q52" i="23" s="1"/>
  <c r="R52" i="23" s="1"/>
  <c r="S51" i="23"/>
  <c r="T51" i="23" s="1"/>
  <c r="S52" i="23" l="1"/>
  <c r="T52" i="23" s="1"/>
  <c r="P53" i="23"/>
  <c r="Q53" i="23" s="1"/>
  <c r="R53" i="23" s="1"/>
  <c r="P54" i="23" l="1"/>
  <c r="Q54" i="23" s="1"/>
  <c r="R54" i="23" s="1"/>
  <c r="S53" i="23"/>
  <c r="T53" i="23" s="1"/>
  <c r="P55" i="23" l="1"/>
  <c r="Q55" i="23" s="1"/>
  <c r="R55" i="23" s="1"/>
  <c r="S54" i="23"/>
  <c r="T54" i="23" s="1"/>
  <c r="P56" i="23" l="1"/>
  <c r="Q56" i="23" s="1"/>
  <c r="R56" i="23" s="1"/>
  <c r="S55" i="23"/>
  <c r="T55" i="23" s="1"/>
  <c r="P57" i="23" l="1"/>
  <c r="Q57" i="23" s="1"/>
  <c r="R57" i="23" s="1"/>
  <c r="S56" i="23"/>
  <c r="T56" i="23" s="1"/>
  <c r="P58" i="23" l="1"/>
  <c r="Q58" i="23" s="1"/>
  <c r="R58" i="23" s="1"/>
  <c r="S57" i="23"/>
  <c r="T57" i="23" s="1"/>
  <c r="P59" i="23" l="1"/>
  <c r="Q59" i="23" s="1"/>
  <c r="R59" i="23" s="1"/>
  <c r="S58" i="23"/>
  <c r="T58" i="23" s="1"/>
  <c r="P60" i="23" l="1"/>
  <c r="Q60" i="23" s="1"/>
  <c r="R60" i="23" s="1"/>
  <c r="S59" i="23"/>
  <c r="T59" i="23" s="1"/>
  <c r="P61" i="23" l="1"/>
  <c r="Q61" i="23" s="1"/>
  <c r="R61" i="23" s="1"/>
  <c r="S60" i="23"/>
  <c r="T60" i="23" s="1"/>
  <c r="P62" i="23" l="1"/>
  <c r="Q62" i="23" s="1"/>
  <c r="R62" i="23" s="1"/>
  <c r="S61" i="23"/>
  <c r="T61" i="23" s="1"/>
  <c r="P63" i="23" l="1"/>
  <c r="Q63" i="23" s="1"/>
  <c r="R63" i="23" s="1"/>
  <c r="S62" i="23"/>
  <c r="T62" i="23" s="1"/>
  <c r="P64" i="23" l="1"/>
  <c r="Q64" i="23" s="1"/>
  <c r="R64" i="23" s="1"/>
  <c r="S63" i="23"/>
  <c r="T63" i="23" s="1"/>
  <c r="P65" i="23" l="1"/>
  <c r="Q65" i="23" s="1"/>
  <c r="R65" i="23" s="1"/>
  <c r="S64" i="23"/>
  <c r="T64" i="23" s="1"/>
  <c r="P66" i="23" l="1"/>
  <c r="Q66" i="23" s="1"/>
  <c r="R66" i="23" s="1"/>
  <c r="S65" i="23"/>
  <c r="T65" i="23" s="1"/>
  <c r="P67" i="23" l="1"/>
  <c r="Q67" i="23" s="1"/>
  <c r="R67" i="23" s="1"/>
  <c r="S66" i="23"/>
  <c r="T66" i="23" s="1"/>
  <c r="P68" i="23" l="1"/>
  <c r="Q68" i="23" s="1"/>
  <c r="R68" i="23" s="1"/>
  <c r="S67" i="23"/>
  <c r="T67" i="23" s="1"/>
  <c r="P69" i="23" l="1"/>
  <c r="Q69" i="23" s="1"/>
  <c r="R69" i="23" s="1"/>
  <c r="S68" i="23"/>
  <c r="T68" i="23" s="1"/>
  <c r="P70" i="23" l="1"/>
  <c r="Q70" i="23" s="1"/>
  <c r="R70" i="23" s="1"/>
  <c r="S69" i="23"/>
  <c r="T69" i="23" s="1"/>
  <c r="P71" i="23" l="1"/>
  <c r="Q71" i="23" s="1"/>
  <c r="R71" i="23" s="1"/>
  <c r="S70" i="23"/>
  <c r="T70" i="23" s="1"/>
  <c r="P72" i="23" l="1"/>
  <c r="Q72" i="23" s="1"/>
  <c r="R72" i="23" s="1"/>
  <c r="S71" i="23"/>
  <c r="T71" i="23" s="1"/>
  <c r="P73" i="23" l="1"/>
  <c r="Q73" i="23" s="1"/>
  <c r="R73" i="23" s="1"/>
  <c r="S72" i="23"/>
  <c r="T72" i="23" s="1"/>
  <c r="P74" i="23" l="1"/>
  <c r="Q74" i="23" s="1"/>
  <c r="R74" i="23" s="1"/>
  <c r="S73" i="23"/>
  <c r="T73" i="23" s="1"/>
  <c r="P75" i="23" l="1"/>
  <c r="Q75" i="23" s="1"/>
  <c r="R75" i="23" s="1"/>
  <c r="S74" i="23"/>
  <c r="T74" i="23" s="1"/>
  <c r="P76" i="23" l="1"/>
  <c r="Q76" i="23" s="1"/>
  <c r="R76" i="23" s="1"/>
  <c r="S75" i="23"/>
  <c r="T75" i="23" s="1"/>
  <c r="P77" i="23" l="1"/>
  <c r="Q77" i="23" s="1"/>
  <c r="R77" i="23" s="1"/>
  <c r="S76" i="23"/>
  <c r="T76" i="23" s="1"/>
  <c r="P78" i="23" l="1"/>
  <c r="Q78" i="23" s="1"/>
  <c r="R78" i="23" s="1"/>
  <c r="S77" i="23"/>
  <c r="T77" i="23" s="1"/>
  <c r="P79" i="23" l="1"/>
  <c r="Q79" i="23" s="1"/>
  <c r="R79" i="23" s="1"/>
  <c r="S78" i="23"/>
  <c r="T78" i="23" s="1"/>
  <c r="P80" i="23" l="1"/>
  <c r="Q80" i="23" s="1"/>
  <c r="R80" i="23" s="1"/>
  <c r="S79" i="23"/>
  <c r="T79" i="23" s="1"/>
  <c r="P81" i="23" l="1"/>
  <c r="Q81" i="23" s="1"/>
  <c r="R81" i="23" s="1"/>
  <c r="S80" i="23"/>
  <c r="T80" i="23" s="1"/>
  <c r="P82" i="23" l="1"/>
  <c r="Q82" i="23" s="1"/>
  <c r="R82" i="23" s="1"/>
  <c r="S81" i="23"/>
  <c r="T81" i="23" s="1"/>
  <c r="P83" i="23" l="1"/>
  <c r="Q83" i="23" s="1"/>
  <c r="R83" i="23" s="1"/>
  <c r="S82" i="23"/>
  <c r="T82" i="23" s="1"/>
  <c r="P84" i="23" l="1"/>
  <c r="Q84" i="23" s="1"/>
  <c r="R84" i="23" s="1"/>
  <c r="S83" i="23"/>
  <c r="T83" i="23" s="1"/>
  <c r="P85" i="23" l="1"/>
  <c r="Q85" i="23" s="1"/>
  <c r="R85" i="23" s="1"/>
  <c r="S84" i="23"/>
  <c r="T84" i="23" s="1"/>
  <c r="P86" i="23" l="1"/>
  <c r="Q86" i="23" s="1"/>
  <c r="R86" i="23" s="1"/>
  <c r="S85" i="23"/>
  <c r="T85" i="23" s="1"/>
  <c r="P87" i="23" l="1"/>
  <c r="Q87" i="23" s="1"/>
  <c r="R87" i="23" s="1"/>
  <c r="S86" i="23"/>
  <c r="T86" i="23" s="1"/>
  <c r="P88" i="23" l="1"/>
  <c r="Q88" i="23" s="1"/>
  <c r="R88" i="23" s="1"/>
  <c r="S87" i="23"/>
  <c r="T87" i="23" s="1"/>
  <c r="P89" i="23" l="1"/>
  <c r="Q89" i="23" s="1"/>
  <c r="R89" i="23" s="1"/>
  <c r="S88" i="23"/>
  <c r="T88" i="23" s="1"/>
  <c r="P90" i="23" l="1"/>
  <c r="Q90" i="23" s="1"/>
  <c r="R90" i="23" s="1"/>
  <c r="S89" i="23"/>
  <c r="T89" i="23" s="1"/>
  <c r="P91" i="23" l="1"/>
  <c r="Q91" i="23" s="1"/>
  <c r="R91" i="23" s="1"/>
  <c r="S90" i="23"/>
  <c r="T90" i="23" s="1"/>
  <c r="P92" i="23" l="1"/>
  <c r="Q92" i="23" s="1"/>
  <c r="R92" i="23" s="1"/>
  <c r="S91" i="23"/>
  <c r="T91" i="23" s="1"/>
  <c r="P93" i="23" l="1"/>
  <c r="Q93" i="23" s="1"/>
  <c r="R93" i="23" s="1"/>
  <c r="S92" i="23"/>
  <c r="T92" i="23" s="1"/>
  <c r="P94" i="23" l="1"/>
  <c r="Q94" i="23" s="1"/>
  <c r="R94" i="23" s="1"/>
  <c r="S93" i="23"/>
  <c r="T93" i="23" s="1"/>
  <c r="P95" i="23" l="1"/>
  <c r="Q95" i="23" s="1"/>
  <c r="R95" i="23" s="1"/>
  <c r="S94" i="23"/>
  <c r="T94" i="23" s="1"/>
  <c r="P96" i="23" l="1"/>
  <c r="Q96" i="23" s="1"/>
  <c r="R96" i="23" s="1"/>
  <c r="S95" i="23"/>
  <c r="T95" i="23" s="1"/>
  <c r="P97" i="23" l="1"/>
  <c r="Q97" i="23" s="1"/>
  <c r="R97" i="23" s="1"/>
  <c r="S96" i="23"/>
  <c r="T96" i="23" s="1"/>
  <c r="P98" i="23" l="1"/>
  <c r="Q98" i="23" s="1"/>
  <c r="R98" i="23" s="1"/>
  <c r="S97" i="23"/>
  <c r="T97" i="23" s="1"/>
  <c r="P99" i="23" l="1"/>
  <c r="Q99" i="23" s="1"/>
  <c r="R99" i="23" s="1"/>
  <c r="S98" i="23"/>
  <c r="T98" i="23" s="1"/>
  <c r="P100" i="23" l="1"/>
  <c r="Q100" i="23" s="1"/>
  <c r="R100" i="23" s="1"/>
  <c r="S99" i="23"/>
  <c r="T99" i="23" s="1"/>
  <c r="P101" i="23" l="1"/>
  <c r="Q101" i="23" s="1"/>
  <c r="R101" i="23" s="1"/>
  <c r="S100" i="23"/>
  <c r="T100" i="23" s="1"/>
  <c r="P102" i="23" l="1"/>
  <c r="Q102" i="23" s="1"/>
  <c r="R102" i="23" s="1"/>
  <c r="S101" i="23"/>
  <c r="T101" i="23" s="1"/>
  <c r="P103" i="23" l="1"/>
  <c r="Q103" i="23" s="1"/>
  <c r="R103" i="23" s="1"/>
  <c r="S102" i="23"/>
  <c r="T102" i="23" s="1"/>
  <c r="P104" i="23" l="1"/>
  <c r="Q104" i="23" s="1"/>
  <c r="R104" i="23" s="1"/>
  <c r="S103" i="23"/>
  <c r="T103" i="23" s="1"/>
  <c r="P105" i="23" l="1"/>
  <c r="Q105" i="23" s="1"/>
  <c r="R105" i="23" s="1"/>
  <c r="S104" i="23"/>
  <c r="T104" i="23" s="1"/>
  <c r="P106" i="23" l="1"/>
  <c r="Q106" i="23" s="1"/>
  <c r="R106" i="23" s="1"/>
  <c r="S105" i="23"/>
  <c r="T105" i="23" s="1"/>
  <c r="P107" i="23" l="1"/>
  <c r="Q107" i="23" s="1"/>
  <c r="R107" i="23" s="1"/>
  <c r="S106" i="23"/>
  <c r="T106" i="23" s="1"/>
  <c r="P108" i="23" l="1"/>
  <c r="Q108" i="23" s="1"/>
  <c r="R108" i="23" s="1"/>
  <c r="S107" i="23"/>
  <c r="T107" i="23" s="1"/>
  <c r="P109" i="23" l="1"/>
  <c r="Q109" i="23" s="1"/>
  <c r="R109" i="23" s="1"/>
  <c r="S108" i="23"/>
  <c r="T108" i="23" s="1"/>
  <c r="P110" i="23" l="1"/>
  <c r="Q110" i="23" s="1"/>
  <c r="R110" i="23" s="1"/>
  <c r="S109" i="23"/>
  <c r="T109" i="23" s="1"/>
  <c r="P111" i="23" l="1"/>
  <c r="Q111" i="23" s="1"/>
  <c r="R111" i="23" s="1"/>
  <c r="S110" i="23"/>
  <c r="T110" i="23" s="1"/>
  <c r="P112" i="23" l="1"/>
  <c r="Q112" i="23" s="1"/>
  <c r="R112" i="23" s="1"/>
  <c r="S111" i="23"/>
  <c r="T111" i="23" s="1"/>
  <c r="P113" i="23" l="1"/>
  <c r="Q113" i="23" s="1"/>
  <c r="R113" i="23" s="1"/>
  <c r="S112" i="23"/>
  <c r="T112" i="23" s="1"/>
  <c r="P114" i="23" l="1"/>
  <c r="Q114" i="23" s="1"/>
  <c r="R114" i="23" s="1"/>
  <c r="S113" i="23"/>
  <c r="T113" i="23" s="1"/>
  <c r="P115" i="23" l="1"/>
  <c r="Q115" i="23" s="1"/>
  <c r="R115" i="23" s="1"/>
  <c r="S114" i="23"/>
  <c r="T114" i="23" s="1"/>
  <c r="P116" i="23" l="1"/>
  <c r="Q116" i="23" s="1"/>
  <c r="R116" i="23" s="1"/>
  <c r="S115" i="23"/>
  <c r="T115" i="23" s="1"/>
  <c r="P117" i="23" l="1"/>
  <c r="Q117" i="23" s="1"/>
  <c r="R117" i="23" s="1"/>
  <c r="S116" i="23"/>
  <c r="T116" i="23" s="1"/>
  <c r="P118" i="23" l="1"/>
  <c r="Q118" i="23" s="1"/>
  <c r="R118" i="23" s="1"/>
  <c r="S117" i="23"/>
  <c r="T117" i="23" s="1"/>
  <c r="P119" i="23" l="1"/>
  <c r="Q119" i="23" s="1"/>
  <c r="R119" i="23" s="1"/>
  <c r="S118" i="23"/>
  <c r="T118" i="23" s="1"/>
  <c r="P120" i="23" l="1"/>
  <c r="Q120" i="23" s="1"/>
  <c r="R120" i="23" s="1"/>
  <c r="S119" i="23"/>
  <c r="T119" i="23" s="1"/>
  <c r="P121" i="23" l="1"/>
  <c r="Q121" i="23" s="1"/>
  <c r="R121" i="23" s="1"/>
  <c r="S120" i="23"/>
  <c r="T120" i="23" s="1"/>
  <c r="P122" i="23" l="1"/>
  <c r="Q122" i="23" s="1"/>
  <c r="R122" i="23" s="1"/>
  <c r="S121" i="23"/>
  <c r="T121" i="23" s="1"/>
  <c r="P123" i="23" l="1"/>
  <c r="Q123" i="23" s="1"/>
  <c r="R123" i="23" s="1"/>
  <c r="S122" i="23"/>
  <c r="T122" i="23" s="1"/>
  <c r="P124" i="23" l="1"/>
  <c r="Q124" i="23" s="1"/>
  <c r="R124" i="23" s="1"/>
  <c r="S123" i="23"/>
  <c r="T123" i="23" s="1"/>
  <c r="P125" i="23" l="1"/>
  <c r="Q125" i="23" s="1"/>
  <c r="R125" i="23" s="1"/>
  <c r="S124" i="23"/>
  <c r="T124" i="23" s="1"/>
  <c r="P126" i="23" l="1"/>
  <c r="Q126" i="23" s="1"/>
  <c r="R126" i="23" s="1"/>
  <c r="S125" i="23"/>
  <c r="T125" i="23" s="1"/>
  <c r="P127" i="23" l="1"/>
  <c r="Q127" i="23" s="1"/>
  <c r="R127" i="23" s="1"/>
  <c r="S126" i="23"/>
  <c r="T126" i="23" s="1"/>
  <c r="S127" i="23" l="1"/>
  <c r="T127" i="23" s="1"/>
  <c r="P128" i="23"/>
  <c r="Q128" i="23" s="1"/>
  <c r="R128" i="23" s="1"/>
  <c r="P129" i="23" l="1"/>
  <c r="Q129" i="23" s="1"/>
  <c r="R129" i="23" s="1"/>
  <c r="S128" i="23"/>
  <c r="T128" i="23" s="1"/>
  <c r="P130" i="23" l="1"/>
  <c r="Q130" i="23" s="1"/>
  <c r="R130" i="23" s="1"/>
  <c r="S129" i="23"/>
  <c r="T129" i="23" s="1"/>
  <c r="P131" i="23" l="1"/>
  <c r="Q131" i="23" s="1"/>
  <c r="R131" i="23" s="1"/>
  <c r="S130" i="23"/>
  <c r="T130" i="23" s="1"/>
  <c r="P132" i="23" l="1"/>
  <c r="Q132" i="23" s="1"/>
  <c r="R132" i="23" s="1"/>
  <c r="S131" i="23"/>
  <c r="T131" i="23" s="1"/>
  <c r="P133" i="23" l="1"/>
  <c r="Q133" i="23" s="1"/>
  <c r="R133" i="23" s="1"/>
  <c r="S132" i="23"/>
  <c r="T132" i="23" s="1"/>
  <c r="P134" i="23" l="1"/>
  <c r="Q134" i="23" s="1"/>
  <c r="R134" i="23" s="1"/>
  <c r="S133" i="23"/>
  <c r="T133" i="23" s="1"/>
  <c r="P135" i="23" l="1"/>
  <c r="Q135" i="23" s="1"/>
  <c r="R135" i="23" s="1"/>
  <c r="S134" i="23"/>
  <c r="T134" i="23" s="1"/>
  <c r="P136" i="23" l="1"/>
  <c r="Q136" i="23" s="1"/>
  <c r="R136" i="23" s="1"/>
  <c r="S136" i="23" s="1"/>
  <c r="T136" i="23" s="1"/>
  <c r="S135" i="23"/>
  <c r="T135" i="23" s="1"/>
</calcChain>
</file>

<file path=xl/sharedStrings.xml><?xml version="1.0" encoding="utf-8"?>
<sst xmlns="http://schemas.openxmlformats.org/spreadsheetml/2006/main" count="7229" uniqueCount="253">
  <si>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</si>
  <si>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</si>
  <si>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</si>
  <si>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</si>
  <si>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</si>
  <si>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</si>
  <si>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</si>
  <si>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</si>
  <si>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</si>
  <si>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</si>
  <si>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</si>
  <si>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</si>
  <si>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</si>
  <si>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</si>
  <si>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</si>
  <si>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</si>
  <si>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</si>
  <si>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</si>
  <si>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</si>
  <si>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</si>
  <si>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</si>
  <si>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</si>
  <si>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</si>
  <si>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</si>
  <si>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</si>
  <si>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</si>
  <si>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</si>
  <si>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</si>
  <si>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</si>
  <si>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</si>
  <si>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</si>
  <si>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</si>
  <si>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</si>
  <si>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</si>
  <si>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</si>
  <si>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</si>
  <si>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</si>
  <si>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</si>
  <si>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</si>
  <si>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</si>
  <si>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</si>
  <si>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</si>
  <si>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</si>
  <si>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</si>
  <si>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</si>
  <si>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</si>
  <si>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</si>
  <si>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</si>
  <si>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</si>
  <si>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</si>
  <si>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</si>
  <si>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</si>
  <si>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Removed -6999 indicating bad data</t>
  </si>
  <si>
    <t>MJ/m2/d</t>
  </si>
  <si>
    <t>mol/m2/d</t>
  </si>
  <si>
    <t>C</t>
  </si>
  <si>
    <t>%</t>
  </si>
  <si>
    <t>Tstem</t>
  </si>
  <si>
    <t>Rainfall - no data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</si>
  <si>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</si>
  <si>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</si>
  <si>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</si>
  <si>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</si>
  <si>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</si>
  <si>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</si>
  <si>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</si>
  <si>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</si>
  <si>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</si>
  <si>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</si>
  <si>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</si>
  <si>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</si>
  <si>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</si>
  <si>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</si>
  <si>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</si>
  <si>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</si>
  <si>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</si>
  <si>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</si>
  <si>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</si>
  <si>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</si>
  <si>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</si>
  <si>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</si>
  <si>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</si>
  <si>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</si>
  <si>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</si>
  <si>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</si>
  <si>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</si>
  <si>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</si>
  <si>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</si>
  <si>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</si>
  <si>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</si>
  <si>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</si>
  <si>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</si>
  <si>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</si>
  <si>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</si>
  <si>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</si>
  <si>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</si>
  <si>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</si>
  <si>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</si>
  <si>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</si>
  <si>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</si>
  <si>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</si>
  <si>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</si>
  <si>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</si>
  <si>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</si>
  <si>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</si>
  <si>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</si>
  <si>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</si>
  <si>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</si>
  <si>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</si>
  <si>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</si>
  <si>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</si>
  <si>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</si>
  <si>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</si>
  <si>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</si>
  <si>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</si>
  <si>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</si>
  <si>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</si>
  <si>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</si>
  <si>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</si>
  <si>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</si>
  <si>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</si>
  <si>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</si>
  <si>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</si>
  <si>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</si>
  <si>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</si>
  <si>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</si>
  <si>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Sicamous Creek 1996 Daily data</t>
  </si>
  <si>
    <t>MoTISicamous</t>
  </si>
  <si>
    <t>Snow</t>
  </si>
  <si>
    <t>%norm</t>
  </si>
  <si>
    <t>Enderby Snow 1F04 course 50 39 11.97N, 118 55 37.0 W 1947 m</t>
  </si>
  <si>
    <t>SWE cm</t>
  </si>
  <si>
    <t>Depth cm</t>
  </si>
  <si>
    <t>Tav</t>
  </si>
  <si>
    <t>Rhav</t>
  </si>
  <si>
    <t>June to August</t>
  </si>
  <si>
    <t>Note that graphs now include filled data. R2 is too high</t>
  </si>
  <si>
    <t>1994 regression equations are different but close for Tave and RHmin, overestimate for Tmax</t>
  </si>
  <si>
    <t>Tmin relationship bad witour calcuated values</t>
  </si>
  <si>
    <t>Rh_adjustment fro Max=100 and min 20=20</t>
  </si>
  <si>
    <t>Meta data for Sicamous base station</t>
  </si>
  <si>
    <t>Solar W/m2</t>
  </si>
  <si>
    <t>Kmax from 10 min simulation</t>
  </si>
  <si>
    <t>PAR mol/m2/d</t>
  </si>
  <si>
    <t>LiCor PAR sensor 6 m above surface. Calibration drift adjustment</t>
  </si>
  <si>
    <t xml:space="preserve">Tair C </t>
  </si>
  <si>
    <t>HMP35C in RMYoung pie plate sheild at 6 m</t>
  </si>
  <si>
    <t>Thermocouples referenced to termistor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</si>
  <si>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</si>
  <si>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</si>
  <si>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</si>
  <si>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</si>
  <si>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</si>
  <si>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Siera Misco tipping bucket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</si>
  <si>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</si>
  <si>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</si>
  <si>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</si>
  <si>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</si>
  <si>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</si>
  <si>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See columns BZ to DC</t>
  </si>
  <si>
    <t>Temperature</t>
  </si>
  <si>
    <t>Tave C  = FWS* 0.9 - 1.82</t>
  </si>
  <si>
    <t>Tmax C = FWS*1 - 0.91</t>
  </si>
  <si>
    <t>Tmin C = FWS*0.77 - 3.4</t>
  </si>
  <si>
    <t>Humidity</t>
  </si>
  <si>
    <t>Rhmincor % = FWS*0.9 - 7.7</t>
  </si>
  <si>
    <t>Intercept from 1997 (0.76*FWS - 3.6)</t>
  </si>
  <si>
    <t>12 May-13 Jun with gaps, 18-29 July</t>
  </si>
  <si>
    <t>2 Sept - 6 Nov</t>
  </si>
  <si>
    <t>21X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</si>
  <si>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</si>
  <si>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</si>
  <si>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</si>
  <si>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</si>
  <si>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</si>
  <si>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</si>
  <si>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</si>
  <si>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</si>
  <si>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</si>
  <si>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</si>
  <si>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</si>
  <si>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</si>
  <si>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Tave C  = FWS* 0.75 - 0.6,  R2=0.941</t>
  </si>
  <si>
    <t>Tmax C = FWS*0.95 - 1.2, R2=0.972</t>
  </si>
  <si>
    <t>Tmin C = FWS*0.76 - 3.6, R2=0.579</t>
  </si>
  <si>
    <t>Rhmincor % = FWS*0.85 + 1, R2 0.870</t>
  </si>
  <si>
    <t>Tave</t>
  </si>
  <si>
    <t>UPC</t>
  </si>
  <si>
    <t>Based on regressions against Sicamous FWS station and UPC</t>
  </si>
  <si>
    <t>Tave C  = UPC* 1.19 - 0.2,  R2=0.922</t>
  </si>
  <si>
    <t>Tmin C  = UPC* 0.95 - 0.5,  R2=0.752</t>
  </si>
  <si>
    <t>Tmin C  = UPC* 1.1 - 1,  R2=0.856</t>
  </si>
  <si>
    <t>Tave C  = UPC* 1.02 - 0.4,  R2=0.932</t>
  </si>
  <si>
    <t>Tmin C  = UPC* 0.96+ 0.2,  R2=0.937</t>
  </si>
  <si>
    <t>Tmin C  = UPC* 1.1 - 0.4,  R2=0.793</t>
  </si>
  <si>
    <t>March 9- 11  May and gaps where no FWS to 13 Jun</t>
  </si>
  <si>
    <t>Jan 1-March 8, n, 7-13 Nov</t>
  </si>
  <si>
    <t>Vpres</t>
  </si>
  <si>
    <t>VPDx</t>
  </si>
  <si>
    <t>esat(tmin)</t>
  </si>
  <si>
    <t>Rhmin*Esat(Tx)</t>
  </si>
  <si>
    <t>esat(tx)-esat(Tn)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</si>
  <si>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</si>
  <si>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</si>
  <si>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</si>
  <si>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</si>
  <si>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</si>
  <si>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</si>
  <si>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</si>
  <si>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</si>
  <si>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</si>
  <si>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</si>
  <si>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</si>
  <si>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</si>
  <si>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</si>
  <si>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</si>
  <si>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</si>
  <si>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</si>
  <si>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</si>
  <si>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</si>
  <si>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</si>
  <si>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</si>
  <si>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</si>
  <si>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</si>
  <si>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</si>
  <si>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</si>
  <si>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</si>
  <si>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</si>
  <si>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</si>
  <si>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</si>
  <si>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</si>
  <si>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</si>
  <si>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</si>
  <si>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</si>
  <si>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</si>
  <si>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</si>
  <si>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</si>
  <si>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</si>
  <si>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</si>
  <si>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</si>
  <si>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</si>
  <si>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</si>
  <si>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</si>
  <si>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</si>
  <si>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vapres</t>
  </si>
  <si>
    <t>If no RHmin vpres = esat(Tmin)</t>
  </si>
  <si>
    <t>If no RHmin vpd = esat(Tmax) - esat(Tmin)</t>
  </si>
  <si>
    <t>ppt</t>
  </si>
  <si>
    <t>Last edit 17/04/25</t>
  </si>
  <si>
    <t>Sicamous Fire Weather Station rainfall adjusted by *1.05, MoTI Malakwa*1.4*1.05 and UPC*1.0</t>
  </si>
  <si>
    <t>Modelled Jan to May using precipitation and estimate of snow pack density. Not reliable. No depth measurment as anchor</t>
  </si>
  <si>
    <t>Need better density change model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</si>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</sst>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 applyAlignment="1">
      <alignment horizontal="right"/>
    </xf>
    <xf numFmtId="165" fontId="2" fillId="5" borderId="0" xfId="0" applyNumberFormat="1" applyFont="1" applyFill="1"/>
    <xf numFmtId="1" fontId="2" fillId="5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 applyBorder="1"/>
    <xf numFmtId="0" fontId="2" fillId="4" borderId="0" xfId="0" applyFont="1" applyFill="1"/>
    <xf numFmtId="164" fontId="2" fillId="4" borderId="0" xfId="0" applyNumberFormat="1" applyFont="1" applyFill="1"/>
    <xf numFmtId="2" fontId="2" fillId="0" borderId="0" xfId="0" applyNumberFormat="1" applyFont="1" applyFill="1" applyBorder="1"/>
    <xf numFmtId="164" fontId="2" fillId="6" borderId="0" xfId="0" applyNumberFormat="1" applyFont="1" applyFill="1" applyBorder="1"/>
    <xf numFmtId="15" fontId="2" fillId="0" borderId="0" xfId="0" applyNumberFormat="1" applyFont="1" applyFill="1"/>
    <xf numFmtId="2" fontId="2" fillId="0" borderId="0" xfId="0" applyNumberFormat="1" applyFont="1" applyFill="1"/>
    <xf numFmtId="0" fontId="2" fillId="0" borderId="0" xfId="0" applyFont="1" applyFill="1" applyProtection="1"/>
    <xf numFmtId="164" fontId="2" fillId="2" borderId="0" xfId="0" applyNumberFormat="1" applyFont="1" applyFill="1"/>
    <xf numFmtId="0" fontId="2" fillId="7" borderId="0" xfId="0" applyFont="1" applyFill="1" applyBorder="1"/>
    <xf numFmtId="164" fontId="2" fillId="7" borderId="0" xfId="0" applyNumberFormat="1" applyFont="1" applyFill="1" applyBorder="1"/>
    <xf numFmtId="164" fontId="2" fillId="7" borderId="0" xfId="0" applyNumberFormat="1" applyFont="1" applyFill="1"/>
    <xf numFmtId="0" fontId="2" fillId="7" borderId="0" xfId="0" applyFont="1" applyFill="1"/>
    <xf numFmtId="14" fontId="3" fillId="0" borderId="0" xfId="0" applyNumberFormat="1" applyFont="1"/>
    <xf numFmtId="0" fontId="2" fillId="8" borderId="0" xfId="0" applyFont="1" applyFill="1"/>
    <xf numFmtId="0" fontId="2" fillId="8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Protection="1"/>
    <xf numFmtId="0" fontId="0" fillId="0" borderId="0" xfId="0" pivotButton="1"/>
    <xf numFmtId="0" fontId="2" fillId="9" borderId="0" xfId="0" applyFont="1" applyFill="1"/>
    <xf numFmtId="165" fontId="2" fillId="0" borderId="0" xfId="0" applyNumberFormat="1" applyFont="1" applyProtection="1"/>
    <xf numFmtId="165" fontId="2" fillId="10" borderId="0" xfId="0" applyNumberFormat="1" applyFont="1" applyFill="1" applyProtection="1"/>
    <xf numFmtId="0" fontId="2" fillId="10" borderId="0" xfId="0" applyFont="1" applyFill="1" applyBorder="1" applyAlignment="1" applyProtection="1">
      <alignment horizontal="center"/>
    </xf>
    <xf numFmtId="0" fontId="2" fillId="0" borderId="0" xfId="0" applyFont="1" applyBorder="1" applyAlignment="1">
      <alignment horizontal="right"/>
    </xf>
    <xf numFmtId="0" fontId="2" fillId="10" borderId="0" xfId="0" applyFont="1" applyFill="1" applyBorder="1"/>
    <xf numFmtId="0" fontId="4" fillId="0" borderId="0" xfId="0" applyFont="1"/>
    <xf numFmtId="1" fontId="2" fillId="11" borderId="0" xfId="0" applyNumberFormat="1" applyFont="1" applyFill="1"/>
    <xf numFmtId="0" fontId="2" fillId="11" borderId="0" xfId="0" applyFont="1" applyFill="1"/>
    <xf numFmtId="0" fontId="2" fillId="12" borderId="0" xfId="0" applyFont="1" applyFill="1"/>
    <xf numFmtId="164" fontId="2" fillId="1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00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PPTest!$N$7:$N$372</c:f>
              <c:numCache>
                <c:formatCode>0.0</c:formatCode>
                <c:ptCount val="366"/>
                <c:pt idx="0" formatCode="0.0_)">
                  <c:v>0</c:v>
                </c:pt>
                <c:pt idx="1">
                  <c:v>9.4500000000000011</c:v>
                </c:pt>
                <c:pt idx="2">
                  <c:v>9.4500000000000011</c:v>
                </c:pt>
                <c:pt idx="3">
                  <c:v>9.4500000000000011</c:v>
                </c:pt>
                <c:pt idx="4">
                  <c:v>11.025000000000002</c:v>
                </c:pt>
                <c:pt idx="5">
                  <c:v>18.900000000000002</c:v>
                </c:pt>
                <c:pt idx="6">
                  <c:v>18.900000000000002</c:v>
                </c:pt>
                <c:pt idx="7">
                  <c:v>18.900000000000002</c:v>
                </c:pt>
                <c:pt idx="8">
                  <c:v>18.900000000000002</c:v>
                </c:pt>
                <c:pt idx="9">
                  <c:v>18.900000000000002</c:v>
                </c:pt>
                <c:pt idx="10">
                  <c:v>18.900000000000002</c:v>
                </c:pt>
                <c:pt idx="11">
                  <c:v>18.900000000000002</c:v>
                </c:pt>
                <c:pt idx="12">
                  <c:v>18.900000000000002</c:v>
                </c:pt>
                <c:pt idx="13">
                  <c:v>18.900000000000002</c:v>
                </c:pt>
                <c:pt idx="14">
                  <c:v>20.475000000000001</c:v>
                </c:pt>
                <c:pt idx="15">
                  <c:v>20.475000000000001</c:v>
                </c:pt>
                <c:pt idx="16">
                  <c:v>20.475000000000001</c:v>
                </c:pt>
                <c:pt idx="17">
                  <c:v>20.475000000000001</c:v>
                </c:pt>
                <c:pt idx="18">
                  <c:v>20.475000000000001</c:v>
                </c:pt>
                <c:pt idx="19">
                  <c:v>20.475000000000001</c:v>
                </c:pt>
                <c:pt idx="20">
                  <c:v>22.05</c:v>
                </c:pt>
                <c:pt idx="21">
                  <c:v>23.625</c:v>
                </c:pt>
                <c:pt idx="22">
                  <c:v>29.925000000000001</c:v>
                </c:pt>
                <c:pt idx="23">
                  <c:v>29.925000000000001</c:v>
                </c:pt>
                <c:pt idx="24">
                  <c:v>33.075000000000003</c:v>
                </c:pt>
                <c:pt idx="25">
                  <c:v>34.650000000000006</c:v>
                </c:pt>
                <c:pt idx="26">
                  <c:v>34.650000000000006</c:v>
                </c:pt>
                <c:pt idx="27">
                  <c:v>37.800000000000004</c:v>
                </c:pt>
                <c:pt idx="28">
                  <c:v>37.800000000000004</c:v>
                </c:pt>
                <c:pt idx="29">
                  <c:v>37.800000000000004</c:v>
                </c:pt>
                <c:pt idx="30">
                  <c:v>37.800000000000004</c:v>
                </c:pt>
                <c:pt idx="31">
                  <c:v>37.800000000000004</c:v>
                </c:pt>
                <c:pt idx="32">
                  <c:v>37.800000000000004</c:v>
                </c:pt>
                <c:pt idx="33">
                  <c:v>37.800000000000004</c:v>
                </c:pt>
                <c:pt idx="34">
                  <c:v>44.100000000000009</c:v>
                </c:pt>
                <c:pt idx="35">
                  <c:v>47.250000000000007</c:v>
                </c:pt>
                <c:pt idx="36">
                  <c:v>51.975000000000009</c:v>
                </c:pt>
                <c:pt idx="37">
                  <c:v>56.70000000000001</c:v>
                </c:pt>
                <c:pt idx="38">
                  <c:v>70.875000000000014</c:v>
                </c:pt>
                <c:pt idx="39">
                  <c:v>70.875000000000014</c:v>
                </c:pt>
                <c:pt idx="40">
                  <c:v>70.875000000000014</c:v>
                </c:pt>
                <c:pt idx="41">
                  <c:v>70.875000000000014</c:v>
                </c:pt>
                <c:pt idx="42">
                  <c:v>70.875000000000014</c:v>
                </c:pt>
                <c:pt idx="43">
                  <c:v>70.875000000000014</c:v>
                </c:pt>
                <c:pt idx="44">
                  <c:v>70.875000000000014</c:v>
                </c:pt>
                <c:pt idx="45">
                  <c:v>70.875000000000014</c:v>
                </c:pt>
                <c:pt idx="46">
                  <c:v>70.875000000000014</c:v>
                </c:pt>
                <c:pt idx="47">
                  <c:v>74.175000000000011</c:v>
                </c:pt>
                <c:pt idx="48">
                  <c:v>76.075000000000017</c:v>
                </c:pt>
                <c:pt idx="49">
                  <c:v>80.27500000000002</c:v>
                </c:pt>
                <c:pt idx="50">
                  <c:v>82.475000000000023</c:v>
                </c:pt>
                <c:pt idx="51">
                  <c:v>88.075000000000017</c:v>
                </c:pt>
                <c:pt idx="52">
                  <c:v>89.175000000000011</c:v>
                </c:pt>
                <c:pt idx="53">
                  <c:v>91.075000000000017</c:v>
                </c:pt>
                <c:pt idx="54">
                  <c:v>91.075000000000017</c:v>
                </c:pt>
                <c:pt idx="55">
                  <c:v>91.075000000000017</c:v>
                </c:pt>
                <c:pt idx="56">
                  <c:v>91.475000000000023</c:v>
                </c:pt>
                <c:pt idx="57">
                  <c:v>91.77500000000002</c:v>
                </c:pt>
                <c:pt idx="58">
                  <c:v>91.475000000000023</c:v>
                </c:pt>
                <c:pt idx="59">
                  <c:v>91.475000000000023</c:v>
                </c:pt>
                <c:pt idx="60">
                  <c:v>91.475000000000023</c:v>
                </c:pt>
                <c:pt idx="61">
                  <c:v>91.475000000000023</c:v>
                </c:pt>
                <c:pt idx="62">
                  <c:v>95.075000000000017</c:v>
                </c:pt>
                <c:pt idx="63">
                  <c:v>95.075000000000017</c:v>
                </c:pt>
                <c:pt idx="64">
                  <c:v>96.27500000000002</c:v>
                </c:pt>
                <c:pt idx="65">
                  <c:v>96.575000000000017</c:v>
                </c:pt>
                <c:pt idx="66">
                  <c:v>98.875000000000014</c:v>
                </c:pt>
                <c:pt idx="67">
                  <c:v>100.47500000000001</c:v>
                </c:pt>
                <c:pt idx="68">
                  <c:v>105.27500000000001</c:v>
                </c:pt>
                <c:pt idx="69">
                  <c:v>107.47500000000001</c:v>
                </c:pt>
                <c:pt idx="70">
                  <c:v>108.47500000000001</c:v>
                </c:pt>
                <c:pt idx="71">
                  <c:v>109.17500000000001</c:v>
                </c:pt>
                <c:pt idx="72">
                  <c:v>109.17500000000001</c:v>
                </c:pt>
                <c:pt idx="73">
                  <c:v>109.17500000000001</c:v>
                </c:pt>
                <c:pt idx="74">
                  <c:v>113.57500000000002</c:v>
                </c:pt>
                <c:pt idx="75">
                  <c:v>117.17500000000001</c:v>
                </c:pt>
                <c:pt idx="76">
                  <c:v>118.17500000000001</c:v>
                </c:pt>
                <c:pt idx="77">
                  <c:v>118.17500000000001</c:v>
                </c:pt>
                <c:pt idx="78">
                  <c:v>118.17500000000001</c:v>
                </c:pt>
                <c:pt idx="79">
                  <c:v>118.17500000000001</c:v>
                </c:pt>
                <c:pt idx="80">
                  <c:v>118.17500000000001</c:v>
                </c:pt>
                <c:pt idx="81">
                  <c:v>119.47500000000001</c:v>
                </c:pt>
                <c:pt idx="82">
                  <c:v>119.47500000000001</c:v>
                </c:pt>
                <c:pt idx="83">
                  <c:v>119.67500000000001</c:v>
                </c:pt>
                <c:pt idx="84">
                  <c:v>119.67500000000001</c:v>
                </c:pt>
                <c:pt idx="85">
                  <c:v>119.67500000000001</c:v>
                </c:pt>
                <c:pt idx="86">
                  <c:v>119.67500000000001</c:v>
                </c:pt>
                <c:pt idx="87">
                  <c:v>119.67500000000001</c:v>
                </c:pt>
                <c:pt idx="88">
                  <c:v>121.07500000000002</c:v>
                </c:pt>
                <c:pt idx="89">
                  <c:v>122.27500000000002</c:v>
                </c:pt>
                <c:pt idx="90">
                  <c:v>123.67500000000003</c:v>
                </c:pt>
                <c:pt idx="91">
                  <c:v>127.17500000000003</c:v>
                </c:pt>
                <c:pt idx="92">
                  <c:v>128.87500000000003</c:v>
                </c:pt>
                <c:pt idx="93">
                  <c:v>128.87500000000003</c:v>
                </c:pt>
                <c:pt idx="94">
                  <c:v>128.87500000000003</c:v>
                </c:pt>
                <c:pt idx="95">
                  <c:v>128.87500000000003</c:v>
                </c:pt>
                <c:pt idx="96">
                  <c:v>133.87500000000003</c:v>
                </c:pt>
                <c:pt idx="97">
                  <c:v>136.87500000000003</c:v>
                </c:pt>
                <c:pt idx="98">
                  <c:v>136.87500000000003</c:v>
                </c:pt>
                <c:pt idx="99">
                  <c:v>136.87500000000003</c:v>
                </c:pt>
                <c:pt idx="100">
                  <c:v>136.87500000000003</c:v>
                </c:pt>
                <c:pt idx="101">
                  <c:v>142.97500000000002</c:v>
                </c:pt>
                <c:pt idx="102">
                  <c:v>146.57500000000002</c:v>
                </c:pt>
                <c:pt idx="103">
                  <c:v>146.57500000000002</c:v>
                </c:pt>
                <c:pt idx="104">
                  <c:v>146.57500000000002</c:v>
                </c:pt>
                <c:pt idx="105">
                  <c:v>153.27500000000001</c:v>
                </c:pt>
                <c:pt idx="106">
                  <c:v>153.27500000000001</c:v>
                </c:pt>
                <c:pt idx="107">
                  <c:v>153.67500000000001</c:v>
                </c:pt>
                <c:pt idx="108">
                  <c:v>158.07500000000002</c:v>
                </c:pt>
                <c:pt idx="109">
                  <c:v>158.17500000000001</c:v>
                </c:pt>
                <c:pt idx="110">
                  <c:v>158.17500000000001</c:v>
                </c:pt>
                <c:pt idx="111">
                  <c:v>158.17500000000001</c:v>
                </c:pt>
                <c:pt idx="112">
                  <c:v>158.875</c:v>
                </c:pt>
                <c:pt idx="113">
                  <c:v>160.97499999999999</c:v>
                </c:pt>
                <c:pt idx="114">
                  <c:v>163.07499999999999</c:v>
                </c:pt>
                <c:pt idx="115">
                  <c:v>164.27499999999998</c:v>
                </c:pt>
                <c:pt idx="116">
                  <c:v>164.27499999999998</c:v>
                </c:pt>
                <c:pt idx="117">
                  <c:v>164.27499999999998</c:v>
                </c:pt>
                <c:pt idx="118">
                  <c:v>164.27499999999998</c:v>
                </c:pt>
                <c:pt idx="119">
                  <c:v>164.27499999999998</c:v>
                </c:pt>
                <c:pt idx="120">
                  <c:v>164.27499999999998</c:v>
                </c:pt>
                <c:pt idx="121">
                  <c:v>166.57499999999999</c:v>
                </c:pt>
                <c:pt idx="122">
                  <c:v>166.67499999999998</c:v>
                </c:pt>
                <c:pt idx="123">
                  <c:v>166.67499999999998</c:v>
                </c:pt>
                <c:pt idx="124">
                  <c:v>169.07499999999999</c:v>
                </c:pt>
                <c:pt idx="125">
                  <c:v>170.77499999999998</c:v>
                </c:pt>
                <c:pt idx="126">
                  <c:v>171.07499999999999</c:v>
                </c:pt>
                <c:pt idx="127">
                  <c:v>183.375</c:v>
                </c:pt>
                <c:pt idx="128">
                  <c:v>195.67500000000001</c:v>
                </c:pt>
                <c:pt idx="129">
                  <c:v>195.67500000000001</c:v>
                </c:pt>
                <c:pt idx="130">
                  <c:v>196.20000000000002</c:v>
                </c:pt>
                <c:pt idx="131">
                  <c:v>198.09</c:v>
                </c:pt>
                <c:pt idx="132">
                  <c:v>200.715</c:v>
                </c:pt>
                <c:pt idx="133">
                  <c:v>209.535</c:v>
                </c:pt>
                <c:pt idx="134">
                  <c:v>211.42499999999998</c:v>
                </c:pt>
                <c:pt idx="135">
                  <c:v>213.52499999999998</c:v>
                </c:pt>
                <c:pt idx="136">
                  <c:v>218.03999999999996</c:v>
                </c:pt>
                <c:pt idx="137">
                  <c:v>230.84999999999997</c:v>
                </c:pt>
                <c:pt idx="138">
                  <c:v>234.62999999999997</c:v>
                </c:pt>
                <c:pt idx="139">
                  <c:v>238.93499999999997</c:v>
                </c:pt>
                <c:pt idx="140">
                  <c:v>239.24999999999997</c:v>
                </c:pt>
                <c:pt idx="141">
                  <c:v>239.24999999999997</c:v>
                </c:pt>
                <c:pt idx="142">
                  <c:v>244.81499999999997</c:v>
                </c:pt>
                <c:pt idx="143">
                  <c:v>245.12999999999997</c:v>
                </c:pt>
                <c:pt idx="144">
                  <c:v>245.12999999999997</c:v>
                </c:pt>
                <c:pt idx="145">
                  <c:v>245.12999999999997</c:v>
                </c:pt>
                <c:pt idx="146">
                  <c:v>245.12999999999997</c:v>
                </c:pt>
                <c:pt idx="147">
                  <c:v>245.44499999999996</c:v>
                </c:pt>
                <c:pt idx="148">
                  <c:v>247.01999999999995</c:v>
                </c:pt>
                <c:pt idx="149">
                  <c:v>260.03999999999996</c:v>
                </c:pt>
                <c:pt idx="150">
                  <c:v>296.26499999999999</c:v>
                </c:pt>
                <c:pt idx="151">
                  <c:v>307.185</c:v>
                </c:pt>
                <c:pt idx="152">
                  <c:v>307.5</c:v>
                </c:pt>
                <c:pt idx="153">
                  <c:v>309.60000000000002</c:v>
                </c:pt>
                <c:pt idx="154">
                  <c:v>310.125</c:v>
                </c:pt>
                <c:pt idx="155">
                  <c:v>311.4899999499321</c:v>
                </c:pt>
                <c:pt idx="156">
                  <c:v>317.89499984979631</c:v>
                </c:pt>
                <c:pt idx="157">
                  <c:v>317.89499984979631</c:v>
                </c:pt>
                <c:pt idx="158">
                  <c:v>317.89499984979631</c:v>
                </c:pt>
                <c:pt idx="159">
                  <c:v>317.89499984979631</c:v>
                </c:pt>
                <c:pt idx="160">
                  <c:v>317.89499984979631</c:v>
                </c:pt>
                <c:pt idx="161">
                  <c:v>319.4699998497963</c:v>
                </c:pt>
                <c:pt idx="162">
                  <c:v>319.4699998497963</c:v>
                </c:pt>
                <c:pt idx="163">
                  <c:v>319.4699998497963</c:v>
                </c:pt>
                <c:pt idx="164">
                  <c:v>319.4699998497963</c:v>
                </c:pt>
                <c:pt idx="165">
                  <c:v>319.4699998497963</c:v>
                </c:pt>
                <c:pt idx="166">
                  <c:v>320.4699998497963</c:v>
                </c:pt>
                <c:pt idx="167">
                  <c:v>320.4699998497963</c:v>
                </c:pt>
                <c:pt idx="168">
                  <c:v>326.4699998497963</c:v>
                </c:pt>
                <c:pt idx="169">
                  <c:v>335.4699998497963</c:v>
                </c:pt>
                <c:pt idx="170">
                  <c:v>337.4699998497963</c:v>
                </c:pt>
                <c:pt idx="171">
                  <c:v>337.4699998497963</c:v>
                </c:pt>
                <c:pt idx="172">
                  <c:v>338.4699998497963</c:v>
                </c:pt>
                <c:pt idx="173">
                  <c:v>344.4699998497963</c:v>
                </c:pt>
                <c:pt idx="174">
                  <c:v>354.4699998497963</c:v>
                </c:pt>
                <c:pt idx="175">
                  <c:v>368.4699998497963</c:v>
                </c:pt>
                <c:pt idx="176">
                  <c:v>369.4699998497963</c:v>
                </c:pt>
                <c:pt idx="177">
                  <c:v>370.4699998497963</c:v>
                </c:pt>
                <c:pt idx="178">
                  <c:v>370.4699998497963</c:v>
                </c:pt>
                <c:pt idx="179">
                  <c:v>370.4699998497963</c:v>
                </c:pt>
                <c:pt idx="180">
                  <c:v>370.4699998497963</c:v>
                </c:pt>
                <c:pt idx="181">
                  <c:v>371.4699998497963</c:v>
                </c:pt>
                <c:pt idx="182">
                  <c:v>371.4699998497963</c:v>
                </c:pt>
                <c:pt idx="183">
                  <c:v>371.4699998497963</c:v>
                </c:pt>
                <c:pt idx="184">
                  <c:v>372.4699998497963</c:v>
                </c:pt>
                <c:pt idx="185">
                  <c:v>374.4699998497963</c:v>
                </c:pt>
                <c:pt idx="186">
                  <c:v>383.4699998497963</c:v>
                </c:pt>
                <c:pt idx="187">
                  <c:v>383.4699998497963</c:v>
                </c:pt>
                <c:pt idx="188">
                  <c:v>383.4699998497963</c:v>
                </c:pt>
                <c:pt idx="189">
                  <c:v>383.4699998497963</c:v>
                </c:pt>
                <c:pt idx="190">
                  <c:v>383.4699998497963</c:v>
                </c:pt>
                <c:pt idx="191">
                  <c:v>383.4699998497963</c:v>
                </c:pt>
                <c:pt idx="192">
                  <c:v>383.4699998497963</c:v>
                </c:pt>
                <c:pt idx="193">
                  <c:v>383.4699998497963</c:v>
                </c:pt>
                <c:pt idx="194">
                  <c:v>383.4699998497963</c:v>
                </c:pt>
                <c:pt idx="195">
                  <c:v>383.4699998497963</c:v>
                </c:pt>
                <c:pt idx="196">
                  <c:v>383.4699998497963</c:v>
                </c:pt>
                <c:pt idx="197">
                  <c:v>383.4699998497963</c:v>
                </c:pt>
                <c:pt idx="198">
                  <c:v>400.4699998497963</c:v>
                </c:pt>
                <c:pt idx="199">
                  <c:v>410.0249998497963</c:v>
                </c:pt>
                <c:pt idx="200">
                  <c:v>411.59999984979629</c:v>
                </c:pt>
                <c:pt idx="201">
                  <c:v>411.91499984979629</c:v>
                </c:pt>
                <c:pt idx="202">
                  <c:v>411.91499984979629</c:v>
                </c:pt>
                <c:pt idx="203">
                  <c:v>411.91499984979629</c:v>
                </c:pt>
                <c:pt idx="204">
                  <c:v>411.91499984979629</c:v>
                </c:pt>
                <c:pt idx="205">
                  <c:v>411.91499984979629</c:v>
                </c:pt>
                <c:pt idx="206">
                  <c:v>411.91499984979629</c:v>
                </c:pt>
                <c:pt idx="207">
                  <c:v>411.91499984979629</c:v>
                </c:pt>
                <c:pt idx="208">
                  <c:v>411.91499984979629</c:v>
                </c:pt>
                <c:pt idx="209">
                  <c:v>411.91499984979629</c:v>
                </c:pt>
                <c:pt idx="210">
                  <c:v>411.91499984979629</c:v>
                </c:pt>
                <c:pt idx="211">
                  <c:v>411.91499984979629</c:v>
                </c:pt>
                <c:pt idx="212">
                  <c:v>411.91499984979629</c:v>
                </c:pt>
                <c:pt idx="213">
                  <c:v>411.91499984979629</c:v>
                </c:pt>
                <c:pt idx="214">
                  <c:v>416.91499984979629</c:v>
                </c:pt>
                <c:pt idx="215">
                  <c:v>425.91499984979629</c:v>
                </c:pt>
                <c:pt idx="216">
                  <c:v>454.91499984979629</c:v>
                </c:pt>
                <c:pt idx="217">
                  <c:v>459.91499984979629</c:v>
                </c:pt>
                <c:pt idx="218">
                  <c:v>459.91499984979629</c:v>
                </c:pt>
                <c:pt idx="219">
                  <c:v>459.91499984979629</c:v>
                </c:pt>
                <c:pt idx="220">
                  <c:v>459.91499984979629</c:v>
                </c:pt>
                <c:pt idx="221">
                  <c:v>459.91499984979629</c:v>
                </c:pt>
                <c:pt idx="222">
                  <c:v>459.91499984979629</c:v>
                </c:pt>
                <c:pt idx="223">
                  <c:v>459.91499984979629</c:v>
                </c:pt>
                <c:pt idx="224">
                  <c:v>459.91499984979629</c:v>
                </c:pt>
                <c:pt idx="225">
                  <c:v>459.91499984979629</c:v>
                </c:pt>
                <c:pt idx="226">
                  <c:v>459.91499984979629</c:v>
                </c:pt>
                <c:pt idx="227">
                  <c:v>459.91499984979629</c:v>
                </c:pt>
                <c:pt idx="228">
                  <c:v>459.91499984979629</c:v>
                </c:pt>
                <c:pt idx="229">
                  <c:v>462.91499984979629</c:v>
                </c:pt>
                <c:pt idx="230">
                  <c:v>462.91499984979629</c:v>
                </c:pt>
                <c:pt idx="231">
                  <c:v>464.91499984979629</c:v>
                </c:pt>
                <c:pt idx="232">
                  <c:v>464.91499984979629</c:v>
                </c:pt>
                <c:pt idx="233">
                  <c:v>464.91499984979629</c:v>
                </c:pt>
                <c:pt idx="234">
                  <c:v>464.91499984979629</c:v>
                </c:pt>
                <c:pt idx="235">
                  <c:v>464.91499984979629</c:v>
                </c:pt>
                <c:pt idx="236">
                  <c:v>464.91499984979629</c:v>
                </c:pt>
                <c:pt idx="237">
                  <c:v>464.91499984979629</c:v>
                </c:pt>
                <c:pt idx="238">
                  <c:v>464.91499984979629</c:v>
                </c:pt>
                <c:pt idx="239">
                  <c:v>464.91499984979629</c:v>
                </c:pt>
                <c:pt idx="240">
                  <c:v>464.91499984979629</c:v>
                </c:pt>
                <c:pt idx="241">
                  <c:v>464.91499984979629</c:v>
                </c:pt>
                <c:pt idx="242">
                  <c:v>477.91499984979629</c:v>
                </c:pt>
                <c:pt idx="243">
                  <c:v>484.91499984979629</c:v>
                </c:pt>
                <c:pt idx="244">
                  <c:v>484.91499984979629</c:v>
                </c:pt>
                <c:pt idx="245">
                  <c:v>484.91499984979629</c:v>
                </c:pt>
                <c:pt idx="246">
                  <c:v>509.48499984979628</c:v>
                </c:pt>
                <c:pt idx="247">
                  <c:v>512.10999984979628</c:v>
                </c:pt>
                <c:pt idx="248">
                  <c:v>513.15999984979624</c:v>
                </c:pt>
                <c:pt idx="249">
                  <c:v>516.09999984979629</c:v>
                </c:pt>
                <c:pt idx="250">
                  <c:v>531.00999984979626</c:v>
                </c:pt>
                <c:pt idx="251">
                  <c:v>534.78999984979623</c:v>
                </c:pt>
                <c:pt idx="252">
                  <c:v>534.78999984979623</c:v>
                </c:pt>
                <c:pt idx="253">
                  <c:v>534.78999984979623</c:v>
                </c:pt>
                <c:pt idx="254">
                  <c:v>535.31499984979621</c:v>
                </c:pt>
                <c:pt idx="255">
                  <c:v>535.62999984979626</c:v>
                </c:pt>
                <c:pt idx="256">
                  <c:v>551.37999984979626</c:v>
                </c:pt>
                <c:pt idx="257">
                  <c:v>567.12999984979626</c:v>
                </c:pt>
                <c:pt idx="258">
                  <c:v>584.45499984979631</c:v>
                </c:pt>
                <c:pt idx="259">
                  <c:v>584.45499984979631</c:v>
                </c:pt>
                <c:pt idx="260">
                  <c:v>585.50499984979626</c:v>
                </c:pt>
                <c:pt idx="261">
                  <c:v>585.81999984979632</c:v>
                </c:pt>
                <c:pt idx="262">
                  <c:v>588.75999984979637</c:v>
                </c:pt>
                <c:pt idx="263">
                  <c:v>607.9749998497964</c:v>
                </c:pt>
                <c:pt idx="264">
                  <c:v>618.89499984979636</c:v>
                </c:pt>
                <c:pt idx="265">
                  <c:v>621.51999984979636</c:v>
                </c:pt>
                <c:pt idx="266">
                  <c:v>621.51999984979636</c:v>
                </c:pt>
                <c:pt idx="267">
                  <c:v>621.83499984979642</c:v>
                </c:pt>
                <c:pt idx="268">
                  <c:v>621.83499984979642</c:v>
                </c:pt>
                <c:pt idx="269">
                  <c:v>621.83499984979642</c:v>
                </c:pt>
                <c:pt idx="270">
                  <c:v>621.83499984979642</c:v>
                </c:pt>
                <c:pt idx="271">
                  <c:v>621.83499984979642</c:v>
                </c:pt>
                <c:pt idx="272">
                  <c:v>623.19999984979643</c:v>
                </c:pt>
                <c:pt idx="273">
                  <c:v>626.3499998497964</c:v>
                </c:pt>
                <c:pt idx="274">
                  <c:v>626.3499998497964</c:v>
                </c:pt>
                <c:pt idx="275">
                  <c:v>626.66499984979646</c:v>
                </c:pt>
                <c:pt idx="276">
                  <c:v>627.71499984979641</c:v>
                </c:pt>
                <c:pt idx="277">
                  <c:v>643.14999984979636</c:v>
                </c:pt>
                <c:pt idx="278">
                  <c:v>643.67499984979634</c:v>
                </c:pt>
                <c:pt idx="279">
                  <c:v>644.72499984979629</c:v>
                </c:pt>
                <c:pt idx="280">
                  <c:v>644.72499984979629</c:v>
                </c:pt>
                <c:pt idx="281">
                  <c:v>644.72499984979629</c:v>
                </c:pt>
                <c:pt idx="282">
                  <c:v>645.03999984979635</c:v>
                </c:pt>
                <c:pt idx="283">
                  <c:v>645.03999984979635</c:v>
                </c:pt>
                <c:pt idx="284">
                  <c:v>665.82999984979631</c:v>
                </c:pt>
                <c:pt idx="285">
                  <c:v>665.82999984979631</c:v>
                </c:pt>
                <c:pt idx="286">
                  <c:v>666.14499984979636</c:v>
                </c:pt>
                <c:pt idx="287">
                  <c:v>673.5999998497964</c:v>
                </c:pt>
                <c:pt idx="288">
                  <c:v>673.91499984979646</c:v>
                </c:pt>
                <c:pt idx="289">
                  <c:v>677.69499984979643</c:v>
                </c:pt>
                <c:pt idx="290">
                  <c:v>678.00999984979649</c:v>
                </c:pt>
                <c:pt idx="291">
                  <c:v>679.3749998497965</c:v>
                </c:pt>
                <c:pt idx="292">
                  <c:v>679.68999984979655</c:v>
                </c:pt>
                <c:pt idx="293">
                  <c:v>680.0049998497966</c:v>
                </c:pt>
                <c:pt idx="294">
                  <c:v>680.0049998497966</c:v>
                </c:pt>
                <c:pt idx="295">
                  <c:v>680.31999984979666</c:v>
                </c:pt>
                <c:pt idx="296">
                  <c:v>681.15999984979669</c:v>
                </c:pt>
                <c:pt idx="297">
                  <c:v>684.09999984979675</c:v>
                </c:pt>
                <c:pt idx="298">
                  <c:v>686.19999984979677</c:v>
                </c:pt>
                <c:pt idx="299">
                  <c:v>686.51499984979682</c:v>
                </c:pt>
                <c:pt idx="300">
                  <c:v>695.33499984979687</c:v>
                </c:pt>
                <c:pt idx="301">
                  <c:v>725.78499984979692</c:v>
                </c:pt>
                <c:pt idx="302">
                  <c:v>725.78499984979692</c:v>
                </c:pt>
                <c:pt idx="303">
                  <c:v>725.78499984979692</c:v>
                </c:pt>
                <c:pt idx="304">
                  <c:v>725.78499984979692</c:v>
                </c:pt>
                <c:pt idx="305">
                  <c:v>726.09999984979697</c:v>
                </c:pt>
                <c:pt idx="306">
                  <c:v>726.09999984979697</c:v>
                </c:pt>
                <c:pt idx="307">
                  <c:v>727.14999984979693</c:v>
                </c:pt>
                <c:pt idx="308">
                  <c:v>727.14999984979693</c:v>
                </c:pt>
                <c:pt idx="309">
                  <c:v>727.6749998497969</c:v>
                </c:pt>
                <c:pt idx="310">
                  <c:v>727.6749998497969</c:v>
                </c:pt>
                <c:pt idx="311">
                  <c:v>727.6749998497969</c:v>
                </c:pt>
                <c:pt idx="312">
                  <c:v>734.13249984979689</c:v>
                </c:pt>
                <c:pt idx="313">
                  <c:v>734.13249984979689</c:v>
                </c:pt>
                <c:pt idx="314">
                  <c:v>734.13249984979689</c:v>
                </c:pt>
                <c:pt idx="315">
                  <c:v>734.13249984979689</c:v>
                </c:pt>
                <c:pt idx="316">
                  <c:v>734.13249984979689</c:v>
                </c:pt>
                <c:pt idx="317">
                  <c:v>734.13249984979689</c:v>
                </c:pt>
                <c:pt idx="318">
                  <c:v>734.13249984979689</c:v>
                </c:pt>
                <c:pt idx="319">
                  <c:v>734.13249984979689</c:v>
                </c:pt>
                <c:pt idx="320">
                  <c:v>734.13249984979689</c:v>
                </c:pt>
                <c:pt idx="321">
                  <c:v>768.78249984979686</c:v>
                </c:pt>
                <c:pt idx="322">
                  <c:v>768.78249984979686</c:v>
                </c:pt>
                <c:pt idx="323">
                  <c:v>770.35749984979691</c:v>
                </c:pt>
                <c:pt idx="324">
                  <c:v>776.65749984979686</c:v>
                </c:pt>
                <c:pt idx="325">
                  <c:v>776.65749984979686</c:v>
                </c:pt>
                <c:pt idx="326">
                  <c:v>776.65749984979686</c:v>
                </c:pt>
                <c:pt idx="327">
                  <c:v>776.65749984979686</c:v>
                </c:pt>
                <c:pt idx="328">
                  <c:v>778.23249984979691</c:v>
                </c:pt>
                <c:pt idx="329">
                  <c:v>786.10749984979691</c:v>
                </c:pt>
                <c:pt idx="330">
                  <c:v>790.83249984979693</c:v>
                </c:pt>
                <c:pt idx="331">
                  <c:v>816.03249984979698</c:v>
                </c:pt>
                <c:pt idx="332">
                  <c:v>833.35749984979702</c:v>
                </c:pt>
                <c:pt idx="333">
                  <c:v>833.35749984979702</c:v>
                </c:pt>
                <c:pt idx="334">
                  <c:v>839.65749984979698</c:v>
                </c:pt>
                <c:pt idx="335">
                  <c:v>844.382499849797</c:v>
                </c:pt>
                <c:pt idx="336">
                  <c:v>844.382499849797</c:v>
                </c:pt>
                <c:pt idx="337">
                  <c:v>845.95749984979705</c:v>
                </c:pt>
                <c:pt idx="338">
                  <c:v>847.53249984979709</c:v>
                </c:pt>
                <c:pt idx="339">
                  <c:v>861.70749984979705</c:v>
                </c:pt>
                <c:pt idx="340">
                  <c:v>863.439999849797</c:v>
                </c:pt>
                <c:pt idx="341">
                  <c:v>865.01499984979705</c:v>
                </c:pt>
                <c:pt idx="342">
                  <c:v>879.189999849797</c:v>
                </c:pt>
                <c:pt idx="343">
                  <c:v>880.76499984979705</c:v>
                </c:pt>
                <c:pt idx="344">
                  <c:v>883.91499984979703</c:v>
                </c:pt>
                <c:pt idx="345">
                  <c:v>885.48999984979707</c:v>
                </c:pt>
                <c:pt idx="346">
                  <c:v>894.93999984979712</c:v>
                </c:pt>
                <c:pt idx="347">
                  <c:v>896.51499984979716</c:v>
                </c:pt>
                <c:pt idx="348">
                  <c:v>902.81499984979712</c:v>
                </c:pt>
                <c:pt idx="349">
                  <c:v>910.68999984979712</c:v>
                </c:pt>
                <c:pt idx="350">
                  <c:v>910.68999984979712</c:v>
                </c:pt>
                <c:pt idx="351">
                  <c:v>910.68999984979712</c:v>
                </c:pt>
                <c:pt idx="352">
                  <c:v>910.68999984979712</c:v>
                </c:pt>
                <c:pt idx="353">
                  <c:v>923.28999984979714</c:v>
                </c:pt>
                <c:pt idx="354">
                  <c:v>940.61499984979719</c:v>
                </c:pt>
                <c:pt idx="355">
                  <c:v>946.91499984979714</c:v>
                </c:pt>
                <c:pt idx="356">
                  <c:v>950.06499984979712</c:v>
                </c:pt>
                <c:pt idx="357">
                  <c:v>964.23999984979707</c:v>
                </c:pt>
                <c:pt idx="358">
                  <c:v>970.53999984979703</c:v>
                </c:pt>
                <c:pt idx="359">
                  <c:v>973.689999849797</c:v>
                </c:pt>
                <c:pt idx="360">
                  <c:v>973.689999849797</c:v>
                </c:pt>
                <c:pt idx="361">
                  <c:v>975.26499984979705</c:v>
                </c:pt>
                <c:pt idx="362">
                  <c:v>976.8399998497971</c:v>
                </c:pt>
                <c:pt idx="363">
                  <c:v>987.86499984979707</c:v>
                </c:pt>
                <c:pt idx="364">
                  <c:v>994.16499984979703</c:v>
                </c:pt>
                <c:pt idx="365">
                  <c:v>994.16499984979703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PPTest!$M$7:$M$372</c:f>
              <c:numCache>
                <c:formatCode>0.0</c:formatCode>
                <c:ptCount val="366"/>
                <c:pt idx="0" formatCode="General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10.5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19.5</c:v>
                </c:pt>
                <c:pt idx="15">
                  <c:v>19.5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19.5</c:v>
                </c:pt>
                <c:pt idx="20">
                  <c:v>21</c:v>
                </c:pt>
                <c:pt idx="21">
                  <c:v>22.5</c:v>
                </c:pt>
                <c:pt idx="22">
                  <c:v>28.5</c:v>
                </c:pt>
                <c:pt idx="23">
                  <c:v>28.5</c:v>
                </c:pt>
                <c:pt idx="24">
                  <c:v>31.5</c:v>
                </c:pt>
                <c:pt idx="25">
                  <c:v>33</c:v>
                </c:pt>
                <c:pt idx="26">
                  <c:v>33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42</c:v>
                </c:pt>
                <c:pt idx="35">
                  <c:v>45</c:v>
                </c:pt>
                <c:pt idx="36">
                  <c:v>49.5</c:v>
                </c:pt>
                <c:pt idx="37">
                  <c:v>54</c:v>
                </c:pt>
                <c:pt idx="38">
                  <c:v>67.5</c:v>
                </c:pt>
                <c:pt idx="39">
                  <c:v>67.5</c:v>
                </c:pt>
                <c:pt idx="40">
                  <c:v>67.5</c:v>
                </c:pt>
                <c:pt idx="41">
                  <c:v>67.5</c:v>
                </c:pt>
                <c:pt idx="42">
                  <c:v>67.5</c:v>
                </c:pt>
                <c:pt idx="43">
                  <c:v>67.5</c:v>
                </c:pt>
                <c:pt idx="44">
                  <c:v>67.5</c:v>
                </c:pt>
                <c:pt idx="45">
                  <c:v>67.5</c:v>
                </c:pt>
                <c:pt idx="46">
                  <c:v>67.5</c:v>
                </c:pt>
                <c:pt idx="47">
                  <c:v>70.8</c:v>
                </c:pt>
                <c:pt idx="48">
                  <c:v>72.7</c:v>
                </c:pt>
                <c:pt idx="49">
                  <c:v>76.900000000000006</c:v>
                </c:pt>
                <c:pt idx="50">
                  <c:v>79.100000000000009</c:v>
                </c:pt>
                <c:pt idx="51">
                  <c:v>84.7</c:v>
                </c:pt>
                <c:pt idx="52">
                  <c:v>85.8</c:v>
                </c:pt>
                <c:pt idx="53">
                  <c:v>87.7</c:v>
                </c:pt>
                <c:pt idx="54">
                  <c:v>87.7</c:v>
                </c:pt>
                <c:pt idx="55">
                  <c:v>87.7</c:v>
                </c:pt>
                <c:pt idx="56">
                  <c:v>88.100000000000009</c:v>
                </c:pt>
                <c:pt idx="57">
                  <c:v>88.4</c:v>
                </c:pt>
                <c:pt idx="58">
                  <c:v>88.100000000000009</c:v>
                </c:pt>
                <c:pt idx="59">
                  <c:v>88.100000000000009</c:v>
                </c:pt>
                <c:pt idx="60">
                  <c:v>88.100000000000009</c:v>
                </c:pt>
                <c:pt idx="61">
                  <c:v>88.100000000000009</c:v>
                </c:pt>
                <c:pt idx="62">
                  <c:v>91.7</c:v>
                </c:pt>
                <c:pt idx="63">
                  <c:v>91.7</c:v>
                </c:pt>
                <c:pt idx="64">
                  <c:v>92.9</c:v>
                </c:pt>
                <c:pt idx="65">
                  <c:v>93.2</c:v>
                </c:pt>
                <c:pt idx="66">
                  <c:v>95.5</c:v>
                </c:pt>
                <c:pt idx="67">
                  <c:v>97.1</c:v>
                </c:pt>
                <c:pt idx="68">
                  <c:v>101.89999999999999</c:v>
                </c:pt>
                <c:pt idx="69">
                  <c:v>104.1</c:v>
                </c:pt>
                <c:pt idx="70">
                  <c:v>105.1</c:v>
                </c:pt>
                <c:pt idx="71">
                  <c:v>105.8</c:v>
                </c:pt>
                <c:pt idx="72">
                  <c:v>105.8</c:v>
                </c:pt>
                <c:pt idx="73">
                  <c:v>105.8</c:v>
                </c:pt>
                <c:pt idx="74">
                  <c:v>110.2</c:v>
                </c:pt>
                <c:pt idx="75">
                  <c:v>113.8</c:v>
                </c:pt>
                <c:pt idx="76">
                  <c:v>114.8</c:v>
                </c:pt>
                <c:pt idx="77">
                  <c:v>114.8</c:v>
                </c:pt>
                <c:pt idx="78">
                  <c:v>114.8</c:v>
                </c:pt>
                <c:pt idx="79">
                  <c:v>114.8</c:v>
                </c:pt>
                <c:pt idx="80">
                  <c:v>114.8</c:v>
                </c:pt>
                <c:pt idx="81">
                  <c:v>116.1</c:v>
                </c:pt>
                <c:pt idx="82">
                  <c:v>116.1</c:v>
                </c:pt>
                <c:pt idx="83">
                  <c:v>116.3</c:v>
                </c:pt>
                <c:pt idx="84">
                  <c:v>116.3</c:v>
                </c:pt>
                <c:pt idx="85">
                  <c:v>116.3</c:v>
                </c:pt>
                <c:pt idx="86">
                  <c:v>116.3</c:v>
                </c:pt>
                <c:pt idx="87">
                  <c:v>116.3</c:v>
                </c:pt>
                <c:pt idx="88">
                  <c:v>117.7</c:v>
                </c:pt>
                <c:pt idx="89">
                  <c:v>118.9</c:v>
                </c:pt>
                <c:pt idx="90">
                  <c:v>120.30000000000001</c:v>
                </c:pt>
                <c:pt idx="91">
                  <c:v>123.80000000000001</c:v>
                </c:pt>
                <c:pt idx="92">
                  <c:v>125.50000000000001</c:v>
                </c:pt>
                <c:pt idx="93">
                  <c:v>125.50000000000001</c:v>
                </c:pt>
                <c:pt idx="94">
                  <c:v>125.50000000000001</c:v>
                </c:pt>
                <c:pt idx="95">
                  <c:v>125.50000000000001</c:v>
                </c:pt>
                <c:pt idx="96">
                  <c:v>130.5</c:v>
                </c:pt>
                <c:pt idx="97">
                  <c:v>133.5</c:v>
                </c:pt>
                <c:pt idx="98">
                  <c:v>133.5</c:v>
                </c:pt>
                <c:pt idx="99">
                  <c:v>133.5</c:v>
                </c:pt>
                <c:pt idx="100">
                  <c:v>133.5</c:v>
                </c:pt>
                <c:pt idx="101">
                  <c:v>139.6</c:v>
                </c:pt>
                <c:pt idx="102">
                  <c:v>143.19999999999999</c:v>
                </c:pt>
                <c:pt idx="103">
                  <c:v>143.19999999999999</c:v>
                </c:pt>
                <c:pt idx="104">
                  <c:v>143.19999999999999</c:v>
                </c:pt>
                <c:pt idx="105">
                  <c:v>149.89999999999998</c:v>
                </c:pt>
                <c:pt idx="106">
                  <c:v>149.89999999999998</c:v>
                </c:pt>
                <c:pt idx="107">
                  <c:v>150.29999999999998</c:v>
                </c:pt>
                <c:pt idx="108">
                  <c:v>154.69999999999999</c:v>
                </c:pt>
                <c:pt idx="109">
                  <c:v>154.79999999999998</c:v>
                </c:pt>
                <c:pt idx="110">
                  <c:v>154.79999999999998</c:v>
                </c:pt>
                <c:pt idx="111">
                  <c:v>154.79999999999998</c:v>
                </c:pt>
                <c:pt idx="112">
                  <c:v>155.49999999999997</c:v>
                </c:pt>
                <c:pt idx="113">
                  <c:v>157.59999999999997</c:v>
                </c:pt>
                <c:pt idx="114">
                  <c:v>159.69999999999996</c:v>
                </c:pt>
                <c:pt idx="115">
                  <c:v>160.89999999999995</c:v>
                </c:pt>
                <c:pt idx="116">
                  <c:v>160.89999999999995</c:v>
                </c:pt>
                <c:pt idx="117">
                  <c:v>160.89999999999995</c:v>
                </c:pt>
                <c:pt idx="118">
                  <c:v>160.89999999999995</c:v>
                </c:pt>
                <c:pt idx="119">
                  <c:v>160.89999999999995</c:v>
                </c:pt>
                <c:pt idx="120">
                  <c:v>160.89999999999995</c:v>
                </c:pt>
                <c:pt idx="121">
                  <c:v>163.19999999999996</c:v>
                </c:pt>
                <c:pt idx="122">
                  <c:v>163.29999999999995</c:v>
                </c:pt>
                <c:pt idx="123">
                  <c:v>163.29999999999995</c:v>
                </c:pt>
                <c:pt idx="124">
                  <c:v>165.69999999999996</c:v>
                </c:pt>
                <c:pt idx="125">
                  <c:v>167.39999999999995</c:v>
                </c:pt>
                <c:pt idx="126">
                  <c:v>167.69999999999996</c:v>
                </c:pt>
                <c:pt idx="127">
                  <c:v>179.99999999999997</c:v>
                </c:pt>
                <c:pt idx="128">
                  <c:v>192.29999999999998</c:v>
                </c:pt>
                <c:pt idx="129">
                  <c:v>192.29999999999998</c:v>
                </c:pt>
                <c:pt idx="130">
                  <c:v>192.79999999999998</c:v>
                </c:pt>
                <c:pt idx="131">
                  <c:v>194.6</c:v>
                </c:pt>
                <c:pt idx="132">
                  <c:v>197.1</c:v>
                </c:pt>
                <c:pt idx="133">
                  <c:v>205.5</c:v>
                </c:pt>
                <c:pt idx="134">
                  <c:v>207.3</c:v>
                </c:pt>
                <c:pt idx="135">
                  <c:v>209.3</c:v>
                </c:pt>
                <c:pt idx="136">
                  <c:v>213.60000000000002</c:v>
                </c:pt>
                <c:pt idx="137">
                  <c:v>225.8</c:v>
                </c:pt>
                <c:pt idx="138">
                  <c:v>229.4</c:v>
                </c:pt>
                <c:pt idx="139">
                  <c:v>233.5</c:v>
                </c:pt>
                <c:pt idx="140">
                  <c:v>233.8</c:v>
                </c:pt>
                <c:pt idx="141">
                  <c:v>233.8</c:v>
                </c:pt>
                <c:pt idx="142">
                  <c:v>239.10000000000002</c:v>
                </c:pt>
                <c:pt idx="143">
                  <c:v>239.40000000000003</c:v>
                </c:pt>
                <c:pt idx="144">
                  <c:v>239.40000000000003</c:v>
                </c:pt>
                <c:pt idx="145">
                  <c:v>239.40000000000003</c:v>
                </c:pt>
                <c:pt idx="146">
                  <c:v>239.40000000000003</c:v>
                </c:pt>
                <c:pt idx="147">
                  <c:v>239.70000000000005</c:v>
                </c:pt>
                <c:pt idx="148">
                  <c:v>241.20000000000005</c:v>
                </c:pt>
                <c:pt idx="149">
                  <c:v>253.60000000000005</c:v>
                </c:pt>
                <c:pt idx="150">
                  <c:v>288.10000000000002</c:v>
                </c:pt>
                <c:pt idx="151">
                  <c:v>298.5</c:v>
                </c:pt>
                <c:pt idx="152">
                  <c:v>298.8</c:v>
                </c:pt>
                <c:pt idx="153">
                  <c:v>300.8</c:v>
                </c:pt>
                <c:pt idx="154">
                  <c:v>301.3</c:v>
                </c:pt>
                <c:pt idx="155">
                  <c:v>302.5999999523163</c:v>
                </c:pt>
                <c:pt idx="156">
                  <c:v>308.69999985694886</c:v>
                </c:pt>
                <c:pt idx="157">
                  <c:v>308.69999985694886</c:v>
                </c:pt>
                <c:pt idx="158">
                  <c:v>308.69999985694886</c:v>
                </c:pt>
                <c:pt idx="159">
                  <c:v>308.69999985694886</c:v>
                </c:pt>
                <c:pt idx="160">
                  <c:v>308.69999985694886</c:v>
                </c:pt>
                <c:pt idx="161">
                  <c:v>310.19999985694886</c:v>
                </c:pt>
                <c:pt idx="162">
                  <c:v>310.19999985694886</c:v>
                </c:pt>
                <c:pt idx="163">
                  <c:v>310.19999985694886</c:v>
                </c:pt>
                <c:pt idx="164">
                  <c:v>310.19999985694886</c:v>
                </c:pt>
                <c:pt idx="165">
                  <c:v>310.19999985694886</c:v>
                </c:pt>
                <c:pt idx="166">
                  <c:v>310.49999985694888</c:v>
                </c:pt>
                <c:pt idx="167">
                  <c:v>310.49999985694888</c:v>
                </c:pt>
                <c:pt idx="168">
                  <c:v>320.19999985694886</c:v>
                </c:pt>
                <c:pt idx="169">
                  <c:v>321.19999985694886</c:v>
                </c:pt>
                <c:pt idx="170">
                  <c:v>322.49999985694888</c:v>
                </c:pt>
                <c:pt idx="171">
                  <c:v>322.49999985694888</c:v>
                </c:pt>
                <c:pt idx="172">
                  <c:v>324.49999985694888</c:v>
                </c:pt>
                <c:pt idx="173">
                  <c:v>326.99999985694888</c:v>
                </c:pt>
                <c:pt idx="174">
                  <c:v>337.89999985694885</c:v>
                </c:pt>
                <c:pt idx="175">
                  <c:v>345.99999985694888</c:v>
                </c:pt>
                <c:pt idx="176">
                  <c:v>348.49999985694888</c:v>
                </c:pt>
                <c:pt idx="177">
                  <c:v>348.49999985694888</c:v>
                </c:pt>
                <c:pt idx="178">
                  <c:v>354.89999985694885</c:v>
                </c:pt>
                <c:pt idx="179">
                  <c:v>354.89999985694885</c:v>
                </c:pt>
                <c:pt idx="180">
                  <c:v>354.89999985694885</c:v>
                </c:pt>
                <c:pt idx="181">
                  <c:v>355.19999985694886</c:v>
                </c:pt>
                <c:pt idx="182">
                  <c:v>355.19999985694886</c:v>
                </c:pt>
                <c:pt idx="183">
                  <c:v>355.99999985694888</c:v>
                </c:pt>
                <c:pt idx="184">
                  <c:v>356.99999985694888</c:v>
                </c:pt>
                <c:pt idx="185">
                  <c:v>357.79999985694889</c:v>
                </c:pt>
                <c:pt idx="186">
                  <c:v>371.99999985694888</c:v>
                </c:pt>
                <c:pt idx="187">
                  <c:v>371.99999985694888</c:v>
                </c:pt>
                <c:pt idx="188">
                  <c:v>371.99999985694888</c:v>
                </c:pt>
                <c:pt idx="189">
                  <c:v>371.99999985694888</c:v>
                </c:pt>
                <c:pt idx="190">
                  <c:v>371.99999985694888</c:v>
                </c:pt>
                <c:pt idx="191">
                  <c:v>371.99999985694888</c:v>
                </c:pt>
                <c:pt idx="192">
                  <c:v>371.99999985694888</c:v>
                </c:pt>
                <c:pt idx="193">
                  <c:v>371.99999985694888</c:v>
                </c:pt>
                <c:pt idx="194">
                  <c:v>371.99999985694888</c:v>
                </c:pt>
                <c:pt idx="195">
                  <c:v>371.99999985694888</c:v>
                </c:pt>
                <c:pt idx="196">
                  <c:v>371.99999985694888</c:v>
                </c:pt>
                <c:pt idx="197">
                  <c:v>371.99999985694888</c:v>
                </c:pt>
                <c:pt idx="198">
                  <c:v>388.99999985694888</c:v>
                </c:pt>
                <c:pt idx="199">
                  <c:v>398.0999998569489</c:v>
                </c:pt>
                <c:pt idx="200">
                  <c:v>399.5999998569489</c:v>
                </c:pt>
                <c:pt idx="201">
                  <c:v>399.89999985694891</c:v>
                </c:pt>
                <c:pt idx="202">
                  <c:v>399.89999985694891</c:v>
                </c:pt>
                <c:pt idx="203">
                  <c:v>399.89999985694891</c:v>
                </c:pt>
                <c:pt idx="204">
                  <c:v>399.89999985694891</c:v>
                </c:pt>
                <c:pt idx="205">
                  <c:v>399.89999985694891</c:v>
                </c:pt>
                <c:pt idx="206">
                  <c:v>399.89999985694891</c:v>
                </c:pt>
                <c:pt idx="207">
                  <c:v>399.89999985694891</c:v>
                </c:pt>
                <c:pt idx="208">
                  <c:v>399.89999985694891</c:v>
                </c:pt>
                <c:pt idx="209">
                  <c:v>399.89999985694891</c:v>
                </c:pt>
                <c:pt idx="210">
                  <c:v>399.89999985694891</c:v>
                </c:pt>
                <c:pt idx="211">
                  <c:v>399.89999985694891</c:v>
                </c:pt>
                <c:pt idx="212">
                  <c:v>399.89999985694891</c:v>
                </c:pt>
                <c:pt idx="213">
                  <c:v>399.89999985694891</c:v>
                </c:pt>
                <c:pt idx="214">
                  <c:v>404.49999985694893</c:v>
                </c:pt>
                <c:pt idx="215">
                  <c:v>409.29999985694894</c:v>
                </c:pt>
                <c:pt idx="216">
                  <c:v>432.39999985694897</c:v>
                </c:pt>
                <c:pt idx="217">
                  <c:v>434.19999985694898</c:v>
                </c:pt>
                <c:pt idx="218">
                  <c:v>434.19999985694898</c:v>
                </c:pt>
                <c:pt idx="219">
                  <c:v>434.19999985694898</c:v>
                </c:pt>
                <c:pt idx="220">
                  <c:v>434.19999985694898</c:v>
                </c:pt>
                <c:pt idx="221">
                  <c:v>434.19999985694898</c:v>
                </c:pt>
                <c:pt idx="222">
                  <c:v>434.19999985694898</c:v>
                </c:pt>
                <c:pt idx="223">
                  <c:v>434.19999985694898</c:v>
                </c:pt>
                <c:pt idx="224">
                  <c:v>434.19999985694898</c:v>
                </c:pt>
                <c:pt idx="225">
                  <c:v>434.19999985694898</c:v>
                </c:pt>
                <c:pt idx="226">
                  <c:v>434.19999985694898</c:v>
                </c:pt>
                <c:pt idx="227">
                  <c:v>434.19999985694898</c:v>
                </c:pt>
                <c:pt idx="228">
                  <c:v>434.19999985694898</c:v>
                </c:pt>
                <c:pt idx="229">
                  <c:v>434.19999985694898</c:v>
                </c:pt>
                <c:pt idx="230">
                  <c:v>434.19999985694898</c:v>
                </c:pt>
                <c:pt idx="231">
                  <c:v>435.69999985694898</c:v>
                </c:pt>
                <c:pt idx="232">
                  <c:v>436.19999985694898</c:v>
                </c:pt>
                <c:pt idx="233">
                  <c:v>436.19999985694898</c:v>
                </c:pt>
                <c:pt idx="234">
                  <c:v>436.19999985694898</c:v>
                </c:pt>
                <c:pt idx="235">
                  <c:v>436.19999985694898</c:v>
                </c:pt>
                <c:pt idx="236">
                  <c:v>436.19999985694898</c:v>
                </c:pt>
                <c:pt idx="237">
                  <c:v>436.19999985694898</c:v>
                </c:pt>
                <c:pt idx="238">
                  <c:v>436.19999985694898</c:v>
                </c:pt>
                <c:pt idx="239">
                  <c:v>436.19999985694898</c:v>
                </c:pt>
                <c:pt idx="240">
                  <c:v>436.19999985694898</c:v>
                </c:pt>
                <c:pt idx="241">
                  <c:v>436.19999985694898</c:v>
                </c:pt>
                <c:pt idx="242">
                  <c:v>446.09999985694895</c:v>
                </c:pt>
                <c:pt idx="243">
                  <c:v>451.69999985694898</c:v>
                </c:pt>
                <c:pt idx="244">
                  <c:v>451.69999985694898</c:v>
                </c:pt>
                <c:pt idx="245">
                  <c:v>451.69999985694898</c:v>
                </c:pt>
                <c:pt idx="246">
                  <c:v>475.09999985694895</c:v>
                </c:pt>
                <c:pt idx="247">
                  <c:v>477.59999985694895</c:v>
                </c:pt>
                <c:pt idx="248">
                  <c:v>478.59999985694895</c:v>
                </c:pt>
                <c:pt idx="249">
                  <c:v>481.39999985694897</c:v>
                </c:pt>
                <c:pt idx="250">
                  <c:v>495.59999985694895</c:v>
                </c:pt>
                <c:pt idx="251">
                  <c:v>499.19999985694898</c:v>
                </c:pt>
                <c:pt idx="252">
                  <c:v>499.19999985694898</c:v>
                </c:pt>
                <c:pt idx="253">
                  <c:v>499.19999985694898</c:v>
                </c:pt>
                <c:pt idx="254">
                  <c:v>499.69999985694898</c:v>
                </c:pt>
                <c:pt idx="255">
                  <c:v>499.99999985694899</c:v>
                </c:pt>
                <c:pt idx="256">
                  <c:v>514.99999985694899</c:v>
                </c:pt>
                <c:pt idx="257">
                  <c:v>529.99999985694899</c:v>
                </c:pt>
                <c:pt idx="258">
                  <c:v>546.49999985694899</c:v>
                </c:pt>
                <c:pt idx="259">
                  <c:v>546.49999985694899</c:v>
                </c:pt>
                <c:pt idx="260">
                  <c:v>547.49999985694899</c:v>
                </c:pt>
                <c:pt idx="261">
                  <c:v>547.79999985694894</c:v>
                </c:pt>
                <c:pt idx="262">
                  <c:v>550.5999998569489</c:v>
                </c:pt>
                <c:pt idx="263">
                  <c:v>568.89999985694885</c:v>
                </c:pt>
                <c:pt idx="264">
                  <c:v>579.29999985694883</c:v>
                </c:pt>
                <c:pt idx="265">
                  <c:v>581.79999985694883</c:v>
                </c:pt>
                <c:pt idx="266">
                  <c:v>581.79999985694883</c:v>
                </c:pt>
                <c:pt idx="267">
                  <c:v>582.09999985694878</c:v>
                </c:pt>
                <c:pt idx="268">
                  <c:v>582.09999985694878</c:v>
                </c:pt>
                <c:pt idx="269">
                  <c:v>582.09999985694878</c:v>
                </c:pt>
                <c:pt idx="270">
                  <c:v>582.09999985694878</c:v>
                </c:pt>
                <c:pt idx="271">
                  <c:v>582.09999985694878</c:v>
                </c:pt>
                <c:pt idx="272">
                  <c:v>583.39999985694874</c:v>
                </c:pt>
                <c:pt idx="273">
                  <c:v>586.39999985694874</c:v>
                </c:pt>
                <c:pt idx="274">
                  <c:v>586.39999985694874</c:v>
                </c:pt>
                <c:pt idx="275">
                  <c:v>586.69999985694869</c:v>
                </c:pt>
                <c:pt idx="276">
                  <c:v>587.69999985694869</c:v>
                </c:pt>
                <c:pt idx="277">
                  <c:v>602.39999985694874</c:v>
                </c:pt>
                <c:pt idx="278">
                  <c:v>602.89999985694874</c:v>
                </c:pt>
                <c:pt idx="279">
                  <c:v>603.89999985694874</c:v>
                </c:pt>
                <c:pt idx="280">
                  <c:v>603.89999985694874</c:v>
                </c:pt>
                <c:pt idx="281">
                  <c:v>603.89999985694874</c:v>
                </c:pt>
                <c:pt idx="282">
                  <c:v>604.19999985694869</c:v>
                </c:pt>
                <c:pt idx="283">
                  <c:v>604.19999985694869</c:v>
                </c:pt>
                <c:pt idx="284">
                  <c:v>623.99999985694865</c:v>
                </c:pt>
                <c:pt idx="285">
                  <c:v>623.99999985694865</c:v>
                </c:pt>
                <c:pt idx="286">
                  <c:v>624.2999998569486</c:v>
                </c:pt>
                <c:pt idx="287">
                  <c:v>631.39999985694863</c:v>
                </c:pt>
                <c:pt idx="288">
                  <c:v>631.69999985694858</c:v>
                </c:pt>
                <c:pt idx="289">
                  <c:v>635.2999998569486</c:v>
                </c:pt>
                <c:pt idx="290">
                  <c:v>635.59999985694856</c:v>
                </c:pt>
                <c:pt idx="291">
                  <c:v>636.89999985694851</c:v>
                </c:pt>
                <c:pt idx="292">
                  <c:v>637.19999985694847</c:v>
                </c:pt>
                <c:pt idx="293">
                  <c:v>637.49999985694842</c:v>
                </c:pt>
                <c:pt idx="294">
                  <c:v>637.49999985694842</c:v>
                </c:pt>
                <c:pt idx="295">
                  <c:v>637.79999985694838</c:v>
                </c:pt>
                <c:pt idx="296">
                  <c:v>638.59999985694833</c:v>
                </c:pt>
                <c:pt idx="297">
                  <c:v>641.39999985694828</c:v>
                </c:pt>
                <c:pt idx="298">
                  <c:v>643.39999985694828</c:v>
                </c:pt>
                <c:pt idx="299">
                  <c:v>643.69999985694824</c:v>
                </c:pt>
                <c:pt idx="300">
                  <c:v>652.09999985694822</c:v>
                </c:pt>
                <c:pt idx="301">
                  <c:v>681.09999985694822</c:v>
                </c:pt>
                <c:pt idx="302">
                  <c:v>681.09999985694822</c:v>
                </c:pt>
                <c:pt idx="303">
                  <c:v>681.09999985694822</c:v>
                </c:pt>
                <c:pt idx="304">
                  <c:v>681.09999985694822</c:v>
                </c:pt>
                <c:pt idx="305">
                  <c:v>681.39999985694817</c:v>
                </c:pt>
                <c:pt idx="306">
                  <c:v>681.39999985694817</c:v>
                </c:pt>
                <c:pt idx="307">
                  <c:v>682.39999985694817</c:v>
                </c:pt>
                <c:pt idx="308">
                  <c:v>682.39999985694817</c:v>
                </c:pt>
                <c:pt idx="309">
                  <c:v>682.89999985694817</c:v>
                </c:pt>
                <c:pt idx="310">
                  <c:v>682.89999985694817</c:v>
                </c:pt>
                <c:pt idx="311">
                  <c:v>682.89999985694817</c:v>
                </c:pt>
                <c:pt idx="312">
                  <c:v>689.04999985694815</c:v>
                </c:pt>
                <c:pt idx="313">
                  <c:v>689.04999985694815</c:v>
                </c:pt>
                <c:pt idx="314">
                  <c:v>689.04999985694815</c:v>
                </c:pt>
                <c:pt idx="315">
                  <c:v>689.04999985694815</c:v>
                </c:pt>
                <c:pt idx="316">
                  <c:v>689.04999985694815</c:v>
                </c:pt>
                <c:pt idx="317">
                  <c:v>689.04999985694815</c:v>
                </c:pt>
                <c:pt idx="318">
                  <c:v>689.04999985694815</c:v>
                </c:pt>
                <c:pt idx="319">
                  <c:v>689.04999985694815</c:v>
                </c:pt>
                <c:pt idx="320">
                  <c:v>689.04999985694815</c:v>
                </c:pt>
                <c:pt idx="321">
                  <c:v>722.04999985694815</c:v>
                </c:pt>
                <c:pt idx="322">
                  <c:v>722.04999985694815</c:v>
                </c:pt>
                <c:pt idx="323">
                  <c:v>723.54999985694815</c:v>
                </c:pt>
                <c:pt idx="324">
                  <c:v>729.54999985694815</c:v>
                </c:pt>
                <c:pt idx="325">
                  <c:v>729.54999985694815</c:v>
                </c:pt>
                <c:pt idx="326">
                  <c:v>729.54999985694815</c:v>
                </c:pt>
                <c:pt idx="327">
                  <c:v>729.54999985694815</c:v>
                </c:pt>
                <c:pt idx="328">
                  <c:v>731.04999985694815</c:v>
                </c:pt>
                <c:pt idx="329">
                  <c:v>738.54999985694815</c:v>
                </c:pt>
                <c:pt idx="330">
                  <c:v>743.04999985694815</c:v>
                </c:pt>
                <c:pt idx="331">
                  <c:v>767.04999985694815</c:v>
                </c:pt>
                <c:pt idx="332">
                  <c:v>783.54999985694815</c:v>
                </c:pt>
                <c:pt idx="333">
                  <c:v>783.54999985694815</c:v>
                </c:pt>
                <c:pt idx="334">
                  <c:v>789.54999985694815</c:v>
                </c:pt>
                <c:pt idx="335">
                  <c:v>794.04999985694815</c:v>
                </c:pt>
                <c:pt idx="336">
                  <c:v>794.04999985694815</c:v>
                </c:pt>
                <c:pt idx="337">
                  <c:v>795.54999985694815</c:v>
                </c:pt>
                <c:pt idx="338">
                  <c:v>797.04999985694815</c:v>
                </c:pt>
                <c:pt idx="339">
                  <c:v>810.54999985694815</c:v>
                </c:pt>
                <c:pt idx="340">
                  <c:v>812.19999985694812</c:v>
                </c:pt>
                <c:pt idx="341">
                  <c:v>813.69999985694812</c:v>
                </c:pt>
                <c:pt idx="342">
                  <c:v>827.19999985694812</c:v>
                </c:pt>
                <c:pt idx="343">
                  <c:v>828.69999985694812</c:v>
                </c:pt>
                <c:pt idx="344">
                  <c:v>831.69999985694812</c:v>
                </c:pt>
                <c:pt idx="345">
                  <c:v>833.19999985694812</c:v>
                </c:pt>
                <c:pt idx="346">
                  <c:v>842.19999985694812</c:v>
                </c:pt>
                <c:pt idx="347">
                  <c:v>843.69999985694812</c:v>
                </c:pt>
                <c:pt idx="348">
                  <c:v>849.69999985694812</c:v>
                </c:pt>
                <c:pt idx="349">
                  <c:v>857.19999985694812</c:v>
                </c:pt>
                <c:pt idx="350">
                  <c:v>857.19999985694812</c:v>
                </c:pt>
                <c:pt idx="351">
                  <c:v>857.19999985694812</c:v>
                </c:pt>
                <c:pt idx="352">
                  <c:v>857.19999985694812</c:v>
                </c:pt>
                <c:pt idx="353">
                  <c:v>869.19999985694812</c:v>
                </c:pt>
                <c:pt idx="354">
                  <c:v>885.69999985694812</c:v>
                </c:pt>
                <c:pt idx="355">
                  <c:v>891.69999985694812</c:v>
                </c:pt>
                <c:pt idx="356">
                  <c:v>894.69999985694812</c:v>
                </c:pt>
                <c:pt idx="357">
                  <c:v>908.19999985694812</c:v>
                </c:pt>
                <c:pt idx="358">
                  <c:v>914.19999985694812</c:v>
                </c:pt>
                <c:pt idx="359">
                  <c:v>917.19999985694812</c:v>
                </c:pt>
                <c:pt idx="360">
                  <c:v>917.19999985694812</c:v>
                </c:pt>
                <c:pt idx="361">
                  <c:v>918.69999985694812</c:v>
                </c:pt>
                <c:pt idx="362">
                  <c:v>920.19999985694812</c:v>
                </c:pt>
                <c:pt idx="363">
                  <c:v>930.69999985694812</c:v>
                </c:pt>
                <c:pt idx="364">
                  <c:v>936.69999985694812</c:v>
                </c:pt>
                <c:pt idx="365">
                  <c:v>936.69999985694812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08640"/>
        <c:axId val="151840256"/>
      </c:lineChart>
      <c:catAx>
        <c:axId val="151808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1840256"/>
        <c:crosses val="autoZero"/>
        <c:auto val="1"/>
        <c:lblAlgn val="ctr"/>
        <c:lblOffset val="100"/>
        <c:tickMarkSkip val="15"/>
        <c:noMultiLvlLbl val="0"/>
      </c:catAx>
      <c:valAx>
        <c:axId val="151840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1808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PPTest!$R$7:$R$372</c:f>
              <c:numCache>
                <c:formatCode>0</c:formatCode>
                <c:ptCount val="366"/>
                <c:pt idx="0">
                  <c:v>188.76</c:v>
                </c:pt>
                <c:pt idx="1">
                  <c:v>198.20999999999998</c:v>
                </c:pt>
                <c:pt idx="2">
                  <c:v>198.20999999999998</c:v>
                </c:pt>
                <c:pt idx="3">
                  <c:v>198.20999999999998</c:v>
                </c:pt>
                <c:pt idx="4">
                  <c:v>199.78499999999997</c:v>
                </c:pt>
                <c:pt idx="5">
                  <c:v>207.65999999999997</c:v>
                </c:pt>
                <c:pt idx="6">
                  <c:v>207.65999999999997</c:v>
                </c:pt>
                <c:pt idx="7">
                  <c:v>207.65999999999997</c:v>
                </c:pt>
                <c:pt idx="8">
                  <c:v>207.65999999999997</c:v>
                </c:pt>
                <c:pt idx="9">
                  <c:v>207.65999999999997</c:v>
                </c:pt>
                <c:pt idx="10">
                  <c:v>207.65999999999994</c:v>
                </c:pt>
                <c:pt idx="11">
                  <c:v>207.65999999999994</c:v>
                </c:pt>
                <c:pt idx="12">
                  <c:v>207.65999999999997</c:v>
                </c:pt>
                <c:pt idx="13">
                  <c:v>207.65999999999997</c:v>
                </c:pt>
                <c:pt idx="14">
                  <c:v>209.23499999999999</c:v>
                </c:pt>
                <c:pt idx="15">
                  <c:v>209.23499999999999</c:v>
                </c:pt>
                <c:pt idx="16">
                  <c:v>209.23499999999999</c:v>
                </c:pt>
                <c:pt idx="17">
                  <c:v>209.23499999999996</c:v>
                </c:pt>
                <c:pt idx="18">
                  <c:v>209.23499999999996</c:v>
                </c:pt>
                <c:pt idx="19">
                  <c:v>209.23499999999996</c:v>
                </c:pt>
                <c:pt idx="20">
                  <c:v>210.80999999999995</c:v>
                </c:pt>
                <c:pt idx="21">
                  <c:v>212.38499999999991</c:v>
                </c:pt>
                <c:pt idx="22">
                  <c:v>218.68499999999992</c:v>
                </c:pt>
                <c:pt idx="23">
                  <c:v>218.68499999999992</c:v>
                </c:pt>
                <c:pt idx="24">
                  <c:v>221.83499999999992</c:v>
                </c:pt>
                <c:pt idx="25">
                  <c:v>223.40999999999991</c:v>
                </c:pt>
                <c:pt idx="26">
                  <c:v>223.40999999999991</c:v>
                </c:pt>
                <c:pt idx="27">
                  <c:v>226.55999999999992</c:v>
                </c:pt>
                <c:pt idx="28">
                  <c:v>226.55999999999989</c:v>
                </c:pt>
                <c:pt idx="29">
                  <c:v>226.55999999999989</c:v>
                </c:pt>
                <c:pt idx="30">
                  <c:v>226.55999999999992</c:v>
                </c:pt>
                <c:pt idx="31">
                  <c:v>226.55999999999992</c:v>
                </c:pt>
                <c:pt idx="32">
                  <c:v>226.55999999999989</c:v>
                </c:pt>
                <c:pt idx="33">
                  <c:v>226.55999999999989</c:v>
                </c:pt>
                <c:pt idx="34">
                  <c:v>232.8599999999999</c:v>
                </c:pt>
                <c:pt idx="35">
                  <c:v>236.00999999999991</c:v>
                </c:pt>
                <c:pt idx="36">
                  <c:v>240.7349999999999</c:v>
                </c:pt>
                <c:pt idx="37">
                  <c:v>245.45999999999989</c:v>
                </c:pt>
                <c:pt idx="38">
                  <c:v>259.63499999999988</c:v>
                </c:pt>
                <c:pt idx="39">
                  <c:v>259.63499999999988</c:v>
                </c:pt>
                <c:pt idx="40">
                  <c:v>259.63499999999988</c:v>
                </c:pt>
                <c:pt idx="41">
                  <c:v>259.63499999999988</c:v>
                </c:pt>
                <c:pt idx="42">
                  <c:v>259.63499999999988</c:v>
                </c:pt>
                <c:pt idx="43">
                  <c:v>259.63499999999988</c:v>
                </c:pt>
                <c:pt idx="44">
                  <c:v>259.63499999999988</c:v>
                </c:pt>
                <c:pt idx="45">
                  <c:v>259.63499999999988</c:v>
                </c:pt>
                <c:pt idx="46">
                  <c:v>259.63499999999988</c:v>
                </c:pt>
                <c:pt idx="47">
                  <c:v>262.93499999999989</c:v>
                </c:pt>
                <c:pt idx="48">
                  <c:v>264.83499999999987</c:v>
                </c:pt>
                <c:pt idx="49">
                  <c:v>269.03499999999985</c:v>
                </c:pt>
                <c:pt idx="50">
                  <c:v>271.23499999999984</c:v>
                </c:pt>
                <c:pt idx="51">
                  <c:v>276.83499999999987</c:v>
                </c:pt>
                <c:pt idx="52">
                  <c:v>277.93499999999989</c:v>
                </c:pt>
                <c:pt idx="53">
                  <c:v>279.83499999999987</c:v>
                </c:pt>
                <c:pt idx="54">
                  <c:v>279.83499999999987</c:v>
                </c:pt>
                <c:pt idx="55">
                  <c:v>279.83499999999987</c:v>
                </c:pt>
                <c:pt idx="56">
                  <c:v>280.23499999999984</c:v>
                </c:pt>
                <c:pt idx="57">
                  <c:v>280.53499999999985</c:v>
                </c:pt>
                <c:pt idx="58">
                  <c:v>280.53499999999985</c:v>
                </c:pt>
                <c:pt idx="59">
                  <c:v>280.53499999999985</c:v>
                </c:pt>
                <c:pt idx="60">
                  <c:v>280.53499999999985</c:v>
                </c:pt>
                <c:pt idx="61">
                  <c:v>280.53499999999985</c:v>
                </c:pt>
                <c:pt idx="62">
                  <c:v>284.13499999999988</c:v>
                </c:pt>
                <c:pt idx="63">
                  <c:v>284.13499999999988</c:v>
                </c:pt>
                <c:pt idx="64">
                  <c:v>285.33499999999987</c:v>
                </c:pt>
                <c:pt idx="65">
                  <c:v>285.63499999999988</c:v>
                </c:pt>
                <c:pt idx="66">
                  <c:v>287.93499999999989</c:v>
                </c:pt>
                <c:pt idx="67">
                  <c:v>289.53499999999991</c:v>
                </c:pt>
                <c:pt idx="68">
                  <c:v>294.33499999999992</c:v>
                </c:pt>
                <c:pt idx="69">
                  <c:v>296.53499999999991</c:v>
                </c:pt>
                <c:pt idx="70">
                  <c:v>297.53499999999991</c:v>
                </c:pt>
                <c:pt idx="71">
                  <c:v>298.2349999999999</c:v>
                </c:pt>
                <c:pt idx="72">
                  <c:v>298.2349999999999</c:v>
                </c:pt>
                <c:pt idx="73">
                  <c:v>298.2349999999999</c:v>
                </c:pt>
                <c:pt idx="74">
                  <c:v>302.63499999999988</c:v>
                </c:pt>
                <c:pt idx="75">
                  <c:v>306.2349999999999</c:v>
                </c:pt>
                <c:pt idx="76">
                  <c:v>307.2349999999999</c:v>
                </c:pt>
                <c:pt idx="77">
                  <c:v>307.2349999999999</c:v>
                </c:pt>
                <c:pt idx="78">
                  <c:v>307.2349999999999</c:v>
                </c:pt>
                <c:pt idx="79">
                  <c:v>307.2349999999999</c:v>
                </c:pt>
                <c:pt idx="80">
                  <c:v>307.2349999999999</c:v>
                </c:pt>
                <c:pt idx="81">
                  <c:v>308.53499999999991</c:v>
                </c:pt>
                <c:pt idx="82">
                  <c:v>306</c:v>
                </c:pt>
                <c:pt idx="83">
                  <c:v>306.2</c:v>
                </c:pt>
                <c:pt idx="84">
                  <c:v>298</c:v>
                </c:pt>
                <c:pt idx="85">
                  <c:v>289.2</c:v>
                </c:pt>
                <c:pt idx="86">
                  <c:v>280.40000000000003</c:v>
                </c:pt>
                <c:pt idx="87">
                  <c:v>271.60000000000002</c:v>
                </c:pt>
                <c:pt idx="88">
                  <c:v>273</c:v>
                </c:pt>
                <c:pt idx="89">
                  <c:v>274.2</c:v>
                </c:pt>
                <c:pt idx="90">
                  <c:v>275.59999999999997</c:v>
                </c:pt>
                <c:pt idx="91">
                  <c:v>279.09999999999997</c:v>
                </c:pt>
                <c:pt idx="92">
                  <c:v>280.79999999999995</c:v>
                </c:pt>
                <c:pt idx="93">
                  <c:v>280.79999999999995</c:v>
                </c:pt>
                <c:pt idx="94">
                  <c:v>280.79999999999995</c:v>
                </c:pt>
                <c:pt idx="95">
                  <c:v>273.60000000000002</c:v>
                </c:pt>
                <c:pt idx="96">
                  <c:v>278.60000000000002</c:v>
                </c:pt>
                <c:pt idx="97">
                  <c:v>281.60000000000002</c:v>
                </c:pt>
                <c:pt idx="98">
                  <c:v>281.60000000000002</c:v>
                </c:pt>
                <c:pt idx="99">
                  <c:v>280.40000000000003</c:v>
                </c:pt>
                <c:pt idx="100">
                  <c:v>271.60000000000002</c:v>
                </c:pt>
                <c:pt idx="101">
                  <c:v>277.70000000000005</c:v>
                </c:pt>
                <c:pt idx="102">
                  <c:v>281.30000000000007</c:v>
                </c:pt>
                <c:pt idx="103">
                  <c:v>281.30000000000007</c:v>
                </c:pt>
                <c:pt idx="104">
                  <c:v>281.30000000000007</c:v>
                </c:pt>
                <c:pt idx="105">
                  <c:v>288.00000000000006</c:v>
                </c:pt>
                <c:pt idx="106">
                  <c:v>288.00000000000006</c:v>
                </c:pt>
                <c:pt idx="107">
                  <c:v>288.40000000000003</c:v>
                </c:pt>
                <c:pt idx="108">
                  <c:v>292.8</c:v>
                </c:pt>
                <c:pt idx="109">
                  <c:v>292.90000000000003</c:v>
                </c:pt>
                <c:pt idx="110">
                  <c:v>292.90000000000003</c:v>
                </c:pt>
                <c:pt idx="111">
                  <c:v>292.90000000000003</c:v>
                </c:pt>
                <c:pt idx="112">
                  <c:v>293.60000000000002</c:v>
                </c:pt>
                <c:pt idx="113">
                  <c:v>295.70000000000005</c:v>
                </c:pt>
                <c:pt idx="114">
                  <c:v>297.80000000000007</c:v>
                </c:pt>
                <c:pt idx="115">
                  <c:v>299.00000000000006</c:v>
                </c:pt>
                <c:pt idx="116">
                  <c:v>299.00000000000006</c:v>
                </c:pt>
                <c:pt idx="117">
                  <c:v>294.40000000000003</c:v>
                </c:pt>
                <c:pt idx="118">
                  <c:v>285.60000000000002</c:v>
                </c:pt>
                <c:pt idx="119">
                  <c:v>276.8</c:v>
                </c:pt>
                <c:pt idx="120">
                  <c:v>268</c:v>
                </c:pt>
                <c:pt idx="121">
                  <c:v>270.3</c:v>
                </c:pt>
                <c:pt idx="122">
                  <c:v>270.40000000000003</c:v>
                </c:pt>
                <c:pt idx="123">
                  <c:v>266.8</c:v>
                </c:pt>
                <c:pt idx="124">
                  <c:v>269.2</c:v>
                </c:pt>
                <c:pt idx="125">
                  <c:v>270.89999999999998</c:v>
                </c:pt>
                <c:pt idx="126">
                  <c:v>271.2</c:v>
                </c:pt>
                <c:pt idx="127">
                  <c:v>283.5</c:v>
                </c:pt>
                <c:pt idx="128">
                  <c:v>295.8</c:v>
                </c:pt>
                <c:pt idx="129">
                  <c:v>295.8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58304"/>
        <c:axId val="230163584"/>
      </c:lineChart>
      <c:catAx>
        <c:axId val="229858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0163584"/>
        <c:crosses val="autoZero"/>
        <c:auto val="1"/>
        <c:lblAlgn val="ctr"/>
        <c:lblOffset val="100"/>
        <c:tickMarkSkip val="18"/>
        <c:noMultiLvlLbl val="0"/>
      </c:catAx>
      <c:valAx>
        <c:axId val="230163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29858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PPTest!$T$7:$T$372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2.5</c:v>
                </c:pt>
                <c:pt idx="83">
                  <c:v>0</c:v>
                </c:pt>
                <c:pt idx="84">
                  <c:v>8.1999999999999993</c:v>
                </c:pt>
                <c:pt idx="85">
                  <c:v>8.8000000000000007</c:v>
                </c:pt>
                <c:pt idx="86">
                  <c:v>8.8000000000000007</c:v>
                </c:pt>
                <c:pt idx="87">
                  <c:v>8.8000000000000007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7.2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1.2</c:v>
                </c:pt>
                <c:pt idx="100">
                  <c:v>8.8000000000000007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4.5999999999999996</c:v>
                </c:pt>
                <c:pt idx="118">
                  <c:v>8.8000000000000007</c:v>
                </c:pt>
                <c:pt idx="119">
                  <c:v>8.8000000000000007</c:v>
                </c:pt>
                <c:pt idx="120">
                  <c:v>8.8000000000000007</c:v>
                </c:pt>
                <c:pt idx="121">
                  <c:v>0</c:v>
                </c:pt>
                <c:pt idx="122">
                  <c:v>0</c:v>
                </c:pt>
                <c:pt idx="123">
                  <c:v>3.6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523264"/>
        <c:axId val="234701568"/>
      </c:barChart>
      <c:catAx>
        <c:axId val="234523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4701568"/>
        <c:crosses val="autoZero"/>
        <c:auto val="1"/>
        <c:lblAlgn val="ctr"/>
        <c:lblOffset val="100"/>
        <c:tickMarkSkip val="18"/>
        <c:noMultiLvlLbl val="0"/>
      </c:catAx>
      <c:valAx>
        <c:axId val="234701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34523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PPTest!$Q$7:$Q$372</c:f>
              <c:numCache>
                <c:formatCode>0.000</c:formatCode>
                <c:ptCount val="366"/>
                <c:pt idx="0">
                  <c:v>0.22578947368421051</c:v>
                </c:pt>
                <c:pt idx="1">
                  <c:v>0.21805280528052803</c:v>
                </c:pt>
                <c:pt idx="2">
                  <c:v>0.22346110484780154</c:v>
                </c:pt>
                <c:pt idx="3">
                  <c:v>0.22914450867052022</c:v>
                </c:pt>
                <c:pt idx="4">
                  <c:v>0.2278050171037628</c:v>
                </c:pt>
                <c:pt idx="5">
                  <c:v>0.22138592750533045</c:v>
                </c:pt>
                <c:pt idx="6">
                  <c:v>0.22670305676855892</c:v>
                </c:pt>
                <c:pt idx="7">
                  <c:v>0.23228187919463084</c:v>
                </c:pt>
                <c:pt idx="8">
                  <c:v>0.23814220183486234</c:v>
                </c:pt>
                <c:pt idx="9">
                  <c:v>0.24430588235294115</c:v>
                </c:pt>
                <c:pt idx="10">
                  <c:v>0.25079710144927531</c:v>
                </c:pt>
                <c:pt idx="11">
                  <c:v>0.25764267990074435</c:v>
                </c:pt>
                <c:pt idx="12">
                  <c:v>0.26487244897959178</c:v>
                </c:pt>
                <c:pt idx="13">
                  <c:v>0.27251968503937002</c:v>
                </c:pt>
                <c:pt idx="14">
                  <c:v>0.27032945736434105</c:v>
                </c:pt>
                <c:pt idx="15">
                  <c:v>0.2782380319148936</c:v>
                </c:pt>
                <c:pt idx="16">
                  <c:v>0.28662328767123285</c:v>
                </c:pt>
                <c:pt idx="17">
                  <c:v>0.29552966101694911</c:v>
                </c:pt>
                <c:pt idx="18">
                  <c:v>0.30500728862973753</c:v>
                </c:pt>
                <c:pt idx="19">
                  <c:v>0.31511295180722887</c:v>
                </c:pt>
                <c:pt idx="20">
                  <c:v>0.31184911242603541</c:v>
                </c:pt>
                <c:pt idx="21">
                  <c:v>0.30869912790697662</c:v>
                </c:pt>
                <c:pt idx="22">
                  <c:v>0.29712635869565207</c:v>
                </c:pt>
                <c:pt idx="23">
                  <c:v>0.30628151260504188</c:v>
                </c:pt>
                <c:pt idx="24">
                  <c:v>0.30058943089430884</c:v>
                </c:pt>
                <c:pt idx="25">
                  <c:v>0.29787999999999987</c:v>
                </c:pt>
                <c:pt idx="26">
                  <c:v>0.30688186813186802</c:v>
                </c:pt>
                <c:pt idx="27">
                  <c:v>0.30127659574468074</c:v>
                </c:pt>
                <c:pt idx="28">
                  <c:v>0.31035616438356151</c:v>
                </c:pt>
                <c:pt idx="29">
                  <c:v>0.31999999999999984</c:v>
                </c:pt>
                <c:pt idx="30">
                  <c:v>0.3302623906705538</c:v>
                </c:pt>
                <c:pt idx="31">
                  <c:v>0.34120481927710833</c:v>
                </c:pt>
                <c:pt idx="32">
                  <c:v>0.35289719626168209</c:v>
                </c:pt>
                <c:pt idx="33">
                  <c:v>0.36541935483870952</c:v>
                </c:pt>
                <c:pt idx="34">
                  <c:v>0.34859281437125733</c:v>
                </c:pt>
                <c:pt idx="35">
                  <c:v>0.34105491329479753</c:v>
                </c:pt>
                <c:pt idx="36">
                  <c:v>0.33067994505494491</c:v>
                </c:pt>
                <c:pt idx="37">
                  <c:v>0.32128272251308887</c:v>
                </c:pt>
                <c:pt idx="38">
                  <c:v>0.29740549828178681</c:v>
                </c:pt>
                <c:pt idx="39">
                  <c:v>0.30509400705052864</c:v>
                </c:pt>
                <c:pt idx="40">
                  <c:v>0.31319059107358249</c:v>
                </c:pt>
                <c:pt idx="41">
                  <c:v>0.32172862453531581</c:v>
                </c:pt>
                <c:pt idx="42">
                  <c:v>0.33074522292993613</c:v>
                </c:pt>
                <c:pt idx="43">
                  <c:v>0.34028178243774559</c:v>
                </c:pt>
                <c:pt idx="44">
                  <c:v>0.35038461538461524</c:v>
                </c:pt>
                <c:pt idx="45">
                  <c:v>0.36110570236439482</c:v>
                </c:pt>
                <c:pt idx="46">
                  <c:v>0.37250358680057372</c:v>
                </c:pt>
                <c:pt idx="47">
                  <c:v>0.36417590027700814</c:v>
                </c:pt>
                <c:pt idx="48">
                  <c:v>0.35934192672998627</c:v>
                </c:pt>
                <c:pt idx="49">
                  <c:v>0.34985045513654078</c:v>
                </c:pt>
                <c:pt idx="50">
                  <c:v>0.34508269720101759</c:v>
                </c:pt>
                <c:pt idx="51">
                  <c:v>0.33393848009650162</c:v>
                </c:pt>
                <c:pt idx="52">
                  <c:v>0.33206093189964142</c:v>
                </c:pt>
                <c:pt idx="53">
                  <c:v>0.328444835680751</c:v>
                </c:pt>
                <c:pt idx="54">
                  <c:v>0.3371506024096384</c:v>
                </c:pt>
                <c:pt idx="55">
                  <c:v>0.34633044554455428</c:v>
                </c:pt>
                <c:pt idx="56">
                  <c:v>0.34554254007398255</c:v>
                </c:pt>
                <c:pt idx="57">
                  <c:v>0.34506150061500596</c:v>
                </c:pt>
                <c:pt idx="58">
                  <c:v>0.35465865992414647</c:v>
                </c:pt>
                <c:pt idx="59">
                  <c:v>0.36480494148244452</c:v>
                </c:pt>
                <c:pt idx="60">
                  <c:v>0.375548862115127</c:v>
                </c:pt>
                <c:pt idx="61">
                  <c:v>0.38694482758620669</c:v>
                </c:pt>
                <c:pt idx="62">
                  <c:v>0.37733731739707821</c:v>
                </c:pt>
                <c:pt idx="63">
                  <c:v>0.38869357045143621</c:v>
                </c:pt>
                <c:pt idx="64">
                  <c:v>0.38558783783783768</c:v>
                </c:pt>
                <c:pt idx="65">
                  <c:v>0.3849528301886791</c:v>
                </c:pt>
                <c:pt idx="66">
                  <c:v>0.37886184210526302</c:v>
                </c:pt>
                <c:pt idx="67">
                  <c:v>0.37504533678756463</c:v>
                </c:pt>
                <c:pt idx="68">
                  <c:v>0.36382571075401721</c:v>
                </c:pt>
                <c:pt idx="69">
                  <c:v>0.3590012106537529</c:v>
                </c:pt>
                <c:pt idx="70">
                  <c:v>0.3567565947242205</c:v>
                </c:pt>
                <c:pt idx="71">
                  <c:v>0.3554648390941596</c:v>
                </c:pt>
                <c:pt idx="72">
                  <c:v>0.36503671970624224</c:v>
                </c:pt>
                <c:pt idx="73">
                  <c:v>0.37513836477987411</c:v>
                </c:pt>
                <c:pt idx="74">
                  <c:v>0.36506031363088043</c:v>
                </c:pt>
                <c:pt idx="75">
                  <c:v>0.35733372228704774</c:v>
                </c:pt>
                <c:pt idx="76">
                  <c:v>0.3551849710982658</c:v>
                </c:pt>
                <c:pt idx="77">
                  <c:v>0.36445432977461434</c:v>
                </c:pt>
                <c:pt idx="78">
                  <c:v>0.37422046285018257</c:v>
                </c:pt>
                <c:pt idx="79">
                  <c:v>0.38452440550688349</c:v>
                </c:pt>
                <c:pt idx="80">
                  <c:v>0.3954118404118403</c:v>
                </c:pt>
                <c:pt idx="81">
                  <c:v>0.39203939008894523</c:v>
                </c:pt>
                <c:pt idx="82">
                  <c:v>0.4</c:v>
                </c:pt>
                <c:pt idx="83">
                  <c:v>0.39921773142112121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0.39565217391304347</c:v>
                </c:pt>
                <c:pt idx="89">
                  <c:v>0.39227467811158795</c:v>
                </c:pt>
                <c:pt idx="90">
                  <c:v>0.38816901408450699</c:v>
                </c:pt>
                <c:pt idx="91">
                  <c:v>0.37869742198100403</c:v>
                </c:pt>
                <c:pt idx="92">
                  <c:v>0.37439999999999996</c:v>
                </c:pt>
                <c:pt idx="93">
                  <c:v>0.38571428571428568</c:v>
                </c:pt>
                <c:pt idx="94">
                  <c:v>0.39773371104815858</c:v>
                </c:pt>
                <c:pt idx="95">
                  <c:v>0.4</c:v>
                </c:pt>
                <c:pt idx="96">
                  <c:v>0.38587257617728538</c:v>
                </c:pt>
                <c:pt idx="97">
                  <c:v>0.37798657718120809</c:v>
                </c:pt>
                <c:pt idx="98">
                  <c:v>0.38948824343015215</c:v>
                </c:pt>
                <c:pt idx="99">
                  <c:v>0.4</c:v>
                </c:pt>
                <c:pt idx="100">
                  <c:v>0.4</c:v>
                </c:pt>
                <c:pt idx="101">
                  <c:v>0.38250688705234165</c:v>
                </c:pt>
                <c:pt idx="102">
                  <c:v>0.37307692307692319</c:v>
                </c:pt>
                <c:pt idx="103">
                  <c:v>0.38428961748633889</c:v>
                </c:pt>
                <c:pt idx="104">
                  <c:v>0.39619718309859164</c:v>
                </c:pt>
                <c:pt idx="105">
                  <c:v>0.37795275590551186</c:v>
                </c:pt>
                <c:pt idx="106">
                  <c:v>0.38918918918918927</c:v>
                </c:pt>
                <c:pt idx="107">
                  <c:v>0.38815612382234188</c:v>
                </c:pt>
                <c:pt idx="108">
                  <c:v>0.37683397683397685</c:v>
                </c:pt>
                <c:pt idx="109">
                  <c:v>0.37647814910025712</c:v>
                </c:pt>
                <c:pt idx="110">
                  <c:v>0.38743386243386246</c:v>
                </c:pt>
                <c:pt idx="111">
                  <c:v>0.39904632152588559</c:v>
                </c:pt>
                <c:pt idx="112">
                  <c:v>0.39729364005412721</c:v>
                </c:pt>
                <c:pt idx="113">
                  <c:v>0.39165562913907292</c:v>
                </c:pt>
                <c:pt idx="114">
                  <c:v>0.3862516212710766</c:v>
                </c:pt>
                <c:pt idx="115">
                  <c:v>0.38333333333333341</c:v>
                </c:pt>
                <c:pt idx="116">
                  <c:v>0.39445910290237474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0.39287790697674418</c:v>
                </c:pt>
                <c:pt idx="122">
                  <c:v>0.39245283018867927</c:v>
                </c:pt>
                <c:pt idx="123">
                  <c:v>0.4</c:v>
                </c:pt>
                <c:pt idx="124">
                  <c:v>0.39299270072992698</c:v>
                </c:pt>
                <c:pt idx="125">
                  <c:v>0.38810888252148995</c:v>
                </c:pt>
                <c:pt idx="126">
                  <c:v>0.3874285714285714</c:v>
                </c:pt>
                <c:pt idx="127">
                  <c:v>0.35660377358490564</c:v>
                </c:pt>
                <c:pt idx="128">
                  <c:v>0.33235955056179778</c:v>
                </c:pt>
                <c:pt idx="129">
                  <c:v>0.34078341013824887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88448"/>
        <c:axId val="237455616"/>
      </c:lineChart>
      <c:catAx>
        <c:axId val="2372884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7455616"/>
        <c:crosses val="autoZero"/>
        <c:auto val="1"/>
        <c:lblAlgn val="ctr"/>
        <c:lblOffset val="100"/>
        <c:tickMarkSkip val="18"/>
        <c:noMultiLvlLbl val="0"/>
      </c:catAx>
      <c:valAx>
        <c:axId val="237455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7288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133836395450569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Data!$DD$172:$DD$251</c:f>
              <c:numCache>
                <c:formatCode>General</c:formatCode>
                <c:ptCount val="80"/>
                <c:pt idx="0">
                  <c:v>13</c:v>
                </c:pt>
                <c:pt idx="1">
                  <c:v>11.4</c:v>
                </c:pt>
                <c:pt idx="2">
                  <c:v>10.5</c:v>
                </c:pt>
                <c:pt idx="3">
                  <c:v>6.5</c:v>
                </c:pt>
                <c:pt idx="4">
                  <c:v>5</c:v>
                </c:pt>
                <c:pt idx="5">
                  <c:v>7</c:v>
                </c:pt>
                <c:pt idx="6">
                  <c:v>10.199999999999999</c:v>
                </c:pt>
                <c:pt idx="7">
                  <c:v>10.9</c:v>
                </c:pt>
                <c:pt idx="8">
                  <c:v>9.4</c:v>
                </c:pt>
                <c:pt idx="9">
                  <c:v>8.6</c:v>
                </c:pt>
                <c:pt idx="10">
                  <c:v>8.6</c:v>
                </c:pt>
                <c:pt idx="11">
                  <c:v>9.4</c:v>
                </c:pt>
                <c:pt idx="12">
                  <c:v>12</c:v>
                </c:pt>
                <c:pt idx="13">
                  <c:v>12.1</c:v>
                </c:pt>
                <c:pt idx="14">
                  <c:v>10.7</c:v>
                </c:pt>
                <c:pt idx="15">
                  <c:v>11.2</c:v>
                </c:pt>
                <c:pt idx="16">
                  <c:v>13.2</c:v>
                </c:pt>
                <c:pt idx="17">
                  <c:v>15.7</c:v>
                </c:pt>
                <c:pt idx="18">
                  <c:v>16.5</c:v>
                </c:pt>
                <c:pt idx="19">
                  <c:v>16.100000000000001</c:v>
                </c:pt>
                <c:pt idx="20">
                  <c:v>12.3</c:v>
                </c:pt>
                <c:pt idx="21">
                  <c:v>9.3000000000000007</c:v>
                </c:pt>
                <c:pt idx="22">
                  <c:v>13.4</c:v>
                </c:pt>
                <c:pt idx="23">
                  <c:v>17.399999999999999</c:v>
                </c:pt>
                <c:pt idx="24">
                  <c:v>21.1</c:v>
                </c:pt>
                <c:pt idx="25">
                  <c:v>16.7</c:v>
                </c:pt>
                <c:pt idx="26">
                  <c:v>12.8</c:v>
                </c:pt>
                <c:pt idx="27">
                  <c:v>15</c:v>
                </c:pt>
                <c:pt idx="28">
                  <c:v>18.8</c:v>
                </c:pt>
                <c:pt idx="29">
                  <c:v>19.8</c:v>
                </c:pt>
                <c:pt idx="30">
                  <c:v>21.4</c:v>
                </c:pt>
                <c:pt idx="31">
                  <c:v>21.3</c:v>
                </c:pt>
                <c:pt idx="32">
                  <c:v>15.4</c:v>
                </c:pt>
                <c:pt idx="33">
                  <c:v>10.4</c:v>
                </c:pt>
                <c:pt idx="34">
                  <c:v>6.8</c:v>
                </c:pt>
                <c:pt idx="35">
                  <c:v>7.2</c:v>
                </c:pt>
                <c:pt idx="36">
                  <c:v>9.5</c:v>
                </c:pt>
                <c:pt idx="37">
                  <c:v>13</c:v>
                </c:pt>
                <c:pt idx="38">
                  <c:v>17.399999999999999</c:v>
                </c:pt>
                <c:pt idx="39">
                  <c:v>19.100000000000001</c:v>
                </c:pt>
                <c:pt idx="40">
                  <c:v>20.399999999999999</c:v>
                </c:pt>
                <c:pt idx="41">
                  <c:v>19.100000000000001</c:v>
                </c:pt>
                <c:pt idx="42">
                  <c:v>19.8</c:v>
                </c:pt>
                <c:pt idx="43">
                  <c:v>21.7</c:v>
                </c:pt>
                <c:pt idx="44">
                  <c:v>23.9</c:v>
                </c:pt>
                <c:pt idx="45">
                  <c:v>20.399999999999999</c:v>
                </c:pt>
                <c:pt idx="46">
                  <c:v>19.7</c:v>
                </c:pt>
                <c:pt idx="47">
                  <c:v>15.7</c:v>
                </c:pt>
                <c:pt idx="48">
                  <c:v>17.3</c:v>
                </c:pt>
                <c:pt idx="49">
                  <c:v>10.3</c:v>
                </c:pt>
                <c:pt idx="50">
                  <c:v>9.6</c:v>
                </c:pt>
                <c:pt idx="51">
                  <c:v>7.2</c:v>
                </c:pt>
                <c:pt idx="52">
                  <c:v>7.7</c:v>
                </c:pt>
                <c:pt idx="53">
                  <c:v>12.1</c:v>
                </c:pt>
                <c:pt idx="54">
                  <c:v>15.9</c:v>
                </c:pt>
                <c:pt idx="55">
                  <c:v>19.5</c:v>
                </c:pt>
                <c:pt idx="56">
                  <c:v>19.899999999999999</c:v>
                </c:pt>
                <c:pt idx="57">
                  <c:v>21.4</c:v>
                </c:pt>
                <c:pt idx="58">
                  <c:v>18.3</c:v>
                </c:pt>
                <c:pt idx="59">
                  <c:v>14</c:v>
                </c:pt>
                <c:pt idx="60">
                  <c:v>18.899999999999999</c:v>
                </c:pt>
                <c:pt idx="61">
                  <c:v>20.8</c:v>
                </c:pt>
                <c:pt idx="62">
                  <c:v>18.600000000000001</c:v>
                </c:pt>
                <c:pt idx="63">
                  <c:v>13.8</c:v>
                </c:pt>
                <c:pt idx="64">
                  <c:v>10.3</c:v>
                </c:pt>
                <c:pt idx="65">
                  <c:v>9.6999999999999993</c:v>
                </c:pt>
                <c:pt idx="66">
                  <c:v>9.1999999999999993</c:v>
                </c:pt>
                <c:pt idx="67">
                  <c:v>9.5</c:v>
                </c:pt>
                <c:pt idx="68">
                  <c:v>11.2</c:v>
                </c:pt>
                <c:pt idx="69">
                  <c:v>15.3</c:v>
                </c:pt>
                <c:pt idx="70">
                  <c:v>20.2</c:v>
                </c:pt>
                <c:pt idx="71">
                  <c:v>21.1</c:v>
                </c:pt>
                <c:pt idx="72">
                  <c:v>21.6</c:v>
                </c:pt>
                <c:pt idx="73">
                  <c:v>22.6</c:v>
                </c:pt>
                <c:pt idx="74">
                  <c:v>23.8</c:v>
                </c:pt>
                <c:pt idx="75">
                  <c:v>21.5</c:v>
                </c:pt>
                <c:pt idx="76">
                  <c:v>20.5</c:v>
                </c:pt>
                <c:pt idx="77">
                  <c:v>16.5</c:v>
                </c:pt>
                <c:pt idx="78">
                  <c:v>9.3000000000000007</c:v>
                </c:pt>
                <c:pt idx="79">
                  <c:v>9.4</c:v>
                </c:pt>
              </c:numCache>
            </c:numRef>
          </c:xVal>
          <c:yVal>
            <c:numRef>
              <c:f>Data!$G$172:$G$251</c:f>
              <c:numCache>
                <c:formatCode>General</c:formatCode>
                <c:ptCount val="80"/>
                <c:pt idx="0">
                  <c:v>8.7200000000000006</c:v>
                </c:pt>
                <c:pt idx="1">
                  <c:v>7.65</c:v>
                </c:pt>
                <c:pt idx="2">
                  <c:v>7.52</c:v>
                </c:pt>
                <c:pt idx="3">
                  <c:v>4.2640000000000002</c:v>
                </c:pt>
                <c:pt idx="4">
                  <c:v>1.8009999999999999</c:v>
                </c:pt>
                <c:pt idx="5">
                  <c:v>3.9409999999999998</c:v>
                </c:pt>
                <c:pt idx="6">
                  <c:v>7.16</c:v>
                </c:pt>
                <c:pt idx="7">
                  <c:v>7.83</c:v>
                </c:pt>
                <c:pt idx="8">
                  <c:v>6.9980000000000002</c:v>
                </c:pt>
                <c:pt idx="9">
                  <c:v>6.8869999999999996</c:v>
                </c:pt>
                <c:pt idx="10">
                  <c:v>6.3079999999999998</c:v>
                </c:pt>
                <c:pt idx="11">
                  <c:v>7.02</c:v>
                </c:pt>
                <c:pt idx="12">
                  <c:v>7.91</c:v>
                </c:pt>
                <c:pt idx="13">
                  <c:v>8.3800000000000008</c:v>
                </c:pt>
                <c:pt idx="14">
                  <c:v>7.75</c:v>
                </c:pt>
                <c:pt idx="15">
                  <c:v>8.52</c:v>
                </c:pt>
                <c:pt idx="16">
                  <c:v>10.1</c:v>
                </c:pt>
                <c:pt idx="17">
                  <c:v>11.55</c:v>
                </c:pt>
                <c:pt idx="18">
                  <c:v>13.57</c:v>
                </c:pt>
                <c:pt idx="19">
                  <c:v>13.6</c:v>
                </c:pt>
                <c:pt idx="20">
                  <c:v>9.2200000000000006</c:v>
                </c:pt>
                <c:pt idx="21">
                  <c:v>6.5</c:v>
                </c:pt>
                <c:pt idx="22">
                  <c:v>9.16</c:v>
                </c:pt>
                <c:pt idx="23">
                  <c:v>12.27</c:v>
                </c:pt>
                <c:pt idx="24">
                  <c:v>16.27</c:v>
                </c:pt>
                <c:pt idx="25">
                  <c:v>13.61</c:v>
                </c:pt>
                <c:pt idx="26">
                  <c:v>8.9499999999999993</c:v>
                </c:pt>
                <c:pt idx="27">
                  <c:v>10.37</c:v>
                </c:pt>
                <c:pt idx="28">
                  <c:v>14.03</c:v>
                </c:pt>
                <c:pt idx="29">
                  <c:v>15.09</c:v>
                </c:pt>
                <c:pt idx="30">
                  <c:v>15.87</c:v>
                </c:pt>
                <c:pt idx="31">
                  <c:v>16.89</c:v>
                </c:pt>
                <c:pt idx="32">
                  <c:v>12.24</c:v>
                </c:pt>
                <c:pt idx="33">
                  <c:v>9.7799999999999994</c:v>
                </c:pt>
                <c:pt idx="46">
                  <c:v>15.55</c:v>
                </c:pt>
                <c:pt idx="47">
                  <c:v>10.19</c:v>
                </c:pt>
                <c:pt idx="48">
                  <c:v>11.61</c:v>
                </c:pt>
                <c:pt idx="49">
                  <c:v>6.1040000000000001</c:v>
                </c:pt>
                <c:pt idx="50">
                  <c:v>6.6929999999999996</c:v>
                </c:pt>
                <c:pt idx="51">
                  <c:v>5.1820000000000004</c:v>
                </c:pt>
                <c:pt idx="52">
                  <c:v>4.9729999999999999</c:v>
                </c:pt>
                <c:pt idx="53">
                  <c:v>8.73</c:v>
                </c:pt>
                <c:pt idx="54">
                  <c:v>11.03</c:v>
                </c:pt>
                <c:pt idx="55">
                  <c:v>13.31</c:v>
                </c:pt>
                <c:pt idx="56">
                  <c:v>13.76</c:v>
                </c:pt>
                <c:pt idx="57">
                  <c:v>15.01</c:v>
                </c:pt>
                <c:pt idx="58">
                  <c:v>13.75</c:v>
                </c:pt>
                <c:pt idx="59">
                  <c:v>9.01</c:v>
                </c:pt>
                <c:pt idx="60">
                  <c:v>12.53</c:v>
                </c:pt>
                <c:pt idx="61">
                  <c:v>14.93</c:v>
                </c:pt>
                <c:pt idx="62">
                  <c:v>13.42</c:v>
                </c:pt>
                <c:pt idx="63">
                  <c:v>10.32</c:v>
                </c:pt>
                <c:pt idx="64">
                  <c:v>6.3310000000000004</c:v>
                </c:pt>
                <c:pt idx="65">
                  <c:v>5.1829999999999998</c:v>
                </c:pt>
                <c:pt idx="66">
                  <c:v>6.6870000000000003</c:v>
                </c:pt>
                <c:pt idx="67">
                  <c:v>6.3890000000000002</c:v>
                </c:pt>
                <c:pt idx="68">
                  <c:v>6.1970000000000001</c:v>
                </c:pt>
                <c:pt idx="69">
                  <c:v>9.49</c:v>
                </c:pt>
                <c:pt idx="70">
                  <c:v>13.18</c:v>
                </c:pt>
                <c:pt idx="71">
                  <c:v>13.72</c:v>
                </c:pt>
                <c:pt idx="72">
                  <c:v>14</c:v>
                </c:pt>
                <c:pt idx="73">
                  <c:v>15.33</c:v>
                </c:pt>
                <c:pt idx="74">
                  <c:v>16.670000000000002</c:v>
                </c:pt>
                <c:pt idx="75">
                  <c:v>15.76</c:v>
                </c:pt>
                <c:pt idx="76">
                  <c:v>15</c:v>
                </c:pt>
                <c:pt idx="77">
                  <c:v>12.45</c:v>
                </c:pt>
                <c:pt idx="78">
                  <c:v>5.6760000000000002</c:v>
                </c:pt>
                <c:pt idx="79">
                  <c:v>5.8319999999999999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84800"/>
        <c:axId val="251087104"/>
      </c:scatterChart>
      <c:valAx>
        <c:axId val="25108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1087104"/>
        <c:crosses val="autoZero"/>
        <c:crossBetween val="midCat"/>
      </c:valAx>
      <c:valAx>
        <c:axId val="251087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108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133836395450569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Data!$DE$172:$DE$251</c:f>
              <c:numCache>
                <c:formatCode>General</c:formatCode>
                <c:ptCount val="80"/>
                <c:pt idx="0">
                  <c:v>18.100000000000001</c:v>
                </c:pt>
                <c:pt idx="1">
                  <c:v>16.3</c:v>
                </c:pt>
                <c:pt idx="2">
                  <c:v>15.7</c:v>
                </c:pt>
                <c:pt idx="3">
                  <c:v>9.6999999999999993</c:v>
                </c:pt>
                <c:pt idx="4">
                  <c:v>6.8</c:v>
                </c:pt>
                <c:pt idx="5">
                  <c:v>13</c:v>
                </c:pt>
                <c:pt idx="6">
                  <c:v>15.7</c:v>
                </c:pt>
                <c:pt idx="7">
                  <c:v>16</c:v>
                </c:pt>
                <c:pt idx="8">
                  <c:v>12.2</c:v>
                </c:pt>
                <c:pt idx="9">
                  <c:v>11.7</c:v>
                </c:pt>
                <c:pt idx="10">
                  <c:v>11</c:v>
                </c:pt>
                <c:pt idx="11">
                  <c:v>13.8</c:v>
                </c:pt>
                <c:pt idx="12">
                  <c:v>16.8</c:v>
                </c:pt>
                <c:pt idx="13">
                  <c:v>17.100000000000001</c:v>
                </c:pt>
                <c:pt idx="14">
                  <c:v>14.8</c:v>
                </c:pt>
                <c:pt idx="15">
                  <c:v>15.8</c:v>
                </c:pt>
                <c:pt idx="16">
                  <c:v>17.8</c:v>
                </c:pt>
                <c:pt idx="17">
                  <c:v>20.9</c:v>
                </c:pt>
                <c:pt idx="18">
                  <c:v>22.1</c:v>
                </c:pt>
                <c:pt idx="19">
                  <c:v>22.5</c:v>
                </c:pt>
                <c:pt idx="20">
                  <c:v>16.3</c:v>
                </c:pt>
                <c:pt idx="21">
                  <c:v>14.8</c:v>
                </c:pt>
                <c:pt idx="22">
                  <c:v>19</c:v>
                </c:pt>
                <c:pt idx="23">
                  <c:v>23.5</c:v>
                </c:pt>
                <c:pt idx="24">
                  <c:v>27.3</c:v>
                </c:pt>
                <c:pt idx="25">
                  <c:v>20</c:v>
                </c:pt>
                <c:pt idx="26">
                  <c:v>16.8</c:v>
                </c:pt>
                <c:pt idx="27">
                  <c:v>21.1</c:v>
                </c:pt>
                <c:pt idx="28">
                  <c:v>24.7</c:v>
                </c:pt>
                <c:pt idx="29">
                  <c:v>25.4</c:v>
                </c:pt>
                <c:pt idx="30">
                  <c:v>26.7</c:v>
                </c:pt>
                <c:pt idx="31">
                  <c:v>26.8</c:v>
                </c:pt>
                <c:pt idx="32">
                  <c:v>19.600000000000001</c:v>
                </c:pt>
                <c:pt idx="33">
                  <c:v>15.8</c:v>
                </c:pt>
                <c:pt idx="34">
                  <c:v>11.8</c:v>
                </c:pt>
                <c:pt idx="35">
                  <c:v>10.199999999999999</c:v>
                </c:pt>
                <c:pt idx="36">
                  <c:v>12.6</c:v>
                </c:pt>
                <c:pt idx="37">
                  <c:v>18.7</c:v>
                </c:pt>
                <c:pt idx="38">
                  <c:v>24.2</c:v>
                </c:pt>
                <c:pt idx="39">
                  <c:v>24.9</c:v>
                </c:pt>
                <c:pt idx="40">
                  <c:v>26.3</c:v>
                </c:pt>
                <c:pt idx="41">
                  <c:v>24.3</c:v>
                </c:pt>
                <c:pt idx="42">
                  <c:v>25.6</c:v>
                </c:pt>
                <c:pt idx="43">
                  <c:v>27.5</c:v>
                </c:pt>
                <c:pt idx="44">
                  <c:v>29.5</c:v>
                </c:pt>
                <c:pt idx="45">
                  <c:v>23.6</c:v>
                </c:pt>
                <c:pt idx="46">
                  <c:v>25.7</c:v>
                </c:pt>
                <c:pt idx="47">
                  <c:v>20.5</c:v>
                </c:pt>
                <c:pt idx="48">
                  <c:v>23.5</c:v>
                </c:pt>
                <c:pt idx="49">
                  <c:v>14.2</c:v>
                </c:pt>
                <c:pt idx="50">
                  <c:v>13.6</c:v>
                </c:pt>
                <c:pt idx="51">
                  <c:v>9.6999999999999993</c:v>
                </c:pt>
                <c:pt idx="52">
                  <c:v>9.5</c:v>
                </c:pt>
                <c:pt idx="53">
                  <c:v>17.600000000000001</c:v>
                </c:pt>
                <c:pt idx="54">
                  <c:v>22.4</c:v>
                </c:pt>
                <c:pt idx="55">
                  <c:v>25.6</c:v>
                </c:pt>
                <c:pt idx="56">
                  <c:v>24.7</c:v>
                </c:pt>
                <c:pt idx="57">
                  <c:v>27.2</c:v>
                </c:pt>
                <c:pt idx="58">
                  <c:v>24.7</c:v>
                </c:pt>
                <c:pt idx="59">
                  <c:v>20.6</c:v>
                </c:pt>
                <c:pt idx="60">
                  <c:v>26.4</c:v>
                </c:pt>
                <c:pt idx="61">
                  <c:v>25.7</c:v>
                </c:pt>
                <c:pt idx="62">
                  <c:v>26.5</c:v>
                </c:pt>
                <c:pt idx="63">
                  <c:v>16.600000000000001</c:v>
                </c:pt>
                <c:pt idx="64">
                  <c:v>14.9</c:v>
                </c:pt>
                <c:pt idx="65">
                  <c:v>15.5</c:v>
                </c:pt>
                <c:pt idx="66">
                  <c:v>10.8</c:v>
                </c:pt>
                <c:pt idx="67">
                  <c:v>13.9</c:v>
                </c:pt>
                <c:pt idx="68">
                  <c:v>15.4</c:v>
                </c:pt>
                <c:pt idx="69">
                  <c:v>21.6</c:v>
                </c:pt>
                <c:pt idx="70">
                  <c:v>26.1</c:v>
                </c:pt>
                <c:pt idx="71">
                  <c:v>27.4</c:v>
                </c:pt>
                <c:pt idx="72">
                  <c:v>28.5</c:v>
                </c:pt>
                <c:pt idx="73">
                  <c:v>30.1</c:v>
                </c:pt>
                <c:pt idx="74">
                  <c:v>30.1</c:v>
                </c:pt>
                <c:pt idx="75">
                  <c:v>25.7</c:v>
                </c:pt>
                <c:pt idx="76">
                  <c:v>25.5</c:v>
                </c:pt>
                <c:pt idx="77">
                  <c:v>24.9</c:v>
                </c:pt>
                <c:pt idx="78">
                  <c:v>11.3</c:v>
                </c:pt>
                <c:pt idx="79">
                  <c:v>12.8</c:v>
                </c:pt>
              </c:numCache>
            </c:numRef>
          </c:xVal>
          <c:yVal>
            <c:numRef>
              <c:f>Data!$R$172:$R$251</c:f>
              <c:numCache>
                <c:formatCode>General</c:formatCode>
                <c:ptCount val="80"/>
                <c:pt idx="0">
                  <c:v>16.77</c:v>
                </c:pt>
                <c:pt idx="1">
                  <c:v>15.55</c:v>
                </c:pt>
                <c:pt idx="2">
                  <c:v>13.16</c:v>
                </c:pt>
                <c:pt idx="3">
                  <c:v>7.77</c:v>
                </c:pt>
                <c:pt idx="4">
                  <c:v>4.5209999999999999</c:v>
                </c:pt>
                <c:pt idx="5">
                  <c:v>10.27</c:v>
                </c:pt>
                <c:pt idx="6">
                  <c:v>14.42</c:v>
                </c:pt>
                <c:pt idx="7">
                  <c:v>13.73</c:v>
                </c:pt>
                <c:pt idx="8">
                  <c:v>11.81</c:v>
                </c:pt>
                <c:pt idx="9">
                  <c:v>11.31</c:v>
                </c:pt>
                <c:pt idx="10">
                  <c:v>9.23</c:v>
                </c:pt>
                <c:pt idx="11">
                  <c:v>11.65</c:v>
                </c:pt>
                <c:pt idx="12">
                  <c:v>14.45</c:v>
                </c:pt>
                <c:pt idx="13">
                  <c:v>14.99</c:v>
                </c:pt>
                <c:pt idx="14">
                  <c:v>12.79</c:v>
                </c:pt>
                <c:pt idx="15">
                  <c:v>14.1</c:v>
                </c:pt>
                <c:pt idx="16">
                  <c:v>17.25</c:v>
                </c:pt>
                <c:pt idx="17">
                  <c:v>19.12</c:v>
                </c:pt>
                <c:pt idx="18">
                  <c:v>21.77</c:v>
                </c:pt>
                <c:pt idx="19">
                  <c:v>20.100000000000001</c:v>
                </c:pt>
                <c:pt idx="20">
                  <c:v>13.82</c:v>
                </c:pt>
                <c:pt idx="21">
                  <c:v>11.69</c:v>
                </c:pt>
                <c:pt idx="22">
                  <c:v>15.92</c:v>
                </c:pt>
                <c:pt idx="23">
                  <c:v>21.14</c:v>
                </c:pt>
                <c:pt idx="24">
                  <c:v>24.73</c:v>
                </c:pt>
                <c:pt idx="25">
                  <c:v>17.78</c:v>
                </c:pt>
                <c:pt idx="26">
                  <c:v>14.48</c:v>
                </c:pt>
                <c:pt idx="27">
                  <c:v>19.010000000000002</c:v>
                </c:pt>
                <c:pt idx="28">
                  <c:v>22.49</c:v>
                </c:pt>
                <c:pt idx="29">
                  <c:v>22.5</c:v>
                </c:pt>
                <c:pt idx="30">
                  <c:v>23.71</c:v>
                </c:pt>
                <c:pt idx="31">
                  <c:v>24.19</c:v>
                </c:pt>
                <c:pt idx="32">
                  <c:v>16.28</c:v>
                </c:pt>
                <c:pt idx="33">
                  <c:v>18.760000000000002</c:v>
                </c:pt>
                <c:pt idx="34">
                  <c:v>10</c:v>
                </c:pt>
                <c:pt idx="35">
                  <c:v>8.5</c:v>
                </c:pt>
                <c:pt idx="36">
                  <c:v>10.8</c:v>
                </c:pt>
                <c:pt idx="37">
                  <c:v>16.600000000000001</c:v>
                </c:pt>
                <c:pt idx="38">
                  <c:v>21.8</c:v>
                </c:pt>
                <c:pt idx="39">
                  <c:v>22.5</c:v>
                </c:pt>
                <c:pt idx="40">
                  <c:v>23.8</c:v>
                </c:pt>
                <c:pt idx="41">
                  <c:v>21.9</c:v>
                </c:pt>
                <c:pt idx="42">
                  <c:v>23.1</c:v>
                </c:pt>
                <c:pt idx="43">
                  <c:v>24.9</c:v>
                </c:pt>
                <c:pt idx="44">
                  <c:v>26.8</c:v>
                </c:pt>
                <c:pt idx="45">
                  <c:v>21.2</c:v>
                </c:pt>
                <c:pt idx="46">
                  <c:v>22.27</c:v>
                </c:pt>
                <c:pt idx="47">
                  <c:v>17.75</c:v>
                </c:pt>
                <c:pt idx="48">
                  <c:v>20.5</c:v>
                </c:pt>
                <c:pt idx="49">
                  <c:v>10.68</c:v>
                </c:pt>
                <c:pt idx="50">
                  <c:v>9.56</c:v>
                </c:pt>
                <c:pt idx="51">
                  <c:v>7.83</c:v>
                </c:pt>
                <c:pt idx="52">
                  <c:v>6.1619999999999999</c:v>
                </c:pt>
                <c:pt idx="53">
                  <c:v>15.67</c:v>
                </c:pt>
                <c:pt idx="54">
                  <c:v>19.75</c:v>
                </c:pt>
                <c:pt idx="55">
                  <c:v>23.18</c:v>
                </c:pt>
                <c:pt idx="56">
                  <c:v>22.43</c:v>
                </c:pt>
                <c:pt idx="57">
                  <c:v>25.01</c:v>
                </c:pt>
                <c:pt idx="58">
                  <c:v>23.44</c:v>
                </c:pt>
                <c:pt idx="59">
                  <c:v>17.760000000000002</c:v>
                </c:pt>
                <c:pt idx="60">
                  <c:v>22.83</c:v>
                </c:pt>
                <c:pt idx="61">
                  <c:v>23.55</c:v>
                </c:pt>
                <c:pt idx="62">
                  <c:v>21.56</c:v>
                </c:pt>
                <c:pt idx="63">
                  <c:v>14.2</c:v>
                </c:pt>
                <c:pt idx="64">
                  <c:v>12.27</c:v>
                </c:pt>
                <c:pt idx="65">
                  <c:v>12.88</c:v>
                </c:pt>
                <c:pt idx="66">
                  <c:v>11.67</c:v>
                </c:pt>
                <c:pt idx="67">
                  <c:v>11.87</c:v>
                </c:pt>
                <c:pt idx="68">
                  <c:v>13.79</c:v>
                </c:pt>
                <c:pt idx="69">
                  <c:v>19.899999999999999</c:v>
                </c:pt>
                <c:pt idx="70">
                  <c:v>23.61</c:v>
                </c:pt>
                <c:pt idx="71">
                  <c:v>24.88</c:v>
                </c:pt>
                <c:pt idx="72">
                  <c:v>25.97</c:v>
                </c:pt>
                <c:pt idx="73">
                  <c:v>26.98</c:v>
                </c:pt>
                <c:pt idx="74">
                  <c:v>27.84</c:v>
                </c:pt>
                <c:pt idx="75">
                  <c:v>22.35</c:v>
                </c:pt>
                <c:pt idx="76">
                  <c:v>23.46</c:v>
                </c:pt>
                <c:pt idx="77">
                  <c:v>23</c:v>
                </c:pt>
                <c:pt idx="78">
                  <c:v>8.4600000000000009</c:v>
                </c:pt>
                <c:pt idx="79">
                  <c:v>10.09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14848"/>
        <c:axId val="259285760"/>
      </c:scatterChart>
      <c:valAx>
        <c:axId val="25841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285760"/>
        <c:crosses val="autoZero"/>
        <c:crossBetween val="midCat"/>
      </c:valAx>
      <c:valAx>
        <c:axId val="259285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414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133836395450569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Data!$DF$172:$DF$251</c:f>
              <c:numCache>
                <c:formatCode>General</c:formatCode>
                <c:ptCount val="80"/>
                <c:pt idx="0">
                  <c:v>7.5</c:v>
                </c:pt>
                <c:pt idx="1">
                  <c:v>7.2</c:v>
                </c:pt>
                <c:pt idx="2">
                  <c:v>4.0999999999999996</c:v>
                </c:pt>
                <c:pt idx="3">
                  <c:v>3.7</c:v>
                </c:pt>
                <c:pt idx="4">
                  <c:v>3.1</c:v>
                </c:pt>
                <c:pt idx="5">
                  <c:v>4.4000000000000004</c:v>
                </c:pt>
                <c:pt idx="6">
                  <c:v>4.5999999999999996</c:v>
                </c:pt>
                <c:pt idx="7">
                  <c:v>6</c:v>
                </c:pt>
                <c:pt idx="8">
                  <c:v>6.6</c:v>
                </c:pt>
                <c:pt idx="9">
                  <c:v>6.6</c:v>
                </c:pt>
                <c:pt idx="10">
                  <c:v>6</c:v>
                </c:pt>
                <c:pt idx="11">
                  <c:v>7.4</c:v>
                </c:pt>
                <c:pt idx="12">
                  <c:v>6.7</c:v>
                </c:pt>
                <c:pt idx="13">
                  <c:v>8.5</c:v>
                </c:pt>
                <c:pt idx="14">
                  <c:v>7.6</c:v>
                </c:pt>
                <c:pt idx="15">
                  <c:v>4.2</c:v>
                </c:pt>
                <c:pt idx="16">
                  <c:v>8.4</c:v>
                </c:pt>
                <c:pt idx="17">
                  <c:v>9.6</c:v>
                </c:pt>
                <c:pt idx="18">
                  <c:v>11.9</c:v>
                </c:pt>
                <c:pt idx="19">
                  <c:v>10.7</c:v>
                </c:pt>
                <c:pt idx="20">
                  <c:v>7.3</c:v>
                </c:pt>
                <c:pt idx="21">
                  <c:v>4.2</c:v>
                </c:pt>
                <c:pt idx="22">
                  <c:v>6.6</c:v>
                </c:pt>
                <c:pt idx="23">
                  <c:v>10.6</c:v>
                </c:pt>
                <c:pt idx="24">
                  <c:v>13.9</c:v>
                </c:pt>
                <c:pt idx="25">
                  <c:v>9.1999999999999993</c:v>
                </c:pt>
                <c:pt idx="26">
                  <c:v>8.6</c:v>
                </c:pt>
                <c:pt idx="27">
                  <c:v>7.4</c:v>
                </c:pt>
                <c:pt idx="28">
                  <c:v>12.3</c:v>
                </c:pt>
                <c:pt idx="29">
                  <c:v>13.6</c:v>
                </c:pt>
                <c:pt idx="30">
                  <c:v>15.5</c:v>
                </c:pt>
                <c:pt idx="31">
                  <c:v>16.2</c:v>
                </c:pt>
                <c:pt idx="32">
                  <c:v>10</c:v>
                </c:pt>
                <c:pt idx="33">
                  <c:v>5.5</c:v>
                </c:pt>
                <c:pt idx="34">
                  <c:v>3.9</c:v>
                </c:pt>
                <c:pt idx="35">
                  <c:v>4.4000000000000004</c:v>
                </c:pt>
                <c:pt idx="36">
                  <c:v>6.8</c:v>
                </c:pt>
                <c:pt idx="37">
                  <c:v>8.4</c:v>
                </c:pt>
                <c:pt idx="38">
                  <c:v>9.6</c:v>
                </c:pt>
                <c:pt idx="39">
                  <c:v>13.6</c:v>
                </c:pt>
                <c:pt idx="40">
                  <c:v>14.3</c:v>
                </c:pt>
                <c:pt idx="41">
                  <c:v>14.1</c:v>
                </c:pt>
                <c:pt idx="42">
                  <c:v>13.2</c:v>
                </c:pt>
                <c:pt idx="43">
                  <c:v>14.2</c:v>
                </c:pt>
                <c:pt idx="44">
                  <c:v>17.600000000000001</c:v>
                </c:pt>
                <c:pt idx="45">
                  <c:v>16.899999999999999</c:v>
                </c:pt>
                <c:pt idx="46">
                  <c:v>13</c:v>
                </c:pt>
                <c:pt idx="47">
                  <c:v>9.6999999999999993</c:v>
                </c:pt>
                <c:pt idx="48">
                  <c:v>10.9</c:v>
                </c:pt>
                <c:pt idx="49">
                  <c:v>7.8</c:v>
                </c:pt>
                <c:pt idx="50">
                  <c:v>7.4</c:v>
                </c:pt>
                <c:pt idx="51">
                  <c:v>5.7</c:v>
                </c:pt>
                <c:pt idx="52">
                  <c:v>5.8</c:v>
                </c:pt>
                <c:pt idx="53">
                  <c:v>7.9</c:v>
                </c:pt>
                <c:pt idx="54">
                  <c:v>9.1999999999999993</c:v>
                </c:pt>
                <c:pt idx="55">
                  <c:v>12.6</c:v>
                </c:pt>
                <c:pt idx="56">
                  <c:v>14.8</c:v>
                </c:pt>
                <c:pt idx="57">
                  <c:v>14.7</c:v>
                </c:pt>
                <c:pt idx="58">
                  <c:v>8.8000000000000007</c:v>
                </c:pt>
                <c:pt idx="59">
                  <c:v>7.3</c:v>
                </c:pt>
                <c:pt idx="60">
                  <c:v>12</c:v>
                </c:pt>
                <c:pt idx="61">
                  <c:v>16.3</c:v>
                </c:pt>
                <c:pt idx="62">
                  <c:v>13</c:v>
                </c:pt>
                <c:pt idx="63">
                  <c:v>10.3</c:v>
                </c:pt>
                <c:pt idx="64">
                  <c:v>6.6</c:v>
                </c:pt>
                <c:pt idx="65">
                  <c:v>5.5</c:v>
                </c:pt>
                <c:pt idx="66">
                  <c:v>7.9</c:v>
                </c:pt>
                <c:pt idx="67">
                  <c:v>5.9</c:v>
                </c:pt>
                <c:pt idx="68">
                  <c:v>6.4</c:v>
                </c:pt>
                <c:pt idx="69">
                  <c:v>8.1999999999999993</c:v>
                </c:pt>
                <c:pt idx="70">
                  <c:v>13.9</c:v>
                </c:pt>
                <c:pt idx="71">
                  <c:v>14.6</c:v>
                </c:pt>
                <c:pt idx="72">
                  <c:v>16</c:v>
                </c:pt>
                <c:pt idx="73">
                  <c:v>16.399999999999999</c:v>
                </c:pt>
                <c:pt idx="74">
                  <c:v>19.2</c:v>
                </c:pt>
                <c:pt idx="75">
                  <c:v>17.3</c:v>
                </c:pt>
                <c:pt idx="76">
                  <c:v>15.9</c:v>
                </c:pt>
                <c:pt idx="77">
                  <c:v>10.4</c:v>
                </c:pt>
                <c:pt idx="78">
                  <c:v>6.8</c:v>
                </c:pt>
                <c:pt idx="79">
                  <c:v>6.3</c:v>
                </c:pt>
              </c:numCache>
            </c:numRef>
          </c:xVal>
          <c:yVal>
            <c:numRef>
              <c:f>Data!$AF$172:$AF$251</c:f>
              <c:numCache>
                <c:formatCode>General</c:formatCode>
                <c:ptCount val="80"/>
                <c:pt idx="0">
                  <c:v>-1.6839999999999999</c:v>
                </c:pt>
                <c:pt idx="1">
                  <c:v>-0.92700000000000005</c:v>
                </c:pt>
                <c:pt idx="2">
                  <c:v>-2.202</c:v>
                </c:pt>
                <c:pt idx="3">
                  <c:v>1.909</c:v>
                </c:pt>
                <c:pt idx="4">
                  <c:v>0.65600000000000003</c:v>
                </c:pt>
                <c:pt idx="5">
                  <c:v>-0.86099999999999999</c:v>
                </c:pt>
                <c:pt idx="6">
                  <c:v>-1.8580000000000001</c:v>
                </c:pt>
                <c:pt idx="7">
                  <c:v>-1.3640000000000001</c:v>
                </c:pt>
                <c:pt idx="8">
                  <c:v>2.5760000000000001</c:v>
                </c:pt>
                <c:pt idx="9">
                  <c:v>4.84</c:v>
                </c:pt>
                <c:pt idx="10">
                  <c:v>2.859</c:v>
                </c:pt>
                <c:pt idx="11">
                  <c:v>3.99</c:v>
                </c:pt>
                <c:pt idx="12">
                  <c:v>2.093</c:v>
                </c:pt>
                <c:pt idx="13">
                  <c:v>0.54800000000000004</c:v>
                </c:pt>
                <c:pt idx="14">
                  <c:v>4.0940000000000003</c:v>
                </c:pt>
                <c:pt idx="15">
                  <c:v>0.32200000000000001</c:v>
                </c:pt>
                <c:pt idx="16">
                  <c:v>0.91</c:v>
                </c:pt>
                <c:pt idx="17">
                  <c:v>3.8740000000000001</c:v>
                </c:pt>
                <c:pt idx="18">
                  <c:v>3.609</c:v>
                </c:pt>
                <c:pt idx="19">
                  <c:v>5.7039999999999997</c:v>
                </c:pt>
                <c:pt idx="20">
                  <c:v>5.37</c:v>
                </c:pt>
                <c:pt idx="21">
                  <c:v>1.129</c:v>
                </c:pt>
                <c:pt idx="22">
                  <c:v>1.3839999999999999</c:v>
                </c:pt>
                <c:pt idx="23">
                  <c:v>0.69899999999999995</c:v>
                </c:pt>
                <c:pt idx="24">
                  <c:v>3.5990000000000002</c:v>
                </c:pt>
                <c:pt idx="25">
                  <c:v>4.7510000000000003</c:v>
                </c:pt>
                <c:pt idx="26">
                  <c:v>1.613</c:v>
                </c:pt>
                <c:pt idx="27">
                  <c:v>-0.20799999999999999</c:v>
                </c:pt>
                <c:pt idx="28">
                  <c:v>2.3839999999999999</c:v>
                </c:pt>
                <c:pt idx="29">
                  <c:v>5.0999999999999996</c:v>
                </c:pt>
                <c:pt idx="30">
                  <c:v>4.3479999999999999</c:v>
                </c:pt>
                <c:pt idx="31">
                  <c:v>6.3019999999999996</c:v>
                </c:pt>
                <c:pt idx="32">
                  <c:v>7.69</c:v>
                </c:pt>
                <c:pt idx="33">
                  <c:v>3.327</c:v>
                </c:pt>
                <c:pt idx="34">
                  <c:v>-0.6</c:v>
                </c:pt>
                <c:pt idx="35">
                  <c:v>-0.3</c:v>
                </c:pt>
                <c:pt idx="36">
                  <c:v>1.6</c:v>
                </c:pt>
                <c:pt idx="37">
                  <c:v>2.8</c:v>
                </c:pt>
                <c:pt idx="38">
                  <c:v>3.7</c:v>
                </c:pt>
                <c:pt idx="39">
                  <c:v>6.7</c:v>
                </c:pt>
                <c:pt idx="40">
                  <c:v>7.3</c:v>
                </c:pt>
                <c:pt idx="41">
                  <c:v>7.1</c:v>
                </c:pt>
                <c:pt idx="42">
                  <c:v>6.4</c:v>
                </c:pt>
                <c:pt idx="43">
                  <c:v>7.2</c:v>
                </c:pt>
                <c:pt idx="44">
                  <c:v>9.8000000000000007</c:v>
                </c:pt>
                <c:pt idx="45">
                  <c:v>9.1999999999999993</c:v>
                </c:pt>
                <c:pt idx="46">
                  <c:v>5.7119999999999997</c:v>
                </c:pt>
                <c:pt idx="47">
                  <c:v>2.0230000000000001</c:v>
                </c:pt>
                <c:pt idx="48">
                  <c:v>0.89</c:v>
                </c:pt>
                <c:pt idx="49">
                  <c:v>2.0459999999999998</c:v>
                </c:pt>
                <c:pt idx="50">
                  <c:v>5.3449999999999998</c:v>
                </c:pt>
                <c:pt idx="51">
                  <c:v>3.4830000000000001</c:v>
                </c:pt>
                <c:pt idx="52">
                  <c:v>3.5449999999999999</c:v>
                </c:pt>
                <c:pt idx="53">
                  <c:v>4.149</c:v>
                </c:pt>
                <c:pt idx="54">
                  <c:v>2.4260000000000002</c:v>
                </c:pt>
                <c:pt idx="55">
                  <c:v>3.198</c:v>
                </c:pt>
                <c:pt idx="56">
                  <c:v>3.9329999999999998</c:v>
                </c:pt>
                <c:pt idx="57">
                  <c:v>3.9790000000000001</c:v>
                </c:pt>
                <c:pt idx="58">
                  <c:v>4.2169999999999996</c:v>
                </c:pt>
                <c:pt idx="59">
                  <c:v>2.1999999999999999E-2</c:v>
                </c:pt>
                <c:pt idx="60">
                  <c:v>1.167</c:v>
                </c:pt>
                <c:pt idx="61">
                  <c:v>5.931</c:v>
                </c:pt>
                <c:pt idx="62">
                  <c:v>2.9630000000000001</c:v>
                </c:pt>
                <c:pt idx="63">
                  <c:v>2.5179999999999998</c:v>
                </c:pt>
                <c:pt idx="64">
                  <c:v>0.33200000000000002</c:v>
                </c:pt>
                <c:pt idx="65">
                  <c:v>-1.242</c:v>
                </c:pt>
                <c:pt idx="66">
                  <c:v>3.2679999999999998</c:v>
                </c:pt>
                <c:pt idx="67">
                  <c:v>-0.24099999999999999</c:v>
                </c:pt>
                <c:pt idx="68">
                  <c:v>-1.7829999999999999</c:v>
                </c:pt>
                <c:pt idx="69">
                  <c:v>-0.76200000000000001</c:v>
                </c:pt>
                <c:pt idx="70">
                  <c:v>3.9239999999999999</c:v>
                </c:pt>
                <c:pt idx="71">
                  <c:v>3.2490000000000001</c:v>
                </c:pt>
                <c:pt idx="72">
                  <c:v>3.419</c:v>
                </c:pt>
                <c:pt idx="73">
                  <c:v>4.4749999999999996</c:v>
                </c:pt>
                <c:pt idx="74">
                  <c:v>6.8339999999999996</c:v>
                </c:pt>
                <c:pt idx="75">
                  <c:v>7.98</c:v>
                </c:pt>
                <c:pt idx="76">
                  <c:v>7.89</c:v>
                </c:pt>
                <c:pt idx="77">
                  <c:v>4.5030000000000001</c:v>
                </c:pt>
                <c:pt idx="78">
                  <c:v>2.7029999999999998</c:v>
                </c:pt>
                <c:pt idx="79">
                  <c:v>1.2430000000000001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91840"/>
        <c:axId val="156694016"/>
      </c:scatterChart>
      <c:valAx>
        <c:axId val="15669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94016"/>
        <c:crosses val="autoZero"/>
        <c:crossBetween val="midCat"/>
      </c:valAx>
      <c:valAx>
        <c:axId val="156694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91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133836395450569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Data!$DH$172:$DH$251</c:f>
              <c:numCache>
                <c:formatCode>General</c:formatCode>
                <c:ptCount val="80"/>
                <c:pt idx="0">
                  <c:v>37</c:v>
                </c:pt>
                <c:pt idx="1">
                  <c:v>47</c:v>
                </c:pt>
                <c:pt idx="2">
                  <c:v>39</c:v>
                </c:pt>
                <c:pt idx="3">
                  <c:v>48</c:v>
                </c:pt>
                <c:pt idx="4">
                  <c:v>86</c:v>
                </c:pt>
                <c:pt idx="5">
                  <c:v>65</c:v>
                </c:pt>
                <c:pt idx="6">
                  <c:v>49</c:v>
                </c:pt>
                <c:pt idx="7">
                  <c:v>56</c:v>
                </c:pt>
                <c:pt idx="8">
                  <c:v>83</c:v>
                </c:pt>
                <c:pt idx="9">
                  <c:v>93</c:v>
                </c:pt>
                <c:pt idx="10">
                  <c:v>89</c:v>
                </c:pt>
                <c:pt idx="11">
                  <c:v>73</c:v>
                </c:pt>
                <c:pt idx="12">
                  <c:v>53</c:v>
                </c:pt>
                <c:pt idx="13">
                  <c:v>54</c:v>
                </c:pt>
                <c:pt idx="14">
                  <c:v>52</c:v>
                </c:pt>
                <c:pt idx="15">
                  <c:v>43</c:v>
                </c:pt>
                <c:pt idx="16">
                  <c:v>42</c:v>
                </c:pt>
                <c:pt idx="17">
                  <c:v>43</c:v>
                </c:pt>
                <c:pt idx="18">
                  <c:v>51</c:v>
                </c:pt>
                <c:pt idx="19">
                  <c:v>48</c:v>
                </c:pt>
                <c:pt idx="20">
                  <c:v>29</c:v>
                </c:pt>
                <c:pt idx="21">
                  <c:v>53</c:v>
                </c:pt>
                <c:pt idx="22">
                  <c:v>36</c:v>
                </c:pt>
                <c:pt idx="23">
                  <c:v>32</c:v>
                </c:pt>
                <c:pt idx="24">
                  <c:v>24</c:v>
                </c:pt>
                <c:pt idx="25">
                  <c:v>38</c:v>
                </c:pt>
                <c:pt idx="26">
                  <c:v>47</c:v>
                </c:pt>
                <c:pt idx="27">
                  <c:v>40</c:v>
                </c:pt>
                <c:pt idx="28">
                  <c:v>32</c:v>
                </c:pt>
                <c:pt idx="29">
                  <c:v>28</c:v>
                </c:pt>
                <c:pt idx="30">
                  <c:v>33</c:v>
                </c:pt>
                <c:pt idx="31">
                  <c:v>33</c:v>
                </c:pt>
                <c:pt idx="32">
                  <c:v>45</c:v>
                </c:pt>
                <c:pt idx="33">
                  <c:v>61</c:v>
                </c:pt>
                <c:pt idx="34">
                  <c:v>64</c:v>
                </c:pt>
                <c:pt idx="35">
                  <c:v>75</c:v>
                </c:pt>
                <c:pt idx="36">
                  <c:v>77</c:v>
                </c:pt>
                <c:pt idx="37">
                  <c:v>57</c:v>
                </c:pt>
                <c:pt idx="38">
                  <c:v>40</c:v>
                </c:pt>
                <c:pt idx="39">
                  <c:v>36</c:v>
                </c:pt>
                <c:pt idx="40">
                  <c:v>31</c:v>
                </c:pt>
                <c:pt idx="41">
                  <c:v>39</c:v>
                </c:pt>
                <c:pt idx="42">
                  <c:v>27</c:v>
                </c:pt>
                <c:pt idx="43">
                  <c:v>21</c:v>
                </c:pt>
                <c:pt idx="44">
                  <c:v>22</c:v>
                </c:pt>
                <c:pt idx="45">
                  <c:v>38</c:v>
                </c:pt>
                <c:pt idx="46">
                  <c:v>12</c:v>
                </c:pt>
                <c:pt idx="47">
                  <c:v>30</c:v>
                </c:pt>
                <c:pt idx="48">
                  <c:v>17</c:v>
                </c:pt>
                <c:pt idx="49">
                  <c:v>41</c:v>
                </c:pt>
                <c:pt idx="50">
                  <c:v>77</c:v>
                </c:pt>
                <c:pt idx="51">
                  <c:v>96</c:v>
                </c:pt>
                <c:pt idx="52">
                  <c:v>90</c:v>
                </c:pt>
                <c:pt idx="53">
                  <c:v>63</c:v>
                </c:pt>
                <c:pt idx="54">
                  <c:v>42</c:v>
                </c:pt>
                <c:pt idx="55">
                  <c:v>26</c:v>
                </c:pt>
                <c:pt idx="56">
                  <c:v>34</c:v>
                </c:pt>
                <c:pt idx="57">
                  <c:v>32</c:v>
                </c:pt>
                <c:pt idx="58">
                  <c:v>35</c:v>
                </c:pt>
                <c:pt idx="59">
                  <c:v>42</c:v>
                </c:pt>
                <c:pt idx="60">
                  <c:v>31</c:v>
                </c:pt>
                <c:pt idx="61">
                  <c:v>34</c:v>
                </c:pt>
                <c:pt idx="62">
                  <c:v>14</c:v>
                </c:pt>
                <c:pt idx="63">
                  <c:v>49</c:v>
                </c:pt>
                <c:pt idx="64">
                  <c:v>55</c:v>
                </c:pt>
                <c:pt idx="65">
                  <c:v>61</c:v>
                </c:pt>
                <c:pt idx="66">
                  <c:v>75</c:v>
                </c:pt>
                <c:pt idx="67">
                  <c:v>63</c:v>
                </c:pt>
                <c:pt idx="68">
                  <c:v>56</c:v>
                </c:pt>
                <c:pt idx="69">
                  <c:v>36</c:v>
                </c:pt>
                <c:pt idx="70">
                  <c:v>20</c:v>
                </c:pt>
                <c:pt idx="71">
                  <c:v>20</c:v>
                </c:pt>
                <c:pt idx="72">
                  <c:v>19</c:v>
                </c:pt>
                <c:pt idx="73">
                  <c:v>19</c:v>
                </c:pt>
                <c:pt idx="74">
                  <c:v>21</c:v>
                </c:pt>
                <c:pt idx="75">
                  <c:v>34</c:v>
                </c:pt>
                <c:pt idx="76">
                  <c:v>37</c:v>
                </c:pt>
                <c:pt idx="77">
                  <c:v>39</c:v>
                </c:pt>
                <c:pt idx="78">
                  <c:v>76</c:v>
                </c:pt>
                <c:pt idx="79">
                  <c:v>62</c:v>
                </c:pt>
              </c:numCache>
            </c:numRef>
          </c:xVal>
          <c:yVal>
            <c:numRef>
              <c:f>Data!$BO$172:$BO$251</c:f>
              <c:numCache>
                <c:formatCode>General</c:formatCode>
                <c:ptCount val="80"/>
                <c:pt idx="0">
                  <c:v>22.4</c:v>
                </c:pt>
                <c:pt idx="1">
                  <c:v>38.9</c:v>
                </c:pt>
                <c:pt idx="2">
                  <c:v>25.2</c:v>
                </c:pt>
                <c:pt idx="3">
                  <c:v>56.2</c:v>
                </c:pt>
                <c:pt idx="4">
                  <c:v>84</c:v>
                </c:pt>
                <c:pt idx="5">
                  <c:v>54.6</c:v>
                </c:pt>
                <c:pt idx="6">
                  <c:v>32.299999999999997</c:v>
                </c:pt>
                <c:pt idx="7">
                  <c:v>44.7</c:v>
                </c:pt>
                <c:pt idx="8">
                  <c:v>64.599999999999994</c:v>
                </c:pt>
                <c:pt idx="9">
                  <c:v>72.400000000000006</c:v>
                </c:pt>
                <c:pt idx="10">
                  <c:v>73.8</c:v>
                </c:pt>
                <c:pt idx="11">
                  <c:v>61.1</c:v>
                </c:pt>
                <c:pt idx="12">
                  <c:v>45.4</c:v>
                </c:pt>
                <c:pt idx="13">
                  <c:v>47.7</c:v>
                </c:pt>
                <c:pt idx="14">
                  <c:v>37.799999999999997</c:v>
                </c:pt>
                <c:pt idx="15">
                  <c:v>35.299999999999997</c:v>
                </c:pt>
                <c:pt idx="16">
                  <c:v>30.4</c:v>
                </c:pt>
                <c:pt idx="17">
                  <c:v>29.2</c:v>
                </c:pt>
                <c:pt idx="18">
                  <c:v>39.4</c:v>
                </c:pt>
                <c:pt idx="19">
                  <c:v>40.9</c:v>
                </c:pt>
                <c:pt idx="20">
                  <c:v>28.4</c:v>
                </c:pt>
                <c:pt idx="21">
                  <c:v>46.9</c:v>
                </c:pt>
                <c:pt idx="22">
                  <c:v>31.3</c:v>
                </c:pt>
                <c:pt idx="23">
                  <c:v>24.1</c:v>
                </c:pt>
                <c:pt idx="24">
                  <c:v>25.4</c:v>
                </c:pt>
                <c:pt idx="25">
                  <c:v>35.700000000000003</c:v>
                </c:pt>
                <c:pt idx="26">
                  <c:v>39.5</c:v>
                </c:pt>
                <c:pt idx="27">
                  <c:v>34</c:v>
                </c:pt>
                <c:pt idx="28">
                  <c:v>25.5</c:v>
                </c:pt>
                <c:pt idx="29">
                  <c:v>25.1</c:v>
                </c:pt>
                <c:pt idx="30">
                  <c:v>27.8</c:v>
                </c:pt>
                <c:pt idx="31">
                  <c:v>26.2</c:v>
                </c:pt>
                <c:pt idx="32">
                  <c:v>43.2</c:v>
                </c:pt>
                <c:pt idx="33">
                  <c:v>38.6</c:v>
                </c:pt>
                <c:pt idx="46">
                  <c:v>22.9</c:v>
                </c:pt>
                <c:pt idx="47">
                  <c:v>24</c:v>
                </c:pt>
                <c:pt idx="48">
                  <c:v>20.100000000000001</c:v>
                </c:pt>
                <c:pt idx="49">
                  <c:v>55</c:v>
                </c:pt>
                <c:pt idx="50">
                  <c:v>82.6</c:v>
                </c:pt>
                <c:pt idx="51">
                  <c:v>85.4</c:v>
                </c:pt>
                <c:pt idx="52">
                  <c:v>97.9</c:v>
                </c:pt>
                <c:pt idx="53">
                  <c:v>49.8</c:v>
                </c:pt>
                <c:pt idx="54">
                  <c:v>38.700000000000003</c:v>
                </c:pt>
                <c:pt idx="55">
                  <c:v>24</c:v>
                </c:pt>
                <c:pt idx="56">
                  <c:v>25.8</c:v>
                </c:pt>
                <c:pt idx="57">
                  <c:v>21.5</c:v>
                </c:pt>
                <c:pt idx="58">
                  <c:v>27.2</c:v>
                </c:pt>
                <c:pt idx="59">
                  <c:v>35.5</c:v>
                </c:pt>
                <c:pt idx="60">
                  <c:v>31.3</c:v>
                </c:pt>
                <c:pt idx="61">
                  <c:v>27.1</c:v>
                </c:pt>
                <c:pt idx="62">
                  <c:v>24</c:v>
                </c:pt>
                <c:pt idx="63">
                  <c:v>47.8</c:v>
                </c:pt>
                <c:pt idx="64">
                  <c:v>50.6</c:v>
                </c:pt>
                <c:pt idx="65">
                  <c:v>51.9</c:v>
                </c:pt>
                <c:pt idx="66">
                  <c:v>59.4</c:v>
                </c:pt>
                <c:pt idx="67">
                  <c:v>50.8</c:v>
                </c:pt>
                <c:pt idx="68">
                  <c:v>43.7</c:v>
                </c:pt>
                <c:pt idx="69">
                  <c:v>35</c:v>
                </c:pt>
                <c:pt idx="70">
                  <c:v>17.8</c:v>
                </c:pt>
                <c:pt idx="71">
                  <c:v>17.5</c:v>
                </c:pt>
                <c:pt idx="72">
                  <c:v>12.4</c:v>
                </c:pt>
                <c:pt idx="73">
                  <c:v>15.7</c:v>
                </c:pt>
                <c:pt idx="74">
                  <c:v>14.7</c:v>
                </c:pt>
                <c:pt idx="75">
                  <c:v>38.799999999999997</c:v>
                </c:pt>
                <c:pt idx="76">
                  <c:v>38.6</c:v>
                </c:pt>
                <c:pt idx="77">
                  <c:v>34.9</c:v>
                </c:pt>
                <c:pt idx="78">
                  <c:v>74.599999999999994</c:v>
                </c:pt>
                <c:pt idx="79">
                  <c:v>53.2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73088"/>
        <c:axId val="186479360"/>
      </c:scatterChart>
      <c:valAx>
        <c:axId val="18647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79360"/>
        <c:crosses val="autoZero"/>
        <c:crossBetween val="midCat"/>
      </c:valAx>
      <c:valAx>
        <c:axId val="186479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73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-3.6"/>
            <c:dispRSqr val="1"/>
            <c:dispEq val="1"/>
            <c:trendlineLbl>
              <c:layout>
                <c:manualLayout>
                  <c:x val="0.42133836395450569"/>
                  <c:y val="-2.8136847477398658E-2"/>
                </c:manualLayout>
              </c:layout>
              <c:numFmt formatCode="General" sourceLinked="0"/>
            </c:trendlineLbl>
          </c:trendline>
          <c:xVal>
            <c:numRef>
              <c:f>Data!$DF$172:$DF$251</c:f>
              <c:numCache>
                <c:formatCode>General</c:formatCode>
                <c:ptCount val="80"/>
                <c:pt idx="0">
                  <c:v>7.5</c:v>
                </c:pt>
                <c:pt idx="1">
                  <c:v>7.2</c:v>
                </c:pt>
                <c:pt idx="2">
                  <c:v>4.0999999999999996</c:v>
                </c:pt>
                <c:pt idx="3">
                  <c:v>3.7</c:v>
                </c:pt>
                <c:pt idx="4">
                  <c:v>3.1</c:v>
                </c:pt>
                <c:pt idx="5">
                  <c:v>4.4000000000000004</c:v>
                </c:pt>
                <c:pt idx="6">
                  <c:v>4.5999999999999996</c:v>
                </c:pt>
                <c:pt idx="7">
                  <c:v>6</c:v>
                </c:pt>
                <c:pt idx="8">
                  <c:v>6.6</c:v>
                </c:pt>
                <c:pt idx="9">
                  <c:v>6.6</c:v>
                </c:pt>
                <c:pt idx="10">
                  <c:v>6</c:v>
                </c:pt>
                <c:pt idx="11">
                  <c:v>7.4</c:v>
                </c:pt>
                <c:pt idx="12">
                  <c:v>6.7</c:v>
                </c:pt>
                <c:pt idx="13">
                  <c:v>8.5</c:v>
                </c:pt>
                <c:pt idx="14">
                  <c:v>7.6</c:v>
                </c:pt>
                <c:pt idx="15">
                  <c:v>4.2</c:v>
                </c:pt>
                <c:pt idx="16">
                  <c:v>8.4</c:v>
                </c:pt>
                <c:pt idx="17">
                  <c:v>9.6</c:v>
                </c:pt>
                <c:pt idx="18">
                  <c:v>11.9</c:v>
                </c:pt>
                <c:pt idx="19">
                  <c:v>10.7</c:v>
                </c:pt>
                <c:pt idx="20">
                  <c:v>7.3</c:v>
                </c:pt>
                <c:pt idx="21">
                  <c:v>4.2</c:v>
                </c:pt>
                <c:pt idx="22">
                  <c:v>6.6</c:v>
                </c:pt>
                <c:pt idx="23">
                  <c:v>10.6</c:v>
                </c:pt>
                <c:pt idx="24">
                  <c:v>13.9</c:v>
                </c:pt>
                <c:pt idx="25">
                  <c:v>9.1999999999999993</c:v>
                </c:pt>
                <c:pt idx="26">
                  <c:v>8.6</c:v>
                </c:pt>
                <c:pt idx="27">
                  <c:v>7.4</c:v>
                </c:pt>
                <c:pt idx="28">
                  <c:v>12.3</c:v>
                </c:pt>
                <c:pt idx="29">
                  <c:v>13.6</c:v>
                </c:pt>
                <c:pt idx="30">
                  <c:v>15.5</c:v>
                </c:pt>
                <c:pt idx="31">
                  <c:v>16.2</c:v>
                </c:pt>
                <c:pt idx="32">
                  <c:v>10</c:v>
                </c:pt>
                <c:pt idx="33">
                  <c:v>5.5</c:v>
                </c:pt>
                <c:pt idx="34">
                  <c:v>3.9</c:v>
                </c:pt>
                <c:pt idx="35">
                  <c:v>4.4000000000000004</c:v>
                </c:pt>
                <c:pt idx="36">
                  <c:v>6.8</c:v>
                </c:pt>
                <c:pt idx="37">
                  <c:v>8.4</c:v>
                </c:pt>
                <c:pt idx="38">
                  <c:v>9.6</c:v>
                </c:pt>
                <c:pt idx="39">
                  <c:v>13.6</c:v>
                </c:pt>
                <c:pt idx="40">
                  <c:v>14.3</c:v>
                </c:pt>
                <c:pt idx="41">
                  <c:v>14.1</c:v>
                </c:pt>
                <c:pt idx="42">
                  <c:v>13.2</c:v>
                </c:pt>
                <c:pt idx="43">
                  <c:v>14.2</c:v>
                </c:pt>
                <c:pt idx="44">
                  <c:v>17.600000000000001</c:v>
                </c:pt>
                <c:pt idx="45">
                  <c:v>16.899999999999999</c:v>
                </c:pt>
                <c:pt idx="46">
                  <c:v>13</c:v>
                </c:pt>
                <c:pt idx="47">
                  <c:v>9.6999999999999993</c:v>
                </c:pt>
                <c:pt idx="48">
                  <c:v>10.9</c:v>
                </c:pt>
                <c:pt idx="49">
                  <c:v>7.8</c:v>
                </c:pt>
                <c:pt idx="50">
                  <c:v>7.4</c:v>
                </c:pt>
                <c:pt idx="51">
                  <c:v>5.7</c:v>
                </c:pt>
                <c:pt idx="52">
                  <c:v>5.8</c:v>
                </c:pt>
                <c:pt idx="53">
                  <c:v>7.9</c:v>
                </c:pt>
                <c:pt idx="54">
                  <c:v>9.1999999999999993</c:v>
                </c:pt>
                <c:pt idx="55">
                  <c:v>12.6</c:v>
                </c:pt>
                <c:pt idx="56">
                  <c:v>14.8</c:v>
                </c:pt>
                <c:pt idx="57">
                  <c:v>14.7</c:v>
                </c:pt>
                <c:pt idx="58">
                  <c:v>8.8000000000000007</c:v>
                </c:pt>
                <c:pt idx="59">
                  <c:v>7.3</c:v>
                </c:pt>
                <c:pt idx="60">
                  <c:v>12</c:v>
                </c:pt>
                <c:pt idx="61">
                  <c:v>16.3</c:v>
                </c:pt>
                <c:pt idx="62">
                  <c:v>13</c:v>
                </c:pt>
                <c:pt idx="63">
                  <c:v>10.3</c:v>
                </c:pt>
                <c:pt idx="64">
                  <c:v>6.6</c:v>
                </c:pt>
                <c:pt idx="65">
                  <c:v>5.5</c:v>
                </c:pt>
                <c:pt idx="66">
                  <c:v>7.9</c:v>
                </c:pt>
                <c:pt idx="67">
                  <c:v>5.9</c:v>
                </c:pt>
                <c:pt idx="68">
                  <c:v>6.4</c:v>
                </c:pt>
                <c:pt idx="69">
                  <c:v>8.1999999999999993</c:v>
                </c:pt>
                <c:pt idx="70">
                  <c:v>13.9</c:v>
                </c:pt>
                <c:pt idx="71">
                  <c:v>14.6</c:v>
                </c:pt>
                <c:pt idx="72">
                  <c:v>16</c:v>
                </c:pt>
                <c:pt idx="73">
                  <c:v>16.399999999999999</c:v>
                </c:pt>
                <c:pt idx="74">
                  <c:v>19.2</c:v>
                </c:pt>
                <c:pt idx="75">
                  <c:v>17.3</c:v>
                </c:pt>
                <c:pt idx="76">
                  <c:v>15.9</c:v>
                </c:pt>
                <c:pt idx="77">
                  <c:v>10.4</c:v>
                </c:pt>
                <c:pt idx="78">
                  <c:v>6.8</c:v>
                </c:pt>
                <c:pt idx="79">
                  <c:v>6.3</c:v>
                </c:pt>
              </c:numCache>
            </c:numRef>
          </c:xVal>
          <c:yVal>
            <c:numRef>
              <c:f>Data!$AF$172:$AF$251</c:f>
              <c:numCache>
                <c:formatCode>General</c:formatCode>
                <c:ptCount val="80"/>
                <c:pt idx="0">
                  <c:v>-1.6839999999999999</c:v>
                </c:pt>
                <c:pt idx="1">
                  <c:v>-0.92700000000000005</c:v>
                </c:pt>
                <c:pt idx="2">
                  <c:v>-2.202</c:v>
                </c:pt>
                <c:pt idx="3">
                  <c:v>1.909</c:v>
                </c:pt>
                <c:pt idx="4">
                  <c:v>0.65600000000000003</c:v>
                </c:pt>
                <c:pt idx="5">
                  <c:v>-0.86099999999999999</c:v>
                </c:pt>
                <c:pt idx="6">
                  <c:v>-1.8580000000000001</c:v>
                </c:pt>
                <c:pt idx="7">
                  <c:v>-1.3640000000000001</c:v>
                </c:pt>
                <c:pt idx="8">
                  <c:v>2.5760000000000001</c:v>
                </c:pt>
                <c:pt idx="9">
                  <c:v>4.84</c:v>
                </c:pt>
                <c:pt idx="10">
                  <c:v>2.859</c:v>
                </c:pt>
                <c:pt idx="11">
                  <c:v>3.99</c:v>
                </c:pt>
                <c:pt idx="12">
                  <c:v>2.093</c:v>
                </c:pt>
                <c:pt idx="13">
                  <c:v>0.54800000000000004</c:v>
                </c:pt>
                <c:pt idx="14">
                  <c:v>4.0940000000000003</c:v>
                </c:pt>
                <c:pt idx="15">
                  <c:v>0.32200000000000001</c:v>
                </c:pt>
                <c:pt idx="16">
                  <c:v>0.91</c:v>
                </c:pt>
                <c:pt idx="17">
                  <c:v>3.8740000000000001</c:v>
                </c:pt>
                <c:pt idx="18">
                  <c:v>3.609</c:v>
                </c:pt>
                <c:pt idx="19">
                  <c:v>5.7039999999999997</c:v>
                </c:pt>
                <c:pt idx="20">
                  <c:v>5.37</c:v>
                </c:pt>
                <c:pt idx="21">
                  <c:v>1.129</c:v>
                </c:pt>
                <c:pt idx="22">
                  <c:v>1.3839999999999999</c:v>
                </c:pt>
                <c:pt idx="23">
                  <c:v>0.69899999999999995</c:v>
                </c:pt>
                <c:pt idx="24">
                  <c:v>3.5990000000000002</c:v>
                </c:pt>
                <c:pt idx="25">
                  <c:v>4.7510000000000003</c:v>
                </c:pt>
                <c:pt idx="26">
                  <c:v>1.613</c:v>
                </c:pt>
                <c:pt idx="27">
                  <c:v>-0.20799999999999999</c:v>
                </c:pt>
                <c:pt idx="28">
                  <c:v>2.3839999999999999</c:v>
                </c:pt>
                <c:pt idx="29">
                  <c:v>5.0999999999999996</c:v>
                </c:pt>
                <c:pt idx="30">
                  <c:v>4.3479999999999999</c:v>
                </c:pt>
                <c:pt idx="31">
                  <c:v>6.3019999999999996</c:v>
                </c:pt>
                <c:pt idx="32">
                  <c:v>7.69</c:v>
                </c:pt>
                <c:pt idx="33">
                  <c:v>3.327</c:v>
                </c:pt>
                <c:pt idx="34">
                  <c:v>-0.6</c:v>
                </c:pt>
                <c:pt idx="35">
                  <c:v>-0.3</c:v>
                </c:pt>
                <c:pt idx="36">
                  <c:v>1.6</c:v>
                </c:pt>
                <c:pt idx="37">
                  <c:v>2.8</c:v>
                </c:pt>
                <c:pt idx="38">
                  <c:v>3.7</c:v>
                </c:pt>
                <c:pt idx="39">
                  <c:v>6.7</c:v>
                </c:pt>
                <c:pt idx="40">
                  <c:v>7.3</c:v>
                </c:pt>
                <c:pt idx="41">
                  <c:v>7.1</c:v>
                </c:pt>
                <c:pt idx="42">
                  <c:v>6.4</c:v>
                </c:pt>
                <c:pt idx="43">
                  <c:v>7.2</c:v>
                </c:pt>
                <c:pt idx="44">
                  <c:v>9.8000000000000007</c:v>
                </c:pt>
                <c:pt idx="45">
                  <c:v>9.1999999999999993</c:v>
                </c:pt>
                <c:pt idx="46">
                  <c:v>5.7119999999999997</c:v>
                </c:pt>
                <c:pt idx="47">
                  <c:v>2.0230000000000001</c:v>
                </c:pt>
                <c:pt idx="48">
                  <c:v>0.89</c:v>
                </c:pt>
                <c:pt idx="49">
                  <c:v>2.0459999999999998</c:v>
                </c:pt>
                <c:pt idx="50">
                  <c:v>5.3449999999999998</c:v>
                </c:pt>
                <c:pt idx="51">
                  <c:v>3.4830000000000001</c:v>
                </c:pt>
                <c:pt idx="52">
                  <c:v>3.5449999999999999</c:v>
                </c:pt>
                <c:pt idx="53">
                  <c:v>4.149</c:v>
                </c:pt>
                <c:pt idx="54">
                  <c:v>2.4260000000000002</c:v>
                </c:pt>
                <c:pt idx="55">
                  <c:v>3.198</c:v>
                </c:pt>
                <c:pt idx="56">
                  <c:v>3.9329999999999998</c:v>
                </c:pt>
                <c:pt idx="57">
                  <c:v>3.9790000000000001</c:v>
                </c:pt>
                <c:pt idx="58">
                  <c:v>4.2169999999999996</c:v>
                </c:pt>
                <c:pt idx="59">
                  <c:v>2.1999999999999999E-2</c:v>
                </c:pt>
                <c:pt idx="60">
                  <c:v>1.167</c:v>
                </c:pt>
                <c:pt idx="61">
                  <c:v>5.931</c:v>
                </c:pt>
                <c:pt idx="62">
                  <c:v>2.9630000000000001</c:v>
                </c:pt>
                <c:pt idx="63">
                  <c:v>2.5179999999999998</c:v>
                </c:pt>
                <c:pt idx="64">
                  <c:v>0.33200000000000002</c:v>
                </c:pt>
                <c:pt idx="65">
                  <c:v>-1.242</c:v>
                </c:pt>
                <c:pt idx="66">
                  <c:v>3.2679999999999998</c:v>
                </c:pt>
                <c:pt idx="67">
                  <c:v>-0.24099999999999999</c:v>
                </c:pt>
                <c:pt idx="68">
                  <c:v>-1.7829999999999999</c:v>
                </c:pt>
                <c:pt idx="69">
                  <c:v>-0.76200000000000001</c:v>
                </c:pt>
                <c:pt idx="70">
                  <c:v>3.9239999999999999</c:v>
                </c:pt>
                <c:pt idx="71">
                  <c:v>3.2490000000000001</c:v>
                </c:pt>
                <c:pt idx="72">
                  <c:v>3.419</c:v>
                </c:pt>
                <c:pt idx="73">
                  <c:v>4.4749999999999996</c:v>
                </c:pt>
                <c:pt idx="74">
                  <c:v>6.8339999999999996</c:v>
                </c:pt>
                <c:pt idx="75">
                  <c:v>7.98</c:v>
                </c:pt>
                <c:pt idx="76">
                  <c:v>7.89</c:v>
                </c:pt>
                <c:pt idx="77">
                  <c:v>4.5030000000000001</c:v>
                </c:pt>
                <c:pt idx="78">
                  <c:v>2.7029999999999998</c:v>
                </c:pt>
                <c:pt idx="79">
                  <c:v>1.2430000000000001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8704"/>
        <c:axId val="186494976"/>
      </c:scatterChart>
      <c:valAx>
        <c:axId val="18648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94976"/>
        <c:crosses val="autoZero"/>
        <c:crossBetween val="midCat"/>
      </c:valAx>
      <c:valAx>
        <c:axId val="186494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88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106911636045492"/>
                  <c:y val="-5.3000145815106446E-2"/>
                </c:manualLayout>
              </c:layout>
              <c:numFmt formatCode="General" sourceLinked="0"/>
            </c:trendlineLbl>
          </c:trendline>
          <c:xVal>
            <c:numRef>
              <c:f>Data!$EA$138:$EA$171</c:f>
              <c:numCache>
                <c:formatCode>General</c:formatCode>
                <c:ptCount val="34"/>
                <c:pt idx="0">
                  <c:v>3.8</c:v>
                </c:pt>
                <c:pt idx="1">
                  <c:v>9.6</c:v>
                </c:pt>
                <c:pt idx="2">
                  <c:v>11</c:v>
                </c:pt>
                <c:pt idx="3">
                  <c:v>9.6</c:v>
                </c:pt>
                <c:pt idx="4">
                  <c:v>9</c:v>
                </c:pt>
                <c:pt idx="5">
                  <c:v>9.3000000000000007</c:v>
                </c:pt>
                <c:pt idx="6">
                  <c:v>6.5</c:v>
                </c:pt>
                <c:pt idx="7">
                  <c:v>8.6999999999999993</c:v>
                </c:pt>
                <c:pt idx="8">
                  <c:v>7.4</c:v>
                </c:pt>
                <c:pt idx="9">
                  <c:v>7.4</c:v>
                </c:pt>
                <c:pt idx="10">
                  <c:v>6.4</c:v>
                </c:pt>
                <c:pt idx="11">
                  <c:v>1.8</c:v>
                </c:pt>
                <c:pt idx="12">
                  <c:v>11.1</c:v>
                </c:pt>
                <c:pt idx="13">
                  <c:v>15.4</c:v>
                </c:pt>
                <c:pt idx="14">
                  <c:v>15.3</c:v>
                </c:pt>
                <c:pt idx="15">
                  <c:v>13.6</c:v>
                </c:pt>
                <c:pt idx="16">
                  <c:v>10.4</c:v>
                </c:pt>
                <c:pt idx="17">
                  <c:v>8.1999999999999993</c:v>
                </c:pt>
                <c:pt idx="18">
                  <c:v>4.0999999999999996</c:v>
                </c:pt>
                <c:pt idx="19">
                  <c:v>3.1</c:v>
                </c:pt>
                <c:pt idx="20">
                  <c:v>10.199999999999999</c:v>
                </c:pt>
                <c:pt idx="21">
                  <c:v>15.3</c:v>
                </c:pt>
                <c:pt idx="22">
                  <c:v>18.3</c:v>
                </c:pt>
                <c:pt idx="23">
                  <c:v>18</c:v>
                </c:pt>
                <c:pt idx="24">
                  <c:v>11.4</c:v>
                </c:pt>
                <c:pt idx="25">
                  <c:v>13.9</c:v>
                </c:pt>
                <c:pt idx="26">
                  <c:v>17.600000000000001</c:v>
                </c:pt>
                <c:pt idx="27">
                  <c:v>20.6</c:v>
                </c:pt>
                <c:pt idx="28">
                  <c:v>16.8</c:v>
                </c:pt>
                <c:pt idx="29">
                  <c:v>12.2</c:v>
                </c:pt>
                <c:pt idx="30">
                  <c:v>11.8</c:v>
                </c:pt>
                <c:pt idx="31">
                  <c:v>12.3</c:v>
                </c:pt>
                <c:pt idx="32">
                  <c:v>17.7</c:v>
                </c:pt>
                <c:pt idx="33">
                  <c:v>15</c:v>
                </c:pt>
              </c:numCache>
            </c:numRef>
          </c:xVal>
          <c:yVal>
            <c:numRef>
              <c:f>Data!$DE$138:$DE$171</c:f>
              <c:numCache>
                <c:formatCode>General</c:formatCode>
                <c:ptCount val="34"/>
                <c:pt idx="0">
                  <c:v>6.5</c:v>
                </c:pt>
                <c:pt idx="1">
                  <c:v>8.9</c:v>
                </c:pt>
                <c:pt idx="2">
                  <c:v>10.9</c:v>
                </c:pt>
                <c:pt idx="3">
                  <c:v>11.6</c:v>
                </c:pt>
                <c:pt idx="4">
                  <c:v>10.3</c:v>
                </c:pt>
                <c:pt idx="7">
                  <c:v>8.9</c:v>
                </c:pt>
                <c:pt idx="8">
                  <c:v>10.4</c:v>
                </c:pt>
                <c:pt idx="9">
                  <c:v>10</c:v>
                </c:pt>
                <c:pt idx="10">
                  <c:v>11.8</c:v>
                </c:pt>
                <c:pt idx="11">
                  <c:v>6.8</c:v>
                </c:pt>
                <c:pt idx="12">
                  <c:v>13.9</c:v>
                </c:pt>
                <c:pt idx="13">
                  <c:v>18.399999999999999</c:v>
                </c:pt>
                <c:pt idx="14">
                  <c:v>16.8</c:v>
                </c:pt>
                <c:pt idx="15">
                  <c:v>15</c:v>
                </c:pt>
                <c:pt idx="16">
                  <c:v>13.9</c:v>
                </c:pt>
                <c:pt idx="17">
                  <c:v>9.9</c:v>
                </c:pt>
                <c:pt idx="18">
                  <c:v>7.1</c:v>
                </c:pt>
                <c:pt idx="19">
                  <c:v>3.2</c:v>
                </c:pt>
                <c:pt idx="20">
                  <c:v>7.9</c:v>
                </c:pt>
                <c:pt idx="25">
                  <c:v>14.5</c:v>
                </c:pt>
                <c:pt idx="26">
                  <c:v>16.8</c:v>
                </c:pt>
                <c:pt idx="27">
                  <c:v>21.2</c:v>
                </c:pt>
                <c:pt idx="28">
                  <c:v>18.399999999999999</c:v>
                </c:pt>
                <c:pt idx="29">
                  <c:v>14.3</c:v>
                </c:pt>
                <c:pt idx="30">
                  <c:v>14</c:v>
                </c:pt>
                <c:pt idx="31">
                  <c:v>12.2</c:v>
                </c:pt>
                <c:pt idx="32">
                  <c:v>18.3</c:v>
                </c:pt>
                <c:pt idx="33">
                  <c:v>15.4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12128"/>
        <c:axId val="186514048"/>
      </c:scatterChart>
      <c:valAx>
        <c:axId val="18651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14048"/>
        <c:crosses val="autoZero"/>
        <c:crossBetween val="midCat"/>
      </c:valAx>
      <c:valAx>
        <c:axId val="186514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12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106911636045492"/>
                  <c:y val="-5.3000145815106446E-2"/>
                </c:manualLayout>
              </c:layout>
              <c:numFmt formatCode="General" sourceLinked="0"/>
            </c:trendlineLbl>
          </c:trendline>
          <c:xVal>
            <c:numRef>
              <c:f>Data!$EB$138:$EB$171</c:f>
              <c:numCache>
                <c:formatCode>General</c:formatCode>
                <c:ptCount val="34"/>
                <c:pt idx="0">
                  <c:v>-4.9000000000000004</c:v>
                </c:pt>
                <c:pt idx="1">
                  <c:v>-0.7</c:v>
                </c:pt>
                <c:pt idx="2">
                  <c:v>1.3</c:v>
                </c:pt>
                <c:pt idx="3">
                  <c:v>-0.9</c:v>
                </c:pt>
                <c:pt idx="4">
                  <c:v>-0.2</c:v>
                </c:pt>
                <c:pt idx="5">
                  <c:v>-0.2</c:v>
                </c:pt>
                <c:pt idx="6">
                  <c:v>1.5</c:v>
                </c:pt>
                <c:pt idx="7">
                  <c:v>-0.4</c:v>
                </c:pt>
                <c:pt idx="8">
                  <c:v>-1.9</c:v>
                </c:pt>
                <c:pt idx="9">
                  <c:v>-3.4</c:v>
                </c:pt>
                <c:pt idx="10">
                  <c:v>-2.2999999999999998</c:v>
                </c:pt>
                <c:pt idx="11">
                  <c:v>-0.3</c:v>
                </c:pt>
                <c:pt idx="12">
                  <c:v>-0.9</c:v>
                </c:pt>
                <c:pt idx="13">
                  <c:v>-1.1000000000000001</c:v>
                </c:pt>
                <c:pt idx="14">
                  <c:v>-0.5</c:v>
                </c:pt>
                <c:pt idx="15">
                  <c:v>-1.2</c:v>
                </c:pt>
                <c:pt idx="16">
                  <c:v>-2</c:v>
                </c:pt>
                <c:pt idx="17">
                  <c:v>0.2</c:v>
                </c:pt>
                <c:pt idx="18">
                  <c:v>-0.3</c:v>
                </c:pt>
                <c:pt idx="19">
                  <c:v>-0.7</c:v>
                </c:pt>
                <c:pt idx="20">
                  <c:v>-0.7</c:v>
                </c:pt>
                <c:pt idx="21">
                  <c:v>-2.2999999999999998</c:v>
                </c:pt>
                <c:pt idx="22">
                  <c:v>3.2</c:v>
                </c:pt>
                <c:pt idx="23">
                  <c:v>3.1</c:v>
                </c:pt>
                <c:pt idx="24">
                  <c:v>1.2</c:v>
                </c:pt>
                <c:pt idx="25">
                  <c:v>0.5</c:v>
                </c:pt>
                <c:pt idx="26">
                  <c:v>0.6</c:v>
                </c:pt>
                <c:pt idx="27">
                  <c:v>4.3</c:v>
                </c:pt>
                <c:pt idx="28">
                  <c:v>0</c:v>
                </c:pt>
                <c:pt idx="29">
                  <c:v>0.7</c:v>
                </c:pt>
                <c:pt idx="30">
                  <c:v>-1.3</c:v>
                </c:pt>
                <c:pt idx="31">
                  <c:v>0</c:v>
                </c:pt>
                <c:pt idx="32">
                  <c:v>-1.3</c:v>
                </c:pt>
                <c:pt idx="33">
                  <c:v>1.8</c:v>
                </c:pt>
              </c:numCache>
            </c:numRef>
          </c:xVal>
          <c:yVal>
            <c:numRef>
              <c:f>Data!$DF$138:$DF$171</c:f>
              <c:numCache>
                <c:formatCode>General</c:formatCode>
                <c:ptCount val="34"/>
                <c:pt idx="0">
                  <c:v>-1</c:v>
                </c:pt>
                <c:pt idx="1">
                  <c:v>1.8</c:v>
                </c:pt>
                <c:pt idx="2">
                  <c:v>5.2</c:v>
                </c:pt>
                <c:pt idx="3">
                  <c:v>4.5</c:v>
                </c:pt>
                <c:pt idx="4">
                  <c:v>3.8</c:v>
                </c:pt>
                <c:pt idx="7">
                  <c:v>2.7</c:v>
                </c:pt>
                <c:pt idx="8">
                  <c:v>2.9</c:v>
                </c:pt>
                <c:pt idx="9">
                  <c:v>2.2999999999999998</c:v>
                </c:pt>
                <c:pt idx="10">
                  <c:v>1.7</c:v>
                </c:pt>
                <c:pt idx="11">
                  <c:v>3.3</c:v>
                </c:pt>
                <c:pt idx="12">
                  <c:v>3.3</c:v>
                </c:pt>
                <c:pt idx="13">
                  <c:v>5.5</c:v>
                </c:pt>
                <c:pt idx="14">
                  <c:v>9.1</c:v>
                </c:pt>
                <c:pt idx="15">
                  <c:v>6.5</c:v>
                </c:pt>
                <c:pt idx="16">
                  <c:v>5.2</c:v>
                </c:pt>
                <c:pt idx="17">
                  <c:v>3.9</c:v>
                </c:pt>
                <c:pt idx="18">
                  <c:v>2.2999999999999998</c:v>
                </c:pt>
                <c:pt idx="19">
                  <c:v>0.3</c:v>
                </c:pt>
                <c:pt idx="20">
                  <c:v>2.7</c:v>
                </c:pt>
                <c:pt idx="25">
                  <c:v>5.6</c:v>
                </c:pt>
                <c:pt idx="26">
                  <c:v>9.6</c:v>
                </c:pt>
                <c:pt idx="27">
                  <c:v>9.8000000000000007</c:v>
                </c:pt>
                <c:pt idx="28">
                  <c:v>6.1</c:v>
                </c:pt>
                <c:pt idx="29">
                  <c:v>4.5</c:v>
                </c:pt>
                <c:pt idx="30">
                  <c:v>4.9000000000000004</c:v>
                </c:pt>
                <c:pt idx="31">
                  <c:v>4.4000000000000004</c:v>
                </c:pt>
                <c:pt idx="32">
                  <c:v>5.6</c:v>
                </c:pt>
                <c:pt idx="33">
                  <c:v>9.1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59328"/>
        <c:axId val="229861248"/>
      </c:scatterChart>
      <c:valAx>
        <c:axId val="22985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61248"/>
        <c:crosses val="autoZero"/>
        <c:crossBetween val="midCat"/>
      </c:valAx>
      <c:valAx>
        <c:axId val="229861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59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106911636045492"/>
                  <c:y val="-5.3000145815106446E-2"/>
                </c:manualLayout>
              </c:layout>
              <c:numFmt formatCode="General" sourceLinked="0"/>
            </c:trendlineLbl>
          </c:trendline>
          <c:xVal>
            <c:numRef>
              <c:f>Data!$DZ$138:$DZ$171</c:f>
              <c:numCache>
                <c:formatCode>General</c:formatCode>
                <c:ptCount val="34"/>
                <c:pt idx="0">
                  <c:v>0.1</c:v>
                </c:pt>
                <c:pt idx="1">
                  <c:v>3.7</c:v>
                </c:pt>
                <c:pt idx="2">
                  <c:v>5.6</c:v>
                </c:pt>
                <c:pt idx="3">
                  <c:v>4</c:v>
                </c:pt>
                <c:pt idx="4">
                  <c:v>3.9</c:v>
                </c:pt>
                <c:pt idx="5">
                  <c:v>3.8</c:v>
                </c:pt>
                <c:pt idx="6">
                  <c:v>4.5</c:v>
                </c:pt>
                <c:pt idx="7">
                  <c:v>3.4</c:v>
                </c:pt>
                <c:pt idx="8">
                  <c:v>2.5</c:v>
                </c:pt>
                <c:pt idx="9">
                  <c:v>2.2000000000000002</c:v>
                </c:pt>
                <c:pt idx="10">
                  <c:v>2.1</c:v>
                </c:pt>
                <c:pt idx="11">
                  <c:v>0.7</c:v>
                </c:pt>
                <c:pt idx="12">
                  <c:v>3.2</c:v>
                </c:pt>
                <c:pt idx="13">
                  <c:v>7.2</c:v>
                </c:pt>
                <c:pt idx="14">
                  <c:v>8.4</c:v>
                </c:pt>
                <c:pt idx="15">
                  <c:v>6.3</c:v>
                </c:pt>
                <c:pt idx="16">
                  <c:v>4.0999999999999996</c:v>
                </c:pt>
                <c:pt idx="17">
                  <c:v>3.3</c:v>
                </c:pt>
                <c:pt idx="18">
                  <c:v>1</c:v>
                </c:pt>
                <c:pt idx="19">
                  <c:v>1.1000000000000001</c:v>
                </c:pt>
                <c:pt idx="20">
                  <c:v>3.6</c:v>
                </c:pt>
                <c:pt idx="21">
                  <c:v>6.9</c:v>
                </c:pt>
                <c:pt idx="22">
                  <c:v>9.8000000000000007</c:v>
                </c:pt>
                <c:pt idx="23">
                  <c:v>11</c:v>
                </c:pt>
                <c:pt idx="24">
                  <c:v>7.6</c:v>
                </c:pt>
                <c:pt idx="25">
                  <c:v>6</c:v>
                </c:pt>
                <c:pt idx="26">
                  <c:v>10.1</c:v>
                </c:pt>
                <c:pt idx="27">
                  <c:v>12.9</c:v>
                </c:pt>
                <c:pt idx="28">
                  <c:v>9.6999999999999993</c:v>
                </c:pt>
                <c:pt idx="29">
                  <c:v>6.2</c:v>
                </c:pt>
                <c:pt idx="30">
                  <c:v>6.1</c:v>
                </c:pt>
                <c:pt idx="31">
                  <c:v>6</c:v>
                </c:pt>
                <c:pt idx="32">
                  <c:v>9.1</c:v>
                </c:pt>
                <c:pt idx="33">
                  <c:v>9.6</c:v>
                </c:pt>
              </c:numCache>
            </c:numRef>
          </c:xVal>
          <c:yVal>
            <c:numRef>
              <c:f>Data!$DD$138:$DD$171</c:f>
              <c:numCache>
                <c:formatCode>General</c:formatCode>
                <c:ptCount val="34"/>
                <c:pt idx="0">
                  <c:v>2.5291666666666663</c:v>
                </c:pt>
                <c:pt idx="1">
                  <c:v>5.6541666666666659</c:v>
                </c:pt>
                <c:pt idx="2">
                  <c:v>7.3833333333333337</c:v>
                </c:pt>
                <c:pt idx="3">
                  <c:v>7.458333333333333</c:v>
                </c:pt>
                <c:pt idx="4">
                  <c:v>7.3</c:v>
                </c:pt>
                <c:pt idx="7">
                  <c:v>5.2541666666666673</c:v>
                </c:pt>
                <c:pt idx="8">
                  <c:v>5.3</c:v>
                </c:pt>
                <c:pt idx="9">
                  <c:v>5.666666666666667</c:v>
                </c:pt>
                <c:pt idx="10">
                  <c:v>7.0333333333333323</c:v>
                </c:pt>
                <c:pt idx="11">
                  <c:v>4.8875000000000002</c:v>
                </c:pt>
                <c:pt idx="12">
                  <c:v>8.1958333333333311</c:v>
                </c:pt>
                <c:pt idx="13">
                  <c:v>12.225</c:v>
                </c:pt>
                <c:pt idx="14">
                  <c:v>12.808333333333335</c:v>
                </c:pt>
                <c:pt idx="15">
                  <c:v>10.679166666666667</c:v>
                </c:pt>
                <c:pt idx="16">
                  <c:v>8.9250000000000007</c:v>
                </c:pt>
                <c:pt idx="17">
                  <c:v>6.4124999999999996</c:v>
                </c:pt>
                <c:pt idx="18">
                  <c:v>4.9375</c:v>
                </c:pt>
                <c:pt idx="19">
                  <c:v>1.4708333333333332</c:v>
                </c:pt>
                <c:pt idx="20">
                  <c:v>5.2666666666666666</c:v>
                </c:pt>
                <c:pt idx="25">
                  <c:v>10.6</c:v>
                </c:pt>
                <c:pt idx="26">
                  <c:v>13.4</c:v>
                </c:pt>
                <c:pt idx="27">
                  <c:v>15.6</c:v>
                </c:pt>
                <c:pt idx="28">
                  <c:v>12.2</c:v>
                </c:pt>
                <c:pt idx="29">
                  <c:v>9.5</c:v>
                </c:pt>
                <c:pt idx="30">
                  <c:v>9.1</c:v>
                </c:pt>
                <c:pt idx="31">
                  <c:v>8.6</c:v>
                </c:pt>
                <c:pt idx="32">
                  <c:v>12.3</c:v>
                </c:pt>
                <c:pt idx="33">
                  <c:v>12.8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70592"/>
        <c:axId val="229880960"/>
      </c:scatterChart>
      <c:valAx>
        <c:axId val="22987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80960"/>
        <c:crosses val="autoZero"/>
        <c:crossBetween val="midCat"/>
      </c:valAx>
      <c:valAx>
        <c:axId val="229880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70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165">
                  <c:v>29.93</c:v>
                </c:pt>
                <c:pt idx="166">
                  <c:v>20.56</c:v>
                </c:pt>
                <c:pt idx="167">
                  <c:v>26.84</c:v>
                </c:pt>
                <c:pt idx="168">
                  <c:v>13.81</c:v>
                </c:pt>
                <c:pt idx="169">
                  <c:v>4.0910000000000002</c:v>
                </c:pt>
                <c:pt idx="170">
                  <c:v>11.2</c:v>
                </c:pt>
                <c:pt idx="171">
                  <c:v>32.58</c:v>
                </c:pt>
                <c:pt idx="172">
                  <c:v>19.57</c:v>
                </c:pt>
                <c:pt idx="173">
                  <c:v>11.24</c:v>
                </c:pt>
                <c:pt idx="174">
                  <c:v>10.6</c:v>
                </c:pt>
                <c:pt idx="175">
                  <c:v>12.51</c:v>
                </c:pt>
                <c:pt idx="176">
                  <c:v>14.32</c:v>
                </c:pt>
                <c:pt idx="177">
                  <c:v>17.63</c:v>
                </c:pt>
                <c:pt idx="178">
                  <c:v>21.64</c:v>
                </c:pt>
                <c:pt idx="179">
                  <c:v>17.91</c:v>
                </c:pt>
                <c:pt idx="180">
                  <c:v>24.01</c:v>
                </c:pt>
                <c:pt idx="181">
                  <c:v>19.68</c:v>
                </c:pt>
                <c:pt idx="182">
                  <c:v>24.24</c:v>
                </c:pt>
                <c:pt idx="183">
                  <c:v>19.88</c:v>
                </c:pt>
                <c:pt idx="184">
                  <c:v>21.77</c:v>
                </c:pt>
                <c:pt idx="185">
                  <c:v>22.41</c:v>
                </c:pt>
                <c:pt idx="186">
                  <c:v>22.82</c:v>
                </c:pt>
                <c:pt idx="187">
                  <c:v>32.36</c:v>
                </c:pt>
                <c:pt idx="188">
                  <c:v>32.130000000000003</c:v>
                </c:pt>
                <c:pt idx="189">
                  <c:v>31.99</c:v>
                </c:pt>
                <c:pt idx="190">
                  <c:v>20.16</c:v>
                </c:pt>
                <c:pt idx="191">
                  <c:v>25.07</c:v>
                </c:pt>
                <c:pt idx="192">
                  <c:v>31.21</c:v>
                </c:pt>
                <c:pt idx="193">
                  <c:v>31.02</c:v>
                </c:pt>
                <c:pt idx="194">
                  <c:v>31.59</c:v>
                </c:pt>
                <c:pt idx="195">
                  <c:v>31.17</c:v>
                </c:pt>
                <c:pt idx="196">
                  <c:v>31.43</c:v>
                </c:pt>
                <c:pt idx="197">
                  <c:v>15.45</c:v>
                </c:pt>
                <c:pt idx="198">
                  <c:v>19.41</c:v>
                </c:pt>
                <c:pt idx="211">
                  <c:v>25.7</c:v>
                </c:pt>
                <c:pt idx="212">
                  <c:v>29.37</c:v>
                </c:pt>
                <c:pt idx="213">
                  <c:v>29.26</c:v>
                </c:pt>
                <c:pt idx="214">
                  <c:v>11.93</c:v>
                </c:pt>
                <c:pt idx="215">
                  <c:v>6.08</c:v>
                </c:pt>
                <c:pt idx="216">
                  <c:v>4.1669999999999998</c:v>
                </c:pt>
                <c:pt idx="217">
                  <c:v>4.3860000000000001</c:v>
                </c:pt>
                <c:pt idx="218">
                  <c:v>20.420000000000002</c:v>
                </c:pt>
                <c:pt idx="219">
                  <c:v>28.62</c:v>
                </c:pt>
                <c:pt idx="220">
                  <c:v>27.33</c:v>
                </c:pt>
                <c:pt idx="221">
                  <c:v>26.23</c:v>
                </c:pt>
                <c:pt idx="222">
                  <c:v>26.42</c:v>
                </c:pt>
                <c:pt idx="223">
                  <c:v>21.75</c:v>
                </c:pt>
                <c:pt idx="224">
                  <c:v>27.08</c:v>
                </c:pt>
                <c:pt idx="225">
                  <c:v>26.5</c:v>
                </c:pt>
                <c:pt idx="226">
                  <c:v>23.6</c:v>
                </c:pt>
                <c:pt idx="227">
                  <c:v>24.67</c:v>
                </c:pt>
                <c:pt idx="228">
                  <c:v>9.61</c:v>
                </c:pt>
                <c:pt idx="229">
                  <c:v>16.68</c:v>
                </c:pt>
                <c:pt idx="230">
                  <c:v>17.39</c:v>
                </c:pt>
                <c:pt idx="231">
                  <c:v>8.5500000000000007</c:v>
                </c:pt>
                <c:pt idx="232">
                  <c:v>22.2</c:v>
                </c:pt>
                <c:pt idx="233">
                  <c:v>18.37</c:v>
                </c:pt>
                <c:pt idx="234">
                  <c:v>24.78</c:v>
                </c:pt>
                <c:pt idx="235">
                  <c:v>24.93</c:v>
                </c:pt>
                <c:pt idx="236">
                  <c:v>24.69</c:v>
                </c:pt>
                <c:pt idx="237">
                  <c:v>24.75</c:v>
                </c:pt>
                <c:pt idx="238">
                  <c:v>22.27</c:v>
                </c:pt>
                <c:pt idx="239">
                  <c:v>20.170000000000002</c:v>
                </c:pt>
                <c:pt idx="240">
                  <c:v>19.79</c:v>
                </c:pt>
                <c:pt idx="241">
                  <c:v>20.61</c:v>
                </c:pt>
                <c:pt idx="242">
                  <c:v>11.4</c:v>
                </c:pt>
                <c:pt idx="243">
                  <c:v>7.58</c:v>
                </c:pt>
                <c:pt idx="244">
                  <c:v>13.77</c:v>
                </c:pt>
                <c:pt idx="318">
                  <c:v>1.2050000000000001</c:v>
                </c:pt>
                <c:pt idx="319">
                  <c:v>0.77300000000000002</c:v>
                </c:pt>
                <c:pt idx="320">
                  <c:v>1.4179999999999999</c:v>
                </c:pt>
                <c:pt idx="321">
                  <c:v>0.51600000000000001</c:v>
                </c:pt>
                <c:pt idx="322">
                  <c:v>1.0860000000000001</c:v>
                </c:pt>
                <c:pt idx="323">
                  <c:v>0.91900000000000004</c:v>
                </c:pt>
                <c:pt idx="324">
                  <c:v>1.0529999999999999</c:v>
                </c:pt>
                <c:pt idx="325">
                  <c:v>0.97</c:v>
                </c:pt>
                <c:pt idx="326">
                  <c:v>0.78500000000000003</c:v>
                </c:pt>
                <c:pt idx="327">
                  <c:v>1.8620000000000001</c:v>
                </c:pt>
                <c:pt idx="328">
                  <c:v>0.72099999999999997</c:v>
                </c:pt>
                <c:pt idx="329">
                  <c:v>0.38500000000000001</c:v>
                </c:pt>
                <c:pt idx="330">
                  <c:v>0.38200000000000001</c:v>
                </c:pt>
                <c:pt idx="331">
                  <c:v>0.23100000000000001</c:v>
                </c:pt>
                <c:pt idx="332">
                  <c:v>0.14599999999999999</c:v>
                </c:pt>
                <c:pt idx="333">
                  <c:v>0.54300000000000004</c:v>
                </c:pt>
                <c:pt idx="334">
                  <c:v>0.13300000000000001</c:v>
                </c:pt>
                <c:pt idx="335">
                  <c:v>0.151</c:v>
                </c:pt>
                <c:pt idx="336">
                  <c:v>0.23200000000000001</c:v>
                </c:pt>
                <c:pt idx="337">
                  <c:v>0.191</c:v>
                </c:pt>
                <c:pt idx="338">
                  <c:v>0.10299999999999999</c:v>
                </c:pt>
                <c:pt idx="339">
                  <c:v>0.22900000000000001</c:v>
                </c:pt>
                <c:pt idx="340">
                  <c:v>0.73099999999999998</c:v>
                </c:pt>
                <c:pt idx="341">
                  <c:v>0.17100000000000001</c:v>
                </c:pt>
                <c:pt idx="342">
                  <c:v>0.19900000000000001</c:v>
                </c:pt>
                <c:pt idx="343">
                  <c:v>1.758</c:v>
                </c:pt>
                <c:pt idx="344">
                  <c:v>0.60699999999999998</c:v>
                </c:pt>
                <c:pt idx="345">
                  <c:v>2.8650000000000002</c:v>
                </c:pt>
                <c:pt idx="346">
                  <c:v>0.65800000000000003</c:v>
                </c:pt>
                <c:pt idx="347">
                  <c:v>0.53200000000000003</c:v>
                </c:pt>
                <c:pt idx="348">
                  <c:v>2.4710000000000001</c:v>
                </c:pt>
                <c:pt idx="349">
                  <c:v>0.26900000000000002</c:v>
                </c:pt>
                <c:pt idx="350">
                  <c:v>0.61499999999999999</c:v>
                </c:pt>
                <c:pt idx="351">
                  <c:v>1.6020000000000001</c:v>
                </c:pt>
                <c:pt idx="352">
                  <c:v>1.2999999999999999E-2</c:v>
                </c:pt>
                <c:pt idx="353">
                  <c:v>0.27400000000000002</c:v>
                </c:pt>
                <c:pt idx="354">
                  <c:v>0.46700000000000003</c:v>
                </c:pt>
                <c:pt idx="355">
                  <c:v>0.60399999999999998</c:v>
                </c:pt>
                <c:pt idx="356">
                  <c:v>0.64300000000000002</c:v>
                </c:pt>
                <c:pt idx="357">
                  <c:v>0.38400000000000001</c:v>
                </c:pt>
                <c:pt idx="358">
                  <c:v>0.48099999999999998</c:v>
                </c:pt>
                <c:pt idx="359">
                  <c:v>1.8420000000000001</c:v>
                </c:pt>
                <c:pt idx="360">
                  <c:v>2.7719999999999998</c:v>
                </c:pt>
                <c:pt idx="361">
                  <c:v>0.67300000000000004</c:v>
                </c:pt>
                <c:pt idx="362">
                  <c:v>1.236</c:v>
                </c:pt>
                <c:pt idx="363">
                  <c:v>0.32</c:v>
                </c:pt>
                <c:pt idx="364">
                  <c:v>0.57599999999999996</c:v>
                </c:pt>
                <c:pt idx="365">
                  <c:v>1.0660000000000001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Data!$BJ$7:$BJ$372</c:f>
              <c:numCache>
                <c:formatCode>0.00</c:formatCode>
                <c:ptCount val="366"/>
                <c:pt idx="165">
                  <c:v>29.93</c:v>
                </c:pt>
                <c:pt idx="166">
                  <c:v>20.56</c:v>
                </c:pt>
                <c:pt idx="167">
                  <c:v>26.84</c:v>
                </c:pt>
                <c:pt idx="168">
                  <c:v>13.81</c:v>
                </c:pt>
                <c:pt idx="169">
                  <c:v>4.09</c:v>
                </c:pt>
                <c:pt idx="170">
                  <c:v>11.2</c:v>
                </c:pt>
                <c:pt idx="171">
                  <c:v>32.58</c:v>
                </c:pt>
                <c:pt idx="172">
                  <c:v>19.57</c:v>
                </c:pt>
                <c:pt idx="173">
                  <c:v>11.24</c:v>
                </c:pt>
                <c:pt idx="174">
                  <c:v>10.6</c:v>
                </c:pt>
                <c:pt idx="175">
                  <c:v>12.51</c:v>
                </c:pt>
                <c:pt idx="176">
                  <c:v>14.32</c:v>
                </c:pt>
                <c:pt idx="177">
                  <c:v>17.63</c:v>
                </c:pt>
                <c:pt idx="178">
                  <c:v>21.64</c:v>
                </c:pt>
                <c:pt idx="179">
                  <c:v>17.91</c:v>
                </c:pt>
                <c:pt idx="180">
                  <c:v>24.01</c:v>
                </c:pt>
                <c:pt idx="181">
                  <c:v>19.68</c:v>
                </c:pt>
                <c:pt idx="182">
                  <c:v>24.24</c:v>
                </c:pt>
                <c:pt idx="183">
                  <c:v>19.88</c:v>
                </c:pt>
                <c:pt idx="184">
                  <c:v>21.77</c:v>
                </c:pt>
                <c:pt idx="185">
                  <c:v>22.41</c:v>
                </c:pt>
                <c:pt idx="186">
                  <c:v>22.82</c:v>
                </c:pt>
                <c:pt idx="187">
                  <c:v>32.36</c:v>
                </c:pt>
                <c:pt idx="188">
                  <c:v>32.130000000000003</c:v>
                </c:pt>
                <c:pt idx="189">
                  <c:v>31.99</c:v>
                </c:pt>
                <c:pt idx="190">
                  <c:v>20.16</c:v>
                </c:pt>
                <c:pt idx="191">
                  <c:v>25.07</c:v>
                </c:pt>
                <c:pt idx="192">
                  <c:v>31.21</c:v>
                </c:pt>
                <c:pt idx="193">
                  <c:v>31.02</c:v>
                </c:pt>
                <c:pt idx="194">
                  <c:v>31.59</c:v>
                </c:pt>
                <c:pt idx="195">
                  <c:v>31.17</c:v>
                </c:pt>
                <c:pt idx="196">
                  <c:v>31.43</c:v>
                </c:pt>
                <c:pt idx="197">
                  <c:v>15.45</c:v>
                </c:pt>
                <c:pt idx="198">
                  <c:v>19.41</c:v>
                </c:pt>
                <c:pt idx="211">
                  <c:v>25.7</c:v>
                </c:pt>
                <c:pt idx="212">
                  <c:v>29.37</c:v>
                </c:pt>
                <c:pt idx="213">
                  <c:v>29.26</c:v>
                </c:pt>
                <c:pt idx="214">
                  <c:v>11.93</c:v>
                </c:pt>
                <c:pt idx="215">
                  <c:v>6.08</c:v>
                </c:pt>
                <c:pt idx="216">
                  <c:v>4.17</c:v>
                </c:pt>
                <c:pt idx="217">
                  <c:v>4.3899999999999997</c:v>
                </c:pt>
                <c:pt idx="218">
                  <c:v>20.420000000000002</c:v>
                </c:pt>
                <c:pt idx="219">
                  <c:v>28.62</c:v>
                </c:pt>
                <c:pt idx="220">
                  <c:v>27.33</c:v>
                </c:pt>
                <c:pt idx="221">
                  <c:v>26.23</c:v>
                </c:pt>
                <c:pt idx="222">
                  <c:v>26.42</c:v>
                </c:pt>
                <c:pt idx="223">
                  <c:v>21.75</c:v>
                </c:pt>
                <c:pt idx="224">
                  <c:v>27.08</c:v>
                </c:pt>
                <c:pt idx="225">
                  <c:v>26.5</c:v>
                </c:pt>
                <c:pt idx="226">
                  <c:v>23.6</c:v>
                </c:pt>
                <c:pt idx="227">
                  <c:v>24.67</c:v>
                </c:pt>
                <c:pt idx="228">
                  <c:v>9.61</c:v>
                </c:pt>
                <c:pt idx="229">
                  <c:v>16.68</c:v>
                </c:pt>
                <c:pt idx="230">
                  <c:v>17.39</c:v>
                </c:pt>
                <c:pt idx="231">
                  <c:v>8.5500000000000007</c:v>
                </c:pt>
                <c:pt idx="232">
                  <c:v>22.2</c:v>
                </c:pt>
                <c:pt idx="233">
                  <c:v>18.37</c:v>
                </c:pt>
                <c:pt idx="234">
                  <c:v>24.78</c:v>
                </c:pt>
                <c:pt idx="235">
                  <c:v>24.93</c:v>
                </c:pt>
                <c:pt idx="236">
                  <c:v>24.69</c:v>
                </c:pt>
                <c:pt idx="237">
                  <c:v>24.75</c:v>
                </c:pt>
                <c:pt idx="238">
                  <c:v>22.27</c:v>
                </c:pt>
                <c:pt idx="239">
                  <c:v>20.170000000000002</c:v>
                </c:pt>
                <c:pt idx="240">
                  <c:v>19.79</c:v>
                </c:pt>
                <c:pt idx="241">
                  <c:v>20.61</c:v>
                </c:pt>
                <c:pt idx="242">
                  <c:v>11.4</c:v>
                </c:pt>
                <c:pt idx="243">
                  <c:v>7.58</c:v>
                </c:pt>
                <c:pt idx="244">
                  <c:v>13.77</c:v>
                </c:pt>
                <c:pt idx="318">
                  <c:v>1.21</c:v>
                </c:pt>
                <c:pt idx="319">
                  <c:v>0.77</c:v>
                </c:pt>
                <c:pt idx="320">
                  <c:v>1.42</c:v>
                </c:pt>
                <c:pt idx="321">
                  <c:v>0.52</c:v>
                </c:pt>
                <c:pt idx="322">
                  <c:v>1.0900000000000001</c:v>
                </c:pt>
                <c:pt idx="323">
                  <c:v>0.92</c:v>
                </c:pt>
                <c:pt idx="324">
                  <c:v>1.05</c:v>
                </c:pt>
                <c:pt idx="325">
                  <c:v>0.97</c:v>
                </c:pt>
                <c:pt idx="326">
                  <c:v>0.79</c:v>
                </c:pt>
                <c:pt idx="327">
                  <c:v>1.86</c:v>
                </c:pt>
                <c:pt idx="328">
                  <c:v>0.72</c:v>
                </c:pt>
                <c:pt idx="329">
                  <c:v>0.39</c:v>
                </c:pt>
                <c:pt idx="330">
                  <c:v>0.38</c:v>
                </c:pt>
                <c:pt idx="331">
                  <c:v>0.23</c:v>
                </c:pt>
                <c:pt idx="332">
                  <c:v>0.15</c:v>
                </c:pt>
                <c:pt idx="333">
                  <c:v>0.54</c:v>
                </c:pt>
                <c:pt idx="334">
                  <c:v>0.13</c:v>
                </c:pt>
                <c:pt idx="335">
                  <c:v>0.15</c:v>
                </c:pt>
                <c:pt idx="336">
                  <c:v>0.23</c:v>
                </c:pt>
                <c:pt idx="337">
                  <c:v>0.19</c:v>
                </c:pt>
                <c:pt idx="338">
                  <c:v>0.1</c:v>
                </c:pt>
                <c:pt idx="339">
                  <c:v>0.23</c:v>
                </c:pt>
                <c:pt idx="340">
                  <c:v>0.73</c:v>
                </c:pt>
                <c:pt idx="341">
                  <c:v>0.17</c:v>
                </c:pt>
                <c:pt idx="342">
                  <c:v>0.2</c:v>
                </c:pt>
                <c:pt idx="343">
                  <c:v>1.76</c:v>
                </c:pt>
                <c:pt idx="344">
                  <c:v>0.61</c:v>
                </c:pt>
                <c:pt idx="345">
                  <c:v>2.87</c:v>
                </c:pt>
                <c:pt idx="346">
                  <c:v>0.66</c:v>
                </c:pt>
                <c:pt idx="347">
                  <c:v>0.53</c:v>
                </c:pt>
                <c:pt idx="348">
                  <c:v>2.4700000000000002</c:v>
                </c:pt>
                <c:pt idx="349">
                  <c:v>0.27</c:v>
                </c:pt>
                <c:pt idx="350">
                  <c:v>0.62</c:v>
                </c:pt>
                <c:pt idx="351">
                  <c:v>1.6</c:v>
                </c:pt>
                <c:pt idx="352">
                  <c:v>0.01</c:v>
                </c:pt>
                <c:pt idx="353">
                  <c:v>0.27</c:v>
                </c:pt>
                <c:pt idx="354">
                  <c:v>0.47</c:v>
                </c:pt>
                <c:pt idx="355">
                  <c:v>0.6</c:v>
                </c:pt>
                <c:pt idx="356">
                  <c:v>0.64</c:v>
                </c:pt>
                <c:pt idx="357">
                  <c:v>0.38</c:v>
                </c:pt>
                <c:pt idx="358">
                  <c:v>0.48</c:v>
                </c:pt>
                <c:pt idx="359">
                  <c:v>1.84</c:v>
                </c:pt>
                <c:pt idx="360">
                  <c:v>2.77</c:v>
                </c:pt>
                <c:pt idx="361">
                  <c:v>0.67</c:v>
                </c:pt>
                <c:pt idx="362">
                  <c:v>1.24</c:v>
                </c:pt>
                <c:pt idx="363">
                  <c:v>0.32</c:v>
                </c:pt>
                <c:pt idx="364">
                  <c:v>0.57999999999999996</c:v>
                </c:pt>
                <c:pt idx="365">
                  <c:v>1.07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33056"/>
        <c:axId val="229934592"/>
      </c:lineChart>
      <c:catAx>
        <c:axId val="22993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993459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2993459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993305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Data!$BK$7:$BK$372</c:f>
              <c:numCache>
                <c:formatCode>0.00</c:formatCode>
                <c:ptCount val="366"/>
                <c:pt idx="165">
                  <c:v>57.04</c:v>
                </c:pt>
                <c:pt idx="166">
                  <c:v>39.49</c:v>
                </c:pt>
                <c:pt idx="167">
                  <c:v>50.94</c:v>
                </c:pt>
                <c:pt idx="168">
                  <c:v>27.34</c:v>
                </c:pt>
                <c:pt idx="169">
                  <c:v>8.6300000000000008</c:v>
                </c:pt>
                <c:pt idx="170">
                  <c:v>22.22</c:v>
                </c:pt>
                <c:pt idx="171">
                  <c:v>62.56</c:v>
                </c:pt>
                <c:pt idx="172">
                  <c:v>37.72</c:v>
                </c:pt>
                <c:pt idx="173">
                  <c:v>22.16</c:v>
                </c:pt>
                <c:pt idx="174">
                  <c:v>21.26</c:v>
                </c:pt>
                <c:pt idx="175">
                  <c:v>24.55</c:v>
                </c:pt>
                <c:pt idx="176">
                  <c:v>28.42</c:v>
                </c:pt>
                <c:pt idx="177">
                  <c:v>34.42</c:v>
                </c:pt>
                <c:pt idx="178">
                  <c:v>42.26</c:v>
                </c:pt>
                <c:pt idx="179">
                  <c:v>34.74</c:v>
                </c:pt>
                <c:pt idx="180">
                  <c:v>46.33</c:v>
                </c:pt>
                <c:pt idx="181">
                  <c:v>38.29</c:v>
                </c:pt>
                <c:pt idx="182">
                  <c:v>47.08</c:v>
                </c:pt>
                <c:pt idx="183">
                  <c:v>38.950000000000003</c:v>
                </c:pt>
                <c:pt idx="184">
                  <c:v>42.29</c:v>
                </c:pt>
                <c:pt idx="185">
                  <c:v>42.83</c:v>
                </c:pt>
                <c:pt idx="186">
                  <c:v>44.12</c:v>
                </c:pt>
                <c:pt idx="187">
                  <c:v>61.55</c:v>
                </c:pt>
                <c:pt idx="188">
                  <c:v>61.47</c:v>
                </c:pt>
                <c:pt idx="189">
                  <c:v>61.27</c:v>
                </c:pt>
                <c:pt idx="190">
                  <c:v>39.75</c:v>
                </c:pt>
                <c:pt idx="191">
                  <c:v>50.37</c:v>
                </c:pt>
                <c:pt idx="192">
                  <c:v>62.39</c:v>
                </c:pt>
                <c:pt idx="193">
                  <c:v>63.48</c:v>
                </c:pt>
                <c:pt idx="194">
                  <c:v>64.61</c:v>
                </c:pt>
                <c:pt idx="195">
                  <c:v>64.180000000000007</c:v>
                </c:pt>
                <c:pt idx="196">
                  <c:v>64.73</c:v>
                </c:pt>
                <c:pt idx="197">
                  <c:v>32.78</c:v>
                </c:pt>
                <c:pt idx="198">
                  <c:v>40.56</c:v>
                </c:pt>
                <c:pt idx="211">
                  <c:v>53.11</c:v>
                </c:pt>
                <c:pt idx="212">
                  <c:v>60.48</c:v>
                </c:pt>
                <c:pt idx="213">
                  <c:v>60.2</c:v>
                </c:pt>
                <c:pt idx="214">
                  <c:v>25.52</c:v>
                </c:pt>
                <c:pt idx="215">
                  <c:v>13.2</c:v>
                </c:pt>
                <c:pt idx="216">
                  <c:v>9.1999999999999993</c:v>
                </c:pt>
                <c:pt idx="217">
                  <c:v>9.3000000000000007</c:v>
                </c:pt>
                <c:pt idx="218">
                  <c:v>41.44</c:v>
                </c:pt>
                <c:pt idx="219">
                  <c:v>57.45</c:v>
                </c:pt>
                <c:pt idx="220">
                  <c:v>55.28</c:v>
                </c:pt>
                <c:pt idx="221">
                  <c:v>53.55</c:v>
                </c:pt>
                <c:pt idx="222">
                  <c:v>53.61</c:v>
                </c:pt>
                <c:pt idx="223">
                  <c:v>43.91</c:v>
                </c:pt>
                <c:pt idx="224">
                  <c:v>56.04</c:v>
                </c:pt>
                <c:pt idx="225">
                  <c:v>54.92</c:v>
                </c:pt>
                <c:pt idx="226">
                  <c:v>48.79</c:v>
                </c:pt>
                <c:pt idx="227">
                  <c:v>51.17</c:v>
                </c:pt>
                <c:pt idx="228">
                  <c:v>19.93</c:v>
                </c:pt>
                <c:pt idx="229">
                  <c:v>34.86</c:v>
                </c:pt>
                <c:pt idx="230">
                  <c:v>36.590000000000003</c:v>
                </c:pt>
                <c:pt idx="231">
                  <c:v>17.96</c:v>
                </c:pt>
                <c:pt idx="232">
                  <c:v>46.12</c:v>
                </c:pt>
                <c:pt idx="233">
                  <c:v>37.9</c:v>
                </c:pt>
                <c:pt idx="234">
                  <c:v>51.95</c:v>
                </c:pt>
                <c:pt idx="235">
                  <c:v>50.8</c:v>
                </c:pt>
                <c:pt idx="236">
                  <c:v>50.25</c:v>
                </c:pt>
                <c:pt idx="237">
                  <c:v>49.83</c:v>
                </c:pt>
                <c:pt idx="238">
                  <c:v>44.48</c:v>
                </c:pt>
                <c:pt idx="239">
                  <c:v>38.770000000000003</c:v>
                </c:pt>
                <c:pt idx="240">
                  <c:v>40.409999999999997</c:v>
                </c:pt>
                <c:pt idx="241">
                  <c:v>43.13</c:v>
                </c:pt>
                <c:pt idx="242">
                  <c:v>24.01</c:v>
                </c:pt>
                <c:pt idx="243">
                  <c:v>16.38</c:v>
                </c:pt>
                <c:pt idx="244">
                  <c:v>29.04</c:v>
                </c:pt>
                <c:pt idx="318">
                  <c:v>2.63</c:v>
                </c:pt>
                <c:pt idx="319">
                  <c:v>1.96</c:v>
                </c:pt>
                <c:pt idx="320">
                  <c:v>2.5</c:v>
                </c:pt>
                <c:pt idx="321">
                  <c:v>1.17</c:v>
                </c:pt>
                <c:pt idx="322">
                  <c:v>2.14</c:v>
                </c:pt>
                <c:pt idx="323">
                  <c:v>2.08</c:v>
                </c:pt>
                <c:pt idx="324">
                  <c:v>2.5</c:v>
                </c:pt>
                <c:pt idx="325">
                  <c:v>2.17</c:v>
                </c:pt>
                <c:pt idx="326">
                  <c:v>1.99</c:v>
                </c:pt>
                <c:pt idx="327">
                  <c:v>2.59</c:v>
                </c:pt>
                <c:pt idx="328">
                  <c:v>1.77</c:v>
                </c:pt>
                <c:pt idx="329">
                  <c:v>1.07</c:v>
                </c:pt>
                <c:pt idx="330">
                  <c:v>0.99</c:v>
                </c:pt>
                <c:pt idx="331">
                  <c:v>0.68</c:v>
                </c:pt>
                <c:pt idx="332">
                  <c:v>0.46</c:v>
                </c:pt>
                <c:pt idx="333">
                  <c:v>1.33</c:v>
                </c:pt>
                <c:pt idx="334">
                  <c:v>0.43</c:v>
                </c:pt>
                <c:pt idx="335">
                  <c:v>0.47</c:v>
                </c:pt>
                <c:pt idx="336">
                  <c:v>0.67</c:v>
                </c:pt>
                <c:pt idx="337">
                  <c:v>0.64</c:v>
                </c:pt>
                <c:pt idx="338">
                  <c:v>0.36</c:v>
                </c:pt>
                <c:pt idx="339">
                  <c:v>0.74</c:v>
                </c:pt>
                <c:pt idx="340">
                  <c:v>1.6</c:v>
                </c:pt>
                <c:pt idx="341">
                  <c:v>0.52</c:v>
                </c:pt>
                <c:pt idx="342">
                  <c:v>0.59</c:v>
                </c:pt>
                <c:pt idx="343">
                  <c:v>3.19</c:v>
                </c:pt>
                <c:pt idx="344">
                  <c:v>1.1200000000000001</c:v>
                </c:pt>
                <c:pt idx="345">
                  <c:v>3.13</c:v>
                </c:pt>
                <c:pt idx="346">
                  <c:v>1.1000000000000001</c:v>
                </c:pt>
                <c:pt idx="347">
                  <c:v>1</c:v>
                </c:pt>
                <c:pt idx="348">
                  <c:v>3.11</c:v>
                </c:pt>
                <c:pt idx="349">
                  <c:v>0.61</c:v>
                </c:pt>
                <c:pt idx="350">
                  <c:v>1.23</c:v>
                </c:pt>
                <c:pt idx="351">
                  <c:v>2.17</c:v>
                </c:pt>
                <c:pt idx="352">
                  <c:v>0.05</c:v>
                </c:pt>
                <c:pt idx="353">
                  <c:v>0.62</c:v>
                </c:pt>
                <c:pt idx="354">
                  <c:v>1.07</c:v>
                </c:pt>
                <c:pt idx="355">
                  <c:v>1.36</c:v>
                </c:pt>
                <c:pt idx="356">
                  <c:v>1.42</c:v>
                </c:pt>
                <c:pt idx="357">
                  <c:v>0.89</c:v>
                </c:pt>
                <c:pt idx="358">
                  <c:v>1.0900000000000001</c:v>
                </c:pt>
                <c:pt idx="359">
                  <c:v>3.36</c:v>
                </c:pt>
                <c:pt idx="360">
                  <c:v>4.43</c:v>
                </c:pt>
                <c:pt idx="361">
                  <c:v>1.49</c:v>
                </c:pt>
                <c:pt idx="362">
                  <c:v>2.11</c:v>
                </c:pt>
                <c:pt idx="363">
                  <c:v>0.71</c:v>
                </c:pt>
                <c:pt idx="364">
                  <c:v>2.12</c:v>
                </c:pt>
                <c:pt idx="365">
                  <c:v>3.3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  <c:pt idx="365">
                  <c:v>9.2919999999999998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165">
                  <c:v>54.35</c:v>
                </c:pt>
                <c:pt idx="166">
                  <c:v>37.630000000000003</c:v>
                </c:pt>
                <c:pt idx="167">
                  <c:v>48.54</c:v>
                </c:pt>
                <c:pt idx="168">
                  <c:v>26.05</c:v>
                </c:pt>
                <c:pt idx="169">
                  <c:v>8.2200000000000006</c:v>
                </c:pt>
                <c:pt idx="170">
                  <c:v>21.17</c:v>
                </c:pt>
                <c:pt idx="171">
                  <c:v>59.61</c:v>
                </c:pt>
                <c:pt idx="172">
                  <c:v>35.94</c:v>
                </c:pt>
                <c:pt idx="173">
                  <c:v>21.12</c:v>
                </c:pt>
                <c:pt idx="174">
                  <c:v>20.260000000000002</c:v>
                </c:pt>
                <c:pt idx="175">
                  <c:v>23.39</c:v>
                </c:pt>
                <c:pt idx="176">
                  <c:v>27.08</c:v>
                </c:pt>
                <c:pt idx="177">
                  <c:v>32.799999999999997</c:v>
                </c:pt>
                <c:pt idx="178">
                  <c:v>40.270000000000003</c:v>
                </c:pt>
                <c:pt idx="179">
                  <c:v>33.1</c:v>
                </c:pt>
                <c:pt idx="180">
                  <c:v>44.15</c:v>
                </c:pt>
                <c:pt idx="181">
                  <c:v>36.49</c:v>
                </c:pt>
                <c:pt idx="182">
                  <c:v>44.86</c:v>
                </c:pt>
                <c:pt idx="183">
                  <c:v>37.119999999999997</c:v>
                </c:pt>
                <c:pt idx="184">
                  <c:v>40.299999999999997</c:v>
                </c:pt>
                <c:pt idx="185">
                  <c:v>40.81</c:v>
                </c:pt>
                <c:pt idx="186">
                  <c:v>42.04</c:v>
                </c:pt>
                <c:pt idx="187">
                  <c:v>58.65</c:v>
                </c:pt>
                <c:pt idx="188">
                  <c:v>58.58</c:v>
                </c:pt>
                <c:pt idx="189">
                  <c:v>58.39</c:v>
                </c:pt>
                <c:pt idx="190">
                  <c:v>37.880000000000003</c:v>
                </c:pt>
                <c:pt idx="191">
                  <c:v>48</c:v>
                </c:pt>
                <c:pt idx="192">
                  <c:v>59.45</c:v>
                </c:pt>
                <c:pt idx="193">
                  <c:v>60.49</c:v>
                </c:pt>
                <c:pt idx="194">
                  <c:v>61.57</c:v>
                </c:pt>
                <c:pt idx="195">
                  <c:v>61.16</c:v>
                </c:pt>
                <c:pt idx="196">
                  <c:v>61.68</c:v>
                </c:pt>
                <c:pt idx="197">
                  <c:v>31.24</c:v>
                </c:pt>
                <c:pt idx="198">
                  <c:v>38.65</c:v>
                </c:pt>
                <c:pt idx="211">
                  <c:v>50.61</c:v>
                </c:pt>
                <c:pt idx="212">
                  <c:v>57.63</c:v>
                </c:pt>
                <c:pt idx="213">
                  <c:v>57.37</c:v>
                </c:pt>
                <c:pt idx="214">
                  <c:v>24.32</c:v>
                </c:pt>
                <c:pt idx="215">
                  <c:v>12.58</c:v>
                </c:pt>
                <c:pt idx="216">
                  <c:v>8.77</c:v>
                </c:pt>
                <c:pt idx="217">
                  <c:v>8.86</c:v>
                </c:pt>
                <c:pt idx="218">
                  <c:v>39.49</c:v>
                </c:pt>
                <c:pt idx="219">
                  <c:v>54.75</c:v>
                </c:pt>
                <c:pt idx="220">
                  <c:v>52.68</c:v>
                </c:pt>
                <c:pt idx="221">
                  <c:v>51.03</c:v>
                </c:pt>
                <c:pt idx="222">
                  <c:v>51.09</c:v>
                </c:pt>
                <c:pt idx="223">
                  <c:v>41.84</c:v>
                </c:pt>
                <c:pt idx="224">
                  <c:v>53.4</c:v>
                </c:pt>
                <c:pt idx="225">
                  <c:v>52.33</c:v>
                </c:pt>
                <c:pt idx="226">
                  <c:v>46.49</c:v>
                </c:pt>
                <c:pt idx="227">
                  <c:v>48.76</c:v>
                </c:pt>
                <c:pt idx="228">
                  <c:v>18.989999999999998</c:v>
                </c:pt>
                <c:pt idx="229">
                  <c:v>33.22</c:v>
                </c:pt>
                <c:pt idx="230">
                  <c:v>34.869999999999997</c:v>
                </c:pt>
                <c:pt idx="231">
                  <c:v>17.11</c:v>
                </c:pt>
                <c:pt idx="232">
                  <c:v>43.95</c:v>
                </c:pt>
                <c:pt idx="233">
                  <c:v>36.119999999999997</c:v>
                </c:pt>
                <c:pt idx="234">
                  <c:v>49.5</c:v>
                </c:pt>
                <c:pt idx="235">
                  <c:v>48.41</c:v>
                </c:pt>
                <c:pt idx="236">
                  <c:v>47.88</c:v>
                </c:pt>
                <c:pt idx="237">
                  <c:v>47.48</c:v>
                </c:pt>
                <c:pt idx="238">
                  <c:v>42.39</c:v>
                </c:pt>
                <c:pt idx="239">
                  <c:v>36.94</c:v>
                </c:pt>
                <c:pt idx="240">
                  <c:v>38.51</c:v>
                </c:pt>
                <c:pt idx="241">
                  <c:v>41.1</c:v>
                </c:pt>
                <c:pt idx="242">
                  <c:v>22.88</c:v>
                </c:pt>
                <c:pt idx="243">
                  <c:v>15.61</c:v>
                </c:pt>
                <c:pt idx="244">
                  <c:v>27.67</c:v>
                </c:pt>
                <c:pt idx="318">
                  <c:v>2.504</c:v>
                </c:pt>
                <c:pt idx="319">
                  <c:v>1.8660000000000001</c:v>
                </c:pt>
                <c:pt idx="320">
                  <c:v>2.387</c:v>
                </c:pt>
                <c:pt idx="321">
                  <c:v>1.113</c:v>
                </c:pt>
                <c:pt idx="322">
                  <c:v>2.0430000000000001</c:v>
                </c:pt>
                <c:pt idx="323">
                  <c:v>1.986</c:v>
                </c:pt>
                <c:pt idx="324">
                  <c:v>2.3839999999999999</c:v>
                </c:pt>
                <c:pt idx="325">
                  <c:v>2.0699999999999998</c:v>
                </c:pt>
                <c:pt idx="326">
                  <c:v>1.8939999999999999</c:v>
                </c:pt>
                <c:pt idx="327">
                  <c:v>2.472</c:v>
                </c:pt>
                <c:pt idx="328">
                  <c:v>1.6850000000000001</c:v>
                </c:pt>
                <c:pt idx="329">
                  <c:v>1.0169999999999999</c:v>
                </c:pt>
                <c:pt idx="330">
                  <c:v>0.94099999999999995</c:v>
                </c:pt>
                <c:pt idx="331">
                  <c:v>0.64700000000000002</c:v>
                </c:pt>
                <c:pt idx="332">
                  <c:v>0.435</c:v>
                </c:pt>
                <c:pt idx="333">
                  <c:v>1.2629999999999999</c:v>
                </c:pt>
                <c:pt idx="334">
                  <c:v>0.41199999999999998</c:v>
                </c:pt>
                <c:pt idx="335">
                  <c:v>0.44500000000000001</c:v>
                </c:pt>
                <c:pt idx="336">
                  <c:v>0.64300000000000002</c:v>
                </c:pt>
                <c:pt idx="337">
                  <c:v>0.60599999999999998</c:v>
                </c:pt>
                <c:pt idx="338">
                  <c:v>0.34</c:v>
                </c:pt>
                <c:pt idx="339">
                  <c:v>0.70699999999999996</c:v>
                </c:pt>
                <c:pt idx="340">
                  <c:v>1.526</c:v>
                </c:pt>
                <c:pt idx="341">
                  <c:v>0.49099999999999999</c:v>
                </c:pt>
                <c:pt idx="342">
                  <c:v>0.56100000000000005</c:v>
                </c:pt>
                <c:pt idx="343">
                  <c:v>3.0419999999999998</c:v>
                </c:pt>
                <c:pt idx="344">
                  <c:v>1.0680000000000001</c:v>
                </c:pt>
                <c:pt idx="345">
                  <c:v>2.9780000000000002</c:v>
                </c:pt>
                <c:pt idx="346">
                  <c:v>1.0509999999999999</c:v>
                </c:pt>
                <c:pt idx="347">
                  <c:v>0.95499999999999996</c:v>
                </c:pt>
                <c:pt idx="348">
                  <c:v>2.9649999999999999</c:v>
                </c:pt>
                <c:pt idx="349">
                  <c:v>0.57999999999999996</c:v>
                </c:pt>
                <c:pt idx="350">
                  <c:v>1.1719999999999999</c:v>
                </c:pt>
                <c:pt idx="351">
                  <c:v>2.0699999999999998</c:v>
                </c:pt>
                <c:pt idx="352">
                  <c:v>4.5999999999999999E-2</c:v>
                </c:pt>
                <c:pt idx="353">
                  <c:v>0.58799999999999997</c:v>
                </c:pt>
                <c:pt idx="354">
                  <c:v>1.022</c:v>
                </c:pt>
                <c:pt idx="355">
                  <c:v>1.2949999999999999</c:v>
                </c:pt>
                <c:pt idx="356">
                  <c:v>1.3560000000000001</c:v>
                </c:pt>
                <c:pt idx="357">
                  <c:v>0.84499999999999997</c:v>
                </c:pt>
                <c:pt idx="358">
                  <c:v>1.0349999999999999</c:v>
                </c:pt>
                <c:pt idx="359">
                  <c:v>3.198</c:v>
                </c:pt>
                <c:pt idx="360">
                  <c:v>4.2169999999999996</c:v>
                </c:pt>
                <c:pt idx="361">
                  <c:v>1.4159999999999999</c:v>
                </c:pt>
                <c:pt idx="362">
                  <c:v>2.0139999999999998</c:v>
                </c:pt>
                <c:pt idx="363">
                  <c:v>0.67700000000000005</c:v>
                </c:pt>
                <c:pt idx="364">
                  <c:v>2.0230000000000001</c:v>
                </c:pt>
                <c:pt idx="365">
                  <c:v>3.1480000000000001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53536"/>
        <c:axId val="229955072"/>
      </c:lineChart>
      <c:catAx>
        <c:axId val="22995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99550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2995507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9953536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</a:t>
            </a:r>
          </a:p>
        </c:rich>
      </c:tx>
      <c:layout>
        <c:manualLayout>
          <c:xMode val="edge"/>
          <c:yMode val="edge"/>
          <c:x val="0.22748711382840819"/>
          <c:y val="5.59117880667963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Data!$R$7:$R$372</c:f>
              <c:numCache>
                <c:formatCode>General</c:formatCode>
                <c:ptCount val="366"/>
                <c:pt idx="0">
                  <c:v>0.8</c:v>
                </c:pt>
                <c:pt idx="1">
                  <c:v>2.6</c:v>
                </c:pt>
                <c:pt idx="2">
                  <c:v>0.7</c:v>
                </c:pt>
                <c:pt idx="3">
                  <c:v>-10.4</c:v>
                </c:pt>
                <c:pt idx="4">
                  <c:v>-6.1</c:v>
                </c:pt>
                <c:pt idx="5">
                  <c:v>-5.2</c:v>
                </c:pt>
                <c:pt idx="6">
                  <c:v>0.6</c:v>
                </c:pt>
                <c:pt idx="7">
                  <c:v>2.5</c:v>
                </c:pt>
                <c:pt idx="8">
                  <c:v>0.9</c:v>
                </c:pt>
                <c:pt idx="9">
                  <c:v>-0.4</c:v>
                </c:pt>
                <c:pt idx="10">
                  <c:v>1.6</c:v>
                </c:pt>
                <c:pt idx="11">
                  <c:v>1.5</c:v>
                </c:pt>
                <c:pt idx="12">
                  <c:v>4</c:v>
                </c:pt>
                <c:pt idx="13">
                  <c:v>2.2000000000000002</c:v>
                </c:pt>
                <c:pt idx="14">
                  <c:v>2.8</c:v>
                </c:pt>
                <c:pt idx="15">
                  <c:v>0.5</c:v>
                </c:pt>
                <c:pt idx="16">
                  <c:v>-9.1999999999999993</c:v>
                </c:pt>
                <c:pt idx="17">
                  <c:v>-9.3000000000000007</c:v>
                </c:pt>
                <c:pt idx="18">
                  <c:v>-9.1</c:v>
                </c:pt>
                <c:pt idx="19">
                  <c:v>-8.3000000000000007</c:v>
                </c:pt>
                <c:pt idx="20">
                  <c:v>-9.8000000000000007</c:v>
                </c:pt>
                <c:pt idx="21">
                  <c:v>-7.2</c:v>
                </c:pt>
                <c:pt idx="22">
                  <c:v>-5</c:v>
                </c:pt>
                <c:pt idx="23">
                  <c:v>-7.9</c:v>
                </c:pt>
                <c:pt idx="24">
                  <c:v>-9.1999999999999993</c:v>
                </c:pt>
                <c:pt idx="25">
                  <c:v>-5.0999999999999996</c:v>
                </c:pt>
                <c:pt idx="26">
                  <c:v>-11</c:v>
                </c:pt>
                <c:pt idx="27">
                  <c:v>-17.100000000000001</c:v>
                </c:pt>
                <c:pt idx="28">
                  <c:v>-20.8</c:v>
                </c:pt>
                <c:pt idx="29">
                  <c:v>-8.3000000000000007</c:v>
                </c:pt>
                <c:pt idx="30">
                  <c:v>-6.3</c:v>
                </c:pt>
                <c:pt idx="31">
                  <c:v>-9.4</c:v>
                </c:pt>
                <c:pt idx="32">
                  <c:v>-7.9</c:v>
                </c:pt>
                <c:pt idx="33">
                  <c:v>-11.2</c:v>
                </c:pt>
                <c:pt idx="34">
                  <c:v>-5.4</c:v>
                </c:pt>
                <c:pt idx="35">
                  <c:v>0.2</c:v>
                </c:pt>
                <c:pt idx="36">
                  <c:v>0.5</c:v>
                </c:pt>
                <c:pt idx="37">
                  <c:v>0.4</c:v>
                </c:pt>
                <c:pt idx="38">
                  <c:v>0.9</c:v>
                </c:pt>
                <c:pt idx="39">
                  <c:v>-0.2</c:v>
                </c:pt>
                <c:pt idx="40">
                  <c:v>1.2</c:v>
                </c:pt>
                <c:pt idx="41">
                  <c:v>5.2</c:v>
                </c:pt>
                <c:pt idx="42">
                  <c:v>10.1</c:v>
                </c:pt>
                <c:pt idx="43">
                  <c:v>7.5</c:v>
                </c:pt>
                <c:pt idx="44">
                  <c:v>6.7</c:v>
                </c:pt>
                <c:pt idx="45">
                  <c:v>10.4</c:v>
                </c:pt>
                <c:pt idx="46">
                  <c:v>10.199999999999999</c:v>
                </c:pt>
                <c:pt idx="47">
                  <c:v>1</c:v>
                </c:pt>
                <c:pt idx="48">
                  <c:v>4.0999999999999996</c:v>
                </c:pt>
                <c:pt idx="49">
                  <c:v>1.7</c:v>
                </c:pt>
                <c:pt idx="50">
                  <c:v>0.1</c:v>
                </c:pt>
                <c:pt idx="51">
                  <c:v>-1.8</c:v>
                </c:pt>
                <c:pt idx="52">
                  <c:v>-6.1</c:v>
                </c:pt>
                <c:pt idx="53">
                  <c:v>-3.9</c:v>
                </c:pt>
                <c:pt idx="54">
                  <c:v>-5.7</c:v>
                </c:pt>
                <c:pt idx="55">
                  <c:v>-8.6999999999999993</c:v>
                </c:pt>
                <c:pt idx="56">
                  <c:v>-7.2</c:v>
                </c:pt>
                <c:pt idx="57">
                  <c:v>-9.1999999999999993</c:v>
                </c:pt>
                <c:pt idx="58">
                  <c:v>-5.5</c:v>
                </c:pt>
                <c:pt idx="59">
                  <c:v>-1.7</c:v>
                </c:pt>
                <c:pt idx="60">
                  <c:v>6.7</c:v>
                </c:pt>
                <c:pt idx="61">
                  <c:v>5.0999999999999996</c:v>
                </c:pt>
                <c:pt idx="62">
                  <c:v>-3.2</c:v>
                </c:pt>
                <c:pt idx="63">
                  <c:v>-9.5</c:v>
                </c:pt>
                <c:pt idx="64">
                  <c:v>-4.5999999999999996</c:v>
                </c:pt>
                <c:pt idx="65">
                  <c:v>-2.8</c:v>
                </c:pt>
                <c:pt idx="66">
                  <c:v>-3.4</c:v>
                </c:pt>
                <c:pt idx="67">
                  <c:v>0</c:v>
                </c:pt>
                <c:pt idx="68">
                  <c:v>3.8</c:v>
                </c:pt>
                <c:pt idx="69">
                  <c:v>4.7</c:v>
                </c:pt>
                <c:pt idx="70">
                  <c:v>4.5999999999999996</c:v>
                </c:pt>
                <c:pt idx="71">
                  <c:v>1.7</c:v>
                </c:pt>
                <c:pt idx="72">
                  <c:v>5.3</c:v>
                </c:pt>
                <c:pt idx="73">
                  <c:v>12.3</c:v>
                </c:pt>
                <c:pt idx="74">
                  <c:v>3.4</c:v>
                </c:pt>
                <c:pt idx="75">
                  <c:v>-1</c:v>
                </c:pt>
                <c:pt idx="76">
                  <c:v>4.3</c:v>
                </c:pt>
                <c:pt idx="77">
                  <c:v>4.7</c:v>
                </c:pt>
                <c:pt idx="78">
                  <c:v>5.5</c:v>
                </c:pt>
                <c:pt idx="79">
                  <c:v>4.9000000000000004</c:v>
                </c:pt>
                <c:pt idx="80">
                  <c:v>4.7</c:v>
                </c:pt>
                <c:pt idx="81">
                  <c:v>0.6</c:v>
                </c:pt>
                <c:pt idx="82">
                  <c:v>-3.4</c:v>
                </c:pt>
                <c:pt idx="83">
                  <c:v>-5.2</c:v>
                </c:pt>
                <c:pt idx="84">
                  <c:v>1.6</c:v>
                </c:pt>
                <c:pt idx="85">
                  <c:v>-0.1</c:v>
                </c:pt>
                <c:pt idx="86">
                  <c:v>-2</c:v>
                </c:pt>
                <c:pt idx="87">
                  <c:v>2.6</c:v>
                </c:pt>
                <c:pt idx="88">
                  <c:v>-2.9</c:v>
                </c:pt>
                <c:pt idx="89">
                  <c:v>-1.3</c:v>
                </c:pt>
                <c:pt idx="90">
                  <c:v>-1</c:v>
                </c:pt>
                <c:pt idx="91">
                  <c:v>1.5</c:v>
                </c:pt>
                <c:pt idx="92">
                  <c:v>1.1000000000000001</c:v>
                </c:pt>
                <c:pt idx="93">
                  <c:v>2.1</c:v>
                </c:pt>
                <c:pt idx="94">
                  <c:v>7.5</c:v>
                </c:pt>
                <c:pt idx="95">
                  <c:v>10.1</c:v>
                </c:pt>
                <c:pt idx="96">
                  <c:v>8.6</c:v>
                </c:pt>
                <c:pt idx="97">
                  <c:v>11.3</c:v>
                </c:pt>
                <c:pt idx="98">
                  <c:v>15.5</c:v>
                </c:pt>
                <c:pt idx="99">
                  <c:v>10.6</c:v>
                </c:pt>
                <c:pt idx="100">
                  <c:v>7.6</c:v>
                </c:pt>
                <c:pt idx="101">
                  <c:v>4</c:v>
                </c:pt>
                <c:pt idx="102">
                  <c:v>3.7</c:v>
                </c:pt>
                <c:pt idx="103">
                  <c:v>7.2</c:v>
                </c:pt>
                <c:pt idx="104">
                  <c:v>8.3000000000000007</c:v>
                </c:pt>
                <c:pt idx="105">
                  <c:v>10.4</c:v>
                </c:pt>
                <c:pt idx="106">
                  <c:v>5</c:v>
                </c:pt>
                <c:pt idx="107">
                  <c:v>4.5999999999999996</c:v>
                </c:pt>
                <c:pt idx="108">
                  <c:v>3</c:v>
                </c:pt>
                <c:pt idx="109">
                  <c:v>5.9</c:v>
                </c:pt>
                <c:pt idx="110">
                  <c:v>8</c:v>
                </c:pt>
                <c:pt idx="111">
                  <c:v>7.6</c:v>
                </c:pt>
                <c:pt idx="112">
                  <c:v>3.8</c:v>
                </c:pt>
                <c:pt idx="113">
                  <c:v>5.0999999999999996</c:v>
                </c:pt>
                <c:pt idx="114">
                  <c:v>3.1</c:v>
                </c:pt>
                <c:pt idx="115">
                  <c:v>1.9</c:v>
                </c:pt>
                <c:pt idx="116">
                  <c:v>1.9</c:v>
                </c:pt>
                <c:pt idx="117">
                  <c:v>3.9</c:v>
                </c:pt>
                <c:pt idx="118">
                  <c:v>4.5999999999999996</c:v>
                </c:pt>
                <c:pt idx="119">
                  <c:v>7.8</c:v>
                </c:pt>
                <c:pt idx="120">
                  <c:v>6.1</c:v>
                </c:pt>
                <c:pt idx="121">
                  <c:v>3.8</c:v>
                </c:pt>
                <c:pt idx="122">
                  <c:v>2.7</c:v>
                </c:pt>
                <c:pt idx="123">
                  <c:v>3.4</c:v>
                </c:pt>
                <c:pt idx="124">
                  <c:v>3.8</c:v>
                </c:pt>
                <c:pt idx="125">
                  <c:v>8.1999999999999993</c:v>
                </c:pt>
                <c:pt idx="126">
                  <c:v>5.0999999999999996</c:v>
                </c:pt>
                <c:pt idx="127">
                  <c:v>2.5</c:v>
                </c:pt>
                <c:pt idx="128">
                  <c:v>2.8</c:v>
                </c:pt>
                <c:pt idx="129">
                  <c:v>5.5</c:v>
                </c:pt>
                <c:pt idx="130">
                  <c:v>4.3</c:v>
                </c:pt>
                <c:pt idx="131">
                  <c:v>5</c:v>
                </c:pt>
                <c:pt idx="132">
                  <c:v>7.3</c:v>
                </c:pt>
                <c:pt idx="133">
                  <c:v>9.1999999999999993</c:v>
                </c:pt>
                <c:pt idx="134">
                  <c:v>9.8000000000000007</c:v>
                </c:pt>
                <c:pt idx="135">
                  <c:v>8.6</c:v>
                </c:pt>
                <c:pt idx="136">
                  <c:v>9.1</c:v>
                </c:pt>
                <c:pt idx="137">
                  <c:v>6.4</c:v>
                </c:pt>
                <c:pt idx="138">
                  <c:v>7.3</c:v>
                </c:pt>
                <c:pt idx="139">
                  <c:v>8.6999999999999993</c:v>
                </c:pt>
                <c:pt idx="140">
                  <c:v>8.3000000000000007</c:v>
                </c:pt>
                <c:pt idx="141">
                  <c:v>10</c:v>
                </c:pt>
                <c:pt idx="142">
                  <c:v>5.3</c:v>
                </c:pt>
                <c:pt idx="143">
                  <c:v>12</c:v>
                </c:pt>
                <c:pt idx="144">
                  <c:v>16.3</c:v>
                </c:pt>
                <c:pt idx="145">
                  <c:v>14.8</c:v>
                </c:pt>
                <c:pt idx="146">
                  <c:v>13.1</c:v>
                </c:pt>
                <c:pt idx="147">
                  <c:v>12</c:v>
                </c:pt>
                <c:pt idx="148">
                  <c:v>8.1999999999999993</c:v>
                </c:pt>
                <c:pt idx="149">
                  <c:v>5.5</c:v>
                </c:pt>
                <c:pt idx="150">
                  <c:v>1.8</c:v>
                </c:pt>
                <c:pt idx="151">
                  <c:v>6.3</c:v>
                </c:pt>
                <c:pt idx="152">
                  <c:v>14.9</c:v>
                </c:pt>
                <c:pt idx="153">
                  <c:v>17.8</c:v>
                </c:pt>
                <c:pt idx="154">
                  <c:v>17.5</c:v>
                </c:pt>
                <c:pt idx="155">
                  <c:v>11.1</c:v>
                </c:pt>
                <c:pt idx="156">
                  <c:v>12.6</c:v>
                </c:pt>
                <c:pt idx="157">
                  <c:v>14.8</c:v>
                </c:pt>
                <c:pt idx="158">
                  <c:v>18.899999999999999</c:v>
                </c:pt>
                <c:pt idx="159">
                  <c:v>16.3</c:v>
                </c:pt>
                <c:pt idx="160">
                  <c:v>12.4</c:v>
                </c:pt>
                <c:pt idx="161">
                  <c:v>12.1</c:v>
                </c:pt>
                <c:pt idx="162">
                  <c:v>10.4</c:v>
                </c:pt>
                <c:pt idx="163">
                  <c:v>16.2</c:v>
                </c:pt>
                <c:pt idx="164">
                  <c:v>13.4</c:v>
                </c:pt>
                <c:pt idx="165">
                  <c:v>16.77</c:v>
                </c:pt>
                <c:pt idx="166">
                  <c:v>15.55</c:v>
                </c:pt>
                <c:pt idx="167">
                  <c:v>13.16</c:v>
                </c:pt>
                <c:pt idx="168">
                  <c:v>7.77</c:v>
                </c:pt>
                <c:pt idx="169">
                  <c:v>4.5209999999999999</c:v>
                </c:pt>
                <c:pt idx="170">
                  <c:v>10.27</c:v>
                </c:pt>
                <c:pt idx="171">
                  <c:v>14.42</c:v>
                </c:pt>
                <c:pt idx="172">
                  <c:v>13.73</c:v>
                </c:pt>
                <c:pt idx="173">
                  <c:v>11.81</c:v>
                </c:pt>
                <c:pt idx="174">
                  <c:v>11.31</c:v>
                </c:pt>
                <c:pt idx="175">
                  <c:v>9.23</c:v>
                </c:pt>
                <c:pt idx="176">
                  <c:v>11.65</c:v>
                </c:pt>
                <c:pt idx="177">
                  <c:v>14.45</c:v>
                </c:pt>
                <c:pt idx="178">
                  <c:v>14.99</c:v>
                </c:pt>
                <c:pt idx="179">
                  <c:v>12.79</c:v>
                </c:pt>
                <c:pt idx="180">
                  <c:v>14.1</c:v>
                </c:pt>
                <c:pt idx="181">
                  <c:v>17.25</c:v>
                </c:pt>
                <c:pt idx="182">
                  <c:v>19.12</c:v>
                </c:pt>
                <c:pt idx="183">
                  <c:v>21.77</c:v>
                </c:pt>
                <c:pt idx="184">
                  <c:v>20.100000000000001</c:v>
                </c:pt>
                <c:pt idx="185">
                  <c:v>13.82</c:v>
                </c:pt>
                <c:pt idx="186">
                  <c:v>11.69</c:v>
                </c:pt>
                <c:pt idx="187">
                  <c:v>15.92</c:v>
                </c:pt>
                <c:pt idx="188">
                  <c:v>21.14</c:v>
                </c:pt>
                <c:pt idx="189">
                  <c:v>24.73</c:v>
                </c:pt>
                <c:pt idx="190">
                  <c:v>17.78</c:v>
                </c:pt>
                <c:pt idx="191">
                  <c:v>14.48</c:v>
                </c:pt>
                <c:pt idx="192">
                  <c:v>19.010000000000002</c:v>
                </c:pt>
                <c:pt idx="193">
                  <c:v>22.49</c:v>
                </c:pt>
                <c:pt idx="194">
                  <c:v>22.5</c:v>
                </c:pt>
                <c:pt idx="195">
                  <c:v>23.71</c:v>
                </c:pt>
                <c:pt idx="196">
                  <c:v>24.19</c:v>
                </c:pt>
                <c:pt idx="197">
                  <c:v>16.28</c:v>
                </c:pt>
                <c:pt idx="198">
                  <c:v>18.760000000000002</c:v>
                </c:pt>
                <c:pt idx="199">
                  <c:v>10</c:v>
                </c:pt>
                <c:pt idx="200">
                  <c:v>8.5</c:v>
                </c:pt>
                <c:pt idx="201">
                  <c:v>10.8</c:v>
                </c:pt>
                <c:pt idx="202">
                  <c:v>16.600000000000001</c:v>
                </c:pt>
                <c:pt idx="203">
                  <c:v>21.8</c:v>
                </c:pt>
                <c:pt idx="204">
                  <c:v>22.5</c:v>
                </c:pt>
                <c:pt idx="205">
                  <c:v>23.8</c:v>
                </c:pt>
                <c:pt idx="206">
                  <c:v>21.9</c:v>
                </c:pt>
                <c:pt idx="207">
                  <c:v>23.1</c:v>
                </c:pt>
                <c:pt idx="208">
                  <c:v>24.9</c:v>
                </c:pt>
                <c:pt idx="209">
                  <c:v>26.8</c:v>
                </c:pt>
                <c:pt idx="210">
                  <c:v>21.2</c:v>
                </c:pt>
                <c:pt idx="211">
                  <c:v>22.27</c:v>
                </c:pt>
                <c:pt idx="212">
                  <c:v>17.75</c:v>
                </c:pt>
                <c:pt idx="213">
                  <c:v>20.5</c:v>
                </c:pt>
                <c:pt idx="214">
                  <c:v>10.68</c:v>
                </c:pt>
                <c:pt idx="215">
                  <c:v>9.56</c:v>
                </c:pt>
                <c:pt idx="216">
                  <c:v>7.83</c:v>
                </c:pt>
                <c:pt idx="217">
                  <c:v>6.1619999999999999</c:v>
                </c:pt>
                <c:pt idx="218">
                  <c:v>15.67</c:v>
                </c:pt>
                <c:pt idx="219">
                  <c:v>19.75</c:v>
                </c:pt>
                <c:pt idx="220">
                  <c:v>23.18</c:v>
                </c:pt>
                <c:pt idx="221">
                  <c:v>22.43</c:v>
                </c:pt>
                <c:pt idx="222">
                  <c:v>25.01</c:v>
                </c:pt>
                <c:pt idx="223">
                  <c:v>23.44</c:v>
                </c:pt>
                <c:pt idx="224">
                  <c:v>17.760000000000002</c:v>
                </c:pt>
                <c:pt idx="225">
                  <c:v>22.83</c:v>
                </c:pt>
                <c:pt idx="226">
                  <c:v>23.55</c:v>
                </c:pt>
                <c:pt idx="227">
                  <c:v>21.56</c:v>
                </c:pt>
                <c:pt idx="228">
                  <c:v>14.2</c:v>
                </c:pt>
                <c:pt idx="229">
                  <c:v>12.27</c:v>
                </c:pt>
                <c:pt idx="230">
                  <c:v>12.88</c:v>
                </c:pt>
                <c:pt idx="231">
                  <c:v>11.67</c:v>
                </c:pt>
                <c:pt idx="232">
                  <c:v>11.87</c:v>
                </c:pt>
                <c:pt idx="233">
                  <c:v>13.79</c:v>
                </c:pt>
                <c:pt idx="234">
                  <c:v>19.899999999999999</c:v>
                </c:pt>
                <c:pt idx="235">
                  <c:v>23.61</c:v>
                </c:pt>
                <c:pt idx="236">
                  <c:v>24.88</c:v>
                </c:pt>
                <c:pt idx="237">
                  <c:v>25.97</c:v>
                </c:pt>
                <c:pt idx="238">
                  <c:v>26.98</c:v>
                </c:pt>
                <c:pt idx="239">
                  <c:v>27.84</c:v>
                </c:pt>
                <c:pt idx="240">
                  <c:v>22.35</c:v>
                </c:pt>
                <c:pt idx="241">
                  <c:v>23.46</c:v>
                </c:pt>
                <c:pt idx="242">
                  <c:v>23</c:v>
                </c:pt>
                <c:pt idx="243">
                  <c:v>8.4600000000000009</c:v>
                </c:pt>
                <c:pt idx="244">
                  <c:v>10.09</c:v>
                </c:pt>
                <c:pt idx="245">
                  <c:v>15.1</c:v>
                </c:pt>
                <c:pt idx="246">
                  <c:v>11.1</c:v>
                </c:pt>
                <c:pt idx="247">
                  <c:v>8.5</c:v>
                </c:pt>
                <c:pt idx="248">
                  <c:v>8.5</c:v>
                </c:pt>
                <c:pt idx="249">
                  <c:v>9.6999999999999993</c:v>
                </c:pt>
                <c:pt idx="250">
                  <c:v>7.6</c:v>
                </c:pt>
                <c:pt idx="251">
                  <c:v>13.7</c:v>
                </c:pt>
                <c:pt idx="252">
                  <c:v>15.5</c:v>
                </c:pt>
                <c:pt idx="253">
                  <c:v>19.2</c:v>
                </c:pt>
                <c:pt idx="254">
                  <c:v>22.9</c:v>
                </c:pt>
                <c:pt idx="255">
                  <c:v>17.899999999999999</c:v>
                </c:pt>
                <c:pt idx="256">
                  <c:v>13</c:v>
                </c:pt>
                <c:pt idx="257">
                  <c:v>11.1</c:v>
                </c:pt>
                <c:pt idx="258">
                  <c:v>7.7</c:v>
                </c:pt>
                <c:pt idx="259">
                  <c:v>7.6</c:v>
                </c:pt>
                <c:pt idx="260">
                  <c:v>9.3000000000000007</c:v>
                </c:pt>
                <c:pt idx="261">
                  <c:v>9.3000000000000007</c:v>
                </c:pt>
                <c:pt idx="262">
                  <c:v>7.8</c:v>
                </c:pt>
                <c:pt idx="263">
                  <c:v>4.2</c:v>
                </c:pt>
                <c:pt idx="264">
                  <c:v>4</c:v>
                </c:pt>
                <c:pt idx="265">
                  <c:v>4.2</c:v>
                </c:pt>
                <c:pt idx="266">
                  <c:v>7</c:v>
                </c:pt>
                <c:pt idx="267">
                  <c:v>7.9</c:v>
                </c:pt>
                <c:pt idx="268">
                  <c:v>8.9</c:v>
                </c:pt>
                <c:pt idx="269">
                  <c:v>10.4</c:v>
                </c:pt>
                <c:pt idx="270">
                  <c:v>15.5</c:v>
                </c:pt>
                <c:pt idx="271">
                  <c:v>16.3</c:v>
                </c:pt>
                <c:pt idx="272">
                  <c:v>10.5</c:v>
                </c:pt>
                <c:pt idx="273">
                  <c:v>11.3</c:v>
                </c:pt>
                <c:pt idx="274">
                  <c:v>6.2</c:v>
                </c:pt>
                <c:pt idx="275">
                  <c:v>10.3</c:v>
                </c:pt>
                <c:pt idx="276">
                  <c:v>10.7</c:v>
                </c:pt>
                <c:pt idx="277">
                  <c:v>9.8000000000000007</c:v>
                </c:pt>
                <c:pt idx="278">
                  <c:v>7.1</c:v>
                </c:pt>
                <c:pt idx="279">
                  <c:v>8.9</c:v>
                </c:pt>
                <c:pt idx="280">
                  <c:v>12</c:v>
                </c:pt>
                <c:pt idx="281">
                  <c:v>13.8</c:v>
                </c:pt>
                <c:pt idx="282">
                  <c:v>11.6</c:v>
                </c:pt>
                <c:pt idx="283">
                  <c:v>13.3</c:v>
                </c:pt>
                <c:pt idx="284">
                  <c:v>9.1999999999999993</c:v>
                </c:pt>
                <c:pt idx="285">
                  <c:v>8.6</c:v>
                </c:pt>
                <c:pt idx="286">
                  <c:v>8.6</c:v>
                </c:pt>
                <c:pt idx="287">
                  <c:v>3.6</c:v>
                </c:pt>
                <c:pt idx="288">
                  <c:v>2.6</c:v>
                </c:pt>
                <c:pt idx="289">
                  <c:v>0.6</c:v>
                </c:pt>
                <c:pt idx="290">
                  <c:v>-1.6</c:v>
                </c:pt>
                <c:pt idx="291">
                  <c:v>0.7</c:v>
                </c:pt>
                <c:pt idx="292">
                  <c:v>1.9</c:v>
                </c:pt>
                <c:pt idx="293">
                  <c:v>-0.4</c:v>
                </c:pt>
                <c:pt idx="294">
                  <c:v>-2.2000000000000002</c:v>
                </c:pt>
                <c:pt idx="295">
                  <c:v>-0.4</c:v>
                </c:pt>
                <c:pt idx="296">
                  <c:v>-0.9</c:v>
                </c:pt>
                <c:pt idx="297">
                  <c:v>2</c:v>
                </c:pt>
                <c:pt idx="298">
                  <c:v>1.3</c:v>
                </c:pt>
                <c:pt idx="299">
                  <c:v>-1.1000000000000001</c:v>
                </c:pt>
                <c:pt idx="300">
                  <c:v>1.9</c:v>
                </c:pt>
                <c:pt idx="301">
                  <c:v>1.3</c:v>
                </c:pt>
                <c:pt idx="302">
                  <c:v>-0.4</c:v>
                </c:pt>
                <c:pt idx="303">
                  <c:v>-6.3</c:v>
                </c:pt>
                <c:pt idx="304">
                  <c:v>-1.7</c:v>
                </c:pt>
                <c:pt idx="305">
                  <c:v>1.8</c:v>
                </c:pt>
                <c:pt idx="306">
                  <c:v>0.1</c:v>
                </c:pt>
                <c:pt idx="307">
                  <c:v>1.4</c:v>
                </c:pt>
                <c:pt idx="308">
                  <c:v>-1.5</c:v>
                </c:pt>
                <c:pt idx="309">
                  <c:v>-0.1</c:v>
                </c:pt>
                <c:pt idx="310">
                  <c:v>-1.6</c:v>
                </c:pt>
                <c:pt idx="311">
                  <c:v>-3.7</c:v>
                </c:pt>
                <c:pt idx="312">
                  <c:v>1.8</c:v>
                </c:pt>
                <c:pt idx="313">
                  <c:v>6.2</c:v>
                </c:pt>
                <c:pt idx="314">
                  <c:v>5.0999999999999996</c:v>
                </c:pt>
                <c:pt idx="315">
                  <c:v>8.9</c:v>
                </c:pt>
                <c:pt idx="316">
                  <c:v>5.7</c:v>
                </c:pt>
                <c:pt idx="317">
                  <c:v>1.6</c:v>
                </c:pt>
                <c:pt idx="318">
                  <c:v>-1.577</c:v>
                </c:pt>
                <c:pt idx="319">
                  <c:v>-4.0430000000000001</c:v>
                </c:pt>
                <c:pt idx="320">
                  <c:v>-4.9779999999999998</c:v>
                </c:pt>
                <c:pt idx="321">
                  <c:v>-4.0720000000000001</c:v>
                </c:pt>
                <c:pt idx="322">
                  <c:v>-6.9930000000000003</c:v>
                </c:pt>
                <c:pt idx="323">
                  <c:v>-10.73</c:v>
                </c:pt>
                <c:pt idx="324">
                  <c:v>-8.84</c:v>
                </c:pt>
                <c:pt idx="325">
                  <c:v>-7.26</c:v>
                </c:pt>
                <c:pt idx="326">
                  <c:v>-10.64</c:v>
                </c:pt>
                <c:pt idx="327">
                  <c:v>-10.35</c:v>
                </c:pt>
                <c:pt idx="328">
                  <c:v>-1.454</c:v>
                </c:pt>
                <c:pt idx="329">
                  <c:v>-3.8010000000000002</c:v>
                </c:pt>
                <c:pt idx="330">
                  <c:v>-2.5190000000000001</c:v>
                </c:pt>
                <c:pt idx="331">
                  <c:v>-1.421</c:v>
                </c:pt>
                <c:pt idx="332">
                  <c:v>-2.5939999999999999</c:v>
                </c:pt>
                <c:pt idx="333">
                  <c:v>-5.1079999999999997</c:v>
                </c:pt>
                <c:pt idx="334">
                  <c:v>-1.91</c:v>
                </c:pt>
                <c:pt idx="335">
                  <c:v>-2.0470000000000002</c:v>
                </c:pt>
                <c:pt idx="336">
                  <c:v>-7.42</c:v>
                </c:pt>
                <c:pt idx="337">
                  <c:v>-7.85</c:v>
                </c:pt>
                <c:pt idx="338">
                  <c:v>-5.867</c:v>
                </c:pt>
                <c:pt idx="339">
                  <c:v>-4.5670000000000002</c:v>
                </c:pt>
                <c:pt idx="340">
                  <c:v>-3.3879999999999999</c:v>
                </c:pt>
                <c:pt idx="341">
                  <c:v>-4.6150000000000002</c:v>
                </c:pt>
                <c:pt idx="342">
                  <c:v>-2.6789999999999998</c:v>
                </c:pt>
                <c:pt idx="343">
                  <c:v>-2.1030000000000002</c:v>
                </c:pt>
                <c:pt idx="344">
                  <c:v>0.37</c:v>
                </c:pt>
                <c:pt idx="345">
                  <c:v>0.47299999999999998</c:v>
                </c:pt>
                <c:pt idx="346">
                  <c:v>-3.6349999999999998</c:v>
                </c:pt>
                <c:pt idx="347">
                  <c:v>-3.4260000000000002</c:v>
                </c:pt>
                <c:pt idx="348">
                  <c:v>-4.0570000000000004</c:v>
                </c:pt>
                <c:pt idx="349">
                  <c:v>-4.2279999999999998</c:v>
                </c:pt>
                <c:pt idx="350">
                  <c:v>-9.51</c:v>
                </c:pt>
                <c:pt idx="351">
                  <c:v>-11.27</c:v>
                </c:pt>
                <c:pt idx="352">
                  <c:v>-9.7100000000000009</c:v>
                </c:pt>
                <c:pt idx="353">
                  <c:v>-4.9870000000000001</c:v>
                </c:pt>
                <c:pt idx="354">
                  <c:v>-5.0110000000000001</c:v>
                </c:pt>
                <c:pt idx="355">
                  <c:v>-6.7130000000000001</c:v>
                </c:pt>
                <c:pt idx="356">
                  <c:v>-10.27</c:v>
                </c:pt>
                <c:pt idx="357">
                  <c:v>-13.42</c:v>
                </c:pt>
                <c:pt idx="358">
                  <c:v>-12.68</c:v>
                </c:pt>
                <c:pt idx="359">
                  <c:v>-10.92</c:v>
                </c:pt>
                <c:pt idx="360">
                  <c:v>-14.98</c:v>
                </c:pt>
                <c:pt idx="361">
                  <c:v>-21.21</c:v>
                </c:pt>
                <c:pt idx="362">
                  <c:v>-23.18</c:v>
                </c:pt>
                <c:pt idx="363">
                  <c:v>-9.67</c:v>
                </c:pt>
                <c:pt idx="364">
                  <c:v>0.51900000000000002</c:v>
                </c:pt>
                <c:pt idx="365">
                  <c:v>3.9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-7.5</c:v>
                </c:pt>
                <c:pt idx="1">
                  <c:v>-6.2</c:v>
                </c:pt>
                <c:pt idx="2">
                  <c:v>-14.5</c:v>
                </c:pt>
                <c:pt idx="3">
                  <c:v>-21.2</c:v>
                </c:pt>
                <c:pt idx="4">
                  <c:v>-22.7</c:v>
                </c:pt>
                <c:pt idx="5">
                  <c:v>-14.6</c:v>
                </c:pt>
                <c:pt idx="6">
                  <c:v>-6.8</c:v>
                </c:pt>
                <c:pt idx="7">
                  <c:v>-10.199999999999999</c:v>
                </c:pt>
                <c:pt idx="8">
                  <c:v>-7.6</c:v>
                </c:pt>
                <c:pt idx="9">
                  <c:v>-6.1</c:v>
                </c:pt>
                <c:pt idx="10">
                  <c:v>-10.4</c:v>
                </c:pt>
                <c:pt idx="11">
                  <c:v>-12.7</c:v>
                </c:pt>
                <c:pt idx="12">
                  <c:v>-10.199999999999999</c:v>
                </c:pt>
                <c:pt idx="13">
                  <c:v>-2.8</c:v>
                </c:pt>
                <c:pt idx="14">
                  <c:v>-4.3</c:v>
                </c:pt>
                <c:pt idx="15">
                  <c:v>-17.8</c:v>
                </c:pt>
                <c:pt idx="16">
                  <c:v>-30.9</c:v>
                </c:pt>
                <c:pt idx="17">
                  <c:v>-32.4</c:v>
                </c:pt>
                <c:pt idx="18">
                  <c:v>-17.7</c:v>
                </c:pt>
                <c:pt idx="19">
                  <c:v>-16.5</c:v>
                </c:pt>
                <c:pt idx="20">
                  <c:v>-27.8</c:v>
                </c:pt>
                <c:pt idx="21">
                  <c:v>-27.6</c:v>
                </c:pt>
                <c:pt idx="22">
                  <c:v>-15.1</c:v>
                </c:pt>
                <c:pt idx="23">
                  <c:v>-24.2</c:v>
                </c:pt>
                <c:pt idx="24">
                  <c:v>-26.6</c:v>
                </c:pt>
                <c:pt idx="25">
                  <c:v>-25.1</c:v>
                </c:pt>
                <c:pt idx="26">
                  <c:v>-24.7</c:v>
                </c:pt>
                <c:pt idx="27">
                  <c:v>-34.1</c:v>
                </c:pt>
                <c:pt idx="28">
                  <c:v>-37</c:v>
                </c:pt>
                <c:pt idx="29">
                  <c:v>-41</c:v>
                </c:pt>
                <c:pt idx="30">
                  <c:v>-25</c:v>
                </c:pt>
                <c:pt idx="31">
                  <c:v>-31</c:v>
                </c:pt>
                <c:pt idx="32">
                  <c:v>-33.1</c:v>
                </c:pt>
                <c:pt idx="33">
                  <c:v>-25.2</c:v>
                </c:pt>
                <c:pt idx="34">
                  <c:v>-17.7</c:v>
                </c:pt>
                <c:pt idx="35">
                  <c:v>-9.8000000000000007</c:v>
                </c:pt>
                <c:pt idx="36">
                  <c:v>-8</c:v>
                </c:pt>
                <c:pt idx="37">
                  <c:v>-3</c:v>
                </c:pt>
                <c:pt idx="38">
                  <c:v>-3.1</c:v>
                </c:pt>
                <c:pt idx="39">
                  <c:v>-18.8</c:v>
                </c:pt>
                <c:pt idx="40">
                  <c:v>-20.3</c:v>
                </c:pt>
                <c:pt idx="41">
                  <c:v>-15.5</c:v>
                </c:pt>
                <c:pt idx="42">
                  <c:v>-9</c:v>
                </c:pt>
                <c:pt idx="43">
                  <c:v>-4</c:v>
                </c:pt>
                <c:pt idx="44">
                  <c:v>-5.7</c:v>
                </c:pt>
                <c:pt idx="45">
                  <c:v>-7.8</c:v>
                </c:pt>
                <c:pt idx="46">
                  <c:v>-7.8</c:v>
                </c:pt>
                <c:pt idx="47">
                  <c:v>-4.4000000000000004</c:v>
                </c:pt>
                <c:pt idx="48">
                  <c:v>-2.5</c:v>
                </c:pt>
                <c:pt idx="49">
                  <c:v>-3.5</c:v>
                </c:pt>
                <c:pt idx="50">
                  <c:v>-4.5999999999999996</c:v>
                </c:pt>
                <c:pt idx="51">
                  <c:v>-9.1</c:v>
                </c:pt>
                <c:pt idx="52">
                  <c:v>-11.5</c:v>
                </c:pt>
                <c:pt idx="53">
                  <c:v>-18.899999999999999</c:v>
                </c:pt>
                <c:pt idx="54">
                  <c:v>-20.3</c:v>
                </c:pt>
                <c:pt idx="55">
                  <c:v>-16</c:v>
                </c:pt>
                <c:pt idx="56">
                  <c:v>-23.8</c:v>
                </c:pt>
                <c:pt idx="57">
                  <c:v>-24.3</c:v>
                </c:pt>
                <c:pt idx="58">
                  <c:v>-24.1</c:v>
                </c:pt>
                <c:pt idx="59">
                  <c:v>-22.7</c:v>
                </c:pt>
                <c:pt idx="60">
                  <c:v>-16.3</c:v>
                </c:pt>
                <c:pt idx="61">
                  <c:v>-12.6</c:v>
                </c:pt>
                <c:pt idx="62">
                  <c:v>-12.4</c:v>
                </c:pt>
                <c:pt idx="63">
                  <c:v>-15.2</c:v>
                </c:pt>
                <c:pt idx="64">
                  <c:v>-18.5</c:v>
                </c:pt>
                <c:pt idx="65">
                  <c:v>-18.7</c:v>
                </c:pt>
                <c:pt idx="66">
                  <c:v>-12.2</c:v>
                </c:pt>
                <c:pt idx="67">
                  <c:v>-7.1</c:v>
                </c:pt>
                <c:pt idx="68">
                  <c:v>-1.2</c:v>
                </c:pt>
                <c:pt idx="69">
                  <c:v>-0.7</c:v>
                </c:pt>
                <c:pt idx="70">
                  <c:v>-2.8</c:v>
                </c:pt>
                <c:pt idx="71">
                  <c:v>-5.6</c:v>
                </c:pt>
                <c:pt idx="72">
                  <c:v>-5.2</c:v>
                </c:pt>
                <c:pt idx="73">
                  <c:v>-4.0999999999999996</c:v>
                </c:pt>
                <c:pt idx="74">
                  <c:v>-2.8</c:v>
                </c:pt>
                <c:pt idx="75">
                  <c:v>-5.0999999999999996</c:v>
                </c:pt>
                <c:pt idx="76">
                  <c:v>-8.6999999999999993</c:v>
                </c:pt>
                <c:pt idx="77">
                  <c:v>-11</c:v>
                </c:pt>
                <c:pt idx="78">
                  <c:v>-4.0999999999999996</c:v>
                </c:pt>
                <c:pt idx="79">
                  <c:v>-8</c:v>
                </c:pt>
                <c:pt idx="80">
                  <c:v>-8.8000000000000007</c:v>
                </c:pt>
                <c:pt idx="81">
                  <c:v>-10.1</c:v>
                </c:pt>
                <c:pt idx="82">
                  <c:v>-13.4</c:v>
                </c:pt>
                <c:pt idx="83">
                  <c:v>-18.2</c:v>
                </c:pt>
                <c:pt idx="84">
                  <c:v>-22.6</c:v>
                </c:pt>
                <c:pt idx="85">
                  <c:v>-12.6</c:v>
                </c:pt>
                <c:pt idx="86">
                  <c:v>-12.2</c:v>
                </c:pt>
                <c:pt idx="87">
                  <c:v>-16.8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-15.4</c:v>
                </c:pt>
                <c:pt idx="91">
                  <c:v>-6.3</c:v>
                </c:pt>
                <c:pt idx="92">
                  <c:v>-13.8</c:v>
                </c:pt>
                <c:pt idx="93">
                  <c:v>-15.8</c:v>
                </c:pt>
                <c:pt idx="94">
                  <c:v>-9.1</c:v>
                </c:pt>
                <c:pt idx="95">
                  <c:v>-2.6</c:v>
                </c:pt>
                <c:pt idx="96">
                  <c:v>0.7</c:v>
                </c:pt>
                <c:pt idx="97">
                  <c:v>0</c:v>
                </c:pt>
                <c:pt idx="98">
                  <c:v>-0.6</c:v>
                </c:pt>
                <c:pt idx="99">
                  <c:v>0.7</c:v>
                </c:pt>
                <c:pt idx="100">
                  <c:v>-2.1</c:v>
                </c:pt>
                <c:pt idx="101">
                  <c:v>-2.2999999999999998</c:v>
                </c:pt>
                <c:pt idx="102">
                  <c:v>-5.9</c:v>
                </c:pt>
                <c:pt idx="103">
                  <c:v>-7.1</c:v>
                </c:pt>
                <c:pt idx="104">
                  <c:v>-5.2</c:v>
                </c:pt>
                <c:pt idx="105">
                  <c:v>1.1000000000000001</c:v>
                </c:pt>
                <c:pt idx="106">
                  <c:v>-5</c:v>
                </c:pt>
                <c:pt idx="107">
                  <c:v>-5.4</c:v>
                </c:pt>
                <c:pt idx="108">
                  <c:v>-4.5999999999999996</c:v>
                </c:pt>
                <c:pt idx="109">
                  <c:v>-9</c:v>
                </c:pt>
                <c:pt idx="110">
                  <c:v>-8.6999999999999993</c:v>
                </c:pt>
                <c:pt idx="111">
                  <c:v>-5.9</c:v>
                </c:pt>
                <c:pt idx="112">
                  <c:v>-5.2</c:v>
                </c:pt>
                <c:pt idx="113">
                  <c:v>-0.2</c:v>
                </c:pt>
                <c:pt idx="114">
                  <c:v>-3.4</c:v>
                </c:pt>
                <c:pt idx="115">
                  <c:v>-4.5999999999999996</c:v>
                </c:pt>
                <c:pt idx="116">
                  <c:v>-5.9</c:v>
                </c:pt>
                <c:pt idx="117">
                  <c:v>-7</c:v>
                </c:pt>
                <c:pt idx="118">
                  <c:v>-8.9</c:v>
                </c:pt>
                <c:pt idx="119">
                  <c:v>-2.6</c:v>
                </c:pt>
                <c:pt idx="120">
                  <c:v>-6.5</c:v>
                </c:pt>
                <c:pt idx="121">
                  <c:v>-6.3</c:v>
                </c:pt>
                <c:pt idx="122">
                  <c:v>-8.8000000000000007</c:v>
                </c:pt>
                <c:pt idx="123">
                  <c:v>-8.4</c:v>
                </c:pt>
                <c:pt idx="124">
                  <c:v>-2.9</c:v>
                </c:pt>
                <c:pt idx="125">
                  <c:v>-4.3</c:v>
                </c:pt>
                <c:pt idx="126">
                  <c:v>-5.7</c:v>
                </c:pt>
                <c:pt idx="127">
                  <c:v>-6</c:v>
                </c:pt>
                <c:pt idx="128">
                  <c:v>-11.5</c:v>
                </c:pt>
                <c:pt idx="129">
                  <c:v>-9.6</c:v>
                </c:pt>
                <c:pt idx="130">
                  <c:v>-4.9000000000000004</c:v>
                </c:pt>
                <c:pt idx="131">
                  <c:v>-4.4000000000000004</c:v>
                </c:pt>
                <c:pt idx="132">
                  <c:v>-2.2000000000000002</c:v>
                </c:pt>
                <c:pt idx="133">
                  <c:v>0.4</c:v>
                </c:pt>
                <c:pt idx="134">
                  <c:v>-0.2</c:v>
                </c:pt>
                <c:pt idx="135">
                  <c:v>-0.7</c:v>
                </c:pt>
                <c:pt idx="136">
                  <c:v>-0.6</c:v>
                </c:pt>
                <c:pt idx="137">
                  <c:v>1.3</c:v>
                </c:pt>
                <c:pt idx="138">
                  <c:v>-1.5</c:v>
                </c:pt>
                <c:pt idx="139">
                  <c:v>-1.4</c:v>
                </c:pt>
                <c:pt idx="140">
                  <c:v>-1.9</c:v>
                </c:pt>
                <c:pt idx="141">
                  <c:v>-2.2999999999999998</c:v>
                </c:pt>
                <c:pt idx="142">
                  <c:v>-1.1000000000000001</c:v>
                </c:pt>
                <c:pt idx="143">
                  <c:v>-1.1000000000000001</c:v>
                </c:pt>
                <c:pt idx="144">
                  <c:v>0.6</c:v>
                </c:pt>
                <c:pt idx="145">
                  <c:v>3.3</c:v>
                </c:pt>
                <c:pt idx="146">
                  <c:v>1.3</c:v>
                </c:pt>
                <c:pt idx="147">
                  <c:v>0.4</c:v>
                </c:pt>
                <c:pt idx="148">
                  <c:v>-0.6</c:v>
                </c:pt>
                <c:pt idx="149">
                  <c:v>-1.9</c:v>
                </c:pt>
                <c:pt idx="150">
                  <c:v>-3.4</c:v>
                </c:pt>
                <c:pt idx="151">
                  <c:v>-1.5</c:v>
                </c:pt>
                <c:pt idx="152">
                  <c:v>-2.9</c:v>
                </c:pt>
                <c:pt idx="153">
                  <c:v>3.1</c:v>
                </c:pt>
                <c:pt idx="154">
                  <c:v>3</c:v>
                </c:pt>
                <c:pt idx="155">
                  <c:v>0.9</c:v>
                </c:pt>
                <c:pt idx="156">
                  <c:v>0.7</c:v>
                </c:pt>
                <c:pt idx="157">
                  <c:v>3.7</c:v>
                </c:pt>
                <c:pt idx="158">
                  <c:v>3.8</c:v>
                </c:pt>
                <c:pt idx="159">
                  <c:v>1</c:v>
                </c:pt>
                <c:pt idx="160">
                  <c:v>-0.2</c:v>
                </c:pt>
                <c:pt idx="161">
                  <c:v>0.1</c:v>
                </c:pt>
                <c:pt idx="162">
                  <c:v>-0.3</c:v>
                </c:pt>
                <c:pt idx="163">
                  <c:v>0.7</c:v>
                </c:pt>
                <c:pt idx="164">
                  <c:v>3.3</c:v>
                </c:pt>
                <c:pt idx="165">
                  <c:v>-1.6839999999999999</c:v>
                </c:pt>
                <c:pt idx="166">
                  <c:v>-0.92700000000000005</c:v>
                </c:pt>
                <c:pt idx="167">
                  <c:v>-2.202</c:v>
                </c:pt>
                <c:pt idx="168">
                  <c:v>1.909</c:v>
                </c:pt>
                <c:pt idx="169">
                  <c:v>0.65600000000000003</c:v>
                </c:pt>
                <c:pt idx="170">
                  <c:v>-0.86099999999999999</c:v>
                </c:pt>
                <c:pt idx="171">
                  <c:v>-1.8580000000000001</c:v>
                </c:pt>
                <c:pt idx="172">
                  <c:v>-1.3640000000000001</c:v>
                </c:pt>
                <c:pt idx="173">
                  <c:v>2.5760000000000001</c:v>
                </c:pt>
                <c:pt idx="174">
                  <c:v>4.84</c:v>
                </c:pt>
                <c:pt idx="175">
                  <c:v>2.859</c:v>
                </c:pt>
                <c:pt idx="176">
                  <c:v>3.99</c:v>
                </c:pt>
                <c:pt idx="177">
                  <c:v>2.093</c:v>
                </c:pt>
                <c:pt idx="178">
                  <c:v>0.54800000000000004</c:v>
                </c:pt>
                <c:pt idx="179">
                  <c:v>4.0940000000000003</c:v>
                </c:pt>
                <c:pt idx="180">
                  <c:v>0.32200000000000001</c:v>
                </c:pt>
                <c:pt idx="181">
                  <c:v>0.91</c:v>
                </c:pt>
                <c:pt idx="182">
                  <c:v>3.8740000000000001</c:v>
                </c:pt>
                <c:pt idx="183">
                  <c:v>3.609</c:v>
                </c:pt>
                <c:pt idx="184">
                  <c:v>5.7039999999999997</c:v>
                </c:pt>
                <c:pt idx="185">
                  <c:v>5.37</c:v>
                </c:pt>
                <c:pt idx="186">
                  <c:v>1.129</c:v>
                </c:pt>
                <c:pt idx="187">
                  <c:v>1.3839999999999999</c:v>
                </c:pt>
                <c:pt idx="188">
                  <c:v>0.69899999999999995</c:v>
                </c:pt>
                <c:pt idx="189">
                  <c:v>3.5990000000000002</c:v>
                </c:pt>
                <c:pt idx="190">
                  <c:v>4.7510000000000003</c:v>
                </c:pt>
                <c:pt idx="191">
                  <c:v>1.613</c:v>
                </c:pt>
                <c:pt idx="192">
                  <c:v>-0.20799999999999999</c:v>
                </c:pt>
                <c:pt idx="193">
                  <c:v>2.3839999999999999</c:v>
                </c:pt>
                <c:pt idx="194">
                  <c:v>5.0999999999999996</c:v>
                </c:pt>
                <c:pt idx="195">
                  <c:v>4.3479999999999999</c:v>
                </c:pt>
                <c:pt idx="196">
                  <c:v>6.3019999999999996</c:v>
                </c:pt>
                <c:pt idx="197">
                  <c:v>7.69</c:v>
                </c:pt>
                <c:pt idx="198">
                  <c:v>3.327</c:v>
                </c:pt>
                <c:pt idx="199">
                  <c:v>-0.6</c:v>
                </c:pt>
                <c:pt idx="200">
                  <c:v>-0.3</c:v>
                </c:pt>
                <c:pt idx="201">
                  <c:v>1.6</c:v>
                </c:pt>
                <c:pt idx="202">
                  <c:v>2.8</c:v>
                </c:pt>
                <c:pt idx="203">
                  <c:v>3.7</c:v>
                </c:pt>
                <c:pt idx="204">
                  <c:v>6.7</c:v>
                </c:pt>
                <c:pt idx="205">
                  <c:v>7.3</c:v>
                </c:pt>
                <c:pt idx="206">
                  <c:v>7.1</c:v>
                </c:pt>
                <c:pt idx="207">
                  <c:v>6.4</c:v>
                </c:pt>
                <c:pt idx="208">
                  <c:v>7.2</c:v>
                </c:pt>
                <c:pt idx="209">
                  <c:v>9.8000000000000007</c:v>
                </c:pt>
                <c:pt idx="210">
                  <c:v>9.1999999999999993</c:v>
                </c:pt>
                <c:pt idx="211">
                  <c:v>5.7119999999999997</c:v>
                </c:pt>
                <c:pt idx="212">
                  <c:v>2.0230000000000001</c:v>
                </c:pt>
                <c:pt idx="213">
                  <c:v>0.89</c:v>
                </c:pt>
                <c:pt idx="214">
                  <c:v>2.0459999999999998</c:v>
                </c:pt>
                <c:pt idx="215">
                  <c:v>5.3449999999999998</c:v>
                </c:pt>
                <c:pt idx="216">
                  <c:v>3.4830000000000001</c:v>
                </c:pt>
                <c:pt idx="217">
                  <c:v>3.5449999999999999</c:v>
                </c:pt>
                <c:pt idx="218">
                  <c:v>4.149</c:v>
                </c:pt>
                <c:pt idx="219">
                  <c:v>2.4260000000000002</c:v>
                </c:pt>
                <c:pt idx="220">
                  <c:v>3.198</c:v>
                </c:pt>
                <c:pt idx="221">
                  <c:v>3.9329999999999998</c:v>
                </c:pt>
                <c:pt idx="222">
                  <c:v>3.9790000000000001</c:v>
                </c:pt>
                <c:pt idx="223">
                  <c:v>4.2169999999999996</c:v>
                </c:pt>
                <c:pt idx="224">
                  <c:v>2.1999999999999999E-2</c:v>
                </c:pt>
                <c:pt idx="225">
                  <c:v>1.167</c:v>
                </c:pt>
                <c:pt idx="226">
                  <c:v>5.931</c:v>
                </c:pt>
                <c:pt idx="227">
                  <c:v>2.9630000000000001</c:v>
                </c:pt>
                <c:pt idx="228">
                  <c:v>2.5179999999999998</c:v>
                </c:pt>
                <c:pt idx="229">
                  <c:v>0.33200000000000002</c:v>
                </c:pt>
                <c:pt idx="230">
                  <c:v>-1.242</c:v>
                </c:pt>
                <c:pt idx="231">
                  <c:v>3.2679999999999998</c:v>
                </c:pt>
                <c:pt idx="232">
                  <c:v>-0.24099999999999999</c:v>
                </c:pt>
                <c:pt idx="233">
                  <c:v>-1.7829999999999999</c:v>
                </c:pt>
                <c:pt idx="234">
                  <c:v>-0.76200000000000001</c:v>
                </c:pt>
                <c:pt idx="235">
                  <c:v>3.9239999999999999</c:v>
                </c:pt>
                <c:pt idx="236">
                  <c:v>3.2490000000000001</c:v>
                </c:pt>
                <c:pt idx="237">
                  <c:v>3.419</c:v>
                </c:pt>
                <c:pt idx="238">
                  <c:v>4.4749999999999996</c:v>
                </c:pt>
                <c:pt idx="239">
                  <c:v>6.8339999999999996</c:v>
                </c:pt>
                <c:pt idx="240">
                  <c:v>7.98</c:v>
                </c:pt>
                <c:pt idx="241">
                  <c:v>7.89</c:v>
                </c:pt>
                <c:pt idx="242">
                  <c:v>4.5030000000000001</c:v>
                </c:pt>
                <c:pt idx="243">
                  <c:v>2.7029999999999998</c:v>
                </c:pt>
                <c:pt idx="244">
                  <c:v>1.2430000000000001</c:v>
                </c:pt>
                <c:pt idx="245">
                  <c:v>0.9</c:v>
                </c:pt>
                <c:pt idx="246">
                  <c:v>0.7</c:v>
                </c:pt>
                <c:pt idx="247">
                  <c:v>0.1</c:v>
                </c:pt>
                <c:pt idx="248">
                  <c:v>-0.6</c:v>
                </c:pt>
                <c:pt idx="249">
                  <c:v>0.1</c:v>
                </c:pt>
                <c:pt idx="250">
                  <c:v>0.9</c:v>
                </c:pt>
                <c:pt idx="251">
                  <c:v>2.5</c:v>
                </c:pt>
                <c:pt idx="252">
                  <c:v>2.7</c:v>
                </c:pt>
                <c:pt idx="253">
                  <c:v>3.1</c:v>
                </c:pt>
                <c:pt idx="254">
                  <c:v>5.0999999999999996</c:v>
                </c:pt>
                <c:pt idx="255">
                  <c:v>6.1</c:v>
                </c:pt>
                <c:pt idx="256">
                  <c:v>3.2</c:v>
                </c:pt>
                <c:pt idx="257">
                  <c:v>1</c:v>
                </c:pt>
                <c:pt idx="258">
                  <c:v>0.4</c:v>
                </c:pt>
                <c:pt idx="259">
                  <c:v>-1.1000000000000001</c:v>
                </c:pt>
                <c:pt idx="260">
                  <c:v>-1.2</c:v>
                </c:pt>
                <c:pt idx="261">
                  <c:v>-0.6</c:v>
                </c:pt>
                <c:pt idx="262">
                  <c:v>-1.4</c:v>
                </c:pt>
                <c:pt idx="263">
                  <c:v>-1.8</c:v>
                </c:pt>
                <c:pt idx="264">
                  <c:v>-3.3</c:v>
                </c:pt>
                <c:pt idx="265">
                  <c:v>-3.7</c:v>
                </c:pt>
                <c:pt idx="266">
                  <c:v>-4</c:v>
                </c:pt>
                <c:pt idx="267">
                  <c:v>-3.9</c:v>
                </c:pt>
                <c:pt idx="268">
                  <c:v>-3.2</c:v>
                </c:pt>
                <c:pt idx="269">
                  <c:v>0.1</c:v>
                </c:pt>
                <c:pt idx="270">
                  <c:v>1.5</c:v>
                </c:pt>
                <c:pt idx="271">
                  <c:v>4.2</c:v>
                </c:pt>
                <c:pt idx="272">
                  <c:v>1.7</c:v>
                </c:pt>
                <c:pt idx="273">
                  <c:v>-1.1000000000000001</c:v>
                </c:pt>
                <c:pt idx="274">
                  <c:v>-4.7</c:v>
                </c:pt>
                <c:pt idx="275">
                  <c:v>-1.8</c:v>
                </c:pt>
                <c:pt idx="276">
                  <c:v>0.8</c:v>
                </c:pt>
                <c:pt idx="277">
                  <c:v>2.4</c:v>
                </c:pt>
                <c:pt idx="278">
                  <c:v>-0.5</c:v>
                </c:pt>
                <c:pt idx="279">
                  <c:v>-0.3</c:v>
                </c:pt>
                <c:pt idx="280">
                  <c:v>1.2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3.5</c:v>
                </c:pt>
                <c:pt idx="284">
                  <c:v>-0.5</c:v>
                </c:pt>
                <c:pt idx="285">
                  <c:v>-1.2</c:v>
                </c:pt>
                <c:pt idx="286">
                  <c:v>-0.6</c:v>
                </c:pt>
                <c:pt idx="287">
                  <c:v>-2.2000000000000002</c:v>
                </c:pt>
                <c:pt idx="288">
                  <c:v>-4.7</c:v>
                </c:pt>
                <c:pt idx="289">
                  <c:v>-7.3</c:v>
                </c:pt>
                <c:pt idx="290">
                  <c:v>-5.7</c:v>
                </c:pt>
                <c:pt idx="291">
                  <c:v>-4.8</c:v>
                </c:pt>
                <c:pt idx="292">
                  <c:v>-5.3</c:v>
                </c:pt>
                <c:pt idx="293">
                  <c:v>-5.0999999999999996</c:v>
                </c:pt>
                <c:pt idx="294">
                  <c:v>-5.2</c:v>
                </c:pt>
                <c:pt idx="295">
                  <c:v>-5.3</c:v>
                </c:pt>
                <c:pt idx="296">
                  <c:v>-4.5999999999999996</c:v>
                </c:pt>
                <c:pt idx="297">
                  <c:v>-5.2</c:v>
                </c:pt>
                <c:pt idx="298">
                  <c:v>-5.6</c:v>
                </c:pt>
                <c:pt idx="299">
                  <c:v>-6.7</c:v>
                </c:pt>
                <c:pt idx="300">
                  <c:v>-5.0999999999999996</c:v>
                </c:pt>
                <c:pt idx="301">
                  <c:v>-3.2</c:v>
                </c:pt>
                <c:pt idx="302">
                  <c:v>-7.5</c:v>
                </c:pt>
                <c:pt idx="303">
                  <c:v>-9.5</c:v>
                </c:pt>
                <c:pt idx="304">
                  <c:v>-7.9</c:v>
                </c:pt>
                <c:pt idx="305">
                  <c:v>-7.4</c:v>
                </c:pt>
                <c:pt idx="306">
                  <c:v>-5.0999999999999996</c:v>
                </c:pt>
                <c:pt idx="307">
                  <c:v>-4.9000000000000004</c:v>
                </c:pt>
                <c:pt idx="308">
                  <c:v>-5.6</c:v>
                </c:pt>
                <c:pt idx="309">
                  <c:v>-5.9</c:v>
                </c:pt>
                <c:pt idx="310">
                  <c:v>-5.3</c:v>
                </c:pt>
                <c:pt idx="311">
                  <c:v>-13.9</c:v>
                </c:pt>
                <c:pt idx="312">
                  <c:v>-6.8</c:v>
                </c:pt>
                <c:pt idx="313">
                  <c:v>-3.2</c:v>
                </c:pt>
                <c:pt idx="314">
                  <c:v>-3.8</c:v>
                </c:pt>
                <c:pt idx="315">
                  <c:v>-0.5</c:v>
                </c:pt>
                <c:pt idx="316">
                  <c:v>-0.3</c:v>
                </c:pt>
                <c:pt idx="317">
                  <c:v>-2.5</c:v>
                </c:pt>
                <c:pt idx="318">
                  <c:v>-4.0380000000000003</c:v>
                </c:pt>
                <c:pt idx="319">
                  <c:v>-10.49</c:v>
                </c:pt>
                <c:pt idx="320">
                  <c:v>-10.97</c:v>
                </c:pt>
                <c:pt idx="321">
                  <c:v>-11.44</c:v>
                </c:pt>
                <c:pt idx="322">
                  <c:v>-17.440000000000001</c:v>
                </c:pt>
                <c:pt idx="323">
                  <c:v>-17.89</c:v>
                </c:pt>
                <c:pt idx="324">
                  <c:v>-25.73</c:v>
                </c:pt>
                <c:pt idx="325">
                  <c:v>-19.11</c:v>
                </c:pt>
                <c:pt idx="326">
                  <c:v>-22.16</c:v>
                </c:pt>
                <c:pt idx="327">
                  <c:v>-28.03</c:v>
                </c:pt>
                <c:pt idx="328">
                  <c:v>-10.34</c:v>
                </c:pt>
                <c:pt idx="329">
                  <c:v>-8.5399999999999991</c:v>
                </c:pt>
                <c:pt idx="330">
                  <c:v>-7.1</c:v>
                </c:pt>
                <c:pt idx="331">
                  <c:v>-6.99</c:v>
                </c:pt>
                <c:pt idx="332">
                  <c:v>-6.4169999999999998</c:v>
                </c:pt>
                <c:pt idx="333">
                  <c:v>-12.34</c:v>
                </c:pt>
                <c:pt idx="334">
                  <c:v>-6.8689999999999998</c:v>
                </c:pt>
                <c:pt idx="335">
                  <c:v>-9.2100000000000009</c:v>
                </c:pt>
                <c:pt idx="336">
                  <c:v>-11.1</c:v>
                </c:pt>
                <c:pt idx="337">
                  <c:v>-11.16</c:v>
                </c:pt>
                <c:pt idx="338">
                  <c:v>-12.61</c:v>
                </c:pt>
                <c:pt idx="339">
                  <c:v>-6.7519999999999998</c:v>
                </c:pt>
                <c:pt idx="340">
                  <c:v>-9.4700000000000006</c:v>
                </c:pt>
                <c:pt idx="341">
                  <c:v>-11.42</c:v>
                </c:pt>
                <c:pt idx="342">
                  <c:v>-8.26</c:v>
                </c:pt>
                <c:pt idx="343">
                  <c:v>-16.29</c:v>
                </c:pt>
                <c:pt idx="344">
                  <c:v>-9.19</c:v>
                </c:pt>
                <c:pt idx="345">
                  <c:v>-11.05</c:v>
                </c:pt>
                <c:pt idx="346">
                  <c:v>-12.32</c:v>
                </c:pt>
                <c:pt idx="347">
                  <c:v>-12.7</c:v>
                </c:pt>
                <c:pt idx="348">
                  <c:v>-14.15</c:v>
                </c:pt>
                <c:pt idx="349">
                  <c:v>-11.01</c:v>
                </c:pt>
                <c:pt idx="350">
                  <c:v>-14.35</c:v>
                </c:pt>
                <c:pt idx="351">
                  <c:v>-23.8</c:v>
                </c:pt>
                <c:pt idx="352">
                  <c:v>-14.11</c:v>
                </c:pt>
                <c:pt idx="353">
                  <c:v>-15.65</c:v>
                </c:pt>
                <c:pt idx="354">
                  <c:v>-10.25</c:v>
                </c:pt>
                <c:pt idx="355">
                  <c:v>-11.19</c:v>
                </c:pt>
                <c:pt idx="356">
                  <c:v>-19.95</c:v>
                </c:pt>
                <c:pt idx="357">
                  <c:v>-20.76</c:v>
                </c:pt>
                <c:pt idx="358">
                  <c:v>-21.77</c:v>
                </c:pt>
                <c:pt idx="359">
                  <c:v>-31.42</c:v>
                </c:pt>
                <c:pt idx="360">
                  <c:v>-32.43</c:v>
                </c:pt>
                <c:pt idx="361">
                  <c:v>-34.67</c:v>
                </c:pt>
                <c:pt idx="362">
                  <c:v>-35.04</c:v>
                </c:pt>
                <c:pt idx="363">
                  <c:v>-33.31</c:v>
                </c:pt>
                <c:pt idx="364">
                  <c:v>-11</c:v>
                </c:pt>
                <c:pt idx="365">
                  <c:v>-1.8029999999999999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219136"/>
        <c:axId val="230221312"/>
      </c:lineChart>
      <c:catAx>
        <c:axId val="23021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131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0221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19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165">
                  <c:v>17.48</c:v>
                </c:pt>
                <c:pt idx="166">
                  <c:v>18.059999999999999</c:v>
                </c:pt>
                <c:pt idx="167">
                  <c:v>14.83</c:v>
                </c:pt>
                <c:pt idx="168">
                  <c:v>8.5299999999999994</c:v>
                </c:pt>
                <c:pt idx="169">
                  <c:v>4.4130000000000003</c:v>
                </c:pt>
                <c:pt idx="170">
                  <c:v>11.14</c:v>
                </c:pt>
                <c:pt idx="171">
                  <c:v>15.68</c:v>
                </c:pt>
                <c:pt idx="172">
                  <c:v>15.95</c:v>
                </c:pt>
                <c:pt idx="173">
                  <c:v>11.82</c:v>
                </c:pt>
                <c:pt idx="174">
                  <c:v>12.87</c:v>
                </c:pt>
                <c:pt idx="175">
                  <c:v>15.02</c:v>
                </c:pt>
                <c:pt idx="176">
                  <c:v>13.32</c:v>
                </c:pt>
                <c:pt idx="177">
                  <c:v>16.82</c:v>
                </c:pt>
                <c:pt idx="178">
                  <c:v>15.93</c:v>
                </c:pt>
                <c:pt idx="179">
                  <c:v>13.87</c:v>
                </c:pt>
                <c:pt idx="180">
                  <c:v>15.21</c:v>
                </c:pt>
                <c:pt idx="181">
                  <c:v>18.89</c:v>
                </c:pt>
                <c:pt idx="182">
                  <c:v>19.329999999999998</c:v>
                </c:pt>
                <c:pt idx="183">
                  <c:v>23.08</c:v>
                </c:pt>
                <c:pt idx="184">
                  <c:v>21.21</c:v>
                </c:pt>
                <c:pt idx="185">
                  <c:v>14.81</c:v>
                </c:pt>
                <c:pt idx="186">
                  <c:v>13.15</c:v>
                </c:pt>
                <c:pt idx="187">
                  <c:v>16.3</c:v>
                </c:pt>
                <c:pt idx="188">
                  <c:v>21.19</c:v>
                </c:pt>
                <c:pt idx="189">
                  <c:v>25.13</c:v>
                </c:pt>
                <c:pt idx="190">
                  <c:v>23.91</c:v>
                </c:pt>
                <c:pt idx="191">
                  <c:v>15.72</c:v>
                </c:pt>
                <c:pt idx="192">
                  <c:v>18.97</c:v>
                </c:pt>
                <c:pt idx="193">
                  <c:v>23.7</c:v>
                </c:pt>
                <c:pt idx="194">
                  <c:v>23.19</c:v>
                </c:pt>
                <c:pt idx="195">
                  <c:v>24.91</c:v>
                </c:pt>
                <c:pt idx="196">
                  <c:v>25.08</c:v>
                </c:pt>
                <c:pt idx="197">
                  <c:v>16.920000000000002</c:v>
                </c:pt>
                <c:pt idx="198">
                  <c:v>19.940000000000001</c:v>
                </c:pt>
                <c:pt idx="211">
                  <c:v>22.86</c:v>
                </c:pt>
                <c:pt idx="212">
                  <c:v>18.600000000000001</c:v>
                </c:pt>
                <c:pt idx="213">
                  <c:v>21.17</c:v>
                </c:pt>
                <c:pt idx="214">
                  <c:v>12.06</c:v>
                </c:pt>
                <c:pt idx="215">
                  <c:v>10.36</c:v>
                </c:pt>
                <c:pt idx="216">
                  <c:v>9.16</c:v>
                </c:pt>
                <c:pt idx="217">
                  <c:v>6.44</c:v>
                </c:pt>
                <c:pt idx="218">
                  <c:v>16.68</c:v>
                </c:pt>
                <c:pt idx="219">
                  <c:v>20.73</c:v>
                </c:pt>
                <c:pt idx="220">
                  <c:v>23.87</c:v>
                </c:pt>
                <c:pt idx="221">
                  <c:v>23.7</c:v>
                </c:pt>
                <c:pt idx="222">
                  <c:v>25.57</c:v>
                </c:pt>
                <c:pt idx="223">
                  <c:v>23.97</c:v>
                </c:pt>
                <c:pt idx="224">
                  <c:v>18.29</c:v>
                </c:pt>
                <c:pt idx="225">
                  <c:v>23.59</c:v>
                </c:pt>
                <c:pt idx="226">
                  <c:v>24.61</c:v>
                </c:pt>
                <c:pt idx="227">
                  <c:v>23.16</c:v>
                </c:pt>
                <c:pt idx="228">
                  <c:v>15.34</c:v>
                </c:pt>
                <c:pt idx="229">
                  <c:v>13.46</c:v>
                </c:pt>
                <c:pt idx="230">
                  <c:v>14.18</c:v>
                </c:pt>
                <c:pt idx="231">
                  <c:v>13.02</c:v>
                </c:pt>
                <c:pt idx="232">
                  <c:v>13.58</c:v>
                </c:pt>
                <c:pt idx="233">
                  <c:v>14.97</c:v>
                </c:pt>
                <c:pt idx="234">
                  <c:v>21.19</c:v>
                </c:pt>
                <c:pt idx="235">
                  <c:v>24.65</c:v>
                </c:pt>
                <c:pt idx="236">
                  <c:v>26.17</c:v>
                </c:pt>
                <c:pt idx="237">
                  <c:v>26.9</c:v>
                </c:pt>
                <c:pt idx="238">
                  <c:v>27.7</c:v>
                </c:pt>
                <c:pt idx="239">
                  <c:v>27.95</c:v>
                </c:pt>
                <c:pt idx="240">
                  <c:v>23.12</c:v>
                </c:pt>
                <c:pt idx="241">
                  <c:v>24.36</c:v>
                </c:pt>
                <c:pt idx="242">
                  <c:v>23.39</c:v>
                </c:pt>
                <c:pt idx="243">
                  <c:v>9.48</c:v>
                </c:pt>
                <c:pt idx="244">
                  <c:v>11.46</c:v>
                </c:pt>
                <c:pt idx="318">
                  <c:v>-2.0019999999999998</c:v>
                </c:pt>
                <c:pt idx="319">
                  <c:v>-4.468</c:v>
                </c:pt>
                <c:pt idx="320">
                  <c:v>-4.734</c:v>
                </c:pt>
                <c:pt idx="321">
                  <c:v>-3.4390000000000001</c:v>
                </c:pt>
                <c:pt idx="322">
                  <c:v>-9.67</c:v>
                </c:pt>
                <c:pt idx="323">
                  <c:v>-10.55</c:v>
                </c:pt>
                <c:pt idx="324">
                  <c:v>-11.97</c:v>
                </c:pt>
                <c:pt idx="325">
                  <c:v>-7.06</c:v>
                </c:pt>
                <c:pt idx="326">
                  <c:v>-10.89</c:v>
                </c:pt>
                <c:pt idx="327">
                  <c:v>-10.46</c:v>
                </c:pt>
                <c:pt idx="328">
                  <c:v>-0.98099999999999998</c:v>
                </c:pt>
                <c:pt idx="329">
                  <c:v>-4.1130000000000004</c:v>
                </c:pt>
                <c:pt idx="330">
                  <c:v>-2.2200000000000002</c:v>
                </c:pt>
                <c:pt idx="331">
                  <c:v>-1.575</c:v>
                </c:pt>
                <c:pt idx="332">
                  <c:v>-3.109</c:v>
                </c:pt>
                <c:pt idx="333">
                  <c:v>-6.1239999999999997</c:v>
                </c:pt>
                <c:pt idx="334">
                  <c:v>-2.1789999999999998</c:v>
                </c:pt>
                <c:pt idx="335">
                  <c:v>-2.286</c:v>
                </c:pt>
                <c:pt idx="336">
                  <c:v>-7.09</c:v>
                </c:pt>
                <c:pt idx="337">
                  <c:v>-8.1999999999999993</c:v>
                </c:pt>
                <c:pt idx="338">
                  <c:v>-5.7880000000000003</c:v>
                </c:pt>
                <c:pt idx="339">
                  <c:v>-4.4059999999999997</c:v>
                </c:pt>
                <c:pt idx="340">
                  <c:v>-1.768</c:v>
                </c:pt>
                <c:pt idx="341">
                  <c:v>-4.8380000000000001</c:v>
                </c:pt>
                <c:pt idx="342">
                  <c:v>-3.0369999999999999</c:v>
                </c:pt>
                <c:pt idx="343">
                  <c:v>6.7000000000000004E-2</c:v>
                </c:pt>
                <c:pt idx="344">
                  <c:v>2.0880000000000001</c:v>
                </c:pt>
                <c:pt idx="345">
                  <c:v>4.9219999999999997</c:v>
                </c:pt>
                <c:pt idx="346">
                  <c:v>-2.6829999999999998</c:v>
                </c:pt>
                <c:pt idx="347">
                  <c:v>-3.218</c:v>
                </c:pt>
                <c:pt idx="348">
                  <c:v>-2.67</c:v>
                </c:pt>
                <c:pt idx="349">
                  <c:v>-4.5839999999999996</c:v>
                </c:pt>
                <c:pt idx="350">
                  <c:v>-9.85</c:v>
                </c:pt>
                <c:pt idx="351">
                  <c:v>-10.83</c:v>
                </c:pt>
                <c:pt idx="352">
                  <c:v>-10.15</c:v>
                </c:pt>
                <c:pt idx="353">
                  <c:v>-5.2919999999999998</c:v>
                </c:pt>
                <c:pt idx="354">
                  <c:v>-4.6840000000000002</c:v>
                </c:pt>
                <c:pt idx="355">
                  <c:v>-6.1150000000000002</c:v>
                </c:pt>
                <c:pt idx="356">
                  <c:v>-11.11</c:v>
                </c:pt>
                <c:pt idx="357">
                  <c:v>-13.71</c:v>
                </c:pt>
                <c:pt idx="358">
                  <c:v>-12.49</c:v>
                </c:pt>
                <c:pt idx="359">
                  <c:v>-11.39</c:v>
                </c:pt>
                <c:pt idx="360">
                  <c:v>-17.149999999999999</c:v>
                </c:pt>
                <c:pt idx="361">
                  <c:v>-21.13</c:v>
                </c:pt>
                <c:pt idx="362">
                  <c:v>-24.22</c:v>
                </c:pt>
                <c:pt idx="363">
                  <c:v>-9.5500000000000007</c:v>
                </c:pt>
                <c:pt idx="364">
                  <c:v>1.155</c:v>
                </c:pt>
                <c:pt idx="365">
                  <c:v>2.726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165">
                  <c:v>-2.3679999999999999</c:v>
                </c:pt>
                <c:pt idx="166">
                  <c:v>-1.5329999999999999</c:v>
                </c:pt>
                <c:pt idx="167">
                  <c:v>-2.9159999999999999</c:v>
                </c:pt>
                <c:pt idx="168">
                  <c:v>1.3380000000000001</c:v>
                </c:pt>
                <c:pt idx="169">
                  <c:v>0.35</c:v>
                </c:pt>
                <c:pt idx="170">
                  <c:v>-1.375</c:v>
                </c:pt>
                <c:pt idx="171">
                  <c:v>-2.411</c:v>
                </c:pt>
                <c:pt idx="172">
                  <c:v>-1.919</c:v>
                </c:pt>
                <c:pt idx="173">
                  <c:v>2.0680000000000001</c:v>
                </c:pt>
                <c:pt idx="174">
                  <c:v>4.415</c:v>
                </c:pt>
                <c:pt idx="175">
                  <c:v>2.4830000000000001</c:v>
                </c:pt>
                <c:pt idx="176">
                  <c:v>3.2959999999999998</c:v>
                </c:pt>
                <c:pt idx="177">
                  <c:v>1.2729999999999999</c:v>
                </c:pt>
                <c:pt idx="178">
                  <c:v>-0.127</c:v>
                </c:pt>
                <c:pt idx="179">
                  <c:v>3.3719999999999999</c:v>
                </c:pt>
                <c:pt idx="180">
                  <c:v>-0.41699999999999998</c:v>
                </c:pt>
                <c:pt idx="181">
                  <c:v>0.187</c:v>
                </c:pt>
                <c:pt idx="182">
                  <c:v>3.1389999999999998</c:v>
                </c:pt>
                <c:pt idx="183">
                  <c:v>2.6720000000000002</c:v>
                </c:pt>
                <c:pt idx="184">
                  <c:v>4.7729999999999997</c:v>
                </c:pt>
                <c:pt idx="185">
                  <c:v>3.8940000000000001</c:v>
                </c:pt>
                <c:pt idx="186">
                  <c:v>0.70599999999999996</c:v>
                </c:pt>
                <c:pt idx="187">
                  <c:v>0.44700000000000001</c:v>
                </c:pt>
                <c:pt idx="188">
                  <c:v>-0.122</c:v>
                </c:pt>
                <c:pt idx="189">
                  <c:v>2.758</c:v>
                </c:pt>
                <c:pt idx="190">
                  <c:v>3.1</c:v>
                </c:pt>
                <c:pt idx="191">
                  <c:v>0.75600000000000001</c:v>
                </c:pt>
                <c:pt idx="192">
                  <c:v>-1.1479999999999999</c:v>
                </c:pt>
                <c:pt idx="193">
                  <c:v>1.591</c:v>
                </c:pt>
                <c:pt idx="194">
                  <c:v>4.0650000000000004</c:v>
                </c:pt>
                <c:pt idx="195">
                  <c:v>3.5379999999999998</c:v>
                </c:pt>
                <c:pt idx="196">
                  <c:v>5.4690000000000003</c:v>
                </c:pt>
                <c:pt idx="197">
                  <c:v>6.4210000000000003</c:v>
                </c:pt>
                <c:pt idx="198">
                  <c:v>3.0259999999999998</c:v>
                </c:pt>
                <c:pt idx="211">
                  <c:v>4.4260000000000002</c:v>
                </c:pt>
                <c:pt idx="212">
                  <c:v>0.98899999999999999</c:v>
                </c:pt>
                <c:pt idx="213">
                  <c:v>0.16200000000000001</c:v>
                </c:pt>
                <c:pt idx="214">
                  <c:v>1.228</c:v>
                </c:pt>
                <c:pt idx="215">
                  <c:v>5.25</c:v>
                </c:pt>
                <c:pt idx="216">
                  <c:v>3.2610000000000001</c:v>
                </c:pt>
                <c:pt idx="217">
                  <c:v>3.427</c:v>
                </c:pt>
                <c:pt idx="218">
                  <c:v>3.5110000000000001</c:v>
                </c:pt>
                <c:pt idx="219">
                  <c:v>1.877</c:v>
                </c:pt>
                <c:pt idx="220">
                  <c:v>2.577</c:v>
                </c:pt>
                <c:pt idx="221">
                  <c:v>3.2360000000000002</c:v>
                </c:pt>
                <c:pt idx="222">
                  <c:v>3.206</c:v>
                </c:pt>
                <c:pt idx="223">
                  <c:v>2.5419999999999998</c:v>
                </c:pt>
                <c:pt idx="224">
                  <c:v>-0.70899999999999996</c:v>
                </c:pt>
                <c:pt idx="225">
                  <c:v>0.497</c:v>
                </c:pt>
                <c:pt idx="226">
                  <c:v>4.7380000000000004</c:v>
                </c:pt>
                <c:pt idx="227">
                  <c:v>2.089</c:v>
                </c:pt>
                <c:pt idx="228">
                  <c:v>1.054</c:v>
                </c:pt>
                <c:pt idx="229">
                  <c:v>-0.53200000000000003</c:v>
                </c:pt>
                <c:pt idx="230">
                  <c:v>-1.675</c:v>
                </c:pt>
                <c:pt idx="231">
                  <c:v>3.0680000000000001</c:v>
                </c:pt>
                <c:pt idx="232">
                  <c:v>-0.755</c:v>
                </c:pt>
                <c:pt idx="233">
                  <c:v>-2.3620000000000001</c:v>
                </c:pt>
                <c:pt idx="234">
                  <c:v>-1.363</c:v>
                </c:pt>
                <c:pt idx="235">
                  <c:v>2.9340000000000002</c:v>
                </c:pt>
                <c:pt idx="236">
                  <c:v>2.347</c:v>
                </c:pt>
                <c:pt idx="237">
                  <c:v>2.6230000000000002</c:v>
                </c:pt>
                <c:pt idx="238">
                  <c:v>3.6589999999999998</c:v>
                </c:pt>
                <c:pt idx="239">
                  <c:v>5.8970000000000002</c:v>
                </c:pt>
                <c:pt idx="240">
                  <c:v>7.18</c:v>
                </c:pt>
                <c:pt idx="241">
                  <c:v>7.2</c:v>
                </c:pt>
                <c:pt idx="242">
                  <c:v>3.8420000000000001</c:v>
                </c:pt>
                <c:pt idx="243">
                  <c:v>1.8140000000000001</c:v>
                </c:pt>
                <c:pt idx="244">
                  <c:v>0.62</c:v>
                </c:pt>
                <c:pt idx="318">
                  <c:v>-4.5030000000000001</c:v>
                </c:pt>
                <c:pt idx="319">
                  <c:v>-10.85</c:v>
                </c:pt>
                <c:pt idx="320">
                  <c:v>-11.35</c:v>
                </c:pt>
                <c:pt idx="321">
                  <c:v>-12.35</c:v>
                </c:pt>
                <c:pt idx="322">
                  <c:v>-18.12</c:v>
                </c:pt>
                <c:pt idx="323">
                  <c:v>-18.350000000000001</c:v>
                </c:pt>
                <c:pt idx="324">
                  <c:v>-26.48</c:v>
                </c:pt>
                <c:pt idx="325">
                  <c:v>-19.72</c:v>
                </c:pt>
                <c:pt idx="326">
                  <c:v>-22.49</c:v>
                </c:pt>
                <c:pt idx="327">
                  <c:v>-28.72</c:v>
                </c:pt>
                <c:pt idx="328">
                  <c:v>-10.61</c:v>
                </c:pt>
                <c:pt idx="329">
                  <c:v>-9.4499999999999993</c:v>
                </c:pt>
                <c:pt idx="330">
                  <c:v>-7.66</c:v>
                </c:pt>
                <c:pt idx="331">
                  <c:v>-6.4870000000000001</c:v>
                </c:pt>
                <c:pt idx="332">
                  <c:v>-6.8970000000000002</c:v>
                </c:pt>
                <c:pt idx="333">
                  <c:v>-13.56</c:v>
                </c:pt>
                <c:pt idx="334">
                  <c:v>-7.38</c:v>
                </c:pt>
                <c:pt idx="335">
                  <c:v>-9.64</c:v>
                </c:pt>
                <c:pt idx="336">
                  <c:v>-12.66</c:v>
                </c:pt>
                <c:pt idx="337">
                  <c:v>-12.46</c:v>
                </c:pt>
                <c:pt idx="338">
                  <c:v>-14.88</c:v>
                </c:pt>
                <c:pt idx="339">
                  <c:v>-7.15</c:v>
                </c:pt>
                <c:pt idx="340">
                  <c:v>-11.21</c:v>
                </c:pt>
                <c:pt idx="341">
                  <c:v>-13.1</c:v>
                </c:pt>
                <c:pt idx="342">
                  <c:v>-10.94</c:v>
                </c:pt>
                <c:pt idx="343">
                  <c:v>-17.760000000000002</c:v>
                </c:pt>
                <c:pt idx="344">
                  <c:v>-10.34</c:v>
                </c:pt>
                <c:pt idx="345">
                  <c:v>-13.85</c:v>
                </c:pt>
                <c:pt idx="346">
                  <c:v>-14.16</c:v>
                </c:pt>
                <c:pt idx="347">
                  <c:v>-14.28</c:v>
                </c:pt>
                <c:pt idx="348">
                  <c:v>-15.67</c:v>
                </c:pt>
                <c:pt idx="349">
                  <c:v>-12.6</c:v>
                </c:pt>
                <c:pt idx="350">
                  <c:v>-15.9</c:v>
                </c:pt>
                <c:pt idx="351">
                  <c:v>-24.67</c:v>
                </c:pt>
                <c:pt idx="352">
                  <c:v>-16.149999999999999</c:v>
                </c:pt>
                <c:pt idx="353">
                  <c:v>-17.329999999999998</c:v>
                </c:pt>
                <c:pt idx="354">
                  <c:v>-11.52</c:v>
                </c:pt>
                <c:pt idx="355">
                  <c:v>-11.4</c:v>
                </c:pt>
                <c:pt idx="356">
                  <c:v>-20.309999999999999</c:v>
                </c:pt>
                <c:pt idx="357">
                  <c:v>-21.11</c:v>
                </c:pt>
                <c:pt idx="358">
                  <c:v>-22.53</c:v>
                </c:pt>
                <c:pt idx="359">
                  <c:v>-32.96</c:v>
                </c:pt>
                <c:pt idx="360">
                  <c:v>-34.32</c:v>
                </c:pt>
                <c:pt idx="361">
                  <c:v>-36.17</c:v>
                </c:pt>
                <c:pt idx="362">
                  <c:v>-36.78</c:v>
                </c:pt>
                <c:pt idx="363">
                  <c:v>-33.56</c:v>
                </c:pt>
                <c:pt idx="364">
                  <c:v>-11.87</c:v>
                </c:pt>
                <c:pt idx="365">
                  <c:v>-1.5289999999999999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63200"/>
        <c:axId val="234173568"/>
      </c:lineChart>
      <c:catAx>
        <c:axId val="23416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7356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17356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63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165">
                  <c:v>20.46</c:v>
                </c:pt>
                <c:pt idx="166">
                  <c:v>19.84</c:v>
                </c:pt>
                <c:pt idx="167">
                  <c:v>16.52</c:v>
                </c:pt>
                <c:pt idx="168">
                  <c:v>9.4700000000000006</c:v>
                </c:pt>
                <c:pt idx="169">
                  <c:v>4.7089999999999996</c:v>
                </c:pt>
                <c:pt idx="170">
                  <c:v>12.88</c:v>
                </c:pt>
                <c:pt idx="171">
                  <c:v>18.989999999999998</c:v>
                </c:pt>
                <c:pt idx="172">
                  <c:v>15.98</c:v>
                </c:pt>
                <c:pt idx="173">
                  <c:v>13.79</c:v>
                </c:pt>
                <c:pt idx="174">
                  <c:v>14.1</c:v>
                </c:pt>
                <c:pt idx="175">
                  <c:v>11.4</c:v>
                </c:pt>
                <c:pt idx="176">
                  <c:v>14.57</c:v>
                </c:pt>
                <c:pt idx="177">
                  <c:v>17</c:v>
                </c:pt>
                <c:pt idx="178">
                  <c:v>18.38</c:v>
                </c:pt>
                <c:pt idx="179">
                  <c:v>16.809999999999999</c:v>
                </c:pt>
                <c:pt idx="180">
                  <c:v>17.66</c:v>
                </c:pt>
                <c:pt idx="181">
                  <c:v>21.25</c:v>
                </c:pt>
                <c:pt idx="182">
                  <c:v>20.66</c:v>
                </c:pt>
                <c:pt idx="183">
                  <c:v>25.98</c:v>
                </c:pt>
                <c:pt idx="184">
                  <c:v>25.02</c:v>
                </c:pt>
                <c:pt idx="185">
                  <c:v>17.03</c:v>
                </c:pt>
                <c:pt idx="186">
                  <c:v>15.78</c:v>
                </c:pt>
                <c:pt idx="187">
                  <c:v>18.02</c:v>
                </c:pt>
                <c:pt idx="188">
                  <c:v>24.73</c:v>
                </c:pt>
                <c:pt idx="189">
                  <c:v>27.71</c:v>
                </c:pt>
                <c:pt idx="190">
                  <c:v>20.91</c:v>
                </c:pt>
                <c:pt idx="191">
                  <c:v>17.87</c:v>
                </c:pt>
                <c:pt idx="192">
                  <c:v>22.35</c:v>
                </c:pt>
                <c:pt idx="193">
                  <c:v>24.89</c:v>
                </c:pt>
                <c:pt idx="194">
                  <c:v>25.3</c:v>
                </c:pt>
                <c:pt idx="195">
                  <c:v>26.75</c:v>
                </c:pt>
                <c:pt idx="196">
                  <c:v>27</c:v>
                </c:pt>
                <c:pt idx="197">
                  <c:v>18.47</c:v>
                </c:pt>
                <c:pt idx="198">
                  <c:v>22.56</c:v>
                </c:pt>
                <c:pt idx="211">
                  <c:v>25.39</c:v>
                </c:pt>
                <c:pt idx="212">
                  <c:v>21.38</c:v>
                </c:pt>
                <c:pt idx="213">
                  <c:v>23.83</c:v>
                </c:pt>
                <c:pt idx="214">
                  <c:v>14.25</c:v>
                </c:pt>
                <c:pt idx="215">
                  <c:v>12.41</c:v>
                </c:pt>
                <c:pt idx="216">
                  <c:v>9.67</c:v>
                </c:pt>
                <c:pt idx="217">
                  <c:v>6.5259999999999998</c:v>
                </c:pt>
                <c:pt idx="218">
                  <c:v>17.55</c:v>
                </c:pt>
                <c:pt idx="219">
                  <c:v>23.33</c:v>
                </c:pt>
                <c:pt idx="220">
                  <c:v>24.94</c:v>
                </c:pt>
                <c:pt idx="221">
                  <c:v>25.46</c:v>
                </c:pt>
                <c:pt idx="222">
                  <c:v>27.73</c:v>
                </c:pt>
                <c:pt idx="223">
                  <c:v>25.73</c:v>
                </c:pt>
                <c:pt idx="224">
                  <c:v>19.98</c:v>
                </c:pt>
                <c:pt idx="225">
                  <c:v>26.25</c:v>
                </c:pt>
                <c:pt idx="226">
                  <c:v>27.9</c:v>
                </c:pt>
                <c:pt idx="227">
                  <c:v>24.83</c:v>
                </c:pt>
                <c:pt idx="228">
                  <c:v>16.79</c:v>
                </c:pt>
                <c:pt idx="229">
                  <c:v>15.28</c:v>
                </c:pt>
                <c:pt idx="230">
                  <c:v>16.88</c:v>
                </c:pt>
                <c:pt idx="231">
                  <c:v>12.63</c:v>
                </c:pt>
                <c:pt idx="232">
                  <c:v>16.96</c:v>
                </c:pt>
                <c:pt idx="233">
                  <c:v>16.87</c:v>
                </c:pt>
                <c:pt idx="234">
                  <c:v>23.09</c:v>
                </c:pt>
                <c:pt idx="235">
                  <c:v>25.72</c:v>
                </c:pt>
                <c:pt idx="236">
                  <c:v>27.74</c:v>
                </c:pt>
                <c:pt idx="237">
                  <c:v>27.44</c:v>
                </c:pt>
                <c:pt idx="238">
                  <c:v>29.02</c:v>
                </c:pt>
                <c:pt idx="239">
                  <c:v>30.41</c:v>
                </c:pt>
                <c:pt idx="240">
                  <c:v>25.32</c:v>
                </c:pt>
                <c:pt idx="241">
                  <c:v>25.86</c:v>
                </c:pt>
                <c:pt idx="242">
                  <c:v>25.26</c:v>
                </c:pt>
                <c:pt idx="243">
                  <c:v>10.26</c:v>
                </c:pt>
                <c:pt idx="244">
                  <c:v>14.39</c:v>
                </c:pt>
                <c:pt idx="318">
                  <c:v>-1.99</c:v>
                </c:pt>
                <c:pt idx="319">
                  <c:v>-4.4489999999999998</c:v>
                </c:pt>
                <c:pt idx="320">
                  <c:v>-5.4119999999999999</c:v>
                </c:pt>
                <c:pt idx="321">
                  <c:v>-3.8490000000000002</c:v>
                </c:pt>
                <c:pt idx="322">
                  <c:v>-10.79</c:v>
                </c:pt>
                <c:pt idx="323">
                  <c:v>-10.44</c:v>
                </c:pt>
                <c:pt idx="324">
                  <c:v>-13.82</c:v>
                </c:pt>
                <c:pt idx="325">
                  <c:v>-5.8730000000000002</c:v>
                </c:pt>
                <c:pt idx="326">
                  <c:v>-10.81</c:v>
                </c:pt>
                <c:pt idx="327">
                  <c:v>-10.51</c:v>
                </c:pt>
                <c:pt idx="328">
                  <c:v>-2.6789999999999998</c:v>
                </c:pt>
                <c:pt idx="329">
                  <c:v>-4.8860000000000001</c:v>
                </c:pt>
                <c:pt idx="330">
                  <c:v>-3.0870000000000002</c:v>
                </c:pt>
                <c:pt idx="331">
                  <c:v>-2.1059999999999999</c:v>
                </c:pt>
                <c:pt idx="332">
                  <c:v>-3.097</c:v>
                </c:pt>
                <c:pt idx="333">
                  <c:v>-6.6719999999999997</c:v>
                </c:pt>
                <c:pt idx="334">
                  <c:v>-1.925</c:v>
                </c:pt>
                <c:pt idx="335">
                  <c:v>-2.169</c:v>
                </c:pt>
                <c:pt idx="336">
                  <c:v>-7.33</c:v>
                </c:pt>
                <c:pt idx="337">
                  <c:v>-8.4700000000000006</c:v>
                </c:pt>
                <c:pt idx="338">
                  <c:v>-5.702</c:v>
                </c:pt>
                <c:pt idx="339">
                  <c:v>-4.6040000000000001</c:v>
                </c:pt>
                <c:pt idx="340">
                  <c:v>-3.18</c:v>
                </c:pt>
                <c:pt idx="341">
                  <c:v>-4.6849999999999996</c:v>
                </c:pt>
                <c:pt idx="342">
                  <c:v>-2.91</c:v>
                </c:pt>
                <c:pt idx="343">
                  <c:v>-2.7570000000000001</c:v>
                </c:pt>
                <c:pt idx="344">
                  <c:v>1.492</c:v>
                </c:pt>
                <c:pt idx="345">
                  <c:v>-1.4450000000000001</c:v>
                </c:pt>
                <c:pt idx="346">
                  <c:v>-3.37</c:v>
                </c:pt>
                <c:pt idx="347">
                  <c:v>-3.9369999999999998</c:v>
                </c:pt>
                <c:pt idx="348">
                  <c:v>-4.734</c:v>
                </c:pt>
                <c:pt idx="349">
                  <c:v>-4.6070000000000002</c:v>
                </c:pt>
                <c:pt idx="350">
                  <c:v>-9.76</c:v>
                </c:pt>
                <c:pt idx="351">
                  <c:v>-12.24</c:v>
                </c:pt>
                <c:pt idx="352">
                  <c:v>-9.41</c:v>
                </c:pt>
                <c:pt idx="353">
                  <c:v>-5.2220000000000004</c:v>
                </c:pt>
                <c:pt idx="354">
                  <c:v>-5.2709999999999999</c:v>
                </c:pt>
                <c:pt idx="355">
                  <c:v>-7.81</c:v>
                </c:pt>
                <c:pt idx="356">
                  <c:v>-11.04</c:v>
                </c:pt>
                <c:pt idx="357">
                  <c:v>-13.67</c:v>
                </c:pt>
                <c:pt idx="358">
                  <c:v>-13.34</c:v>
                </c:pt>
                <c:pt idx="359">
                  <c:v>-15.98</c:v>
                </c:pt>
                <c:pt idx="360">
                  <c:v>-22.85</c:v>
                </c:pt>
                <c:pt idx="361">
                  <c:v>-21.41</c:v>
                </c:pt>
                <c:pt idx="362">
                  <c:v>-26.42</c:v>
                </c:pt>
                <c:pt idx="363">
                  <c:v>-9.17</c:v>
                </c:pt>
                <c:pt idx="364">
                  <c:v>0.84699999999999998</c:v>
                </c:pt>
                <c:pt idx="365">
                  <c:v>2.4620000000000002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165">
                  <c:v>-2.6349999999999998</c:v>
                </c:pt>
                <c:pt idx="166">
                  <c:v>-1.821</c:v>
                </c:pt>
                <c:pt idx="167">
                  <c:v>-3.2509999999999999</c:v>
                </c:pt>
                <c:pt idx="168">
                  <c:v>1.21</c:v>
                </c:pt>
                <c:pt idx="169">
                  <c:v>-0.114</c:v>
                </c:pt>
                <c:pt idx="170">
                  <c:v>-1.5820000000000001</c:v>
                </c:pt>
                <c:pt idx="171">
                  <c:v>-2.714</c:v>
                </c:pt>
                <c:pt idx="172">
                  <c:v>-2.0590000000000002</c:v>
                </c:pt>
                <c:pt idx="173">
                  <c:v>1.843</c:v>
                </c:pt>
                <c:pt idx="174">
                  <c:v>4.3239999999999998</c:v>
                </c:pt>
                <c:pt idx="175">
                  <c:v>2.4700000000000002</c:v>
                </c:pt>
                <c:pt idx="176">
                  <c:v>2.88</c:v>
                </c:pt>
                <c:pt idx="177">
                  <c:v>0.95299999999999996</c:v>
                </c:pt>
                <c:pt idx="178">
                  <c:v>-0.44900000000000001</c:v>
                </c:pt>
                <c:pt idx="179">
                  <c:v>2.7770000000000001</c:v>
                </c:pt>
                <c:pt idx="180">
                  <c:v>-0.91400000000000003</c:v>
                </c:pt>
                <c:pt idx="181">
                  <c:v>-0.23899999999999999</c:v>
                </c:pt>
                <c:pt idx="182">
                  <c:v>2.8380000000000001</c:v>
                </c:pt>
                <c:pt idx="183">
                  <c:v>2.1779999999999999</c:v>
                </c:pt>
                <c:pt idx="184">
                  <c:v>4.1440000000000001</c:v>
                </c:pt>
                <c:pt idx="185">
                  <c:v>3.3029999999999999</c:v>
                </c:pt>
                <c:pt idx="186">
                  <c:v>0.46100000000000002</c:v>
                </c:pt>
                <c:pt idx="187">
                  <c:v>-0.22500000000000001</c:v>
                </c:pt>
                <c:pt idx="188">
                  <c:v>-0.55500000000000005</c:v>
                </c:pt>
                <c:pt idx="189">
                  <c:v>2.1139999999999999</c:v>
                </c:pt>
                <c:pt idx="190">
                  <c:v>2.3069999999999999</c:v>
                </c:pt>
                <c:pt idx="191">
                  <c:v>-1.7000000000000001E-2</c:v>
                </c:pt>
                <c:pt idx="192">
                  <c:v>-1.762</c:v>
                </c:pt>
                <c:pt idx="193">
                  <c:v>1.004</c:v>
                </c:pt>
                <c:pt idx="194">
                  <c:v>3.2149999999999999</c:v>
                </c:pt>
                <c:pt idx="195">
                  <c:v>2.964</c:v>
                </c:pt>
                <c:pt idx="196">
                  <c:v>4.774</c:v>
                </c:pt>
                <c:pt idx="197">
                  <c:v>5.4249999999999998</c:v>
                </c:pt>
                <c:pt idx="198">
                  <c:v>2.3370000000000002</c:v>
                </c:pt>
                <c:pt idx="211">
                  <c:v>2.77</c:v>
                </c:pt>
                <c:pt idx="212">
                  <c:v>-0.19400000000000001</c:v>
                </c:pt>
                <c:pt idx="213">
                  <c:v>-0.60499999999999998</c:v>
                </c:pt>
                <c:pt idx="214">
                  <c:v>0.35899999999999999</c:v>
                </c:pt>
                <c:pt idx="215">
                  <c:v>5.0890000000000004</c:v>
                </c:pt>
                <c:pt idx="216">
                  <c:v>3.1480000000000001</c:v>
                </c:pt>
                <c:pt idx="217">
                  <c:v>3.4159999999999999</c:v>
                </c:pt>
                <c:pt idx="218">
                  <c:v>2.8769999999999998</c:v>
                </c:pt>
                <c:pt idx="219">
                  <c:v>1.194</c:v>
                </c:pt>
                <c:pt idx="220">
                  <c:v>2.1059999999999999</c:v>
                </c:pt>
                <c:pt idx="221">
                  <c:v>2.7480000000000002</c:v>
                </c:pt>
                <c:pt idx="222">
                  <c:v>2.4020000000000001</c:v>
                </c:pt>
                <c:pt idx="223">
                  <c:v>0.77500000000000002</c:v>
                </c:pt>
                <c:pt idx="224">
                  <c:v>-1.4410000000000001</c:v>
                </c:pt>
                <c:pt idx="225">
                  <c:v>-0.217</c:v>
                </c:pt>
                <c:pt idx="226">
                  <c:v>3.6160000000000001</c:v>
                </c:pt>
                <c:pt idx="227">
                  <c:v>1.423</c:v>
                </c:pt>
                <c:pt idx="228">
                  <c:v>-0.71499999999999997</c:v>
                </c:pt>
                <c:pt idx="229">
                  <c:v>-1.3109999999999999</c:v>
                </c:pt>
                <c:pt idx="230">
                  <c:v>-2.145</c:v>
                </c:pt>
                <c:pt idx="231">
                  <c:v>2.8769999999999998</c:v>
                </c:pt>
                <c:pt idx="232">
                  <c:v>-1.296</c:v>
                </c:pt>
                <c:pt idx="233">
                  <c:v>-2.9350000000000001</c:v>
                </c:pt>
                <c:pt idx="234">
                  <c:v>-1.879</c:v>
                </c:pt>
                <c:pt idx="235">
                  <c:v>2.1680000000000001</c:v>
                </c:pt>
                <c:pt idx="236">
                  <c:v>1.4790000000000001</c:v>
                </c:pt>
                <c:pt idx="237">
                  <c:v>1.7030000000000001</c:v>
                </c:pt>
                <c:pt idx="238">
                  <c:v>2.7959999999999998</c:v>
                </c:pt>
                <c:pt idx="239">
                  <c:v>4.9009999999999998</c:v>
                </c:pt>
                <c:pt idx="240">
                  <c:v>6.5220000000000002</c:v>
                </c:pt>
                <c:pt idx="241">
                  <c:v>6.6109999999999998</c:v>
                </c:pt>
                <c:pt idx="242">
                  <c:v>2.96</c:v>
                </c:pt>
                <c:pt idx="243">
                  <c:v>-0.251</c:v>
                </c:pt>
                <c:pt idx="244">
                  <c:v>-0.109</c:v>
                </c:pt>
                <c:pt idx="318">
                  <c:v>-4.492</c:v>
                </c:pt>
                <c:pt idx="319">
                  <c:v>-10.91</c:v>
                </c:pt>
                <c:pt idx="320">
                  <c:v>-11.97</c:v>
                </c:pt>
                <c:pt idx="321">
                  <c:v>-14.24</c:v>
                </c:pt>
                <c:pt idx="322">
                  <c:v>-20.04</c:v>
                </c:pt>
                <c:pt idx="323">
                  <c:v>-19.66</c:v>
                </c:pt>
                <c:pt idx="324">
                  <c:v>-29.16</c:v>
                </c:pt>
                <c:pt idx="325">
                  <c:v>-21.06</c:v>
                </c:pt>
                <c:pt idx="326">
                  <c:v>-23.3</c:v>
                </c:pt>
                <c:pt idx="327">
                  <c:v>-30.77</c:v>
                </c:pt>
                <c:pt idx="328">
                  <c:v>-13.04</c:v>
                </c:pt>
                <c:pt idx="329">
                  <c:v>-12.37</c:v>
                </c:pt>
                <c:pt idx="330">
                  <c:v>-7.79</c:v>
                </c:pt>
                <c:pt idx="331">
                  <c:v>-6.484</c:v>
                </c:pt>
                <c:pt idx="332">
                  <c:v>-6.9320000000000004</c:v>
                </c:pt>
                <c:pt idx="333">
                  <c:v>-17.78</c:v>
                </c:pt>
                <c:pt idx="334">
                  <c:v>-7.53</c:v>
                </c:pt>
                <c:pt idx="335">
                  <c:v>-9.9600000000000009</c:v>
                </c:pt>
                <c:pt idx="336">
                  <c:v>-14.51</c:v>
                </c:pt>
                <c:pt idx="337">
                  <c:v>-13.98</c:v>
                </c:pt>
                <c:pt idx="338">
                  <c:v>-18.28</c:v>
                </c:pt>
                <c:pt idx="339">
                  <c:v>-7.11</c:v>
                </c:pt>
                <c:pt idx="340">
                  <c:v>-14.25</c:v>
                </c:pt>
                <c:pt idx="341">
                  <c:v>-15.45</c:v>
                </c:pt>
                <c:pt idx="342">
                  <c:v>-15.69</c:v>
                </c:pt>
                <c:pt idx="343">
                  <c:v>-20.239999999999998</c:v>
                </c:pt>
                <c:pt idx="344">
                  <c:v>-11.59</c:v>
                </c:pt>
                <c:pt idx="345">
                  <c:v>-17.86</c:v>
                </c:pt>
                <c:pt idx="346">
                  <c:v>-16.21</c:v>
                </c:pt>
                <c:pt idx="347">
                  <c:v>-16.989999999999998</c:v>
                </c:pt>
                <c:pt idx="348">
                  <c:v>-19.41</c:v>
                </c:pt>
                <c:pt idx="349">
                  <c:v>-15.15</c:v>
                </c:pt>
                <c:pt idx="350">
                  <c:v>-19.649999999999999</c:v>
                </c:pt>
                <c:pt idx="351">
                  <c:v>-26.85</c:v>
                </c:pt>
                <c:pt idx="352">
                  <c:v>-18.78</c:v>
                </c:pt>
                <c:pt idx="353">
                  <c:v>-19.53</c:v>
                </c:pt>
                <c:pt idx="354">
                  <c:v>-14.75</c:v>
                </c:pt>
                <c:pt idx="355">
                  <c:v>-13.02</c:v>
                </c:pt>
                <c:pt idx="356">
                  <c:v>-20.92</c:v>
                </c:pt>
                <c:pt idx="357">
                  <c:v>-22.47</c:v>
                </c:pt>
                <c:pt idx="358">
                  <c:v>-24.5</c:v>
                </c:pt>
                <c:pt idx="359">
                  <c:v>-35.35</c:v>
                </c:pt>
                <c:pt idx="360">
                  <c:v>-37.35</c:v>
                </c:pt>
                <c:pt idx="361">
                  <c:v>-38.659999999999997</c:v>
                </c:pt>
                <c:pt idx="362">
                  <c:v>-39.299999999999997</c:v>
                </c:pt>
                <c:pt idx="363">
                  <c:v>-33.72</c:v>
                </c:pt>
                <c:pt idx="364">
                  <c:v>-12.04</c:v>
                </c:pt>
                <c:pt idx="365">
                  <c:v>-1.61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05792"/>
        <c:axId val="234332544"/>
      </c:lineChart>
      <c:catAx>
        <c:axId val="23430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325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33254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05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165">
                  <c:v>25.23</c:v>
                </c:pt>
                <c:pt idx="166">
                  <c:v>25.48</c:v>
                </c:pt>
                <c:pt idx="167">
                  <c:v>22.61</c:v>
                </c:pt>
                <c:pt idx="168">
                  <c:v>12.38</c:v>
                </c:pt>
                <c:pt idx="169">
                  <c:v>5.8289999999999997</c:v>
                </c:pt>
                <c:pt idx="170">
                  <c:v>14.23</c:v>
                </c:pt>
                <c:pt idx="171">
                  <c:v>24.22</c:v>
                </c:pt>
                <c:pt idx="172">
                  <c:v>20.51</c:v>
                </c:pt>
                <c:pt idx="173">
                  <c:v>13.17</c:v>
                </c:pt>
                <c:pt idx="174">
                  <c:v>17.579999999999998</c:v>
                </c:pt>
                <c:pt idx="175">
                  <c:v>14.69</c:v>
                </c:pt>
                <c:pt idx="176">
                  <c:v>17.8</c:v>
                </c:pt>
                <c:pt idx="177">
                  <c:v>20.67</c:v>
                </c:pt>
                <c:pt idx="178">
                  <c:v>25.82</c:v>
                </c:pt>
                <c:pt idx="179">
                  <c:v>19.78</c:v>
                </c:pt>
                <c:pt idx="180">
                  <c:v>26.02</c:v>
                </c:pt>
                <c:pt idx="181">
                  <c:v>29.14</c:v>
                </c:pt>
                <c:pt idx="182">
                  <c:v>27.17</c:v>
                </c:pt>
                <c:pt idx="183">
                  <c:v>31.58</c:v>
                </c:pt>
                <c:pt idx="184">
                  <c:v>30.62</c:v>
                </c:pt>
                <c:pt idx="185">
                  <c:v>21.34</c:v>
                </c:pt>
                <c:pt idx="186">
                  <c:v>22.5</c:v>
                </c:pt>
                <c:pt idx="187">
                  <c:v>26.81</c:v>
                </c:pt>
                <c:pt idx="188">
                  <c:v>29.07</c:v>
                </c:pt>
                <c:pt idx="189">
                  <c:v>33.53</c:v>
                </c:pt>
                <c:pt idx="190">
                  <c:v>25.63</c:v>
                </c:pt>
                <c:pt idx="191">
                  <c:v>26.62</c:v>
                </c:pt>
                <c:pt idx="192">
                  <c:v>26.71</c:v>
                </c:pt>
                <c:pt idx="193">
                  <c:v>31.37</c:v>
                </c:pt>
                <c:pt idx="194">
                  <c:v>30.96</c:v>
                </c:pt>
                <c:pt idx="195">
                  <c:v>32.43</c:v>
                </c:pt>
                <c:pt idx="196">
                  <c:v>32.4</c:v>
                </c:pt>
                <c:pt idx="197">
                  <c:v>24.33</c:v>
                </c:pt>
                <c:pt idx="198">
                  <c:v>29.2</c:v>
                </c:pt>
                <c:pt idx="211">
                  <c:v>28.66</c:v>
                </c:pt>
                <c:pt idx="212">
                  <c:v>25.22</c:v>
                </c:pt>
                <c:pt idx="213">
                  <c:v>28.13</c:v>
                </c:pt>
                <c:pt idx="214">
                  <c:v>17.16</c:v>
                </c:pt>
                <c:pt idx="215">
                  <c:v>14.4</c:v>
                </c:pt>
                <c:pt idx="216">
                  <c:v>12.02</c:v>
                </c:pt>
                <c:pt idx="217">
                  <c:v>8.59</c:v>
                </c:pt>
                <c:pt idx="218">
                  <c:v>20.47</c:v>
                </c:pt>
                <c:pt idx="219">
                  <c:v>25.32</c:v>
                </c:pt>
                <c:pt idx="220">
                  <c:v>27.43</c:v>
                </c:pt>
                <c:pt idx="221">
                  <c:v>28.2</c:v>
                </c:pt>
                <c:pt idx="222">
                  <c:v>29.25</c:v>
                </c:pt>
                <c:pt idx="223">
                  <c:v>28.1</c:v>
                </c:pt>
                <c:pt idx="224">
                  <c:v>23.21</c:v>
                </c:pt>
                <c:pt idx="225">
                  <c:v>27.78</c:v>
                </c:pt>
                <c:pt idx="226">
                  <c:v>29.33</c:v>
                </c:pt>
                <c:pt idx="227">
                  <c:v>27.76</c:v>
                </c:pt>
                <c:pt idx="228">
                  <c:v>19.440000000000001</c:v>
                </c:pt>
                <c:pt idx="229">
                  <c:v>20.29</c:v>
                </c:pt>
                <c:pt idx="230">
                  <c:v>19.53</c:v>
                </c:pt>
                <c:pt idx="231">
                  <c:v>12.06</c:v>
                </c:pt>
                <c:pt idx="232">
                  <c:v>20.59</c:v>
                </c:pt>
                <c:pt idx="233">
                  <c:v>21.12</c:v>
                </c:pt>
                <c:pt idx="234">
                  <c:v>23.87</c:v>
                </c:pt>
                <c:pt idx="235">
                  <c:v>27.83</c:v>
                </c:pt>
                <c:pt idx="236">
                  <c:v>29.65</c:v>
                </c:pt>
                <c:pt idx="237">
                  <c:v>29.49</c:v>
                </c:pt>
                <c:pt idx="238">
                  <c:v>30.19</c:v>
                </c:pt>
                <c:pt idx="239">
                  <c:v>28.61</c:v>
                </c:pt>
                <c:pt idx="240">
                  <c:v>27.56</c:v>
                </c:pt>
                <c:pt idx="241">
                  <c:v>27.54</c:v>
                </c:pt>
                <c:pt idx="242">
                  <c:v>27.52</c:v>
                </c:pt>
                <c:pt idx="243">
                  <c:v>11.99</c:v>
                </c:pt>
                <c:pt idx="244">
                  <c:v>15.58</c:v>
                </c:pt>
                <c:pt idx="318">
                  <c:v>0.20200000000000001</c:v>
                </c:pt>
                <c:pt idx="319">
                  <c:v>0.13300000000000001</c:v>
                </c:pt>
                <c:pt idx="320">
                  <c:v>0.109</c:v>
                </c:pt>
                <c:pt idx="321">
                  <c:v>0.125</c:v>
                </c:pt>
                <c:pt idx="322">
                  <c:v>9.4E-2</c:v>
                </c:pt>
                <c:pt idx="323">
                  <c:v>-0.34</c:v>
                </c:pt>
                <c:pt idx="324">
                  <c:v>-0.76300000000000001</c:v>
                </c:pt>
                <c:pt idx="325">
                  <c:v>-1.5209999999999999</c:v>
                </c:pt>
                <c:pt idx="326">
                  <c:v>-1.363</c:v>
                </c:pt>
                <c:pt idx="327">
                  <c:v>-2.21</c:v>
                </c:pt>
                <c:pt idx="328">
                  <c:v>-1.387</c:v>
                </c:pt>
                <c:pt idx="329">
                  <c:v>-1.081</c:v>
                </c:pt>
                <c:pt idx="330">
                  <c:v>-0.82899999999999996</c:v>
                </c:pt>
                <c:pt idx="331">
                  <c:v>-0.64100000000000001</c:v>
                </c:pt>
                <c:pt idx="332">
                  <c:v>-0.47499999999999998</c:v>
                </c:pt>
                <c:pt idx="333">
                  <c:v>-0.47399999999999998</c:v>
                </c:pt>
                <c:pt idx="334">
                  <c:v>-0.44400000000000001</c:v>
                </c:pt>
                <c:pt idx="335">
                  <c:v>-0.32900000000000001</c:v>
                </c:pt>
                <c:pt idx="336">
                  <c:v>-0.42099999999999999</c:v>
                </c:pt>
                <c:pt idx="337">
                  <c:v>-0.38300000000000001</c:v>
                </c:pt>
                <c:pt idx="338">
                  <c:v>-0.41699999999999998</c:v>
                </c:pt>
                <c:pt idx="339">
                  <c:v>-0.38600000000000001</c:v>
                </c:pt>
                <c:pt idx="340">
                  <c:v>-0.23300000000000001</c:v>
                </c:pt>
                <c:pt idx="341">
                  <c:v>-0.11799999999999999</c:v>
                </c:pt>
                <c:pt idx="342">
                  <c:v>-8.0000000000000002E-3</c:v>
                </c:pt>
                <c:pt idx="343">
                  <c:v>-0.158</c:v>
                </c:pt>
                <c:pt idx="344">
                  <c:v>-1.0999999999999999E-2</c:v>
                </c:pt>
                <c:pt idx="345">
                  <c:v>-4.3999999999999997E-2</c:v>
                </c:pt>
                <c:pt idx="346">
                  <c:v>-1.7999999999999999E-2</c:v>
                </c:pt>
                <c:pt idx="347">
                  <c:v>-5.0000000000000001E-3</c:v>
                </c:pt>
                <c:pt idx="348">
                  <c:v>-2.7E-2</c:v>
                </c:pt>
                <c:pt idx="349">
                  <c:v>5.3999999999999999E-2</c:v>
                </c:pt>
                <c:pt idx="350">
                  <c:v>7.1999999999999995E-2</c:v>
                </c:pt>
                <c:pt idx="351">
                  <c:v>-2.5999999999999999E-2</c:v>
                </c:pt>
                <c:pt idx="352">
                  <c:v>-8.9999999999999993E-3</c:v>
                </c:pt>
                <c:pt idx="353">
                  <c:v>-2.5000000000000001E-2</c:v>
                </c:pt>
                <c:pt idx="354">
                  <c:v>6.2E-2</c:v>
                </c:pt>
                <c:pt idx="355">
                  <c:v>5.0999999999999997E-2</c:v>
                </c:pt>
                <c:pt idx="356">
                  <c:v>3.7999999999999999E-2</c:v>
                </c:pt>
                <c:pt idx="357">
                  <c:v>-7.0000000000000001E-3</c:v>
                </c:pt>
                <c:pt idx="358">
                  <c:v>-0.14199999999999999</c:v>
                </c:pt>
                <c:pt idx="359">
                  <c:v>-0.16200000000000001</c:v>
                </c:pt>
                <c:pt idx="360">
                  <c:v>-1.093</c:v>
                </c:pt>
                <c:pt idx="361">
                  <c:v>-0.97499999999999998</c:v>
                </c:pt>
                <c:pt idx="362">
                  <c:v>-1.4159999999999999</c:v>
                </c:pt>
                <c:pt idx="363">
                  <c:v>-0.73899999999999999</c:v>
                </c:pt>
                <c:pt idx="364">
                  <c:v>-0.55400000000000005</c:v>
                </c:pt>
                <c:pt idx="365">
                  <c:v>-0.505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Data!$AL$7:$AL$372</c:f>
              <c:numCache>
                <c:formatCode>General</c:formatCode>
                <c:ptCount val="366"/>
                <c:pt idx="165">
                  <c:v>-2.8140000000000001</c:v>
                </c:pt>
                <c:pt idx="166">
                  <c:v>-1.954</c:v>
                </c:pt>
                <c:pt idx="167">
                  <c:v>-3.5739999999999998</c:v>
                </c:pt>
                <c:pt idx="168">
                  <c:v>1.1639999999999999</c:v>
                </c:pt>
                <c:pt idx="169">
                  <c:v>0.754</c:v>
                </c:pt>
                <c:pt idx="170">
                  <c:v>-1.571</c:v>
                </c:pt>
                <c:pt idx="171">
                  <c:v>-2.7690000000000001</c:v>
                </c:pt>
                <c:pt idx="172">
                  <c:v>-2.105</c:v>
                </c:pt>
                <c:pt idx="173">
                  <c:v>1.9179999999999999</c:v>
                </c:pt>
                <c:pt idx="174">
                  <c:v>4.4039999999999999</c:v>
                </c:pt>
                <c:pt idx="175">
                  <c:v>2.706</c:v>
                </c:pt>
                <c:pt idx="176">
                  <c:v>3.0870000000000002</c:v>
                </c:pt>
                <c:pt idx="177">
                  <c:v>0.81100000000000005</c:v>
                </c:pt>
                <c:pt idx="178">
                  <c:v>-0.35499999999999998</c:v>
                </c:pt>
                <c:pt idx="179">
                  <c:v>1.9039999999999999</c:v>
                </c:pt>
                <c:pt idx="180">
                  <c:v>-0.82299999999999995</c:v>
                </c:pt>
                <c:pt idx="181">
                  <c:v>-0.307</c:v>
                </c:pt>
                <c:pt idx="182">
                  <c:v>2.5270000000000001</c:v>
                </c:pt>
                <c:pt idx="183">
                  <c:v>1.9730000000000001</c:v>
                </c:pt>
                <c:pt idx="184">
                  <c:v>3.2549999999999999</c:v>
                </c:pt>
                <c:pt idx="185">
                  <c:v>1.3420000000000001</c:v>
                </c:pt>
                <c:pt idx="186">
                  <c:v>0.58599999999999997</c:v>
                </c:pt>
                <c:pt idx="187">
                  <c:v>-0.37</c:v>
                </c:pt>
                <c:pt idx="188">
                  <c:v>-0.30399999999999999</c:v>
                </c:pt>
                <c:pt idx="189">
                  <c:v>2.246</c:v>
                </c:pt>
                <c:pt idx="190">
                  <c:v>1.5669999999999999</c:v>
                </c:pt>
                <c:pt idx="191">
                  <c:v>0.13800000000000001</c:v>
                </c:pt>
                <c:pt idx="192">
                  <c:v>-1.2849999999999999</c:v>
                </c:pt>
                <c:pt idx="193">
                  <c:v>1.2569999999999999</c:v>
                </c:pt>
                <c:pt idx="194">
                  <c:v>2.2050000000000001</c:v>
                </c:pt>
                <c:pt idx="195">
                  <c:v>2.9460000000000002</c:v>
                </c:pt>
                <c:pt idx="196">
                  <c:v>4.5720000000000001</c:v>
                </c:pt>
                <c:pt idx="197">
                  <c:v>4.5039999999999996</c:v>
                </c:pt>
                <c:pt idx="198">
                  <c:v>2.2120000000000002</c:v>
                </c:pt>
                <c:pt idx="211">
                  <c:v>-0.84699999999999998</c:v>
                </c:pt>
                <c:pt idx="212">
                  <c:v>-2.4209999999999998</c:v>
                </c:pt>
                <c:pt idx="213">
                  <c:v>-2.0459999999999998</c:v>
                </c:pt>
                <c:pt idx="214">
                  <c:v>-1.879</c:v>
                </c:pt>
                <c:pt idx="215">
                  <c:v>5.0430000000000001</c:v>
                </c:pt>
                <c:pt idx="216">
                  <c:v>2.746</c:v>
                </c:pt>
                <c:pt idx="217">
                  <c:v>3.726</c:v>
                </c:pt>
                <c:pt idx="218">
                  <c:v>1.6080000000000001</c:v>
                </c:pt>
                <c:pt idx="219">
                  <c:v>-0.5</c:v>
                </c:pt>
                <c:pt idx="220">
                  <c:v>0.97199999999999998</c:v>
                </c:pt>
                <c:pt idx="221">
                  <c:v>0.94199999999999995</c:v>
                </c:pt>
                <c:pt idx="222">
                  <c:v>0.21</c:v>
                </c:pt>
                <c:pt idx="223">
                  <c:v>-1.718</c:v>
                </c:pt>
                <c:pt idx="224">
                  <c:v>-3.3149999999999999</c:v>
                </c:pt>
                <c:pt idx="225">
                  <c:v>-2.0030000000000001</c:v>
                </c:pt>
                <c:pt idx="226">
                  <c:v>0.73399999999999999</c:v>
                </c:pt>
                <c:pt idx="227">
                  <c:v>-1.1819999999999999</c:v>
                </c:pt>
                <c:pt idx="228">
                  <c:v>-2.6579999999999999</c:v>
                </c:pt>
                <c:pt idx="229">
                  <c:v>-3.073</c:v>
                </c:pt>
                <c:pt idx="230">
                  <c:v>-2.823</c:v>
                </c:pt>
                <c:pt idx="231">
                  <c:v>2.4500000000000002</c:v>
                </c:pt>
                <c:pt idx="232">
                  <c:v>-3.2269999999999999</c:v>
                </c:pt>
                <c:pt idx="233">
                  <c:v>-4.6500000000000004</c:v>
                </c:pt>
                <c:pt idx="234">
                  <c:v>-3.5449999999999999</c:v>
                </c:pt>
                <c:pt idx="235">
                  <c:v>-1.4E-2</c:v>
                </c:pt>
                <c:pt idx="236">
                  <c:v>-0.96799999999999997</c:v>
                </c:pt>
                <c:pt idx="237">
                  <c:v>-1.0049999999999999</c:v>
                </c:pt>
                <c:pt idx="238">
                  <c:v>0.216</c:v>
                </c:pt>
                <c:pt idx="239">
                  <c:v>1.7789999999999999</c:v>
                </c:pt>
                <c:pt idx="240">
                  <c:v>3.4569999999999999</c:v>
                </c:pt>
                <c:pt idx="241">
                  <c:v>3.613</c:v>
                </c:pt>
                <c:pt idx="242">
                  <c:v>0.59499999999999997</c:v>
                </c:pt>
                <c:pt idx="243">
                  <c:v>-1.6990000000000001</c:v>
                </c:pt>
                <c:pt idx="244">
                  <c:v>-1.762</c:v>
                </c:pt>
                <c:pt idx="318">
                  <c:v>7.2999999999999995E-2</c:v>
                </c:pt>
                <c:pt idx="319">
                  <c:v>7.9000000000000001E-2</c:v>
                </c:pt>
                <c:pt idx="320">
                  <c:v>-0.246</c:v>
                </c:pt>
                <c:pt idx="321">
                  <c:v>-5.7000000000000002E-2</c:v>
                </c:pt>
                <c:pt idx="322">
                  <c:v>-0.41299999999999998</c:v>
                </c:pt>
                <c:pt idx="323">
                  <c:v>-1.4319999999999999</c:v>
                </c:pt>
                <c:pt idx="324">
                  <c:v>-3.089</c:v>
                </c:pt>
                <c:pt idx="325">
                  <c:v>-2.722</c:v>
                </c:pt>
                <c:pt idx="326">
                  <c:v>-3.266</c:v>
                </c:pt>
                <c:pt idx="327">
                  <c:v>-5.8390000000000004</c:v>
                </c:pt>
                <c:pt idx="328">
                  <c:v>-2.2730000000000001</c:v>
                </c:pt>
                <c:pt idx="329">
                  <c:v>-1.9019999999999999</c:v>
                </c:pt>
                <c:pt idx="330">
                  <c:v>-1.417</c:v>
                </c:pt>
                <c:pt idx="331">
                  <c:v>-0.86199999999999999</c:v>
                </c:pt>
                <c:pt idx="332">
                  <c:v>-0.70199999999999996</c:v>
                </c:pt>
                <c:pt idx="333">
                  <c:v>-0.82299999999999995</c:v>
                </c:pt>
                <c:pt idx="334">
                  <c:v>-0.77700000000000002</c:v>
                </c:pt>
                <c:pt idx="335">
                  <c:v>-0.58899999999999997</c:v>
                </c:pt>
                <c:pt idx="336">
                  <c:v>-0.74299999999999999</c:v>
                </c:pt>
                <c:pt idx="337">
                  <c:v>-0.60399999999999998</c:v>
                </c:pt>
                <c:pt idx="338">
                  <c:v>-0.88100000000000001</c:v>
                </c:pt>
                <c:pt idx="339">
                  <c:v>-0.82099999999999995</c:v>
                </c:pt>
                <c:pt idx="340">
                  <c:v>-0.46400000000000002</c:v>
                </c:pt>
                <c:pt idx="341">
                  <c:v>-0.499</c:v>
                </c:pt>
                <c:pt idx="342">
                  <c:v>-0.29499999999999998</c:v>
                </c:pt>
                <c:pt idx="343">
                  <c:v>-0.75600000000000001</c:v>
                </c:pt>
                <c:pt idx="344">
                  <c:v>-0.442</c:v>
                </c:pt>
                <c:pt idx="345">
                  <c:v>-0.33500000000000002</c:v>
                </c:pt>
                <c:pt idx="346">
                  <c:v>-0.35499999999999998</c:v>
                </c:pt>
                <c:pt idx="347">
                  <c:v>-0.29499999999999998</c:v>
                </c:pt>
                <c:pt idx="348">
                  <c:v>-0.318</c:v>
                </c:pt>
                <c:pt idx="349">
                  <c:v>-0.16800000000000001</c:v>
                </c:pt>
                <c:pt idx="350">
                  <c:v>-4.4999999999999998E-2</c:v>
                </c:pt>
                <c:pt idx="351">
                  <c:v>-0.70399999999999996</c:v>
                </c:pt>
                <c:pt idx="352">
                  <c:v>-0.12</c:v>
                </c:pt>
                <c:pt idx="353">
                  <c:v>-0.46200000000000002</c:v>
                </c:pt>
                <c:pt idx="354">
                  <c:v>-6.8000000000000005E-2</c:v>
                </c:pt>
                <c:pt idx="355">
                  <c:v>-7.5999999999999998E-2</c:v>
                </c:pt>
                <c:pt idx="356">
                  <c:v>-0.20499999999999999</c:v>
                </c:pt>
                <c:pt idx="357">
                  <c:v>-0.24399999999999999</c:v>
                </c:pt>
                <c:pt idx="358">
                  <c:v>-0.51</c:v>
                </c:pt>
                <c:pt idx="359">
                  <c:v>-1.2</c:v>
                </c:pt>
                <c:pt idx="360">
                  <c:v>-1.5720000000000001</c:v>
                </c:pt>
                <c:pt idx="361">
                  <c:v>-1.7290000000000001</c:v>
                </c:pt>
                <c:pt idx="362">
                  <c:v>-1.861</c:v>
                </c:pt>
                <c:pt idx="363">
                  <c:v>-2.2919999999999998</c:v>
                </c:pt>
                <c:pt idx="364">
                  <c:v>-0.97499999999999998</c:v>
                </c:pt>
                <c:pt idx="365">
                  <c:v>-0.83299999999999996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50080"/>
        <c:axId val="234352000"/>
      </c:lineChart>
      <c:catAx>
        <c:axId val="23435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520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35200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5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165">
                  <c:v>100.6</c:v>
                </c:pt>
                <c:pt idx="166">
                  <c:v>100</c:v>
                </c:pt>
                <c:pt idx="167">
                  <c:v>98.1</c:v>
                </c:pt>
                <c:pt idx="168">
                  <c:v>104.7</c:v>
                </c:pt>
                <c:pt idx="169">
                  <c:v>106.6</c:v>
                </c:pt>
                <c:pt idx="170">
                  <c:v>106.9</c:v>
                </c:pt>
                <c:pt idx="171">
                  <c:v>105.5</c:v>
                </c:pt>
                <c:pt idx="172">
                  <c:v>102.7</c:v>
                </c:pt>
                <c:pt idx="173">
                  <c:v>105.1</c:v>
                </c:pt>
                <c:pt idx="174">
                  <c:v>104.9</c:v>
                </c:pt>
                <c:pt idx="175">
                  <c:v>105.8</c:v>
                </c:pt>
                <c:pt idx="176">
                  <c:v>105.7</c:v>
                </c:pt>
                <c:pt idx="177">
                  <c:v>104.1</c:v>
                </c:pt>
                <c:pt idx="178">
                  <c:v>103.5</c:v>
                </c:pt>
                <c:pt idx="179">
                  <c:v>99</c:v>
                </c:pt>
                <c:pt idx="180">
                  <c:v>101.5</c:v>
                </c:pt>
                <c:pt idx="181">
                  <c:v>98.4</c:v>
                </c:pt>
                <c:pt idx="182">
                  <c:v>101.9</c:v>
                </c:pt>
                <c:pt idx="183">
                  <c:v>97.4</c:v>
                </c:pt>
                <c:pt idx="184">
                  <c:v>103.2</c:v>
                </c:pt>
                <c:pt idx="185">
                  <c:v>104.7</c:v>
                </c:pt>
                <c:pt idx="186">
                  <c:v>106.6</c:v>
                </c:pt>
                <c:pt idx="187">
                  <c:v>101.3</c:v>
                </c:pt>
                <c:pt idx="188">
                  <c:v>97</c:v>
                </c:pt>
                <c:pt idx="189">
                  <c:v>94.4</c:v>
                </c:pt>
                <c:pt idx="190">
                  <c:v>94.6</c:v>
                </c:pt>
                <c:pt idx="191">
                  <c:v>101.5</c:v>
                </c:pt>
                <c:pt idx="192">
                  <c:v>98.8</c:v>
                </c:pt>
                <c:pt idx="193">
                  <c:v>99.3</c:v>
                </c:pt>
                <c:pt idx="194">
                  <c:v>89.8</c:v>
                </c:pt>
                <c:pt idx="195">
                  <c:v>93.6</c:v>
                </c:pt>
                <c:pt idx="196">
                  <c:v>95</c:v>
                </c:pt>
                <c:pt idx="197">
                  <c:v>86.2</c:v>
                </c:pt>
                <c:pt idx="198">
                  <c:v>106.9</c:v>
                </c:pt>
                <c:pt idx="211">
                  <c:v>100.9</c:v>
                </c:pt>
                <c:pt idx="212">
                  <c:v>93.6</c:v>
                </c:pt>
                <c:pt idx="213">
                  <c:v>97.1</c:v>
                </c:pt>
                <c:pt idx="214">
                  <c:v>105.4</c:v>
                </c:pt>
                <c:pt idx="215">
                  <c:v>106.8</c:v>
                </c:pt>
                <c:pt idx="216">
                  <c:v>106.7</c:v>
                </c:pt>
                <c:pt idx="217">
                  <c:v>107.1</c:v>
                </c:pt>
                <c:pt idx="218">
                  <c:v>106.9</c:v>
                </c:pt>
                <c:pt idx="219">
                  <c:v>105.8</c:v>
                </c:pt>
                <c:pt idx="220">
                  <c:v>105.1</c:v>
                </c:pt>
                <c:pt idx="221">
                  <c:v>99.7</c:v>
                </c:pt>
                <c:pt idx="222">
                  <c:v>99.3</c:v>
                </c:pt>
                <c:pt idx="223">
                  <c:v>93.2</c:v>
                </c:pt>
                <c:pt idx="224">
                  <c:v>99.7</c:v>
                </c:pt>
                <c:pt idx="225">
                  <c:v>101.5</c:v>
                </c:pt>
                <c:pt idx="226">
                  <c:v>86.5</c:v>
                </c:pt>
                <c:pt idx="227">
                  <c:v>95.9</c:v>
                </c:pt>
                <c:pt idx="228">
                  <c:v>91</c:v>
                </c:pt>
                <c:pt idx="229">
                  <c:v>104</c:v>
                </c:pt>
                <c:pt idx="230">
                  <c:v>105.9</c:v>
                </c:pt>
                <c:pt idx="231">
                  <c:v>102.8</c:v>
                </c:pt>
                <c:pt idx="232">
                  <c:v>103.4</c:v>
                </c:pt>
                <c:pt idx="233">
                  <c:v>105.6</c:v>
                </c:pt>
                <c:pt idx="234">
                  <c:v>104</c:v>
                </c:pt>
                <c:pt idx="235">
                  <c:v>98.3</c:v>
                </c:pt>
                <c:pt idx="236">
                  <c:v>93.8</c:v>
                </c:pt>
                <c:pt idx="237">
                  <c:v>94</c:v>
                </c:pt>
                <c:pt idx="238">
                  <c:v>84.7</c:v>
                </c:pt>
                <c:pt idx="239">
                  <c:v>83.7</c:v>
                </c:pt>
                <c:pt idx="240">
                  <c:v>90.8</c:v>
                </c:pt>
                <c:pt idx="241">
                  <c:v>99.5</c:v>
                </c:pt>
                <c:pt idx="242">
                  <c:v>105.4</c:v>
                </c:pt>
                <c:pt idx="243">
                  <c:v>106.4</c:v>
                </c:pt>
                <c:pt idx="244">
                  <c:v>106.5</c:v>
                </c:pt>
                <c:pt idx="318">
                  <c:v>106.7</c:v>
                </c:pt>
                <c:pt idx="319">
                  <c:v>105</c:v>
                </c:pt>
                <c:pt idx="320">
                  <c:v>102.7</c:v>
                </c:pt>
                <c:pt idx="321">
                  <c:v>103.3</c:v>
                </c:pt>
                <c:pt idx="322">
                  <c:v>102.6</c:v>
                </c:pt>
                <c:pt idx="323">
                  <c:v>98.6</c:v>
                </c:pt>
                <c:pt idx="324">
                  <c:v>98.7</c:v>
                </c:pt>
                <c:pt idx="325">
                  <c:v>100.5</c:v>
                </c:pt>
                <c:pt idx="326">
                  <c:v>99.3</c:v>
                </c:pt>
                <c:pt idx="327">
                  <c:v>99.4</c:v>
                </c:pt>
                <c:pt idx="328">
                  <c:v>103.9</c:v>
                </c:pt>
                <c:pt idx="329">
                  <c:v>103.3</c:v>
                </c:pt>
                <c:pt idx="330">
                  <c:v>104.2</c:v>
                </c:pt>
                <c:pt idx="331">
                  <c:v>104.3</c:v>
                </c:pt>
                <c:pt idx="332">
                  <c:v>104.6</c:v>
                </c:pt>
                <c:pt idx="333">
                  <c:v>102.8</c:v>
                </c:pt>
                <c:pt idx="334">
                  <c:v>102.9</c:v>
                </c:pt>
                <c:pt idx="335">
                  <c:v>104.3</c:v>
                </c:pt>
                <c:pt idx="336">
                  <c:v>101.4</c:v>
                </c:pt>
                <c:pt idx="337">
                  <c:v>101.3</c:v>
                </c:pt>
                <c:pt idx="338">
                  <c:v>103.6</c:v>
                </c:pt>
                <c:pt idx="339">
                  <c:v>103</c:v>
                </c:pt>
                <c:pt idx="340">
                  <c:v>102.1</c:v>
                </c:pt>
                <c:pt idx="341">
                  <c:v>103.6</c:v>
                </c:pt>
                <c:pt idx="342">
                  <c:v>104.6</c:v>
                </c:pt>
                <c:pt idx="343">
                  <c:v>104.2</c:v>
                </c:pt>
                <c:pt idx="344">
                  <c:v>106.3</c:v>
                </c:pt>
                <c:pt idx="345">
                  <c:v>103.3</c:v>
                </c:pt>
                <c:pt idx="346">
                  <c:v>104.2</c:v>
                </c:pt>
                <c:pt idx="347">
                  <c:v>104.6</c:v>
                </c:pt>
                <c:pt idx="348">
                  <c:v>103.7</c:v>
                </c:pt>
                <c:pt idx="349">
                  <c:v>103.1</c:v>
                </c:pt>
                <c:pt idx="350">
                  <c:v>100.6</c:v>
                </c:pt>
                <c:pt idx="351">
                  <c:v>99.1</c:v>
                </c:pt>
                <c:pt idx="352">
                  <c:v>101.2</c:v>
                </c:pt>
                <c:pt idx="353">
                  <c:v>102.7</c:v>
                </c:pt>
                <c:pt idx="354">
                  <c:v>102.4</c:v>
                </c:pt>
                <c:pt idx="355">
                  <c:v>101.1</c:v>
                </c:pt>
                <c:pt idx="356">
                  <c:v>98.9</c:v>
                </c:pt>
                <c:pt idx="357">
                  <c:v>98</c:v>
                </c:pt>
                <c:pt idx="358">
                  <c:v>96.5</c:v>
                </c:pt>
                <c:pt idx="359">
                  <c:v>96</c:v>
                </c:pt>
                <c:pt idx="360">
                  <c:v>89.3</c:v>
                </c:pt>
                <c:pt idx="361">
                  <c:v>92.5</c:v>
                </c:pt>
                <c:pt idx="362">
                  <c:v>85.9</c:v>
                </c:pt>
                <c:pt idx="363">
                  <c:v>99.6</c:v>
                </c:pt>
                <c:pt idx="364">
                  <c:v>106.6</c:v>
                </c:pt>
                <c:pt idx="365">
                  <c:v>106.8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165">
                  <c:v>23.11</c:v>
                </c:pt>
                <c:pt idx="166">
                  <c:v>41.05</c:v>
                </c:pt>
                <c:pt idx="167">
                  <c:v>26.18</c:v>
                </c:pt>
                <c:pt idx="168">
                  <c:v>59.76</c:v>
                </c:pt>
                <c:pt idx="169">
                  <c:v>89.8</c:v>
                </c:pt>
                <c:pt idx="170">
                  <c:v>57.98</c:v>
                </c:pt>
                <c:pt idx="171">
                  <c:v>33.86</c:v>
                </c:pt>
                <c:pt idx="172">
                  <c:v>47.28</c:v>
                </c:pt>
                <c:pt idx="173">
                  <c:v>68.81</c:v>
                </c:pt>
                <c:pt idx="174">
                  <c:v>77.3</c:v>
                </c:pt>
                <c:pt idx="175">
                  <c:v>78.8</c:v>
                </c:pt>
                <c:pt idx="176">
                  <c:v>65.010000000000005</c:v>
                </c:pt>
                <c:pt idx="177">
                  <c:v>48.03</c:v>
                </c:pt>
                <c:pt idx="178">
                  <c:v>50.52</c:v>
                </c:pt>
                <c:pt idx="179">
                  <c:v>39.78</c:v>
                </c:pt>
                <c:pt idx="180">
                  <c:v>37.119999999999997</c:v>
                </c:pt>
                <c:pt idx="181">
                  <c:v>31.83</c:v>
                </c:pt>
                <c:pt idx="182">
                  <c:v>30.47</c:v>
                </c:pt>
                <c:pt idx="183">
                  <c:v>41.55</c:v>
                </c:pt>
                <c:pt idx="184">
                  <c:v>43.18</c:v>
                </c:pt>
                <c:pt idx="185">
                  <c:v>29.62</c:v>
                </c:pt>
                <c:pt idx="186">
                  <c:v>49.72</c:v>
                </c:pt>
                <c:pt idx="187">
                  <c:v>32.78</c:v>
                </c:pt>
                <c:pt idx="188">
                  <c:v>24.99</c:v>
                </c:pt>
                <c:pt idx="189">
                  <c:v>26.39</c:v>
                </c:pt>
                <c:pt idx="190">
                  <c:v>37.58</c:v>
                </c:pt>
                <c:pt idx="191">
                  <c:v>41.64</c:v>
                </c:pt>
                <c:pt idx="192">
                  <c:v>35.68</c:v>
                </c:pt>
                <c:pt idx="193">
                  <c:v>26.47</c:v>
                </c:pt>
                <c:pt idx="194">
                  <c:v>26.06</c:v>
                </c:pt>
                <c:pt idx="195">
                  <c:v>28.97</c:v>
                </c:pt>
                <c:pt idx="196">
                  <c:v>27.22</c:v>
                </c:pt>
                <c:pt idx="197">
                  <c:v>45.63</c:v>
                </c:pt>
                <c:pt idx="198">
                  <c:v>40.74</c:v>
                </c:pt>
                <c:pt idx="211">
                  <c:v>23.68</c:v>
                </c:pt>
                <c:pt idx="212">
                  <c:v>24.93</c:v>
                </c:pt>
                <c:pt idx="213">
                  <c:v>20.67</c:v>
                </c:pt>
                <c:pt idx="214">
                  <c:v>58.4</c:v>
                </c:pt>
                <c:pt idx="215">
                  <c:v>88.3</c:v>
                </c:pt>
                <c:pt idx="216">
                  <c:v>91.3</c:v>
                </c:pt>
                <c:pt idx="217">
                  <c:v>104.9</c:v>
                </c:pt>
                <c:pt idx="218">
                  <c:v>52.84</c:v>
                </c:pt>
                <c:pt idx="219">
                  <c:v>40.85</c:v>
                </c:pt>
                <c:pt idx="220">
                  <c:v>24.84</c:v>
                </c:pt>
                <c:pt idx="221">
                  <c:v>26.88</c:v>
                </c:pt>
                <c:pt idx="222">
                  <c:v>22.14</c:v>
                </c:pt>
                <c:pt idx="223">
                  <c:v>28.32</c:v>
                </c:pt>
                <c:pt idx="224">
                  <c:v>37.29</c:v>
                </c:pt>
                <c:pt idx="225">
                  <c:v>32.76</c:v>
                </c:pt>
                <c:pt idx="226">
                  <c:v>28.28</c:v>
                </c:pt>
                <c:pt idx="227">
                  <c:v>24.93</c:v>
                </c:pt>
                <c:pt idx="228">
                  <c:v>50.66</c:v>
                </c:pt>
                <c:pt idx="229">
                  <c:v>53.63</c:v>
                </c:pt>
                <c:pt idx="230">
                  <c:v>55.1</c:v>
                </c:pt>
                <c:pt idx="231">
                  <c:v>63.16</c:v>
                </c:pt>
                <c:pt idx="232">
                  <c:v>53.95</c:v>
                </c:pt>
                <c:pt idx="233">
                  <c:v>46.25</c:v>
                </c:pt>
                <c:pt idx="234">
                  <c:v>36.81</c:v>
                </c:pt>
                <c:pt idx="235">
                  <c:v>18.149999999999999</c:v>
                </c:pt>
                <c:pt idx="236">
                  <c:v>17.82</c:v>
                </c:pt>
                <c:pt idx="237">
                  <c:v>12.35</c:v>
                </c:pt>
                <c:pt idx="238">
                  <c:v>15.92</c:v>
                </c:pt>
                <c:pt idx="239">
                  <c:v>14.78</c:v>
                </c:pt>
                <c:pt idx="240">
                  <c:v>40.89</c:v>
                </c:pt>
                <c:pt idx="241">
                  <c:v>40.659999999999997</c:v>
                </c:pt>
                <c:pt idx="242">
                  <c:v>36.68</c:v>
                </c:pt>
                <c:pt idx="243">
                  <c:v>79.7</c:v>
                </c:pt>
                <c:pt idx="244">
                  <c:v>56.48</c:v>
                </c:pt>
                <c:pt idx="318">
                  <c:v>104.6</c:v>
                </c:pt>
                <c:pt idx="319">
                  <c:v>99.8</c:v>
                </c:pt>
                <c:pt idx="320">
                  <c:v>85.4</c:v>
                </c:pt>
                <c:pt idx="321">
                  <c:v>99</c:v>
                </c:pt>
                <c:pt idx="322">
                  <c:v>94.4</c:v>
                </c:pt>
                <c:pt idx="323">
                  <c:v>94.1</c:v>
                </c:pt>
                <c:pt idx="324">
                  <c:v>86.8</c:v>
                </c:pt>
                <c:pt idx="325">
                  <c:v>92.5</c:v>
                </c:pt>
                <c:pt idx="326">
                  <c:v>89.6</c:v>
                </c:pt>
                <c:pt idx="327">
                  <c:v>82.9</c:v>
                </c:pt>
                <c:pt idx="328">
                  <c:v>96.6</c:v>
                </c:pt>
                <c:pt idx="329">
                  <c:v>98.5</c:v>
                </c:pt>
                <c:pt idx="330">
                  <c:v>84.3</c:v>
                </c:pt>
                <c:pt idx="331">
                  <c:v>97.6</c:v>
                </c:pt>
                <c:pt idx="332">
                  <c:v>102.3</c:v>
                </c:pt>
                <c:pt idx="333">
                  <c:v>93</c:v>
                </c:pt>
                <c:pt idx="334">
                  <c:v>95.1</c:v>
                </c:pt>
                <c:pt idx="335">
                  <c:v>87.3</c:v>
                </c:pt>
                <c:pt idx="336">
                  <c:v>99.1</c:v>
                </c:pt>
                <c:pt idx="337">
                  <c:v>98.9</c:v>
                </c:pt>
                <c:pt idx="338">
                  <c:v>95.7</c:v>
                </c:pt>
                <c:pt idx="339">
                  <c:v>98.1</c:v>
                </c:pt>
                <c:pt idx="340">
                  <c:v>87.9</c:v>
                </c:pt>
                <c:pt idx="341">
                  <c:v>71.8</c:v>
                </c:pt>
                <c:pt idx="342">
                  <c:v>86.3</c:v>
                </c:pt>
                <c:pt idx="343">
                  <c:v>54.93</c:v>
                </c:pt>
                <c:pt idx="344">
                  <c:v>75.599999999999994</c:v>
                </c:pt>
                <c:pt idx="345">
                  <c:v>54.37</c:v>
                </c:pt>
                <c:pt idx="346">
                  <c:v>81</c:v>
                </c:pt>
                <c:pt idx="347">
                  <c:v>75.8</c:v>
                </c:pt>
                <c:pt idx="348">
                  <c:v>83.6</c:v>
                </c:pt>
                <c:pt idx="349">
                  <c:v>83.1</c:v>
                </c:pt>
                <c:pt idx="350">
                  <c:v>94.5</c:v>
                </c:pt>
                <c:pt idx="351">
                  <c:v>86.5</c:v>
                </c:pt>
                <c:pt idx="352">
                  <c:v>92.2</c:v>
                </c:pt>
                <c:pt idx="353">
                  <c:v>93.2</c:v>
                </c:pt>
                <c:pt idx="354">
                  <c:v>96.2</c:v>
                </c:pt>
                <c:pt idx="355">
                  <c:v>95.7</c:v>
                </c:pt>
                <c:pt idx="356">
                  <c:v>91.4</c:v>
                </c:pt>
                <c:pt idx="357">
                  <c:v>90.6</c:v>
                </c:pt>
                <c:pt idx="358">
                  <c:v>89.4</c:v>
                </c:pt>
                <c:pt idx="359">
                  <c:v>79.900000000000006</c:v>
                </c:pt>
                <c:pt idx="360">
                  <c:v>79</c:v>
                </c:pt>
                <c:pt idx="361">
                  <c:v>76.099999999999994</c:v>
                </c:pt>
                <c:pt idx="362">
                  <c:v>75.900000000000006</c:v>
                </c:pt>
                <c:pt idx="363">
                  <c:v>78.7</c:v>
                </c:pt>
                <c:pt idx="364">
                  <c:v>98.6</c:v>
                </c:pt>
                <c:pt idx="365">
                  <c:v>85.5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492672"/>
        <c:axId val="234494208"/>
      </c:lineChart>
      <c:catAx>
        <c:axId val="2344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49420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494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492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Data!$BM$7:$BM$372</c:f>
              <c:numCache>
                <c:formatCode>General</c:formatCode>
                <c:ptCount val="366"/>
                <c:pt idx="165">
                  <c:v>94</c:v>
                </c:pt>
                <c:pt idx="166">
                  <c:v>93.4</c:v>
                </c:pt>
                <c:pt idx="167">
                  <c:v>91.6</c:v>
                </c:pt>
                <c:pt idx="168">
                  <c:v>97.7</c:v>
                </c:pt>
                <c:pt idx="169">
                  <c:v>99.5</c:v>
                </c:pt>
                <c:pt idx="170">
                  <c:v>99.8</c:v>
                </c:pt>
                <c:pt idx="171">
                  <c:v>98.5</c:v>
                </c:pt>
                <c:pt idx="172">
                  <c:v>95.9</c:v>
                </c:pt>
                <c:pt idx="173">
                  <c:v>98.1</c:v>
                </c:pt>
                <c:pt idx="174">
                  <c:v>97.9</c:v>
                </c:pt>
                <c:pt idx="175">
                  <c:v>98.8</c:v>
                </c:pt>
                <c:pt idx="176">
                  <c:v>98.7</c:v>
                </c:pt>
                <c:pt idx="177">
                  <c:v>97.2</c:v>
                </c:pt>
                <c:pt idx="178">
                  <c:v>96.6</c:v>
                </c:pt>
                <c:pt idx="179">
                  <c:v>92.5</c:v>
                </c:pt>
                <c:pt idx="180">
                  <c:v>94.8</c:v>
                </c:pt>
                <c:pt idx="181">
                  <c:v>91.9</c:v>
                </c:pt>
                <c:pt idx="182">
                  <c:v>95.2</c:v>
                </c:pt>
                <c:pt idx="183">
                  <c:v>91</c:v>
                </c:pt>
                <c:pt idx="184">
                  <c:v>96.4</c:v>
                </c:pt>
                <c:pt idx="185">
                  <c:v>97.7</c:v>
                </c:pt>
                <c:pt idx="186">
                  <c:v>99.5</c:v>
                </c:pt>
                <c:pt idx="187">
                  <c:v>94.6</c:v>
                </c:pt>
                <c:pt idx="188">
                  <c:v>90.6</c:v>
                </c:pt>
                <c:pt idx="189">
                  <c:v>88.2</c:v>
                </c:pt>
                <c:pt idx="190">
                  <c:v>88.4</c:v>
                </c:pt>
                <c:pt idx="191">
                  <c:v>94.8</c:v>
                </c:pt>
                <c:pt idx="192">
                  <c:v>92.3</c:v>
                </c:pt>
                <c:pt idx="193">
                  <c:v>92.8</c:v>
                </c:pt>
                <c:pt idx="194">
                  <c:v>84</c:v>
                </c:pt>
                <c:pt idx="195">
                  <c:v>87.5</c:v>
                </c:pt>
                <c:pt idx="196">
                  <c:v>88.8</c:v>
                </c:pt>
                <c:pt idx="197">
                  <c:v>80.599999999999994</c:v>
                </c:pt>
                <c:pt idx="198">
                  <c:v>99.8</c:v>
                </c:pt>
                <c:pt idx="211">
                  <c:v>94.2</c:v>
                </c:pt>
                <c:pt idx="212">
                  <c:v>87.5</c:v>
                </c:pt>
                <c:pt idx="213">
                  <c:v>90.7</c:v>
                </c:pt>
                <c:pt idx="214">
                  <c:v>98.4</c:v>
                </c:pt>
                <c:pt idx="215">
                  <c:v>99.7</c:v>
                </c:pt>
                <c:pt idx="216">
                  <c:v>99.6</c:v>
                </c:pt>
                <c:pt idx="217">
                  <c:v>100</c:v>
                </c:pt>
                <c:pt idx="218">
                  <c:v>99.8</c:v>
                </c:pt>
                <c:pt idx="219">
                  <c:v>98.8</c:v>
                </c:pt>
                <c:pt idx="220">
                  <c:v>98.1</c:v>
                </c:pt>
                <c:pt idx="221">
                  <c:v>93.1</c:v>
                </c:pt>
                <c:pt idx="222">
                  <c:v>92.8</c:v>
                </c:pt>
                <c:pt idx="223">
                  <c:v>87.1</c:v>
                </c:pt>
                <c:pt idx="224">
                  <c:v>93.1</c:v>
                </c:pt>
                <c:pt idx="225">
                  <c:v>94.8</c:v>
                </c:pt>
                <c:pt idx="226">
                  <c:v>80.900000000000006</c:v>
                </c:pt>
                <c:pt idx="227">
                  <c:v>89.6</c:v>
                </c:pt>
                <c:pt idx="228">
                  <c:v>85.1</c:v>
                </c:pt>
                <c:pt idx="229">
                  <c:v>97.1</c:v>
                </c:pt>
                <c:pt idx="230">
                  <c:v>98.9</c:v>
                </c:pt>
                <c:pt idx="231">
                  <c:v>96</c:v>
                </c:pt>
                <c:pt idx="232">
                  <c:v>96.5</c:v>
                </c:pt>
                <c:pt idx="233">
                  <c:v>98.6</c:v>
                </c:pt>
                <c:pt idx="234">
                  <c:v>97.1</c:v>
                </c:pt>
                <c:pt idx="235">
                  <c:v>91.8</c:v>
                </c:pt>
                <c:pt idx="236">
                  <c:v>87.7</c:v>
                </c:pt>
                <c:pt idx="237">
                  <c:v>87.9</c:v>
                </c:pt>
                <c:pt idx="238">
                  <c:v>79.3</c:v>
                </c:pt>
                <c:pt idx="239">
                  <c:v>78.3</c:v>
                </c:pt>
                <c:pt idx="240">
                  <c:v>84.9</c:v>
                </c:pt>
                <c:pt idx="241">
                  <c:v>92.9</c:v>
                </c:pt>
                <c:pt idx="242">
                  <c:v>98.4</c:v>
                </c:pt>
                <c:pt idx="243">
                  <c:v>99.3</c:v>
                </c:pt>
                <c:pt idx="244">
                  <c:v>99.4</c:v>
                </c:pt>
                <c:pt idx="318">
                  <c:v>99.6</c:v>
                </c:pt>
                <c:pt idx="319">
                  <c:v>98</c:v>
                </c:pt>
                <c:pt idx="320">
                  <c:v>95.9</c:v>
                </c:pt>
                <c:pt idx="321">
                  <c:v>96.4</c:v>
                </c:pt>
                <c:pt idx="322">
                  <c:v>95.8</c:v>
                </c:pt>
                <c:pt idx="323">
                  <c:v>92.1</c:v>
                </c:pt>
                <c:pt idx="324">
                  <c:v>92.2</c:v>
                </c:pt>
                <c:pt idx="325">
                  <c:v>93.9</c:v>
                </c:pt>
                <c:pt idx="326">
                  <c:v>92.8</c:v>
                </c:pt>
                <c:pt idx="327">
                  <c:v>92.8</c:v>
                </c:pt>
                <c:pt idx="328">
                  <c:v>97</c:v>
                </c:pt>
                <c:pt idx="329">
                  <c:v>96.4</c:v>
                </c:pt>
                <c:pt idx="330">
                  <c:v>97.3</c:v>
                </c:pt>
                <c:pt idx="331">
                  <c:v>97.4</c:v>
                </c:pt>
                <c:pt idx="332">
                  <c:v>97.7</c:v>
                </c:pt>
                <c:pt idx="333">
                  <c:v>96</c:v>
                </c:pt>
                <c:pt idx="334">
                  <c:v>96.1</c:v>
                </c:pt>
                <c:pt idx="335">
                  <c:v>97.4</c:v>
                </c:pt>
                <c:pt idx="336">
                  <c:v>94.7</c:v>
                </c:pt>
                <c:pt idx="337">
                  <c:v>94.6</c:v>
                </c:pt>
                <c:pt idx="338">
                  <c:v>96.7</c:v>
                </c:pt>
                <c:pt idx="339">
                  <c:v>96.2</c:v>
                </c:pt>
                <c:pt idx="340">
                  <c:v>95.3</c:v>
                </c:pt>
                <c:pt idx="341">
                  <c:v>96.7</c:v>
                </c:pt>
                <c:pt idx="342">
                  <c:v>97.7</c:v>
                </c:pt>
                <c:pt idx="343">
                  <c:v>97.3</c:v>
                </c:pt>
                <c:pt idx="344">
                  <c:v>99.2</c:v>
                </c:pt>
                <c:pt idx="345">
                  <c:v>96.4</c:v>
                </c:pt>
                <c:pt idx="346">
                  <c:v>97.3</c:v>
                </c:pt>
                <c:pt idx="347">
                  <c:v>97.7</c:v>
                </c:pt>
                <c:pt idx="348">
                  <c:v>96.8</c:v>
                </c:pt>
                <c:pt idx="349">
                  <c:v>96.3</c:v>
                </c:pt>
                <c:pt idx="350">
                  <c:v>94</c:v>
                </c:pt>
                <c:pt idx="351">
                  <c:v>92.6</c:v>
                </c:pt>
                <c:pt idx="352">
                  <c:v>94.5</c:v>
                </c:pt>
                <c:pt idx="353">
                  <c:v>95.9</c:v>
                </c:pt>
                <c:pt idx="354">
                  <c:v>95.6</c:v>
                </c:pt>
                <c:pt idx="355">
                  <c:v>94.4</c:v>
                </c:pt>
                <c:pt idx="356">
                  <c:v>92.4</c:v>
                </c:pt>
                <c:pt idx="357">
                  <c:v>91.6</c:v>
                </c:pt>
                <c:pt idx="358">
                  <c:v>90.2</c:v>
                </c:pt>
                <c:pt idx="359">
                  <c:v>89.7</c:v>
                </c:pt>
                <c:pt idx="360">
                  <c:v>83.5</c:v>
                </c:pt>
                <c:pt idx="361">
                  <c:v>86.5</c:v>
                </c:pt>
                <c:pt idx="362">
                  <c:v>80.400000000000006</c:v>
                </c:pt>
                <c:pt idx="363">
                  <c:v>93</c:v>
                </c:pt>
                <c:pt idx="364">
                  <c:v>99.5</c:v>
                </c:pt>
                <c:pt idx="365">
                  <c:v>99.7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Data!$BO$7:$BO$372</c:f>
              <c:numCache>
                <c:formatCode>General</c:formatCode>
                <c:ptCount val="366"/>
                <c:pt idx="131">
                  <c:v>57</c:v>
                </c:pt>
                <c:pt idx="132">
                  <c:v>70</c:v>
                </c:pt>
                <c:pt idx="133">
                  <c:v>73</c:v>
                </c:pt>
                <c:pt idx="134">
                  <c:v>55</c:v>
                </c:pt>
                <c:pt idx="135">
                  <c:v>55</c:v>
                </c:pt>
                <c:pt idx="138">
                  <c:v>59</c:v>
                </c:pt>
                <c:pt idx="139">
                  <c:v>47</c:v>
                </c:pt>
                <c:pt idx="140">
                  <c:v>45</c:v>
                </c:pt>
                <c:pt idx="141">
                  <c:v>39</c:v>
                </c:pt>
                <c:pt idx="142">
                  <c:v>56</c:v>
                </c:pt>
                <c:pt idx="143">
                  <c:v>49</c:v>
                </c:pt>
                <c:pt idx="144">
                  <c:v>30</c:v>
                </c:pt>
                <c:pt idx="145">
                  <c:v>42</c:v>
                </c:pt>
                <c:pt idx="146">
                  <c:v>32</c:v>
                </c:pt>
                <c:pt idx="147">
                  <c:v>37</c:v>
                </c:pt>
                <c:pt idx="148">
                  <c:v>65</c:v>
                </c:pt>
                <c:pt idx="149">
                  <c:v>80</c:v>
                </c:pt>
                <c:pt idx="150">
                  <c:v>86</c:v>
                </c:pt>
                <c:pt idx="151">
                  <c:v>86</c:v>
                </c:pt>
                <c:pt idx="156">
                  <c:v>43</c:v>
                </c:pt>
                <c:pt idx="157">
                  <c:v>44</c:v>
                </c:pt>
                <c:pt idx="158">
                  <c:v>30</c:v>
                </c:pt>
                <c:pt idx="159">
                  <c:v>27</c:v>
                </c:pt>
                <c:pt idx="160">
                  <c:v>37</c:v>
                </c:pt>
                <c:pt idx="161">
                  <c:v>44</c:v>
                </c:pt>
                <c:pt idx="162">
                  <c:v>47</c:v>
                </c:pt>
                <c:pt idx="163">
                  <c:v>29</c:v>
                </c:pt>
                <c:pt idx="164">
                  <c:v>35</c:v>
                </c:pt>
                <c:pt idx="165">
                  <c:v>22.4</c:v>
                </c:pt>
                <c:pt idx="166">
                  <c:v>38.9</c:v>
                </c:pt>
                <c:pt idx="167">
                  <c:v>25.2</c:v>
                </c:pt>
                <c:pt idx="168">
                  <c:v>56.2</c:v>
                </c:pt>
                <c:pt idx="169">
                  <c:v>84</c:v>
                </c:pt>
                <c:pt idx="170">
                  <c:v>54.6</c:v>
                </c:pt>
                <c:pt idx="171">
                  <c:v>32.299999999999997</c:v>
                </c:pt>
                <c:pt idx="172">
                  <c:v>44.7</c:v>
                </c:pt>
                <c:pt idx="173">
                  <c:v>64.599999999999994</c:v>
                </c:pt>
                <c:pt idx="174">
                  <c:v>72.400000000000006</c:v>
                </c:pt>
                <c:pt idx="175">
                  <c:v>73.8</c:v>
                </c:pt>
                <c:pt idx="176">
                  <c:v>61.1</c:v>
                </c:pt>
                <c:pt idx="177">
                  <c:v>45.4</c:v>
                </c:pt>
                <c:pt idx="178">
                  <c:v>47.7</c:v>
                </c:pt>
                <c:pt idx="179">
                  <c:v>37.799999999999997</c:v>
                </c:pt>
                <c:pt idx="180">
                  <c:v>35.299999999999997</c:v>
                </c:pt>
                <c:pt idx="181">
                  <c:v>30.4</c:v>
                </c:pt>
                <c:pt idx="182">
                  <c:v>29.2</c:v>
                </c:pt>
                <c:pt idx="183">
                  <c:v>39.4</c:v>
                </c:pt>
                <c:pt idx="184">
                  <c:v>40.9</c:v>
                </c:pt>
                <c:pt idx="185">
                  <c:v>28.4</c:v>
                </c:pt>
                <c:pt idx="186">
                  <c:v>46.9</c:v>
                </c:pt>
                <c:pt idx="187">
                  <c:v>31.3</c:v>
                </c:pt>
                <c:pt idx="188">
                  <c:v>24.1</c:v>
                </c:pt>
                <c:pt idx="189">
                  <c:v>25.4</c:v>
                </c:pt>
                <c:pt idx="190">
                  <c:v>35.700000000000003</c:v>
                </c:pt>
                <c:pt idx="191">
                  <c:v>39.5</c:v>
                </c:pt>
                <c:pt idx="192">
                  <c:v>34</c:v>
                </c:pt>
                <c:pt idx="193">
                  <c:v>25.5</c:v>
                </c:pt>
                <c:pt idx="194">
                  <c:v>25.1</c:v>
                </c:pt>
                <c:pt idx="195">
                  <c:v>27.8</c:v>
                </c:pt>
                <c:pt idx="196">
                  <c:v>26.2</c:v>
                </c:pt>
                <c:pt idx="197">
                  <c:v>43.2</c:v>
                </c:pt>
                <c:pt idx="198">
                  <c:v>38.6</c:v>
                </c:pt>
                <c:pt idx="211">
                  <c:v>22.9</c:v>
                </c:pt>
                <c:pt idx="212">
                  <c:v>24</c:v>
                </c:pt>
                <c:pt idx="213">
                  <c:v>20.100000000000001</c:v>
                </c:pt>
                <c:pt idx="214">
                  <c:v>55</c:v>
                </c:pt>
                <c:pt idx="215">
                  <c:v>82.6</c:v>
                </c:pt>
                <c:pt idx="216">
                  <c:v>85.4</c:v>
                </c:pt>
                <c:pt idx="217">
                  <c:v>97.9</c:v>
                </c:pt>
                <c:pt idx="218">
                  <c:v>49.8</c:v>
                </c:pt>
                <c:pt idx="219">
                  <c:v>38.700000000000003</c:v>
                </c:pt>
                <c:pt idx="220">
                  <c:v>24</c:v>
                </c:pt>
                <c:pt idx="221">
                  <c:v>25.8</c:v>
                </c:pt>
                <c:pt idx="222">
                  <c:v>21.5</c:v>
                </c:pt>
                <c:pt idx="223">
                  <c:v>27.2</c:v>
                </c:pt>
                <c:pt idx="224">
                  <c:v>35.5</c:v>
                </c:pt>
                <c:pt idx="225">
                  <c:v>31.3</c:v>
                </c:pt>
                <c:pt idx="226">
                  <c:v>27.1</c:v>
                </c:pt>
                <c:pt idx="227">
                  <c:v>24</c:v>
                </c:pt>
                <c:pt idx="228">
                  <c:v>47.8</c:v>
                </c:pt>
                <c:pt idx="229">
                  <c:v>50.6</c:v>
                </c:pt>
                <c:pt idx="230">
                  <c:v>51.9</c:v>
                </c:pt>
                <c:pt idx="231">
                  <c:v>59.4</c:v>
                </c:pt>
                <c:pt idx="232">
                  <c:v>50.8</c:v>
                </c:pt>
                <c:pt idx="233">
                  <c:v>43.7</c:v>
                </c:pt>
                <c:pt idx="234">
                  <c:v>35</c:v>
                </c:pt>
                <c:pt idx="235">
                  <c:v>17.8</c:v>
                </c:pt>
                <c:pt idx="236">
                  <c:v>17.5</c:v>
                </c:pt>
                <c:pt idx="237">
                  <c:v>12.4</c:v>
                </c:pt>
                <c:pt idx="238">
                  <c:v>15.7</c:v>
                </c:pt>
                <c:pt idx="239">
                  <c:v>14.7</c:v>
                </c:pt>
                <c:pt idx="240">
                  <c:v>38.799999999999997</c:v>
                </c:pt>
                <c:pt idx="241">
                  <c:v>38.6</c:v>
                </c:pt>
                <c:pt idx="242">
                  <c:v>34.9</c:v>
                </c:pt>
                <c:pt idx="243">
                  <c:v>74.599999999999994</c:v>
                </c:pt>
                <c:pt idx="244">
                  <c:v>53.2</c:v>
                </c:pt>
                <c:pt idx="245">
                  <c:v>35</c:v>
                </c:pt>
                <c:pt idx="246">
                  <c:v>45</c:v>
                </c:pt>
                <c:pt idx="247">
                  <c:v>65</c:v>
                </c:pt>
                <c:pt idx="248">
                  <c:v>59</c:v>
                </c:pt>
                <c:pt idx="249">
                  <c:v>56</c:v>
                </c:pt>
                <c:pt idx="250">
                  <c:v>78</c:v>
                </c:pt>
                <c:pt idx="251">
                  <c:v>62</c:v>
                </c:pt>
                <c:pt idx="252">
                  <c:v>44</c:v>
                </c:pt>
                <c:pt idx="253">
                  <c:v>36</c:v>
                </c:pt>
                <c:pt idx="254">
                  <c:v>27</c:v>
                </c:pt>
                <c:pt idx="255">
                  <c:v>29</c:v>
                </c:pt>
                <c:pt idx="256">
                  <c:v>68</c:v>
                </c:pt>
                <c:pt idx="257">
                  <c:v>66</c:v>
                </c:pt>
                <c:pt idx="258">
                  <c:v>78</c:v>
                </c:pt>
                <c:pt idx="259">
                  <c:v>67</c:v>
                </c:pt>
                <c:pt idx="260">
                  <c:v>65</c:v>
                </c:pt>
                <c:pt idx="261">
                  <c:v>63</c:v>
                </c:pt>
                <c:pt idx="262">
                  <c:v>72</c:v>
                </c:pt>
                <c:pt idx="263">
                  <c:v>80</c:v>
                </c:pt>
                <c:pt idx="264">
                  <c:v>77</c:v>
                </c:pt>
                <c:pt idx="265">
                  <c:v>72</c:v>
                </c:pt>
                <c:pt idx="266">
                  <c:v>43</c:v>
                </c:pt>
                <c:pt idx="267">
                  <c:v>44</c:v>
                </c:pt>
                <c:pt idx="268">
                  <c:v>45</c:v>
                </c:pt>
                <c:pt idx="269">
                  <c:v>63</c:v>
                </c:pt>
                <c:pt idx="270">
                  <c:v>56</c:v>
                </c:pt>
                <c:pt idx="271">
                  <c:v>45</c:v>
                </c:pt>
                <c:pt idx="272">
                  <c:v>67</c:v>
                </c:pt>
                <c:pt idx="273">
                  <c:v>54</c:v>
                </c:pt>
                <c:pt idx="274">
                  <c:v>45</c:v>
                </c:pt>
                <c:pt idx="275">
                  <c:v>29</c:v>
                </c:pt>
                <c:pt idx="276">
                  <c:v>59</c:v>
                </c:pt>
                <c:pt idx="277">
                  <c:v>63</c:v>
                </c:pt>
                <c:pt idx="278">
                  <c:v>77</c:v>
                </c:pt>
                <c:pt idx="279">
                  <c:v>62</c:v>
                </c:pt>
                <c:pt idx="280">
                  <c:v>63</c:v>
                </c:pt>
                <c:pt idx="281">
                  <c:v>53</c:v>
                </c:pt>
                <c:pt idx="282">
                  <c:v>63</c:v>
                </c:pt>
                <c:pt idx="283">
                  <c:v>50</c:v>
                </c:pt>
                <c:pt idx="284">
                  <c:v>62</c:v>
                </c:pt>
                <c:pt idx="285">
                  <c:v>68</c:v>
                </c:pt>
                <c:pt idx="286">
                  <c:v>63</c:v>
                </c:pt>
                <c:pt idx="287">
                  <c:v>70</c:v>
                </c:pt>
                <c:pt idx="288">
                  <c:v>66</c:v>
                </c:pt>
                <c:pt idx="289">
                  <c:v>63</c:v>
                </c:pt>
                <c:pt idx="290">
                  <c:v>63</c:v>
                </c:pt>
                <c:pt idx="291">
                  <c:v>65</c:v>
                </c:pt>
                <c:pt idx="292">
                  <c:v>70</c:v>
                </c:pt>
                <c:pt idx="293">
                  <c:v>63</c:v>
                </c:pt>
                <c:pt idx="294">
                  <c:v>70</c:v>
                </c:pt>
                <c:pt idx="295">
                  <c:v>81</c:v>
                </c:pt>
                <c:pt idx="296">
                  <c:v>81</c:v>
                </c:pt>
                <c:pt idx="297">
                  <c:v>80</c:v>
                </c:pt>
                <c:pt idx="298">
                  <c:v>72</c:v>
                </c:pt>
                <c:pt idx="299">
                  <c:v>77</c:v>
                </c:pt>
                <c:pt idx="300">
                  <c:v>77</c:v>
                </c:pt>
                <c:pt idx="301">
                  <c:v>81</c:v>
                </c:pt>
                <c:pt idx="302">
                  <c:v>81</c:v>
                </c:pt>
                <c:pt idx="303">
                  <c:v>80</c:v>
                </c:pt>
                <c:pt idx="304">
                  <c:v>80</c:v>
                </c:pt>
                <c:pt idx="305">
                  <c:v>66</c:v>
                </c:pt>
                <c:pt idx="306">
                  <c:v>76</c:v>
                </c:pt>
                <c:pt idx="307">
                  <c:v>62</c:v>
                </c:pt>
                <c:pt idx="308">
                  <c:v>81</c:v>
                </c:pt>
                <c:pt idx="309">
                  <c:v>67</c:v>
                </c:pt>
                <c:pt idx="310">
                  <c:v>81</c:v>
                </c:pt>
                <c:pt idx="318">
                  <c:v>97.7</c:v>
                </c:pt>
                <c:pt idx="319">
                  <c:v>93.2</c:v>
                </c:pt>
                <c:pt idx="320">
                  <c:v>79.900000000000006</c:v>
                </c:pt>
                <c:pt idx="321">
                  <c:v>92.5</c:v>
                </c:pt>
                <c:pt idx="322">
                  <c:v>88.2</c:v>
                </c:pt>
                <c:pt idx="323">
                  <c:v>87.9</c:v>
                </c:pt>
                <c:pt idx="324">
                  <c:v>81.2</c:v>
                </c:pt>
                <c:pt idx="325">
                  <c:v>86.5</c:v>
                </c:pt>
                <c:pt idx="326">
                  <c:v>83.8</c:v>
                </c:pt>
                <c:pt idx="327">
                  <c:v>77.599999999999994</c:v>
                </c:pt>
                <c:pt idx="328">
                  <c:v>90.3</c:v>
                </c:pt>
                <c:pt idx="329">
                  <c:v>92</c:v>
                </c:pt>
                <c:pt idx="330">
                  <c:v>78.900000000000006</c:v>
                </c:pt>
                <c:pt idx="331">
                  <c:v>91.2</c:v>
                </c:pt>
                <c:pt idx="332">
                  <c:v>95.5</c:v>
                </c:pt>
                <c:pt idx="333">
                  <c:v>86.9</c:v>
                </c:pt>
                <c:pt idx="334">
                  <c:v>88.9</c:v>
                </c:pt>
                <c:pt idx="335">
                  <c:v>81.7</c:v>
                </c:pt>
                <c:pt idx="336">
                  <c:v>92.6</c:v>
                </c:pt>
                <c:pt idx="337">
                  <c:v>92.4</c:v>
                </c:pt>
                <c:pt idx="338">
                  <c:v>89.4</c:v>
                </c:pt>
                <c:pt idx="339">
                  <c:v>91.6</c:v>
                </c:pt>
                <c:pt idx="340">
                  <c:v>82.2</c:v>
                </c:pt>
                <c:pt idx="341">
                  <c:v>67.3</c:v>
                </c:pt>
                <c:pt idx="342">
                  <c:v>80.7</c:v>
                </c:pt>
                <c:pt idx="343">
                  <c:v>51.8</c:v>
                </c:pt>
                <c:pt idx="344">
                  <c:v>70.900000000000006</c:v>
                </c:pt>
                <c:pt idx="345">
                  <c:v>51.2</c:v>
                </c:pt>
                <c:pt idx="346">
                  <c:v>75.8</c:v>
                </c:pt>
                <c:pt idx="347">
                  <c:v>71</c:v>
                </c:pt>
                <c:pt idx="348">
                  <c:v>78.2</c:v>
                </c:pt>
                <c:pt idx="349">
                  <c:v>77.8</c:v>
                </c:pt>
                <c:pt idx="350">
                  <c:v>88.3</c:v>
                </c:pt>
                <c:pt idx="351">
                  <c:v>80.900000000000006</c:v>
                </c:pt>
                <c:pt idx="352">
                  <c:v>86.2</c:v>
                </c:pt>
                <c:pt idx="353">
                  <c:v>87.1</c:v>
                </c:pt>
                <c:pt idx="354">
                  <c:v>89.9</c:v>
                </c:pt>
                <c:pt idx="355">
                  <c:v>89.4</c:v>
                </c:pt>
                <c:pt idx="356">
                  <c:v>85.5</c:v>
                </c:pt>
                <c:pt idx="357">
                  <c:v>84.7</c:v>
                </c:pt>
                <c:pt idx="358">
                  <c:v>83.6</c:v>
                </c:pt>
                <c:pt idx="359">
                  <c:v>74.8</c:v>
                </c:pt>
                <c:pt idx="360">
                  <c:v>74</c:v>
                </c:pt>
                <c:pt idx="361">
                  <c:v>71.3</c:v>
                </c:pt>
                <c:pt idx="362">
                  <c:v>71.099999999999994</c:v>
                </c:pt>
                <c:pt idx="363">
                  <c:v>73.7</c:v>
                </c:pt>
                <c:pt idx="364">
                  <c:v>92.1</c:v>
                </c:pt>
                <c:pt idx="365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32224"/>
        <c:axId val="234546304"/>
      </c:lineChart>
      <c:catAx>
        <c:axId val="23453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54630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546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532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Data!$AA$7:$AA$372</c:f>
              <c:numCache>
                <c:formatCode>General</c:formatCode>
                <c:ptCount val="366"/>
                <c:pt idx="165">
                  <c:v>13.07</c:v>
                </c:pt>
                <c:pt idx="166">
                  <c:v>12.03</c:v>
                </c:pt>
                <c:pt idx="167">
                  <c:v>11.68</c:v>
                </c:pt>
                <c:pt idx="168">
                  <c:v>9.6199999999999992</c:v>
                </c:pt>
                <c:pt idx="169">
                  <c:v>6.9059999999999997</c:v>
                </c:pt>
                <c:pt idx="170">
                  <c:v>8.92</c:v>
                </c:pt>
                <c:pt idx="171">
                  <c:v>13.12</c:v>
                </c:pt>
                <c:pt idx="172">
                  <c:v>11.24</c:v>
                </c:pt>
                <c:pt idx="173">
                  <c:v>10.3</c:v>
                </c:pt>
                <c:pt idx="174">
                  <c:v>10.6</c:v>
                </c:pt>
                <c:pt idx="175">
                  <c:v>10.31</c:v>
                </c:pt>
                <c:pt idx="176">
                  <c:v>11.8</c:v>
                </c:pt>
                <c:pt idx="177">
                  <c:v>11.56</c:v>
                </c:pt>
                <c:pt idx="178">
                  <c:v>12.97</c:v>
                </c:pt>
                <c:pt idx="179">
                  <c:v>11.99</c:v>
                </c:pt>
                <c:pt idx="180">
                  <c:v>12.66</c:v>
                </c:pt>
                <c:pt idx="181">
                  <c:v>13.41</c:v>
                </c:pt>
                <c:pt idx="182">
                  <c:v>14.18</c:v>
                </c:pt>
                <c:pt idx="183">
                  <c:v>14.19</c:v>
                </c:pt>
                <c:pt idx="184">
                  <c:v>13.82</c:v>
                </c:pt>
                <c:pt idx="185">
                  <c:v>13.56</c:v>
                </c:pt>
                <c:pt idx="186">
                  <c:v>11.69</c:v>
                </c:pt>
                <c:pt idx="187">
                  <c:v>13.96</c:v>
                </c:pt>
                <c:pt idx="188">
                  <c:v>14.94</c:v>
                </c:pt>
                <c:pt idx="189">
                  <c:v>16.02</c:v>
                </c:pt>
                <c:pt idx="190">
                  <c:v>13.67</c:v>
                </c:pt>
                <c:pt idx="191">
                  <c:v>13.15</c:v>
                </c:pt>
                <c:pt idx="192">
                  <c:v>14.03</c:v>
                </c:pt>
                <c:pt idx="193">
                  <c:v>14.91</c:v>
                </c:pt>
                <c:pt idx="194">
                  <c:v>15.19</c:v>
                </c:pt>
                <c:pt idx="195">
                  <c:v>15.51</c:v>
                </c:pt>
                <c:pt idx="196">
                  <c:v>15.97</c:v>
                </c:pt>
                <c:pt idx="197">
                  <c:v>12.65</c:v>
                </c:pt>
                <c:pt idx="198">
                  <c:v>13.21</c:v>
                </c:pt>
                <c:pt idx="211">
                  <c:v>15.51</c:v>
                </c:pt>
                <c:pt idx="212">
                  <c:v>14.21</c:v>
                </c:pt>
                <c:pt idx="213">
                  <c:v>14.13</c:v>
                </c:pt>
                <c:pt idx="214">
                  <c:v>11.16</c:v>
                </c:pt>
                <c:pt idx="215">
                  <c:v>10.07</c:v>
                </c:pt>
                <c:pt idx="216">
                  <c:v>8.85</c:v>
                </c:pt>
                <c:pt idx="217">
                  <c:v>7.92</c:v>
                </c:pt>
                <c:pt idx="218">
                  <c:v>12.3</c:v>
                </c:pt>
                <c:pt idx="219">
                  <c:v>13.89</c:v>
                </c:pt>
                <c:pt idx="220">
                  <c:v>14.08</c:v>
                </c:pt>
                <c:pt idx="221">
                  <c:v>14.25</c:v>
                </c:pt>
                <c:pt idx="222">
                  <c:v>14.36</c:v>
                </c:pt>
                <c:pt idx="223">
                  <c:v>14.09</c:v>
                </c:pt>
                <c:pt idx="224">
                  <c:v>13.27</c:v>
                </c:pt>
                <c:pt idx="225">
                  <c:v>14.06</c:v>
                </c:pt>
                <c:pt idx="226">
                  <c:v>14.25</c:v>
                </c:pt>
                <c:pt idx="227">
                  <c:v>13.69</c:v>
                </c:pt>
                <c:pt idx="228">
                  <c:v>11.54</c:v>
                </c:pt>
                <c:pt idx="229">
                  <c:v>10.62</c:v>
                </c:pt>
                <c:pt idx="230">
                  <c:v>11.37</c:v>
                </c:pt>
                <c:pt idx="231">
                  <c:v>9.69</c:v>
                </c:pt>
                <c:pt idx="232">
                  <c:v>11.78</c:v>
                </c:pt>
                <c:pt idx="233">
                  <c:v>10.65</c:v>
                </c:pt>
                <c:pt idx="234">
                  <c:v>12.26</c:v>
                </c:pt>
                <c:pt idx="235">
                  <c:v>13.26</c:v>
                </c:pt>
                <c:pt idx="236">
                  <c:v>13.7</c:v>
                </c:pt>
                <c:pt idx="237">
                  <c:v>13.86</c:v>
                </c:pt>
                <c:pt idx="238">
                  <c:v>14.11</c:v>
                </c:pt>
                <c:pt idx="239">
                  <c:v>14.25</c:v>
                </c:pt>
                <c:pt idx="240">
                  <c:v>14.46</c:v>
                </c:pt>
                <c:pt idx="241">
                  <c:v>15.04</c:v>
                </c:pt>
                <c:pt idx="242">
                  <c:v>12.57</c:v>
                </c:pt>
                <c:pt idx="243">
                  <c:v>9.9</c:v>
                </c:pt>
                <c:pt idx="244">
                  <c:v>10.5</c:v>
                </c:pt>
                <c:pt idx="318">
                  <c:v>0.76900000000000002</c:v>
                </c:pt>
                <c:pt idx="319">
                  <c:v>0.76700000000000002</c:v>
                </c:pt>
                <c:pt idx="320">
                  <c:v>0.77100000000000002</c:v>
                </c:pt>
                <c:pt idx="321">
                  <c:v>0.76</c:v>
                </c:pt>
                <c:pt idx="322">
                  <c:v>0.76300000000000001</c:v>
                </c:pt>
                <c:pt idx="323">
                  <c:v>0.72099999999999997</c:v>
                </c:pt>
                <c:pt idx="324">
                  <c:v>0.7</c:v>
                </c:pt>
                <c:pt idx="325">
                  <c:v>0.61099999999999999</c:v>
                </c:pt>
                <c:pt idx="326">
                  <c:v>0.60499999999999998</c:v>
                </c:pt>
                <c:pt idx="327">
                  <c:v>0.5</c:v>
                </c:pt>
                <c:pt idx="328">
                  <c:v>0.44</c:v>
                </c:pt>
                <c:pt idx="329">
                  <c:v>0.35299999999999998</c:v>
                </c:pt>
                <c:pt idx="330">
                  <c:v>0.29699999999999999</c:v>
                </c:pt>
                <c:pt idx="331">
                  <c:v>0.30299999999999999</c:v>
                </c:pt>
                <c:pt idx="332">
                  <c:v>0.28199999999999997</c:v>
                </c:pt>
                <c:pt idx="333">
                  <c:v>0.33900000000000002</c:v>
                </c:pt>
                <c:pt idx="334">
                  <c:v>0.29799999999999999</c:v>
                </c:pt>
                <c:pt idx="335">
                  <c:v>0.32100000000000001</c:v>
                </c:pt>
                <c:pt idx="336">
                  <c:v>0.34899999999999998</c:v>
                </c:pt>
                <c:pt idx="337">
                  <c:v>0.35399999999999998</c:v>
                </c:pt>
                <c:pt idx="338">
                  <c:v>0.36199999999999999</c:v>
                </c:pt>
                <c:pt idx="339">
                  <c:v>0.33100000000000002</c:v>
                </c:pt>
                <c:pt idx="340">
                  <c:v>0.318</c:v>
                </c:pt>
                <c:pt idx="341">
                  <c:v>0.33200000000000002</c:v>
                </c:pt>
                <c:pt idx="342">
                  <c:v>0.30499999999999999</c:v>
                </c:pt>
                <c:pt idx="343">
                  <c:v>0.30599999999999999</c:v>
                </c:pt>
                <c:pt idx="344">
                  <c:v>0.309</c:v>
                </c:pt>
                <c:pt idx="345">
                  <c:v>0.3</c:v>
                </c:pt>
                <c:pt idx="346">
                  <c:v>0.29799999999999999</c:v>
                </c:pt>
                <c:pt idx="347">
                  <c:v>0.29199999999999998</c:v>
                </c:pt>
                <c:pt idx="348">
                  <c:v>0.28999999999999998</c:v>
                </c:pt>
                <c:pt idx="349">
                  <c:v>0.29099999999999998</c:v>
                </c:pt>
                <c:pt idx="350">
                  <c:v>0.29099999999999998</c:v>
                </c:pt>
                <c:pt idx="351">
                  <c:v>0.28000000000000003</c:v>
                </c:pt>
                <c:pt idx="352">
                  <c:v>0.33600000000000002</c:v>
                </c:pt>
                <c:pt idx="353">
                  <c:v>0.32300000000000001</c:v>
                </c:pt>
                <c:pt idx="354">
                  <c:v>0.308</c:v>
                </c:pt>
                <c:pt idx="355">
                  <c:v>0.29799999999999999</c:v>
                </c:pt>
                <c:pt idx="356">
                  <c:v>0.30099999999999999</c:v>
                </c:pt>
                <c:pt idx="357">
                  <c:v>0.28799999999999998</c:v>
                </c:pt>
                <c:pt idx="358">
                  <c:v>0.28599999999999998</c:v>
                </c:pt>
                <c:pt idx="359">
                  <c:v>0.26</c:v>
                </c:pt>
                <c:pt idx="360">
                  <c:v>-0.13200000000000001</c:v>
                </c:pt>
                <c:pt idx="361">
                  <c:v>4.3999999999999997E-2</c:v>
                </c:pt>
                <c:pt idx="362">
                  <c:v>-2.1999999999999999E-2</c:v>
                </c:pt>
                <c:pt idx="363">
                  <c:v>0.246</c:v>
                </c:pt>
                <c:pt idx="364">
                  <c:v>0.224</c:v>
                </c:pt>
                <c:pt idx="365">
                  <c:v>0.21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Data!$AO$7:$AO$372</c:f>
              <c:numCache>
                <c:formatCode>General</c:formatCode>
                <c:ptCount val="366"/>
                <c:pt idx="165">
                  <c:v>4.5330000000000004</c:v>
                </c:pt>
                <c:pt idx="166">
                  <c:v>5.5110000000000001</c:v>
                </c:pt>
                <c:pt idx="167">
                  <c:v>4.7249999999999996</c:v>
                </c:pt>
                <c:pt idx="168">
                  <c:v>6.399</c:v>
                </c:pt>
                <c:pt idx="169">
                  <c:v>4.9210000000000003</c:v>
                </c:pt>
                <c:pt idx="170">
                  <c:v>4.62</c:v>
                </c:pt>
                <c:pt idx="171">
                  <c:v>3.86</c:v>
                </c:pt>
                <c:pt idx="172">
                  <c:v>5.2619999999999996</c:v>
                </c:pt>
                <c:pt idx="173">
                  <c:v>6.7430000000000003</c:v>
                </c:pt>
                <c:pt idx="174">
                  <c:v>7.47</c:v>
                </c:pt>
                <c:pt idx="175">
                  <c:v>6.75</c:v>
                </c:pt>
                <c:pt idx="176">
                  <c:v>7.1</c:v>
                </c:pt>
                <c:pt idx="177">
                  <c:v>6.3929999999999998</c:v>
                </c:pt>
                <c:pt idx="178">
                  <c:v>6.0919999999999996</c:v>
                </c:pt>
                <c:pt idx="179">
                  <c:v>7.76</c:v>
                </c:pt>
                <c:pt idx="180">
                  <c:v>6.4329999999999998</c:v>
                </c:pt>
                <c:pt idx="181">
                  <c:v>6.9080000000000004</c:v>
                </c:pt>
                <c:pt idx="182">
                  <c:v>7.72</c:v>
                </c:pt>
                <c:pt idx="183">
                  <c:v>7.98</c:v>
                </c:pt>
                <c:pt idx="184">
                  <c:v>8.82</c:v>
                </c:pt>
                <c:pt idx="185">
                  <c:v>9.3000000000000007</c:v>
                </c:pt>
                <c:pt idx="186">
                  <c:v>6.6559999999999997</c:v>
                </c:pt>
                <c:pt idx="187">
                  <c:v>7</c:v>
                </c:pt>
                <c:pt idx="188">
                  <c:v>7.09</c:v>
                </c:pt>
                <c:pt idx="189">
                  <c:v>8.3000000000000007</c:v>
                </c:pt>
                <c:pt idx="190">
                  <c:v>9.86</c:v>
                </c:pt>
                <c:pt idx="191">
                  <c:v>8.3000000000000007</c:v>
                </c:pt>
                <c:pt idx="192">
                  <c:v>7.09</c:v>
                </c:pt>
                <c:pt idx="193">
                  <c:v>7.82</c:v>
                </c:pt>
                <c:pt idx="194">
                  <c:v>8.6999999999999993</c:v>
                </c:pt>
                <c:pt idx="195">
                  <c:v>8.83</c:v>
                </c:pt>
                <c:pt idx="196">
                  <c:v>9.5299999999999994</c:v>
                </c:pt>
                <c:pt idx="197">
                  <c:v>10.06</c:v>
                </c:pt>
                <c:pt idx="198">
                  <c:v>8.7200000000000006</c:v>
                </c:pt>
                <c:pt idx="211">
                  <c:v>10.75</c:v>
                </c:pt>
                <c:pt idx="212">
                  <c:v>8.73</c:v>
                </c:pt>
                <c:pt idx="213">
                  <c:v>7.95</c:v>
                </c:pt>
                <c:pt idx="214">
                  <c:v>8.16</c:v>
                </c:pt>
                <c:pt idx="215">
                  <c:v>8.2899999999999991</c:v>
                </c:pt>
                <c:pt idx="216">
                  <c:v>7.21</c:v>
                </c:pt>
                <c:pt idx="217">
                  <c:v>6.8840000000000003</c:v>
                </c:pt>
                <c:pt idx="218">
                  <c:v>7.17</c:v>
                </c:pt>
                <c:pt idx="219">
                  <c:v>7.2</c:v>
                </c:pt>
                <c:pt idx="220">
                  <c:v>8.01</c:v>
                </c:pt>
                <c:pt idx="221">
                  <c:v>8.43</c:v>
                </c:pt>
                <c:pt idx="222">
                  <c:v>8.58</c:v>
                </c:pt>
                <c:pt idx="223">
                  <c:v>8.94</c:v>
                </c:pt>
                <c:pt idx="224">
                  <c:v>7.52</c:v>
                </c:pt>
                <c:pt idx="225">
                  <c:v>7.58</c:v>
                </c:pt>
                <c:pt idx="226">
                  <c:v>9.2200000000000006</c:v>
                </c:pt>
                <c:pt idx="227">
                  <c:v>8.24</c:v>
                </c:pt>
                <c:pt idx="228">
                  <c:v>8.5399999999999991</c:v>
                </c:pt>
                <c:pt idx="229">
                  <c:v>7.49</c:v>
                </c:pt>
                <c:pt idx="230">
                  <c:v>6.532</c:v>
                </c:pt>
                <c:pt idx="231">
                  <c:v>7.55</c:v>
                </c:pt>
                <c:pt idx="232">
                  <c:v>7.23</c:v>
                </c:pt>
                <c:pt idx="233">
                  <c:v>5.8369999999999997</c:v>
                </c:pt>
                <c:pt idx="234">
                  <c:v>5.7910000000000004</c:v>
                </c:pt>
                <c:pt idx="235">
                  <c:v>7.23</c:v>
                </c:pt>
                <c:pt idx="236">
                  <c:v>7.37</c:v>
                </c:pt>
                <c:pt idx="237">
                  <c:v>7.65</c:v>
                </c:pt>
                <c:pt idx="238">
                  <c:v>7.94</c:v>
                </c:pt>
                <c:pt idx="239">
                  <c:v>8.75</c:v>
                </c:pt>
                <c:pt idx="240">
                  <c:v>9.61</c:v>
                </c:pt>
                <c:pt idx="241">
                  <c:v>9.98</c:v>
                </c:pt>
                <c:pt idx="242">
                  <c:v>9.31</c:v>
                </c:pt>
                <c:pt idx="243">
                  <c:v>7.89</c:v>
                </c:pt>
                <c:pt idx="244">
                  <c:v>7.42</c:v>
                </c:pt>
                <c:pt idx="318">
                  <c:v>0.70799999999999996</c:v>
                </c:pt>
                <c:pt idx="319">
                  <c:v>0.70599999999999996</c:v>
                </c:pt>
                <c:pt idx="320">
                  <c:v>0.67200000000000004</c:v>
                </c:pt>
                <c:pt idx="321">
                  <c:v>0.65800000000000003</c:v>
                </c:pt>
                <c:pt idx="322">
                  <c:v>0.64800000000000002</c:v>
                </c:pt>
                <c:pt idx="323">
                  <c:v>0.63900000000000001</c:v>
                </c:pt>
                <c:pt idx="324">
                  <c:v>0.28299999999999997</c:v>
                </c:pt>
                <c:pt idx="325">
                  <c:v>0.50800000000000001</c:v>
                </c:pt>
                <c:pt idx="326">
                  <c:v>0.34300000000000003</c:v>
                </c:pt>
                <c:pt idx="327">
                  <c:v>3.5999999999999997E-2</c:v>
                </c:pt>
                <c:pt idx="328">
                  <c:v>0.32300000000000001</c:v>
                </c:pt>
                <c:pt idx="329">
                  <c:v>0.26400000000000001</c:v>
                </c:pt>
                <c:pt idx="330">
                  <c:v>0.245</c:v>
                </c:pt>
                <c:pt idx="331">
                  <c:v>0.23200000000000001</c:v>
                </c:pt>
                <c:pt idx="332">
                  <c:v>0.24</c:v>
                </c:pt>
                <c:pt idx="333">
                  <c:v>0.246</c:v>
                </c:pt>
                <c:pt idx="334">
                  <c:v>0.255</c:v>
                </c:pt>
                <c:pt idx="335">
                  <c:v>0.27</c:v>
                </c:pt>
                <c:pt idx="336">
                  <c:v>0.27700000000000002</c:v>
                </c:pt>
                <c:pt idx="337">
                  <c:v>0.27800000000000002</c:v>
                </c:pt>
                <c:pt idx="338">
                  <c:v>0.27300000000000002</c:v>
                </c:pt>
                <c:pt idx="339">
                  <c:v>0.26900000000000002</c:v>
                </c:pt>
                <c:pt idx="340">
                  <c:v>0.253</c:v>
                </c:pt>
                <c:pt idx="341">
                  <c:v>0.26600000000000001</c:v>
                </c:pt>
                <c:pt idx="342">
                  <c:v>0.25700000000000001</c:v>
                </c:pt>
                <c:pt idx="343">
                  <c:v>0.26300000000000001</c:v>
                </c:pt>
                <c:pt idx="344">
                  <c:v>0.25800000000000001</c:v>
                </c:pt>
                <c:pt idx="345">
                  <c:v>0.25700000000000001</c:v>
                </c:pt>
                <c:pt idx="346">
                  <c:v>0.253</c:v>
                </c:pt>
                <c:pt idx="347">
                  <c:v>0.252</c:v>
                </c:pt>
                <c:pt idx="348">
                  <c:v>0.251</c:v>
                </c:pt>
                <c:pt idx="349">
                  <c:v>0.252</c:v>
                </c:pt>
                <c:pt idx="350">
                  <c:v>0.245</c:v>
                </c:pt>
                <c:pt idx="351">
                  <c:v>0.248</c:v>
                </c:pt>
                <c:pt idx="352">
                  <c:v>0.23499999999999999</c:v>
                </c:pt>
                <c:pt idx="353">
                  <c:v>0.23</c:v>
                </c:pt>
                <c:pt idx="354">
                  <c:v>0.22700000000000001</c:v>
                </c:pt>
                <c:pt idx="355">
                  <c:v>0.22900000000000001</c:v>
                </c:pt>
                <c:pt idx="356">
                  <c:v>0.214</c:v>
                </c:pt>
                <c:pt idx="357">
                  <c:v>0.192</c:v>
                </c:pt>
                <c:pt idx="358">
                  <c:v>9.5000000000000001E-2</c:v>
                </c:pt>
                <c:pt idx="359">
                  <c:v>-0.20499999999999999</c:v>
                </c:pt>
                <c:pt idx="360">
                  <c:v>-0.22500000000000001</c:v>
                </c:pt>
                <c:pt idx="361">
                  <c:v>-0.25800000000000001</c:v>
                </c:pt>
                <c:pt idx="362">
                  <c:v>-0.26</c:v>
                </c:pt>
                <c:pt idx="363">
                  <c:v>-0.26100000000000001</c:v>
                </c:pt>
                <c:pt idx="364">
                  <c:v>0.13700000000000001</c:v>
                </c:pt>
                <c:pt idx="365">
                  <c:v>0.14799999999999999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32256"/>
        <c:axId val="235242624"/>
      </c:lineChart>
      <c:catAx>
        <c:axId val="23523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4262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524262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322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Data!$AB$7:$AB$372</c:f>
              <c:numCache>
                <c:formatCode>General</c:formatCode>
                <c:ptCount val="366"/>
                <c:pt idx="165">
                  <c:v>7.82</c:v>
                </c:pt>
                <c:pt idx="166">
                  <c:v>7.73</c:v>
                </c:pt>
                <c:pt idx="167">
                  <c:v>7.62</c:v>
                </c:pt>
                <c:pt idx="168">
                  <c:v>7.57</c:v>
                </c:pt>
                <c:pt idx="169">
                  <c:v>7.21</c:v>
                </c:pt>
                <c:pt idx="170">
                  <c:v>6.2</c:v>
                </c:pt>
                <c:pt idx="171">
                  <c:v>7.2</c:v>
                </c:pt>
                <c:pt idx="172">
                  <c:v>7.42</c:v>
                </c:pt>
                <c:pt idx="173">
                  <c:v>7.44</c:v>
                </c:pt>
                <c:pt idx="174">
                  <c:v>7.62</c:v>
                </c:pt>
                <c:pt idx="175">
                  <c:v>7.65</c:v>
                </c:pt>
                <c:pt idx="176">
                  <c:v>7.96</c:v>
                </c:pt>
                <c:pt idx="177">
                  <c:v>8</c:v>
                </c:pt>
                <c:pt idx="178">
                  <c:v>8.34</c:v>
                </c:pt>
                <c:pt idx="179">
                  <c:v>8.35</c:v>
                </c:pt>
                <c:pt idx="180">
                  <c:v>8.49</c:v>
                </c:pt>
                <c:pt idx="181">
                  <c:v>8.7799999999999994</c:v>
                </c:pt>
                <c:pt idx="182">
                  <c:v>9.1300000000000008</c:v>
                </c:pt>
                <c:pt idx="183">
                  <c:v>9.44</c:v>
                </c:pt>
                <c:pt idx="184">
                  <c:v>9.6</c:v>
                </c:pt>
                <c:pt idx="185">
                  <c:v>9.56</c:v>
                </c:pt>
                <c:pt idx="186">
                  <c:v>9.3699999999999992</c:v>
                </c:pt>
                <c:pt idx="187">
                  <c:v>9.1999999999999993</c:v>
                </c:pt>
                <c:pt idx="188">
                  <c:v>9.6</c:v>
                </c:pt>
                <c:pt idx="189">
                  <c:v>10.29</c:v>
                </c:pt>
                <c:pt idx="190">
                  <c:v>10.3</c:v>
                </c:pt>
                <c:pt idx="191">
                  <c:v>9.98</c:v>
                </c:pt>
                <c:pt idx="192">
                  <c:v>9.6999999999999993</c:v>
                </c:pt>
                <c:pt idx="193">
                  <c:v>10.029999999999999</c:v>
                </c:pt>
                <c:pt idx="194">
                  <c:v>10.3</c:v>
                </c:pt>
                <c:pt idx="195">
                  <c:v>10.53</c:v>
                </c:pt>
                <c:pt idx="196">
                  <c:v>10.86</c:v>
                </c:pt>
                <c:pt idx="197">
                  <c:v>10.79</c:v>
                </c:pt>
                <c:pt idx="198">
                  <c:v>10.199999999999999</c:v>
                </c:pt>
                <c:pt idx="211">
                  <c:v>11.53</c:v>
                </c:pt>
                <c:pt idx="212">
                  <c:v>11.35</c:v>
                </c:pt>
                <c:pt idx="213">
                  <c:v>10.74</c:v>
                </c:pt>
                <c:pt idx="214">
                  <c:v>10.53</c:v>
                </c:pt>
                <c:pt idx="215">
                  <c:v>9.7100000000000009</c:v>
                </c:pt>
                <c:pt idx="216">
                  <c:v>9.23</c:v>
                </c:pt>
                <c:pt idx="217">
                  <c:v>8.4</c:v>
                </c:pt>
                <c:pt idx="218">
                  <c:v>8.81</c:v>
                </c:pt>
                <c:pt idx="219">
                  <c:v>9.48</c:v>
                </c:pt>
                <c:pt idx="220">
                  <c:v>9.98</c:v>
                </c:pt>
                <c:pt idx="221">
                  <c:v>10.27</c:v>
                </c:pt>
                <c:pt idx="222">
                  <c:v>10.48</c:v>
                </c:pt>
                <c:pt idx="223">
                  <c:v>10.56</c:v>
                </c:pt>
                <c:pt idx="224">
                  <c:v>10.32</c:v>
                </c:pt>
                <c:pt idx="225">
                  <c:v>10.28</c:v>
                </c:pt>
                <c:pt idx="226">
                  <c:v>10.56</c:v>
                </c:pt>
                <c:pt idx="227">
                  <c:v>10.51</c:v>
                </c:pt>
                <c:pt idx="228">
                  <c:v>10.51</c:v>
                </c:pt>
                <c:pt idx="229">
                  <c:v>9.84</c:v>
                </c:pt>
                <c:pt idx="230">
                  <c:v>9.2899999999999991</c:v>
                </c:pt>
                <c:pt idx="231">
                  <c:v>9.02</c:v>
                </c:pt>
                <c:pt idx="232">
                  <c:v>9.0399999999999991</c:v>
                </c:pt>
                <c:pt idx="233">
                  <c:v>8.83</c:v>
                </c:pt>
                <c:pt idx="234">
                  <c:v>8.92</c:v>
                </c:pt>
                <c:pt idx="235">
                  <c:v>9.44</c:v>
                </c:pt>
                <c:pt idx="236">
                  <c:v>9.73</c:v>
                </c:pt>
                <c:pt idx="237">
                  <c:v>9.94</c:v>
                </c:pt>
                <c:pt idx="238">
                  <c:v>10.130000000000001</c:v>
                </c:pt>
                <c:pt idx="239">
                  <c:v>10.4</c:v>
                </c:pt>
                <c:pt idx="240">
                  <c:v>10.71</c:v>
                </c:pt>
                <c:pt idx="241">
                  <c:v>10.96</c:v>
                </c:pt>
                <c:pt idx="242">
                  <c:v>10.91</c:v>
                </c:pt>
                <c:pt idx="243">
                  <c:v>10.210000000000001</c:v>
                </c:pt>
                <c:pt idx="244">
                  <c:v>9.2799999999999994</c:v>
                </c:pt>
                <c:pt idx="318">
                  <c:v>1.3580000000000001</c:v>
                </c:pt>
                <c:pt idx="319">
                  <c:v>1.371</c:v>
                </c:pt>
                <c:pt idx="320">
                  <c:v>1.375</c:v>
                </c:pt>
                <c:pt idx="321">
                  <c:v>1.3819999999999999</c:v>
                </c:pt>
                <c:pt idx="322">
                  <c:v>1.38</c:v>
                </c:pt>
                <c:pt idx="323">
                  <c:v>1.329</c:v>
                </c:pt>
                <c:pt idx="324">
                  <c:v>1.2969999999999999</c:v>
                </c:pt>
                <c:pt idx="325">
                  <c:v>1.1639999999999999</c:v>
                </c:pt>
                <c:pt idx="326">
                  <c:v>1.157</c:v>
                </c:pt>
                <c:pt idx="327">
                  <c:v>1.042</c:v>
                </c:pt>
                <c:pt idx="328">
                  <c:v>0.98</c:v>
                </c:pt>
                <c:pt idx="329">
                  <c:v>0.91100000000000003</c:v>
                </c:pt>
                <c:pt idx="330">
                  <c:v>0.84499999999999997</c:v>
                </c:pt>
                <c:pt idx="331">
                  <c:v>0.83299999999999996</c:v>
                </c:pt>
                <c:pt idx="332">
                  <c:v>0.79500000000000004</c:v>
                </c:pt>
                <c:pt idx="333">
                  <c:v>0.84599999999999997</c:v>
                </c:pt>
                <c:pt idx="334">
                  <c:v>0.78100000000000003</c:v>
                </c:pt>
                <c:pt idx="335">
                  <c:v>0.78200000000000003</c:v>
                </c:pt>
                <c:pt idx="336">
                  <c:v>0.81100000000000005</c:v>
                </c:pt>
                <c:pt idx="337">
                  <c:v>0.80900000000000005</c:v>
                </c:pt>
                <c:pt idx="338">
                  <c:v>0.81200000000000006</c:v>
                </c:pt>
                <c:pt idx="339">
                  <c:v>0.78100000000000003</c:v>
                </c:pt>
                <c:pt idx="340">
                  <c:v>0.76900000000000002</c:v>
                </c:pt>
                <c:pt idx="341">
                  <c:v>0.78100000000000003</c:v>
                </c:pt>
                <c:pt idx="342">
                  <c:v>0.747</c:v>
                </c:pt>
                <c:pt idx="343">
                  <c:v>0.75600000000000001</c:v>
                </c:pt>
                <c:pt idx="344">
                  <c:v>0.755</c:v>
                </c:pt>
                <c:pt idx="345">
                  <c:v>0.74199999999999999</c:v>
                </c:pt>
                <c:pt idx="346">
                  <c:v>0.74399999999999999</c:v>
                </c:pt>
                <c:pt idx="347">
                  <c:v>0.74199999999999999</c:v>
                </c:pt>
                <c:pt idx="348">
                  <c:v>0.73799999999999999</c:v>
                </c:pt>
                <c:pt idx="349">
                  <c:v>0.74</c:v>
                </c:pt>
                <c:pt idx="350">
                  <c:v>0.73799999999999999</c:v>
                </c:pt>
                <c:pt idx="351">
                  <c:v>0.73599999999999999</c:v>
                </c:pt>
                <c:pt idx="352">
                  <c:v>0.80800000000000005</c:v>
                </c:pt>
                <c:pt idx="353">
                  <c:v>0.79600000000000004</c:v>
                </c:pt>
                <c:pt idx="354">
                  <c:v>0.78800000000000003</c:v>
                </c:pt>
                <c:pt idx="355">
                  <c:v>0.77200000000000002</c:v>
                </c:pt>
                <c:pt idx="356">
                  <c:v>0.76900000000000002</c:v>
                </c:pt>
                <c:pt idx="357">
                  <c:v>0.75700000000000001</c:v>
                </c:pt>
                <c:pt idx="358">
                  <c:v>0.77400000000000002</c:v>
                </c:pt>
                <c:pt idx="359">
                  <c:v>0.74299999999999999</c:v>
                </c:pt>
                <c:pt idx="360">
                  <c:v>0.34200000000000003</c:v>
                </c:pt>
                <c:pt idx="361">
                  <c:v>0.51600000000000001</c:v>
                </c:pt>
                <c:pt idx="362">
                  <c:v>0.45200000000000001</c:v>
                </c:pt>
                <c:pt idx="363">
                  <c:v>0.72299999999999998</c:v>
                </c:pt>
                <c:pt idx="364">
                  <c:v>0.69299999999999995</c:v>
                </c:pt>
                <c:pt idx="365">
                  <c:v>0.68899999999999995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Data!$AP$7:$AP$372</c:f>
              <c:numCache>
                <c:formatCode>General</c:formatCode>
                <c:ptCount val="366"/>
                <c:pt idx="165">
                  <c:v>6.6360000000000001</c:v>
                </c:pt>
                <c:pt idx="166">
                  <c:v>7.12</c:v>
                </c:pt>
                <c:pt idx="167">
                  <c:v>6.8460000000000001</c:v>
                </c:pt>
                <c:pt idx="168">
                  <c:v>7.05</c:v>
                </c:pt>
                <c:pt idx="169">
                  <c:v>6.1890000000000001</c:v>
                </c:pt>
                <c:pt idx="170">
                  <c:v>5.7729999999999997</c:v>
                </c:pt>
                <c:pt idx="171">
                  <c:v>5.8129999999999997</c:v>
                </c:pt>
                <c:pt idx="172">
                  <c:v>6.7489999999999997</c:v>
                </c:pt>
                <c:pt idx="173">
                  <c:v>7.1</c:v>
                </c:pt>
                <c:pt idx="174">
                  <c:v>7.29</c:v>
                </c:pt>
                <c:pt idx="175">
                  <c:v>7.21</c:v>
                </c:pt>
                <c:pt idx="176">
                  <c:v>7.36</c:v>
                </c:pt>
                <c:pt idx="177">
                  <c:v>7.48</c:v>
                </c:pt>
                <c:pt idx="178">
                  <c:v>7.51</c:v>
                </c:pt>
                <c:pt idx="179">
                  <c:v>7.98</c:v>
                </c:pt>
                <c:pt idx="180">
                  <c:v>7.73</c:v>
                </c:pt>
                <c:pt idx="181">
                  <c:v>7.96</c:v>
                </c:pt>
                <c:pt idx="182">
                  <c:v>8.2799999999999994</c:v>
                </c:pt>
                <c:pt idx="183">
                  <c:v>8.51</c:v>
                </c:pt>
                <c:pt idx="184">
                  <c:v>8.9</c:v>
                </c:pt>
                <c:pt idx="185">
                  <c:v>9.1199999999999992</c:v>
                </c:pt>
                <c:pt idx="186">
                  <c:v>8.4600000000000009</c:v>
                </c:pt>
                <c:pt idx="187">
                  <c:v>8.3800000000000008</c:v>
                </c:pt>
                <c:pt idx="188">
                  <c:v>8.49</c:v>
                </c:pt>
                <c:pt idx="189">
                  <c:v>8.99</c:v>
                </c:pt>
                <c:pt idx="190">
                  <c:v>9.8699999999999992</c:v>
                </c:pt>
                <c:pt idx="191">
                  <c:v>9.33</c:v>
                </c:pt>
                <c:pt idx="192">
                  <c:v>8.8699999999999992</c:v>
                </c:pt>
                <c:pt idx="193">
                  <c:v>9</c:v>
                </c:pt>
                <c:pt idx="194">
                  <c:v>9.35</c:v>
                </c:pt>
                <c:pt idx="195">
                  <c:v>9.5299999999999994</c:v>
                </c:pt>
                <c:pt idx="196">
                  <c:v>9.85</c:v>
                </c:pt>
                <c:pt idx="197">
                  <c:v>10.18</c:v>
                </c:pt>
                <c:pt idx="198">
                  <c:v>9.61</c:v>
                </c:pt>
                <c:pt idx="211">
                  <c:v>10.82</c:v>
                </c:pt>
                <c:pt idx="212">
                  <c:v>10.47</c:v>
                </c:pt>
                <c:pt idx="213">
                  <c:v>10.01</c:v>
                </c:pt>
                <c:pt idx="214">
                  <c:v>9.69</c:v>
                </c:pt>
                <c:pt idx="215">
                  <c:v>9.18</c:v>
                </c:pt>
                <c:pt idx="216">
                  <c:v>8.39</c:v>
                </c:pt>
                <c:pt idx="217">
                  <c:v>8.1</c:v>
                </c:pt>
                <c:pt idx="218">
                  <c:v>8.01</c:v>
                </c:pt>
                <c:pt idx="219">
                  <c:v>8.51</c:v>
                </c:pt>
                <c:pt idx="220">
                  <c:v>9.08</c:v>
                </c:pt>
                <c:pt idx="221">
                  <c:v>9.43</c:v>
                </c:pt>
                <c:pt idx="222">
                  <c:v>9.6300000000000008</c:v>
                </c:pt>
                <c:pt idx="223">
                  <c:v>9.8800000000000008</c:v>
                </c:pt>
                <c:pt idx="224">
                  <c:v>9.6199999999999992</c:v>
                </c:pt>
                <c:pt idx="225">
                  <c:v>9.43</c:v>
                </c:pt>
                <c:pt idx="226">
                  <c:v>9.75</c:v>
                </c:pt>
                <c:pt idx="227">
                  <c:v>9.77</c:v>
                </c:pt>
                <c:pt idx="228">
                  <c:v>9.83</c:v>
                </c:pt>
                <c:pt idx="229">
                  <c:v>9.2799999999999994</c:v>
                </c:pt>
                <c:pt idx="230">
                  <c:v>8.83</c:v>
                </c:pt>
                <c:pt idx="231">
                  <c:v>8.74</c:v>
                </c:pt>
                <c:pt idx="232">
                  <c:v>8.5</c:v>
                </c:pt>
                <c:pt idx="233">
                  <c:v>8.35</c:v>
                </c:pt>
                <c:pt idx="234">
                  <c:v>8.1300000000000008</c:v>
                </c:pt>
                <c:pt idx="235">
                  <c:v>8.5399999999999991</c:v>
                </c:pt>
                <c:pt idx="236">
                  <c:v>8.8000000000000007</c:v>
                </c:pt>
                <c:pt idx="237">
                  <c:v>9.0500000000000007</c:v>
                </c:pt>
                <c:pt idx="238">
                  <c:v>9.2100000000000009</c:v>
                </c:pt>
                <c:pt idx="239">
                  <c:v>9.51</c:v>
                </c:pt>
                <c:pt idx="240">
                  <c:v>9.86</c:v>
                </c:pt>
                <c:pt idx="241">
                  <c:v>10.17</c:v>
                </c:pt>
                <c:pt idx="242">
                  <c:v>10.19</c:v>
                </c:pt>
                <c:pt idx="243">
                  <c:v>9.26</c:v>
                </c:pt>
                <c:pt idx="244">
                  <c:v>8.94</c:v>
                </c:pt>
                <c:pt idx="318">
                  <c:v>1.3</c:v>
                </c:pt>
                <c:pt idx="319">
                  <c:v>1.3009999999999999</c:v>
                </c:pt>
                <c:pt idx="320">
                  <c:v>1.27</c:v>
                </c:pt>
                <c:pt idx="321">
                  <c:v>1.258</c:v>
                </c:pt>
                <c:pt idx="322">
                  <c:v>1.2470000000000001</c:v>
                </c:pt>
                <c:pt idx="323">
                  <c:v>1.236</c:v>
                </c:pt>
                <c:pt idx="324">
                  <c:v>0.84599999999999997</c:v>
                </c:pt>
                <c:pt idx="325">
                  <c:v>1.0509999999999999</c:v>
                </c:pt>
                <c:pt idx="326">
                  <c:v>0.86599999999999999</c:v>
                </c:pt>
                <c:pt idx="327">
                  <c:v>0.54500000000000004</c:v>
                </c:pt>
                <c:pt idx="328">
                  <c:v>0.84099999999999997</c:v>
                </c:pt>
                <c:pt idx="329">
                  <c:v>0.81799999999999995</c:v>
                </c:pt>
                <c:pt idx="330">
                  <c:v>0.76700000000000002</c:v>
                </c:pt>
                <c:pt idx="331">
                  <c:v>0.74199999999999999</c:v>
                </c:pt>
                <c:pt idx="332">
                  <c:v>0.75</c:v>
                </c:pt>
                <c:pt idx="333">
                  <c:v>0.70699999999999996</c:v>
                </c:pt>
                <c:pt idx="334">
                  <c:v>0.72499999999999998</c:v>
                </c:pt>
                <c:pt idx="335">
                  <c:v>0.73199999999999998</c:v>
                </c:pt>
                <c:pt idx="336">
                  <c:v>0.72399999999999998</c:v>
                </c:pt>
                <c:pt idx="337">
                  <c:v>0.72499999999999998</c:v>
                </c:pt>
                <c:pt idx="338">
                  <c:v>0.71399999999999997</c:v>
                </c:pt>
                <c:pt idx="339">
                  <c:v>0.71199999999999997</c:v>
                </c:pt>
                <c:pt idx="340">
                  <c:v>0.71</c:v>
                </c:pt>
                <c:pt idx="341">
                  <c:v>0.70399999999999996</c:v>
                </c:pt>
                <c:pt idx="342">
                  <c:v>0.69399999999999995</c:v>
                </c:pt>
                <c:pt idx="343">
                  <c:v>0.71199999999999997</c:v>
                </c:pt>
                <c:pt idx="344">
                  <c:v>0.70399999999999996</c:v>
                </c:pt>
                <c:pt idx="345">
                  <c:v>0.69899999999999995</c:v>
                </c:pt>
                <c:pt idx="346">
                  <c:v>0.7</c:v>
                </c:pt>
                <c:pt idx="347">
                  <c:v>0.70299999999999996</c:v>
                </c:pt>
                <c:pt idx="348">
                  <c:v>0.7</c:v>
                </c:pt>
                <c:pt idx="349">
                  <c:v>0.70099999999999996</c:v>
                </c:pt>
                <c:pt idx="350">
                  <c:v>0.69899999999999995</c:v>
                </c:pt>
                <c:pt idx="351">
                  <c:v>0.69799999999999995</c:v>
                </c:pt>
                <c:pt idx="352">
                  <c:v>0.68200000000000005</c:v>
                </c:pt>
                <c:pt idx="353">
                  <c:v>0.67300000000000004</c:v>
                </c:pt>
                <c:pt idx="354">
                  <c:v>0.65700000000000003</c:v>
                </c:pt>
                <c:pt idx="355">
                  <c:v>0.65400000000000003</c:v>
                </c:pt>
                <c:pt idx="356">
                  <c:v>0.68400000000000005</c:v>
                </c:pt>
                <c:pt idx="357">
                  <c:v>0.66700000000000004</c:v>
                </c:pt>
                <c:pt idx="358">
                  <c:v>0.56799999999999995</c:v>
                </c:pt>
                <c:pt idx="359">
                  <c:v>0.26900000000000002</c:v>
                </c:pt>
                <c:pt idx="360">
                  <c:v>0.221</c:v>
                </c:pt>
                <c:pt idx="361">
                  <c:v>0.19</c:v>
                </c:pt>
                <c:pt idx="362">
                  <c:v>0.17</c:v>
                </c:pt>
                <c:pt idx="363">
                  <c:v>0.19600000000000001</c:v>
                </c:pt>
                <c:pt idx="364">
                  <c:v>0.57899999999999996</c:v>
                </c:pt>
                <c:pt idx="365">
                  <c:v>0.622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56064"/>
        <c:axId val="235262336"/>
      </c:lineChart>
      <c:catAx>
        <c:axId val="23525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6233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526233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5606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165">
                  <c:v>5.8440000000000003</c:v>
                </c:pt>
                <c:pt idx="166">
                  <c:v>5.9610000000000003</c:v>
                </c:pt>
                <c:pt idx="167">
                  <c:v>6.125</c:v>
                </c:pt>
                <c:pt idx="168">
                  <c:v>6.1840000000000002</c:v>
                </c:pt>
                <c:pt idx="169">
                  <c:v>6.1379999999999999</c:v>
                </c:pt>
                <c:pt idx="170">
                  <c:v>6.33</c:v>
                </c:pt>
                <c:pt idx="171">
                  <c:v>6.2270000000000003</c:v>
                </c:pt>
                <c:pt idx="172">
                  <c:v>6.11</c:v>
                </c:pt>
                <c:pt idx="173">
                  <c:v>6.1449999999999996</c:v>
                </c:pt>
                <c:pt idx="174">
                  <c:v>6.2590000000000003</c:v>
                </c:pt>
                <c:pt idx="175">
                  <c:v>6.4969999999999999</c:v>
                </c:pt>
                <c:pt idx="176">
                  <c:v>6.7329999999999997</c:v>
                </c:pt>
                <c:pt idx="177">
                  <c:v>6.8419999999999996</c:v>
                </c:pt>
                <c:pt idx="178">
                  <c:v>6.9260000000000002</c:v>
                </c:pt>
                <c:pt idx="179">
                  <c:v>6.9880000000000004</c:v>
                </c:pt>
                <c:pt idx="180">
                  <c:v>7.05</c:v>
                </c:pt>
                <c:pt idx="181">
                  <c:v>7.1</c:v>
                </c:pt>
                <c:pt idx="182">
                  <c:v>7.24</c:v>
                </c:pt>
                <c:pt idx="183">
                  <c:v>7.29</c:v>
                </c:pt>
                <c:pt idx="184">
                  <c:v>7.4</c:v>
                </c:pt>
                <c:pt idx="185">
                  <c:v>7.59</c:v>
                </c:pt>
                <c:pt idx="186">
                  <c:v>7.74</c:v>
                </c:pt>
                <c:pt idx="187">
                  <c:v>7.86</c:v>
                </c:pt>
                <c:pt idx="188">
                  <c:v>7.89</c:v>
                </c:pt>
                <c:pt idx="189">
                  <c:v>7.9</c:v>
                </c:pt>
                <c:pt idx="190">
                  <c:v>8.02</c:v>
                </c:pt>
                <c:pt idx="191">
                  <c:v>8.17</c:v>
                </c:pt>
                <c:pt idx="192">
                  <c:v>8.19</c:v>
                </c:pt>
                <c:pt idx="193">
                  <c:v>8.1300000000000008</c:v>
                </c:pt>
                <c:pt idx="194">
                  <c:v>8.14</c:v>
                </c:pt>
                <c:pt idx="195">
                  <c:v>8.16</c:v>
                </c:pt>
                <c:pt idx="196">
                  <c:v>8.23</c:v>
                </c:pt>
                <c:pt idx="197">
                  <c:v>8.3000000000000007</c:v>
                </c:pt>
                <c:pt idx="198">
                  <c:v>8.42</c:v>
                </c:pt>
                <c:pt idx="211">
                  <c:v>9.14</c:v>
                </c:pt>
                <c:pt idx="212">
                  <c:v>9.27</c:v>
                </c:pt>
                <c:pt idx="213">
                  <c:v>9.2799999999999994</c:v>
                </c:pt>
                <c:pt idx="214">
                  <c:v>9.17</c:v>
                </c:pt>
                <c:pt idx="215">
                  <c:v>9.06</c:v>
                </c:pt>
                <c:pt idx="216">
                  <c:v>8.8800000000000008</c:v>
                </c:pt>
                <c:pt idx="217">
                  <c:v>8.68</c:v>
                </c:pt>
                <c:pt idx="218">
                  <c:v>8.61</c:v>
                </c:pt>
                <c:pt idx="219">
                  <c:v>8.6</c:v>
                </c:pt>
                <c:pt idx="220">
                  <c:v>8.69</c:v>
                </c:pt>
                <c:pt idx="221">
                  <c:v>8.82</c:v>
                </c:pt>
                <c:pt idx="222">
                  <c:v>8.98</c:v>
                </c:pt>
                <c:pt idx="223">
                  <c:v>9.08</c:v>
                </c:pt>
                <c:pt idx="224">
                  <c:v>9.18</c:v>
                </c:pt>
                <c:pt idx="225">
                  <c:v>9.1300000000000008</c:v>
                </c:pt>
                <c:pt idx="226">
                  <c:v>9.1199999999999992</c:v>
                </c:pt>
                <c:pt idx="227">
                  <c:v>9.09</c:v>
                </c:pt>
                <c:pt idx="228">
                  <c:v>9.08</c:v>
                </c:pt>
                <c:pt idx="229">
                  <c:v>9.1</c:v>
                </c:pt>
                <c:pt idx="230">
                  <c:v>9.0299999999999994</c:v>
                </c:pt>
                <c:pt idx="231">
                  <c:v>8.85</c:v>
                </c:pt>
                <c:pt idx="232">
                  <c:v>8.7899999999999991</c:v>
                </c:pt>
                <c:pt idx="233">
                  <c:v>8.66</c:v>
                </c:pt>
                <c:pt idx="234">
                  <c:v>8.61</c:v>
                </c:pt>
                <c:pt idx="235">
                  <c:v>8.5299999999999994</c:v>
                </c:pt>
                <c:pt idx="236">
                  <c:v>8.5500000000000007</c:v>
                </c:pt>
                <c:pt idx="237">
                  <c:v>8.59</c:v>
                </c:pt>
                <c:pt idx="238">
                  <c:v>8.6199999999999992</c:v>
                </c:pt>
                <c:pt idx="239">
                  <c:v>8.68</c:v>
                </c:pt>
                <c:pt idx="240">
                  <c:v>8.74</c:v>
                </c:pt>
                <c:pt idx="241">
                  <c:v>8.89</c:v>
                </c:pt>
                <c:pt idx="242">
                  <c:v>9.01</c:v>
                </c:pt>
                <c:pt idx="243">
                  <c:v>9.01</c:v>
                </c:pt>
                <c:pt idx="244">
                  <c:v>9.01</c:v>
                </c:pt>
                <c:pt idx="318">
                  <c:v>2.11</c:v>
                </c:pt>
                <c:pt idx="319">
                  <c:v>2.0790000000000002</c:v>
                </c:pt>
                <c:pt idx="320">
                  <c:v>2.0720000000000001</c:v>
                </c:pt>
                <c:pt idx="321">
                  <c:v>2.077</c:v>
                </c:pt>
                <c:pt idx="322">
                  <c:v>2.0739999999999998</c:v>
                </c:pt>
                <c:pt idx="323">
                  <c:v>2.032</c:v>
                </c:pt>
                <c:pt idx="324">
                  <c:v>2.0449999999999999</c:v>
                </c:pt>
                <c:pt idx="325">
                  <c:v>1.9670000000000001</c:v>
                </c:pt>
                <c:pt idx="326">
                  <c:v>1.974</c:v>
                </c:pt>
                <c:pt idx="327">
                  <c:v>1.905</c:v>
                </c:pt>
                <c:pt idx="328">
                  <c:v>1.871</c:v>
                </c:pt>
                <c:pt idx="329">
                  <c:v>1.833</c:v>
                </c:pt>
                <c:pt idx="330">
                  <c:v>1.7609999999999999</c:v>
                </c:pt>
                <c:pt idx="331">
                  <c:v>1.7410000000000001</c:v>
                </c:pt>
                <c:pt idx="332">
                  <c:v>1.6910000000000001</c:v>
                </c:pt>
                <c:pt idx="333">
                  <c:v>1.732</c:v>
                </c:pt>
                <c:pt idx="334">
                  <c:v>1.629</c:v>
                </c:pt>
                <c:pt idx="335">
                  <c:v>1.605</c:v>
                </c:pt>
                <c:pt idx="336">
                  <c:v>1.621</c:v>
                </c:pt>
                <c:pt idx="337">
                  <c:v>1.6140000000000001</c:v>
                </c:pt>
                <c:pt idx="338">
                  <c:v>1.6060000000000001</c:v>
                </c:pt>
                <c:pt idx="339">
                  <c:v>1.528</c:v>
                </c:pt>
                <c:pt idx="340">
                  <c:v>1.5169999999999999</c:v>
                </c:pt>
                <c:pt idx="341">
                  <c:v>1.518</c:v>
                </c:pt>
                <c:pt idx="342">
                  <c:v>1.482</c:v>
                </c:pt>
                <c:pt idx="343">
                  <c:v>1.4730000000000001</c:v>
                </c:pt>
                <c:pt idx="344">
                  <c:v>1.46</c:v>
                </c:pt>
                <c:pt idx="345">
                  <c:v>1.4419999999999999</c:v>
                </c:pt>
                <c:pt idx="346">
                  <c:v>1.427</c:v>
                </c:pt>
                <c:pt idx="347">
                  <c:v>1.4119999999999999</c:v>
                </c:pt>
                <c:pt idx="348">
                  <c:v>1.397</c:v>
                </c:pt>
                <c:pt idx="349">
                  <c:v>1.3839999999999999</c:v>
                </c:pt>
                <c:pt idx="350">
                  <c:v>1.373</c:v>
                </c:pt>
                <c:pt idx="351">
                  <c:v>1.359</c:v>
                </c:pt>
                <c:pt idx="352">
                  <c:v>1.43</c:v>
                </c:pt>
                <c:pt idx="353">
                  <c:v>1.4059999999999999</c:v>
                </c:pt>
                <c:pt idx="354">
                  <c:v>1.399</c:v>
                </c:pt>
                <c:pt idx="355">
                  <c:v>1.3779999999999999</c:v>
                </c:pt>
                <c:pt idx="356">
                  <c:v>1.367</c:v>
                </c:pt>
                <c:pt idx="357">
                  <c:v>1.3560000000000001</c:v>
                </c:pt>
                <c:pt idx="358">
                  <c:v>1.37</c:v>
                </c:pt>
                <c:pt idx="359">
                  <c:v>1.3240000000000001</c:v>
                </c:pt>
                <c:pt idx="360">
                  <c:v>0.92</c:v>
                </c:pt>
                <c:pt idx="361">
                  <c:v>1.087</c:v>
                </c:pt>
                <c:pt idx="362">
                  <c:v>1.022</c:v>
                </c:pt>
                <c:pt idx="363">
                  <c:v>1.2969999999999999</c:v>
                </c:pt>
                <c:pt idx="364">
                  <c:v>1.2669999999999999</c:v>
                </c:pt>
                <c:pt idx="365">
                  <c:v>1.2669999999999999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Data!$AQ$7:$AQ$372</c:f>
              <c:numCache>
                <c:formatCode>General</c:formatCode>
                <c:ptCount val="366"/>
                <c:pt idx="165">
                  <c:v>5.1959999999999997</c:v>
                </c:pt>
                <c:pt idx="166">
                  <c:v>5.3840000000000003</c:v>
                </c:pt>
                <c:pt idx="167">
                  <c:v>5.5439999999999996</c:v>
                </c:pt>
                <c:pt idx="168">
                  <c:v>5.8719999999999999</c:v>
                </c:pt>
                <c:pt idx="169">
                  <c:v>5.9560000000000004</c:v>
                </c:pt>
                <c:pt idx="170">
                  <c:v>5.9290000000000003</c:v>
                </c:pt>
                <c:pt idx="171">
                  <c:v>5.7590000000000003</c:v>
                </c:pt>
                <c:pt idx="172">
                  <c:v>5.617</c:v>
                </c:pt>
                <c:pt idx="173">
                  <c:v>5.8070000000000004</c:v>
                </c:pt>
                <c:pt idx="174">
                  <c:v>5.9710000000000001</c:v>
                </c:pt>
                <c:pt idx="175">
                  <c:v>6.1020000000000003</c:v>
                </c:pt>
                <c:pt idx="176">
                  <c:v>6.3490000000000002</c:v>
                </c:pt>
                <c:pt idx="177">
                  <c:v>6.3659999999999997</c:v>
                </c:pt>
                <c:pt idx="178">
                  <c:v>6.4669999999999996</c:v>
                </c:pt>
                <c:pt idx="179">
                  <c:v>6.6189999999999998</c:v>
                </c:pt>
                <c:pt idx="180">
                  <c:v>6.5880000000000001</c:v>
                </c:pt>
                <c:pt idx="181">
                  <c:v>6.625</c:v>
                </c:pt>
                <c:pt idx="182">
                  <c:v>6.7670000000000003</c:v>
                </c:pt>
                <c:pt idx="183">
                  <c:v>6.8869999999999996</c:v>
                </c:pt>
                <c:pt idx="184">
                  <c:v>7.04</c:v>
                </c:pt>
                <c:pt idx="185">
                  <c:v>7.28</c:v>
                </c:pt>
                <c:pt idx="186">
                  <c:v>7.27</c:v>
                </c:pt>
                <c:pt idx="187">
                  <c:v>7.32</c:v>
                </c:pt>
                <c:pt idx="188">
                  <c:v>7.33</c:v>
                </c:pt>
                <c:pt idx="189">
                  <c:v>7.45</c:v>
                </c:pt>
                <c:pt idx="190">
                  <c:v>7.65</c:v>
                </c:pt>
                <c:pt idx="191">
                  <c:v>7.68</c:v>
                </c:pt>
                <c:pt idx="192">
                  <c:v>7.64</c:v>
                </c:pt>
                <c:pt idx="193">
                  <c:v>7.68</c:v>
                </c:pt>
                <c:pt idx="194">
                  <c:v>7.69</c:v>
                </c:pt>
                <c:pt idx="195">
                  <c:v>7.71</c:v>
                </c:pt>
                <c:pt idx="196">
                  <c:v>7.81</c:v>
                </c:pt>
                <c:pt idx="197">
                  <c:v>8</c:v>
                </c:pt>
                <c:pt idx="198">
                  <c:v>8.0399999999999991</c:v>
                </c:pt>
                <c:pt idx="211">
                  <c:v>8.75</c:v>
                </c:pt>
                <c:pt idx="212">
                  <c:v>8.68</c:v>
                </c:pt>
                <c:pt idx="213">
                  <c:v>8.74</c:v>
                </c:pt>
                <c:pt idx="214">
                  <c:v>8.7799999999999994</c:v>
                </c:pt>
                <c:pt idx="215">
                  <c:v>8.86</c:v>
                </c:pt>
                <c:pt idx="216">
                  <c:v>8.65</c:v>
                </c:pt>
                <c:pt idx="217">
                  <c:v>8.5</c:v>
                </c:pt>
                <c:pt idx="218">
                  <c:v>8.25</c:v>
                </c:pt>
                <c:pt idx="219">
                  <c:v>8.1</c:v>
                </c:pt>
                <c:pt idx="220">
                  <c:v>8.18</c:v>
                </c:pt>
                <c:pt idx="221">
                  <c:v>8.31</c:v>
                </c:pt>
                <c:pt idx="222">
                  <c:v>8.4600000000000009</c:v>
                </c:pt>
                <c:pt idx="223">
                  <c:v>8.61</c:v>
                </c:pt>
                <c:pt idx="224">
                  <c:v>8.57</c:v>
                </c:pt>
                <c:pt idx="225">
                  <c:v>8.66</c:v>
                </c:pt>
                <c:pt idx="226">
                  <c:v>8.77</c:v>
                </c:pt>
                <c:pt idx="227">
                  <c:v>8.6300000000000008</c:v>
                </c:pt>
                <c:pt idx="228">
                  <c:v>8.75</c:v>
                </c:pt>
                <c:pt idx="229">
                  <c:v>8.6999999999999993</c:v>
                </c:pt>
                <c:pt idx="230">
                  <c:v>8.6</c:v>
                </c:pt>
                <c:pt idx="231">
                  <c:v>8.61</c:v>
                </c:pt>
                <c:pt idx="232">
                  <c:v>8.32</c:v>
                </c:pt>
                <c:pt idx="233">
                  <c:v>8.1999999999999993</c:v>
                </c:pt>
                <c:pt idx="234">
                  <c:v>8.1199999999999992</c:v>
                </c:pt>
                <c:pt idx="235">
                  <c:v>8.11</c:v>
                </c:pt>
                <c:pt idx="236">
                  <c:v>8.0399999999999991</c:v>
                </c:pt>
                <c:pt idx="237">
                  <c:v>8.08</c:v>
                </c:pt>
                <c:pt idx="238">
                  <c:v>8.19</c:v>
                </c:pt>
                <c:pt idx="239">
                  <c:v>8.32</c:v>
                </c:pt>
                <c:pt idx="240">
                  <c:v>8.4600000000000009</c:v>
                </c:pt>
                <c:pt idx="241">
                  <c:v>8.5299999999999994</c:v>
                </c:pt>
                <c:pt idx="242">
                  <c:v>8.68</c:v>
                </c:pt>
                <c:pt idx="243">
                  <c:v>8.74</c:v>
                </c:pt>
                <c:pt idx="244">
                  <c:v>8.61</c:v>
                </c:pt>
                <c:pt idx="318">
                  <c:v>2.0310000000000001</c:v>
                </c:pt>
                <c:pt idx="319">
                  <c:v>2.0190000000000001</c:v>
                </c:pt>
                <c:pt idx="320">
                  <c:v>1.956</c:v>
                </c:pt>
                <c:pt idx="321">
                  <c:v>1.948</c:v>
                </c:pt>
                <c:pt idx="322">
                  <c:v>1.927</c:v>
                </c:pt>
                <c:pt idx="323">
                  <c:v>1.923</c:v>
                </c:pt>
                <c:pt idx="324">
                  <c:v>1.5569999999999999</c:v>
                </c:pt>
                <c:pt idx="325">
                  <c:v>1.8</c:v>
                </c:pt>
                <c:pt idx="326">
                  <c:v>1.708</c:v>
                </c:pt>
                <c:pt idx="327">
                  <c:v>1.3879999999999999</c:v>
                </c:pt>
                <c:pt idx="328">
                  <c:v>1.738</c:v>
                </c:pt>
                <c:pt idx="329">
                  <c:v>1.7290000000000001</c:v>
                </c:pt>
                <c:pt idx="330">
                  <c:v>1.6830000000000001</c:v>
                </c:pt>
                <c:pt idx="331">
                  <c:v>1.639</c:v>
                </c:pt>
                <c:pt idx="332">
                  <c:v>1.629</c:v>
                </c:pt>
                <c:pt idx="333">
                  <c:v>1.571</c:v>
                </c:pt>
                <c:pt idx="334">
                  <c:v>1.5669999999999999</c:v>
                </c:pt>
                <c:pt idx="335">
                  <c:v>1.556</c:v>
                </c:pt>
                <c:pt idx="336">
                  <c:v>1.522</c:v>
                </c:pt>
                <c:pt idx="337">
                  <c:v>1.5189999999999999</c:v>
                </c:pt>
                <c:pt idx="338">
                  <c:v>1.4850000000000001</c:v>
                </c:pt>
                <c:pt idx="339">
                  <c:v>1.4770000000000001</c:v>
                </c:pt>
                <c:pt idx="340">
                  <c:v>1.458</c:v>
                </c:pt>
                <c:pt idx="341">
                  <c:v>1.4419999999999999</c:v>
                </c:pt>
                <c:pt idx="342">
                  <c:v>1.431</c:v>
                </c:pt>
                <c:pt idx="343">
                  <c:v>1.4239999999999999</c:v>
                </c:pt>
                <c:pt idx="344">
                  <c:v>1.407</c:v>
                </c:pt>
                <c:pt idx="345">
                  <c:v>1.3919999999999999</c:v>
                </c:pt>
                <c:pt idx="346">
                  <c:v>1.38</c:v>
                </c:pt>
                <c:pt idx="347">
                  <c:v>1.3640000000000001</c:v>
                </c:pt>
                <c:pt idx="348">
                  <c:v>1.353</c:v>
                </c:pt>
                <c:pt idx="349">
                  <c:v>1.343</c:v>
                </c:pt>
                <c:pt idx="350">
                  <c:v>1.329</c:v>
                </c:pt>
                <c:pt idx="351">
                  <c:v>1.321</c:v>
                </c:pt>
                <c:pt idx="352">
                  <c:v>1.3140000000000001</c:v>
                </c:pt>
                <c:pt idx="353">
                  <c:v>1.278</c:v>
                </c:pt>
                <c:pt idx="354">
                  <c:v>1.2749999999999999</c:v>
                </c:pt>
                <c:pt idx="355">
                  <c:v>1.266</c:v>
                </c:pt>
                <c:pt idx="356">
                  <c:v>1.274</c:v>
                </c:pt>
                <c:pt idx="357">
                  <c:v>1.2470000000000001</c:v>
                </c:pt>
                <c:pt idx="358">
                  <c:v>1.145</c:v>
                </c:pt>
                <c:pt idx="359">
                  <c:v>0.84799999999999998</c:v>
                </c:pt>
                <c:pt idx="360">
                  <c:v>0.79200000000000004</c:v>
                </c:pt>
                <c:pt idx="361">
                  <c:v>0.73799999999999999</c:v>
                </c:pt>
                <c:pt idx="362">
                  <c:v>0.72899999999999998</c:v>
                </c:pt>
                <c:pt idx="363">
                  <c:v>0.755</c:v>
                </c:pt>
                <c:pt idx="364">
                  <c:v>1.1399999999999999</c:v>
                </c:pt>
                <c:pt idx="365">
                  <c:v>1.198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21536"/>
        <c:axId val="235523456"/>
      </c:lineChart>
      <c:catAx>
        <c:axId val="23552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2345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3552345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2153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Data!$P$7:$P$372</c:f>
              <c:numCache>
                <c:formatCode>0.00</c:formatCode>
                <c:ptCount val="366"/>
                <c:pt idx="165">
                  <c:v>1.9991666666666668</c:v>
                </c:pt>
                <c:pt idx="166">
                  <c:v>2.1691666666666665</c:v>
                </c:pt>
                <c:pt idx="167">
                  <c:v>1.7558333333333336</c:v>
                </c:pt>
                <c:pt idx="168">
                  <c:v>1.8274999999999999</c:v>
                </c:pt>
                <c:pt idx="169">
                  <c:v>2.9108333333333336</c:v>
                </c:pt>
                <c:pt idx="170">
                  <c:v>2.5608333333333335</c:v>
                </c:pt>
                <c:pt idx="171">
                  <c:v>2.0741666666666667</c:v>
                </c:pt>
                <c:pt idx="172">
                  <c:v>1.7358333333333333</c:v>
                </c:pt>
                <c:pt idx="173">
                  <c:v>1.4401666666666666</c:v>
                </c:pt>
                <c:pt idx="174">
                  <c:v>1.3871666666666667</c:v>
                </c:pt>
                <c:pt idx="175">
                  <c:v>1.248</c:v>
                </c:pt>
                <c:pt idx="176">
                  <c:v>1.4936666666666667</c:v>
                </c:pt>
                <c:pt idx="177">
                  <c:v>1.7691666666666668</c:v>
                </c:pt>
                <c:pt idx="178">
                  <c:v>2.1758333333333333</c:v>
                </c:pt>
                <c:pt idx="179">
                  <c:v>2.3424999999999998</c:v>
                </c:pt>
                <c:pt idx="180">
                  <c:v>1.7608333333333335</c:v>
                </c:pt>
                <c:pt idx="181">
                  <c:v>1.5525</c:v>
                </c:pt>
                <c:pt idx="182">
                  <c:v>2.019166666666667</c:v>
                </c:pt>
                <c:pt idx="183">
                  <c:v>2.2324999999999999</c:v>
                </c:pt>
                <c:pt idx="184">
                  <c:v>1.9308333333333334</c:v>
                </c:pt>
                <c:pt idx="185">
                  <c:v>2.5708333333333333</c:v>
                </c:pt>
                <c:pt idx="186">
                  <c:v>2.1675</c:v>
                </c:pt>
                <c:pt idx="187">
                  <c:v>2.2275</c:v>
                </c:pt>
                <c:pt idx="188">
                  <c:v>1.9724999999999999</c:v>
                </c:pt>
                <c:pt idx="189">
                  <c:v>2.0024999999999999</c:v>
                </c:pt>
                <c:pt idx="190">
                  <c:v>2.4658333333333338</c:v>
                </c:pt>
                <c:pt idx="191">
                  <c:v>2.3424999999999998</c:v>
                </c:pt>
                <c:pt idx="192">
                  <c:v>1.9308333333333334</c:v>
                </c:pt>
                <c:pt idx="193">
                  <c:v>2.0441666666666665</c:v>
                </c:pt>
                <c:pt idx="194">
                  <c:v>2.0458333333333334</c:v>
                </c:pt>
                <c:pt idx="195">
                  <c:v>2.1391666666666667</c:v>
                </c:pt>
                <c:pt idx="196">
                  <c:v>2.4674999999999998</c:v>
                </c:pt>
                <c:pt idx="197">
                  <c:v>1.9558333333333335</c:v>
                </c:pt>
                <c:pt idx="198">
                  <c:v>2.2358333333333333</c:v>
                </c:pt>
                <c:pt idx="211">
                  <c:v>2.4375</c:v>
                </c:pt>
                <c:pt idx="212">
                  <c:v>2.1991666666666667</c:v>
                </c:pt>
                <c:pt idx="213">
                  <c:v>2.3008333333333333</c:v>
                </c:pt>
                <c:pt idx="214">
                  <c:v>1.8491666666666668</c:v>
                </c:pt>
                <c:pt idx="215">
                  <c:v>2.394166666666667</c:v>
                </c:pt>
                <c:pt idx="216">
                  <c:v>2.0408333333333335</c:v>
                </c:pt>
                <c:pt idx="217">
                  <c:v>2.0175000000000001</c:v>
                </c:pt>
                <c:pt idx="218">
                  <c:v>1.8658333333333337</c:v>
                </c:pt>
                <c:pt idx="219">
                  <c:v>1.8991666666666669</c:v>
                </c:pt>
                <c:pt idx="220">
                  <c:v>2.2124999999999999</c:v>
                </c:pt>
                <c:pt idx="221">
                  <c:v>2.1358333333333333</c:v>
                </c:pt>
                <c:pt idx="222">
                  <c:v>2.1141666666666667</c:v>
                </c:pt>
                <c:pt idx="223">
                  <c:v>2.6475</c:v>
                </c:pt>
                <c:pt idx="224">
                  <c:v>1.969166666666667</c:v>
                </c:pt>
                <c:pt idx="225">
                  <c:v>2.1691666666666665</c:v>
                </c:pt>
                <c:pt idx="226">
                  <c:v>2.1974999999999998</c:v>
                </c:pt>
                <c:pt idx="227">
                  <c:v>2.0375000000000001</c:v>
                </c:pt>
                <c:pt idx="228">
                  <c:v>1.8125</c:v>
                </c:pt>
                <c:pt idx="229">
                  <c:v>1.7441666666666669</c:v>
                </c:pt>
                <c:pt idx="230">
                  <c:v>1.8125</c:v>
                </c:pt>
                <c:pt idx="231">
                  <c:v>1.8774999999999999</c:v>
                </c:pt>
                <c:pt idx="232">
                  <c:v>2.0375000000000001</c:v>
                </c:pt>
                <c:pt idx="233">
                  <c:v>1.7941666666666667</c:v>
                </c:pt>
                <c:pt idx="234">
                  <c:v>1.9091666666666669</c:v>
                </c:pt>
                <c:pt idx="235">
                  <c:v>2.1908333333333334</c:v>
                </c:pt>
                <c:pt idx="236">
                  <c:v>2.3025000000000002</c:v>
                </c:pt>
                <c:pt idx="237">
                  <c:v>2.2641666666666667</c:v>
                </c:pt>
                <c:pt idx="238">
                  <c:v>2.2108333333333334</c:v>
                </c:pt>
                <c:pt idx="239">
                  <c:v>2.3925000000000001</c:v>
                </c:pt>
                <c:pt idx="240">
                  <c:v>1.9308333333333334</c:v>
                </c:pt>
                <c:pt idx="241">
                  <c:v>1.8825000000000001</c:v>
                </c:pt>
                <c:pt idx="242">
                  <c:v>1.9708333333333334</c:v>
                </c:pt>
                <c:pt idx="243">
                  <c:v>1.8608333333333336</c:v>
                </c:pt>
                <c:pt idx="244">
                  <c:v>2.1841666666666666</c:v>
                </c:pt>
                <c:pt idx="318" formatCode="General">
                  <c:v>1.9575</c:v>
                </c:pt>
                <c:pt idx="319" formatCode="General">
                  <c:v>1.4256666666666666</c:v>
                </c:pt>
                <c:pt idx="320" formatCode="General">
                  <c:v>1.5658333333333334</c:v>
                </c:pt>
                <c:pt idx="321" formatCode="General">
                  <c:v>1.1363333333333334</c:v>
                </c:pt>
                <c:pt idx="322" formatCode="General">
                  <c:v>0.79083333333333328</c:v>
                </c:pt>
                <c:pt idx="323" formatCode="General">
                  <c:v>1.6741666666666666</c:v>
                </c:pt>
                <c:pt idx="324" formatCode="General">
                  <c:v>1.0703333333333334</c:v>
                </c:pt>
                <c:pt idx="325" formatCode="General">
                  <c:v>1.3246666666666667</c:v>
                </c:pt>
                <c:pt idx="326" formatCode="General">
                  <c:v>1.2629999999999999</c:v>
                </c:pt>
                <c:pt idx="327" formatCode="General">
                  <c:v>0.65849999999999997</c:v>
                </c:pt>
                <c:pt idx="328" formatCode="General">
                  <c:v>0.85166666666666668</c:v>
                </c:pt>
                <c:pt idx="329" formatCode="General">
                  <c:v>0.72950000000000004</c:v>
                </c:pt>
                <c:pt idx="330" formatCode="General">
                  <c:v>0.78433333333333333</c:v>
                </c:pt>
                <c:pt idx="331" formatCode="General">
                  <c:v>0.93366666666666664</c:v>
                </c:pt>
                <c:pt idx="332" formatCode="General">
                  <c:v>0.99449999999999994</c:v>
                </c:pt>
                <c:pt idx="333" formatCode="General">
                  <c:v>0.54899999999999993</c:v>
                </c:pt>
                <c:pt idx="334" formatCode="General">
                  <c:v>0.90016666666666667</c:v>
                </c:pt>
                <c:pt idx="335" formatCode="General">
                  <c:v>3.0958333333333337</c:v>
                </c:pt>
                <c:pt idx="336" formatCode="General">
                  <c:v>1.355</c:v>
                </c:pt>
                <c:pt idx="337" formatCode="General">
                  <c:v>1.0629999999999999</c:v>
                </c:pt>
                <c:pt idx="338" formatCode="General">
                  <c:v>2.1291666666666664</c:v>
                </c:pt>
                <c:pt idx="339" formatCode="General">
                  <c:v>2.5408333333333335</c:v>
                </c:pt>
                <c:pt idx="340" formatCode="General">
                  <c:v>1.3196666666666665</c:v>
                </c:pt>
                <c:pt idx="341" formatCode="General">
                  <c:v>1.9491666666666669</c:v>
                </c:pt>
                <c:pt idx="342" formatCode="General">
                  <c:v>1.2749999999999999</c:v>
                </c:pt>
                <c:pt idx="343" formatCode="General">
                  <c:v>1.7475000000000001</c:v>
                </c:pt>
                <c:pt idx="344" formatCode="General">
                  <c:v>2.0958333333333332</c:v>
                </c:pt>
                <c:pt idx="345" formatCode="General">
                  <c:v>2.0325000000000002</c:v>
                </c:pt>
                <c:pt idx="346" formatCode="General">
                  <c:v>1.1988333333333334</c:v>
                </c:pt>
                <c:pt idx="347" formatCode="General">
                  <c:v>1.181</c:v>
                </c:pt>
                <c:pt idx="348" formatCode="General">
                  <c:v>1.7491666666666668</c:v>
                </c:pt>
                <c:pt idx="349" formatCode="General">
                  <c:v>3.0108333333333337</c:v>
                </c:pt>
                <c:pt idx="350" formatCode="General">
                  <c:v>1.5081666666666667</c:v>
                </c:pt>
                <c:pt idx="351" formatCode="General">
                  <c:v>0.74833333333333329</c:v>
                </c:pt>
                <c:pt idx="352" formatCode="General">
                  <c:v>0.98483333333333323</c:v>
                </c:pt>
                <c:pt idx="353" formatCode="General">
                  <c:v>1.1596666666666666</c:v>
                </c:pt>
                <c:pt idx="354" formatCode="General">
                  <c:v>0.96733333333333338</c:v>
                </c:pt>
                <c:pt idx="355" formatCode="General">
                  <c:v>1.4604999999999999</c:v>
                </c:pt>
                <c:pt idx="356" formatCode="General">
                  <c:v>1.7608333333333335</c:v>
                </c:pt>
                <c:pt idx="357" formatCode="General">
                  <c:v>1.3866666666666667</c:v>
                </c:pt>
                <c:pt idx="358" formatCode="General">
                  <c:v>0.92316666666666669</c:v>
                </c:pt>
                <c:pt idx="359" formatCode="General">
                  <c:v>1.1678333333333333</c:v>
                </c:pt>
                <c:pt idx="360" formatCode="General">
                  <c:v>1.0701666666666667</c:v>
                </c:pt>
                <c:pt idx="361" formatCode="General">
                  <c:v>1.1739999999999999</c:v>
                </c:pt>
                <c:pt idx="362" formatCode="General">
                  <c:v>0.66016666666666668</c:v>
                </c:pt>
                <c:pt idx="363" formatCode="General">
                  <c:v>1.7691666666666668</c:v>
                </c:pt>
                <c:pt idx="364" formatCode="General">
                  <c:v>2.1308333333333334</c:v>
                </c:pt>
                <c:pt idx="365" formatCode="General">
                  <c:v>2.3925000000000001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Data!$AD$7:$AD$372</c:f>
              <c:numCache>
                <c:formatCode>0.00</c:formatCode>
                <c:ptCount val="366"/>
                <c:pt idx="165">
                  <c:v>5.6074999999999999</c:v>
                </c:pt>
                <c:pt idx="166">
                  <c:v>5.2874999999999996</c:v>
                </c:pt>
                <c:pt idx="167">
                  <c:v>4.1808333333333332</c:v>
                </c:pt>
                <c:pt idx="168">
                  <c:v>3.8875000000000002</c:v>
                </c:pt>
                <c:pt idx="169">
                  <c:v>6.7275</c:v>
                </c:pt>
                <c:pt idx="170">
                  <c:v>5.6608333333333336</c:v>
                </c:pt>
                <c:pt idx="171">
                  <c:v>4.9408333333333339</c:v>
                </c:pt>
                <c:pt idx="172">
                  <c:v>3.8608333333333333</c:v>
                </c:pt>
                <c:pt idx="173">
                  <c:v>3.0208333333333335</c:v>
                </c:pt>
                <c:pt idx="174">
                  <c:v>4.1941666666666668</c:v>
                </c:pt>
                <c:pt idx="175">
                  <c:v>3.2741666666666669</c:v>
                </c:pt>
                <c:pt idx="176">
                  <c:v>5.2874999999999996</c:v>
                </c:pt>
                <c:pt idx="177">
                  <c:v>4.7141666666666673</c:v>
                </c:pt>
                <c:pt idx="178">
                  <c:v>6.0875000000000004</c:v>
                </c:pt>
                <c:pt idx="179">
                  <c:v>6.8075000000000001</c:v>
                </c:pt>
                <c:pt idx="180">
                  <c:v>4.7675000000000001</c:v>
                </c:pt>
                <c:pt idx="181">
                  <c:v>5.3141666666666669</c:v>
                </c:pt>
                <c:pt idx="182">
                  <c:v>4.8341666666666665</c:v>
                </c:pt>
                <c:pt idx="183">
                  <c:v>6.5408333333333326</c:v>
                </c:pt>
                <c:pt idx="184">
                  <c:v>5.6875</c:v>
                </c:pt>
                <c:pt idx="185">
                  <c:v>6.6608333333333327</c:v>
                </c:pt>
                <c:pt idx="186">
                  <c:v>5.7675000000000001</c:v>
                </c:pt>
                <c:pt idx="187">
                  <c:v>5.8208333333333329</c:v>
                </c:pt>
                <c:pt idx="188">
                  <c:v>4.4074999999999998</c:v>
                </c:pt>
                <c:pt idx="189">
                  <c:v>5.4874999999999998</c:v>
                </c:pt>
                <c:pt idx="190">
                  <c:v>6.6475</c:v>
                </c:pt>
                <c:pt idx="191">
                  <c:v>5.8608333333333329</c:v>
                </c:pt>
                <c:pt idx="192">
                  <c:v>4.6741666666666664</c:v>
                </c:pt>
                <c:pt idx="193">
                  <c:v>5.2074999999999996</c:v>
                </c:pt>
                <c:pt idx="194">
                  <c:v>4.7941666666666674</c:v>
                </c:pt>
                <c:pt idx="195">
                  <c:v>5.2341666666666669</c:v>
                </c:pt>
                <c:pt idx="196">
                  <c:v>5.8475000000000001</c:v>
                </c:pt>
                <c:pt idx="197">
                  <c:v>5.2874999999999996</c:v>
                </c:pt>
                <c:pt idx="198">
                  <c:v>6.7408333333333328</c:v>
                </c:pt>
                <c:pt idx="211">
                  <c:v>6.5808333333333326</c:v>
                </c:pt>
                <c:pt idx="212">
                  <c:v>5.6875</c:v>
                </c:pt>
                <c:pt idx="213">
                  <c:v>5.6741666666666664</c:v>
                </c:pt>
                <c:pt idx="214">
                  <c:v>4.8341666666666665</c:v>
                </c:pt>
                <c:pt idx="215">
                  <c:v>5.7008333333333336</c:v>
                </c:pt>
                <c:pt idx="216">
                  <c:v>6.1008333333333322</c:v>
                </c:pt>
                <c:pt idx="217">
                  <c:v>4.8475000000000001</c:v>
                </c:pt>
                <c:pt idx="218">
                  <c:v>4.6875</c:v>
                </c:pt>
                <c:pt idx="219">
                  <c:v>3.9008333333333338</c:v>
                </c:pt>
                <c:pt idx="220">
                  <c:v>4.7408333333333337</c:v>
                </c:pt>
                <c:pt idx="221">
                  <c:v>4.7275</c:v>
                </c:pt>
                <c:pt idx="222">
                  <c:v>4.8341666666666665</c:v>
                </c:pt>
                <c:pt idx="223">
                  <c:v>9.4875000000000007</c:v>
                </c:pt>
                <c:pt idx="224">
                  <c:v>5.3274999999999997</c:v>
                </c:pt>
                <c:pt idx="225">
                  <c:v>4.5674999999999999</c:v>
                </c:pt>
                <c:pt idx="226">
                  <c:v>5.5008333333333335</c:v>
                </c:pt>
                <c:pt idx="227">
                  <c:v>5.0875000000000004</c:v>
                </c:pt>
                <c:pt idx="228">
                  <c:v>5.3008333333333333</c:v>
                </c:pt>
                <c:pt idx="229">
                  <c:v>5.8075000000000001</c:v>
                </c:pt>
                <c:pt idx="230">
                  <c:v>4.6475</c:v>
                </c:pt>
                <c:pt idx="231">
                  <c:v>4.8341666666666665</c:v>
                </c:pt>
                <c:pt idx="232">
                  <c:v>5.3408333333333333</c:v>
                </c:pt>
                <c:pt idx="233">
                  <c:v>4.8341666666666665</c:v>
                </c:pt>
                <c:pt idx="234">
                  <c:v>4.3941666666666661</c:v>
                </c:pt>
                <c:pt idx="235">
                  <c:v>4.5274999999999999</c:v>
                </c:pt>
                <c:pt idx="236">
                  <c:v>4.7808333333333337</c:v>
                </c:pt>
                <c:pt idx="237">
                  <c:v>5.0075000000000003</c:v>
                </c:pt>
                <c:pt idx="238">
                  <c:v>4.2208333333333332</c:v>
                </c:pt>
                <c:pt idx="239">
                  <c:v>4.9675000000000002</c:v>
                </c:pt>
                <c:pt idx="240">
                  <c:v>4.7275</c:v>
                </c:pt>
                <c:pt idx="241">
                  <c:v>4.2874999999999996</c:v>
                </c:pt>
                <c:pt idx="242">
                  <c:v>6.394166666666667</c:v>
                </c:pt>
                <c:pt idx="243">
                  <c:v>4.5808333333333335</c:v>
                </c:pt>
                <c:pt idx="244">
                  <c:v>6.7941666666666665</c:v>
                </c:pt>
                <c:pt idx="318" formatCode="General">
                  <c:v>3.4075000000000002</c:v>
                </c:pt>
                <c:pt idx="319" formatCode="General">
                  <c:v>3.3008333333333337</c:v>
                </c:pt>
                <c:pt idx="320" formatCode="General">
                  <c:v>4.5674999999999999</c:v>
                </c:pt>
                <c:pt idx="321" formatCode="General">
                  <c:v>5.6608333333333336</c:v>
                </c:pt>
                <c:pt idx="322" formatCode="General">
                  <c:v>2.4874999999999998</c:v>
                </c:pt>
                <c:pt idx="323" formatCode="General">
                  <c:v>3.9808333333333334</c:v>
                </c:pt>
                <c:pt idx="324" formatCode="General">
                  <c:v>2.8475000000000001</c:v>
                </c:pt>
                <c:pt idx="325" formatCode="General">
                  <c:v>2.5808333333333335</c:v>
                </c:pt>
                <c:pt idx="326" formatCode="General">
                  <c:v>2.9541666666666671</c:v>
                </c:pt>
                <c:pt idx="327" formatCode="General">
                  <c:v>2.0341666666666667</c:v>
                </c:pt>
                <c:pt idx="328" formatCode="General">
                  <c:v>2.7008333333333336</c:v>
                </c:pt>
                <c:pt idx="329" formatCode="General">
                  <c:v>2.4608333333333334</c:v>
                </c:pt>
                <c:pt idx="330" formatCode="General">
                  <c:v>2.6741666666666668</c:v>
                </c:pt>
                <c:pt idx="331" formatCode="General">
                  <c:v>3.2608333333333333</c:v>
                </c:pt>
                <c:pt idx="332" formatCode="General">
                  <c:v>2.5674999999999999</c:v>
                </c:pt>
                <c:pt idx="333" formatCode="General">
                  <c:v>2.0741666666666667</c:v>
                </c:pt>
                <c:pt idx="334" formatCode="General">
                  <c:v>3.2741666666666669</c:v>
                </c:pt>
                <c:pt idx="335" formatCode="General">
                  <c:v>6.1941666666666659</c:v>
                </c:pt>
                <c:pt idx="336" formatCode="General">
                  <c:v>3.8341666666666669</c:v>
                </c:pt>
                <c:pt idx="337" formatCode="General">
                  <c:v>2.7008333333333336</c:v>
                </c:pt>
                <c:pt idx="338" formatCode="General">
                  <c:v>6.8741666666666656</c:v>
                </c:pt>
                <c:pt idx="339" formatCode="General">
                  <c:v>6.314166666666666</c:v>
                </c:pt>
                <c:pt idx="340" formatCode="General">
                  <c:v>3.8341666666666669</c:v>
                </c:pt>
                <c:pt idx="341" formatCode="General">
                  <c:v>5.9008333333333329</c:v>
                </c:pt>
                <c:pt idx="342" formatCode="General">
                  <c:v>6.1675000000000004</c:v>
                </c:pt>
                <c:pt idx="343" formatCode="General">
                  <c:v>4.7941666666666674</c:v>
                </c:pt>
                <c:pt idx="344" formatCode="General">
                  <c:v>6.5008333333333335</c:v>
                </c:pt>
                <c:pt idx="345" formatCode="General">
                  <c:v>6.314166666666666</c:v>
                </c:pt>
                <c:pt idx="346" formatCode="General">
                  <c:v>3.4741666666666666</c:v>
                </c:pt>
                <c:pt idx="347" formatCode="General">
                  <c:v>3.2341666666666673</c:v>
                </c:pt>
                <c:pt idx="348" formatCode="General">
                  <c:v>5.0875000000000004</c:v>
                </c:pt>
                <c:pt idx="349" formatCode="General">
                  <c:v>6.2608333333333324</c:v>
                </c:pt>
                <c:pt idx="350" formatCode="General">
                  <c:v>4.4874999999999998</c:v>
                </c:pt>
                <c:pt idx="351" formatCode="General">
                  <c:v>2.4874999999999998</c:v>
                </c:pt>
                <c:pt idx="352" formatCode="General">
                  <c:v>2.6208333333333336</c:v>
                </c:pt>
                <c:pt idx="353" formatCode="General">
                  <c:v>3.5408333333333339</c:v>
                </c:pt>
                <c:pt idx="354" formatCode="General">
                  <c:v>2.6074999999999999</c:v>
                </c:pt>
                <c:pt idx="355" formatCode="General">
                  <c:v>3.1141666666666667</c:v>
                </c:pt>
                <c:pt idx="356" formatCode="General">
                  <c:v>4.0475000000000003</c:v>
                </c:pt>
                <c:pt idx="357" formatCode="General">
                  <c:v>3.5541666666666667</c:v>
                </c:pt>
                <c:pt idx="358" formatCode="General">
                  <c:v>2.7141666666666668</c:v>
                </c:pt>
                <c:pt idx="359" formatCode="General">
                  <c:v>2.8341666666666669</c:v>
                </c:pt>
                <c:pt idx="360" formatCode="General">
                  <c:v>2.1408333333333331</c:v>
                </c:pt>
                <c:pt idx="361" formatCode="General">
                  <c:v>3.3941666666666666</c:v>
                </c:pt>
                <c:pt idx="362" formatCode="General">
                  <c:v>2.2341666666666669</c:v>
                </c:pt>
                <c:pt idx="363" formatCode="General">
                  <c:v>4.020833333333333</c:v>
                </c:pt>
                <c:pt idx="364" formatCode="General">
                  <c:v>7.1408333333333331</c:v>
                </c:pt>
                <c:pt idx="365" formatCode="General">
                  <c:v>7.0741666666666667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81216"/>
        <c:axId val="235883136"/>
      </c:lineChart>
      <c:catAx>
        <c:axId val="23588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88313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35883136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88121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Data!$B$159:$B$311</c:f>
              <c:numCache>
                <c:formatCode>General</c:formatCode>
                <c:ptCount val="153"/>
                <c:pt idx="0">
                  <c:v>153</c:v>
                </c:pt>
                <c:pt idx="1">
                  <c:v>154</c:v>
                </c:pt>
                <c:pt idx="2">
                  <c:v>155</c:v>
                </c:pt>
                <c:pt idx="3">
                  <c:v>156</c:v>
                </c:pt>
                <c:pt idx="4">
                  <c:v>157</c:v>
                </c:pt>
                <c:pt idx="5">
                  <c:v>158</c:v>
                </c:pt>
                <c:pt idx="6">
                  <c:v>159</c:v>
                </c:pt>
                <c:pt idx="7">
                  <c:v>160</c:v>
                </c:pt>
                <c:pt idx="8">
                  <c:v>161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166</c:v>
                </c:pt>
                <c:pt idx="14">
                  <c:v>167</c:v>
                </c:pt>
                <c:pt idx="15">
                  <c:v>168</c:v>
                </c:pt>
                <c:pt idx="16">
                  <c:v>169</c:v>
                </c:pt>
                <c:pt idx="17">
                  <c:v>170</c:v>
                </c:pt>
                <c:pt idx="18">
                  <c:v>171</c:v>
                </c:pt>
                <c:pt idx="19">
                  <c:v>172</c:v>
                </c:pt>
                <c:pt idx="20">
                  <c:v>173</c:v>
                </c:pt>
                <c:pt idx="21">
                  <c:v>174</c:v>
                </c:pt>
                <c:pt idx="22">
                  <c:v>175</c:v>
                </c:pt>
                <c:pt idx="23">
                  <c:v>176</c:v>
                </c:pt>
                <c:pt idx="24">
                  <c:v>177</c:v>
                </c:pt>
                <c:pt idx="25">
                  <c:v>178</c:v>
                </c:pt>
                <c:pt idx="26">
                  <c:v>179</c:v>
                </c:pt>
                <c:pt idx="27">
                  <c:v>180</c:v>
                </c:pt>
                <c:pt idx="28">
                  <c:v>181</c:v>
                </c:pt>
                <c:pt idx="29">
                  <c:v>182</c:v>
                </c:pt>
                <c:pt idx="30">
                  <c:v>183</c:v>
                </c:pt>
                <c:pt idx="31">
                  <c:v>184</c:v>
                </c:pt>
                <c:pt idx="32">
                  <c:v>185</c:v>
                </c:pt>
                <c:pt idx="33">
                  <c:v>186</c:v>
                </c:pt>
                <c:pt idx="34">
                  <c:v>187</c:v>
                </c:pt>
                <c:pt idx="35">
                  <c:v>188</c:v>
                </c:pt>
                <c:pt idx="36">
                  <c:v>189</c:v>
                </c:pt>
                <c:pt idx="37">
                  <c:v>190</c:v>
                </c:pt>
                <c:pt idx="38">
                  <c:v>191</c:v>
                </c:pt>
                <c:pt idx="39">
                  <c:v>192</c:v>
                </c:pt>
                <c:pt idx="40">
                  <c:v>193</c:v>
                </c:pt>
                <c:pt idx="41">
                  <c:v>194</c:v>
                </c:pt>
                <c:pt idx="42">
                  <c:v>195</c:v>
                </c:pt>
                <c:pt idx="43">
                  <c:v>196</c:v>
                </c:pt>
                <c:pt idx="44">
                  <c:v>197</c:v>
                </c:pt>
                <c:pt idx="45">
                  <c:v>198</c:v>
                </c:pt>
                <c:pt idx="46">
                  <c:v>199</c:v>
                </c:pt>
                <c:pt idx="47">
                  <c:v>200</c:v>
                </c:pt>
                <c:pt idx="48">
                  <c:v>201</c:v>
                </c:pt>
                <c:pt idx="49">
                  <c:v>202</c:v>
                </c:pt>
                <c:pt idx="50">
                  <c:v>203</c:v>
                </c:pt>
                <c:pt idx="51">
                  <c:v>204</c:v>
                </c:pt>
                <c:pt idx="52">
                  <c:v>205</c:v>
                </c:pt>
                <c:pt idx="53">
                  <c:v>206</c:v>
                </c:pt>
                <c:pt idx="54">
                  <c:v>207</c:v>
                </c:pt>
                <c:pt idx="55">
                  <c:v>208</c:v>
                </c:pt>
                <c:pt idx="56">
                  <c:v>209</c:v>
                </c:pt>
                <c:pt idx="57">
                  <c:v>210</c:v>
                </c:pt>
                <c:pt idx="58">
                  <c:v>211</c:v>
                </c:pt>
                <c:pt idx="59">
                  <c:v>212</c:v>
                </c:pt>
                <c:pt idx="60">
                  <c:v>213</c:v>
                </c:pt>
                <c:pt idx="61">
                  <c:v>214</c:v>
                </c:pt>
                <c:pt idx="62">
                  <c:v>215</c:v>
                </c:pt>
                <c:pt idx="63">
                  <c:v>216</c:v>
                </c:pt>
                <c:pt idx="64">
                  <c:v>217</c:v>
                </c:pt>
                <c:pt idx="65">
                  <c:v>218</c:v>
                </c:pt>
                <c:pt idx="66">
                  <c:v>219</c:v>
                </c:pt>
                <c:pt idx="67">
                  <c:v>220</c:v>
                </c:pt>
                <c:pt idx="68">
                  <c:v>221</c:v>
                </c:pt>
                <c:pt idx="69">
                  <c:v>222</c:v>
                </c:pt>
                <c:pt idx="70">
                  <c:v>223</c:v>
                </c:pt>
                <c:pt idx="71">
                  <c:v>224</c:v>
                </c:pt>
                <c:pt idx="72">
                  <c:v>225</c:v>
                </c:pt>
                <c:pt idx="73">
                  <c:v>226</c:v>
                </c:pt>
                <c:pt idx="74">
                  <c:v>227</c:v>
                </c:pt>
                <c:pt idx="75">
                  <c:v>228</c:v>
                </c:pt>
                <c:pt idx="76">
                  <c:v>229</c:v>
                </c:pt>
                <c:pt idx="77">
                  <c:v>230</c:v>
                </c:pt>
                <c:pt idx="78">
                  <c:v>231</c:v>
                </c:pt>
                <c:pt idx="79">
                  <c:v>232</c:v>
                </c:pt>
                <c:pt idx="80">
                  <c:v>233</c:v>
                </c:pt>
                <c:pt idx="81">
                  <c:v>234</c:v>
                </c:pt>
                <c:pt idx="82">
                  <c:v>235</c:v>
                </c:pt>
                <c:pt idx="83">
                  <c:v>236</c:v>
                </c:pt>
                <c:pt idx="84">
                  <c:v>237</c:v>
                </c:pt>
                <c:pt idx="85">
                  <c:v>238</c:v>
                </c:pt>
                <c:pt idx="86">
                  <c:v>239</c:v>
                </c:pt>
                <c:pt idx="87">
                  <c:v>240</c:v>
                </c:pt>
                <c:pt idx="88">
                  <c:v>241</c:v>
                </c:pt>
                <c:pt idx="89">
                  <c:v>242</c:v>
                </c:pt>
                <c:pt idx="90">
                  <c:v>243</c:v>
                </c:pt>
                <c:pt idx="91">
                  <c:v>244</c:v>
                </c:pt>
                <c:pt idx="92">
                  <c:v>245</c:v>
                </c:pt>
                <c:pt idx="93">
                  <c:v>246</c:v>
                </c:pt>
                <c:pt idx="94">
                  <c:v>247</c:v>
                </c:pt>
                <c:pt idx="95">
                  <c:v>248</c:v>
                </c:pt>
                <c:pt idx="96">
                  <c:v>249</c:v>
                </c:pt>
                <c:pt idx="97">
                  <c:v>250</c:v>
                </c:pt>
                <c:pt idx="98">
                  <c:v>251</c:v>
                </c:pt>
                <c:pt idx="99">
                  <c:v>252</c:v>
                </c:pt>
                <c:pt idx="100">
                  <c:v>253</c:v>
                </c:pt>
                <c:pt idx="101">
                  <c:v>254</c:v>
                </c:pt>
                <c:pt idx="102">
                  <c:v>255</c:v>
                </c:pt>
                <c:pt idx="103">
                  <c:v>256</c:v>
                </c:pt>
                <c:pt idx="104">
                  <c:v>257</c:v>
                </c:pt>
                <c:pt idx="105">
                  <c:v>258</c:v>
                </c:pt>
                <c:pt idx="106">
                  <c:v>259</c:v>
                </c:pt>
                <c:pt idx="107">
                  <c:v>260</c:v>
                </c:pt>
                <c:pt idx="108">
                  <c:v>261</c:v>
                </c:pt>
                <c:pt idx="109">
                  <c:v>262</c:v>
                </c:pt>
                <c:pt idx="110">
                  <c:v>263</c:v>
                </c:pt>
                <c:pt idx="111">
                  <c:v>264</c:v>
                </c:pt>
                <c:pt idx="112">
                  <c:v>265</c:v>
                </c:pt>
                <c:pt idx="113">
                  <c:v>266</c:v>
                </c:pt>
                <c:pt idx="114">
                  <c:v>267</c:v>
                </c:pt>
                <c:pt idx="115">
                  <c:v>268</c:v>
                </c:pt>
                <c:pt idx="116">
                  <c:v>269</c:v>
                </c:pt>
                <c:pt idx="117">
                  <c:v>270</c:v>
                </c:pt>
                <c:pt idx="118">
                  <c:v>271</c:v>
                </c:pt>
                <c:pt idx="119">
                  <c:v>272</c:v>
                </c:pt>
                <c:pt idx="120">
                  <c:v>273</c:v>
                </c:pt>
                <c:pt idx="121">
                  <c:v>274</c:v>
                </c:pt>
                <c:pt idx="122">
                  <c:v>275</c:v>
                </c:pt>
                <c:pt idx="123">
                  <c:v>276</c:v>
                </c:pt>
                <c:pt idx="124">
                  <c:v>277</c:v>
                </c:pt>
                <c:pt idx="125">
                  <c:v>278</c:v>
                </c:pt>
                <c:pt idx="126">
                  <c:v>279</c:v>
                </c:pt>
                <c:pt idx="127">
                  <c:v>280</c:v>
                </c:pt>
                <c:pt idx="128">
                  <c:v>281</c:v>
                </c:pt>
                <c:pt idx="129">
                  <c:v>282</c:v>
                </c:pt>
                <c:pt idx="130">
                  <c:v>283</c:v>
                </c:pt>
                <c:pt idx="131">
                  <c:v>284</c:v>
                </c:pt>
                <c:pt idx="132">
                  <c:v>285</c:v>
                </c:pt>
                <c:pt idx="133">
                  <c:v>286</c:v>
                </c:pt>
                <c:pt idx="134">
                  <c:v>287</c:v>
                </c:pt>
                <c:pt idx="135">
                  <c:v>288</c:v>
                </c:pt>
                <c:pt idx="136">
                  <c:v>289</c:v>
                </c:pt>
                <c:pt idx="137">
                  <c:v>290</c:v>
                </c:pt>
                <c:pt idx="138">
                  <c:v>291</c:v>
                </c:pt>
                <c:pt idx="139">
                  <c:v>292</c:v>
                </c:pt>
                <c:pt idx="140">
                  <c:v>293</c:v>
                </c:pt>
                <c:pt idx="141">
                  <c:v>294</c:v>
                </c:pt>
                <c:pt idx="142">
                  <c:v>295</c:v>
                </c:pt>
                <c:pt idx="143">
                  <c:v>296</c:v>
                </c:pt>
                <c:pt idx="144">
                  <c:v>297</c:v>
                </c:pt>
                <c:pt idx="145">
                  <c:v>298</c:v>
                </c:pt>
                <c:pt idx="146">
                  <c:v>299</c:v>
                </c:pt>
                <c:pt idx="147">
                  <c:v>300</c:v>
                </c:pt>
                <c:pt idx="148">
                  <c:v>301</c:v>
                </c:pt>
                <c:pt idx="149">
                  <c:v>302</c:v>
                </c:pt>
                <c:pt idx="150">
                  <c:v>303</c:v>
                </c:pt>
                <c:pt idx="151">
                  <c:v>304</c:v>
                </c:pt>
                <c:pt idx="152">
                  <c:v>305</c:v>
                </c:pt>
              </c:numCache>
            </c:numRef>
          </c:cat>
          <c:val>
            <c:numRef>
              <c:f>Data!$Q$159:$Q$311</c:f>
              <c:numCache>
                <c:formatCode>General</c:formatCode>
                <c:ptCount val="153"/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6</c:v>
                </c:pt>
                <c:pt idx="17">
                  <c:v>9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10</c:v>
                </c:pt>
                <c:pt idx="23">
                  <c:v>14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</c:v>
                </c:pt>
                <c:pt idx="63">
                  <c:v>9</c:v>
                </c:pt>
                <c:pt idx="64">
                  <c:v>29</c:v>
                </c:pt>
                <c:pt idx="65">
                  <c:v>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13</c:v>
                </c:pt>
                <c:pt idx="91">
                  <c:v>7</c:v>
                </c:pt>
                <c:pt idx="9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329984"/>
        <c:axId val="236336256"/>
      </c:barChart>
      <c:catAx>
        <c:axId val="23632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3625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336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29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</a:t>
            </a:r>
            <a:r>
              <a:rPr lang="en-US" baseline="0"/>
              <a:t> </a:t>
            </a:r>
            <a:r>
              <a:rPr lang="en-US"/>
              <a:t>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Data!$BQ$7:$BQ$372</c:f>
              <c:numCache>
                <c:formatCode>0.000</c:formatCode>
                <c:ptCount val="366"/>
                <c:pt idx="0">
                  <c:v>0.3</c:v>
                </c:pt>
                <c:pt idx="1">
                  <c:v>0.35199999999999998</c:v>
                </c:pt>
                <c:pt idx="2">
                  <c:v>0.44400000000000001</c:v>
                </c:pt>
                <c:pt idx="3">
                  <c:v>0.16500000000000001</c:v>
                </c:pt>
                <c:pt idx="4">
                  <c:v>0.28899999999999998</c:v>
                </c:pt>
                <c:pt idx="5">
                  <c:v>0.218</c:v>
                </c:pt>
                <c:pt idx="6">
                  <c:v>0.27100000000000002</c:v>
                </c:pt>
                <c:pt idx="7">
                  <c:v>0.45</c:v>
                </c:pt>
                <c:pt idx="8">
                  <c:v>0.307</c:v>
                </c:pt>
                <c:pt idx="9">
                  <c:v>0.20599999999999999</c:v>
                </c:pt>
                <c:pt idx="10">
                  <c:v>0.40799999999999997</c:v>
                </c:pt>
                <c:pt idx="11">
                  <c:v>0.45</c:v>
                </c:pt>
                <c:pt idx="12">
                  <c:v>0.53200000000000003</c:v>
                </c:pt>
                <c:pt idx="13">
                  <c:v>0.218</c:v>
                </c:pt>
                <c:pt idx="14">
                  <c:v>0.30299999999999999</c:v>
                </c:pt>
                <c:pt idx="15">
                  <c:v>0.48299999999999998</c:v>
                </c:pt>
                <c:pt idx="16">
                  <c:v>0.25800000000000001</c:v>
                </c:pt>
                <c:pt idx="17">
                  <c:v>0.26200000000000001</c:v>
                </c:pt>
                <c:pt idx="18">
                  <c:v>0.155</c:v>
                </c:pt>
                <c:pt idx="19">
                  <c:v>0.158</c:v>
                </c:pt>
                <c:pt idx="20">
                  <c:v>0.22800000000000001</c:v>
                </c:pt>
                <c:pt idx="21">
                  <c:v>0.29299999999999998</c:v>
                </c:pt>
                <c:pt idx="22">
                  <c:v>0.23200000000000001</c:v>
                </c:pt>
                <c:pt idx="23">
                  <c:v>0.251</c:v>
                </c:pt>
                <c:pt idx="24">
                  <c:v>0.23499999999999999</c:v>
                </c:pt>
                <c:pt idx="25">
                  <c:v>0.33900000000000002</c:v>
                </c:pt>
                <c:pt idx="26">
                  <c:v>0.182</c:v>
                </c:pt>
                <c:pt idx="27">
                  <c:v>0.126</c:v>
                </c:pt>
                <c:pt idx="28">
                  <c:v>9.0999999999999998E-2</c:v>
                </c:pt>
                <c:pt idx="29">
                  <c:v>0.309</c:v>
                </c:pt>
                <c:pt idx="30">
                  <c:v>0.30099999999999999</c:v>
                </c:pt>
                <c:pt idx="31">
                  <c:v>0.253</c:v>
                </c:pt>
                <c:pt idx="32">
                  <c:v>0.3</c:v>
                </c:pt>
                <c:pt idx="33">
                  <c:v>0.18099999999999999</c:v>
                </c:pt>
                <c:pt idx="34">
                  <c:v>0.25600000000000001</c:v>
                </c:pt>
                <c:pt idx="35">
                  <c:v>0.32900000000000001</c:v>
                </c:pt>
                <c:pt idx="36">
                  <c:v>0.29899999999999999</c:v>
                </c:pt>
                <c:pt idx="37">
                  <c:v>0.14000000000000001</c:v>
                </c:pt>
                <c:pt idx="38">
                  <c:v>0.16600000000000001</c:v>
                </c:pt>
                <c:pt idx="39">
                  <c:v>0.46400000000000002</c:v>
                </c:pt>
                <c:pt idx="40">
                  <c:v>0.54500000000000004</c:v>
                </c:pt>
                <c:pt idx="41">
                  <c:v>0.70099999999999996</c:v>
                </c:pt>
                <c:pt idx="42">
                  <c:v>0.92700000000000005</c:v>
                </c:pt>
                <c:pt idx="43">
                  <c:v>0.58199999999999996</c:v>
                </c:pt>
                <c:pt idx="44">
                  <c:v>0.58199999999999996</c:v>
                </c:pt>
                <c:pt idx="45">
                  <c:v>0.92200000000000004</c:v>
                </c:pt>
                <c:pt idx="46">
                  <c:v>0.90500000000000003</c:v>
                </c:pt>
                <c:pt idx="47">
                  <c:v>0.215</c:v>
                </c:pt>
                <c:pt idx="48">
                  <c:v>0.311</c:v>
                </c:pt>
                <c:pt idx="49">
                  <c:v>0.219</c:v>
                </c:pt>
                <c:pt idx="50">
                  <c:v>0.18099999999999999</c:v>
                </c:pt>
                <c:pt idx="51">
                  <c:v>0.22800000000000001</c:v>
                </c:pt>
                <c:pt idx="52">
                  <c:v>0.13400000000000001</c:v>
                </c:pt>
                <c:pt idx="53">
                  <c:v>0.32</c:v>
                </c:pt>
                <c:pt idx="54">
                  <c:v>0.27800000000000002</c:v>
                </c:pt>
                <c:pt idx="55">
                  <c:v>0.14099999999999999</c:v>
                </c:pt>
                <c:pt idx="56">
                  <c:v>0.26700000000000002</c:v>
                </c:pt>
                <c:pt idx="57">
                  <c:v>0.219</c:v>
                </c:pt>
                <c:pt idx="58">
                  <c:v>0.318</c:v>
                </c:pt>
                <c:pt idx="59">
                  <c:v>0.441</c:v>
                </c:pt>
                <c:pt idx="60">
                  <c:v>0.81</c:v>
                </c:pt>
                <c:pt idx="61">
                  <c:v>0.64600000000000002</c:v>
                </c:pt>
                <c:pt idx="62">
                  <c:v>0.246</c:v>
                </c:pt>
                <c:pt idx="63">
                  <c:v>0.11</c:v>
                </c:pt>
                <c:pt idx="64">
                  <c:v>0.29199999999999998</c:v>
                </c:pt>
                <c:pt idx="65">
                  <c:v>0.35799999999999998</c:v>
                </c:pt>
                <c:pt idx="66">
                  <c:v>0.23599999999999999</c:v>
                </c:pt>
                <c:pt idx="67">
                  <c:v>0.253</c:v>
                </c:pt>
                <c:pt idx="68">
                  <c:v>0.24299999999999999</c:v>
                </c:pt>
                <c:pt idx="69">
                  <c:v>0.27400000000000002</c:v>
                </c:pt>
                <c:pt idx="70">
                  <c:v>0.35099999999999998</c:v>
                </c:pt>
                <c:pt idx="71">
                  <c:v>0.28799999999999998</c:v>
                </c:pt>
                <c:pt idx="72">
                  <c:v>0.47499999999999998</c:v>
                </c:pt>
                <c:pt idx="73">
                  <c:v>0.97899999999999998</c:v>
                </c:pt>
                <c:pt idx="74">
                  <c:v>0.28199999999999997</c:v>
                </c:pt>
                <c:pt idx="75">
                  <c:v>0.14899999999999999</c:v>
                </c:pt>
                <c:pt idx="76">
                  <c:v>0.51400000000000001</c:v>
                </c:pt>
                <c:pt idx="77">
                  <c:v>0.59</c:v>
                </c:pt>
                <c:pt idx="78">
                  <c:v>0.45200000000000001</c:v>
                </c:pt>
                <c:pt idx="79">
                  <c:v>0.53200000000000003</c:v>
                </c:pt>
                <c:pt idx="80">
                  <c:v>0.54</c:v>
                </c:pt>
                <c:pt idx="81">
                  <c:v>0.35499999999999998</c:v>
                </c:pt>
                <c:pt idx="82">
                  <c:v>0.25800000000000001</c:v>
                </c:pt>
                <c:pt idx="83">
                  <c:v>0.27</c:v>
                </c:pt>
                <c:pt idx="84">
                  <c:v>0.58599999999999997</c:v>
                </c:pt>
                <c:pt idx="85">
                  <c:v>0.374</c:v>
                </c:pt>
                <c:pt idx="86">
                  <c:v>0.28799999999999998</c:v>
                </c:pt>
                <c:pt idx="87">
                  <c:v>0.57199999999999995</c:v>
                </c:pt>
                <c:pt idx="88">
                  <c:v>0.32500000000000001</c:v>
                </c:pt>
                <c:pt idx="89">
                  <c:v>0.38600000000000001</c:v>
                </c:pt>
                <c:pt idx="90">
                  <c:v>0.38300000000000001</c:v>
                </c:pt>
                <c:pt idx="91">
                  <c:v>0.29899999999999999</c:v>
                </c:pt>
                <c:pt idx="92">
                  <c:v>0.45100000000000001</c:v>
                </c:pt>
                <c:pt idx="93">
                  <c:v>0.53200000000000003</c:v>
                </c:pt>
                <c:pt idx="94">
                  <c:v>0.72899999999999998</c:v>
                </c:pt>
                <c:pt idx="95">
                  <c:v>0.73199999999999998</c:v>
                </c:pt>
                <c:pt idx="96">
                  <c:v>0.47499999999999998</c:v>
                </c:pt>
                <c:pt idx="97">
                  <c:v>0.72799999999999998</c:v>
                </c:pt>
                <c:pt idx="98">
                  <c:v>1.1759999999999999</c:v>
                </c:pt>
                <c:pt idx="99">
                  <c:v>0.63600000000000001</c:v>
                </c:pt>
                <c:pt idx="100">
                  <c:v>0.52</c:v>
                </c:pt>
                <c:pt idx="101">
                  <c:v>0.29699999999999999</c:v>
                </c:pt>
                <c:pt idx="102">
                  <c:v>0.40300000000000002</c:v>
                </c:pt>
                <c:pt idx="103">
                  <c:v>0.65700000000000003</c:v>
                </c:pt>
                <c:pt idx="104">
                  <c:v>0.67900000000000005</c:v>
                </c:pt>
                <c:pt idx="105">
                  <c:v>0.6</c:v>
                </c:pt>
                <c:pt idx="106">
                  <c:v>0.45100000000000001</c:v>
                </c:pt>
                <c:pt idx="107">
                  <c:v>0.44</c:v>
                </c:pt>
                <c:pt idx="108">
                  <c:v>0.32300000000000001</c:v>
                </c:pt>
                <c:pt idx="109">
                  <c:v>0.61899999999999999</c:v>
                </c:pt>
                <c:pt idx="110">
                  <c:v>0.75600000000000001</c:v>
                </c:pt>
                <c:pt idx="111">
                  <c:v>0.65</c:v>
                </c:pt>
                <c:pt idx="112">
                  <c:v>0.38700000000000001</c:v>
                </c:pt>
                <c:pt idx="113">
                  <c:v>0.27600000000000002</c:v>
                </c:pt>
                <c:pt idx="114">
                  <c:v>0.28799999999999998</c:v>
                </c:pt>
                <c:pt idx="115">
                  <c:v>0.26600000000000001</c:v>
                </c:pt>
                <c:pt idx="116">
                  <c:v>0.307</c:v>
                </c:pt>
                <c:pt idx="117">
                  <c:v>0.44600000000000001</c:v>
                </c:pt>
                <c:pt idx="118">
                  <c:v>0.53700000000000003</c:v>
                </c:pt>
                <c:pt idx="119">
                  <c:v>0.55400000000000005</c:v>
                </c:pt>
                <c:pt idx="120">
                  <c:v>0.56599999999999995</c:v>
                </c:pt>
                <c:pt idx="121">
                  <c:v>0.42099999999999999</c:v>
                </c:pt>
                <c:pt idx="122">
                  <c:v>0.42699999999999999</c:v>
                </c:pt>
                <c:pt idx="123">
                  <c:v>0.45500000000000002</c:v>
                </c:pt>
                <c:pt idx="124">
                  <c:v>0.309</c:v>
                </c:pt>
                <c:pt idx="125">
                  <c:v>0.64300000000000002</c:v>
                </c:pt>
                <c:pt idx="126">
                  <c:v>0.47899999999999998</c:v>
                </c:pt>
                <c:pt idx="127">
                  <c:v>0.34100000000000003</c:v>
                </c:pt>
                <c:pt idx="128">
                  <c:v>0.49399999999999999</c:v>
                </c:pt>
                <c:pt idx="129">
                  <c:v>0.60799999999999998</c:v>
                </c:pt>
                <c:pt idx="130">
                  <c:v>0.40600000000000003</c:v>
                </c:pt>
                <c:pt idx="131">
                  <c:v>0.375</c:v>
                </c:pt>
                <c:pt idx="132">
                  <c:v>0.307</c:v>
                </c:pt>
                <c:pt idx="133">
                  <c:v>0.314</c:v>
                </c:pt>
                <c:pt idx="134">
                  <c:v>0.54500000000000004</c:v>
                </c:pt>
                <c:pt idx="135">
                  <c:v>0.502</c:v>
                </c:pt>
                <c:pt idx="136">
                  <c:v>0.57099999999999995</c:v>
                </c:pt>
                <c:pt idx="137">
                  <c:v>0.28999999999999998</c:v>
                </c:pt>
                <c:pt idx="138">
                  <c:v>0.41899999999999998</c:v>
                </c:pt>
                <c:pt idx="139">
                  <c:v>0.59699999999999998</c:v>
                </c:pt>
                <c:pt idx="140">
                  <c:v>0.60299999999999998</c:v>
                </c:pt>
                <c:pt idx="141">
                  <c:v>0.749</c:v>
                </c:pt>
                <c:pt idx="142">
                  <c:v>0.39200000000000002</c:v>
                </c:pt>
                <c:pt idx="143">
                  <c:v>0.71499999999999997</c:v>
                </c:pt>
                <c:pt idx="144">
                  <c:v>1.2969999999999999</c:v>
                </c:pt>
                <c:pt idx="145">
                  <c:v>0.97599999999999998</c:v>
                </c:pt>
                <c:pt idx="146">
                  <c:v>1.024</c:v>
                </c:pt>
                <c:pt idx="147">
                  <c:v>0.88400000000000001</c:v>
                </c:pt>
                <c:pt idx="148">
                  <c:v>0.38100000000000001</c:v>
                </c:pt>
                <c:pt idx="149">
                  <c:v>0.18099999999999999</c:v>
                </c:pt>
                <c:pt idx="150">
                  <c:v>9.7000000000000003E-2</c:v>
                </c:pt>
                <c:pt idx="151">
                  <c:v>0.13400000000000001</c:v>
                </c:pt>
                <c:pt idx="152">
                  <c:v>1.2010000000000001</c:v>
                </c:pt>
                <c:pt idx="153">
                  <c:v>1.2749999999999999</c:v>
                </c:pt>
                <c:pt idx="154">
                  <c:v>1.242</c:v>
                </c:pt>
                <c:pt idx="155">
                  <c:v>0.66900000000000004</c:v>
                </c:pt>
                <c:pt idx="156">
                  <c:v>0.83099999999999996</c:v>
                </c:pt>
                <c:pt idx="157">
                  <c:v>0.94299999999999995</c:v>
                </c:pt>
                <c:pt idx="158">
                  <c:v>1.528</c:v>
                </c:pt>
                <c:pt idx="159">
                  <c:v>1.3520000000000001</c:v>
                </c:pt>
                <c:pt idx="160">
                  <c:v>0.90800000000000003</c:v>
                </c:pt>
                <c:pt idx="161">
                  <c:v>0.79</c:v>
                </c:pt>
                <c:pt idx="162">
                  <c:v>0.66900000000000004</c:v>
                </c:pt>
                <c:pt idx="163">
                  <c:v>1.3069999999999999</c:v>
                </c:pt>
                <c:pt idx="164">
                  <c:v>0.999</c:v>
                </c:pt>
                <c:pt idx="165">
                  <c:v>1.4830000000000001</c:v>
                </c:pt>
                <c:pt idx="166">
                  <c:v>1.079</c:v>
                </c:pt>
                <c:pt idx="167">
                  <c:v>1.131</c:v>
                </c:pt>
                <c:pt idx="168">
                  <c:v>0.46200000000000002</c:v>
                </c:pt>
                <c:pt idx="169">
                  <c:v>0.13500000000000001</c:v>
                </c:pt>
                <c:pt idx="170">
                  <c:v>0.56699999999999995</c:v>
                </c:pt>
                <c:pt idx="171">
                  <c:v>1.111</c:v>
                </c:pt>
                <c:pt idx="172">
                  <c:v>0.86799999999999999</c:v>
                </c:pt>
                <c:pt idx="173">
                  <c:v>0.49</c:v>
                </c:pt>
                <c:pt idx="174">
                  <c:v>0.37</c:v>
                </c:pt>
                <c:pt idx="175">
                  <c:v>0.30499999999999999</c:v>
                </c:pt>
                <c:pt idx="176">
                  <c:v>0.53300000000000003</c:v>
                </c:pt>
                <c:pt idx="177">
                  <c:v>0.89800000000000002</c:v>
                </c:pt>
                <c:pt idx="178">
                  <c:v>0.89100000000000001</c:v>
                </c:pt>
                <c:pt idx="179">
                  <c:v>0.91800000000000004</c:v>
                </c:pt>
                <c:pt idx="180">
                  <c:v>1.0409999999999999</c:v>
                </c:pt>
                <c:pt idx="181">
                  <c:v>1.369</c:v>
                </c:pt>
                <c:pt idx="182">
                  <c:v>1.5660000000000001</c:v>
                </c:pt>
                <c:pt idx="183">
                  <c:v>1.58</c:v>
                </c:pt>
                <c:pt idx="184">
                  <c:v>1.39</c:v>
                </c:pt>
                <c:pt idx="185">
                  <c:v>1.1319999999999999</c:v>
                </c:pt>
                <c:pt idx="186">
                  <c:v>0.72899999999999998</c:v>
                </c:pt>
                <c:pt idx="187">
                  <c:v>1.242</c:v>
                </c:pt>
                <c:pt idx="188">
                  <c:v>1.9019999999999999</c:v>
                </c:pt>
                <c:pt idx="189">
                  <c:v>2.3260000000000001</c:v>
                </c:pt>
                <c:pt idx="190">
                  <c:v>1.3089999999999999</c:v>
                </c:pt>
                <c:pt idx="191">
                  <c:v>0.997</c:v>
                </c:pt>
                <c:pt idx="192">
                  <c:v>1.45</c:v>
                </c:pt>
                <c:pt idx="193">
                  <c:v>2.028</c:v>
                </c:pt>
                <c:pt idx="194">
                  <c:v>2.0409999999999999</c:v>
                </c:pt>
                <c:pt idx="195">
                  <c:v>2.117</c:v>
                </c:pt>
                <c:pt idx="196">
                  <c:v>2.2280000000000002</c:v>
                </c:pt>
                <c:pt idx="197">
                  <c:v>1.0509999999999999</c:v>
                </c:pt>
                <c:pt idx="198">
                  <c:v>1.3280000000000001</c:v>
                </c:pt>
                <c:pt idx="199">
                  <c:v>0.64400000000000002</c:v>
                </c:pt>
                <c:pt idx="200">
                  <c:v>0.51200000000000001</c:v>
                </c:pt>
                <c:pt idx="201">
                  <c:v>0.61</c:v>
                </c:pt>
                <c:pt idx="202">
                  <c:v>1.1419999999999999</c:v>
                </c:pt>
                <c:pt idx="203">
                  <c:v>1.8149999999999999</c:v>
                </c:pt>
                <c:pt idx="204">
                  <c:v>1.744</c:v>
                </c:pt>
                <c:pt idx="205">
                  <c:v>1.9259999999999999</c:v>
                </c:pt>
                <c:pt idx="206">
                  <c:v>1.619</c:v>
                </c:pt>
                <c:pt idx="207">
                  <c:v>1.865</c:v>
                </c:pt>
                <c:pt idx="208">
                  <c:v>2.133</c:v>
                </c:pt>
                <c:pt idx="209">
                  <c:v>2.3119999999999998</c:v>
                </c:pt>
                <c:pt idx="210">
                  <c:v>1.3540000000000001</c:v>
                </c:pt>
                <c:pt idx="211">
                  <c:v>1.7709999999999999</c:v>
                </c:pt>
                <c:pt idx="212">
                  <c:v>1.325</c:v>
                </c:pt>
                <c:pt idx="213">
                  <c:v>1.9279999999999999</c:v>
                </c:pt>
                <c:pt idx="214">
                  <c:v>0.57799999999999996</c:v>
                </c:pt>
                <c:pt idx="215">
                  <c:v>0.20699999999999999</c:v>
                </c:pt>
                <c:pt idx="216">
                  <c:v>0.155</c:v>
                </c:pt>
                <c:pt idx="217">
                  <c:v>0.02</c:v>
                </c:pt>
                <c:pt idx="218">
                  <c:v>0.89300000000000002</c:v>
                </c:pt>
                <c:pt idx="219">
                  <c:v>1.411</c:v>
                </c:pt>
                <c:pt idx="220">
                  <c:v>2.157</c:v>
                </c:pt>
                <c:pt idx="221">
                  <c:v>2.0129999999999999</c:v>
                </c:pt>
                <c:pt idx="222">
                  <c:v>2.4860000000000002</c:v>
                </c:pt>
                <c:pt idx="223">
                  <c:v>2.101</c:v>
                </c:pt>
                <c:pt idx="224">
                  <c:v>1.3120000000000001</c:v>
                </c:pt>
                <c:pt idx="225">
                  <c:v>1.91</c:v>
                </c:pt>
                <c:pt idx="226">
                  <c:v>2.117</c:v>
                </c:pt>
                <c:pt idx="227">
                  <c:v>1.9570000000000001</c:v>
                </c:pt>
                <c:pt idx="228">
                  <c:v>0.84499999999999997</c:v>
                </c:pt>
                <c:pt idx="229">
                  <c:v>0.70499999999999996</c:v>
                </c:pt>
                <c:pt idx="230">
                  <c:v>0.71499999999999997</c:v>
                </c:pt>
                <c:pt idx="231">
                  <c:v>0.55700000000000005</c:v>
                </c:pt>
                <c:pt idx="232">
                  <c:v>0.68400000000000005</c:v>
                </c:pt>
                <c:pt idx="233">
                  <c:v>0.88800000000000001</c:v>
                </c:pt>
                <c:pt idx="234">
                  <c:v>1.51</c:v>
                </c:pt>
                <c:pt idx="235">
                  <c:v>2.3969999999999998</c:v>
                </c:pt>
                <c:pt idx="236">
                  <c:v>2.593</c:v>
                </c:pt>
                <c:pt idx="237">
                  <c:v>2.9390000000000001</c:v>
                </c:pt>
                <c:pt idx="238">
                  <c:v>3.0019999999999998</c:v>
                </c:pt>
                <c:pt idx="239">
                  <c:v>3.1909999999999998</c:v>
                </c:pt>
                <c:pt idx="240">
                  <c:v>1.653</c:v>
                </c:pt>
                <c:pt idx="241">
                  <c:v>1.774</c:v>
                </c:pt>
                <c:pt idx="242">
                  <c:v>1.8280000000000001</c:v>
                </c:pt>
                <c:pt idx="243">
                  <c:v>0.28100000000000003</c:v>
                </c:pt>
                <c:pt idx="244">
                  <c:v>0.57799999999999996</c:v>
                </c:pt>
                <c:pt idx="245">
                  <c:v>1.1160000000000001</c:v>
                </c:pt>
                <c:pt idx="246">
                  <c:v>0.72599999999999998</c:v>
                </c:pt>
                <c:pt idx="247">
                  <c:v>0.38800000000000001</c:v>
                </c:pt>
                <c:pt idx="248">
                  <c:v>0.45500000000000002</c:v>
                </c:pt>
                <c:pt idx="249">
                  <c:v>0.53</c:v>
                </c:pt>
                <c:pt idx="250">
                  <c:v>0.23</c:v>
                </c:pt>
                <c:pt idx="251">
                  <c:v>0.59599999999999997</c:v>
                </c:pt>
                <c:pt idx="252">
                  <c:v>0.98599999999999999</c:v>
                </c:pt>
                <c:pt idx="253">
                  <c:v>1.4239999999999999</c:v>
                </c:pt>
                <c:pt idx="254">
                  <c:v>2.0390000000000001</c:v>
                </c:pt>
                <c:pt idx="255">
                  <c:v>1.4570000000000001</c:v>
                </c:pt>
                <c:pt idx="256">
                  <c:v>0.47899999999999998</c:v>
                </c:pt>
                <c:pt idx="257">
                  <c:v>0.44900000000000001</c:v>
                </c:pt>
                <c:pt idx="258">
                  <c:v>0.23100000000000001</c:v>
                </c:pt>
                <c:pt idx="259">
                  <c:v>0.34399999999999997</c:v>
                </c:pt>
                <c:pt idx="260">
                  <c:v>0.41</c:v>
                </c:pt>
                <c:pt idx="261">
                  <c:v>0.433</c:v>
                </c:pt>
                <c:pt idx="262">
                  <c:v>0.29599999999999999</c:v>
                </c:pt>
                <c:pt idx="263">
                  <c:v>0.16500000000000001</c:v>
                </c:pt>
                <c:pt idx="264">
                  <c:v>0.187</c:v>
                </c:pt>
                <c:pt idx="265">
                  <c:v>0.23100000000000001</c:v>
                </c:pt>
                <c:pt idx="266">
                  <c:v>0.57099999999999995</c:v>
                </c:pt>
                <c:pt idx="267">
                  <c:v>0.59699999999999998</c:v>
                </c:pt>
                <c:pt idx="268">
                  <c:v>0.627</c:v>
                </c:pt>
                <c:pt idx="269">
                  <c:v>0.46600000000000003</c:v>
                </c:pt>
                <c:pt idx="270">
                  <c:v>0.77500000000000002</c:v>
                </c:pt>
                <c:pt idx="271">
                  <c:v>1.0189999999999999</c:v>
                </c:pt>
                <c:pt idx="272">
                  <c:v>0.41899999999999998</c:v>
                </c:pt>
                <c:pt idx="273">
                  <c:v>0.61599999999999999</c:v>
                </c:pt>
                <c:pt idx="274">
                  <c:v>0.52100000000000002</c:v>
                </c:pt>
                <c:pt idx="275">
                  <c:v>0.88900000000000001</c:v>
                </c:pt>
                <c:pt idx="276">
                  <c:v>0.52700000000000002</c:v>
                </c:pt>
                <c:pt idx="277">
                  <c:v>0.44800000000000001</c:v>
                </c:pt>
                <c:pt idx="278">
                  <c:v>0.23200000000000001</c:v>
                </c:pt>
                <c:pt idx="279">
                  <c:v>0.433</c:v>
                </c:pt>
                <c:pt idx="280">
                  <c:v>0.51900000000000002</c:v>
                </c:pt>
                <c:pt idx="281">
                  <c:v>0.74099999999999999</c:v>
                </c:pt>
                <c:pt idx="282">
                  <c:v>0.505</c:v>
                </c:pt>
                <c:pt idx="283">
                  <c:v>0.76300000000000001</c:v>
                </c:pt>
                <c:pt idx="284">
                  <c:v>0.442</c:v>
                </c:pt>
                <c:pt idx="285">
                  <c:v>0.35799999999999998</c:v>
                </c:pt>
                <c:pt idx="286">
                  <c:v>0.41299999999999998</c:v>
                </c:pt>
                <c:pt idx="287">
                  <c:v>0.23699999999999999</c:v>
                </c:pt>
                <c:pt idx="288">
                  <c:v>0.25</c:v>
                </c:pt>
                <c:pt idx="289">
                  <c:v>0.23599999999999999</c:v>
                </c:pt>
                <c:pt idx="290">
                  <c:v>0.20100000000000001</c:v>
                </c:pt>
                <c:pt idx="291">
                  <c:v>0.22500000000000001</c:v>
                </c:pt>
                <c:pt idx="292">
                  <c:v>0.21</c:v>
                </c:pt>
                <c:pt idx="293">
                  <c:v>0.22</c:v>
                </c:pt>
                <c:pt idx="294">
                  <c:v>0.156</c:v>
                </c:pt>
                <c:pt idx="295">
                  <c:v>0.113</c:v>
                </c:pt>
                <c:pt idx="296">
                  <c:v>0.109</c:v>
                </c:pt>
                <c:pt idx="297">
                  <c:v>0.14099999999999999</c:v>
                </c:pt>
                <c:pt idx="298">
                  <c:v>0.188</c:v>
                </c:pt>
                <c:pt idx="299">
                  <c:v>0.13</c:v>
                </c:pt>
                <c:pt idx="300">
                  <c:v>0.161</c:v>
                </c:pt>
                <c:pt idx="301">
                  <c:v>0.127</c:v>
                </c:pt>
                <c:pt idx="302">
                  <c:v>0.113</c:v>
                </c:pt>
                <c:pt idx="303">
                  <c:v>7.5999999999999998E-2</c:v>
                </c:pt>
                <c:pt idx="304">
                  <c:v>0.108</c:v>
                </c:pt>
                <c:pt idx="305">
                  <c:v>0.23599999999999999</c:v>
                </c:pt>
                <c:pt idx="306">
                  <c:v>0.14699999999999999</c:v>
                </c:pt>
                <c:pt idx="307">
                  <c:v>0.25700000000000001</c:v>
                </c:pt>
                <c:pt idx="308">
                  <c:v>0.104</c:v>
                </c:pt>
                <c:pt idx="309">
                  <c:v>0.2</c:v>
                </c:pt>
                <c:pt idx="310">
                  <c:v>0.10299999999999999</c:v>
                </c:pt>
                <c:pt idx="311">
                  <c:v>0.25600000000000001</c:v>
                </c:pt>
                <c:pt idx="312">
                  <c:v>0.32800000000000001</c:v>
                </c:pt>
                <c:pt idx="313">
                  <c:v>0.46600000000000003</c:v>
                </c:pt>
                <c:pt idx="314">
                  <c:v>0.41699999999999998</c:v>
                </c:pt>
                <c:pt idx="315">
                  <c:v>0.55100000000000005</c:v>
                </c:pt>
                <c:pt idx="316">
                  <c:v>0.318</c:v>
                </c:pt>
                <c:pt idx="317">
                  <c:v>0.17699999999999999</c:v>
                </c:pt>
                <c:pt idx="318">
                  <c:v>1.2999999999999999E-2</c:v>
                </c:pt>
                <c:pt idx="319">
                  <c:v>3.1E-2</c:v>
                </c:pt>
                <c:pt idx="320">
                  <c:v>8.5000000000000006E-2</c:v>
                </c:pt>
                <c:pt idx="321">
                  <c:v>3.4000000000000002E-2</c:v>
                </c:pt>
                <c:pt idx="322">
                  <c:v>4.2999999999999997E-2</c:v>
                </c:pt>
                <c:pt idx="323">
                  <c:v>3.3000000000000002E-2</c:v>
                </c:pt>
                <c:pt idx="324">
                  <c:v>5.8999999999999997E-2</c:v>
                </c:pt>
                <c:pt idx="325">
                  <c:v>4.8000000000000001E-2</c:v>
                </c:pt>
                <c:pt idx="326">
                  <c:v>4.3999999999999997E-2</c:v>
                </c:pt>
                <c:pt idx="327">
                  <c:v>6.2E-2</c:v>
                </c:pt>
                <c:pt idx="328">
                  <c:v>5.2999999999999999E-2</c:v>
                </c:pt>
                <c:pt idx="329">
                  <c:v>3.6999999999999998E-2</c:v>
                </c:pt>
                <c:pt idx="330">
                  <c:v>0.107</c:v>
                </c:pt>
                <c:pt idx="331">
                  <c:v>4.8000000000000001E-2</c:v>
                </c:pt>
                <c:pt idx="332">
                  <c:v>2.3E-2</c:v>
                </c:pt>
                <c:pt idx="333">
                  <c:v>5.5E-2</c:v>
                </c:pt>
                <c:pt idx="334">
                  <c:v>5.8999999999999997E-2</c:v>
                </c:pt>
                <c:pt idx="335">
                  <c:v>9.6000000000000002E-2</c:v>
                </c:pt>
                <c:pt idx="336">
                  <c:v>2.5999999999999999E-2</c:v>
                </c:pt>
                <c:pt idx="337">
                  <c:v>2.5999999999999999E-2</c:v>
                </c:pt>
                <c:pt idx="338">
                  <c:v>4.2000000000000003E-2</c:v>
                </c:pt>
                <c:pt idx="339">
                  <c:v>3.5999999999999997E-2</c:v>
                </c:pt>
                <c:pt idx="340">
                  <c:v>8.5000000000000006E-2</c:v>
                </c:pt>
                <c:pt idx="341">
                  <c:v>0.14199999999999999</c:v>
                </c:pt>
                <c:pt idx="342">
                  <c:v>9.7000000000000003E-2</c:v>
                </c:pt>
                <c:pt idx="343">
                  <c:v>0.252</c:v>
                </c:pt>
                <c:pt idx="344">
                  <c:v>0.183</c:v>
                </c:pt>
                <c:pt idx="345">
                  <c:v>0.309</c:v>
                </c:pt>
                <c:pt idx="346">
                  <c:v>0.113</c:v>
                </c:pt>
                <c:pt idx="347">
                  <c:v>0.13800000000000001</c:v>
                </c:pt>
                <c:pt idx="348">
                  <c:v>9.9000000000000005E-2</c:v>
                </c:pt>
                <c:pt idx="349">
                  <c:v>9.9000000000000005E-2</c:v>
                </c:pt>
                <c:pt idx="350">
                  <c:v>3.5000000000000003E-2</c:v>
                </c:pt>
                <c:pt idx="351">
                  <c:v>4.9000000000000002E-2</c:v>
                </c:pt>
                <c:pt idx="352">
                  <c:v>0.04</c:v>
                </c:pt>
                <c:pt idx="353">
                  <c:v>5.3999999999999999E-2</c:v>
                </c:pt>
                <c:pt idx="354">
                  <c:v>4.2000000000000003E-2</c:v>
                </c:pt>
                <c:pt idx="355">
                  <c:v>3.9E-2</c:v>
                </c:pt>
                <c:pt idx="356">
                  <c:v>4.1000000000000002E-2</c:v>
                </c:pt>
                <c:pt idx="357">
                  <c:v>3.3000000000000002E-2</c:v>
                </c:pt>
                <c:pt idx="358">
                  <c:v>3.7999999999999999E-2</c:v>
                </c:pt>
                <c:pt idx="359">
                  <c:v>6.7000000000000004E-2</c:v>
                </c:pt>
                <c:pt idx="360">
                  <c:v>0.05</c:v>
                </c:pt>
                <c:pt idx="361">
                  <c:v>3.2000000000000001E-2</c:v>
                </c:pt>
                <c:pt idx="362">
                  <c:v>2.7E-2</c:v>
                </c:pt>
                <c:pt idx="363">
                  <c:v>7.6999999999999999E-2</c:v>
                </c:pt>
                <c:pt idx="364">
                  <c:v>0.05</c:v>
                </c:pt>
                <c:pt idx="365">
                  <c:v>0.16200000000000001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48928"/>
        <c:axId val="236350848"/>
      </c:lineChart>
      <c:catAx>
        <c:axId val="23634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50848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36350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48928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Data!$BF$7:$BF$372</c:f>
              <c:numCache>
                <c:formatCode>General</c:formatCode>
                <c:ptCount val="36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425216"/>
        <c:axId val="236427136"/>
      </c:lineChart>
      <c:catAx>
        <c:axId val="236425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271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427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25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374</xdr:row>
      <xdr:rowOff>0</xdr:rowOff>
    </xdr:from>
    <xdr:to>
      <xdr:col>22</xdr:col>
      <xdr:colOff>219075</xdr:colOff>
      <xdr:row>394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162</xdr:row>
      <xdr:rowOff>0</xdr:rowOff>
    </xdr:from>
    <xdr:to>
      <xdr:col>120</xdr:col>
      <xdr:colOff>304800</xdr:colOff>
      <xdr:row>178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121</xdr:col>
      <xdr:colOff>0</xdr:colOff>
      <xdr:row>162</xdr:row>
      <xdr:rowOff>0</xdr:rowOff>
    </xdr:from>
    <xdr:to>
      <xdr:col>128</xdr:col>
      <xdr:colOff>304800</xdr:colOff>
      <xdr:row>178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121</xdr:col>
      <xdr:colOff>0</xdr:colOff>
      <xdr:row>180</xdr:row>
      <xdr:rowOff>0</xdr:rowOff>
    </xdr:from>
    <xdr:to>
      <xdr:col>128</xdr:col>
      <xdr:colOff>304800</xdr:colOff>
      <xdr:row>196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113</xdr:col>
      <xdr:colOff>0</xdr:colOff>
      <xdr:row>180</xdr:row>
      <xdr:rowOff>0</xdr:rowOff>
    </xdr:from>
    <xdr:to>
      <xdr:col>120</xdr:col>
      <xdr:colOff>304800</xdr:colOff>
      <xdr:row>196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121</xdr:col>
      <xdr:colOff>9525</xdr:colOff>
      <xdr:row>200</xdr:row>
      <xdr:rowOff>38100</xdr:rowOff>
    </xdr:from>
    <xdr:to>
      <xdr:col>128</xdr:col>
      <xdr:colOff>314325</xdr:colOff>
      <xdr:row>217</xdr:row>
      <xdr:rowOff>28575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132</xdr:col>
      <xdr:colOff>400050</xdr:colOff>
      <xdr:row>138</xdr:row>
      <xdr:rowOff>4762</xdr:rowOff>
    </xdr:from>
    <xdr:to>
      <xdr:col>143</xdr:col>
      <xdr:colOff>47625</xdr:colOff>
      <xdr:row>154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133</xdr:col>
      <xdr:colOff>0</xdr:colOff>
      <xdr:row>156</xdr:row>
      <xdr:rowOff>0</xdr:rowOff>
    </xdr:from>
    <xdr:to>
      <xdr:col>143</xdr:col>
      <xdr:colOff>95250</xdr:colOff>
      <xdr:row>172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133</xdr:col>
      <xdr:colOff>0</xdr:colOff>
      <xdr:row>120</xdr:row>
      <xdr:rowOff>0</xdr:rowOff>
    </xdr:from>
    <xdr:to>
      <xdr:col>143</xdr:col>
      <xdr:colOff>95250</xdr:colOff>
      <xdr:row>136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718432754627" createdVersion="4" refreshedVersion="4" minRefreshableVersion="3" recordCount="366">
  <cacheSource type="worksheet">
    <worksheetSource ref="C6:E372" sheet="DerVar"/>
  </cacheSource>
  <cacheFields count="3">
    <cacheField name="YrMn" numFmtId="0">
      <sharedItems containsSemiMixedTypes="0" containsString="0" containsNumber="1" containsInteger="1" minValue="199601" maxValue="199612" count="12">
        <n v="199601"/>
        <n v="199602"/>
        <n v="199603"/>
        <n v="199604"/>
        <n v="199605"/>
        <n v="199606"/>
        <n v="199607"/>
        <n v="199608"/>
        <n v="199609"/>
        <n v="199610"/>
        <n v="199611"/>
        <n v="199612"/>
      </sharedItems>
    </cacheField>
    <cacheField name="DD&lt;0" numFmtId="0">
      <sharedItems containsSemiMixedTypes="0" containsString="0" containsNumber="1" minValue="0" maxValue="33.4"/>
    </cacheField>
    <cacheField name="DD&gt;5" numFmtId="0">
      <sharedItems containsSemiMixedTypes="0" containsString="0" containsNumber="1" minValue="0" maxValue="12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n v="4"/>
    <n v="0"/>
  </r>
  <r>
    <x v="0"/>
    <n v="3.1"/>
    <n v="0"/>
  </r>
  <r>
    <x v="0"/>
    <n v="7.1"/>
    <n v="0"/>
  </r>
  <r>
    <x v="0"/>
    <n v="16.5"/>
    <n v="0"/>
  </r>
  <r>
    <x v="0"/>
    <n v="17.2"/>
    <n v="0"/>
  </r>
  <r>
    <x v="0"/>
    <n v="10.3"/>
    <n v="0"/>
  </r>
  <r>
    <x v="0"/>
    <n v="4"/>
    <n v="0"/>
  </r>
  <r>
    <x v="0"/>
    <n v="5.6"/>
    <n v="0"/>
  </r>
  <r>
    <x v="0"/>
    <n v="4"/>
    <n v="0"/>
  </r>
  <r>
    <x v="0"/>
    <n v="3.8"/>
    <n v="0"/>
  </r>
  <r>
    <x v="0"/>
    <n v="3.9"/>
    <n v="0"/>
  </r>
  <r>
    <x v="0"/>
    <n v="6.7"/>
    <n v="0"/>
  </r>
  <r>
    <x v="0"/>
    <n v="2.2999999999999998"/>
    <n v="0"/>
  </r>
  <r>
    <x v="0"/>
    <n v="0"/>
    <n v="0"/>
  </r>
  <r>
    <x v="0"/>
    <n v="0.4"/>
    <n v="0"/>
  </r>
  <r>
    <x v="0"/>
    <n v="9.4"/>
    <n v="0"/>
  </r>
  <r>
    <x v="0"/>
    <n v="22.8"/>
    <n v="0"/>
  </r>
  <r>
    <x v="0"/>
    <n v="18.899999999999999"/>
    <n v="0"/>
  </r>
  <r>
    <x v="0"/>
    <n v="14.2"/>
    <n v="0"/>
  </r>
  <r>
    <x v="0"/>
    <n v="13.3"/>
    <n v="0"/>
  </r>
  <r>
    <x v="0"/>
    <n v="17.8"/>
    <n v="0"/>
  </r>
  <r>
    <x v="0"/>
    <n v="14.8"/>
    <n v="0"/>
  </r>
  <r>
    <x v="0"/>
    <n v="12.6"/>
    <n v="0"/>
  </r>
  <r>
    <x v="0"/>
    <n v="14.8"/>
    <n v="0"/>
  </r>
  <r>
    <x v="0"/>
    <n v="18.100000000000001"/>
    <n v="0"/>
  </r>
  <r>
    <x v="0"/>
    <n v="15.6"/>
    <n v="0"/>
  </r>
  <r>
    <x v="0"/>
    <n v="17.7"/>
    <n v="0"/>
  </r>
  <r>
    <x v="0"/>
    <n v="28.8"/>
    <n v="0"/>
  </r>
  <r>
    <x v="0"/>
    <n v="33.4"/>
    <n v="0"/>
  </r>
  <r>
    <x v="0"/>
    <n v="26.9"/>
    <n v="0"/>
  </r>
  <r>
    <x v="0"/>
    <n v="19.7"/>
    <n v="0"/>
  </r>
  <r>
    <x v="1"/>
    <n v="20.2"/>
    <n v="0"/>
  </r>
  <r>
    <x v="1"/>
    <n v="22.5"/>
    <n v="0"/>
  </r>
  <r>
    <x v="1"/>
    <n v="18.8"/>
    <n v="0"/>
  </r>
  <r>
    <x v="1"/>
    <n v="13.3"/>
    <n v="0"/>
  </r>
  <r>
    <x v="1"/>
    <n v="4.5"/>
    <n v="0"/>
  </r>
  <r>
    <x v="1"/>
    <n v="3.3"/>
    <n v="0"/>
  </r>
  <r>
    <x v="1"/>
    <n v="1.2"/>
    <n v="0"/>
  </r>
  <r>
    <x v="1"/>
    <n v="0.4"/>
    <n v="0"/>
  </r>
  <r>
    <x v="1"/>
    <n v="8.9"/>
    <n v="0"/>
  </r>
  <r>
    <x v="1"/>
    <n v="11.4"/>
    <n v="0"/>
  </r>
  <r>
    <x v="1"/>
    <n v="6.4"/>
    <n v="0"/>
  </r>
  <r>
    <x v="1"/>
    <n v="1.6"/>
    <n v="0"/>
  </r>
  <r>
    <x v="1"/>
    <n v="0"/>
    <n v="0"/>
  </r>
  <r>
    <x v="1"/>
    <n v="0"/>
    <n v="0"/>
  </r>
  <r>
    <x v="1"/>
    <n v="0.1"/>
    <n v="0"/>
  </r>
  <r>
    <x v="1"/>
    <n v="0"/>
    <n v="0"/>
  </r>
  <r>
    <x v="1"/>
    <n v="0.6"/>
    <n v="0"/>
  </r>
  <r>
    <x v="1"/>
    <n v="0"/>
    <n v="0"/>
  </r>
  <r>
    <x v="1"/>
    <n v="1.2"/>
    <n v="0"/>
  </r>
  <r>
    <x v="1"/>
    <n v="2.7"/>
    <n v="0"/>
  </r>
  <r>
    <x v="1"/>
    <n v="5.4"/>
    <n v="0"/>
  </r>
  <r>
    <x v="1"/>
    <n v="8.6"/>
    <n v="0"/>
  </r>
  <r>
    <x v="1"/>
    <n v="10.7"/>
    <n v="0"/>
  </r>
  <r>
    <x v="1"/>
    <n v="13.1"/>
    <n v="0"/>
  </r>
  <r>
    <x v="1"/>
    <n v="13.1"/>
    <n v="0"/>
  </r>
  <r>
    <x v="1"/>
    <n v="17"/>
    <n v="0"/>
  </r>
  <r>
    <x v="1"/>
    <n v="17.8"/>
    <n v="0"/>
  </r>
  <r>
    <x v="1"/>
    <n v="16.7"/>
    <n v="0"/>
  </r>
  <r>
    <x v="1"/>
    <n v="12.3"/>
    <n v="0"/>
  </r>
  <r>
    <x v="2"/>
    <n v="5.3"/>
    <n v="0"/>
  </r>
  <r>
    <x v="2"/>
    <n v="2.8"/>
    <n v="0"/>
  </r>
  <r>
    <x v="2"/>
    <n v="7.7"/>
    <n v="0"/>
  </r>
  <r>
    <x v="2"/>
    <n v="13.9"/>
    <n v="0"/>
  </r>
  <r>
    <x v="2"/>
    <n v="13.6"/>
    <n v="0"/>
  </r>
  <r>
    <x v="2"/>
    <n v="9"/>
    <n v="0"/>
  </r>
  <r>
    <x v="2"/>
    <n v="6.5"/>
    <n v="0"/>
  </r>
  <r>
    <x v="2"/>
    <n v="2.8"/>
    <n v="0"/>
  </r>
  <r>
    <x v="2"/>
    <n v="0"/>
    <n v="0"/>
  </r>
  <r>
    <x v="2"/>
    <n v="0"/>
    <n v="0"/>
  </r>
  <r>
    <x v="2"/>
    <n v="0"/>
    <n v="0"/>
  </r>
  <r>
    <x v="2"/>
    <n v="1.9"/>
    <n v="0"/>
  </r>
  <r>
    <x v="2"/>
    <n v="0.9"/>
    <n v="0"/>
  </r>
  <r>
    <x v="2"/>
    <n v="0"/>
    <n v="0"/>
  </r>
  <r>
    <x v="2"/>
    <n v="1.2"/>
    <n v="0"/>
  </r>
  <r>
    <x v="2"/>
    <n v="3.2"/>
    <n v="0"/>
  </r>
  <r>
    <x v="2"/>
    <n v="2.5"/>
    <n v="0"/>
  </r>
  <r>
    <x v="2"/>
    <n v="1.6"/>
    <n v="0"/>
  </r>
  <r>
    <x v="2"/>
    <n v="0"/>
    <n v="0"/>
  </r>
  <r>
    <x v="2"/>
    <n v="2.4"/>
    <n v="0"/>
  </r>
  <r>
    <x v="2"/>
    <n v="2.5"/>
    <n v="0"/>
  </r>
  <r>
    <x v="2"/>
    <n v="3.7"/>
    <n v="0"/>
  </r>
  <r>
    <x v="2"/>
    <n v="8.6"/>
    <n v="0"/>
  </r>
  <r>
    <x v="2"/>
    <n v="11"/>
    <n v="0"/>
  </r>
  <r>
    <x v="2"/>
    <n v="7.6"/>
    <n v="0"/>
  </r>
  <r>
    <x v="2"/>
    <n v="6"/>
    <n v="0"/>
  </r>
  <r>
    <x v="2"/>
    <n v="6.8"/>
    <n v="0"/>
  </r>
  <r>
    <x v="2"/>
    <n v="6.1"/>
    <n v="0"/>
  </r>
  <r>
    <x v="2"/>
    <n v="9.4"/>
    <n v="0"/>
  </r>
  <r>
    <x v="2"/>
    <n v="7.7"/>
    <n v="0"/>
  </r>
  <r>
    <x v="2"/>
    <n v="5.6"/>
    <n v="0"/>
  </r>
  <r>
    <x v="3"/>
    <n v="1.5"/>
    <n v="0"/>
  </r>
  <r>
    <x v="3"/>
    <n v="4.5"/>
    <n v="0"/>
  </r>
  <r>
    <x v="3"/>
    <n v="5.4"/>
    <n v="0"/>
  </r>
  <r>
    <x v="3"/>
    <n v="0.1"/>
    <n v="0"/>
  </r>
  <r>
    <x v="3"/>
    <n v="0"/>
    <n v="0"/>
  </r>
  <r>
    <x v="3"/>
    <n v="0"/>
    <n v="0"/>
  </r>
  <r>
    <x v="3"/>
    <n v="0"/>
    <n v="0"/>
  </r>
  <r>
    <x v="3"/>
    <n v="0"/>
    <n v="1.8"/>
  </r>
  <r>
    <x v="3"/>
    <n v="0"/>
    <n v="0.6"/>
  </r>
  <r>
    <x v="3"/>
    <n v="0"/>
    <n v="0"/>
  </r>
  <r>
    <x v="3"/>
    <n v="0"/>
    <n v="0"/>
  </r>
  <r>
    <x v="3"/>
    <n v="1.8"/>
    <n v="0"/>
  </r>
  <r>
    <x v="3"/>
    <n v="0.2"/>
    <n v="0"/>
  </r>
  <r>
    <x v="3"/>
    <n v="0"/>
    <n v="0"/>
  </r>
  <r>
    <x v="3"/>
    <n v="0"/>
    <n v="0"/>
  </r>
  <r>
    <x v="3"/>
    <n v="0"/>
    <n v="0"/>
  </r>
  <r>
    <x v="3"/>
    <n v="0.1"/>
    <n v="0"/>
  </r>
  <r>
    <x v="3"/>
    <n v="1.3"/>
    <n v="0"/>
  </r>
  <r>
    <x v="3"/>
    <n v="1.6"/>
    <n v="0"/>
  </r>
  <r>
    <x v="3"/>
    <n v="0.5"/>
    <n v="0"/>
  </r>
  <r>
    <x v="3"/>
    <n v="0"/>
    <n v="0"/>
  </r>
  <r>
    <x v="3"/>
    <n v="0"/>
    <n v="0"/>
  </r>
  <r>
    <x v="3"/>
    <n v="0"/>
    <n v="0"/>
  </r>
  <r>
    <x v="3"/>
    <n v="0.5"/>
    <n v="0"/>
  </r>
  <r>
    <x v="3"/>
    <n v="1.7"/>
    <n v="0"/>
  </r>
  <r>
    <x v="3"/>
    <n v="1.6"/>
    <n v="0"/>
  </r>
  <r>
    <x v="3"/>
    <n v="1.3"/>
    <n v="0"/>
  </r>
  <r>
    <x v="3"/>
    <n v="1"/>
    <n v="0"/>
  </r>
  <r>
    <x v="3"/>
    <n v="0"/>
    <n v="0"/>
  </r>
  <r>
    <x v="3"/>
    <n v="0"/>
    <n v="0"/>
  </r>
  <r>
    <x v="4"/>
    <n v="1.5"/>
    <n v="0"/>
  </r>
  <r>
    <x v="4"/>
    <n v="3.1"/>
    <n v="0"/>
  </r>
  <r>
    <x v="4"/>
    <n v="2"/>
    <n v="0"/>
  </r>
  <r>
    <x v="4"/>
    <n v="0.4"/>
    <n v="0"/>
  </r>
  <r>
    <x v="4"/>
    <n v="0"/>
    <n v="0"/>
  </r>
  <r>
    <x v="4"/>
    <n v="0"/>
    <n v="0"/>
  </r>
  <r>
    <x v="4"/>
    <n v="3.1"/>
    <n v="0"/>
  </r>
  <r>
    <x v="4"/>
    <n v="4.3"/>
    <n v="0"/>
  </r>
  <r>
    <x v="4"/>
    <n v="2.4"/>
    <n v="0"/>
  </r>
  <r>
    <x v="4"/>
    <n v="0.9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5"/>
  </r>
  <r>
    <x v="4"/>
    <n v="0"/>
    <n v="3.6"/>
  </r>
  <r>
    <x v="4"/>
    <n v="0"/>
    <n v="4"/>
  </r>
  <r>
    <x v="4"/>
    <n v="0"/>
    <n v="2.4"/>
  </r>
  <r>
    <x v="4"/>
    <n v="0"/>
    <n v="1.1000000000000001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1.6"/>
  </r>
  <r>
    <x v="5"/>
    <n v="0"/>
    <n v="4.5999999999999996"/>
  </r>
  <r>
    <x v="5"/>
    <n v="0"/>
    <n v="5.8"/>
  </r>
  <r>
    <x v="5"/>
    <n v="0"/>
    <n v="2.4"/>
  </r>
  <r>
    <x v="5"/>
    <n v="0"/>
    <n v="2.4"/>
  </r>
  <r>
    <x v="5"/>
    <n v="0"/>
    <n v="4.5"/>
  </r>
  <r>
    <x v="5"/>
    <n v="0"/>
    <n v="6.1"/>
  </r>
  <r>
    <x v="5"/>
    <n v="0"/>
    <n v="3.6"/>
  </r>
  <r>
    <x v="5"/>
    <n v="0"/>
    <n v="1.5"/>
  </r>
  <r>
    <x v="5"/>
    <n v="0"/>
    <n v="1.2"/>
  </r>
  <r>
    <x v="5"/>
    <n v="0"/>
    <n v="0.9"/>
  </r>
  <r>
    <x v="5"/>
    <n v="0"/>
    <n v="3.6"/>
  </r>
  <r>
    <x v="5"/>
    <n v="0"/>
    <n v="4"/>
  </r>
  <r>
    <x v="5"/>
    <n v="0"/>
    <n v="3.4"/>
  </r>
  <r>
    <x v="5"/>
    <n v="0"/>
    <n v="2.4"/>
  </r>
  <r>
    <x v="5"/>
    <n v="0"/>
    <n v="2"/>
  </r>
  <r>
    <x v="5"/>
    <n v="0"/>
    <n v="0"/>
  </r>
  <r>
    <x v="5"/>
    <n v="0"/>
    <n v="0"/>
  </r>
  <r>
    <x v="5"/>
    <n v="0"/>
    <n v="0"/>
  </r>
  <r>
    <x v="5"/>
    <n v="0"/>
    <n v="1.6"/>
  </r>
  <r>
    <x v="5"/>
    <n v="0"/>
    <n v="2.6"/>
  </r>
  <r>
    <x v="5"/>
    <n v="0"/>
    <n v="2.1"/>
  </r>
  <r>
    <x v="5"/>
    <n v="0"/>
    <n v="1.9"/>
  </r>
  <r>
    <x v="5"/>
    <n v="0"/>
    <n v="1.1000000000000001"/>
  </r>
  <r>
    <x v="5"/>
    <n v="0"/>
    <n v="2.1"/>
  </r>
  <r>
    <x v="5"/>
    <n v="0"/>
    <n v="2.9"/>
  </r>
  <r>
    <x v="5"/>
    <n v="0"/>
    <n v="3.4"/>
  </r>
  <r>
    <x v="5"/>
    <n v="0"/>
    <n v="3"/>
  </r>
  <r>
    <x v="5"/>
    <n v="0"/>
    <n v="3.3"/>
  </r>
  <r>
    <x v="5"/>
    <n v="0"/>
    <n v="5.2"/>
  </r>
  <r>
    <x v="6"/>
    <n v="0"/>
    <n v="6.4"/>
  </r>
  <r>
    <x v="6"/>
    <n v="0"/>
    <n v="8.9"/>
  </r>
  <r>
    <x v="6"/>
    <n v="0"/>
    <n v="8.6"/>
  </r>
  <r>
    <x v="6"/>
    <n v="0"/>
    <n v="4.4000000000000004"/>
  </r>
  <r>
    <x v="6"/>
    <n v="0"/>
    <n v="1.3"/>
  </r>
  <r>
    <x v="6"/>
    <n v="0"/>
    <n v="3.9"/>
  </r>
  <r>
    <x v="6"/>
    <n v="0"/>
    <n v="7.2"/>
  </r>
  <r>
    <x v="6"/>
    <n v="0"/>
    <n v="11.4"/>
  </r>
  <r>
    <x v="6"/>
    <n v="0"/>
    <n v="8.6999999999999993"/>
  </r>
  <r>
    <x v="6"/>
    <n v="0"/>
    <n v="3.9"/>
  </r>
  <r>
    <x v="6"/>
    <n v="0"/>
    <n v="5.2"/>
  </r>
  <r>
    <x v="6"/>
    <n v="0"/>
    <n v="9"/>
  </r>
  <r>
    <x v="6"/>
    <n v="0"/>
    <n v="10"/>
  </r>
  <r>
    <x v="6"/>
    <n v="0"/>
    <n v="10.8"/>
  </r>
  <r>
    <x v="6"/>
    <n v="0"/>
    <n v="11.7"/>
  </r>
  <r>
    <x v="6"/>
    <n v="0"/>
    <n v="7.5"/>
  </r>
  <r>
    <x v="6"/>
    <n v="0"/>
    <n v="4.5999999999999996"/>
  </r>
  <r>
    <x v="6"/>
    <n v="0"/>
    <n v="0"/>
  </r>
  <r>
    <x v="6"/>
    <n v="0"/>
    <n v="0"/>
  </r>
  <r>
    <x v="6"/>
    <n v="0"/>
    <n v="1.5"/>
  </r>
  <r>
    <x v="6"/>
    <n v="0"/>
    <n v="4.2"/>
  </r>
  <r>
    <x v="6"/>
    <n v="0"/>
    <n v="7.5"/>
  </r>
  <r>
    <x v="6"/>
    <n v="0"/>
    <n v="8.6999999999999993"/>
  </r>
  <r>
    <x v="6"/>
    <n v="0"/>
    <n v="9.6999999999999993"/>
  </r>
  <r>
    <x v="6"/>
    <n v="0"/>
    <n v="8.6999999999999993"/>
  </r>
  <r>
    <x v="6"/>
    <n v="0"/>
    <n v="9.3000000000000007"/>
  </r>
  <r>
    <x v="6"/>
    <n v="0"/>
    <n v="10.7"/>
  </r>
  <r>
    <x v="6"/>
    <n v="0"/>
    <n v="12.3"/>
  </r>
  <r>
    <x v="6"/>
    <n v="0"/>
    <n v="9.6999999999999993"/>
  </r>
  <r>
    <x v="6"/>
    <n v="0"/>
    <n v="10.9"/>
  </r>
  <r>
    <x v="6"/>
    <n v="0"/>
    <n v="5.4"/>
  </r>
  <r>
    <x v="7"/>
    <n v="0"/>
    <n v="6.8"/>
  </r>
  <r>
    <x v="7"/>
    <n v="0"/>
    <n v="1.2"/>
  </r>
  <r>
    <x v="7"/>
    <n v="0"/>
    <n v="1.7"/>
  </r>
  <r>
    <x v="7"/>
    <n v="0"/>
    <n v="0.2"/>
  </r>
  <r>
    <x v="7"/>
    <n v="0"/>
    <n v="0"/>
  </r>
  <r>
    <x v="7"/>
    <n v="0"/>
    <n v="3.7"/>
  </r>
  <r>
    <x v="7"/>
    <n v="0"/>
    <n v="6.1"/>
  </r>
  <r>
    <x v="7"/>
    <n v="0"/>
    <n v="8.5"/>
  </r>
  <r>
    <x v="7"/>
    <n v="0"/>
    <n v="8.9"/>
  </r>
  <r>
    <x v="7"/>
    <n v="0"/>
    <n v="10.3"/>
  </r>
  <r>
    <x v="7"/>
    <n v="0"/>
    <n v="9.1"/>
  </r>
  <r>
    <x v="7"/>
    <n v="0"/>
    <n v="4.2"/>
  </r>
  <r>
    <x v="7"/>
    <n v="0"/>
    <n v="7.8"/>
  </r>
  <r>
    <x v="7"/>
    <n v="0"/>
    <n v="10.4"/>
  </r>
  <r>
    <x v="7"/>
    <n v="0"/>
    <n v="8.6"/>
  </r>
  <r>
    <x v="7"/>
    <n v="0"/>
    <n v="5.8"/>
  </r>
  <r>
    <x v="7"/>
    <n v="0"/>
    <n v="1.4"/>
  </r>
  <r>
    <x v="7"/>
    <n v="0"/>
    <n v="0.2"/>
  </r>
  <r>
    <x v="7"/>
    <n v="0"/>
    <n v="1.8"/>
  </r>
  <r>
    <x v="7"/>
    <n v="0"/>
    <n v="1.3"/>
  </r>
  <r>
    <x v="7"/>
    <n v="0"/>
    <n v="1.3"/>
  </r>
  <r>
    <x v="7"/>
    <n v="0"/>
    <n v="4.5999999999999996"/>
  </r>
  <r>
    <x v="7"/>
    <n v="0"/>
    <n v="8.5"/>
  </r>
  <r>
    <x v="7"/>
    <n v="0"/>
    <n v="9.1"/>
  </r>
  <r>
    <x v="7"/>
    <n v="0"/>
    <n v="9.4"/>
  </r>
  <r>
    <x v="7"/>
    <n v="0"/>
    <n v="10.8"/>
  </r>
  <r>
    <x v="7"/>
    <n v="0"/>
    <n v="12.3"/>
  </r>
  <r>
    <x v="7"/>
    <n v="0"/>
    <n v="11"/>
  </r>
  <r>
    <x v="7"/>
    <n v="0"/>
    <n v="10.199999999999999"/>
  </r>
  <r>
    <x v="7"/>
    <n v="0"/>
    <n v="7.9"/>
  </r>
  <r>
    <x v="7"/>
    <n v="0"/>
    <n v="0.8"/>
  </r>
  <r>
    <x v="8"/>
    <n v="0"/>
    <n v="0.9"/>
  </r>
  <r>
    <x v="8"/>
    <n v="0"/>
    <n v="3.1"/>
  </r>
  <r>
    <x v="8"/>
    <n v="0"/>
    <n v="0.3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2.5"/>
  </r>
  <r>
    <x v="8"/>
    <n v="0"/>
    <n v="3.2"/>
  </r>
  <r>
    <x v="8"/>
    <n v="0"/>
    <n v="6.1"/>
  </r>
  <r>
    <x v="8"/>
    <n v="0"/>
    <n v="9.1999999999999993"/>
  </r>
  <r>
    <x v="8"/>
    <n v="0"/>
    <n v="7.2"/>
  </r>
  <r>
    <x v="8"/>
    <n v="0"/>
    <n v="3.4"/>
  </r>
  <r>
    <x v="8"/>
    <n v="0"/>
    <n v="0.8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.2"/>
    <n v="0"/>
  </r>
  <r>
    <x v="8"/>
    <n v="0.3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3.4"/>
  </r>
  <r>
    <x v="8"/>
    <n v="0"/>
    <n v="4.3"/>
  </r>
  <r>
    <x v="8"/>
    <n v="0"/>
    <n v="1.6"/>
  </r>
  <r>
    <x v="8"/>
    <n v="0"/>
    <n v="0"/>
  </r>
  <r>
    <x v="9"/>
    <n v="0"/>
    <n v="0"/>
  </r>
  <r>
    <x v="9"/>
    <n v="0"/>
    <n v="0"/>
  </r>
  <r>
    <x v="9"/>
    <n v="0"/>
    <n v="1"/>
  </r>
  <r>
    <x v="9"/>
    <n v="0"/>
    <n v="1.2"/>
  </r>
  <r>
    <x v="9"/>
    <n v="0"/>
    <n v="0"/>
  </r>
  <r>
    <x v="9"/>
    <n v="0"/>
    <n v="0"/>
  </r>
  <r>
    <x v="9"/>
    <n v="0"/>
    <n v="1.1000000000000001"/>
  </r>
  <r>
    <x v="9"/>
    <n v="0"/>
    <n v="1.5"/>
  </r>
  <r>
    <x v="9"/>
    <n v="0"/>
    <n v="0.3"/>
  </r>
  <r>
    <x v="9"/>
    <n v="0"/>
    <n v="3.8"/>
  </r>
  <r>
    <x v="9"/>
    <n v="0"/>
    <n v="0"/>
  </r>
  <r>
    <x v="9"/>
    <n v="0"/>
    <n v="0"/>
  </r>
  <r>
    <x v="9"/>
    <n v="0"/>
    <n v="0"/>
  </r>
  <r>
    <x v="9"/>
    <n v="0"/>
    <n v="0"/>
  </r>
  <r>
    <x v="9"/>
    <n v="1.1000000000000001"/>
    <n v="0"/>
  </r>
  <r>
    <x v="9"/>
    <n v="2.6"/>
    <n v="0"/>
  </r>
  <r>
    <x v="9"/>
    <n v="3.4"/>
    <n v="0"/>
  </r>
  <r>
    <x v="9"/>
    <n v="1.8"/>
    <n v="0"/>
  </r>
  <r>
    <x v="9"/>
    <n v="2.5"/>
    <n v="0"/>
  </r>
  <r>
    <x v="9"/>
    <n v="2.9"/>
    <n v="0"/>
  </r>
  <r>
    <x v="9"/>
    <n v="3.6"/>
    <n v="0"/>
  </r>
  <r>
    <x v="9"/>
    <n v="2.5"/>
    <n v="0"/>
  </r>
  <r>
    <x v="9"/>
    <n v="2.5"/>
    <n v="0"/>
  </r>
  <r>
    <x v="9"/>
    <n v="2.1"/>
    <n v="0"/>
  </r>
  <r>
    <x v="9"/>
    <n v="2.6"/>
    <n v="0"/>
  </r>
  <r>
    <x v="9"/>
    <n v="3.6"/>
    <n v="0"/>
  </r>
  <r>
    <x v="9"/>
    <n v="1.9"/>
    <n v="0"/>
  </r>
  <r>
    <x v="9"/>
    <n v="0.7"/>
    <n v="0"/>
  </r>
  <r>
    <x v="9"/>
    <n v="4.0999999999999996"/>
    <n v="0"/>
  </r>
  <r>
    <x v="9"/>
    <n v="7.6"/>
    <n v="0"/>
  </r>
  <r>
    <x v="9"/>
    <n v="5.9"/>
    <n v="0"/>
  </r>
  <r>
    <x v="10"/>
    <n v="2.8"/>
    <n v="0"/>
  </r>
  <r>
    <x v="10"/>
    <n v="2.4"/>
    <n v="0"/>
  </r>
  <r>
    <x v="10"/>
    <n v="1.7"/>
    <n v="0"/>
  </r>
  <r>
    <x v="10"/>
    <n v="3.4"/>
    <n v="0"/>
  </r>
  <r>
    <x v="10"/>
    <n v="3.5"/>
    <n v="0"/>
  </r>
  <r>
    <x v="10"/>
    <n v="3.3"/>
    <n v="0"/>
  </r>
  <r>
    <x v="10"/>
    <n v="7.7"/>
    <n v="0"/>
  </r>
  <r>
    <x v="10"/>
    <n v="1.9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2.8"/>
    <n v="0"/>
  </r>
  <r>
    <x v="10"/>
    <n v="6.6"/>
    <n v="0"/>
  </r>
  <r>
    <x v="10"/>
    <n v="7.6"/>
    <n v="0"/>
  </r>
  <r>
    <x v="10"/>
    <n v="7.3"/>
    <n v="0"/>
  </r>
  <r>
    <x v="10"/>
    <n v="12.9"/>
    <n v="0"/>
  </r>
  <r>
    <x v="10"/>
    <n v="14.6"/>
    <n v="0"/>
  </r>
  <r>
    <x v="10"/>
    <n v="19.7"/>
    <n v="0"/>
  </r>
  <r>
    <x v="10"/>
    <n v="13.1"/>
    <n v="0"/>
  </r>
  <r>
    <x v="10"/>
    <n v="17.600000000000001"/>
    <n v="0"/>
  </r>
  <r>
    <x v="10"/>
    <n v="17.7"/>
    <n v="0"/>
  </r>
  <r>
    <x v="10"/>
    <n v="7.7"/>
    <n v="0"/>
  </r>
  <r>
    <x v="10"/>
    <n v="6.4"/>
    <n v="0"/>
  </r>
  <r>
    <x v="10"/>
    <n v="4.9000000000000004"/>
    <n v="0"/>
  </r>
  <r>
    <x v="10"/>
    <n v="3.8"/>
    <n v="0"/>
  </r>
  <r>
    <x v="10"/>
    <n v="4.9000000000000004"/>
    <n v="0"/>
  </r>
  <r>
    <x v="10"/>
    <n v="7.4"/>
    <n v="0"/>
  </r>
  <r>
    <x v="10"/>
    <n v="4.5"/>
    <n v="0"/>
  </r>
  <r>
    <x v="11"/>
    <n v="4.0999999999999996"/>
    <n v="0"/>
  </r>
  <r>
    <x v="11"/>
    <n v="8.8000000000000007"/>
    <n v="0"/>
  </r>
  <r>
    <x v="11"/>
    <n v="9.3000000000000007"/>
    <n v="0"/>
  </r>
  <r>
    <x v="11"/>
    <n v="8.4"/>
    <n v="0"/>
  </r>
  <r>
    <x v="11"/>
    <n v="5.2"/>
    <n v="0"/>
  </r>
  <r>
    <x v="11"/>
    <n v="6"/>
    <n v="0"/>
  </r>
  <r>
    <x v="11"/>
    <n v="6.4"/>
    <n v="0"/>
  </r>
  <r>
    <x v="11"/>
    <n v="4.7"/>
    <n v="0"/>
  </r>
  <r>
    <x v="11"/>
    <n v="8.1"/>
    <n v="0"/>
  </r>
  <r>
    <x v="11"/>
    <n v="2.9"/>
    <n v="0"/>
  </r>
  <r>
    <x v="11"/>
    <n v="5.8"/>
    <n v="0"/>
  </r>
  <r>
    <x v="11"/>
    <n v="6.9"/>
    <n v="0"/>
  </r>
  <r>
    <x v="11"/>
    <n v="7.3"/>
    <n v="0"/>
  </r>
  <r>
    <x v="11"/>
    <n v="7"/>
    <n v="0"/>
  </r>
  <r>
    <x v="11"/>
    <n v="6.4"/>
    <n v="0"/>
  </r>
  <r>
    <x v="11"/>
    <n v="10.9"/>
    <n v="0"/>
  </r>
  <r>
    <x v="11"/>
    <n v="16.600000000000001"/>
    <n v="0"/>
  </r>
  <r>
    <x v="11"/>
    <n v="10.8"/>
    <n v="0"/>
  </r>
  <r>
    <x v="11"/>
    <n v="10.5"/>
    <n v="0"/>
  </r>
  <r>
    <x v="11"/>
    <n v="7.8"/>
    <n v="0"/>
  </r>
  <r>
    <x v="11"/>
    <n v="9.5"/>
    <n v="0"/>
  </r>
  <r>
    <x v="11"/>
    <n v="16.100000000000001"/>
    <n v="0"/>
  </r>
  <r>
    <x v="11"/>
    <n v="18"/>
    <n v="0"/>
  </r>
  <r>
    <x v="11"/>
    <n v="17.7"/>
    <n v="0"/>
  </r>
  <r>
    <x v="11"/>
    <n v="22"/>
    <n v="0"/>
  </r>
  <r>
    <x v="11"/>
    <n v="28.1"/>
    <n v="0"/>
  </r>
  <r>
    <x v="11"/>
    <n v="28"/>
    <n v="0"/>
  </r>
  <r>
    <x v="11"/>
    <n v="30.8"/>
    <n v="0"/>
  </r>
  <r>
    <x v="11"/>
    <n v="17.899999999999999"/>
    <n v="0"/>
  </r>
  <r>
    <x v="11"/>
    <n v="2.9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selection activeCell="A2" sqref="A2"/>
    </sheetView>
  </sheetViews>
  <sheetFormatPr defaultRowHeight="12.75" x14ac:dyDescent="0.2"/>
  <sheetData>
    <row r="1" spans="1:16" x14ac:dyDescent="0.2">
      <c r="A1" s="3" t="s">
        <v>140</v>
      </c>
      <c r="B1" s="3"/>
      <c r="C1" s="3"/>
      <c r="D1" s="3"/>
      <c r="E1" s="3"/>
    </row>
    <row r="2" spans="1:16" x14ac:dyDescent="0.2">
      <c r="A2" s="1" t="s">
        <v>248</v>
      </c>
      <c r="B2" s="3"/>
      <c r="C2" s="3"/>
      <c r="D2" s="3"/>
      <c r="E2" s="3"/>
    </row>
    <row r="3" spans="1:16" x14ac:dyDescent="0.2">
      <c r="A3" s="3"/>
      <c r="B3" s="3" t="s">
        <v>169</v>
      </c>
      <c r="C3" s="3"/>
      <c r="D3" s="3"/>
      <c r="E3" s="3"/>
    </row>
    <row r="4" spans="1:16" x14ac:dyDescent="0.2">
      <c r="A4" s="3"/>
      <c r="B4" s="3" t="s">
        <v>170</v>
      </c>
      <c r="C4" s="3"/>
      <c r="D4" s="3"/>
      <c r="E4" s="3"/>
    </row>
    <row r="5" spans="1:16" x14ac:dyDescent="0.2">
      <c r="A5" s="3" t="s">
        <v>141</v>
      </c>
      <c r="B5" s="3"/>
      <c r="C5" s="3"/>
      <c r="D5" s="3"/>
      <c r="E5" s="3"/>
      <c r="F5" s="3"/>
      <c r="L5" s="3" t="s">
        <v>188</v>
      </c>
      <c r="M5" s="3"/>
      <c r="N5" s="3"/>
      <c r="O5" s="3"/>
      <c r="P5" s="3"/>
    </row>
    <row r="6" spans="1:16" x14ac:dyDescent="0.2">
      <c r="A6" s="3"/>
      <c r="B6" s="3" t="s">
        <v>171</v>
      </c>
      <c r="C6" s="3"/>
      <c r="D6" s="3"/>
      <c r="E6" s="3"/>
      <c r="L6" s="3"/>
      <c r="M6" s="3"/>
      <c r="N6" s="3" t="s">
        <v>159</v>
      </c>
      <c r="O6" s="3"/>
      <c r="P6" s="3"/>
    </row>
    <row r="7" spans="1:16" x14ac:dyDescent="0.2">
      <c r="A7" s="3"/>
      <c r="B7" s="3" t="s">
        <v>142</v>
      </c>
      <c r="C7" s="3"/>
      <c r="D7" s="3"/>
      <c r="E7" s="3"/>
      <c r="L7" s="3" t="s">
        <v>160</v>
      </c>
      <c r="M7" s="3"/>
      <c r="N7" s="3"/>
      <c r="O7" s="3"/>
      <c r="P7" s="3"/>
    </row>
    <row r="8" spans="1:16" x14ac:dyDescent="0.2">
      <c r="A8" s="3" t="s">
        <v>143</v>
      </c>
      <c r="B8" s="3"/>
      <c r="C8" s="3"/>
      <c r="D8" s="3"/>
      <c r="E8" s="3"/>
      <c r="L8" s="3"/>
      <c r="M8" s="3" t="s">
        <v>196</v>
      </c>
      <c r="N8" s="3"/>
      <c r="O8" s="3"/>
      <c r="P8" s="3"/>
    </row>
    <row r="9" spans="1:16" x14ac:dyDescent="0.2">
      <c r="A9" s="3"/>
      <c r="B9" s="3" t="s">
        <v>144</v>
      </c>
      <c r="C9" s="3"/>
      <c r="D9" s="3"/>
      <c r="E9" s="3"/>
      <c r="L9" s="3"/>
      <c r="M9" s="3"/>
      <c r="N9" s="3" t="s">
        <v>189</v>
      </c>
      <c r="O9" s="3"/>
      <c r="P9" s="3"/>
    </row>
    <row r="10" spans="1:16" x14ac:dyDescent="0.2">
      <c r="A10" s="3" t="s">
        <v>145</v>
      </c>
      <c r="B10" s="3"/>
      <c r="C10" s="3"/>
      <c r="D10" s="3"/>
      <c r="E10" s="3"/>
      <c r="L10" s="3"/>
      <c r="M10" s="3"/>
      <c r="N10" s="3" t="s">
        <v>190</v>
      </c>
      <c r="O10" s="3"/>
      <c r="P10" s="3"/>
    </row>
    <row r="11" spans="1:16" x14ac:dyDescent="0.2">
      <c r="A11" s="3"/>
      <c r="B11" s="3" t="s">
        <v>146</v>
      </c>
      <c r="C11" s="3"/>
      <c r="D11" s="3"/>
      <c r="E11" s="3"/>
      <c r="L11" s="3"/>
      <c r="M11" s="3"/>
      <c r="N11" s="3" t="s">
        <v>191</v>
      </c>
      <c r="O11" s="3"/>
      <c r="P11" s="3"/>
    </row>
    <row r="12" spans="1:16" x14ac:dyDescent="0.2">
      <c r="A12" s="3"/>
      <c r="B12" s="3" t="s">
        <v>147</v>
      </c>
      <c r="C12" s="3"/>
      <c r="D12" s="3"/>
      <c r="E12" s="3"/>
      <c r="L12" s="3"/>
      <c r="M12" s="3" t="s">
        <v>195</v>
      </c>
      <c r="N12" s="3"/>
      <c r="O12" s="3"/>
      <c r="P12" s="3"/>
    </row>
    <row r="13" spans="1:16" x14ac:dyDescent="0.2">
      <c r="A13" s="3" t="s">
        <v>148</v>
      </c>
      <c r="B13" s="3"/>
      <c r="C13" s="3"/>
      <c r="D13" s="3"/>
      <c r="E13" s="3"/>
      <c r="L13" s="3"/>
      <c r="M13" s="3"/>
      <c r="N13" s="3" t="s">
        <v>192</v>
      </c>
      <c r="O13" s="3"/>
      <c r="P13" s="3"/>
    </row>
    <row r="14" spans="1:16" x14ac:dyDescent="0.2">
      <c r="A14" s="3"/>
      <c r="B14" s="3" t="s">
        <v>146</v>
      </c>
      <c r="C14" s="3"/>
      <c r="D14" s="3"/>
      <c r="E14" s="3"/>
      <c r="L14" s="3"/>
      <c r="M14" s="3"/>
      <c r="N14" s="3" t="s">
        <v>193</v>
      </c>
      <c r="O14" s="3"/>
      <c r="P14" s="3"/>
    </row>
    <row r="15" spans="1:16" x14ac:dyDescent="0.2">
      <c r="A15" s="3"/>
      <c r="B15" s="3" t="s">
        <v>149</v>
      </c>
      <c r="C15" s="3"/>
      <c r="D15" s="3"/>
      <c r="E15" s="3"/>
      <c r="L15" s="3"/>
      <c r="M15" s="3"/>
      <c r="N15" s="3" t="s">
        <v>194</v>
      </c>
      <c r="O15" s="3"/>
      <c r="P15" s="3"/>
    </row>
    <row r="16" spans="1:16" x14ac:dyDescent="0.2">
      <c r="A16" s="3" t="s">
        <v>150</v>
      </c>
      <c r="B16" s="3"/>
      <c r="C16" s="3"/>
      <c r="D16" s="3"/>
      <c r="E16" s="3"/>
      <c r="L16" s="3"/>
      <c r="M16" s="3" t="s">
        <v>167</v>
      </c>
      <c r="N16" s="3"/>
      <c r="O16" s="3"/>
      <c r="P16" s="3"/>
    </row>
    <row r="17" spans="1:16" x14ac:dyDescent="0.2">
      <c r="A17" s="3"/>
      <c r="B17" s="3" t="s">
        <v>151</v>
      </c>
      <c r="C17" s="3"/>
      <c r="D17" s="3"/>
      <c r="E17" s="3"/>
      <c r="L17" s="3"/>
      <c r="M17" s="3"/>
      <c r="N17" s="3" t="s">
        <v>182</v>
      </c>
      <c r="O17" s="3"/>
      <c r="P17" s="3"/>
    </row>
    <row r="18" spans="1:16" x14ac:dyDescent="0.2">
      <c r="A18" s="3" t="s">
        <v>152</v>
      </c>
      <c r="B18" s="3"/>
      <c r="C18" s="3"/>
      <c r="D18" s="3"/>
      <c r="E18" s="3"/>
      <c r="L18" s="3"/>
      <c r="M18" s="3"/>
      <c r="N18" s="3" t="s">
        <v>183</v>
      </c>
      <c r="O18" s="3"/>
      <c r="P18" s="3"/>
    </row>
    <row r="19" spans="1:16" x14ac:dyDescent="0.2">
      <c r="A19" s="3"/>
      <c r="B19" s="3" t="s">
        <v>153</v>
      </c>
      <c r="C19" s="3"/>
      <c r="D19" s="3"/>
      <c r="E19" s="3"/>
      <c r="L19" s="3"/>
      <c r="M19" s="3"/>
      <c r="N19" s="3" t="s">
        <v>184</v>
      </c>
      <c r="O19" s="3"/>
      <c r="P19" s="3"/>
    </row>
    <row r="20" spans="1:16" x14ac:dyDescent="0.2">
      <c r="A20" s="3" t="s">
        <v>154</v>
      </c>
      <c r="B20" s="3"/>
      <c r="C20" s="3"/>
      <c r="D20" s="3"/>
      <c r="E20" s="3"/>
      <c r="L20" s="3"/>
      <c r="M20" s="3" t="s">
        <v>168</v>
      </c>
      <c r="N20" s="3"/>
      <c r="O20" s="3"/>
      <c r="P20" s="3"/>
    </row>
    <row r="21" spans="1:16" x14ac:dyDescent="0.2">
      <c r="A21" s="3"/>
      <c r="B21" s="3" t="s">
        <v>155</v>
      </c>
      <c r="C21" s="3"/>
      <c r="D21" s="3"/>
      <c r="E21" s="3"/>
      <c r="L21" s="3"/>
      <c r="M21" s="3"/>
      <c r="N21" s="3" t="s">
        <v>161</v>
      </c>
      <c r="O21" s="3"/>
      <c r="P21" s="3"/>
    </row>
    <row r="22" spans="1:16" x14ac:dyDescent="0.2">
      <c r="B22" s="3" t="s">
        <v>250</v>
      </c>
      <c r="L22" s="3"/>
      <c r="M22" s="3"/>
      <c r="N22" s="3" t="s">
        <v>162</v>
      </c>
      <c r="O22" s="3"/>
      <c r="P22" s="3"/>
    </row>
    <row r="23" spans="1:16" x14ac:dyDescent="0.2">
      <c r="A23" s="3" t="s">
        <v>156</v>
      </c>
      <c r="B23" s="3"/>
      <c r="C23" s="3"/>
      <c r="D23" s="3"/>
      <c r="E23" s="3"/>
      <c r="F23" s="3" t="s">
        <v>251</v>
      </c>
      <c r="L23" s="3"/>
      <c r="M23" s="3"/>
      <c r="N23" s="3" t="s">
        <v>163</v>
      </c>
      <c r="O23" s="3"/>
      <c r="P23" s="3"/>
    </row>
    <row r="24" spans="1:16" x14ac:dyDescent="0.2">
      <c r="A24" s="3"/>
      <c r="B24" s="3" t="s">
        <v>157</v>
      </c>
      <c r="C24" s="3"/>
      <c r="D24" s="3"/>
      <c r="E24" s="3"/>
      <c r="L24" s="3" t="s">
        <v>164</v>
      </c>
      <c r="M24" s="3"/>
      <c r="N24" s="3"/>
      <c r="O24" s="3"/>
      <c r="P24" s="3"/>
    </row>
    <row r="25" spans="1:16" x14ac:dyDescent="0.2">
      <c r="A25" s="3" t="s">
        <v>234</v>
      </c>
      <c r="B25" s="3"/>
      <c r="C25" s="3"/>
      <c r="D25" s="3"/>
      <c r="E25" s="3"/>
      <c r="L25" s="3"/>
      <c r="M25" s="3" t="s">
        <v>167</v>
      </c>
      <c r="N25" s="3"/>
      <c r="O25" s="3"/>
      <c r="P25" s="3"/>
    </row>
    <row r="26" spans="1:16" x14ac:dyDescent="0.2">
      <c r="A26" s="3"/>
      <c r="B26" s="3" t="s">
        <v>158</v>
      </c>
      <c r="C26" s="3"/>
      <c r="D26" s="3"/>
      <c r="E26" s="3"/>
      <c r="L26" s="3"/>
      <c r="M26" s="3"/>
      <c r="N26" s="3" t="s">
        <v>185</v>
      </c>
      <c r="O26" s="3"/>
      <c r="P26" s="3"/>
    </row>
    <row r="27" spans="1:16" x14ac:dyDescent="0.2">
      <c r="E27" s="3"/>
      <c r="L27" s="3"/>
      <c r="M27" s="3" t="s">
        <v>168</v>
      </c>
      <c r="N27" s="3"/>
      <c r="O27" s="3"/>
      <c r="P27" s="3"/>
    </row>
    <row r="28" spans="1:16" x14ac:dyDescent="0.2">
      <c r="A28" s="3" t="s">
        <v>235</v>
      </c>
      <c r="B28" s="3"/>
      <c r="C28" s="3"/>
      <c r="D28" s="3"/>
      <c r="E28" s="3"/>
      <c r="L28" s="3"/>
      <c r="M28" s="3"/>
      <c r="N28" s="3" t="s">
        <v>165</v>
      </c>
      <c r="O28" s="3"/>
      <c r="P28" s="3"/>
    </row>
    <row r="29" spans="1:16" x14ac:dyDescent="0.2">
      <c r="A29" s="3"/>
      <c r="B29" s="3" t="s">
        <v>236</v>
      </c>
      <c r="C29" s="3"/>
      <c r="D29" s="3"/>
      <c r="E29" s="3"/>
    </row>
    <row r="30" spans="1:16" x14ac:dyDescent="0.2">
      <c r="A30" s="3"/>
      <c r="B30" s="3" t="s">
        <v>237</v>
      </c>
      <c r="C30" s="3"/>
      <c r="D30" s="3"/>
      <c r="E30" s="3"/>
    </row>
    <row r="31" spans="1:16" x14ac:dyDescent="0.2">
      <c r="A31" s="3"/>
      <c r="B31" s="3"/>
      <c r="C31" s="3" t="s">
        <v>238</v>
      </c>
      <c r="D31" s="3"/>
      <c r="E31" s="3"/>
    </row>
    <row r="32" spans="1:16" x14ac:dyDescent="0.2">
      <c r="C32" s="3" t="s">
        <v>239</v>
      </c>
      <c r="D32" s="3"/>
      <c r="E32" s="3"/>
    </row>
    <row r="33" spans="1:5" x14ac:dyDescent="0.2">
      <c r="C33" s="3" t="s">
        <v>249</v>
      </c>
      <c r="D33" s="3"/>
      <c r="E33" s="3"/>
    </row>
    <row r="34" spans="1:5" x14ac:dyDescent="0.2">
      <c r="A34" s="3" t="s">
        <v>240</v>
      </c>
      <c r="B34" s="3"/>
      <c r="C34" s="3"/>
      <c r="D34" s="3"/>
      <c r="E34" s="3"/>
    </row>
    <row r="35" spans="1:5" x14ac:dyDescent="0.2">
      <c r="A35" s="3"/>
      <c r="B35" s="3" t="s">
        <v>241</v>
      </c>
      <c r="C35" s="3"/>
      <c r="D35" s="3"/>
      <c r="E35" s="3"/>
    </row>
    <row r="36" spans="1:5" x14ac:dyDescent="0.2">
      <c r="A36" s="3"/>
      <c r="B36" s="3" t="s">
        <v>245</v>
      </c>
      <c r="D36" s="3"/>
      <c r="E36" s="3"/>
    </row>
    <row r="37" spans="1:5" x14ac:dyDescent="0.2">
      <c r="A37" s="3" t="s">
        <v>242</v>
      </c>
      <c r="B37" s="3"/>
      <c r="D37" s="3"/>
    </row>
    <row r="38" spans="1:5" x14ac:dyDescent="0.2">
      <c r="A38" s="3"/>
      <c r="B38" s="3" t="s">
        <v>243</v>
      </c>
      <c r="C38" s="3"/>
      <c r="D38" s="3"/>
    </row>
    <row r="39" spans="1:5" x14ac:dyDescent="0.2">
      <c r="A39" s="3"/>
      <c r="B39" s="3" t="s">
        <v>246</v>
      </c>
      <c r="C39" s="3"/>
      <c r="D39" s="3"/>
    </row>
    <row r="52" spans="1:5" x14ac:dyDescent="0.2">
      <c r="A52" s="3"/>
      <c r="B52" s="3"/>
      <c r="C52" s="3"/>
      <c r="D52" s="3"/>
      <c r="E52" s="3"/>
    </row>
    <row r="53" spans="1:5" x14ac:dyDescent="0.2">
      <c r="A53" s="3"/>
      <c r="B53" s="3"/>
      <c r="C53" s="3"/>
      <c r="D53" s="3"/>
      <c r="E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30" width="9.140625" style="3"/>
    <col min="31" max="31" width="10.140625" style="3" bestFit="1" customWidth="1"/>
    <col min="32" max="16384" width="9.140625" style="3"/>
  </cols>
  <sheetData>
    <row r="1" spans="1:34" x14ac:dyDescent="0.2">
      <c r="A1" s="3" t="s">
        <v>108</v>
      </c>
      <c r="I1" s="3">
        <v>0.13</v>
      </c>
      <c r="K1" s="26" t="s">
        <v>76</v>
      </c>
      <c r="L1" s="64">
        <v>1</v>
      </c>
      <c r="P1" s="3" t="s">
        <v>109</v>
      </c>
      <c r="Q1" s="3">
        <v>0.4</v>
      </c>
    </row>
    <row r="2" spans="1:34" x14ac:dyDescent="0.2">
      <c r="A2" s="1" t="s">
        <v>248</v>
      </c>
      <c r="K2" s="27" t="s">
        <v>110</v>
      </c>
      <c r="P2" s="3" t="s">
        <v>111</v>
      </c>
      <c r="Q2" s="31">
        <v>0.22</v>
      </c>
    </row>
    <row r="3" spans="1:34" x14ac:dyDescent="0.2">
      <c r="A3" s="1"/>
      <c r="B3" s="1"/>
      <c r="C3" s="6" t="s">
        <v>112</v>
      </c>
      <c r="K3" s="28" t="s">
        <v>113</v>
      </c>
      <c r="L3" s="36">
        <v>1.05</v>
      </c>
    </row>
    <row r="4" spans="1:34" x14ac:dyDescent="0.2">
      <c r="A4" s="1"/>
      <c r="B4" s="1"/>
      <c r="C4" s="6" t="s">
        <v>61</v>
      </c>
      <c r="D4" s="3" t="s">
        <v>114</v>
      </c>
      <c r="E4" s="3" t="s">
        <v>115</v>
      </c>
      <c r="F4" s="3" t="s">
        <v>116</v>
      </c>
      <c r="G4" s="3" t="s">
        <v>76</v>
      </c>
      <c r="H4" s="3" t="s">
        <v>117</v>
      </c>
      <c r="I4" s="3" t="s">
        <v>68</v>
      </c>
      <c r="J4" s="3" t="s">
        <v>107</v>
      </c>
      <c r="M4" s="3" t="s">
        <v>107</v>
      </c>
      <c r="N4" s="3" t="s">
        <v>118</v>
      </c>
      <c r="P4" s="3" t="s">
        <v>119</v>
      </c>
      <c r="R4" s="3" t="s">
        <v>120</v>
      </c>
      <c r="S4" s="3" t="s">
        <v>121</v>
      </c>
      <c r="T4" s="3" t="s">
        <v>122</v>
      </c>
      <c r="AE4" s="3" t="s">
        <v>130</v>
      </c>
    </row>
    <row r="5" spans="1:34" x14ac:dyDescent="0.2">
      <c r="A5" s="9" t="s">
        <v>42</v>
      </c>
      <c r="B5" s="6" t="s">
        <v>123</v>
      </c>
      <c r="C5" s="10" t="s">
        <v>53</v>
      </c>
      <c r="I5" s="3" t="s">
        <v>69</v>
      </c>
      <c r="K5" s="1" t="s">
        <v>108</v>
      </c>
      <c r="P5" s="3" t="s">
        <v>124</v>
      </c>
      <c r="R5" s="3" t="s">
        <v>46</v>
      </c>
      <c r="S5" s="3" t="s">
        <v>46</v>
      </c>
      <c r="T5" s="3" t="s">
        <v>46</v>
      </c>
      <c r="AE5" s="3" t="s">
        <v>42</v>
      </c>
      <c r="AF5" s="3" t="s">
        <v>131</v>
      </c>
      <c r="AG5" s="3" t="s">
        <v>132</v>
      </c>
      <c r="AH5" s="3" t="s">
        <v>129</v>
      </c>
    </row>
    <row r="6" spans="1:34" x14ac:dyDescent="0.2">
      <c r="A6" s="1"/>
      <c r="B6" s="1"/>
      <c r="C6" s="1"/>
      <c r="H6" s="63">
        <v>858</v>
      </c>
      <c r="I6" s="34"/>
      <c r="K6" s="1"/>
      <c r="Q6" s="29">
        <f>Q2</f>
        <v>0.22</v>
      </c>
      <c r="R6" s="30">
        <f>H6*Q$2</f>
        <v>188.76</v>
      </c>
      <c r="S6" s="23">
        <v>0</v>
      </c>
      <c r="T6" s="23">
        <v>0</v>
      </c>
    </row>
    <row r="7" spans="1:34" x14ac:dyDescent="0.2">
      <c r="A7" s="40">
        <v>35065</v>
      </c>
      <c r="B7" s="34">
        <v>1</v>
      </c>
      <c r="C7" s="16">
        <f>ROUND(Data!BJ7,2)</f>
        <v>0</v>
      </c>
      <c r="D7" s="3">
        <f>ROUND(Data!R7,1)</f>
        <v>0.8</v>
      </c>
      <c r="E7" s="3">
        <f>ROUND(Data!AF7,1)</f>
        <v>-7.5</v>
      </c>
      <c r="F7" s="23">
        <f>Data!BO7</f>
        <v>0</v>
      </c>
      <c r="G7" s="3">
        <f>Data!Q7</f>
        <v>0</v>
      </c>
      <c r="H7" s="62">
        <f>IF(K7&gt;0,ROUND(H6+K7/0.13,0),H6-22)</f>
        <v>836</v>
      </c>
      <c r="I7" s="32"/>
      <c r="J7" s="16">
        <f>Data!BS7</f>
        <v>0</v>
      </c>
      <c r="K7" s="45">
        <f t="shared" ref="K7:K51" si="0">J7*L$3</f>
        <v>0</v>
      </c>
      <c r="M7" s="3">
        <f>J7</f>
        <v>0</v>
      </c>
      <c r="N7" s="14">
        <f>K7</f>
        <v>0</v>
      </c>
      <c r="P7" s="20">
        <f t="shared" ref="P7:P8" si="1">(R6+K7)/H7</f>
        <v>0.22578947368421051</v>
      </c>
      <c r="Q7" s="20">
        <f t="shared" ref="Q7:Q8" si="2">IF(P7&gt;Q$1,Q$1,P7)</f>
        <v>0.22578947368421051</v>
      </c>
      <c r="R7" s="19">
        <f t="shared" ref="R7:R8" si="3">Q7*H7</f>
        <v>188.76</v>
      </c>
      <c r="S7" s="23">
        <f t="shared" ref="S7:S8" si="4">R7-R6</f>
        <v>0</v>
      </c>
      <c r="T7" s="23">
        <f>ROUND(K7-S7,1)</f>
        <v>0</v>
      </c>
      <c r="AE7" s="48">
        <v>35095</v>
      </c>
      <c r="AF7">
        <v>234</v>
      </c>
      <c r="AG7">
        <v>820</v>
      </c>
      <c r="AH7">
        <v>119</v>
      </c>
    </row>
    <row r="8" spans="1:34" x14ac:dyDescent="0.2">
      <c r="A8" s="40">
        <v>35066</v>
      </c>
      <c r="B8" s="34">
        <v>2</v>
      </c>
      <c r="C8" s="16">
        <f>ROUND(Data!BJ8,2)</f>
        <v>0</v>
      </c>
      <c r="D8" s="3">
        <f>ROUND(Data!R8,1)</f>
        <v>2.6</v>
      </c>
      <c r="E8" s="3">
        <f>ROUND(Data!AF8,1)</f>
        <v>-6.2</v>
      </c>
      <c r="F8" s="23">
        <f>Data!BO8</f>
        <v>0</v>
      </c>
      <c r="G8" s="3">
        <f>Data!Q8</f>
        <v>0</v>
      </c>
      <c r="H8" s="62">
        <f t="shared" ref="H8:H71" si="5">IF(K8&gt;0,ROUND(H7+K8/0.13,0),H7-22)</f>
        <v>909</v>
      </c>
      <c r="I8" s="32"/>
      <c r="J8" s="16">
        <f>Data!BS8</f>
        <v>9</v>
      </c>
      <c r="K8" s="45">
        <f t="shared" si="0"/>
        <v>9.4500000000000011</v>
      </c>
      <c r="M8" s="23">
        <f>J8+M7</f>
        <v>9</v>
      </c>
      <c r="N8" s="23">
        <f>K8+N7</f>
        <v>9.4500000000000011</v>
      </c>
      <c r="P8" s="20">
        <f t="shared" si="1"/>
        <v>0.21805280528052803</v>
      </c>
      <c r="Q8" s="20">
        <f t="shared" si="2"/>
        <v>0.21805280528052803</v>
      </c>
      <c r="R8" s="19">
        <f t="shared" si="3"/>
        <v>198.20999999999998</v>
      </c>
      <c r="S8" s="23">
        <f t="shared" si="4"/>
        <v>9.4499999999999886</v>
      </c>
      <c r="T8" s="23">
        <f t="shared" ref="T8:T52" si="6">ROUND(K8-S8,1)</f>
        <v>0</v>
      </c>
      <c r="AE8" s="48">
        <v>35120</v>
      </c>
      <c r="AF8">
        <v>287</v>
      </c>
      <c r="AG8">
        <v>906</v>
      </c>
      <c r="AH8">
        <v>108</v>
      </c>
    </row>
    <row r="9" spans="1:34" x14ac:dyDescent="0.2">
      <c r="A9" s="40">
        <v>35067</v>
      </c>
      <c r="B9" s="34">
        <v>3</v>
      </c>
      <c r="C9" s="16">
        <f>ROUND(Data!BJ9,2)</f>
        <v>0</v>
      </c>
      <c r="D9" s="3">
        <f>ROUND(Data!R9,1)</f>
        <v>0.7</v>
      </c>
      <c r="E9" s="3">
        <f>ROUND(Data!AF9,1)</f>
        <v>-14.5</v>
      </c>
      <c r="F9" s="23">
        <f>Data!BO9</f>
        <v>0</v>
      </c>
      <c r="G9" s="3">
        <f>Data!Q9</f>
        <v>0</v>
      </c>
      <c r="H9" s="62">
        <f t="shared" si="5"/>
        <v>887</v>
      </c>
      <c r="I9" s="32"/>
      <c r="J9" s="16">
        <f>Data!BS9</f>
        <v>0</v>
      </c>
      <c r="K9" s="45">
        <f t="shared" si="0"/>
        <v>0</v>
      </c>
      <c r="M9" s="23">
        <f t="shared" ref="M9:N24" si="7">J9+M8</f>
        <v>9</v>
      </c>
      <c r="N9" s="23">
        <f t="shared" si="7"/>
        <v>9.4500000000000011</v>
      </c>
      <c r="P9" s="20">
        <f t="shared" ref="P9:P52" si="8">(R8+K9)/H9</f>
        <v>0.22346110484780154</v>
      </c>
      <c r="Q9" s="20">
        <f t="shared" ref="Q9:Q52" si="9">IF(P9&gt;Q$1,Q$1,P9)</f>
        <v>0.22346110484780154</v>
      </c>
      <c r="R9" s="19">
        <f t="shared" ref="R9:R52" si="10">Q9*H9</f>
        <v>198.20999999999998</v>
      </c>
      <c r="S9" s="23">
        <f t="shared" ref="S9:S52" si="11">R9-R8</f>
        <v>0</v>
      </c>
      <c r="T9" s="23">
        <f t="shared" si="6"/>
        <v>0</v>
      </c>
      <c r="AE9" s="48">
        <v>35154</v>
      </c>
      <c r="AF9">
        <v>261</v>
      </c>
      <c r="AG9">
        <v>1018</v>
      </c>
      <c r="AH9">
        <v>102</v>
      </c>
    </row>
    <row r="10" spans="1:34" x14ac:dyDescent="0.2">
      <c r="A10" s="40">
        <v>35068</v>
      </c>
      <c r="B10" s="34">
        <v>4</v>
      </c>
      <c r="C10" s="16">
        <f>ROUND(Data!BJ10,2)</f>
        <v>0</v>
      </c>
      <c r="D10" s="3">
        <f>ROUND(Data!R10,1)</f>
        <v>-10.4</v>
      </c>
      <c r="E10" s="3">
        <f>ROUND(Data!AF10,1)</f>
        <v>-21.2</v>
      </c>
      <c r="F10" s="23">
        <f>Data!BO10</f>
        <v>0</v>
      </c>
      <c r="G10" s="3">
        <f>Data!Q10</f>
        <v>0</v>
      </c>
      <c r="H10" s="62">
        <f t="shared" si="5"/>
        <v>865</v>
      </c>
      <c r="I10" s="32"/>
      <c r="J10" s="16">
        <f>Data!BS10</f>
        <v>0</v>
      </c>
      <c r="K10" s="45">
        <f t="shared" si="0"/>
        <v>0</v>
      </c>
      <c r="M10" s="23">
        <f t="shared" si="7"/>
        <v>9</v>
      </c>
      <c r="N10" s="23">
        <f t="shared" si="7"/>
        <v>9.4500000000000011</v>
      </c>
      <c r="P10" s="20">
        <f t="shared" si="8"/>
        <v>0.22914450867052022</v>
      </c>
      <c r="Q10" s="20">
        <f t="shared" si="9"/>
        <v>0.22914450867052022</v>
      </c>
      <c r="R10" s="19">
        <f t="shared" si="10"/>
        <v>198.20999999999998</v>
      </c>
      <c r="S10" s="23">
        <f t="shared" si="11"/>
        <v>0</v>
      </c>
      <c r="T10" s="23">
        <f t="shared" si="6"/>
        <v>0</v>
      </c>
      <c r="AE10" s="48">
        <v>35185</v>
      </c>
      <c r="AF10">
        <v>238</v>
      </c>
      <c r="AG10">
        <v>1120</v>
      </c>
      <c r="AH10">
        <v>104</v>
      </c>
    </row>
    <row r="11" spans="1:34" x14ac:dyDescent="0.2">
      <c r="A11" s="40">
        <v>35069</v>
      </c>
      <c r="B11" s="34">
        <v>5</v>
      </c>
      <c r="C11" s="16">
        <f>ROUND(Data!BJ11,2)</f>
        <v>0</v>
      </c>
      <c r="D11" s="3">
        <f>ROUND(Data!R11,1)</f>
        <v>-6.1</v>
      </c>
      <c r="E11" s="3">
        <f>ROUND(Data!AF11,1)</f>
        <v>-22.7</v>
      </c>
      <c r="F11" s="23">
        <f>Data!BO11</f>
        <v>0</v>
      </c>
      <c r="G11" s="3">
        <f>Data!Q11</f>
        <v>0</v>
      </c>
      <c r="H11" s="62">
        <f t="shared" si="5"/>
        <v>877</v>
      </c>
      <c r="I11" s="32"/>
      <c r="J11" s="16">
        <f>Data!BS11</f>
        <v>1.5</v>
      </c>
      <c r="K11" s="45">
        <f t="shared" si="0"/>
        <v>1.5750000000000002</v>
      </c>
      <c r="M11" s="23">
        <f t="shared" si="7"/>
        <v>10.5</v>
      </c>
      <c r="N11" s="23">
        <f t="shared" si="7"/>
        <v>11.025000000000002</v>
      </c>
      <c r="P11" s="20">
        <f t="shared" si="8"/>
        <v>0.2278050171037628</v>
      </c>
      <c r="Q11" s="20">
        <f t="shared" si="9"/>
        <v>0.2278050171037628</v>
      </c>
      <c r="R11" s="19">
        <f t="shared" si="10"/>
        <v>199.78499999999997</v>
      </c>
      <c r="S11" s="23">
        <f t="shared" si="11"/>
        <v>1.5749999999999886</v>
      </c>
      <c r="T11" s="23">
        <f t="shared" si="6"/>
        <v>0</v>
      </c>
      <c r="AE11" s="48">
        <v>35199</v>
      </c>
      <c r="AF11">
        <v>288</v>
      </c>
      <c r="AG11">
        <v>1233</v>
      </c>
      <c r="AH11">
        <v>115</v>
      </c>
    </row>
    <row r="12" spans="1:34" x14ac:dyDescent="0.2">
      <c r="A12" s="40">
        <v>35070</v>
      </c>
      <c r="B12" s="34">
        <v>6</v>
      </c>
      <c r="C12" s="16">
        <f>ROUND(Data!BJ12,2)</f>
        <v>0</v>
      </c>
      <c r="D12" s="3">
        <f>ROUND(Data!R12,1)</f>
        <v>-5.2</v>
      </c>
      <c r="E12" s="3">
        <f>ROUND(Data!AF12,1)</f>
        <v>-14.6</v>
      </c>
      <c r="F12" s="23">
        <f>Data!BO12</f>
        <v>0</v>
      </c>
      <c r="G12" s="3">
        <f>Data!Q12</f>
        <v>0</v>
      </c>
      <c r="H12" s="62">
        <f t="shared" si="5"/>
        <v>938</v>
      </c>
      <c r="I12" s="32"/>
      <c r="J12" s="16">
        <f>Data!BS12</f>
        <v>7.5</v>
      </c>
      <c r="K12" s="45">
        <f t="shared" si="0"/>
        <v>7.875</v>
      </c>
      <c r="M12" s="23">
        <f t="shared" si="7"/>
        <v>18</v>
      </c>
      <c r="N12" s="23">
        <f t="shared" si="7"/>
        <v>18.900000000000002</v>
      </c>
      <c r="P12" s="20">
        <f t="shared" si="8"/>
        <v>0.22138592750533045</v>
      </c>
      <c r="Q12" s="20">
        <f t="shared" si="9"/>
        <v>0.22138592750533045</v>
      </c>
      <c r="R12" s="19">
        <f t="shared" si="10"/>
        <v>207.65999999999997</v>
      </c>
      <c r="S12" s="23">
        <f t="shared" si="11"/>
        <v>7.875</v>
      </c>
      <c r="T12" s="23">
        <f t="shared" si="6"/>
        <v>0</v>
      </c>
      <c r="AE12" s="48">
        <v>35216</v>
      </c>
      <c r="AF12">
        <v>294</v>
      </c>
      <c r="AG12">
        <v>1280</v>
      </c>
      <c r="AH12">
        <v>139</v>
      </c>
    </row>
    <row r="13" spans="1:34" x14ac:dyDescent="0.2">
      <c r="A13" s="40">
        <v>35071</v>
      </c>
      <c r="B13" s="34">
        <v>7</v>
      </c>
      <c r="C13" s="16">
        <f>ROUND(Data!BJ13,2)</f>
        <v>0</v>
      </c>
      <c r="D13" s="3">
        <f>ROUND(Data!R13,1)</f>
        <v>0.6</v>
      </c>
      <c r="E13" s="3">
        <f>ROUND(Data!AF13,1)</f>
        <v>-6.8</v>
      </c>
      <c r="F13" s="23">
        <f>Data!BO13</f>
        <v>0</v>
      </c>
      <c r="G13" s="3">
        <f>Data!Q13</f>
        <v>0</v>
      </c>
      <c r="H13" s="62">
        <f t="shared" si="5"/>
        <v>916</v>
      </c>
      <c r="I13" s="32"/>
      <c r="J13" s="16">
        <f>Data!BS13</f>
        <v>0</v>
      </c>
      <c r="K13" s="45">
        <f t="shared" si="0"/>
        <v>0</v>
      </c>
      <c r="M13" s="23">
        <f t="shared" si="7"/>
        <v>18</v>
      </c>
      <c r="N13" s="23">
        <f t="shared" si="7"/>
        <v>18.900000000000002</v>
      </c>
      <c r="P13" s="20">
        <f t="shared" si="8"/>
        <v>0.22670305676855892</v>
      </c>
      <c r="Q13" s="20">
        <f t="shared" si="9"/>
        <v>0.22670305676855892</v>
      </c>
      <c r="R13" s="19">
        <f t="shared" si="10"/>
        <v>207.65999999999997</v>
      </c>
      <c r="S13" s="23">
        <f t="shared" si="11"/>
        <v>0</v>
      </c>
      <c r="T13" s="23">
        <f t="shared" si="6"/>
        <v>0</v>
      </c>
      <c r="AE13" s="48">
        <v>35230</v>
      </c>
      <c r="AF13">
        <v>204</v>
      </c>
      <c r="AG13">
        <v>1053</v>
      </c>
      <c r="AH13">
        <v>154</v>
      </c>
    </row>
    <row r="14" spans="1:34" x14ac:dyDescent="0.2">
      <c r="A14" s="40">
        <v>35072</v>
      </c>
      <c r="B14" s="34">
        <v>8</v>
      </c>
      <c r="C14" s="16">
        <f>ROUND(Data!BJ14,2)</f>
        <v>0</v>
      </c>
      <c r="D14" s="3">
        <f>ROUND(Data!R14,1)</f>
        <v>2.5</v>
      </c>
      <c r="E14" s="3">
        <f>ROUND(Data!AF14,1)</f>
        <v>-10.199999999999999</v>
      </c>
      <c r="F14" s="23">
        <f>Data!BO14</f>
        <v>0</v>
      </c>
      <c r="G14" s="3">
        <f>Data!Q14</f>
        <v>0</v>
      </c>
      <c r="H14" s="62">
        <f t="shared" si="5"/>
        <v>894</v>
      </c>
      <c r="I14" s="32"/>
      <c r="J14" s="16">
        <f>Data!BS14</f>
        <v>0</v>
      </c>
      <c r="K14" s="45">
        <f t="shared" si="0"/>
        <v>0</v>
      </c>
      <c r="M14" s="23">
        <f t="shared" si="7"/>
        <v>18</v>
      </c>
      <c r="N14" s="23">
        <f t="shared" si="7"/>
        <v>18.900000000000002</v>
      </c>
      <c r="P14" s="20">
        <f t="shared" si="8"/>
        <v>0.23228187919463084</v>
      </c>
      <c r="Q14" s="20">
        <f t="shared" si="9"/>
        <v>0.23228187919463084</v>
      </c>
      <c r="R14" s="19">
        <f t="shared" si="10"/>
        <v>207.65999999999997</v>
      </c>
      <c r="S14" s="23">
        <f t="shared" si="11"/>
        <v>0</v>
      </c>
      <c r="T14" s="23">
        <f t="shared" si="6"/>
        <v>0</v>
      </c>
    </row>
    <row r="15" spans="1:34" x14ac:dyDescent="0.2">
      <c r="A15" s="40">
        <v>35073</v>
      </c>
      <c r="B15" s="34">
        <v>9</v>
      </c>
      <c r="C15" s="16">
        <f>ROUND(Data!BJ15,2)</f>
        <v>0</v>
      </c>
      <c r="D15" s="3">
        <f>ROUND(Data!R15,1)</f>
        <v>0.9</v>
      </c>
      <c r="E15" s="3">
        <f>ROUND(Data!AF15,1)</f>
        <v>-7.6</v>
      </c>
      <c r="F15" s="23">
        <f>Data!BO15</f>
        <v>0</v>
      </c>
      <c r="G15" s="3">
        <f>Data!Q15</f>
        <v>0</v>
      </c>
      <c r="H15" s="62">
        <f t="shared" si="5"/>
        <v>872</v>
      </c>
      <c r="I15" s="32"/>
      <c r="J15" s="16">
        <f>Data!BS15</f>
        <v>0</v>
      </c>
      <c r="K15" s="45">
        <f t="shared" si="0"/>
        <v>0</v>
      </c>
      <c r="M15" s="23">
        <f t="shared" si="7"/>
        <v>18</v>
      </c>
      <c r="N15" s="23">
        <f t="shared" si="7"/>
        <v>18.900000000000002</v>
      </c>
      <c r="P15" s="20">
        <f t="shared" si="8"/>
        <v>0.23814220183486234</v>
      </c>
      <c r="Q15" s="20">
        <f t="shared" si="9"/>
        <v>0.23814220183486234</v>
      </c>
      <c r="R15" s="19">
        <f t="shared" si="10"/>
        <v>207.65999999999997</v>
      </c>
      <c r="S15" s="23">
        <f t="shared" si="11"/>
        <v>0</v>
      </c>
      <c r="T15" s="23">
        <f t="shared" si="6"/>
        <v>0</v>
      </c>
    </row>
    <row r="16" spans="1:34" x14ac:dyDescent="0.2">
      <c r="A16" s="40">
        <v>35074</v>
      </c>
      <c r="B16" s="34">
        <v>10</v>
      </c>
      <c r="C16" s="16">
        <f>ROUND(Data!BJ16,2)</f>
        <v>0</v>
      </c>
      <c r="D16" s="3">
        <f>ROUND(Data!R16,1)</f>
        <v>-0.4</v>
      </c>
      <c r="E16" s="3">
        <f>ROUND(Data!AF16,1)</f>
        <v>-6.1</v>
      </c>
      <c r="F16" s="23">
        <f>Data!BO16</f>
        <v>0</v>
      </c>
      <c r="G16" s="3">
        <f>Data!Q16</f>
        <v>0</v>
      </c>
      <c r="H16" s="62">
        <f t="shared" si="5"/>
        <v>850</v>
      </c>
      <c r="I16" s="32"/>
      <c r="J16" s="16">
        <f>Data!BS16</f>
        <v>0</v>
      </c>
      <c r="K16" s="45">
        <f t="shared" si="0"/>
        <v>0</v>
      </c>
      <c r="M16" s="23">
        <f t="shared" si="7"/>
        <v>18</v>
      </c>
      <c r="N16" s="23">
        <f t="shared" si="7"/>
        <v>18.900000000000002</v>
      </c>
      <c r="P16" s="20">
        <f t="shared" si="8"/>
        <v>0.24430588235294115</v>
      </c>
      <c r="Q16" s="20">
        <f t="shared" si="9"/>
        <v>0.24430588235294115</v>
      </c>
      <c r="R16" s="19">
        <f t="shared" si="10"/>
        <v>207.65999999999997</v>
      </c>
      <c r="S16" s="23">
        <f t="shared" si="11"/>
        <v>0</v>
      </c>
      <c r="T16" s="23">
        <f t="shared" si="6"/>
        <v>0</v>
      </c>
    </row>
    <row r="17" spans="1:20" x14ac:dyDescent="0.2">
      <c r="A17" s="40">
        <v>35075</v>
      </c>
      <c r="B17" s="34">
        <v>11</v>
      </c>
      <c r="C17" s="16">
        <f>ROUND(Data!BJ17,2)</f>
        <v>0</v>
      </c>
      <c r="D17" s="3">
        <f>ROUND(Data!R17,1)</f>
        <v>1.6</v>
      </c>
      <c r="E17" s="3">
        <f>ROUND(Data!AF17,1)</f>
        <v>-10.4</v>
      </c>
      <c r="F17" s="23">
        <f>Data!BO17</f>
        <v>0</v>
      </c>
      <c r="G17" s="3">
        <f>Data!Q17</f>
        <v>0</v>
      </c>
      <c r="H17" s="62">
        <f t="shared" si="5"/>
        <v>828</v>
      </c>
      <c r="I17" s="32"/>
      <c r="J17" s="16">
        <f>Data!BS17</f>
        <v>0</v>
      </c>
      <c r="K17" s="45">
        <f t="shared" si="0"/>
        <v>0</v>
      </c>
      <c r="M17" s="23">
        <f t="shared" si="7"/>
        <v>18</v>
      </c>
      <c r="N17" s="23">
        <f t="shared" si="7"/>
        <v>18.900000000000002</v>
      </c>
      <c r="P17" s="20">
        <f t="shared" si="8"/>
        <v>0.25079710144927531</v>
      </c>
      <c r="Q17" s="20">
        <f t="shared" si="9"/>
        <v>0.25079710144927531</v>
      </c>
      <c r="R17" s="19">
        <f t="shared" si="10"/>
        <v>207.65999999999994</v>
      </c>
      <c r="S17" s="23">
        <f t="shared" si="11"/>
        <v>0</v>
      </c>
      <c r="T17" s="23">
        <f t="shared" si="6"/>
        <v>0</v>
      </c>
    </row>
    <row r="18" spans="1:20" x14ac:dyDescent="0.2">
      <c r="A18" s="40">
        <v>35076</v>
      </c>
      <c r="B18" s="34">
        <v>12</v>
      </c>
      <c r="C18" s="16">
        <f>ROUND(Data!BJ18,2)</f>
        <v>0</v>
      </c>
      <c r="D18" s="3">
        <f>ROUND(Data!R18,1)</f>
        <v>1.5</v>
      </c>
      <c r="E18" s="3">
        <f>ROUND(Data!AF18,1)</f>
        <v>-12.7</v>
      </c>
      <c r="F18" s="23">
        <f>Data!BO18</f>
        <v>0</v>
      </c>
      <c r="G18" s="3">
        <f>Data!Q18</f>
        <v>0</v>
      </c>
      <c r="H18" s="62">
        <f t="shared" si="5"/>
        <v>806</v>
      </c>
      <c r="I18" s="32"/>
      <c r="J18" s="16">
        <f>Data!BS18</f>
        <v>0</v>
      </c>
      <c r="K18" s="45">
        <f t="shared" si="0"/>
        <v>0</v>
      </c>
      <c r="M18" s="23">
        <f t="shared" si="7"/>
        <v>18</v>
      </c>
      <c r="N18" s="23">
        <f t="shared" si="7"/>
        <v>18.900000000000002</v>
      </c>
      <c r="P18" s="20">
        <f t="shared" si="8"/>
        <v>0.25764267990074435</v>
      </c>
      <c r="Q18" s="20">
        <f t="shared" si="9"/>
        <v>0.25764267990074435</v>
      </c>
      <c r="R18" s="19">
        <f t="shared" si="10"/>
        <v>207.65999999999994</v>
      </c>
      <c r="S18" s="23">
        <f t="shared" si="11"/>
        <v>0</v>
      </c>
      <c r="T18" s="23">
        <f t="shared" si="6"/>
        <v>0</v>
      </c>
    </row>
    <row r="19" spans="1:20" x14ac:dyDescent="0.2">
      <c r="A19" s="40">
        <v>35077</v>
      </c>
      <c r="B19" s="34">
        <v>13</v>
      </c>
      <c r="C19" s="16">
        <f>ROUND(Data!BJ19,2)</f>
        <v>0</v>
      </c>
      <c r="D19" s="3">
        <f>ROUND(Data!R19,1)</f>
        <v>4</v>
      </c>
      <c r="E19" s="3">
        <f>ROUND(Data!AF19,1)</f>
        <v>-10.199999999999999</v>
      </c>
      <c r="F19" s="23">
        <f>Data!BO19</f>
        <v>0</v>
      </c>
      <c r="G19" s="3">
        <f>Data!Q19</f>
        <v>0</v>
      </c>
      <c r="H19" s="62">
        <f t="shared" si="5"/>
        <v>784</v>
      </c>
      <c r="I19" s="32"/>
      <c r="J19" s="16">
        <f>Data!BS19</f>
        <v>0</v>
      </c>
      <c r="K19" s="45">
        <f t="shared" si="0"/>
        <v>0</v>
      </c>
      <c r="M19" s="23">
        <f t="shared" si="7"/>
        <v>18</v>
      </c>
      <c r="N19" s="23">
        <f t="shared" si="7"/>
        <v>18.900000000000002</v>
      </c>
      <c r="P19" s="20">
        <f t="shared" si="8"/>
        <v>0.26487244897959178</v>
      </c>
      <c r="Q19" s="20">
        <f t="shared" si="9"/>
        <v>0.26487244897959178</v>
      </c>
      <c r="R19" s="19">
        <f t="shared" si="10"/>
        <v>207.65999999999997</v>
      </c>
      <c r="S19" s="23">
        <f t="shared" si="11"/>
        <v>0</v>
      </c>
      <c r="T19" s="23">
        <f t="shared" si="6"/>
        <v>0</v>
      </c>
    </row>
    <row r="20" spans="1:20" x14ac:dyDescent="0.2">
      <c r="A20" s="40">
        <v>35078</v>
      </c>
      <c r="B20" s="34">
        <v>14</v>
      </c>
      <c r="C20" s="16">
        <f>ROUND(Data!BJ20,2)</f>
        <v>0</v>
      </c>
      <c r="D20" s="3">
        <f>ROUND(Data!R20,1)</f>
        <v>2.2000000000000002</v>
      </c>
      <c r="E20" s="3">
        <f>ROUND(Data!AF20,1)</f>
        <v>-2.8</v>
      </c>
      <c r="F20" s="23">
        <f>Data!BO20</f>
        <v>0</v>
      </c>
      <c r="G20" s="3">
        <f>Data!Q20</f>
        <v>0</v>
      </c>
      <c r="H20" s="62">
        <f t="shared" si="5"/>
        <v>762</v>
      </c>
      <c r="I20" s="32"/>
      <c r="J20" s="16">
        <f>Data!BS20</f>
        <v>0</v>
      </c>
      <c r="K20" s="45">
        <f t="shared" si="0"/>
        <v>0</v>
      </c>
      <c r="M20" s="23">
        <f t="shared" si="7"/>
        <v>18</v>
      </c>
      <c r="N20" s="23">
        <f t="shared" si="7"/>
        <v>18.900000000000002</v>
      </c>
      <c r="P20" s="20">
        <f t="shared" si="8"/>
        <v>0.27251968503937002</v>
      </c>
      <c r="Q20" s="20">
        <f t="shared" si="9"/>
        <v>0.27251968503937002</v>
      </c>
      <c r="R20" s="19">
        <f t="shared" si="10"/>
        <v>207.65999999999997</v>
      </c>
      <c r="S20" s="23">
        <f t="shared" si="11"/>
        <v>0</v>
      </c>
      <c r="T20" s="23">
        <f t="shared" si="6"/>
        <v>0</v>
      </c>
    </row>
    <row r="21" spans="1:20" x14ac:dyDescent="0.2">
      <c r="A21" s="40">
        <v>35079</v>
      </c>
      <c r="B21" s="34">
        <v>15</v>
      </c>
      <c r="C21" s="16">
        <f>ROUND(Data!BJ21,2)</f>
        <v>0</v>
      </c>
      <c r="D21" s="3">
        <f>ROUND(Data!R21,1)</f>
        <v>2.8</v>
      </c>
      <c r="E21" s="3">
        <f>ROUND(Data!AF21,1)</f>
        <v>-4.3</v>
      </c>
      <c r="F21" s="23">
        <f>Data!BO21</f>
        <v>0</v>
      </c>
      <c r="G21" s="3">
        <f>Data!Q21</f>
        <v>0</v>
      </c>
      <c r="H21" s="62">
        <f t="shared" si="5"/>
        <v>774</v>
      </c>
      <c r="I21" s="32"/>
      <c r="J21" s="16">
        <f>Data!BS21</f>
        <v>1.5</v>
      </c>
      <c r="K21" s="45">
        <f t="shared" si="0"/>
        <v>1.5750000000000002</v>
      </c>
      <c r="M21" s="23">
        <f t="shared" si="7"/>
        <v>19.5</v>
      </c>
      <c r="N21" s="23">
        <f t="shared" si="7"/>
        <v>20.475000000000001</v>
      </c>
      <c r="P21" s="20">
        <f t="shared" si="8"/>
        <v>0.27032945736434105</v>
      </c>
      <c r="Q21" s="20">
        <f t="shared" si="9"/>
        <v>0.27032945736434105</v>
      </c>
      <c r="R21" s="19">
        <f t="shared" si="10"/>
        <v>209.23499999999999</v>
      </c>
      <c r="S21" s="23">
        <f t="shared" si="11"/>
        <v>1.5750000000000171</v>
      </c>
      <c r="T21" s="23">
        <f t="shared" si="6"/>
        <v>0</v>
      </c>
    </row>
    <row r="22" spans="1:20" x14ac:dyDescent="0.2">
      <c r="A22" s="40">
        <v>35080</v>
      </c>
      <c r="B22" s="34">
        <v>16</v>
      </c>
      <c r="C22" s="16">
        <f>ROUND(Data!BJ22,2)</f>
        <v>0</v>
      </c>
      <c r="D22" s="3">
        <f>ROUND(Data!R22,1)</f>
        <v>0.5</v>
      </c>
      <c r="E22" s="3">
        <f>ROUND(Data!AF22,1)</f>
        <v>-17.8</v>
      </c>
      <c r="F22" s="23">
        <f>Data!BO22</f>
        <v>0</v>
      </c>
      <c r="G22" s="3">
        <f>Data!Q22</f>
        <v>0</v>
      </c>
      <c r="H22" s="62">
        <f t="shared" si="5"/>
        <v>752</v>
      </c>
      <c r="I22" s="32"/>
      <c r="J22" s="16">
        <f>Data!BS22</f>
        <v>0</v>
      </c>
      <c r="K22" s="45">
        <f t="shared" si="0"/>
        <v>0</v>
      </c>
      <c r="M22" s="23">
        <f t="shared" si="7"/>
        <v>19.5</v>
      </c>
      <c r="N22" s="23">
        <f t="shared" si="7"/>
        <v>20.475000000000001</v>
      </c>
      <c r="P22" s="20">
        <f t="shared" si="8"/>
        <v>0.2782380319148936</v>
      </c>
      <c r="Q22" s="20">
        <f t="shared" si="9"/>
        <v>0.2782380319148936</v>
      </c>
      <c r="R22" s="19">
        <f t="shared" si="10"/>
        <v>209.23499999999999</v>
      </c>
      <c r="S22" s="23">
        <f t="shared" si="11"/>
        <v>0</v>
      </c>
      <c r="T22" s="23">
        <f t="shared" si="6"/>
        <v>0</v>
      </c>
    </row>
    <row r="23" spans="1:20" x14ac:dyDescent="0.2">
      <c r="A23" s="40">
        <v>35081</v>
      </c>
      <c r="B23" s="34">
        <v>17</v>
      </c>
      <c r="C23" s="16">
        <f>ROUND(Data!BJ23,2)</f>
        <v>0</v>
      </c>
      <c r="D23" s="3">
        <f>ROUND(Data!R23,1)</f>
        <v>-9.1999999999999993</v>
      </c>
      <c r="E23" s="3">
        <f>ROUND(Data!AF23,1)</f>
        <v>-30.9</v>
      </c>
      <c r="F23" s="23">
        <f>Data!BO23</f>
        <v>0</v>
      </c>
      <c r="G23" s="3">
        <f>Data!Q23</f>
        <v>0</v>
      </c>
      <c r="H23" s="62">
        <f t="shared" si="5"/>
        <v>730</v>
      </c>
      <c r="I23" s="32"/>
      <c r="J23" s="16">
        <f>Data!BS23</f>
        <v>0</v>
      </c>
      <c r="K23" s="45">
        <f t="shared" si="0"/>
        <v>0</v>
      </c>
      <c r="M23" s="23">
        <f t="shared" si="7"/>
        <v>19.5</v>
      </c>
      <c r="N23" s="23">
        <f t="shared" si="7"/>
        <v>20.475000000000001</v>
      </c>
      <c r="P23" s="20">
        <f t="shared" si="8"/>
        <v>0.28662328767123285</v>
      </c>
      <c r="Q23" s="20">
        <f t="shared" si="9"/>
        <v>0.28662328767123285</v>
      </c>
      <c r="R23" s="19">
        <f t="shared" si="10"/>
        <v>209.23499999999999</v>
      </c>
      <c r="S23" s="23">
        <f t="shared" si="11"/>
        <v>0</v>
      </c>
      <c r="T23" s="23">
        <f t="shared" si="6"/>
        <v>0</v>
      </c>
    </row>
    <row r="24" spans="1:20" x14ac:dyDescent="0.2">
      <c r="A24" s="40">
        <v>35082</v>
      </c>
      <c r="B24" s="34">
        <v>18</v>
      </c>
      <c r="C24" s="16">
        <f>ROUND(Data!BJ24,2)</f>
        <v>0</v>
      </c>
      <c r="D24" s="3">
        <f>ROUND(Data!R24,1)</f>
        <v>-9.3000000000000007</v>
      </c>
      <c r="E24" s="3">
        <f>ROUND(Data!AF24,1)</f>
        <v>-32.4</v>
      </c>
      <c r="F24" s="23">
        <f>Data!BO24</f>
        <v>0</v>
      </c>
      <c r="G24" s="3">
        <f>Data!Q24</f>
        <v>0</v>
      </c>
      <c r="H24" s="62">
        <f t="shared" si="5"/>
        <v>708</v>
      </c>
      <c r="I24" s="32"/>
      <c r="J24" s="16">
        <f>Data!BS24</f>
        <v>0</v>
      </c>
      <c r="K24" s="45">
        <f t="shared" si="0"/>
        <v>0</v>
      </c>
      <c r="M24" s="23">
        <f t="shared" si="7"/>
        <v>19.5</v>
      </c>
      <c r="N24" s="23">
        <f t="shared" si="7"/>
        <v>20.475000000000001</v>
      </c>
      <c r="P24" s="20">
        <f t="shared" si="8"/>
        <v>0.29552966101694911</v>
      </c>
      <c r="Q24" s="20">
        <f t="shared" si="9"/>
        <v>0.29552966101694911</v>
      </c>
      <c r="R24" s="19">
        <f t="shared" si="10"/>
        <v>209.23499999999996</v>
      </c>
      <c r="S24" s="23">
        <f t="shared" si="11"/>
        <v>0</v>
      </c>
      <c r="T24" s="23">
        <f t="shared" si="6"/>
        <v>0</v>
      </c>
    </row>
    <row r="25" spans="1:20" x14ac:dyDescent="0.2">
      <c r="A25" s="40">
        <v>35083</v>
      </c>
      <c r="B25" s="34">
        <v>19</v>
      </c>
      <c r="C25" s="16">
        <f>ROUND(Data!BJ25,2)</f>
        <v>0</v>
      </c>
      <c r="D25" s="3">
        <f>ROUND(Data!R25,1)</f>
        <v>-9.1</v>
      </c>
      <c r="E25" s="3">
        <f>ROUND(Data!AF25,1)</f>
        <v>-17.7</v>
      </c>
      <c r="F25" s="23">
        <f>Data!BO25</f>
        <v>0</v>
      </c>
      <c r="G25" s="3">
        <f>Data!Q25</f>
        <v>0</v>
      </c>
      <c r="H25" s="62">
        <f t="shared" si="5"/>
        <v>686</v>
      </c>
      <c r="I25" s="32"/>
      <c r="J25" s="16">
        <f>Data!BS25</f>
        <v>0</v>
      </c>
      <c r="K25" s="45">
        <f t="shared" si="0"/>
        <v>0</v>
      </c>
      <c r="M25" s="23">
        <f t="shared" ref="M25:N40" si="12">J25+M24</f>
        <v>19.5</v>
      </c>
      <c r="N25" s="23">
        <f t="shared" si="12"/>
        <v>20.475000000000001</v>
      </c>
      <c r="P25" s="20">
        <f t="shared" si="8"/>
        <v>0.30500728862973753</v>
      </c>
      <c r="Q25" s="20">
        <f t="shared" si="9"/>
        <v>0.30500728862973753</v>
      </c>
      <c r="R25" s="19">
        <f t="shared" si="10"/>
        <v>209.23499999999996</v>
      </c>
      <c r="S25" s="23">
        <f t="shared" si="11"/>
        <v>0</v>
      </c>
      <c r="T25" s="23">
        <f t="shared" si="6"/>
        <v>0</v>
      </c>
    </row>
    <row r="26" spans="1:20" x14ac:dyDescent="0.2">
      <c r="A26" s="40">
        <v>35084</v>
      </c>
      <c r="B26" s="34">
        <v>20</v>
      </c>
      <c r="C26" s="16">
        <f>ROUND(Data!BJ26,2)</f>
        <v>0</v>
      </c>
      <c r="D26" s="3">
        <f>ROUND(Data!R26,1)</f>
        <v>-8.3000000000000007</v>
      </c>
      <c r="E26" s="3">
        <f>ROUND(Data!AF26,1)</f>
        <v>-16.5</v>
      </c>
      <c r="F26" s="23">
        <f>Data!BO26</f>
        <v>0</v>
      </c>
      <c r="G26" s="3">
        <f>Data!Q26</f>
        <v>0</v>
      </c>
      <c r="H26" s="62">
        <f t="shared" si="5"/>
        <v>664</v>
      </c>
      <c r="I26" s="32"/>
      <c r="J26" s="16">
        <f>Data!BS26</f>
        <v>0</v>
      </c>
      <c r="K26" s="45">
        <f t="shared" si="0"/>
        <v>0</v>
      </c>
      <c r="M26" s="23">
        <f t="shared" si="12"/>
        <v>19.5</v>
      </c>
      <c r="N26" s="23">
        <f t="shared" si="12"/>
        <v>20.475000000000001</v>
      </c>
      <c r="P26" s="20">
        <f t="shared" si="8"/>
        <v>0.31511295180722887</v>
      </c>
      <c r="Q26" s="20">
        <f t="shared" si="9"/>
        <v>0.31511295180722887</v>
      </c>
      <c r="R26" s="19">
        <f t="shared" si="10"/>
        <v>209.23499999999996</v>
      </c>
      <c r="S26" s="23">
        <f t="shared" si="11"/>
        <v>0</v>
      </c>
      <c r="T26" s="23">
        <f t="shared" si="6"/>
        <v>0</v>
      </c>
    </row>
    <row r="27" spans="1:20" x14ac:dyDescent="0.2">
      <c r="A27" s="40">
        <v>35085</v>
      </c>
      <c r="B27" s="34">
        <v>21</v>
      </c>
      <c r="C27" s="16">
        <f>ROUND(Data!BJ27,2)</f>
        <v>0</v>
      </c>
      <c r="D27" s="3">
        <f>ROUND(Data!R27,1)</f>
        <v>-9.8000000000000007</v>
      </c>
      <c r="E27" s="3">
        <f>ROUND(Data!AF27,1)</f>
        <v>-27.8</v>
      </c>
      <c r="F27" s="23">
        <f>Data!BO27</f>
        <v>0</v>
      </c>
      <c r="G27" s="3">
        <f>Data!Q27</f>
        <v>0</v>
      </c>
      <c r="H27" s="62">
        <f t="shared" si="5"/>
        <v>676</v>
      </c>
      <c r="I27" s="32"/>
      <c r="J27" s="16">
        <f>Data!BS27</f>
        <v>1.5</v>
      </c>
      <c r="K27" s="45">
        <f t="shared" si="0"/>
        <v>1.5750000000000002</v>
      </c>
      <c r="M27" s="23">
        <f t="shared" si="12"/>
        <v>21</v>
      </c>
      <c r="N27" s="23">
        <f t="shared" si="12"/>
        <v>22.05</v>
      </c>
      <c r="P27" s="20">
        <f t="shared" si="8"/>
        <v>0.31184911242603541</v>
      </c>
      <c r="Q27" s="20">
        <f t="shared" si="9"/>
        <v>0.31184911242603541</v>
      </c>
      <c r="R27" s="19">
        <f t="shared" si="10"/>
        <v>210.80999999999995</v>
      </c>
      <c r="S27" s="23">
        <f t="shared" si="11"/>
        <v>1.5749999999999886</v>
      </c>
      <c r="T27" s="23">
        <f t="shared" si="6"/>
        <v>0</v>
      </c>
    </row>
    <row r="28" spans="1:20" x14ac:dyDescent="0.2">
      <c r="A28" s="40">
        <v>35086</v>
      </c>
      <c r="B28" s="34">
        <v>22</v>
      </c>
      <c r="C28" s="16">
        <f>ROUND(Data!BJ28,2)</f>
        <v>0</v>
      </c>
      <c r="D28" s="3">
        <f>ROUND(Data!R28,1)</f>
        <v>-7.2</v>
      </c>
      <c r="E28" s="3">
        <f>ROUND(Data!AF28,1)</f>
        <v>-27.6</v>
      </c>
      <c r="F28" s="23">
        <f>Data!BO28</f>
        <v>0</v>
      </c>
      <c r="G28" s="3">
        <f>Data!Q28</f>
        <v>0</v>
      </c>
      <c r="H28" s="62">
        <f t="shared" si="5"/>
        <v>688</v>
      </c>
      <c r="I28" s="32"/>
      <c r="J28" s="16">
        <f>Data!BS28</f>
        <v>1.5</v>
      </c>
      <c r="K28" s="45">
        <f t="shared" si="0"/>
        <v>1.5750000000000002</v>
      </c>
      <c r="M28" s="23">
        <f t="shared" si="12"/>
        <v>22.5</v>
      </c>
      <c r="N28" s="23">
        <f t="shared" si="12"/>
        <v>23.625</v>
      </c>
      <c r="P28" s="20">
        <f t="shared" si="8"/>
        <v>0.30869912790697662</v>
      </c>
      <c r="Q28" s="20">
        <f t="shared" si="9"/>
        <v>0.30869912790697662</v>
      </c>
      <c r="R28" s="19">
        <f t="shared" si="10"/>
        <v>212.38499999999991</v>
      </c>
      <c r="S28" s="23">
        <f t="shared" si="11"/>
        <v>1.5749999999999602</v>
      </c>
      <c r="T28" s="23">
        <f t="shared" si="6"/>
        <v>0</v>
      </c>
    </row>
    <row r="29" spans="1:20" x14ac:dyDescent="0.2">
      <c r="A29" s="40">
        <v>35087</v>
      </c>
      <c r="B29" s="34">
        <v>23</v>
      </c>
      <c r="C29" s="16">
        <f>ROUND(Data!BJ29,2)</f>
        <v>0</v>
      </c>
      <c r="D29" s="3">
        <f>ROUND(Data!R29,1)</f>
        <v>-5</v>
      </c>
      <c r="E29" s="3">
        <f>ROUND(Data!AF29,1)</f>
        <v>-15.1</v>
      </c>
      <c r="F29" s="23">
        <f>Data!BO29</f>
        <v>0</v>
      </c>
      <c r="G29" s="3">
        <f>Data!Q29</f>
        <v>0</v>
      </c>
      <c r="H29" s="62">
        <f t="shared" si="5"/>
        <v>736</v>
      </c>
      <c r="I29" s="32"/>
      <c r="J29" s="16">
        <f>Data!BS29</f>
        <v>6</v>
      </c>
      <c r="K29" s="45">
        <f t="shared" si="0"/>
        <v>6.3000000000000007</v>
      </c>
      <c r="M29" s="23">
        <f t="shared" si="12"/>
        <v>28.5</v>
      </c>
      <c r="N29" s="23">
        <f t="shared" si="12"/>
        <v>29.925000000000001</v>
      </c>
      <c r="P29" s="20">
        <f t="shared" si="8"/>
        <v>0.29712635869565207</v>
      </c>
      <c r="Q29" s="20">
        <f t="shared" si="9"/>
        <v>0.29712635869565207</v>
      </c>
      <c r="R29" s="19">
        <f t="shared" si="10"/>
        <v>218.68499999999992</v>
      </c>
      <c r="S29" s="23">
        <f t="shared" si="11"/>
        <v>6.3000000000000114</v>
      </c>
      <c r="T29" s="23">
        <f t="shared" si="6"/>
        <v>0</v>
      </c>
    </row>
    <row r="30" spans="1:20" x14ac:dyDescent="0.2">
      <c r="A30" s="40">
        <v>35088</v>
      </c>
      <c r="B30" s="34">
        <v>24</v>
      </c>
      <c r="C30" s="16">
        <f>ROUND(Data!BJ30,2)</f>
        <v>0</v>
      </c>
      <c r="D30" s="3">
        <f>ROUND(Data!R30,1)</f>
        <v>-7.9</v>
      </c>
      <c r="E30" s="3">
        <f>ROUND(Data!AF30,1)</f>
        <v>-24.2</v>
      </c>
      <c r="F30" s="23">
        <f>Data!BO30</f>
        <v>0</v>
      </c>
      <c r="G30" s="3">
        <f>Data!Q30</f>
        <v>0</v>
      </c>
      <c r="H30" s="62">
        <f t="shared" si="5"/>
        <v>714</v>
      </c>
      <c r="I30" s="32"/>
      <c r="J30" s="16">
        <f>Data!BS30</f>
        <v>0</v>
      </c>
      <c r="K30" s="45">
        <f t="shared" si="0"/>
        <v>0</v>
      </c>
      <c r="M30" s="23">
        <f t="shared" si="12"/>
        <v>28.5</v>
      </c>
      <c r="N30" s="23">
        <f t="shared" si="12"/>
        <v>29.925000000000001</v>
      </c>
      <c r="P30" s="20">
        <f t="shared" si="8"/>
        <v>0.30628151260504188</v>
      </c>
      <c r="Q30" s="20">
        <f t="shared" si="9"/>
        <v>0.30628151260504188</v>
      </c>
      <c r="R30" s="19">
        <f t="shared" si="10"/>
        <v>218.68499999999992</v>
      </c>
      <c r="S30" s="23">
        <f t="shared" si="11"/>
        <v>0</v>
      </c>
      <c r="T30" s="23">
        <f t="shared" si="6"/>
        <v>0</v>
      </c>
    </row>
    <row r="31" spans="1:20" x14ac:dyDescent="0.2">
      <c r="A31" s="40">
        <v>35089</v>
      </c>
      <c r="B31" s="34">
        <v>25</v>
      </c>
      <c r="C31" s="16">
        <f>ROUND(Data!BJ31,2)</f>
        <v>0</v>
      </c>
      <c r="D31" s="3">
        <f>ROUND(Data!R31,1)</f>
        <v>-9.1999999999999993</v>
      </c>
      <c r="E31" s="3">
        <f>ROUND(Data!AF31,1)</f>
        <v>-26.6</v>
      </c>
      <c r="F31" s="23">
        <f>Data!BO31</f>
        <v>0</v>
      </c>
      <c r="G31" s="3">
        <f>Data!Q31</f>
        <v>0</v>
      </c>
      <c r="H31" s="62">
        <f t="shared" si="5"/>
        <v>738</v>
      </c>
      <c r="I31" s="32"/>
      <c r="J31" s="16">
        <f>Data!BS31</f>
        <v>3</v>
      </c>
      <c r="K31" s="45">
        <f t="shared" si="0"/>
        <v>3.1500000000000004</v>
      </c>
      <c r="M31" s="23">
        <f t="shared" si="12"/>
        <v>31.5</v>
      </c>
      <c r="N31" s="23">
        <f t="shared" si="12"/>
        <v>33.075000000000003</v>
      </c>
      <c r="P31" s="20">
        <f t="shared" si="8"/>
        <v>0.30058943089430884</v>
      </c>
      <c r="Q31" s="20">
        <f t="shared" si="9"/>
        <v>0.30058943089430884</v>
      </c>
      <c r="R31" s="19">
        <f t="shared" si="10"/>
        <v>221.83499999999992</v>
      </c>
      <c r="S31" s="23">
        <f t="shared" si="11"/>
        <v>3.1500000000000057</v>
      </c>
      <c r="T31" s="23">
        <f t="shared" si="6"/>
        <v>0</v>
      </c>
    </row>
    <row r="32" spans="1:20" x14ac:dyDescent="0.2">
      <c r="A32" s="40">
        <v>35090</v>
      </c>
      <c r="B32" s="34">
        <v>26</v>
      </c>
      <c r="C32" s="16">
        <f>ROUND(Data!BJ32,2)</f>
        <v>0</v>
      </c>
      <c r="D32" s="3">
        <f>ROUND(Data!R32,1)</f>
        <v>-5.0999999999999996</v>
      </c>
      <c r="E32" s="3">
        <f>ROUND(Data!AF32,1)</f>
        <v>-25.1</v>
      </c>
      <c r="F32" s="23">
        <f>Data!BO32</f>
        <v>0</v>
      </c>
      <c r="G32" s="3">
        <f>Data!Q32</f>
        <v>0</v>
      </c>
      <c r="H32" s="62">
        <f t="shared" si="5"/>
        <v>750</v>
      </c>
      <c r="I32" s="32"/>
      <c r="J32" s="16">
        <f>Data!BS32</f>
        <v>1.5</v>
      </c>
      <c r="K32" s="45">
        <f t="shared" si="0"/>
        <v>1.5750000000000002</v>
      </c>
      <c r="M32" s="23">
        <f t="shared" si="12"/>
        <v>33</v>
      </c>
      <c r="N32" s="23">
        <f t="shared" si="12"/>
        <v>34.650000000000006</v>
      </c>
      <c r="P32" s="20">
        <f t="shared" si="8"/>
        <v>0.29787999999999987</v>
      </c>
      <c r="Q32" s="20">
        <f t="shared" si="9"/>
        <v>0.29787999999999987</v>
      </c>
      <c r="R32" s="19">
        <f t="shared" si="10"/>
        <v>223.40999999999991</v>
      </c>
      <c r="S32" s="23">
        <f t="shared" si="11"/>
        <v>1.5749999999999886</v>
      </c>
      <c r="T32" s="23">
        <f t="shared" si="6"/>
        <v>0</v>
      </c>
    </row>
    <row r="33" spans="1:20" x14ac:dyDescent="0.2">
      <c r="A33" s="40">
        <v>35091</v>
      </c>
      <c r="B33" s="34">
        <v>27</v>
      </c>
      <c r="C33" s="16">
        <f>ROUND(Data!BJ33,2)</f>
        <v>0</v>
      </c>
      <c r="D33" s="3">
        <f>ROUND(Data!R33,1)</f>
        <v>-11</v>
      </c>
      <c r="E33" s="3">
        <f>ROUND(Data!AF33,1)</f>
        <v>-24.7</v>
      </c>
      <c r="F33" s="23">
        <f>Data!BO33</f>
        <v>0</v>
      </c>
      <c r="G33" s="3">
        <f>Data!Q33</f>
        <v>0</v>
      </c>
      <c r="H33" s="62">
        <f t="shared" si="5"/>
        <v>728</v>
      </c>
      <c r="I33" s="32"/>
      <c r="J33" s="16">
        <f>Data!BS33</f>
        <v>0</v>
      </c>
      <c r="K33" s="45">
        <f t="shared" si="0"/>
        <v>0</v>
      </c>
      <c r="M33" s="23">
        <f t="shared" si="12"/>
        <v>33</v>
      </c>
      <c r="N33" s="23">
        <f t="shared" si="12"/>
        <v>34.650000000000006</v>
      </c>
      <c r="P33" s="20">
        <f t="shared" si="8"/>
        <v>0.30688186813186802</v>
      </c>
      <c r="Q33" s="20">
        <f t="shared" si="9"/>
        <v>0.30688186813186802</v>
      </c>
      <c r="R33" s="19">
        <f t="shared" si="10"/>
        <v>223.40999999999991</v>
      </c>
      <c r="S33" s="23">
        <f t="shared" si="11"/>
        <v>0</v>
      </c>
      <c r="T33" s="23">
        <f t="shared" si="6"/>
        <v>0</v>
      </c>
    </row>
    <row r="34" spans="1:20" x14ac:dyDescent="0.2">
      <c r="A34" s="40">
        <v>35092</v>
      </c>
      <c r="B34" s="34">
        <v>28</v>
      </c>
      <c r="C34" s="16">
        <f>ROUND(Data!BJ34,2)</f>
        <v>0</v>
      </c>
      <c r="D34" s="3">
        <f>ROUND(Data!R34,1)</f>
        <v>-17.100000000000001</v>
      </c>
      <c r="E34" s="3">
        <f>ROUND(Data!AF34,1)</f>
        <v>-34.1</v>
      </c>
      <c r="F34" s="23">
        <f>Data!BO34</f>
        <v>0</v>
      </c>
      <c r="G34" s="3">
        <f>Data!Q34</f>
        <v>0</v>
      </c>
      <c r="H34" s="62">
        <f t="shared" si="5"/>
        <v>752</v>
      </c>
      <c r="I34" s="32"/>
      <c r="J34" s="16">
        <f>Data!BS34</f>
        <v>3</v>
      </c>
      <c r="K34" s="45">
        <f t="shared" si="0"/>
        <v>3.1500000000000004</v>
      </c>
      <c r="M34" s="23">
        <f t="shared" si="12"/>
        <v>36</v>
      </c>
      <c r="N34" s="23">
        <f t="shared" si="12"/>
        <v>37.800000000000004</v>
      </c>
      <c r="P34" s="20">
        <f t="shared" si="8"/>
        <v>0.30127659574468074</v>
      </c>
      <c r="Q34" s="20">
        <f t="shared" si="9"/>
        <v>0.30127659574468074</v>
      </c>
      <c r="R34" s="19">
        <f t="shared" si="10"/>
        <v>226.55999999999992</v>
      </c>
      <c r="S34" s="23">
        <f t="shared" si="11"/>
        <v>3.1500000000000057</v>
      </c>
      <c r="T34" s="23">
        <f t="shared" si="6"/>
        <v>0</v>
      </c>
    </row>
    <row r="35" spans="1:20" x14ac:dyDescent="0.2">
      <c r="A35" s="40">
        <v>35093</v>
      </c>
      <c r="B35" s="34">
        <v>29</v>
      </c>
      <c r="C35" s="16">
        <f>ROUND(Data!BJ35,2)</f>
        <v>0</v>
      </c>
      <c r="D35" s="3">
        <f>ROUND(Data!R35,1)</f>
        <v>-20.8</v>
      </c>
      <c r="E35" s="3">
        <f>ROUND(Data!AF35,1)</f>
        <v>-37</v>
      </c>
      <c r="F35" s="23">
        <f>Data!BO35</f>
        <v>0</v>
      </c>
      <c r="G35" s="3">
        <f>Data!Q35</f>
        <v>0</v>
      </c>
      <c r="H35" s="62">
        <f t="shared" si="5"/>
        <v>730</v>
      </c>
      <c r="I35" s="32"/>
      <c r="J35" s="16">
        <f>Data!BS35</f>
        <v>0</v>
      </c>
      <c r="K35" s="45">
        <f t="shared" si="0"/>
        <v>0</v>
      </c>
      <c r="M35" s="23">
        <f t="shared" si="12"/>
        <v>36</v>
      </c>
      <c r="N35" s="23">
        <f t="shared" si="12"/>
        <v>37.800000000000004</v>
      </c>
      <c r="P35" s="20">
        <f t="shared" si="8"/>
        <v>0.31035616438356151</v>
      </c>
      <c r="Q35" s="20">
        <f t="shared" si="9"/>
        <v>0.31035616438356151</v>
      </c>
      <c r="R35" s="19">
        <f t="shared" si="10"/>
        <v>226.55999999999989</v>
      </c>
      <c r="S35" s="23">
        <f t="shared" si="11"/>
        <v>0</v>
      </c>
      <c r="T35" s="23">
        <f t="shared" si="6"/>
        <v>0</v>
      </c>
    </row>
    <row r="36" spans="1:20" x14ac:dyDescent="0.2">
      <c r="A36" s="40">
        <v>35094</v>
      </c>
      <c r="B36" s="34">
        <v>30</v>
      </c>
      <c r="C36" s="16">
        <f>ROUND(Data!BJ36,2)</f>
        <v>0</v>
      </c>
      <c r="D36" s="3">
        <f>ROUND(Data!R36,1)</f>
        <v>-8.3000000000000007</v>
      </c>
      <c r="E36" s="3">
        <f>ROUND(Data!AF36,1)</f>
        <v>-41</v>
      </c>
      <c r="F36" s="23">
        <f>Data!BO36</f>
        <v>0</v>
      </c>
      <c r="G36" s="3">
        <f>Data!Q36</f>
        <v>0</v>
      </c>
      <c r="H36" s="62">
        <f t="shared" si="5"/>
        <v>708</v>
      </c>
      <c r="I36" s="32"/>
      <c r="J36" s="16">
        <f>Data!BS36</f>
        <v>0</v>
      </c>
      <c r="K36" s="45">
        <f t="shared" si="0"/>
        <v>0</v>
      </c>
      <c r="M36" s="23">
        <f t="shared" si="12"/>
        <v>36</v>
      </c>
      <c r="N36" s="23">
        <f t="shared" si="12"/>
        <v>37.800000000000004</v>
      </c>
      <c r="P36" s="20">
        <f t="shared" si="8"/>
        <v>0.31999999999999984</v>
      </c>
      <c r="Q36" s="20">
        <f t="shared" si="9"/>
        <v>0.31999999999999984</v>
      </c>
      <c r="R36" s="19">
        <f t="shared" si="10"/>
        <v>226.55999999999989</v>
      </c>
      <c r="S36" s="23">
        <f t="shared" si="11"/>
        <v>0</v>
      </c>
      <c r="T36" s="23">
        <f t="shared" si="6"/>
        <v>0</v>
      </c>
    </row>
    <row r="37" spans="1:20" x14ac:dyDescent="0.2">
      <c r="A37" s="40">
        <v>35095</v>
      </c>
      <c r="B37" s="34">
        <v>31</v>
      </c>
      <c r="C37" s="16">
        <f>ROUND(Data!BJ37,2)</f>
        <v>0</v>
      </c>
      <c r="D37" s="3">
        <f>ROUND(Data!R37,1)</f>
        <v>-6.3</v>
      </c>
      <c r="E37" s="3">
        <f>ROUND(Data!AF37,1)</f>
        <v>-25</v>
      </c>
      <c r="F37" s="23">
        <f>Data!BO37</f>
        <v>0</v>
      </c>
      <c r="G37" s="3">
        <f>Data!Q37</f>
        <v>0</v>
      </c>
      <c r="H37" s="62">
        <f t="shared" si="5"/>
        <v>686</v>
      </c>
      <c r="I37" s="32"/>
      <c r="J37" s="16">
        <f>Data!BS37</f>
        <v>0</v>
      </c>
      <c r="K37" s="45">
        <f t="shared" si="0"/>
        <v>0</v>
      </c>
      <c r="M37" s="23">
        <f t="shared" si="12"/>
        <v>36</v>
      </c>
      <c r="N37" s="23">
        <f t="shared" si="12"/>
        <v>37.800000000000004</v>
      </c>
      <c r="P37" s="20">
        <f t="shared" si="8"/>
        <v>0.3302623906705538</v>
      </c>
      <c r="Q37" s="20">
        <f t="shared" si="9"/>
        <v>0.3302623906705538</v>
      </c>
      <c r="R37" s="19">
        <f t="shared" si="10"/>
        <v>226.55999999999992</v>
      </c>
      <c r="S37" s="23">
        <f t="shared" si="11"/>
        <v>0</v>
      </c>
      <c r="T37" s="23">
        <f t="shared" si="6"/>
        <v>0</v>
      </c>
    </row>
    <row r="38" spans="1:20" x14ac:dyDescent="0.2">
      <c r="A38" s="40">
        <v>35096</v>
      </c>
      <c r="B38" s="34">
        <v>32</v>
      </c>
      <c r="C38" s="16">
        <f>ROUND(Data!BJ38,2)</f>
        <v>0</v>
      </c>
      <c r="D38" s="3">
        <f>ROUND(Data!R38,1)</f>
        <v>-9.4</v>
      </c>
      <c r="E38" s="3">
        <f>ROUND(Data!AF38,1)</f>
        <v>-31</v>
      </c>
      <c r="F38" s="23">
        <f>Data!BO38</f>
        <v>0</v>
      </c>
      <c r="G38" s="3">
        <f>Data!Q38</f>
        <v>0</v>
      </c>
      <c r="H38" s="62">
        <f t="shared" si="5"/>
        <v>664</v>
      </c>
      <c r="I38" s="32"/>
      <c r="J38" s="16">
        <f>Data!BS38</f>
        <v>0</v>
      </c>
      <c r="K38" s="45">
        <f t="shared" si="0"/>
        <v>0</v>
      </c>
      <c r="M38" s="23">
        <f t="shared" si="12"/>
        <v>36</v>
      </c>
      <c r="N38" s="23">
        <f t="shared" si="12"/>
        <v>37.800000000000004</v>
      </c>
      <c r="P38" s="20">
        <f t="shared" si="8"/>
        <v>0.34120481927710833</v>
      </c>
      <c r="Q38" s="20">
        <f t="shared" si="9"/>
        <v>0.34120481927710833</v>
      </c>
      <c r="R38" s="19">
        <f t="shared" si="10"/>
        <v>226.55999999999992</v>
      </c>
      <c r="S38" s="23">
        <f t="shared" si="11"/>
        <v>0</v>
      </c>
      <c r="T38" s="23">
        <f t="shared" si="6"/>
        <v>0</v>
      </c>
    </row>
    <row r="39" spans="1:20" x14ac:dyDescent="0.2">
      <c r="A39" s="40">
        <v>35097</v>
      </c>
      <c r="B39" s="34">
        <v>33</v>
      </c>
      <c r="C39" s="16">
        <f>ROUND(Data!BJ39,2)</f>
        <v>0</v>
      </c>
      <c r="D39" s="3">
        <f>ROUND(Data!R39,1)</f>
        <v>-7.9</v>
      </c>
      <c r="E39" s="3">
        <f>ROUND(Data!AF39,1)</f>
        <v>-33.1</v>
      </c>
      <c r="F39" s="23">
        <f>Data!BO39</f>
        <v>0</v>
      </c>
      <c r="G39" s="3">
        <f>Data!Q39</f>
        <v>0</v>
      </c>
      <c r="H39" s="62">
        <f t="shared" si="5"/>
        <v>642</v>
      </c>
      <c r="I39" s="32"/>
      <c r="J39" s="16">
        <f>Data!BS39</f>
        <v>0</v>
      </c>
      <c r="K39" s="45">
        <f t="shared" si="0"/>
        <v>0</v>
      </c>
      <c r="M39" s="23">
        <f t="shared" si="12"/>
        <v>36</v>
      </c>
      <c r="N39" s="23">
        <f t="shared" si="12"/>
        <v>37.800000000000004</v>
      </c>
      <c r="P39" s="20">
        <f t="shared" si="8"/>
        <v>0.35289719626168209</v>
      </c>
      <c r="Q39" s="20">
        <f t="shared" si="9"/>
        <v>0.35289719626168209</v>
      </c>
      <c r="R39" s="19">
        <f t="shared" si="10"/>
        <v>226.55999999999989</v>
      </c>
      <c r="S39" s="23">
        <f t="shared" si="11"/>
        <v>0</v>
      </c>
      <c r="T39" s="23">
        <f t="shared" si="6"/>
        <v>0</v>
      </c>
    </row>
    <row r="40" spans="1:20" x14ac:dyDescent="0.2">
      <c r="A40" s="40">
        <v>35098</v>
      </c>
      <c r="B40" s="34">
        <v>34</v>
      </c>
      <c r="C40" s="16">
        <f>ROUND(Data!BJ40,2)</f>
        <v>0</v>
      </c>
      <c r="D40" s="3">
        <f>ROUND(Data!R40,1)</f>
        <v>-11.2</v>
      </c>
      <c r="E40" s="3">
        <f>ROUND(Data!AF40,1)</f>
        <v>-25.2</v>
      </c>
      <c r="F40" s="23">
        <f>Data!BO40</f>
        <v>0</v>
      </c>
      <c r="G40" s="3">
        <f>Data!Q40</f>
        <v>0</v>
      </c>
      <c r="H40" s="62">
        <f t="shared" si="5"/>
        <v>620</v>
      </c>
      <c r="I40" s="32"/>
      <c r="J40" s="16">
        <f>Data!BS40</f>
        <v>0</v>
      </c>
      <c r="K40" s="45">
        <f t="shared" si="0"/>
        <v>0</v>
      </c>
      <c r="M40" s="23">
        <f t="shared" si="12"/>
        <v>36</v>
      </c>
      <c r="N40" s="23">
        <f t="shared" si="12"/>
        <v>37.800000000000004</v>
      </c>
      <c r="P40" s="20">
        <f t="shared" si="8"/>
        <v>0.36541935483870952</v>
      </c>
      <c r="Q40" s="20">
        <f t="shared" si="9"/>
        <v>0.36541935483870952</v>
      </c>
      <c r="R40" s="19">
        <f t="shared" si="10"/>
        <v>226.55999999999989</v>
      </c>
      <c r="S40" s="23">
        <f t="shared" si="11"/>
        <v>0</v>
      </c>
      <c r="T40" s="23">
        <f t="shared" si="6"/>
        <v>0</v>
      </c>
    </row>
    <row r="41" spans="1:20" x14ac:dyDescent="0.2">
      <c r="A41" s="40">
        <v>35099</v>
      </c>
      <c r="B41" s="34">
        <v>35</v>
      </c>
      <c r="C41" s="16">
        <f>ROUND(Data!BJ41,2)</f>
        <v>0</v>
      </c>
      <c r="D41" s="3">
        <f>ROUND(Data!R41,1)</f>
        <v>-5.4</v>
      </c>
      <c r="E41" s="3">
        <f>ROUND(Data!AF41,1)</f>
        <v>-17.7</v>
      </c>
      <c r="F41" s="23">
        <f>Data!BO41</f>
        <v>0</v>
      </c>
      <c r="G41" s="3">
        <f>Data!Q41</f>
        <v>0</v>
      </c>
      <c r="H41" s="62">
        <f t="shared" si="5"/>
        <v>668</v>
      </c>
      <c r="I41" s="32"/>
      <c r="J41" s="16">
        <f>Data!BS41</f>
        <v>6</v>
      </c>
      <c r="K41" s="45">
        <f t="shared" si="0"/>
        <v>6.3000000000000007</v>
      </c>
      <c r="M41" s="23">
        <f t="shared" ref="M41:N56" si="13">J41+M40</f>
        <v>42</v>
      </c>
      <c r="N41" s="23">
        <f t="shared" si="13"/>
        <v>44.100000000000009</v>
      </c>
      <c r="P41" s="20">
        <f t="shared" si="8"/>
        <v>0.34859281437125733</v>
      </c>
      <c r="Q41" s="20">
        <f t="shared" si="9"/>
        <v>0.34859281437125733</v>
      </c>
      <c r="R41" s="19">
        <f t="shared" si="10"/>
        <v>232.8599999999999</v>
      </c>
      <c r="S41" s="23">
        <f t="shared" si="11"/>
        <v>6.3000000000000114</v>
      </c>
      <c r="T41" s="23">
        <f t="shared" si="6"/>
        <v>0</v>
      </c>
    </row>
    <row r="42" spans="1:20" x14ac:dyDescent="0.2">
      <c r="A42" s="40">
        <v>35100</v>
      </c>
      <c r="B42" s="34">
        <v>36</v>
      </c>
      <c r="C42" s="16">
        <f>ROUND(Data!BJ42,2)</f>
        <v>0</v>
      </c>
      <c r="D42" s="3">
        <f>ROUND(Data!R42,1)</f>
        <v>0.2</v>
      </c>
      <c r="E42" s="3">
        <f>ROUND(Data!AF42,1)</f>
        <v>-9.8000000000000007</v>
      </c>
      <c r="F42" s="23">
        <f>Data!BO42</f>
        <v>0</v>
      </c>
      <c r="G42" s="3">
        <f>Data!Q42</f>
        <v>0</v>
      </c>
      <c r="H42" s="62">
        <f t="shared" si="5"/>
        <v>692</v>
      </c>
      <c r="I42" s="32"/>
      <c r="J42" s="16">
        <f>Data!BS42</f>
        <v>3</v>
      </c>
      <c r="K42" s="45">
        <f t="shared" si="0"/>
        <v>3.1500000000000004</v>
      </c>
      <c r="M42" s="23">
        <f t="shared" si="13"/>
        <v>45</v>
      </c>
      <c r="N42" s="23">
        <f t="shared" si="13"/>
        <v>47.250000000000007</v>
      </c>
      <c r="P42" s="20">
        <f t="shared" si="8"/>
        <v>0.34105491329479753</v>
      </c>
      <c r="Q42" s="20">
        <f t="shared" si="9"/>
        <v>0.34105491329479753</v>
      </c>
      <c r="R42" s="19">
        <f t="shared" si="10"/>
        <v>236.00999999999991</v>
      </c>
      <c r="S42" s="23">
        <f t="shared" si="11"/>
        <v>3.1500000000000057</v>
      </c>
      <c r="T42" s="23">
        <f t="shared" si="6"/>
        <v>0</v>
      </c>
    </row>
    <row r="43" spans="1:20" x14ac:dyDescent="0.2">
      <c r="A43" s="40">
        <v>35101</v>
      </c>
      <c r="B43" s="34">
        <v>37</v>
      </c>
      <c r="C43" s="16">
        <f>ROUND(Data!BJ43,2)</f>
        <v>0</v>
      </c>
      <c r="D43" s="3">
        <f>ROUND(Data!R43,1)</f>
        <v>0.5</v>
      </c>
      <c r="E43" s="3">
        <f>ROUND(Data!AF43,1)</f>
        <v>-8</v>
      </c>
      <c r="F43" s="23">
        <f>Data!BO43</f>
        <v>0</v>
      </c>
      <c r="G43" s="3">
        <f>Data!Q43</f>
        <v>0</v>
      </c>
      <c r="H43" s="62">
        <f t="shared" si="5"/>
        <v>728</v>
      </c>
      <c r="I43" s="32"/>
      <c r="J43" s="16">
        <f>Data!BS43</f>
        <v>4.5</v>
      </c>
      <c r="K43" s="45">
        <f t="shared" si="0"/>
        <v>4.7250000000000005</v>
      </c>
      <c r="M43" s="23">
        <f t="shared" si="13"/>
        <v>49.5</v>
      </c>
      <c r="N43" s="23">
        <f t="shared" si="13"/>
        <v>51.975000000000009</v>
      </c>
      <c r="P43" s="20">
        <f t="shared" si="8"/>
        <v>0.33067994505494491</v>
      </c>
      <c r="Q43" s="20">
        <f t="shared" si="9"/>
        <v>0.33067994505494491</v>
      </c>
      <c r="R43" s="19">
        <f t="shared" si="10"/>
        <v>240.7349999999999</v>
      </c>
      <c r="S43" s="23">
        <f t="shared" si="11"/>
        <v>4.7249999999999943</v>
      </c>
      <c r="T43" s="23">
        <f t="shared" si="6"/>
        <v>0</v>
      </c>
    </row>
    <row r="44" spans="1:20" x14ac:dyDescent="0.2">
      <c r="A44" s="40">
        <v>35102</v>
      </c>
      <c r="B44" s="34">
        <v>38</v>
      </c>
      <c r="C44" s="16">
        <f>ROUND(Data!BJ44,2)</f>
        <v>0</v>
      </c>
      <c r="D44" s="3">
        <f>ROUND(Data!R44,1)</f>
        <v>0.4</v>
      </c>
      <c r="E44" s="3">
        <f>ROUND(Data!AF44,1)</f>
        <v>-3</v>
      </c>
      <c r="F44" s="23">
        <f>Data!BO44</f>
        <v>0</v>
      </c>
      <c r="G44" s="3">
        <f>Data!Q44</f>
        <v>0</v>
      </c>
      <c r="H44" s="62">
        <f t="shared" si="5"/>
        <v>764</v>
      </c>
      <c r="I44" s="32"/>
      <c r="J44" s="16">
        <f>Data!BS44</f>
        <v>4.5</v>
      </c>
      <c r="K44" s="45">
        <f t="shared" si="0"/>
        <v>4.7250000000000005</v>
      </c>
      <c r="M44" s="23">
        <f t="shared" si="13"/>
        <v>54</v>
      </c>
      <c r="N44" s="23">
        <f t="shared" si="13"/>
        <v>56.70000000000001</v>
      </c>
      <c r="P44" s="20">
        <f t="shared" si="8"/>
        <v>0.32128272251308887</v>
      </c>
      <c r="Q44" s="20">
        <f t="shared" si="9"/>
        <v>0.32128272251308887</v>
      </c>
      <c r="R44" s="19">
        <f t="shared" si="10"/>
        <v>245.45999999999989</v>
      </c>
      <c r="S44" s="23">
        <f t="shared" si="11"/>
        <v>4.7249999999999943</v>
      </c>
      <c r="T44" s="23">
        <f t="shared" si="6"/>
        <v>0</v>
      </c>
    </row>
    <row r="45" spans="1:20" x14ac:dyDescent="0.2">
      <c r="A45" s="40">
        <v>35103</v>
      </c>
      <c r="B45" s="34">
        <v>39</v>
      </c>
      <c r="C45" s="16">
        <f>ROUND(Data!BJ45,2)</f>
        <v>0</v>
      </c>
      <c r="D45" s="3">
        <f>ROUND(Data!R45,1)</f>
        <v>0.9</v>
      </c>
      <c r="E45" s="3">
        <f>ROUND(Data!AF45,1)</f>
        <v>-3.1</v>
      </c>
      <c r="F45" s="23">
        <f>Data!BO45</f>
        <v>0</v>
      </c>
      <c r="G45" s="3">
        <f>Data!Q45</f>
        <v>0</v>
      </c>
      <c r="H45" s="62">
        <f t="shared" si="5"/>
        <v>873</v>
      </c>
      <c r="I45" s="32"/>
      <c r="J45" s="16">
        <f>Data!BS45</f>
        <v>13.5</v>
      </c>
      <c r="K45" s="45">
        <f t="shared" si="0"/>
        <v>14.175000000000001</v>
      </c>
      <c r="M45" s="23">
        <f t="shared" si="13"/>
        <v>67.5</v>
      </c>
      <c r="N45" s="23">
        <f t="shared" si="13"/>
        <v>70.875000000000014</v>
      </c>
      <c r="P45" s="20">
        <f t="shared" si="8"/>
        <v>0.29740549828178681</v>
      </c>
      <c r="Q45" s="20">
        <f t="shared" si="9"/>
        <v>0.29740549828178681</v>
      </c>
      <c r="R45" s="19">
        <f t="shared" si="10"/>
        <v>259.63499999999988</v>
      </c>
      <c r="S45" s="23">
        <f t="shared" si="11"/>
        <v>14.174999999999983</v>
      </c>
      <c r="T45" s="23">
        <f t="shared" si="6"/>
        <v>0</v>
      </c>
    </row>
    <row r="46" spans="1:20" x14ac:dyDescent="0.2">
      <c r="A46" s="40">
        <v>35104</v>
      </c>
      <c r="B46" s="34">
        <v>40</v>
      </c>
      <c r="C46" s="16">
        <f>ROUND(Data!BJ46,2)</f>
        <v>0</v>
      </c>
      <c r="D46" s="3">
        <f>ROUND(Data!R46,1)</f>
        <v>-0.2</v>
      </c>
      <c r="E46" s="3">
        <f>ROUND(Data!AF46,1)</f>
        <v>-18.8</v>
      </c>
      <c r="F46" s="23">
        <f>Data!BO46</f>
        <v>0</v>
      </c>
      <c r="G46" s="3">
        <f>Data!Q46</f>
        <v>0</v>
      </c>
      <c r="H46" s="62">
        <f t="shared" si="5"/>
        <v>851</v>
      </c>
      <c r="I46" s="32"/>
      <c r="J46" s="16">
        <f>Data!BS46</f>
        <v>0</v>
      </c>
      <c r="K46" s="45">
        <f t="shared" si="0"/>
        <v>0</v>
      </c>
      <c r="M46" s="23">
        <f t="shared" si="13"/>
        <v>67.5</v>
      </c>
      <c r="N46" s="23">
        <f t="shared" si="13"/>
        <v>70.875000000000014</v>
      </c>
      <c r="P46" s="20">
        <f t="shared" si="8"/>
        <v>0.30509400705052864</v>
      </c>
      <c r="Q46" s="20">
        <f t="shared" si="9"/>
        <v>0.30509400705052864</v>
      </c>
      <c r="R46" s="19">
        <f t="shared" si="10"/>
        <v>259.63499999999988</v>
      </c>
      <c r="S46" s="23">
        <f t="shared" si="11"/>
        <v>0</v>
      </c>
      <c r="T46" s="23">
        <f t="shared" si="6"/>
        <v>0</v>
      </c>
    </row>
    <row r="47" spans="1:20" x14ac:dyDescent="0.2">
      <c r="A47" s="40">
        <v>35105</v>
      </c>
      <c r="B47" s="34">
        <v>41</v>
      </c>
      <c r="C47" s="16">
        <f>ROUND(Data!BJ47,2)</f>
        <v>0</v>
      </c>
      <c r="D47" s="3">
        <f>ROUND(Data!R47,1)</f>
        <v>1.2</v>
      </c>
      <c r="E47" s="3">
        <f>ROUND(Data!AF47,1)</f>
        <v>-20.3</v>
      </c>
      <c r="F47" s="23">
        <f>Data!BO47</f>
        <v>0</v>
      </c>
      <c r="G47" s="3">
        <f>Data!Q47</f>
        <v>0</v>
      </c>
      <c r="H47" s="62">
        <f t="shared" si="5"/>
        <v>829</v>
      </c>
      <c r="I47" s="32"/>
      <c r="J47" s="16">
        <f>Data!BS47</f>
        <v>0</v>
      </c>
      <c r="K47" s="45">
        <f t="shared" si="0"/>
        <v>0</v>
      </c>
      <c r="M47" s="23">
        <f t="shared" si="13"/>
        <v>67.5</v>
      </c>
      <c r="N47" s="23">
        <f t="shared" si="13"/>
        <v>70.875000000000014</v>
      </c>
      <c r="P47" s="20">
        <f t="shared" si="8"/>
        <v>0.31319059107358249</v>
      </c>
      <c r="Q47" s="20">
        <f t="shared" si="9"/>
        <v>0.31319059107358249</v>
      </c>
      <c r="R47" s="19">
        <f t="shared" si="10"/>
        <v>259.63499999999988</v>
      </c>
      <c r="S47" s="23">
        <f t="shared" si="11"/>
        <v>0</v>
      </c>
      <c r="T47" s="23">
        <f t="shared" si="6"/>
        <v>0</v>
      </c>
    </row>
    <row r="48" spans="1:20" x14ac:dyDescent="0.2">
      <c r="A48" s="40">
        <v>35106</v>
      </c>
      <c r="B48" s="34">
        <v>42</v>
      </c>
      <c r="C48" s="16">
        <f>ROUND(Data!BJ48,2)</f>
        <v>0</v>
      </c>
      <c r="D48" s="3">
        <f>ROUND(Data!R48,1)</f>
        <v>5.2</v>
      </c>
      <c r="E48" s="3">
        <f>ROUND(Data!AF48,1)</f>
        <v>-15.5</v>
      </c>
      <c r="F48" s="23">
        <f>Data!BO48</f>
        <v>0</v>
      </c>
      <c r="G48" s="3">
        <f>Data!Q48</f>
        <v>0</v>
      </c>
      <c r="H48" s="62">
        <f t="shared" si="5"/>
        <v>807</v>
      </c>
      <c r="I48" s="32"/>
      <c r="J48" s="16">
        <f>Data!BS48</f>
        <v>0</v>
      </c>
      <c r="K48" s="45">
        <f t="shared" si="0"/>
        <v>0</v>
      </c>
      <c r="M48" s="23">
        <f t="shared" si="13"/>
        <v>67.5</v>
      </c>
      <c r="N48" s="23">
        <f t="shared" si="13"/>
        <v>70.875000000000014</v>
      </c>
      <c r="P48" s="20">
        <f t="shared" si="8"/>
        <v>0.32172862453531581</v>
      </c>
      <c r="Q48" s="20">
        <f t="shared" si="9"/>
        <v>0.32172862453531581</v>
      </c>
      <c r="R48" s="19">
        <f t="shared" si="10"/>
        <v>259.63499999999988</v>
      </c>
      <c r="S48" s="23">
        <f t="shared" si="11"/>
        <v>0</v>
      </c>
      <c r="T48" s="23">
        <f t="shared" si="6"/>
        <v>0</v>
      </c>
    </row>
    <row r="49" spans="1:20" x14ac:dyDescent="0.2">
      <c r="A49" s="40">
        <v>35107</v>
      </c>
      <c r="B49" s="34">
        <v>43</v>
      </c>
      <c r="C49" s="16">
        <f>ROUND(Data!BJ49,2)</f>
        <v>0</v>
      </c>
      <c r="D49" s="3">
        <f>ROUND(Data!R49,1)</f>
        <v>10.1</v>
      </c>
      <c r="E49" s="3">
        <f>ROUND(Data!AF49,1)</f>
        <v>-9</v>
      </c>
      <c r="F49" s="23">
        <f>Data!BO49</f>
        <v>0</v>
      </c>
      <c r="G49" s="3">
        <f>Data!Q49</f>
        <v>0</v>
      </c>
      <c r="H49" s="62">
        <f t="shared" si="5"/>
        <v>785</v>
      </c>
      <c r="I49" s="32"/>
      <c r="J49" s="16">
        <f>Data!BS49</f>
        <v>0</v>
      </c>
      <c r="K49" s="45">
        <f t="shared" si="0"/>
        <v>0</v>
      </c>
      <c r="M49" s="23">
        <f t="shared" si="13"/>
        <v>67.5</v>
      </c>
      <c r="N49" s="23">
        <f t="shared" si="13"/>
        <v>70.875000000000014</v>
      </c>
      <c r="P49" s="20">
        <f t="shared" si="8"/>
        <v>0.33074522292993613</v>
      </c>
      <c r="Q49" s="20">
        <f t="shared" si="9"/>
        <v>0.33074522292993613</v>
      </c>
      <c r="R49" s="19">
        <f t="shared" si="10"/>
        <v>259.63499999999988</v>
      </c>
      <c r="S49" s="23">
        <f t="shared" si="11"/>
        <v>0</v>
      </c>
      <c r="T49" s="23">
        <f t="shared" si="6"/>
        <v>0</v>
      </c>
    </row>
    <row r="50" spans="1:20" x14ac:dyDescent="0.2">
      <c r="A50" s="40">
        <v>35108</v>
      </c>
      <c r="B50" s="34">
        <v>44</v>
      </c>
      <c r="C50" s="16">
        <f>ROUND(Data!BJ50,2)</f>
        <v>0</v>
      </c>
      <c r="D50" s="3">
        <f>ROUND(Data!R50,1)</f>
        <v>7.5</v>
      </c>
      <c r="E50" s="3">
        <f>ROUND(Data!AF50,1)</f>
        <v>-4</v>
      </c>
      <c r="F50" s="23">
        <f>Data!BO50</f>
        <v>0</v>
      </c>
      <c r="G50" s="3">
        <f>Data!Q50</f>
        <v>0</v>
      </c>
      <c r="H50" s="62">
        <f t="shared" si="5"/>
        <v>763</v>
      </c>
      <c r="I50" s="32"/>
      <c r="J50" s="16">
        <f>Data!BS50</f>
        <v>0</v>
      </c>
      <c r="K50" s="45">
        <f t="shared" si="0"/>
        <v>0</v>
      </c>
      <c r="M50" s="23">
        <f t="shared" si="13"/>
        <v>67.5</v>
      </c>
      <c r="N50" s="23">
        <f t="shared" si="13"/>
        <v>70.875000000000014</v>
      </c>
      <c r="P50" s="20">
        <f t="shared" si="8"/>
        <v>0.34028178243774559</v>
      </c>
      <c r="Q50" s="20">
        <f t="shared" si="9"/>
        <v>0.34028178243774559</v>
      </c>
      <c r="R50" s="19">
        <f t="shared" si="10"/>
        <v>259.63499999999988</v>
      </c>
      <c r="S50" s="23">
        <f t="shared" si="11"/>
        <v>0</v>
      </c>
      <c r="T50" s="23">
        <f t="shared" si="6"/>
        <v>0</v>
      </c>
    </row>
    <row r="51" spans="1:20" x14ac:dyDescent="0.2">
      <c r="A51" s="40">
        <v>35109</v>
      </c>
      <c r="B51" s="34">
        <v>45</v>
      </c>
      <c r="C51" s="16">
        <f>ROUND(Data!BJ51,2)</f>
        <v>0</v>
      </c>
      <c r="D51" s="3">
        <f>ROUND(Data!R51,1)</f>
        <v>6.7</v>
      </c>
      <c r="E51" s="3">
        <f>ROUND(Data!AF51,1)</f>
        <v>-5.7</v>
      </c>
      <c r="F51" s="23">
        <f>Data!BO51</f>
        <v>0</v>
      </c>
      <c r="G51" s="3">
        <f>Data!Q51</f>
        <v>0</v>
      </c>
      <c r="H51" s="62">
        <f t="shared" si="5"/>
        <v>741</v>
      </c>
      <c r="I51" s="32"/>
      <c r="J51" s="16">
        <f>Data!BS51</f>
        <v>0</v>
      </c>
      <c r="K51" s="45">
        <f t="shared" si="0"/>
        <v>0</v>
      </c>
      <c r="M51" s="23">
        <f t="shared" si="13"/>
        <v>67.5</v>
      </c>
      <c r="N51" s="23">
        <f t="shared" si="13"/>
        <v>70.875000000000014</v>
      </c>
      <c r="P51" s="20">
        <f t="shared" si="8"/>
        <v>0.35038461538461524</v>
      </c>
      <c r="Q51" s="20">
        <f t="shared" si="9"/>
        <v>0.35038461538461524</v>
      </c>
      <c r="R51" s="19">
        <f t="shared" si="10"/>
        <v>259.63499999999988</v>
      </c>
      <c r="S51" s="23">
        <f t="shared" si="11"/>
        <v>0</v>
      </c>
      <c r="T51" s="23">
        <f t="shared" si="6"/>
        <v>0</v>
      </c>
    </row>
    <row r="52" spans="1:20" x14ac:dyDescent="0.2">
      <c r="A52" s="40">
        <v>35110</v>
      </c>
      <c r="B52" s="34">
        <v>46</v>
      </c>
      <c r="C52" s="16">
        <f>ROUND(Data!BJ52,2)</f>
        <v>0</v>
      </c>
      <c r="D52" s="3">
        <f>ROUND(Data!R52,1)</f>
        <v>10.4</v>
      </c>
      <c r="E52" s="3">
        <f>ROUND(Data!AF52,1)</f>
        <v>-7.8</v>
      </c>
      <c r="F52" s="23">
        <f>Data!BO52</f>
        <v>0</v>
      </c>
      <c r="G52" s="3">
        <f>Data!Q52</f>
        <v>0</v>
      </c>
      <c r="H52" s="62">
        <f t="shared" si="5"/>
        <v>719</v>
      </c>
      <c r="I52" s="32"/>
      <c r="J52" s="41">
        <f>Data!EC52</f>
        <v>0</v>
      </c>
      <c r="K52" s="65">
        <f t="shared" ref="K52:K53" si="14">J52*L$1</f>
        <v>0</v>
      </c>
      <c r="M52" s="23">
        <f t="shared" si="13"/>
        <v>67.5</v>
      </c>
      <c r="N52" s="23">
        <f t="shared" si="13"/>
        <v>70.875000000000014</v>
      </c>
      <c r="P52" s="20">
        <f t="shared" si="8"/>
        <v>0.36110570236439482</v>
      </c>
      <c r="Q52" s="20">
        <f t="shared" si="9"/>
        <v>0.36110570236439482</v>
      </c>
      <c r="R52" s="19">
        <f t="shared" si="10"/>
        <v>259.63499999999988</v>
      </c>
      <c r="S52" s="23">
        <f t="shared" si="11"/>
        <v>0</v>
      </c>
      <c r="T52" s="23">
        <f t="shared" si="6"/>
        <v>0</v>
      </c>
    </row>
    <row r="53" spans="1:20" x14ac:dyDescent="0.2">
      <c r="A53" s="40">
        <v>35111</v>
      </c>
      <c r="B53" s="34">
        <v>47</v>
      </c>
      <c r="C53" s="16">
        <f>ROUND(Data!BJ53,2)</f>
        <v>0</v>
      </c>
      <c r="D53" s="3">
        <f>ROUND(Data!R53,1)</f>
        <v>10.199999999999999</v>
      </c>
      <c r="E53" s="3">
        <f>ROUND(Data!AF53,1)</f>
        <v>-7.8</v>
      </c>
      <c r="F53" s="23">
        <f>Data!BO53</f>
        <v>0</v>
      </c>
      <c r="G53" s="3">
        <f>Data!Q53</f>
        <v>0</v>
      </c>
      <c r="H53" s="62">
        <f t="shared" si="5"/>
        <v>697</v>
      </c>
      <c r="I53" s="32"/>
      <c r="J53" s="41">
        <f>Data!EC53</f>
        <v>0</v>
      </c>
      <c r="K53" s="65">
        <f t="shared" si="14"/>
        <v>0</v>
      </c>
      <c r="M53" s="23">
        <f t="shared" si="13"/>
        <v>67.5</v>
      </c>
      <c r="N53" s="23">
        <f t="shared" si="13"/>
        <v>70.875000000000014</v>
      </c>
      <c r="P53" s="20">
        <f t="shared" ref="P53:P116" si="15">(R52+K53)/H53</f>
        <v>0.37250358680057372</v>
      </c>
      <c r="Q53" s="20">
        <f t="shared" ref="Q53:Q116" si="16">IF(P53&gt;Q$1,Q$1,P53)</f>
        <v>0.37250358680057372</v>
      </c>
      <c r="R53" s="19">
        <f t="shared" ref="R53:R116" si="17">Q53*H53</f>
        <v>259.63499999999988</v>
      </c>
      <c r="S53" s="23">
        <f t="shared" ref="S53:S116" si="18">R53-R52</f>
        <v>0</v>
      </c>
      <c r="T53" s="23">
        <f t="shared" ref="T53:T116" si="19">ROUND(K53-S53,1)</f>
        <v>0</v>
      </c>
    </row>
    <row r="54" spans="1:20" x14ac:dyDescent="0.2">
      <c r="A54" s="40">
        <v>35112</v>
      </c>
      <c r="B54" s="34">
        <v>48</v>
      </c>
      <c r="C54" s="16">
        <f>ROUND(Data!BJ54,2)</f>
        <v>0</v>
      </c>
      <c r="D54" s="3">
        <f>ROUND(Data!R54,1)</f>
        <v>1</v>
      </c>
      <c r="E54" s="3">
        <f>ROUND(Data!AF54,1)</f>
        <v>-4.4000000000000004</v>
      </c>
      <c r="F54" s="23">
        <f>Data!BO54</f>
        <v>0</v>
      </c>
      <c r="G54" s="3">
        <f>Data!Q54</f>
        <v>0</v>
      </c>
      <c r="H54" s="62">
        <f t="shared" si="5"/>
        <v>722</v>
      </c>
      <c r="I54" s="32"/>
      <c r="J54" s="41">
        <f>Data!EC54</f>
        <v>3.3</v>
      </c>
      <c r="K54" s="65">
        <f>J54*L$1</f>
        <v>3.3</v>
      </c>
      <c r="M54" s="23">
        <f t="shared" si="13"/>
        <v>70.8</v>
      </c>
      <c r="N54" s="23">
        <f t="shared" si="13"/>
        <v>74.175000000000011</v>
      </c>
      <c r="P54" s="20">
        <f t="shared" si="15"/>
        <v>0.36417590027700814</v>
      </c>
      <c r="Q54" s="20">
        <f t="shared" si="16"/>
        <v>0.36417590027700814</v>
      </c>
      <c r="R54" s="19">
        <f t="shared" si="17"/>
        <v>262.93499999999989</v>
      </c>
      <c r="S54" s="23">
        <f t="shared" si="18"/>
        <v>3.3000000000000114</v>
      </c>
      <c r="T54" s="23">
        <f t="shared" si="19"/>
        <v>0</v>
      </c>
    </row>
    <row r="55" spans="1:20" x14ac:dyDescent="0.2">
      <c r="A55" s="40">
        <v>35113</v>
      </c>
      <c r="B55" s="34">
        <v>49</v>
      </c>
      <c r="C55" s="16">
        <f>ROUND(Data!BJ55,2)</f>
        <v>0</v>
      </c>
      <c r="D55" s="3">
        <f>ROUND(Data!R55,1)</f>
        <v>4.0999999999999996</v>
      </c>
      <c r="E55" s="3">
        <f>ROUND(Data!AF55,1)</f>
        <v>-2.5</v>
      </c>
      <c r="F55" s="23">
        <f>Data!BO55</f>
        <v>0</v>
      </c>
      <c r="G55" s="3">
        <f>Data!Q55</f>
        <v>0</v>
      </c>
      <c r="H55" s="62">
        <f t="shared" si="5"/>
        <v>737</v>
      </c>
      <c r="I55" s="32"/>
      <c r="J55" s="41">
        <f>Data!EC55</f>
        <v>1.9</v>
      </c>
      <c r="K55" s="65">
        <f t="shared" ref="K55:K118" si="20">J55*L$1</f>
        <v>1.9</v>
      </c>
      <c r="M55" s="23">
        <f t="shared" si="13"/>
        <v>72.7</v>
      </c>
      <c r="N55" s="23">
        <f t="shared" si="13"/>
        <v>76.075000000000017</v>
      </c>
      <c r="P55" s="20">
        <f t="shared" si="15"/>
        <v>0.35934192672998627</v>
      </c>
      <c r="Q55" s="20">
        <f t="shared" si="16"/>
        <v>0.35934192672998627</v>
      </c>
      <c r="R55" s="19">
        <f t="shared" si="17"/>
        <v>264.83499999999987</v>
      </c>
      <c r="S55" s="23">
        <f t="shared" si="18"/>
        <v>1.8999999999999773</v>
      </c>
      <c r="T55" s="23">
        <f t="shared" si="19"/>
        <v>0</v>
      </c>
    </row>
    <row r="56" spans="1:20" x14ac:dyDescent="0.2">
      <c r="A56" s="40">
        <v>35114</v>
      </c>
      <c r="B56" s="34">
        <v>50</v>
      </c>
      <c r="C56" s="16">
        <f>ROUND(Data!BJ56,2)</f>
        <v>0</v>
      </c>
      <c r="D56" s="3">
        <f>ROUND(Data!R56,1)</f>
        <v>1.7</v>
      </c>
      <c r="E56" s="3">
        <f>ROUND(Data!AF56,1)</f>
        <v>-3.5</v>
      </c>
      <c r="F56" s="23">
        <f>Data!BO56</f>
        <v>0</v>
      </c>
      <c r="G56" s="3">
        <f>Data!Q56</f>
        <v>0</v>
      </c>
      <c r="H56" s="62">
        <f t="shared" si="5"/>
        <v>769</v>
      </c>
      <c r="I56" s="32"/>
      <c r="J56" s="41">
        <f>Data!EC56</f>
        <v>4.2</v>
      </c>
      <c r="K56" s="65">
        <f t="shared" si="20"/>
        <v>4.2</v>
      </c>
      <c r="M56" s="23">
        <f t="shared" si="13"/>
        <v>76.900000000000006</v>
      </c>
      <c r="N56" s="23">
        <f t="shared" si="13"/>
        <v>80.27500000000002</v>
      </c>
      <c r="P56" s="20">
        <f t="shared" si="15"/>
        <v>0.34985045513654078</v>
      </c>
      <c r="Q56" s="20">
        <f t="shared" si="16"/>
        <v>0.34985045513654078</v>
      </c>
      <c r="R56" s="19">
        <f t="shared" si="17"/>
        <v>269.03499999999985</v>
      </c>
      <c r="S56" s="23">
        <f t="shared" si="18"/>
        <v>4.1999999999999886</v>
      </c>
      <c r="T56" s="23">
        <f t="shared" si="19"/>
        <v>0</v>
      </c>
    </row>
    <row r="57" spans="1:20" x14ac:dyDescent="0.2">
      <c r="A57" s="40">
        <v>35115</v>
      </c>
      <c r="B57" s="34">
        <v>51</v>
      </c>
      <c r="C57" s="16">
        <f>ROUND(Data!BJ57,2)</f>
        <v>0</v>
      </c>
      <c r="D57" s="3">
        <f>ROUND(Data!R57,1)</f>
        <v>0.1</v>
      </c>
      <c r="E57" s="3">
        <f>ROUND(Data!AF57,1)</f>
        <v>-4.5999999999999996</v>
      </c>
      <c r="F57" s="23">
        <f>Data!BO57</f>
        <v>0</v>
      </c>
      <c r="G57" s="3">
        <f>Data!Q57</f>
        <v>0</v>
      </c>
      <c r="H57" s="62">
        <f t="shared" si="5"/>
        <v>786</v>
      </c>
      <c r="I57" s="32"/>
      <c r="J57" s="41">
        <f>Data!EC57</f>
        <v>2.2000000000000002</v>
      </c>
      <c r="K57" s="65">
        <f t="shared" si="20"/>
        <v>2.2000000000000002</v>
      </c>
      <c r="M57" s="23">
        <f t="shared" ref="M57:N66" si="21">J57+M56</f>
        <v>79.100000000000009</v>
      </c>
      <c r="N57" s="23">
        <f t="shared" si="21"/>
        <v>82.475000000000023</v>
      </c>
      <c r="P57" s="20">
        <f t="shared" si="15"/>
        <v>0.34508269720101759</v>
      </c>
      <c r="Q57" s="20">
        <f t="shared" si="16"/>
        <v>0.34508269720101759</v>
      </c>
      <c r="R57" s="19">
        <f t="shared" si="17"/>
        <v>271.23499999999984</v>
      </c>
      <c r="S57" s="23">
        <f t="shared" si="18"/>
        <v>2.1999999999999886</v>
      </c>
      <c r="T57" s="23">
        <f t="shared" si="19"/>
        <v>0</v>
      </c>
    </row>
    <row r="58" spans="1:20" x14ac:dyDescent="0.2">
      <c r="A58" s="40">
        <v>35116</v>
      </c>
      <c r="B58" s="34">
        <v>52</v>
      </c>
      <c r="C58" s="16">
        <f>ROUND(Data!BJ58,2)</f>
        <v>0</v>
      </c>
      <c r="D58" s="3">
        <f>ROUND(Data!R58,1)</f>
        <v>-1.8</v>
      </c>
      <c r="E58" s="3">
        <f>ROUND(Data!AF58,1)</f>
        <v>-9.1</v>
      </c>
      <c r="F58" s="23">
        <f>Data!BO58</f>
        <v>0</v>
      </c>
      <c r="G58" s="3">
        <f>Data!Q58</f>
        <v>0</v>
      </c>
      <c r="H58" s="62">
        <f t="shared" si="5"/>
        <v>829</v>
      </c>
      <c r="I58" s="32"/>
      <c r="J58" s="41">
        <f>Data!EC58</f>
        <v>5.6</v>
      </c>
      <c r="K58" s="65">
        <f t="shared" si="20"/>
        <v>5.6</v>
      </c>
      <c r="M58" s="23">
        <f t="shared" si="21"/>
        <v>84.7</v>
      </c>
      <c r="N58" s="23">
        <f t="shared" si="21"/>
        <v>88.075000000000017</v>
      </c>
      <c r="P58" s="20">
        <f t="shared" si="15"/>
        <v>0.33393848009650162</v>
      </c>
      <c r="Q58" s="20">
        <f t="shared" si="16"/>
        <v>0.33393848009650162</v>
      </c>
      <c r="R58" s="19">
        <f t="shared" si="17"/>
        <v>276.83499999999987</v>
      </c>
      <c r="S58" s="23">
        <f t="shared" si="18"/>
        <v>5.6000000000000227</v>
      </c>
      <c r="T58" s="23">
        <f t="shared" si="19"/>
        <v>0</v>
      </c>
    </row>
    <row r="59" spans="1:20" x14ac:dyDescent="0.2">
      <c r="A59" s="40">
        <v>35117</v>
      </c>
      <c r="B59" s="34">
        <v>53</v>
      </c>
      <c r="C59" s="16">
        <f>ROUND(Data!BJ59,2)</f>
        <v>0</v>
      </c>
      <c r="D59" s="3">
        <f>ROUND(Data!R59,1)</f>
        <v>-6.1</v>
      </c>
      <c r="E59" s="3">
        <f>ROUND(Data!AF59,1)</f>
        <v>-11.5</v>
      </c>
      <c r="F59" s="23">
        <f>Data!BO59</f>
        <v>0</v>
      </c>
      <c r="G59" s="3">
        <f>Data!Q59</f>
        <v>0</v>
      </c>
      <c r="H59" s="62">
        <f t="shared" si="5"/>
        <v>837</v>
      </c>
      <c r="I59" s="32"/>
      <c r="J59" s="41">
        <f>Data!EC59</f>
        <v>1.1000000000000001</v>
      </c>
      <c r="K59" s="65">
        <f t="shared" si="20"/>
        <v>1.1000000000000001</v>
      </c>
      <c r="M59" s="23">
        <f t="shared" si="21"/>
        <v>85.8</v>
      </c>
      <c r="N59" s="23">
        <f t="shared" si="21"/>
        <v>89.175000000000011</v>
      </c>
      <c r="P59" s="20">
        <f t="shared" si="15"/>
        <v>0.33206093189964142</v>
      </c>
      <c r="Q59" s="20">
        <f t="shared" si="16"/>
        <v>0.33206093189964142</v>
      </c>
      <c r="R59" s="19">
        <f t="shared" si="17"/>
        <v>277.93499999999989</v>
      </c>
      <c r="S59" s="23">
        <f t="shared" si="18"/>
        <v>1.1000000000000227</v>
      </c>
      <c r="T59" s="23">
        <f t="shared" si="19"/>
        <v>0</v>
      </c>
    </row>
    <row r="60" spans="1:20" x14ac:dyDescent="0.2">
      <c r="A60" s="40">
        <v>35118</v>
      </c>
      <c r="B60" s="34">
        <v>54</v>
      </c>
      <c r="C60" s="16">
        <f>ROUND(Data!BJ60,2)</f>
        <v>0</v>
      </c>
      <c r="D60" s="3">
        <f>ROUND(Data!R60,1)</f>
        <v>-3.9</v>
      </c>
      <c r="E60" s="3">
        <f>ROUND(Data!AF60,1)</f>
        <v>-18.899999999999999</v>
      </c>
      <c r="F60" s="23">
        <f>Data!BO60</f>
        <v>0</v>
      </c>
      <c r="G60" s="3">
        <f>Data!Q60</f>
        <v>0</v>
      </c>
      <c r="H60" s="62">
        <f t="shared" si="5"/>
        <v>852</v>
      </c>
      <c r="I60" s="32"/>
      <c r="J60" s="41">
        <f>Data!EC60</f>
        <v>1.9</v>
      </c>
      <c r="K60" s="65">
        <f t="shared" si="20"/>
        <v>1.9</v>
      </c>
      <c r="M60" s="23">
        <f t="shared" si="21"/>
        <v>87.7</v>
      </c>
      <c r="N60" s="23">
        <f t="shared" si="21"/>
        <v>91.075000000000017</v>
      </c>
      <c r="P60" s="20">
        <f t="shared" si="15"/>
        <v>0.328444835680751</v>
      </c>
      <c r="Q60" s="20">
        <f t="shared" si="16"/>
        <v>0.328444835680751</v>
      </c>
      <c r="R60" s="19">
        <f t="shared" si="17"/>
        <v>279.83499999999987</v>
      </c>
      <c r="S60" s="23">
        <f t="shared" si="18"/>
        <v>1.8999999999999773</v>
      </c>
      <c r="T60" s="23">
        <f t="shared" si="19"/>
        <v>0</v>
      </c>
    </row>
    <row r="61" spans="1:20" x14ac:dyDescent="0.2">
      <c r="A61" s="40">
        <v>35119</v>
      </c>
      <c r="B61" s="34">
        <v>55</v>
      </c>
      <c r="C61" s="16">
        <f>ROUND(Data!BJ61,2)</f>
        <v>0</v>
      </c>
      <c r="D61" s="3">
        <f>ROUND(Data!R61,1)</f>
        <v>-5.7</v>
      </c>
      <c r="E61" s="3">
        <f>ROUND(Data!AF61,1)</f>
        <v>-20.3</v>
      </c>
      <c r="F61" s="23">
        <f>Data!BO61</f>
        <v>0</v>
      </c>
      <c r="G61" s="3">
        <f>Data!Q61</f>
        <v>0</v>
      </c>
      <c r="H61" s="62">
        <f t="shared" si="5"/>
        <v>830</v>
      </c>
      <c r="I61" s="32"/>
      <c r="J61" s="41">
        <f>Data!EC61</f>
        <v>0</v>
      </c>
      <c r="K61" s="65">
        <f t="shared" si="20"/>
        <v>0</v>
      </c>
      <c r="M61" s="23">
        <f t="shared" si="21"/>
        <v>87.7</v>
      </c>
      <c r="N61" s="23">
        <f t="shared" si="21"/>
        <v>91.075000000000017</v>
      </c>
      <c r="P61" s="20">
        <f t="shared" si="15"/>
        <v>0.3371506024096384</v>
      </c>
      <c r="Q61" s="20">
        <f t="shared" si="16"/>
        <v>0.3371506024096384</v>
      </c>
      <c r="R61" s="19">
        <f t="shared" si="17"/>
        <v>279.83499999999987</v>
      </c>
      <c r="S61" s="23">
        <f t="shared" si="18"/>
        <v>0</v>
      </c>
      <c r="T61" s="23">
        <f t="shared" si="19"/>
        <v>0</v>
      </c>
    </row>
    <row r="62" spans="1:20" x14ac:dyDescent="0.2">
      <c r="A62" s="40">
        <v>35120</v>
      </c>
      <c r="B62" s="34">
        <v>56</v>
      </c>
      <c r="C62" s="16">
        <f>ROUND(Data!BJ62,2)</f>
        <v>0</v>
      </c>
      <c r="D62" s="3">
        <f>ROUND(Data!R62,1)</f>
        <v>-8.6999999999999993</v>
      </c>
      <c r="E62" s="3">
        <f>ROUND(Data!AF62,1)</f>
        <v>-16</v>
      </c>
      <c r="F62" s="23">
        <f>Data!BO62</f>
        <v>0</v>
      </c>
      <c r="G62" s="3">
        <f>Data!Q62</f>
        <v>0</v>
      </c>
      <c r="H62" s="62">
        <f t="shared" si="5"/>
        <v>808</v>
      </c>
      <c r="I62" s="32"/>
      <c r="J62" s="41">
        <f>Data!EC62</f>
        <v>0</v>
      </c>
      <c r="K62" s="65">
        <f t="shared" si="20"/>
        <v>0</v>
      </c>
      <c r="M62" s="23">
        <f t="shared" si="21"/>
        <v>87.7</v>
      </c>
      <c r="N62" s="23">
        <f t="shared" si="21"/>
        <v>91.075000000000017</v>
      </c>
      <c r="P62" s="20">
        <f t="shared" si="15"/>
        <v>0.34633044554455428</v>
      </c>
      <c r="Q62" s="20">
        <f t="shared" si="16"/>
        <v>0.34633044554455428</v>
      </c>
      <c r="R62" s="19">
        <f t="shared" si="17"/>
        <v>279.83499999999987</v>
      </c>
      <c r="S62" s="23">
        <f t="shared" si="18"/>
        <v>0</v>
      </c>
      <c r="T62" s="23">
        <f t="shared" si="19"/>
        <v>0</v>
      </c>
    </row>
    <row r="63" spans="1:20" x14ac:dyDescent="0.2">
      <c r="A63" s="40">
        <v>35121</v>
      </c>
      <c r="B63" s="34">
        <v>57</v>
      </c>
      <c r="C63" s="16">
        <f>ROUND(Data!BJ63,2)</f>
        <v>0</v>
      </c>
      <c r="D63" s="3">
        <f>ROUND(Data!R63,1)</f>
        <v>-7.2</v>
      </c>
      <c r="E63" s="3">
        <f>ROUND(Data!AF63,1)</f>
        <v>-23.8</v>
      </c>
      <c r="F63" s="23">
        <f>Data!BO63</f>
        <v>0</v>
      </c>
      <c r="G63" s="3">
        <f>Data!Q63</f>
        <v>0</v>
      </c>
      <c r="H63" s="62">
        <f t="shared" si="5"/>
        <v>811</v>
      </c>
      <c r="I63" s="32"/>
      <c r="J63" s="41">
        <f>Data!EC63</f>
        <v>0.4</v>
      </c>
      <c r="K63" s="65">
        <f t="shared" si="20"/>
        <v>0.4</v>
      </c>
      <c r="M63" s="23">
        <f t="shared" si="21"/>
        <v>88.100000000000009</v>
      </c>
      <c r="N63" s="23">
        <f t="shared" si="21"/>
        <v>91.475000000000023</v>
      </c>
      <c r="P63" s="20">
        <f t="shared" si="15"/>
        <v>0.34554254007398255</v>
      </c>
      <c r="Q63" s="20">
        <f t="shared" si="16"/>
        <v>0.34554254007398255</v>
      </c>
      <c r="R63" s="19">
        <f t="shared" si="17"/>
        <v>280.23499999999984</v>
      </c>
      <c r="S63" s="23">
        <f t="shared" si="18"/>
        <v>0.39999999999997726</v>
      </c>
      <c r="T63" s="23">
        <f t="shared" si="19"/>
        <v>0</v>
      </c>
    </row>
    <row r="64" spans="1:20" x14ac:dyDescent="0.2">
      <c r="A64" s="40">
        <v>35122</v>
      </c>
      <c r="B64" s="34">
        <v>58</v>
      </c>
      <c r="C64" s="16">
        <f>ROUND(Data!BJ64,2)</f>
        <v>0</v>
      </c>
      <c r="D64" s="3">
        <f>ROUND(Data!R64,1)</f>
        <v>-9.1999999999999993</v>
      </c>
      <c r="E64" s="3">
        <f>ROUND(Data!AF64,1)</f>
        <v>-24.3</v>
      </c>
      <c r="F64" s="23">
        <f>Data!BO64</f>
        <v>0</v>
      </c>
      <c r="G64" s="3">
        <f>Data!Q64</f>
        <v>0</v>
      </c>
      <c r="H64" s="62">
        <f t="shared" si="5"/>
        <v>813</v>
      </c>
      <c r="I64" s="32"/>
      <c r="J64" s="41">
        <f>Data!EC64</f>
        <v>0.3</v>
      </c>
      <c r="K64" s="65">
        <f t="shared" si="20"/>
        <v>0.3</v>
      </c>
      <c r="M64" s="23">
        <f t="shared" ref="M64" si="22">J64+M63</f>
        <v>88.4</v>
      </c>
      <c r="N64" s="23">
        <f t="shared" ref="N64" si="23">K64+N63</f>
        <v>91.77500000000002</v>
      </c>
      <c r="P64" s="20">
        <f t="shared" si="15"/>
        <v>0.34506150061500596</v>
      </c>
      <c r="Q64" s="20">
        <f t="shared" si="16"/>
        <v>0.34506150061500596</v>
      </c>
      <c r="R64" s="19">
        <f t="shared" si="17"/>
        <v>280.53499999999985</v>
      </c>
      <c r="S64" s="23">
        <f t="shared" si="18"/>
        <v>0.30000000000001137</v>
      </c>
      <c r="T64" s="23">
        <f t="shared" si="19"/>
        <v>0</v>
      </c>
    </row>
    <row r="65" spans="1:20" x14ac:dyDescent="0.2">
      <c r="A65" s="40">
        <v>35123</v>
      </c>
      <c r="B65" s="34">
        <v>59</v>
      </c>
      <c r="C65" s="16">
        <f>ROUND(Data!BJ65,2)</f>
        <v>0</v>
      </c>
      <c r="D65" s="3">
        <f>ROUND(Data!R65,1)</f>
        <v>-5.5</v>
      </c>
      <c r="E65" s="3">
        <f>ROUND(Data!AF65,1)</f>
        <v>-24.1</v>
      </c>
      <c r="F65" s="23">
        <f>Data!BO65</f>
        <v>0</v>
      </c>
      <c r="G65" s="3">
        <f>Data!Q65</f>
        <v>0</v>
      </c>
      <c r="H65" s="62">
        <f t="shared" si="5"/>
        <v>791</v>
      </c>
      <c r="I65" s="32"/>
      <c r="J65" s="41">
        <f>Data!EC65</f>
        <v>0</v>
      </c>
      <c r="K65" s="65">
        <f t="shared" si="20"/>
        <v>0</v>
      </c>
      <c r="M65" s="23">
        <f>J65+M63</f>
        <v>88.100000000000009</v>
      </c>
      <c r="N65" s="23">
        <f>K65+N63</f>
        <v>91.475000000000023</v>
      </c>
      <c r="P65" s="20">
        <f t="shared" si="15"/>
        <v>0.35465865992414647</v>
      </c>
      <c r="Q65" s="20">
        <f t="shared" si="16"/>
        <v>0.35465865992414647</v>
      </c>
      <c r="R65" s="19">
        <f t="shared" si="17"/>
        <v>280.53499999999985</v>
      </c>
      <c r="S65" s="23">
        <f t="shared" si="18"/>
        <v>0</v>
      </c>
      <c r="T65" s="23">
        <f t="shared" si="19"/>
        <v>0</v>
      </c>
    </row>
    <row r="66" spans="1:20" x14ac:dyDescent="0.2">
      <c r="A66" s="40">
        <v>35124</v>
      </c>
      <c r="B66" s="34">
        <v>60</v>
      </c>
      <c r="C66" s="16">
        <f>ROUND(Data!BJ66,2)</f>
        <v>0</v>
      </c>
      <c r="D66" s="3">
        <f>ROUND(Data!R66,1)</f>
        <v>-1.7</v>
      </c>
      <c r="E66" s="3">
        <f>ROUND(Data!AF66,1)</f>
        <v>-22.7</v>
      </c>
      <c r="F66" s="23">
        <f>Data!BO66</f>
        <v>0</v>
      </c>
      <c r="G66" s="3">
        <f>Data!Q66</f>
        <v>0</v>
      </c>
      <c r="H66" s="62">
        <f t="shared" si="5"/>
        <v>769</v>
      </c>
      <c r="I66" s="32"/>
      <c r="J66" s="41">
        <f>Data!EC66</f>
        <v>0</v>
      </c>
      <c r="K66" s="65">
        <f t="shared" si="20"/>
        <v>0</v>
      </c>
      <c r="M66" s="23">
        <f t="shared" si="21"/>
        <v>88.100000000000009</v>
      </c>
      <c r="N66" s="23">
        <f t="shared" si="21"/>
        <v>91.475000000000023</v>
      </c>
      <c r="P66" s="20">
        <f t="shared" si="15"/>
        <v>0.36480494148244452</v>
      </c>
      <c r="Q66" s="20">
        <f t="shared" si="16"/>
        <v>0.36480494148244452</v>
      </c>
      <c r="R66" s="19">
        <f t="shared" si="17"/>
        <v>280.53499999999985</v>
      </c>
      <c r="S66" s="23">
        <f t="shared" si="18"/>
        <v>0</v>
      </c>
      <c r="T66" s="23">
        <f t="shared" si="19"/>
        <v>0</v>
      </c>
    </row>
    <row r="67" spans="1:20" x14ac:dyDescent="0.2">
      <c r="A67" s="40">
        <v>35125</v>
      </c>
      <c r="B67" s="34">
        <v>61</v>
      </c>
      <c r="C67" s="16">
        <f>ROUND(Data!BJ67,2)</f>
        <v>0</v>
      </c>
      <c r="D67" s="3">
        <f>ROUND(Data!R67,1)</f>
        <v>6.7</v>
      </c>
      <c r="E67" s="3">
        <f>ROUND(Data!AF67,1)</f>
        <v>-16.3</v>
      </c>
      <c r="F67" s="23">
        <f>Data!BO67</f>
        <v>0</v>
      </c>
      <c r="G67" s="3">
        <f>Data!Q67</f>
        <v>0</v>
      </c>
      <c r="H67" s="62">
        <f t="shared" si="5"/>
        <v>747</v>
      </c>
      <c r="I67" s="32"/>
      <c r="J67" s="41">
        <f>Data!EC67</f>
        <v>0</v>
      </c>
      <c r="K67" s="65">
        <f t="shared" si="20"/>
        <v>0</v>
      </c>
      <c r="M67" s="23">
        <f t="shared" ref="M67:M130" si="24">J67+M66</f>
        <v>88.100000000000009</v>
      </c>
      <c r="N67" s="23">
        <f t="shared" ref="N67:N130" si="25">K67+N66</f>
        <v>91.475000000000023</v>
      </c>
      <c r="P67" s="20">
        <f t="shared" si="15"/>
        <v>0.375548862115127</v>
      </c>
      <c r="Q67" s="20">
        <f t="shared" si="16"/>
        <v>0.375548862115127</v>
      </c>
      <c r="R67" s="19">
        <f t="shared" si="17"/>
        <v>280.53499999999985</v>
      </c>
      <c r="S67" s="23">
        <f t="shared" si="18"/>
        <v>0</v>
      </c>
      <c r="T67" s="23">
        <f t="shared" si="19"/>
        <v>0</v>
      </c>
    </row>
    <row r="68" spans="1:20" x14ac:dyDescent="0.2">
      <c r="A68" s="40">
        <v>35126</v>
      </c>
      <c r="B68" s="34">
        <v>62</v>
      </c>
      <c r="C68" s="16">
        <f>ROUND(Data!BJ68,2)</f>
        <v>0</v>
      </c>
      <c r="D68" s="3">
        <f>ROUND(Data!R68,1)</f>
        <v>5.0999999999999996</v>
      </c>
      <c r="E68" s="3">
        <f>ROUND(Data!AF68,1)</f>
        <v>-12.6</v>
      </c>
      <c r="F68" s="23">
        <f>Data!BO68</f>
        <v>0</v>
      </c>
      <c r="G68" s="3">
        <f>Data!Q68</f>
        <v>0</v>
      </c>
      <c r="H68" s="62">
        <f t="shared" si="5"/>
        <v>725</v>
      </c>
      <c r="I68" s="32"/>
      <c r="J68" s="41">
        <f>Data!EC68</f>
        <v>0</v>
      </c>
      <c r="K68" s="65">
        <f t="shared" si="20"/>
        <v>0</v>
      </c>
      <c r="M68" s="23">
        <f t="shared" si="24"/>
        <v>88.100000000000009</v>
      </c>
      <c r="N68" s="23">
        <f t="shared" si="25"/>
        <v>91.475000000000023</v>
      </c>
      <c r="P68" s="20">
        <f t="shared" si="15"/>
        <v>0.38694482758620669</v>
      </c>
      <c r="Q68" s="20">
        <f t="shared" si="16"/>
        <v>0.38694482758620669</v>
      </c>
      <c r="R68" s="19">
        <f t="shared" si="17"/>
        <v>280.53499999999985</v>
      </c>
      <c r="S68" s="23">
        <f t="shared" si="18"/>
        <v>0</v>
      </c>
      <c r="T68" s="23">
        <f t="shared" si="19"/>
        <v>0</v>
      </c>
    </row>
    <row r="69" spans="1:20" x14ac:dyDescent="0.2">
      <c r="A69" s="40">
        <v>35127</v>
      </c>
      <c r="B69" s="34">
        <v>63</v>
      </c>
      <c r="C69" s="16">
        <f>ROUND(Data!BJ69,2)</f>
        <v>0</v>
      </c>
      <c r="D69" s="3">
        <f>ROUND(Data!R69,1)</f>
        <v>-3.2</v>
      </c>
      <c r="E69" s="3">
        <f>ROUND(Data!AF69,1)</f>
        <v>-12.4</v>
      </c>
      <c r="F69" s="23">
        <f>Data!BO69</f>
        <v>0</v>
      </c>
      <c r="G69" s="3">
        <f>Data!Q69</f>
        <v>0</v>
      </c>
      <c r="H69" s="62">
        <f t="shared" si="5"/>
        <v>753</v>
      </c>
      <c r="I69" s="32"/>
      <c r="J69" s="41">
        <f>Data!EC69</f>
        <v>3.6</v>
      </c>
      <c r="K69" s="65">
        <f t="shared" si="20"/>
        <v>3.6</v>
      </c>
      <c r="M69" s="23">
        <f t="shared" si="24"/>
        <v>91.7</v>
      </c>
      <c r="N69" s="23">
        <f t="shared" si="25"/>
        <v>95.075000000000017</v>
      </c>
      <c r="P69" s="20">
        <f t="shared" si="15"/>
        <v>0.37733731739707821</v>
      </c>
      <c r="Q69" s="20">
        <f t="shared" si="16"/>
        <v>0.37733731739707821</v>
      </c>
      <c r="R69" s="19">
        <f t="shared" si="17"/>
        <v>284.13499999999988</v>
      </c>
      <c r="S69" s="23">
        <f t="shared" si="18"/>
        <v>3.6000000000000227</v>
      </c>
      <c r="T69" s="23">
        <f t="shared" si="19"/>
        <v>0</v>
      </c>
    </row>
    <row r="70" spans="1:20" x14ac:dyDescent="0.2">
      <c r="A70" s="40">
        <v>35128</v>
      </c>
      <c r="B70" s="34">
        <v>64</v>
      </c>
      <c r="C70" s="16">
        <f>ROUND(Data!BJ70,2)</f>
        <v>0</v>
      </c>
      <c r="D70" s="3">
        <f>ROUND(Data!R70,1)</f>
        <v>-9.5</v>
      </c>
      <c r="E70" s="3">
        <f>ROUND(Data!AF70,1)</f>
        <v>-15.2</v>
      </c>
      <c r="F70" s="23">
        <f>Data!BO70</f>
        <v>0</v>
      </c>
      <c r="G70" s="3">
        <f>Data!Q70</f>
        <v>0</v>
      </c>
      <c r="H70" s="62">
        <f t="shared" si="5"/>
        <v>731</v>
      </c>
      <c r="I70" s="32"/>
      <c r="J70" s="41">
        <f>Data!EC70</f>
        <v>0</v>
      </c>
      <c r="K70" s="65">
        <f t="shared" si="20"/>
        <v>0</v>
      </c>
      <c r="M70" s="23">
        <f t="shared" si="24"/>
        <v>91.7</v>
      </c>
      <c r="N70" s="23">
        <f t="shared" si="25"/>
        <v>95.075000000000017</v>
      </c>
      <c r="P70" s="20">
        <f t="shared" si="15"/>
        <v>0.38869357045143621</v>
      </c>
      <c r="Q70" s="20">
        <f t="shared" si="16"/>
        <v>0.38869357045143621</v>
      </c>
      <c r="R70" s="19">
        <f t="shared" si="17"/>
        <v>284.13499999999988</v>
      </c>
      <c r="S70" s="23">
        <f t="shared" si="18"/>
        <v>0</v>
      </c>
      <c r="T70" s="23">
        <f t="shared" si="19"/>
        <v>0</v>
      </c>
    </row>
    <row r="71" spans="1:20" x14ac:dyDescent="0.2">
      <c r="A71" s="40">
        <v>35129</v>
      </c>
      <c r="B71" s="34">
        <v>65</v>
      </c>
      <c r="C71" s="16">
        <f>ROUND(Data!BJ71,2)</f>
        <v>0</v>
      </c>
      <c r="D71" s="3">
        <f>ROUND(Data!R71,1)</f>
        <v>-4.5999999999999996</v>
      </c>
      <c r="E71" s="3">
        <f>ROUND(Data!AF71,1)</f>
        <v>-18.5</v>
      </c>
      <c r="F71" s="23">
        <f>Data!BO71</f>
        <v>0</v>
      </c>
      <c r="G71" s="3">
        <f>Data!Q71</f>
        <v>0</v>
      </c>
      <c r="H71" s="62">
        <f t="shared" si="5"/>
        <v>740</v>
      </c>
      <c r="I71" s="32"/>
      <c r="J71" s="41">
        <f>Data!EC71</f>
        <v>1.2</v>
      </c>
      <c r="K71" s="65">
        <f t="shared" si="20"/>
        <v>1.2</v>
      </c>
      <c r="M71" s="23">
        <f t="shared" si="24"/>
        <v>92.9</v>
      </c>
      <c r="N71" s="23">
        <f t="shared" si="25"/>
        <v>96.27500000000002</v>
      </c>
      <c r="P71" s="20">
        <f t="shared" si="15"/>
        <v>0.38558783783783768</v>
      </c>
      <c r="Q71" s="20">
        <f t="shared" si="16"/>
        <v>0.38558783783783768</v>
      </c>
      <c r="R71" s="19">
        <f t="shared" si="17"/>
        <v>285.33499999999987</v>
      </c>
      <c r="S71" s="23">
        <f t="shared" si="18"/>
        <v>1.1999999999999886</v>
      </c>
      <c r="T71" s="23">
        <f t="shared" si="19"/>
        <v>0</v>
      </c>
    </row>
    <row r="72" spans="1:20" x14ac:dyDescent="0.2">
      <c r="A72" s="40">
        <v>35130</v>
      </c>
      <c r="B72" s="34">
        <v>66</v>
      </c>
      <c r="C72" s="16">
        <f>ROUND(Data!BJ72,2)</f>
        <v>0</v>
      </c>
      <c r="D72" s="3">
        <f>ROUND(Data!R72,1)</f>
        <v>-2.8</v>
      </c>
      <c r="E72" s="3">
        <f>ROUND(Data!AF72,1)</f>
        <v>-18.7</v>
      </c>
      <c r="F72" s="23">
        <f>Data!BO72</f>
        <v>0</v>
      </c>
      <c r="G72" s="3">
        <f>Data!Q72</f>
        <v>0</v>
      </c>
      <c r="H72" s="62">
        <f t="shared" ref="H72:H135" si="26">IF(K72&gt;0,ROUND(H71+K72/0.13,0),H71-22)</f>
        <v>742</v>
      </c>
      <c r="I72" s="32"/>
      <c r="J72" s="41">
        <f>Data!EC72</f>
        <v>0.3</v>
      </c>
      <c r="K72" s="65">
        <f t="shared" si="20"/>
        <v>0.3</v>
      </c>
      <c r="M72" s="23">
        <f t="shared" si="24"/>
        <v>93.2</v>
      </c>
      <c r="N72" s="23">
        <f t="shared" si="25"/>
        <v>96.575000000000017</v>
      </c>
      <c r="P72" s="20">
        <f t="shared" si="15"/>
        <v>0.3849528301886791</v>
      </c>
      <c r="Q72" s="20">
        <f t="shared" si="16"/>
        <v>0.3849528301886791</v>
      </c>
      <c r="R72" s="19">
        <f t="shared" si="17"/>
        <v>285.63499999999988</v>
      </c>
      <c r="S72" s="23">
        <f t="shared" si="18"/>
        <v>0.30000000000001137</v>
      </c>
      <c r="T72" s="23">
        <f t="shared" si="19"/>
        <v>0</v>
      </c>
    </row>
    <row r="73" spans="1:20" x14ac:dyDescent="0.2">
      <c r="A73" s="40">
        <v>35131</v>
      </c>
      <c r="B73" s="34">
        <v>67</v>
      </c>
      <c r="C73" s="16">
        <f>ROUND(Data!BJ73,2)</f>
        <v>0</v>
      </c>
      <c r="D73" s="3">
        <f>ROUND(Data!R73,1)</f>
        <v>-3.4</v>
      </c>
      <c r="E73" s="3">
        <f>ROUND(Data!AF73,1)</f>
        <v>-12.2</v>
      </c>
      <c r="F73" s="23">
        <f>Data!BO73</f>
        <v>0</v>
      </c>
      <c r="G73" s="3">
        <f>Data!Q73</f>
        <v>0</v>
      </c>
      <c r="H73" s="62">
        <f t="shared" si="26"/>
        <v>760</v>
      </c>
      <c r="I73" s="32"/>
      <c r="J73" s="41">
        <f>Data!EC73</f>
        <v>2.2999999999999998</v>
      </c>
      <c r="K73" s="65">
        <f t="shared" si="20"/>
        <v>2.2999999999999998</v>
      </c>
      <c r="M73" s="23">
        <f t="shared" si="24"/>
        <v>95.5</v>
      </c>
      <c r="N73" s="23">
        <f t="shared" si="25"/>
        <v>98.875000000000014</v>
      </c>
      <c r="P73" s="20">
        <f t="shared" si="15"/>
        <v>0.37886184210526302</v>
      </c>
      <c r="Q73" s="20">
        <f t="shared" si="16"/>
        <v>0.37886184210526302</v>
      </c>
      <c r="R73" s="19">
        <f t="shared" si="17"/>
        <v>287.93499999999989</v>
      </c>
      <c r="S73" s="23">
        <f t="shared" si="18"/>
        <v>2.3000000000000114</v>
      </c>
      <c r="T73" s="23">
        <f t="shared" si="19"/>
        <v>0</v>
      </c>
    </row>
    <row r="74" spans="1:20" x14ac:dyDescent="0.2">
      <c r="A74" s="40">
        <v>35132</v>
      </c>
      <c r="B74" s="34">
        <v>68</v>
      </c>
      <c r="C74" s="16">
        <f>ROUND(Data!BJ74,2)</f>
        <v>0</v>
      </c>
      <c r="D74" s="3">
        <f>ROUND(Data!R74,1)</f>
        <v>0</v>
      </c>
      <c r="E74" s="3">
        <f>ROUND(Data!AF74,1)</f>
        <v>-7.1</v>
      </c>
      <c r="F74" s="23">
        <f>Data!BO74</f>
        <v>0</v>
      </c>
      <c r="G74" s="3">
        <f>Data!Q74</f>
        <v>0</v>
      </c>
      <c r="H74" s="62">
        <f t="shared" si="26"/>
        <v>772</v>
      </c>
      <c r="I74" s="32"/>
      <c r="J74" s="41">
        <f>Data!EC74</f>
        <v>1.6</v>
      </c>
      <c r="K74" s="65">
        <f t="shared" si="20"/>
        <v>1.6</v>
      </c>
      <c r="M74" s="23">
        <f t="shared" si="24"/>
        <v>97.1</v>
      </c>
      <c r="N74" s="23">
        <f t="shared" si="25"/>
        <v>100.47500000000001</v>
      </c>
      <c r="P74" s="20">
        <f t="shared" si="15"/>
        <v>0.37504533678756463</v>
      </c>
      <c r="Q74" s="20">
        <f t="shared" si="16"/>
        <v>0.37504533678756463</v>
      </c>
      <c r="R74" s="19">
        <f t="shared" si="17"/>
        <v>289.53499999999991</v>
      </c>
      <c r="S74" s="23">
        <f t="shared" si="18"/>
        <v>1.6000000000000227</v>
      </c>
      <c r="T74" s="23">
        <f t="shared" si="19"/>
        <v>0</v>
      </c>
    </row>
    <row r="75" spans="1:20" x14ac:dyDescent="0.2">
      <c r="A75" s="40">
        <v>35133</v>
      </c>
      <c r="B75" s="34">
        <v>69</v>
      </c>
      <c r="C75" s="16">
        <f>ROUND(Data!BJ75,2)</f>
        <v>0</v>
      </c>
      <c r="D75" s="3">
        <f>ROUND(Data!R75,1)</f>
        <v>3.8</v>
      </c>
      <c r="E75" s="3">
        <f>ROUND(Data!AF75,1)</f>
        <v>-1.2</v>
      </c>
      <c r="F75" s="23">
        <f>Data!BO75</f>
        <v>0</v>
      </c>
      <c r="G75" s="3">
        <f>Data!Q75</f>
        <v>0</v>
      </c>
      <c r="H75" s="62">
        <f t="shared" si="26"/>
        <v>809</v>
      </c>
      <c r="I75" s="32"/>
      <c r="J75" s="41">
        <f>Data!EC75</f>
        <v>4.8</v>
      </c>
      <c r="K75" s="65">
        <f t="shared" si="20"/>
        <v>4.8</v>
      </c>
      <c r="M75" s="23">
        <f t="shared" si="24"/>
        <v>101.89999999999999</v>
      </c>
      <c r="N75" s="23">
        <f t="shared" si="25"/>
        <v>105.27500000000001</v>
      </c>
      <c r="P75" s="20">
        <f t="shared" si="15"/>
        <v>0.36382571075401721</v>
      </c>
      <c r="Q75" s="20">
        <f t="shared" si="16"/>
        <v>0.36382571075401721</v>
      </c>
      <c r="R75" s="19">
        <f t="shared" si="17"/>
        <v>294.33499999999992</v>
      </c>
      <c r="S75" s="23">
        <f t="shared" si="18"/>
        <v>4.8000000000000114</v>
      </c>
      <c r="T75" s="23">
        <f t="shared" si="19"/>
        <v>0</v>
      </c>
    </row>
    <row r="76" spans="1:20" x14ac:dyDescent="0.2">
      <c r="A76" s="40">
        <v>35134</v>
      </c>
      <c r="B76" s="34">
        <v>70</v>
      </c>
      <c r="C76" s="16">
        <f>ROUND(Data!BJ76,2)</f>
        <v>0</v>
      </c>
      <c r="D76" s="3">
        <f>ROUND(Data!R76,1)</f>
        <v>4.7</v>
      </c>
      <c r="E76" s="3">
        <f>ROUND(Data!AF76,1)</f>
        <v>-0.7</v>
      </c>
      <c r="F76" s="23">
        <f>Data!BO76</f>
        <v>0</v>
      </c>
      <c r="G76" s="3">
        <f>Data!Q76</f>
        <v>0</v>
      </c>
      <c r="H76" s="62">
        <f t="shared" si="26"/>
        <v>826</v>
      </c>
      <c r="I76" s="32"/>
      <c r="J76" s="41">
        <f>Data!EC76</f>
        <v>2.2000000000000002</v>
      </c>
      <c r="K76" s="65">
        <f t="shared" si="20"/>
        <v>2.2000000000000002</v>
      </c>
      <c r="M76" s="23">
        <f t="shared" si="24"/>
        <v>104.1</v>
      </c>
      <c r="N76" s="23">
        <f t="shared" si="25"/>
        <v>107.47500000000001</v>
      </c>
      <c r="P76" s="20">
        <f t="shared" si="15"/>
        <v>0.3590012106537529</v>
      </c>
      <c r="Q76" s="20">
        <f t="shared" si="16"/>
        <v>0.3590012106537529</v>
      </c>
      <c r="R76" s="19">
        <f t="shared" si="17"/>
        <v>296.53499999999991</v>
      </c>
      <c r="S76" s="23">
        <f t="shared" si="18"/>
        <v>2.1999999999999886</v>
      </c>
      <c r="T76" s="23">
        <f t="shared" si="19"/>
        <v>0</v>
      </c>
    </row>
    <row r="77" spans="1:20" x14ac:dyDescent="0.2">
      <c r="A77" s="40">
        <v>35135</v>
      </c>
      <c r="B77" s="34">
        <v>71</v>
      </c>
      <c r="C77" s="16">
        <f>ROUND(Data!BJ77,2)</f>
        <v>0</v>
      </c>
      <c r="D77" s="3">
        <f>ROUND(Data!R77,1)</f>
        <v>4.5999999999999996</v>
      </c>
      <c r="E77" s="3">
        <f>ROUND(Data!AF77,1)</f>
        <v>-2.8</v>
      </c>
      <c r="F77" s="23">
        <f>Data!BO77</f>
        <v>0</v>
      </c>
      <c r="G77" s="3">
        <f>Data!Q77</f>
        <v>0</v>
      </c>
      <c r="H77" s="62">
        <f t="shared" si="26"/>
        <v>834</v>
      </c>
      <c r="I77" s="32"/>
      <c r="J77" s="41">
        <f>Data!EC77</f>
        <v>1</v>
      </c>
      <c r="K77" s="65">
        <f t="shared" si="20"/>
        <v>1</v>
      </c>
      <c r="M77" s="23">
        <f t="shared" si="24"/>
        <v>105.1</v>
      </c>
      <c r="N77" s="23">
        <f t="shared" si="25"/>
        <v>108.47500000000001</v>
      </c>
      <c r="P77" s="20">
        <f t="shared" si="15"/>
        <v>0.3567565947242205</v>
      </c>
      <c r="Q77" s="20">
        <f t="shared" si="16"/>
        <v>0.3567565947242205</v>
      </c>
      <c r="R77" s="19">
        <f t="shared" si="17"/>
        <v>297.53499999999991</v>
      </c>
      <c r="S77" s="23">
        <f t="shared" si="18"/>
        <v>1</v>
      </c>
      <c r="T77" s="23">
        <f t="shared" si="19"/>
        <v>0</v>
      </c>
    </row>
    <row r="78" spans="1:20" x14ac:dyDescent="0.2">
      <c r="A78" s="40">
        <v>35136</v>
      </c>
      <c r="B78" s="34">
        <v>72</v>
      </c>
      <c r="C78" s="16">
        <f>ROUND(Data!BJ78,2)</f>
        <v>0</v>
      </c>
      <c r="D78" s="3">
        <f>ROUND(Data!R78,1)</f>
        <v>1.7</v>
      </c>
      <c r="E78" s="3">
        <f>ROUND(Data!AF78,1)</f>
        <v>-5.6</v>
      </c>
      <c r="F78" s="23">
        <f>Data!BO78</f>
        <v>0</v>
      </c>
      <c r="G78" s="3">
        <f>Data!Q78</f>
        <v>0</v>
      </c>
      <c r="H78" s="62">
        <f t="shared" si="26"/>
        <v>839</v>
      </c>
      <c r="I78" s="32"/>
      <c r="J78" s="41">
        <f>Data!EC78</f>
        <v>0.7</v>
      </c>
      <c r="K78" s="65">
        <f t="shared" si="20"/>
        <v>0.7</v>
      </c>
      <c r="M78" s="23">
        <f t="shared" si="24"/>
        <v>105.8</v>
      </c>
      <c r="N78" s="23">
        <f t="shared" si="25"/>
        <v>109.17500000000001</v>
      </c>
      <c r="P78" s="20">
        <f t="shared" si="15"/>
        <v>0.3554648390941596</v>
      </c>
      <c r="Q78" s="20">
        <f t="shared" si="16"/>
        <v>0.3554648390941596</v>
      </c>
      <c r="R78" s="19">
        <f t="shared" si="17"/>
        <v>298.2349999999999</v>
      </c>
      <c r="S78" s="23">
        <f t="shared" si="18"/>
        <v>0.69999999999998863</v>
      </c>
      <c r="T78" s="23">
        <f t="shared" si="19"/>
        <v>0</v>
      </c>
    </row>
    <row r="79" spans="1:20" x14ac:dyDescent="0.2">
      <c r="A79" s="40">
        <v>35137</v>
      </c>
      <c r="B79" s="34">
        <v>73</v>
      </c>
      <c r="C79" s="16">
        <f>ROUND(Data!BJ79,2)</f>
        <v>0</v>
      </c>
      <c r="D79" s="3">
        <f>ROUND(Data!R79,1)</f>
        <v>5.3</v>
      </c>
      <c r="E79" s="3">
        <f>ROUND(Data!AF79,1)</f>
        <v>-5.2</v>
      </c>
      <c r="F79" s="23">
        <f>Data!BO79</f>
        <v>0</v>
      </c>
      <c r="G79" s="3">
        <f>Data!Q79</f>
        <v>0</v>
      </c>
      <c r="H79" s="62">
        <f t="shared" si="26"/>
        <v>817</v>
      </c>
      <c r="I79" s="32"/>
      <c r="J79" s="41">
        <f>Data!EC79</f>
        <v>0</v>
      </c>
      <c r="K79" s="65">
        <f t="shared" si="20"/>
        <v>0</v>
      </c>
      <c r="M79" s="23">
        <f t="shared" si="24"/>
        <v>105.8</v>
      </c>
      <c r="N79" s="23">
        <f t="shared" si="25"/>
        <v>109.17500000000001</v>
      </c>
      <c r="P79" s="20">
        <f t="shared" si="15"/>
        <v>0.36503671970624224</v>
      </c>
      <c r="Q79" s="20">
        <f t="shared" si="16"/>
        <v>0.36503671970624224</v>
      </c>
      <c r="R79" s="19">
        <f t="shared" si="17"/>
        <v>298.2349999999999</v>
      </c>
      <c r="S79" s="23">
        <f t="shared" si="18"/>
        <v>0</v>
      </c>
      <c r="T79" s="23">
        <f t="shared" si="19"/>
        <v>0</v>
      </c>
    </row>
    <row r="80" spans="1:20" x14ac:dyDescent="0.2">
      <c r="A80" s="40">
        <v>35138</v>
      </c>
      <c r="B80" s="34">
        <v>74</v>
      </c>
      <c r="C80" s="16">
        <f>ROUND(Data!BJ80,2)</f>
        <v>0</v>
      </c>
      <c r="D80" s="3">
        <f>ROUND(Data!R80,1)</f>
        <v>12.3</v>
      </c>
      <c r="E80" s="3">
        <f>ROUND(Data!AF80,1)</f>
        <v>-4.0999999999999996</v>
      </c>
      <c r="F80" s="23">
        <f>Data!BO80</f>
        <v>0</v>
      </c>
      <c r="G80" s="3">
        <f>Data!Q80</f>
        <v>0</v>
      </c>
      <c r="H80" s="62">
        <f t="shared" si="26"/>
        <v>795</v>
      </c>
      <c r="I80" s="32"/>
      <c r="J80" s="41">
        <f>Data!EC80</f>
        <v>0</v>
      </c>
      <c r="K80" s="65">
        <f t="shared" si="20"/>
        <v>0</v>
      </c>
      <c r="M80" s="23">
        <f t="shared" si="24"/>
        <v>105.8</v>
      </c>
      <c r="N80" s="23">
        <f t="shared" si="25"/>
        <v>109.17500000000001</v>
      </c>
      <c r="P80" s="20">
        <f t="shared" si="15"/>
        <v>0.37513836477987411</v>
      </c>
      <c r="Q80" s="20">
        <f t="shared" si="16"/>
        <v>0.37513836477987411</v>
      </c>
      <c r="R80" s="19">
        <f t="shared" si="17"/>
        <v>298.2349999999999</v>
      </c>
      <c r="S80" s="23">
        <f t="shared" si="18"/>
        <v>0</v>
      </c>
      <c r="T80" s="23">
        <f t="shared" si="19"/>
        <v>0</v>
      </c>
    </row>
    <row r="81" spans="1:20" x14ac:dyDescent="0.2">
      <c r="A81" s="40">
        <v>35139</v>
      </c>
      <c r="B81" s="34">
        <v>75</v>
      </c>
      <c r="C81" s="16">
        <f>ROUND(Data!BJ81,2)</f>
        <v>0</v>
      </c>
      <c r="D81" s="3">
        <f>ROUND(Data!R81,1)</f>
        <v>3.4</v>
      </c>
      <c r="E81" s="3">
        <f>ROUND(Data!AF81,1)</f>
        <v>-2.8</v>
      </c>
      <c r="F81" s="23">
        <f>Data!BO81</f>
        <v>0</v>
      </c>
      <c r="G81" s="3">
        <f>Data!Q81</f>
        <v>0</v>
      </c>
      <c r="H81" s="62">
        <f t="shared" si="26"/>
        <v>829</v>
      </c>
      <c r="I81" s="32"/>
      <c r="J81" s="41">
        <f>Data!EC81</f>
        <v>4.4000000000000004</v>
      </c>
      <c r="K81" s="65">
        <f t="shared" si="20"/>
        <v>4.4000000000000004</v>
      </c>
      <c r="M81" s="23">
        <f t="shared" si="24"/>
        <v>110.2</v>
      </c>
      <c r="N81" s="23">
        <f t="shared" si="25"/>
        <v>113.57500000000002</v>
      </c>
      <c r="P81" s="20">
        <f t="shared" si="15"/>
        <v>0.36506031363088043</v>
      </c>
      <c r="Q81" s="20">
        <f t="shared" si="16"/>
        <v>0.36506031363088043</v>
      </c>
      <c r="R81" s="19">
        <f t="shared" si="17"/>
        <v>302.63499999999988</v>
      </c>
      <c r="S81" s="23">
        <f t="shared" si="18"/>
        <v>4.3999999999999773</v>
      </c>
      <c r="T81" s="23">
        <f t="shared" si="19"/>
        <v>0</v>
      </c>
    </row>
    <row r="82" spans="1:20" x14ac:dyDescent="0.2">
      <c r="A82" s="40">
        <v>35140</v>
      </c>
      <c r="B82" s="34">
        <v>76</v>
      </c>
      <c r="C82" s="16">
        <f>ROUND(Data!BJ82,2)</f>
        <v>0</v>
      </c>
      <c r="D82" s="3">
        <f>ROUND(Data!R82,1)</f>
        <v>-1</v>
      </c>
      <c r="E82" s="3">
        <f>ROUND(Data!AF82,1)</f>
        <v>-5.0999999999999996</v>
      </c>
      <c r="F82" s="23">
        <f>Data!BO82</f>
        <v>0</v>
      </c>
      <c r="G82" s="3">
        <f>Data!Q82</f>
        <v>0</v>
      </c>
      <c r="H82" s="62">
        <f t="shared" si="26"/>
        <v>857</v>
      </c>
      <c r="I82" s="32"/>
      <c r="J82" s="41">
        <f>Data!EC82</f>
        <v>3.6</v>
      </c>
      <c r="K82" s="65">
        <f t="shared" si="20"/>
        <v>3.6</v>
      </c>
      <c r="M82" s="23">
        <f t="shared" si="24"/>
        <v>113.8</v>
      </c>
      <c r="N82" s="23">
        <f t="shared" si="25"/>
        <v>117.17500000000001</v>
      </c>
      <c r="P82" s="20">
        <f t="shared" si="15"/>
        <v>0.35733372228704774</v>
      </c>
      <c r="Q82" s="20">
        <f t="shared" si="16"/>
        <v>0.35733372228704774</v>
      </c>
      <c r="R82" s="19">
        <f t="shared" si="17"/>
        <v>306.2349999999999</v>
      </c>
      <c r="S82" s="23">
        <f t="shared" si="18"/>
        <v>3.6000000000000227</v>
      </c>
      <c r="T82" s="23">
        <f t="shared" si="19"/>
        <v>0</v>
      </c>
    </row>
    <row r="83" spans="1:20" x14ac:dyDescent="0.2">
      <c r="A83" s="40">
        <v>35141</v>
      </c>
      <c r="B83" s="34">
        <v>77</v>
      </c>
      <c r="C83" s="16">
        <f>ROUND(Data!BJ83,2)</f>
        <v>0</v>
      </c>
      <c r="D83" s="3">
        <f>ROUND(Data!R83,1)</f>
        <v>4.3</v>
      </c>
      <c r="E83" s="3">
        <f>ROUND(Data!AF83,1)</f>
        <v>-8.6999999999999993</v>
      </c>
      <c r="F83" s="23">
        <f>Data!BO83</f>
        <v>0</v>
      </c>
      <c r="G83" s="3">
        <f>Data!Q83</f>
        <v>0</v>
      </c>
      <c r="H83" s="62">
        <f t="shared" si="26"/>
        <v>865</v>
      </c>
      <c r="I83" s="32"/>
      <c r="J83" s="41">
        <f>Data!EC83</f>
        <v>1</v>
      </c>
      <c r="K83" s="65">
        <f t="shared" si="20"/>
        <v>1</v>
      </c>
      <c r="M83" s="23">
        <f t="shared" si="24"/>
        <v>114.8</v>
      </c>
      <c r="N83" s="23">
        <f t="shared" si="25"/>
        <v>118.17500000000001</v>
      </c>
      <c r="P83" s="20">
        <f t="shared" si="15"/>
        <v>0.3551849710982658</v>
      </c>
      <c r="Q83" s="20">
        <f t="shared" si="16"/>
        <v>0.3551849710982658</v>
      </c>
      <c r="R83" s="19">
        <f t="shared" si="17"/>
        <v>307.2349999999999</v>
      </c>
      <c r="S83" s="23">
        <f t="shared" si="18"/>
        <v>1</v>
      </c>
      <c r="T83" s="23">
        <f t="shared" si="19"/>
        <v>0</v>
      </c>
    </row>
    <row r="84" spans="1:20" x14ac:dyDescent="0.2">
      <c r="A84" s="40">
        <v>35142</v>
      </c>
      <c r="B84" s="34">
        <v>78</v>
      </c>
      <c r="C84" s="16">
        <f>ROUND(Data!BJ84,2)</f>
        <v>0</v>
      </c>
      <c r="D84" s="3">
        <f>ROUND(Data!R84,1)</f>
        <v>4.7</v>
      </c>
      <c r="E84" s="3">
        <f>ROUND(Data!AF84,1)</f>
        <v>-11</v>
      </c>
      <c r="F84" s="23">
        <f>Data!BO84</f>
        <v>0</v>
      </c>
      <c r="G84" s="3">
        <f>Data!Q84</f>
        <v>0</v>
      </c>
      <c r="H84" s="62">
        <f t="shared" si="26"/>
        <v>843</v>
      </c>
      <c r="I84" s="32"/>
      <c r="J84" s="41">
        <f>Data!EC84</f>
        <v>0</v>
      </c>
      <c r="K84" s="65">
        <f t="shared" si="20"/>
        <v>0</v>
      </c>
      <c r="M84" s="23">
        <f t="shared" si="24"/>
        <v>114.8</v>
      </c>
      <c r="N84" s="23">
        <f t="shared" si="25"/>
        <v>118.17500000000001</v>
      </c>
      <c r="P84" s="20">
        <f t="shared" si="15"/>
        <v>0.36445432977461434</v>
      </c>
      <c r="Q84" s="20">
        <f t="shared" si="16"/>
        <v>0.36445432977461434</v>
      </c>
      <c r="R84" s="19">
        <f t="shared" si="17"/>
        <v>307.2349999999999</v>
      </c>
      <c r="S84" s="23">
        <f t="shared" si="18"/>
        <v>0</v>
      </c>
      <c r="T84" s="23">
        <f t="shared" si="19"/>
        <v>0</v>
      </c>
    </row>
    <row r="85" spans="1:20" x14ac:dyDescent="0.2">
      <c r="A85" s="40">
        <v>35143</v>
      </c>
      <c r="B85" s="34">
        <v>79</v>
      </c>
      <c r="C85" s="16">
        <f>ROUND(Data!BJ85,2)</f>
        <v>0</v>
      </c>
      <c r="D85" s="3">
        <f>ROUND(Data!R85,1)</f>
        <v>5.5</v>
      </c>
      <c r="E85" s="3">
        <f>ROUND(Data!AF85,1)</f>
        <v>-4.0999999999999996</v>
      </c>
      <c r="F85" s="23">
        <f>Data!BO85</f>
        <v>0</v>
      </c>
      <c r="G85" s="3">
        <f>Data!Q85</f>
        <v>0</v>
      </c>
      <c r="H85" s="62">
        <f t="shared" si="26"/>
        <v>821</v>
      </c>
      <c r="I85" s="32"/>
      <c r="J85" s="41">
        <f>Data!EC85</f>
        <v>0</v>
      </c>
      <c r="K85" s="65">
        <f t="shared" si="20"/>
        <v>0</v>
      </c>
      <c r="M85" s="23">
        <f t="shared" si="24"/>
        <v>114.8</v>
      </c>
      <c r="N85" s="23">
        <f t="shared" si="25"/>
        <v>118.17500000000001</v>
      </c>
      <c r="P85" s="20">
        <f t="shared" si="15"/>
        <v>0.37422046285018257</v>
      </c>
      <c r="Q85" s="20">
        <f t="shared" si="16"/>
        <v>0.37422046285018257</v>
      </c>
      <c r="R85" s="19">
        <f t="shared" si="17"/>
        <v>307.2349999999999</v>
      </c>
      <c r="S85" s="23">
        <f t="shared" si="18"/>
        <v>0</v>
      </c>
      <c r="T85" s="23">
        <f t="shared" si="19"/>
        <v>0</v>
      </c>
    </row>
    <row r="86" spans="1:20" x14ac:dyDescent="0.2">
      <c r="A86" s="40">
        <v>35144</v>
      </c>
      <c r="B86" s="34">
        <v>80</v>
      </c>
      <c r="C86" s="16">
        <f>ROUND(Data!BJ86,2)</f>
        <v>0</v>
      </c>
      <c r="D86" s="3">
        <f>ROUND(Data!R86,1)</f>
        <v>4.9000000000000004</v>
      </c>
      <c r="E86" s="3">
        <f>ROUND(Data!AF86,1)</f>
        <v>-8</v>
      </c>
      <c r="F86" s="23">
        <f>Data!BO86</f>
        <v>0</v>
      </c>
      <c r="G86" s="3">
        <f>Data!Q86</f>
        <v>0</v>
      </c>
      <c r="H86" s="62">
        <f t="shared" si="26"/>
        <v>799</v>
      </c>
      <c r="I86" s="32"/>
      <c r="J86" s="41">
        <f>Data!EC86</f>
        <v>0</v>
      </c>
      <c r="K86" s="65">
        <f t="shared" si="20"/>
        <v>0</v>
      </c>
      <c r="M86" s="23">
        <f t="shared" si="24"/>
        <v>114.8</v>
      </c>
      <c r="N86" s="23">
        <f t="shared" si="25"/>
        <v>118.17500000000001</v>
      </c>
      <c r="P86" s="20">
        <f t="shared" si="15"/>
        <v>0.38452440550688349</v>
      </c>
      <c r="Q86" s="20">
        <f t="shared" si="16"/>
        <v>0.38452440550688349</v>
      </c>
      <c r="R86" s="19">
        <f t="shared" si="17"/>
        <v>307.2349999999999</v>
      </c>
      <c r="S86" s="23">
        <f t="shared" si="18"/>
        <v>0</v>
      </c>
      <c r="T86" s="23">
        <f t="shared" si="19"/>
        <v>0</v>
      </c>
    </row>
    <row r="87" spans="1:20" x14ac:dyDescent="0.2">
      <c r="A87" s="40">
        <v>35145</v>
      </c>
      <c r="B87" s="34">
        <v>81</v>
      </c>
      <c r="C87" s="16">
        <f>ROUND(Data!BJ87,2)</f>
        <v>0</v>
      </c>
      <c r="D87" s="3">
        <f>ROUND(Data!R87,1)</f>
        <v>4.7</v>
      </c>
      <c r="E87" s="3">
        <f>ROUND(Data!AF87,1)</f>
        <v>-8.8000000000000007</v>
      </c>
      <c r="F87" s="23">
        <f>Data!BO87</f>
        <v>0</v>
      </c>
      <c r="G87" s="3">
        <f>Data!Q87</f>
        <v>0</v>
      </c>
      <c r="H87" s="62">
        <f t="shared" si="26"/>
        <v>777</v>
      </c>
      <c r="I87" s="32"/>
      <c r="J87" s="41">
        <f>Data!EC87</f>
        <v>0</v>
      </c>
      <c r="K87" s="65">
        <f t="shared" si="20"/>
        <v>0</v>
      </c>
      <c r="M87" s="23">
        <f t="shared" si="24"/>
        <v>114.8</v>
      </c>
      <c r="N87" s="23">
        <f t="shared" si="25"/>
        <v>118.17500000000001</v>
      </c>
      <c r="P87" s="20">
        <f t="shared" si="15"/>
        <v>0.3954118404118403</v>
      </c>
      <c r="Q87" s="20">
        <f t="shared" si="16"/>
        <v>0.3954118404118403</v>
      </c>
      <c r="R87" s="19">
        <f t="shared" si="17"/>
        <v>307.2349999999999</v>
      </c>
      <c r="S87" s="23">
        <f t="shared" si="18"/>
        <v>0</v>
      </c>
      <c r="T87" s="23">
        <f t="shared" si="19"/>
        <v>0</v>
      </c>
    </row>
    <row r="88" spans="1:20" x14ac:dyDescent="0.2">
      <c r="A88" s="40">
        <v>35146</v>
      </c>
      <c r="B88" s="34">
        <v>82</v>
      </c>
      <c r="C88" s="16">
        <f>ROUND(Data!BJ88,2)</f>
        <v>0</v>
      </c>
      <c r="D88" s="3">
        <f>ROUND(Data!R88,1)</f>
        <v>0.6</v>
      </c>
      <c r="E88" s="3">
        <f>ROUND(Data!AF88,1)</f>
        <v>-10.1</v>
      </c>
      <c r="F88" s="23">
        <f>Data!BO88</f>
        <v>0</v>
      </c>
      <c r="G88" s="3">
        <f>Data!Q88</f>
        <v>0</v>
      </c>
      <c r="H88" s="62">
        <f t="shared" si="26"/>
        <v>787</v>
      </c>
      <c r="I88" s="32"/>
      <c r="J88" s="41">
        <f>Data!EC88</f>
        <v>1.3</v>
      </c>
      <c r="K88" s="65">
        <f t="shared" si="20"/>
        <v>1.3</v>
      </c>
      <c r="M88" s="23">
        <f t="shared" si="24"/>
        <v>116.1</v>
      </c>
      <c r="N88" s="23">
        <f t="shared" si="25"/>
        <v>119.47500000000001</v>
      </c>
      <c r="P88" s="20">
        <f t="shared" si="15"/>
        <v>0.39203939008894523</v>
      </c>
      <c r="Q88" s="20">
        <f t="shared" si="16"/>
        <v>0.39203939008894523</v>
      </c>
      <c r="R88" s="19">
        <f t="shared" si="17"/>
        <v>308.53499999999991</v>
      </c>
      <c r="S88" s="23">
        <f t="shared" si="18"/>
        <v>1.3000000000000114</v>
      </c>
      <c r="T88" s="23">
        <f t="shared" si="19"/>
        <v>0</v>
      </c>
    </row>
    <row r="89" spans="1:20" x14ac:dyDescent="0.2">
      <c r="A89" s="40">
        <v>35147</v>
      </c>
      <c r="B89" s="34">
        <v>83</v>
      </c>
      <c r="C89" s="16">
        <f>ROUND(Data!BJ89,2)</f>
        <v>0</v>
      </c>
      <c r="D89" s="3">
        <f>ROUND(Data!R89,1)</f>
        <v>-3.4</v>
      </c>
      <c r="E89" s="3">
        <f>ROUND(Data!AF89,1)</f>
        <v>-13.4</v>
      </c>
      <c r="F89" s="23">
        <f>Data!BO89</f>
        <v>0</v>
      </c>
      <c r="G89" s="3">
        <f>Data!Q89</f>
        <v>0</v>
      </c>
      <c r="H89" s="62">
        <f t="shared" si="26"/>
        <v>765</v>
      </c>
      <c r="I89" s="32"/>
      <c r="J89" s="41">
        <f>Data!EC89</f>
        <v>0</v>
      </c>
      <c r="K89" s="65">
        <f t="shared" si="20"/>
        <v>0</v>
      </c>
      <c r="M89" s="23">
        <f t="shared" si="24"/>
        <v>116.1</v>
      </c>
      <c r="N89" s="23">
        <f t="shared" si="25"/>
        <v>119.47500000000001</v>
      </c>
      <c r="P89" s="20">
        <f t="shared" si="15"/>
        <v>0.40331372549019595</v>
      </c>
      <c r="Q89" s="20">
        <f t="shared" si="16"/>
        <v>0.4</v>
      </c>
      <c r="R89" s="19">
        <f t="shared" si="17"/>
        <v>306</v>
      </c>
      <c r="S89" s="23">
        <f t="shared" si="18"/>
        <v>-2.5349999999999113</v>
      </c>
      <c r="T89" s="23">
        <f t="shared" si="19"/>
        <v>2.5</v>
      </c>
    </row>
    <row r="90" spans="1:20" x14ac:dyDescent="0.2">
      <c r="A90" s="40">
        <v>35148</v>
      </c>
      <c r="B90" s="34">
        <v>84</v>
      </c>
      <c r="C90" s="16">
        <f>ROUND(Data!BJ90,2)</f>
        <v>0</v>
      </c>
      <c r="D90" s="3">
        <f>ROUND(Data!R90,1)</f>
        <v>-5.2</v>
      </c>
      <c r="E90" s="3">
        <f>ROUND(Data!AF90,1)</f>
        <v>-18.2</v>
      </c>
      <c r="F90" s="23">
        <f>Data!BO90</f>
        <v>0</v>
      </c>
      <c r="G90" s="3">
        <f>Data!Q90</f>
        <v>0</v>
      </c>
      <c r="H90" s="62">
        <f t="shared" si="26"/>
        <v>767</v>
      </c>
      <c r="I90" s="32"/>
      <c r="J90" s="41">
        <f>Data!EC90</f>
        <v>0.2</v>
      </c>
      <c r="K90" s="65">
        <f t="shared" si="20"/>
        <v>0.2</v>
      </c>
      <c r="M90" s="23">
        <f t="shared" si="24"/>
        <v>116.3</v>
      </c>
      <c r="N90" s="23">
        <f t="shared" si="25"/>
        <v>119.67500000000001</v>
      </c>
      <c r="P90" s="20">
        <f t="shared" si="15"/>
        <v>0.39921773142112121</v>
      </c>
      <c r="Q90" s="20">
        <f t="shared" si="16"/>
        <v>0.39921773142112121</v>
      </c>
      <c r="R90" s="19">
        <f t="shared" si="17"/>
        <v>306.2</v>
      </c>
      <c r="S90" s="23">
        <f t="shared" si="18"/>
        <v>0.19999999999998863</v>
      </c>
      <c r="T90" s="23">
        <f t="shared" si="19"/>
        <v>0</v>
      </c>
    </row>
    <row r="91" spans="1:20" x14ac:dyDescent="0.2">
      <c r="A91" s="40">
        <v>35149</v>
      </c>
      <c r="B91" s="34">
        <v>85</v>
      </c>
      <c r="C91" s="16">
        <f>ROUND(Data!BJ91,2)</f>
        <v>0</v>
      </c>
      <c r="D91" s="3">
        <f>ROUND(Data!R91,1)</f>
        <v>1.6</v>
      </c>
      <c r="E91" s="3">
        <f>ROUND(Data!AF91,1)</f>
        <v>-22.6</v>
      </c>
      <c r="F91" s="23">
        <f>Data!BO91</f>
        <v>0</v>
      </c>
      <c r="G91" s="3">
        <f>Data!Q91</f>
        <v>0</v>
      </c>
      <c r="H91" s="62">
        <f t="shared" si="26"/>
        <v>745</v>
      </c>
      <c r="I91" s="32"/>
      <c r="J91" s="41">
        <f>Data!EC91</f>
        <v>0</v>
      </c>
      <c r="K91" s="65">
        <f t="shared" si="20"/>
        <v>0</v>
      </c>
      <c r="M91" s="23">
        <f t="shared" si="24"/>
        <v>116.3</v>
      </c>
      <c r="N91" s="23">
        <f t="shared" si="25"/>
        <v>119.67500000000001</v>
      </c>
      <c r="P91" s="20">
        <f t="shared" si="15"/>
        <v>0.41100671140939593</v>
      </c>
      <c r="Q91" s="20">
        <f t="shared" si="16"/>
        <v>0.4</v>
      </c>
      <c r="R91" s="19">
        <f t="shared" si="17"/>
        <v>298</v>
      </c>
      <c r="S91" s="23">
        <f t="shared" si="18"/>
        <v>-8.1999999999999886</v>
      </c>
      <c r="T91" s="23">
        <f t="shared" si="19"/>
        <v>8.1999999999999993</v>
      </c>
    </row>
    <row r="92" spans="1:20" x14ac:dyDescent="0.2">
      <c r="A92" s="40">
        <v>35150</v>
      </c>
      <c r="B92" s="34">
        <v>86</v>
      </c>
      <c r="C92" s="16">
        <f>ROUND(Data!BJ92,2)</f>
        <v>0</v>
      </c>
      <c r="D92" s="3">
        <f>ROUND(Data!R92,1)</f>
        <v>-0.1</v>
      </c>
      <c r="E92" s="3">
        <f>ROUND(Data!AF92,1)</f>
        <v>-12.6</v>
      </c>
      <c r="F92" s="23">
        <f>Data!BO92</f>
        <v>0</v>
      </c>
      <c r="G92" s="3">
        <f>Data!Q92</f>
        <v>0</v>
      </c>
      <c r="H92" s="62">
        <f t="shared" si="26"/>
        <v>723</v>
      </c>
      <c r="I92" s="32"/>
      <c r="J92" s="41">
        <f>Data!EC92</f>
        <v>0</v>
      </c>
      <c r="K92" s="65">
        <f t="shared" si="20"/>
        <v>0</v>
      </c>
      <c r="M92" s="23">
        <f t="shared" si="24"/>
        <v>116.3</v>
      </c>
      <c r="N92" s="23">
        <f t="shared" si="25"/>
        <v>119.67500000000001</v>
      </c>
      <c r="P92" s="20">
        <f t="shared" si="15"/>
        <v>0.41217150760719223</v>
      </c>
      <c r="Q92" s="20">
        <f t="shared" si="16"/>
        <v>0.4</v>
      </c>
      <c r="R92" s="19">
        <f t="shared" si="17"/>
        <v>289.2</v>
      </c>
      <c r="S92" s="23">
        <f t="shared" si="18"/>
        <v>-8.8000000000000114</v>
      </c>
      <c r="T92" s="23">
        <f t="shared" si="19"/>
        <v>8.8000000000000007</v>
      </c>
    </row>
    <row r="93" spans="1:20" x14ac:dyDescent="0.2">
      <c r="A93" s="40">
        <v>35151</v>
      </c>
      <c r="B93" s="34">
        <v>87</v>
      </c>
      <c r="C93" s="16">
        <f>ROUND(Data!BJ93,2)</f>
        <v>0</v>
      </c>
      <c r="D93" s="3">
        <f>ROUND(Data!R93,1)</f>
        <v>-2</v>
      </c>
      <c r="E93" s="3">
        <f>ROUND(Data!AF93,1)</f>
        <v>-12.2</v>
      </c>
      <c r="F93" s="23">
        <f>Data!BO93</f>
        <v>0</v>
      </c>
      <c r="G93" s="3">
        <f>Data!Q93</f>
        <v>0</v>
      </c>
      <c r="H93" s="62">
        <f t="shared" si="26"/>
        <v>701</v>
      </c>
      <c r="I93" s="32"/>
      <c r="J93" s="41">
        <f>Data!EC93</f>
        <v>0</v>
      </c>
      <c r="K93" s="65">
        <f t="shared" si="20"/>
        <v>0</v>
      </c>
      <c r="M93" s="23">
        <f t="shared" si="24"/>
        <v>116.3</v>
      </c>
      <c r="N93" s="23">
        <f t="shared" si="25"/>
        <v>119.67500000000001</v>
      </c>
      <c r="P93" s="20">
        <f t="shared" si="15"/>
        <v>0.41255349500713268</v>
      </c>
      <c r="Q93" s="20">
        <f t="shared" si="16"/>
        <v>0.4</v>
      </c>
      <c r="R93" s="19">
        <f t="shared" si="17"/>
        <v>280.40000000000003</v>
      </c>
      <c r="S93" s="23">
        <f t="shared" si="18"/>
        <v>-8.7999999999999545</v>
      </c>
      <c r="T93" s="23">
        <f t="shared" si="19"/>
        <v>8.8000000000000007</v>
      </c>
    </row>
    <row r="94" spans="1:20" x14ac:dyDescent="0.2">
      <c r="A94" s="40">
        <v>35152</v>
      </c>
      <c r="B94" s="34">
        <v>88</v>
      </c>
      <c r="C94" s="16">
        <f>ROUND(Data!BJ94,2)</f>
        <v>0</v>
      </c>
      <c r="D94" s="3">
        <f>ROUND(Data!R94,1)</f>
        <v>2.6</v>
      </c>
      <c r="E94" s="3">
        <f>ROUND(Data!AF94,1)</f>
        <v>-16.8</v>
      </c>
      <c r="F94" s="23">
        <f>Data!BO94</f>
        <v>0</v>
      </c>
      <c r="G94" s="3">
        <f>Data!Q94</f>
        <v>0</v>
      </c>
      <c r="H94" s="62">
        <f t="shared" si="26"/>
        <v>679</v>
      </c>
      <c r="I94" s="32"/>
      <c r="J94" s="41">
        <f>Data!EC94</f>
        <v>0</v>
      </c>
      <c r="K94" s="65">
        <f t="shared" si="20"/>
        <v>0</v>
      </c>
      <c r="M94" s="23">
        <f t="shared" si="24"/>
        <v>116.3</v>
      </c>
      <c r="N94" s="23">
        <f t="shared" si="25"/>
        <v>119.67500000000001</v>
      </c>
      <c r="P94" s="20">
        <f t="shared" si="15"/>
        <v>0.41296023564064804</v>
      </c>
      <c r="Q94" s="20">
        <f t="shared" si="16"/>
        <v>0.4</v>
      </c>
      <c r="R94" s="19">
        <f t="shared" si="17"/>
        <v>271.60000000000002</v>
      </c>
      <c r="S94" s="23">
        <f t="shared" si="18"/>
        <v>-8.8000000000000114</v>
      </c>
      <c r="T94" s="23">
        <f t="shared" si="19"/>
        <v>8.8000000000000007</v>
      </c>
    </row>
    <row r="95" spans="1:20" x14ac:dyDescent="0.2">
      <c r="A95" s="40">
        <v>35153</v>
      </c>
      <c r="B95" s="34">
        <v>89</v>
      </c>
      <c r="C95" s="16">
        <f>ROUND(Data!BJ95,2)</f>
        <v>0</v>
      </c>
      <c r="D95" s="3">
        <f>ROUND(Data!R95,1)</f>
        <v>-2.9</v>
      </c>
      <c r="E95" s="3">
        <f>ROUND(Data!AF95,1)</f>
        <v>-16.5</v>
      </c>
      <c r="F95" s="23">
        <f>Data!BO95</f>
        <v>0</v>
      </c>
      <c r="G95" s="3">
        <f>Data!Q95</f>
        <v>0</v>
      </c>
      <c r="H95" s="62">
        <f t="shared" si="26"/>
        <v>690</v>
      </c>
      <c r="I95" s="32"/>
      <c r="J95" s="41">
        <f>Data!EC95</f>
        <v>1.4</v>
      </c>
      <c r="K95" s="65">
        <f t="shared" si="20"/>
        <v>1.4</v>
      </c>
      <c r="M95" s="23">
        <f t="shared" si="24"/>
        <v>117.7</v>
      </c>
      <c r="N95" s="23">
        <f t="shared" si="25"/>
        <v>121.07500000000002</v>
      </c>
      <c r="P95" s="20">
        <f t="shared" si="15"/>
        <v>0.39565217391304347</v>
      </c>
      <c r="Q95" s="20">
        <f t="shared" si="16"/>
        <v>0.39565217391304347</v>
      </c>
      <c r="R95" s="19">
        <f t="shared" si="17"/>
        <v>273</v>
      </c>
      <c r="S95" s="23">
        <f t="shared" si="18"/>
        <v>1.3999999999999773</v>
      </c>
      <c r="T95" s="23">
        <f t="shared" si="19"/>
        <v>0</v>
      </c>
    </row>
    <row r="96" spans="1:20" x14ac:dyDescent="0.2">
      <c r="A96" s="40">
        <v>35154</v>
      </c>
      <c r="B96" s="34">
        <v>90</v>
      </c>
      <c r="C96" s="16">
        <f>ROUND(Data!BJ96,2)</f>
        <v>0</v>
      </c>
      <c r="D96" s="3">
        <f>ROUND(Data!R96,1)</f>
        <v>-1.3</v>
      </c>
      <c r="E96" s="3">
        <f>ROUND(Data!AF96,1)</f>
        <v>-16.399999999999999</v>
      </c>
      <c r="F96" s="23">
        <f>Data!BO96</f>
        <v>0</v>
      </c>
      <c r="G96" s="3">
        <f>Data!Q96</f>
        <v>0</v>
      </c>
      <c r="H96" s="62">
        <f t="shared" si="26"/>
        <v>699</v>
      </c>
      <c r="I96" s="32"/>
      <c r="J96" s="41">
        <f>Data!EC96</f>
        <v>1.2</v>
      </c>
      <c r="K96" s="65">
        <f t="shared" si="20"/>
        <v>1.2</v>
      </c>
      <c r="M96" s="23">
        <f t="shared" si="24"/>
        <v>118.9</v>
      </c>
      <c r="N96" s="23">
        <f t="shared" si="25"/>
        <v>122.27500000000002</v>
      </c>
      <c r="P96" s="20">
        <f t="shared" si="15"/>
        <v>0.39227467811158795</v>
      </c>
      <c r="Q96" s="20">
        <f t="shared" si="16"/>
        <v>0.39227467811158795</v>
      </c>
      <c r="R96" s="19">
        <f t="shared" si="17"/>
        <v>274.2</v>
      </c>
      <c r="S96" s="23">
        <f t="shared" si="18"/>
        <v>1.1999999999999886</v>
      </c>
      <c r="T96" s="23">
        <f t="shared" si="19"/>
        <v>0</v>
      </c>
    </row>
    <row r="97" spans="1:20" x14ac:dyDescent="0.2">
      <c r="A97" s="40">
        <v>35155</v>
      </c>
      <c r="B97" s="34">
        <v>91</v>
      </c>
      <c r="C97" s="16">
        <f>ROUND(Data!BJ97,2)</f>
        <v>0</v>
      </c>
      <c r="D97" s="3">
        <f>ROUND(Data!R97,1)</f>
        <v>-1</v>
      </c>
      <c r="E97" s="3">
        <f>ROUND(Data!AF97,1)</f>
        <v>-15.4</v>
      </c>
      <c r="F97" s="23">
        <f>Data!BO97</f>
        <v>0</v>
      </c>
      <c r="G97" s="3">
        <f>Data!Q97</f>
        <v>0</v>
      </c>
      <c r="H97" s="62">
        <f t="shared" si="26"/>
        <v>710</v>
      </c>
      <c r="I97" s="32"/>
      <c r="J97" s="41">
        <f>Data!EC97</f>
        <v>1.4</v>
      </c>
      <c r="K97" s="65">
        <f t="shared" si="20"/>
        <v>1.4</v>
      </c>
      <c r="M97" s="23">
        <f t="shared" si="24"/>
        <v>120.30000000000001</v>
      </c>
      <c r="N97" s="23">
        <f t="shared" si="25"/>
        <v>123.67500000000003</v>
      </c>
      <c r="P97" s="20">
        <f t="shared" si="15"/>
        <v>0.38816901408450699</v>
      </c>
      <c r="Q97" s="20">
        <f t="shared" si="16"/>
        <v>0.38816901408450699</v>
      </c>
      <c r="R97" s="19">
        <f t="shared" si="17"/>
        <v>275.59999999999997</v>
      </c>
      <c r="S97" s="23">
        <f t="shared" si="18"/>
        <v>1.3999999999999773</v>
      </c>
      <c r="T97" s="23">
        <f t="shared" si="19"/>
        <v>0</v>
      </c>
    </row>
    <row r="98" spans="1:20" x14ac:dyDescent="0.2">
      <c r="A98" s="40">
        <v>35156</v>
      </c>
      <c r="B98" s="34">
        <v>92</v>
      </c>
      <c r="C98" s="16">
        <f>ROUND(Data!BJ98,2)</f>
        <v>0</v>
      </c>
      <c r="D98" s="3">
        <f>ROUND(Data!R98,1)</f>
        <v>1.5</v>
      </c>
      <c r="E98" s="3">
        <f>ROUND(Data!AF98,1)</f>
        <v>-6.3</v>
      </c>
      <c r="F98" s="23">
        <f>Data!BO98</f>
        <v>0</v>
      </c>
      <c r="G98" s="3">
        <f>Data!Q98</f>
        <v>0</v>
      </c>
      <c r="H98" s="62">
        <f t="shared" si="26"/>
        <v>737</v>
      </c>
      <c r="I98" s="32"/>
      <c r="J98" s="41">
        <f>Data!EC98</f>
        <v>3.5</v>
      </c>
      <c r="K98" s="65">
        <f t="shared" si="20"/>
        <v>3.5</v>
      </c>
      <c r="M98" s="23">
        <f t="shared" si="24"/>
        <v>123.80000000000001</v>
      </c>
      <c r="N98" s="23">
        <f t="shared" si="25"/>
        <v>127.17500000000003</v>
      </c>
      <c r="P98" s="20">
        <f t="shared" si="15"/>
        <v>0.37869742198100403</v>
      </c>
      <c r="Q98" s="20">
        <f t="shared" si="16"/>
        <v>0.37869742198100403</v>
      </c>
      <c r="R98" s="19">
        <f t="shared" si="17"/>
        <v>279.09999999999997</v>
      </c>
      <c r="S98" s="23">
        <f t="shared" si="18"/>
        <v>3.5</v>
      </c>
      <c r="T98" s="23">
        <f t="shared" si="19"/>
        <v>0</v>
      </c>
    </row>
    <row r="99" spans="1:20" x14ac:dyDescent="0.2">
      <c r="A99" s="40">
        <v>35157</v>
      </c>
      <c r="B99" s="34">
        <v>93</v>
      </c>
      <c r="C99" s="16">
        <f>ROUND(Data!BJ99,2)</f>
        <v>0</v>
      </c>
      <c r="D99" s="3">
        <f>ROUND(Data!R99,1)</f>
        <v>1.1000000000000001</v>
      </c>
      <c r="E99" s="3">
        <f>ROUND(Data!AF99,1)</f>
        <v>-13.8</v>
      </c>
      <c r="F99" s="23">
        <f>Data!BO99</f>
        <v>0</v>
      </c>
      <c r="G99" s="3">
        <f>Data!Q99</f>
        <v>0</v>
      </c>
      <c r="H99" s="62">
        <f t="shared" si="26"/>
        <v>750</v>
      </c>
      <c r="I99" s="32"/>
      <c r="J99" s="41">
        <f>Data!EC99</f>
        <v>1.7</v>
      </c>
      <c r="K99" s="65">
        <f t="shared" si="20"/>
        <v>1.7</v>
      </c>
      <c r="M99" s="23">
        <f t="shared" si="24"/>
        <v>125.50000000000001</v>
      </c>
      <c r="N99" s="23">
        <f t="shared" si="25"/>
        <v>128.87500000000003</v>
      </c>
      <c r="P99" s="20">
        <f t="shared" si="15"/>
        <v>0.37439999999999996</v>
      </c>
      <c r="Q99" s="20">
        <f t="shared" si="16"/>
        <v>0.37439999999999996</v>
      </c>
      <c r="R99" s="19">
        <f t="shared" si="17"/>
        <v>280.79999999999995</v>
      </c>
      <c r="S99" s="23">
        <f t="shared" si="18"/>
        <v>1.6999999999999886</v>
      </c>
      <c r="T99" s="23">
        <f t="shared" si="19"/>
        <v>0</v>
      </c>
    </row>
    <row r="100" spans="1:20" x14ac:dyDescent="0.2">
      <c r="A100" s="40">
        <v>35158</v>
      </c>
      <c r="B100" s="34">
        <v>94</v>
      </c>
      <c r="C100" s="16">
        <f>ROUND(Data!BJ100,2)</f>
        <v>0</v>
      </c>
      <c r="D100" s="3">
        <f>ROUND(Data!R100,1)</f>
        <v>2.1</v>
      </c>
      <c r="E100" s="3">
        <f>ROUND(Data!AF100,1)</f>
        <v>-15.8</v>
      </c>
      <c r="F100" s="23">
        <f>Data!BO100</f>
        <v>0</v>
      </c>
      <c r="G100" s="3">
        <f>Data!Q100</f>
        <v>0</v>
      </c>
      <c r="H100" s="62">
        <f t="shared" si="26"/>
        <v>728</v>
      </c>
      <c r="I100" s="32"/>
      <c r="J100" s="41">
        <f>Data!EC100</f>
        <v>0</v>
      </c>
      <c r="K100" s="65">
        <f t="shared" si="20"/>
        <v>0</v>
      </c>
      <c r="M100" s="23">
        <f t="shared" si="24"/>
        <v>125.50000000000001</v>
      </c>
      <c r="N100" s="23">
        <f t="shared" si="25"/>
        <v>128.87500000000003</v>
      </c>
      <c r="P100" s="20">
        <f t="shared" si="15"/>
        <v>0.38571428571428568</v>
      </c>
      <c r="Q100" s="20">
        <f t="shared" si="16"/>
        <v>0.38571428571428568</v>
      </c>
      <c r="R100" s="19">
        <f t="shared" si="17"/>
        <v>280.79999999999995</v>
      </c>
      <c r="S100" s="23">
        <f t="shared" si="18"/>
        <v>0</v>
      </c>
      <c r="T100" s="23">
        <f t="shared" si="19"/>
        <v>0</v>
      </c>
    </row>
    <row r="101" spans="1:20" x14ac:dyDescent="0.2">
      <c r="A101" s="40">
        <v>35159</v>
      </c>
      <c r="B101" s="34">
        <v>95</v>
      </c>
      <c r="C101" s="16">
        <f>ROUND(Data!BJ101,2)</f>
        <v>0</v>
      </c>
      <c r="D101" s="3">
        <f>ROUND(Data!R101,1)</f>
        <v>7.5</v>
      </c>
      <c r="E101" s="3">
        <f>ROUND(Data!AF101,1)</f>
        <v>-9.1</v>
      </c>
      <c r="F101" s="23">
        <f>Data!BO101</f>
        <v>0</v>
      </c>
      <c r="G101" s="3">
        <f>Data!Q101</f>
        <v>0</v>
      </c>
      <c r="H101" s="62">
        <f t="shared" si="26"/>
        <v>706</v>
      </c>
      <c r="I101" s="32"/>
      <c r="J101" s="41">
        <f>Data!EC101</f>
        <v>0</v>
      </c>
      <c r="K101" s="65">
        <f t="shared" si="20"/>
        <v>0</v>
      </c>
      <c r="M101" s="23">
        <f t="shared" si="24"/>
        <v>125.50000000000001</v>
      </c>
      <c r="N101" s="23">
        <f t="shared" si="25"/>
        <v>128.87500000000003</v>
      </c>
      <c r="P101" s="20">
        <f t="shared" si="15"/>
        <v>0.39773371104815858</v>
      </c>
      <c r="Q101" s="20">
        <f t="shared" si="16"/>
        <v>0.39773371104815858</v>
      </c>
      <c r="R101" s="19">
        <f t="shared" si="17"/>
        <v>280.79999999999995</v>
      </c>
      <c r="S101" s="23">
        <f t="shared" si="18"/>
        <v>0</v>
      </c>
      <c r="T101" s="23">
        <f t="shared" si="19"/>
        <v>0</v>
      </c>
    </row>
    <row r="102" spans="1:20" x14ac:dyDescent="0.2">
      <c r="A102" s="40">
        <v>35160</v>
      </c>
      <c r="B102" s="34">
        <v>96</v>
      </c>
      <c r="C102" s="16">
        <f>ROUND(Data!BJ102,2)</f>
        <v>0</v>
      </c>
      <c r="D102" s="3">
        <f>ROUND(Data!R102,1)</f>
        <v>10.1</v>
      </c>
      <c r="E102" s="3">
        <f>ROUND(Data!AF102,1)</f>
        <v>-2.6</v>
      </c>
      <c r="F102" s="23">
        <f>Data!BO102</f>
        <v>0</v>
      </c>
      <c r="G102" s="3">
        <f>Data!Q102</f>
        <v>0</v>
      </c>
      <c r="H102" s="62">
        <f t="shared" si="26"/>
        <v>684</v>
      </c>
      <c r="I102" s="32"/>
      <c r="J102" s="41">
        <f>Data!EC102</f>
        <v>0</v>
      </c>
      <c r="K102" s="65">
        <f t="shared" si="20"/>
        <v>0</v>
      </c>
      <c r="M102" s="23">
        <f t="shared" si="24"/>
        <v>125.50000000000001</v>
      </c>
      <c r="N102" s="23">
        <f t="shared" si="25"/>
        <v>128.87500000000003</v>
      </c>
      <c r="P102" s="20">
        <f t="shared" si="15"/>
        <v>0.41052631578947363</v>
      </c>
      <c r="Q102" s="20">
        <f t="shared" si="16"/>
        <v>0.4</v>
      </c>
      <c r="R102" s="19">
        <f t="shared" si="17"/>
        <v>273.60000000000002</v>
      </c>
      <c r="S102" s="23">
        <f t="shared" si="18"/>
        <v>-7.1999999999999318</v>
      </c>
      <c r="T102" s="23">
        <f t="shared" si="19"/>
        <v>7.2</v>
      </c>
    </row>
    <row r="103" spans="1:20" x14ac:dyDescent="0.2">
      <c r="A103" s="40">
        <v>35161</v>
      </c>
      <c r="B103" s="34">
        <v>97</v>
      </c>
      <c r="C103" s="16">
        <f>ROUND(Data!BJ103,2)</f>
        <v>0</v>
      </c>
      <c r="D103" s="3">
        <f>ROUND(Data!R103,1)</f>
        <v>8.6</v>
      </c>
      <c r="E103" s="3">
        <f>ROUND(Data!AF103,1)</f>
        <v>0.7</v>
      </c>
      <c r="F103" s="23">
        <f>Data!BO103</f>
        <v>0</v>
      </c>
      <c r="G103" s="3">
        <f>Data!Q103</f>
        <v>0</v>
      </c>
      <c r="H103" s="62">
        <f t="shared" si="26"/>
        <v>722</v>
      </c>
      <c r="I103" s="32"/>
      <c r="J103" s="41">
        <f>Data!EC103</f>
        <v>5</v>
      </c>
      <c r="K103" s="65">
        <f t="shared" si="20"/>
        <v>5</v>
      </c>
      <c r="M103" s="23">
        <f t="shared" si="24"/>
        <v>130.5</v>
      </c>
      <c r="N103" s="23">
        <f t="shared" si="25"/>
        <v>133.87500000000003</v>
      </c>
      <c r="P103" s="20">
        <f t="shared" si="15"/>
        <v>0.38587257617728538</v>
      </c>
      <c r="Q103" s="20">
        <f t="shared" si="16"/>
        <v>0.38587257617728538</v>
      </c>
      <c r="R103" s="19">
        <f t="shared" si="17"/>
        <v>278.60000000000002</v>
      </c>
      <c r="S103" s="23">
        <f t="shared" si="18"/>
        <v>5</v>
      </c>
      <c r="T103" s="23">
        <f t="shared" si="19"/>
        <v>0</v>
      </c>
    </row>
    <row r="104" spans="1:20" x14ac:dyDescent="0.2">
      <c r="A104" s="40">
        <v>35162</v>
      </c>
      <c r="B104" s="34">
        <v>98</v>
      </c>
      <c r="C104" s="16">
        <f>ROUND(Data!BJ104,2)</f>
        <v>0</v>
      </c>
      <c r="D104" s="3">
        <f>ROUND(Data!R104,1)</f>
        <v>11.3</v>
      </c>
      <c r="E104" s="3">
        <f>ROUND(Data!AF104,1)</f>
        <v>0</v>
      </c>
      <c r="F104" s="23">
        <f>Data!BO104</f>
        <v>0</v>
      </c>
      <c r="G104" s="3">
        <f>Data!Q104</f>
        <v>0</v>
      </c>
      <c r="H104" s="62">
        <f t="shared" si="26"/>
        <v>745</v>
      </c>
      <c r="I104" s="32"/>
      <c r="J104" s="41">
        <f>Data!EC104</f>
        <v>3</v>
      </c>
      <c r="K104" s="65">
        <f t="shared" si="20"/>
        <v>3</v>
      </c>
      <c r="M104" s="23">
        <f t="shared" si="24"/>
        <v>133.5</v>
      </c>
      <c r="N104" s="23">
        <f t="shared" si="25"/>
        <v>136.87500000000003</v>
      </c>
      <c r="P104" s="20">
        <f t="shared" si="15"/>
        <v>0.37798657718120809</v>
      </c>
      <c r="Q104" s="20">
        <f t="shared" si="16"/>
        <v>0.37798657718120809</v>
      </c>
      <c r="R104" s="19">
        <f t="shared" si="17"/>
        <v>281.60000000000002</v>
      </c>
      <c r="S104" s="23">
        <f t="shared" si="18"/>
        <v>3</v>
      </c>
      <c r="T104" s="23">
        <f t="shared" si="19"/>
        <v>0</v>
      </c>
    </row>
    <row r="105" spans="1:20" x14ac:dyDescent="0.2">
      <c r="A105" s="40">
        <v>35163</v>
      </c>
      <c r="B105" s="34">
        <v>99</v>
      </c>
      <c r="C105" s="16">
        <f>ROUND(Data!BJ105,2)</f>
        <v>0</v>
      </c>
      <c r="D105" s="3">
        <f>ROUND(Data!R105,1)</f>
        <v>15.5</v>
      </c>
      <c r="E105" s="3">
        <f>ROUND(Data!AF105,1)</f>
        <v>-0.6</v>
      </c>
      <c r="F105" s="23">
        <f>Data!BO105</f>
        <v>0</v>
      </c>
      <c r="G105" s="3">
        <f>Data!Q105</f>
        <v>0</v>
      </c>
      <c r="H105" s="62">
        <f t="shared" si="26"/>
        <v>723</v>
      </c>
      <c r="I105" s="32"/>
      <c r="J105" s="41">
        <f>Data!EC105</f>
        <v>0</v>
      </c>
      <c r="K105" s="65">
        <f t="shared" si="20"/>
        <v>0</v>
      </c>
      <c r="M105" s="23">
        <f t="shared" si="24"/>
        <v>133.5</v>
      </c>
      <c r="N105" s="23">
        <f t="shared" si="25"/>
        <v>136.87500000000003</v>
      </c>
      <c r="P105" s="20">
        <f t="shared" si="15"/>
        <v>0.38948824343015215</v>
      </c>
      <c r="Q105" s="20">
        <f t="shared" si="16"/>
        <v>0.38948824343015215</v>
      </c>
      <c r="R105" s="19">
        <f t="shared" si="17"/>
        <v>281.60000000000002</v>
      </c>
      <c r="S105" s="23">
        <f t="shared" si="18"/>
        <v>0</v>
      </c>
      <c r="T105" s="23">
        <f t="shared" si="19"/>
        <v>0</v>
      </c>
    </row>
    <row r="106" spans="1:20" x14ac:dyDescent="0.2">
      <c r="A106" s="40">
        <v>35164</v>
      </c>
      <c r="B106" s="34">
        <v>100</v>
      </c>
      <c r="C106" s="16">
        <f>ROUND(Data!BJ106,2)</f>
        <v>0</v>
      </c>
      <c r="D106" s="3">
        <f>ROUND(Data!R106,1)</f>
        <v>10.6</v>
      </c>
      <c r="E106" s="3">
        <f>ROUND(Data!AF106,1)</f>
        <v>0.7</v>
      </c>
      <c r="F106" s="23">
        <f>Data!BO106</f>
        <v>0</v>
      </c>
      <c r="G106" s="3">
        <f>Data!Q106</f>
        <v>0</v>
      </c>
      <c r="H106" s="62">
        <f t="shared" si="26"/>
        <v>701</v>
      </c>
      <c r="I106" s="32"/>
      <c r="J106" s="41">
        <f>Data!EC106</f>
        <v>0</v>
      </c>
      <c r="K106" s="65">
        <f t="shared" si="20"/>
        <v>0</v>
      </c>
      <c r="M106" s="23">
        <f t="shared" si="24"/>
        <v>133.5</v>
      </c>
      <c r="N106" s="23">
        <f t="shared" si="25"/>
        <v>136.87500000000003</v>
      </c>
      <c r="P106" s="20">
        <f t="shared" si="15"/>
        <v>0.40171184022824541</v>
      </c>
      <c r="Q106" s="20">
        <f t="shared" si="16"/>
        <v>0.4</v>
      </c>
      <c r="R106" s="19">
        <f t="shared" si="17"/>
        <v>280.40000000000003</v>
      </c>
      <c r="S106" s="23">
        <f t="shared" si="18"/>
        <v>-1.1999999999999886</v>
      </c>
      <c r="T106" s="23">
        <f t="shared" si="19"/>
        <v>1.2</v>
      </c>
    </row>
    <row r="107" spans="1:20" x14ac:dyDescent="0.2">
      <c r="A107" s="40">
        <v>35165</v>
      </c>
      <c r="B107" s="34">
        <v>101</v>
      </c>
      <c r="C107" s="16">
        <f>ROUND(Data!BJ107,2)</f>
        <v>0</v>
      </c>
      <c r="D107" s="3">
        <f>ROUND(Data!R107,1)</f>
        <v>7.6</v>
      </c>
      <c r="E107" s="3">
        <f>ROUND(Data!AF107,1)</f>
        <v>-2.1</v>
      </c>
      <c r="F107" s="23">
        <f>Data!BO107</f>
        <v>0</v>
      </c>
      <c r="G107" s="3">
        <f>Data!Q107</f>
        <v>0</v>
      </c>
      <c r="H107" s="62">
        <f t="shared" si="26"/>
        <v>679</v>
      </c>
      <c r="I107" s="32"/>
      <c r="J107" s="41">
        <f>Data!EC107</f>
        <v>0</v>
      </c>
      <c r="K107" s="65">
        <f t="shared" si="20"/>
        <v>0</v>
      </c>
      <c r="M107" s="23">
        <f t="shared" si="24"/>
        <v>133.5</v>
      </c>
      <c r="N107" s="23">
        <f t="shared" si="25"/>
        <v>136.87500000000003</v>
      </c>
      <c r="P107" s="20">
        <f t="shared" si="15"/>
        <v>0.41296023564064804</v>
      </c>
      <c r="Q107" s="20">
        <f t="shared" si="16"/>
        <v>0.4</v>
      </c>
      <c r="R107" s="19">
        <f t="shared" si="17"/>
        <v>271.60000000000002</v>
      </c>
      <c r="S107" s="23">
        <f t="shared" si="18"/>
        <v>-8.8000000000000114</v>
      </c>
      <c r="T107" s="23">
        <f t="shared" si="19"/>
        <v>8.8000000000000007</v>
      </c>
    </row>
    <row r="108" spans="1:20" x14ac:dyDescent="0.2">
      <c r="A108" s="40">
        <v>35166</v>
      </c>
      <c r="B108" s="34">
        <v>102</v>
      </c>
      <c r="C108" s="16">
        <f>ROUND(Data!BJ108,2)</f>
        <v>0</v>
      </c>
      <c r="D108" s="3">
        <f>ROUND(Data!R108,1)</f>
        <v>4</v>
      </c>
      <c r="E108" s="3">
        <f>ROUND(Data!AF108,1)</f>
        <v>-2.2999999999999998</v>
      </c>
      <c r="F108" s="23">
        <f>Data!BO108</f>
        <v>0</v>
      </c>
      <c r="G108" s="3">
        <f>Data!Q108</f>
        <v>0</v>
      </c>
      <c r="H108" s="62">
        <f t="shared" si="26"/>
        <v>726</v>
      </c>
      <c r="I108" s="32"/>
      <c r="J108" s="41">
        <f>Data!EC108</f>
        <v>6.1</v>
      </c>
      <c r="K108" s="65">
        <f t="shared" si="20"/>
        <v>6.1</v>
      </c>
      <c r="M108" s="23">
        <f t="shared" si="24"/>
        <v>139.6</v>
      </c>
      <c r="N108" s="23">
        <f t="shared" si="25"/>
        <v>142.97500000000002</v>
      </c>
      <c r="P108" s="20">
        <f t="shared" si="15"/>
        <v>0.38250688705234165</v>
      </c>
      <c r="Q108" s="20">
        <f t="shared" si="16"/>
        <v>0.38250688705234165</v>
      </c>
      <c r="R108" s="19">
        <f t="shared" si="17"/>
        <v>277.70000000000005</v>
      </c>
      <c r="S108" s="23">
        <f t="shared" si="18"/>
        <v>6.1000000000000227</v>
      </c>
      <c r="T108" s="23">
        <f t="shared" si="19"/>
        <v>0</v>
      </c>
    </row>
    <row r="109" spans="1:20" x14ac:dyDescent="0.2">
      <c r="A109" s="40">
        <v>35167</v>
      </c>
      <c r="B109" s="34">
        <v>103</v>
      </c>
      <c r="C109" s="16">
        <f>ROUND(Data!BJ109,2)</f>
        <v>0</v>
      </c>
      <c r="D109" s="3">
        <f>ROUND(Data!R109,1)</f>
        <v>3.7</v>
      </c>
      <c r="E109" s="3">
        <f>ROUND(Data!AF109,1)</f>
        <v>-5.9</v>
      </c>
      <c r="F109" s="23">
        <f>Data!BO109</f>
        <v>0</v>
      </c>
      <c r="G109" s="3">
        <f>Data!Q109</f>
        <v>0</v>
      </c>
      <c r="H109" s="62">
        <f t="shared" si="26"/>
        <v>754</v>
      </c>
      <c r="I109" s="32"/>
      <c r="J109" s="41">
        <f>Data!EC109</f>
        <v>3.6</v>
      </c>
      <c r="K109" s="65">
        <f t="shared" si="20"/>
        <v>3.6</v>
      </c>
      <c r="M109" s="23">
        <f t="shared" si="24"/>
        <v>143.19999999999999</v>
      </c>
      <c r="N109" s="23">
        <f t="shared" si="25"/>
        <v>146.57500000000002</v>
      </c>
      <c r="P109" s="20">
        <f t="shared" si="15"/>
        <v>0.37307692307692319</v>
      </c>
      <c r="Q109" s="20">
        <f t="shared" si="16"/>
        <v>0.37307692307692319</v>
      </c>
      <c r="R109" s="19">
        <f t="shared" si="17"/>
        <v>281.30000000000007</v>
      </c>
      <c r="S109" s="23">
        <f t="shared" si="18"/>
        <v>3.6000000000000227</v>
      </c>
      <c r="T109" s="23">
        <f t="shared" si="19"/>
        <v>0</v>
      </c>
    </row>
    <row r="110" spans="1:20" x14ac:dyDescent="0.2">
      <c r="A110" s="40">
        <v>35168</v>
      </c>
      <c r="B110" s="34">
        <v>104</v>
      </c>
      <c r="C110" s="16">
        <f>ROUND(Data!BJ110,2)</f>
        <v>0</v>
      </c>
      <c r="D110" s="3">
        <f>ROUND(Data!R110,1)</f>
        <v>7.2</v>
      </c>
      <c r="E110" s="3">
        <f>ROUND(Data!AF110,1)</f>
        <v>-7.1</v>
      </c>
      <c r="F110" s="23">
        <f>Data!BO110</f>
        <v>0</v>
      </c>
      <c r="G110" s="3">
        <f>Data!Q110</f>
        <v>0</v>
      </c>
      <c r="H110" s="62">
        <f t="shared" si="26"/>
        <v>732</v>
      </c>
      <c r="I110" s="32"/>
      <c r="J110" s="41">
        <f>Data!EC110</f>
        <v>0</v>
      </c>
      <c r="K110" s="65">
        <f t="shared" si="20"/>
        <v>0</v>
      </c>
      <c r="M110" s="23">
        <f t="shared" si="24"/>
        <v>143.19999999999999</v>
      </c>
      <c r="N110" s="23">
        <f t="shared" si="25"/>
        <v>146.57500000000002</v>
      </c>
      <c r="P110" s="20">
        <f t="shared" si="15"/>
        <v>0.38428961748633889</v>
      </c>
      <c r="Q110" s="20">
        <f t="shared" si="16"/>
        <v>0.38428961748633889</v>
      </c>
      <c r="R110" s="19">
        <f t="shared" si="17"/>
        <v>281.30000000000007</v>
      </c>
      <c r="S110" s="23">
        <f t="shared" si="18"/>
        <v>0</v>
      </c>
      <c r="T110" s="23">
        <f t="shared" si="19"/>
        <v>0</v>
      </c>
    </row>
    <row r="111" spans="1:20" x14ac:dyDescent="0.2">
      <c r="A111" s="40">
        <v>35169</v>
      </c>
      <c r="B111" s="34">
        <v>105</v>
      </c>
      <c r="C111" s="16">
        <f>ROUND(Data!BJ111,2)</f>
        <v>0</v>
      </c>
      <c r="D111" s="3">
        <f>ROUND(Data!R111,1)</f>
        <v>8.3000000000000007</v>
      </c>
      <c r="E111" s="3">
        <f>ROUND(Data!AF111,1)</f>
        <v>-5.2</v>
      </c>
      <c r="F111" s="23">
        <f>Data!BO111</f>
        <v>0</v>
      </c>
      <c r="G111" s="3">
        <f>Data!Q111</f>
        <v>0</v>
      </c>
      <c r="H111" s="62">
        <f t="shared" si="26"/>
        <v>710</v>
      </c>
      <c r="I111" s="32"/>
      <c r="J111" s="41">
        <f>Data!EC111</f>
        <v>0</v>
      </c>
      <c r="K111" s="65">
        <f t="shared" si="20"/>
        <v>0</v>
      </c>
      <c r="M111" s="23">
        <f t="shared" si="24"/>
        <v>143.19999999999999</v>
      </c>
      <c r="N111" s="23">
        <f t="shared" si="25"/>
        <v>146.57500000000002</v>
      </c>
      <c r="P111" s="20">
        <f t="shared" si="15"/>
        <v>0.39619718309859164</v>
      </c>
      <c r="Q111" s="20">
        <f t="shared" si="16"/>
        <v>0.39619718309859164</v>
      </c>
      <c r="R111" s="19">
        <f t="shared" si="17"/>
        <v>281.30000000000007</v>
      </c>
      <c r="S111" s="23">
        <f t="shared" si="18"/>
        <v>0</v>
      </c>
      <c r="T111" s="23">
        <f t="shared" si="19"/>
        <v>0</v>
      </c>
    </row>
    <row r="112" spans="1:20" x14ac:dyDescent="0.2">
      <c r="A112" s="40">
        <v>35170</v>
      </c>
      <c r="B112" s="34">
        <v>106</v>
      </c>
      <c r="C112" s="16">
        <f>ROUND(Data!BJ112,2)</f>
        <v>0</v>
      </c>
      <c r="D112" s="3">
        <f>ROUND(Data!R112,1)</f>
        <v>10.4</v>
      </c>
      <c r="E112" s="3">
        <f>ROUND(Data!AF112,1)</f>
        <v>1.1000000000000001</v>
      </c>
      <c r="F112" s="23">
        <f>Data!BO112</f>
        <v>0</v>
      </c>
      <c r="G112" s="3">
        <f>Data!Q112</f>
        <v>0</v>
      </c>
      <c r="H112" s="62">
        <f t="shared" si="26"/>
        <v>762</v>
      </c>
      <c r="I112" s="32"/>
      <c r="J112" s="41">
        <f>Data!EC112</f>
        <v>6.7</v>
      </c>
      <c r="K112" s="65">
        <f t="shared" si="20"/>
        <v>6.7</v>
      </c>
      <c r="M112" s="23">
        <f t="shared" si="24"/>
        <v>149.89999999999998</v>
      </c>
      <c r="N112" s="23">
        <f t="shared" si="25"/>
        <v>153.27500000000001</v>
      </c>
      <c r="P112" s="20">
        <f t="shared" si="15"/>
        <v>0.37795275590551186</v>
      </c>
      <c r="Q112" s="20">
        <f t="shared" si="16"/>
        <v>0.37795275590551186</v>
      </c>
      <c r="R112" s="19">
        <f t="shared" si="17"/>
        <v>288.00000000000006</v>
      </c>
      <c r="S112" s="23">
        <f t="shared" si="18"/>
        <v>6.6999999999999886</v>
      </c>
      <c r="T112" s="23">
        <f t="shared" si="19"/>
        <v>0</v>
      </c>
    </row>
    <row r="113" spans="1:20" x14ac:dyDescent="0.2">
      <c r="A113" s="40">
        <v>35171</v>
      </c>
      <c r="B113" s="34">
        <v>107</v>
      </c>
      <c r="C113" s="16">
        <f>ROUND(Data!BJ113,2)</f>
        <v>0</v>
      </c>
      <c r="D113" s="3">
        <f>ROUND(Data!R113,1)</f>
        <v>5</v>
      </c>
      <c r="E113" s="3">
        <f>ROUND(Data!AF113,1)</f>
        <v>-5</v>
      </c>
      <c r="F113" s="23">
        <f>Data!BO113</f>
        <v>0</v>
      </c>
      <c r="G113" s="3">
        <f>Data!Q113</f>
        <v>0</v>
      </c>
      <c r="H113" s="62">
        <f t="shared" si="26"/>
        <v>740</v>
      </c>
      <c r="I113" s="32"/>
      <c r="J113" s="41">
        <f>Data!EC113</f>
        <v>0</v>
      </c>
      <c r="K113" s="65">
        <f t="shared" si="20"/>
        <v>0</v>
      </c>
      <c r="M113" s="23">
        <f t="shared" si="24"/>
        <v>149.89999999999998</v>
      </c>
      <c r="N113" s="23">
        <f t="shared" si="25"/>
        <v>153.27500000000001</v>
      </c>
      <c r="P113" s="20">
        <f t="shared" si="15"/>
        <v>0.38918918918918927</v>
      </c>
      <c r="Q113" s="20">
        <f t="shared" si="16"/>
        <v>0.38918918918918927</v>
      </c>
      <c r="R113" s="19">
        <f t="shared" si="17"/>
        <v>288.00000000000006</v>
      </c>
      <c r="S113" s="23">
        <f t="shared" si="18"/>
        <v>0</v>
      </c>
      <c r="T113" s="23">
        <f t="shared" si="19"/>
        <v>0</v>
      </c>
    </row>
    <row r="114" spans="1:20" x14ac:dyDescent="0.2">
      <c r="A114" s="40">
        <v>35172</v>
      </c>
      <c r="B114" s="34">
        <v>108</v>
      </c>
      <c r="C114" s="16">
        <f>ROUND(Data!BJ114,2)</f>
        <v>0</v>
      </c>
      <c r="D114" s="3">
        <f>ROUND(Data!R114,1)</f>
        <v>4.5999999999999996</v>
      </c>
      <c r="E114" s="3">
        <f>ROUND(Data!AF114,1)</f>
        <v>-5.4</v>
      </c>
      <c r="F114" s="23">
        <f>Data!BO114</f>
        <v>0</v>
      </c>
      <c r="G114" s="3">
        <f>Data!Q114</f>
        <v>0</v>
      </c>
      <c r="H114" s="62">
        <f t="shared" si="26"/>
        <v>743</v>
      </c>
      <c r="I114" s="32"/>
      <c r="J114" s="41">
        <f>Data!EC114</f>
        <v>0.4</v>
      </c>
      <c r="K114" s="65">
        <f t="shared" si="20"/>
        <v>0.4</v>
      </c>
      <c r="M114" s="23">
        <f t="shared" si="24"/>
        <v>150.29999999999998</v>
      </c>
      <c r="N114" s="23">
        <f t="shared" si="25"/>
        <v>153.67500000000001</v>
      </c>
      <c r="P114" s="20">
        <f t="shared" si="15"/>
        <v>0.38815612382234188</v>
      </c>
      <c r="Q114" s="20">
        <f t="shared" si="16"/>
        <v>0.38815612382234188</v>
      </c>
      <c r="R114" s="19">
        <f t="shared" si="17"/>
        <v>288.40000000000003</v>
      </c>
      <c r="S114" s="23">
        <f t="shared" si="18"/>
        <v>0.39999999999997726</v>
      </c>
      <c r="T114" s="23">
        <f t="shared" si="19"/>
        <v>0</v>
      </c>
    </row>
    <row r="115" spans="1:20" x14ac:dyDescent="0.2">
      <c r="A115" s="40">
        <v>35173</v>
      </c>
      <c r="B115" s="34">
        <v>109</v>
      </c>
      <c r="C115" s="16">
        <f>ROUND(Data!BJ115,2)</f>
        <v>0</v>
      </c>
      <c r="D115" s="3">
        <f>ROUND(Data!R115,1)</f>
        <v>3</v>
      </c>
      <c r="E115" s="3">
        <f>ROUND(Data!AF115,1)</f>
        <v>-4.5999999999999996</v>
      </c>
      <c r="F115" s="23">
        <f>Data!BO115</f>
        <v>0</v>
      </c>
      <c r="G115" s="3">
        <f>Data!Q115</f>
        <v>0</v>
      </c>
      <c r="H115" s="62">
        <f t="shared" si="26"/>
        <v>777</v>
      </c>
      <c r="I115" s="32"/>
      <c r="J115" s="41">
        <f>Data!EC115</f>
        <v>4.4000000000000004</v>
      </c>
      <c r="K115" s="65">
        <f t="shared" si="20"/>
        <v>4.4000000000000004</v>
      </c>
      <c r="M115" s="23">
        <f t="shared" si="24"/>
        <v>154.69999999999999</v>
      </c>
      <c r="N115" s="23">
        <f t="shared" si="25"/>
        <v>158.07500000000002</v>
      </c>
      <c r="P115" s="20">
        <f t="shared" si="15"/>
        <v>0.37683397683397685</v>
      </c>
      <c r="Q115" s="20">
        <f t="shared" si="16"/>
        <v>0.37683397683397685</v>
      </c>
      <c r="R115" s="19">
        <f t="shared" si="17"/>
        <v>292.8</v>
      </c>
      <c r="S115" s="23">
        <f t="shared" si="18"/>
        <v>4.3999999999999773</v>
      </c>
      <c r="T115" s="23">
        <f t="shared" si="19"/>
        <v>0</v>
      </c>
    </row>
    <row r="116" spans="1:20" x14ac:dyDescent="0.2">
      <c r="A116" s="40">
        <v>35174</v>
      </c>
      <c r="B116" s="34">
        <v>110</v>
      </c>
      <c r="C116" s="16">
        <f>ROUND(Data!BJ116,2)</f>
        <v>0</v>
      </c>
      <c r="D116" s="3">
        <f>ROUND(Data!R116,1)</f>
        <v>5.9</v>
      </c>
      <c r="E116" s="3">
        <f>ROUND(Data!AF116,1)</f>
        <v>-9</v>
      </c>
      <c r="F116" s="23">
        <f>Data!BO116</f>
        <v>0</v>
      </c>
      <c r="G116" s="3">
        <f>Data!Q116</f>
        <v>0</v>
      </c>
      <c r="H116" s="62">
        <f t="shared" si="26"/>
        <v>778</v>
      </c>
      <c r="I116" s="32"/>
      <c r="J116" s="41">
        <f>Data!EC116</f>
        <v>0.1</v>
      </c>
      <c r="K116" s="65">
        <f t="shared" si="20"/>
        <v>0.1</v>
      </c>
      <c r="M116" s="23">
        <f t="shared" si="24"/>
        <v>154.79999999999998</v>
      </c>
      <c r="N116" s="23">
        <f t="shared" si="25"/>
        <v>158.17500000000001</v>
      </c>
      <c r="P116" s="20">
        <f t="shared" si="15"/>
        <v>0.37647814910025712</v>
      </c>
      <c r="Q116" s="20">
        <f t="shared" si="16"/>
        <v>0.37647814910025712</v>
      </c>
      <c r="R116" s="19">
        <f t="shared" si="17"/>
        <v>292.90000000000003</v>
      </c>
      <c r="S116" s="23">
        <f t="shared" si="18"/>
        <v>0.10000000000002274</v>
      </c>
      <c r="T116" s="23">
        <f t="shared" si="19"/>
        <v>0</v>
      </c>
    </row>
    <row r="117" spans="1:20" x14ac:dyDescent="0.2">
      <c r="A117" s="40">
        <v>35175</v>
      </c>
      <c r="B117" s="34">
        <v>111</v>
      </c>
      <c r="C117" s="16">
        <f>ROUND(Data!BJ117,2)</f>
        <v>0</v>
      </c>
      <c r="D117" s="3">
        <f>ROUND(Data!R117,1)</f>
        <v>8</v>
      </c>
      <c r="E117" s="3">
        <f>ROUND(Data!AF117,1)</f>
        <v>-8.6999999999999993</v>
      </c>
      <c r="F117" s="23">
        <f>Data!BO117</f>
        <v>0</v>
      </c>
      <c r="G117" s="3">
        <f>Data!Q117</f>
        <v>0</v>
      </c>
      <c r="H117" s="62">
        <f t="shared" si="26"/>
        <v>756</v>
      </c>
      <c r="I117" s="32"/>
      <c r="J117" s="41">
        <f>Data!EC117</f>
        <v>0</v>
      </c>
      <c r="K117" s="65">
        <f t="shared" si="20"/>
        <v>0</v>
      </c>
      <c r="M117" s="23">
        <f t="shared" si="24"/>
        <v>154.79999999999998</v>
      </c>
      <c r="N117" s="23">
        <f t="shared" si="25"/>
        <v>158.17500000000001</v>
      </c>
      <c r="P117" s="20">
        <f t="shared" ref="P117:P127" si="27">(R116+K117)/H117</f>
        <v>0.38743386243386246</v>
      </c>
      <c r="Q117" s="20">
        <f t="shared" ref="Q117:Q127" si="28">IF(P117&gt;Q$1,Q$1,P117)</f>
        <v>0.38743386243386246</v>
      </c>
      <c r="R117" s="19">
        <f t="shared" ref="R117:R127" si="29">Q117*H117</f>
        <v>292.90000000000003</v>
      </c>
      <c r="S117" s="23">
        <f t="shared" ref="S117:S127" si="30">R117-R116</f>
        <v>0</v>
      </c>
      <c r="T117" s="23">
        <f t="shared" ref="T117:T127" si="31">ROUND(K117-S117,1)</f>
        <v>0</v>
      </c>
    </row>
    <row r="118" spans="1:20" x14ac:dyDescent="0.2">
      <c r="A118" s="40">
        <v>35176</v>
      </c>
      <c r="B118" s="34">
        <v>112</v>
      </c>
      <c r="C118" s="16">
        <f>ROUND(Data!BJ118,2)</f>
        <v>0</v>
      </c>
      <c r="D118" s="3">
        <f>ROUND(Data!R118,1)</f>
        <v>7.6</v>
      </c>
      <c r="E118" s="3">
        <f>ROUND(Data!AF118,1)</f>
        <v>-5.9</v>
      </c>
      <c r="F118" s="23">
        <f>Data!BO118</f>
        <v>0</v>
      </c>
      <c r="G118" s="3">
        <f>Data!Q118</f>
        <v>0</v>
      </c>
      <c r="H118" s="62">
        <f t="shared" si="26"/>
        <v>734</v>
      </c>
      <c r="I118" s="32"/>
      <c r="J118" s="41">
        <f>Data!EC118</f>
        <v>0</v>
      </c>
      <c r="K118" s="65">
        <f t="shared" si="20"/>
        <v>0</v>
      </c>
      <c r="M118" s="23">
        <f t="shared" si="24"/>
        <v>154.79999999999998</v>
      </c>
      <c r="N118" s="23">
        <f t="shared" si="25"/>
        <v>158.17500000000001</v>
      </c>
      <c r="P118" s="20">
        <f t="shared" si="27"/>
        <v>0.39904632152588559</v>
      </c>
      <c r="Q118" s="20">
        <f t="shared" si="28"/>
        <v>0.39904632152588559</v>
      </c>
      <c r="R118" s="19">
        <f t="shared" si="29"/>
        <v>292.90000000000003</v>
      </c>
      <c r="S118" s="23">
        <f t="shared" si="30"/>
        <v>0</v>
      </c>
      <c r="T118" s="23">
        <f t="shared" si="31"/>
        <v>0</v>
      </c>
    </row>
    <row r="119" spans="1:20" x14ac:dyDescent="0.2">
      <c r="A119" s="40">
        <v>35177</v>
      </c>
      <c r="B119" s="34">
        <v>113</v>
      </c>
      <c r="C119" s="16">
        <f>ROUND(Data!BJ119,2)</f>
        <v>0</v>
      </c>
      <c r="D119" s="3">
        <f>ROUND(Data!R119,1)</f>
        <v>3.8</v>
      </c>
      <c r="E119" s="3">
        <f>ROUND(Data!AF119,1)</f>
        <v>-5.2</v>
      </c>
      <c r="F119" s="23">
        <f>Data!BO119</f>
        <v>0</v>
      </c>
      <c r="G119" s="3">
        <f>Data!Q119</f>
        <v>0</v>
      </c>
      <c r="H119" s="62">
        <f t="shared" si="26"/>
        <v>739</v>
      </c>
      <c r="I119" s="32"/>
      <c r="J119" s="41">
        <f>Data!EC119</f>
        <v>0.7</v>
      </c>
      <c r="K119" s="65">
        <f t="shared" ref="K119:K136" si="32">J119*L$1</f>
        <v>0.7</v>
      </c>
      <c r="M119" s="23">
        <f t="shared" si="24"/>
        <v>155.49999999999997</v>
      </c>
      <c r="N119" s="23">
        <f t="shared" si="25"/>
        <v>158.875</v>
      </c>
      <c r="P119" s="20">
        <f t="shared" si="27"/>
        <v>0.39729364005412721</v>
      </c>
      <c r="Q119" s="20">
        <f t="shared" si="28"/>
        <v>0.39729364005412721</v>
      </c>
      <c r="R119" s="19">
        <f t="shared" si="29"/>
        <v>293.60000000000002</v>
      </c>
      <c r="S119" s="23">
        <f t="shared" si="30"/>
        <v>0.69999999999998863</v>
      </c>
      <c r="T119" s="23">
        <f t="shared" si="31"/>
        <v>0</v>
      </c>
    </row>
    <row r="120" spans="1:20" x14ac:dyDescent="0.2">
      <c r="A120" s="40">
        <v>35178</v>
      </c>
      <c r="B120" s="34">
        <v>114</v>
      </c>
      <c r="C120" s="16">
        <f>ROUND(Data!BJ120,2)</f>
        <v>0</v>
      </c>
      <c r="D120" s="3">
        <f>ROUND(Data!R120,1)</f>
        <v>5.0999999999999996</v>
      </c>
      <c r="E120" s="3">
        <f>ROUND(Data!AF120,1)</f>
        <v>-0.2</v>
      </c>
      <c r="F120" s="23">
        <f>Data!BO120</f>
        <v>0</v>
      </c>
      <c r="G120" s="3">
        <f>Data!Q120</f>
        <v>0</v>
      </c>
      <c r="H120" s="62">
        <f t="shared" si="26"/>
        <v>755</v>
      </c>
      <c r="I120" s="32"/>
      <c r="J120" s="41">
        <f>Data!EC120</f>
        <v>2.1</v>
      </c>
      <c r="K120" s="65">
        <f t="shared" si="32"/>
        <v>2.1</v>
      </c>
      <c r="M120" s="23">
        <f t="shared" si="24"/>
        <v>157.59999999999997</v>
      </c>
      <c r="N120" s="23">
        <f t="shared" si="25"/>
        <v>160.97499999999999</v>
      </c>
      <c r="P120" s="20">
        <f t="shared" si="27"/>
        <v>0.39165562913907292</v>
      </c>
      <c r="Q120" s="20">
        <f t="shared" si="28"/>
        <v>0.39165562913907292</v>
      </c>
      <c r="R120" s="19">
        <f t="shared" si="29"/>
        <v>295.70000000000005</v>
      </c>
      <c r="S120" s="23">
        <f t="shared" si="30"/>
        <v>2.1000000000000227</v>
      </c>
      <c r="T120" s="23">
        <f t="shared" si="31"/>
        <v>0</v>
      </c>
    </row>
    <row r="121" spans="1:20" x14ac:dyDescent="0.2">
      <c r="A121" s="40">
        <v>35179</v>
      </c>
      <c r="B121" s="34">
        <v>115</v>
      </c>
      <c r="C121" s="16">
        <f>ROUND(Data!BJ121,2)</f>
        <v>0</v>
      </c>
      <c r="D121" s="3">
        <f>ROUND(Data!R121,1)</f>
        <v>3.1</v>
      </c>
      <c r="E121" s="3">
        <f>ROUND(Data!AF121,1)</f>
        <v>-3.4</v>
      </c>
      <c r="F121" s="23">
        <f>Data!BO121</f>
        <v>0</v>
      </c>
      <c r="G121" s="3">
        <f>Data!Q121</f>
        <v>0</v>
      </c>
      <c r="H121" s="62">
        <f t="shared" si="26"/>
        <v>771</v>
      </c>
      <c r="I121" s="32"/>
      <c r="J121" s="41">
        <f>Data!EC121</f>
        <v>2.1</v>
      </c>
      <c r="K121" s="65">
        <f t="shared" si="32"/>
        <v>2.1</v>
      </c>
      <c r="M121" s="23">
        <f t="shared" si="24"/>
        <v>159.69999999999996</v>
      </c>
      <c r="N121" s="23">
        <f t="shared" si="25"/>
        <v>163.07499999999999</v>
      </c>
      <c r="P121" s="20">
        <f t="shared" si="27"/>
        <v>0.3862516212710766</v>
      </c>
      <c r="Q121" s="20">
        <f t="shared" si="28"/>
        <v>0.3862516212710766</v>
      </c>
      <c r="R121" s="19">
        <f t="shared" si="29"/>
        <v>297.80000000000007</v>
      </c>
      <c r="S121" s="23">
        <f t="shared" si="30"/>
        <v>2.1000000000000227</v>
      </c>
      <c r="T121" s="23">
        <f t="shared" si="31"/>
        <v>0</v>
      </c>
    </row>
    <row r="122" spans="1:20" x14ac:dyDescent="0.2">
      <c r="A122" s="40">
        <v>35180</v>
      </c>
      <c r="B122" s="34">
        <v>116</v>
      </c>
      <c r="C122" s="16">
        <f>ROUND(Data!BJ122,2)</f>
        <v>0</v>
      </c>
      <c r="D122" s="3">
        <f>ROUND(Data!R122,1)</f>
        <v>1.9</v>
      </c>
      <c r="E122" s="3">
        <f>ROUND(Data!AF122,1)</f>
        <v>-4.5999999999999996</v>
      </c>
      <c r="F122" s="23">
        <f>Data!BO122</f>
        <v>0</v>
      </c>
      <c r="G122" s="3">
        <f>Data!Q122</f>
        <v>0</v>
      </c>
      <c r="H122" s="62">
        <f t="shared" si="26"/>
        <v>780</v>
      </c>
      <c r="I122" s="32"/>
      <c r="J122" s="41">
        <f>Data!EC122</f>
        <v>1.2</v>
      </c>
      <c r="K122" s="65">
        <f t="shared" si="32"/>
        <v>1.2</v>
      </c>
      <c r="M122" s="23">
        <f t="shared" si="24"/>
        <v>160.89999999999995</v>
      </c>
      <c r="N122" s="23">
        <f t="shared" si="25"/>
        <v>164.27499999999998</v>
      </c>
      <c r="P122" s="20">
        <f t="shared" si="27"/>
        <v>0.38333333333333341</v>
      </c>
      <c r="Q122" s="20">
        <f t="shared" si="28"/>
        <v>0.38333333333333341</v>
      </c>
      <c r="R122" s="19">
        <f t="shared" si="29"/>
        <v>299.00000000000006</v>
      </c>
      <c r="S122" s="23">
        <f t="shared" si="30"/>
        <v>1.1999999999999886</v>
      </c>
      <c r="T122" s="23">
        <f t="shared" si="31"/>
        <v>0</v>
      </c>
    </row>
    <row r="123" spans="1:20" x14ac:dyDescent="0.2">
      <c r="A123" s="40">
        <v>35181</v>
      </c>
      <c r="B123" s="34">
        <v>117</v>
      </c>
      <c r="C123" s="16">
        <f>ROUND(Data!BJ123,2)</f>
        <v>0</v>
      </c>
      <c r="D123" s="3">
        <f>ROUND(Data!R123,1)</f>
        <v>1.9</v>
      </c>
      <c r="E123" s="3">
        <f>ROUND(Data!AF123,1)</f>
        <v>-5.9</v>
      </c>
      <c r="F123" s="23">
        <f>Data!BO123</f>
        <v>0</v>
      </c>
      <c r="G123" s="3">
        <f>Data!Q123</f>
        <v>0</v>
      </c>
      <c r="H123" s="62">
        <f t="shared" si="26"/>
        <v>758</v>
      </c>
      <c r="I123" s="32"/>
      <c r="J123" s="41">
        <f>Data!EC123</f>
        <v>0</v>
      </c>
      <c r="K123" s="65">
        <f t="shared" si="32"/>
        <v>0</v>
      </c>
      <c r="M123" s="23">
        <f t="shared" si="24"/>
        <v>160.89999999999995</v>
      </c>
      <c r="N123" s="23">
        <f t="shared" si="25"/>
        <v>164.27499999999998</v>
      </c>
      <c r="P123" s="20">
        <f t="shared" si="27"/>
        <v>0.39445910290237474</v>
      </c>
      <c r="Q123" s="20">
        <f t="shared" si="28"/>
        <v>0.39445910290237474</v>
      </c>
      <c r="R123" s="19">
        <f t="shared" si="29"/>
        <v>299.00000000000006</v>
      </c>
      <c r="S123" s="23">
        <f t="shared" si="30"/>
        <v>0</v>
      </c>
      <c r="T123" s="23">
        <f t="shared" si="31"/>
        <v>0</v>
      </c>
    </row>
    <row r="124" spans="1:20" x14ac:dyDescent="0.2">
      <c r="A124" s="40">
        <v>35182</v>
      </c>
      <c r="B124" s="34">
        <v>118</v>
      </c>
      <c r="C124" s="16">
        <f>ROUND(Data!BJ124,2)</f>
        <v>0</v>
      </c>
      <c r="D124" s="3">
        <f>ROUND(Data!R124,1)</f>
        <v>3.9</v>
      </c>
      <c r="E124" s="3">
        <f>ROUND(Data!AF124,1)</f>
        <v>-7</v>
      </c>
      <c r="F124" s="23">
        <f>Data!BO124</f>
        <v>0</v>
      </c>
      <c r="G124" s="3">
        <f>Data!Q124</f>
        <v>0</v>
      </c>
      <c r="H124" s="62">
        <f t="shared" si="26"/>
        <v>736</v>
      </c>
      <c r="I124" s="32"/>
      <c r="J124" s="41">
        <f>Data!EC124</f>
        <v>0</v>
      </c>
      <c r="K124" s="65">
        <f t="shared" si="32"/>
        <v>0</v>
      </c>
      <c r="M124" s="23">
        <f t="shared" si="24"/>
        <v>160.89999999999995</v>
      </c>
      <c r="N124" s="23">
        <f t="shared" si="25"/>
        <v>164.27499999999998</v>
      </c>
      <c r="P124" s="20">
        <f t="shared" si="27"/>
        <v>0.40625000000000006</v>
      </c>
      <c r="Q124" s="20">
        <f t="shared" si="28"/>
        <v>0.4</v>
      </c>
      <c r="R124" s="19">
        <f t="shared" si="29"/>
        <v>294.40000000000003</v>
      </c>
      <c r="S124" s="23">
        <f t="shared" si="30"/>
        <v>-4.6000000000000227</v>
      </c>
      <c r="T124" s="23">
        <f t="shared" si="31"/>
        <v>4.5999999999999996</v>
      </c>
    </row>
    <row r="125" spans="1:20" x14ac:dyDescent="0.2">
      <c r="A125" s="40">
        <v>35183</v>
      </c>
      <c r="B125" s="34">
        <v>119</v>
      </c>
      <c r="C125" s="16">
        <f>ROUND(Data!BJ125,2)</f>
        <v>0</v>
      </c>
      <c r="D125" s="3">
        <f>ROUND(Data!R125,1)</f>
        <v>4.5999999999999996</v>
      </c>
      <c r="E125" s="3">
        <f>ROUND(Data!AF125,1)</f>
        <v>-8.9</v>
      </c>
      <c r="F125" s="23">
        <f>Data!BO125</f>
        <v>0</v>
      </c>
      <c r="G125" s="3">
        <f>Data!Q125</f>
        <v>0</v>
      </c>
      <c r="H125" s="62">
        <f t="shared" si="26"/>
        <v>714</v>
      </c>
      <c r="I125" s="32"/>
      <c r="J125" s="41">
        <f>Data!EC125</f>
        <v>0</v>
      </c>
      <c r="K125" s="65">
        <f t="shared" si="32"/>
        <v>0</v>
      </c>
      <c r="M125" s="23">
        <f t="shared" si="24"/>
        <v>160.89999999999995</v>
      </c>
      <c r="N125" s="23">
        <f t="shared" si="25"/>
        <v>164.27499999999998</v>
      </c>
      <c r="P125" s="20">
        <f t="shared" si="27"/>
        <v>0.41232492997198883</v>
      </c>
      <c r="Q125" s="20">
        <f t="shared" si="28"/>
        <v>0.4</v>
      </c>
      <c r="R125" s="19">
        <f t="shared" si="29"/>
        <v>285.60000000000002</v>
      </c>
      <c r="S125" s="23">
        <f t="shared" si="30"/>
        <v>-8.8000000000000114</v>
      </c>
      <c r="T125" s="23">
        <f t="shared" si="31"/>
        <v>8.8000000000000007</v>
      </c>
    </row>
    <row r="126" spans="1:20" x14ac:dyDescent="0.2">
      <c r="A126" s="40">
        <v>35184</v>
      </c>
      <c r="B126" s="34">
        <v>120</v>
      </c>
      <c r="C126" s="16">
        <f>ROUND(Data!BJ126,2)</f>
        <v>0</v>
      </c>
      <c r="D126" s="3">
        <f>ROUND(Data!R126,1)</f>
        <v>7.8</v>
      </c>
      <c r="E126" s="3">
        <f>ROUND(Data!AF126,1)</f>
        <v>-2.6</v>
      </c>
      <c r="F126" s="23">
        <f>Data!BO126</f>
        <v>0</v>
      </c>
      <c r="G126" s="3">
        <f>Data!Q126</f>
        <v>0</v>
      </c>
      <c r="H126" s="62">
        <f t="shared" si="26"/>
        <v>692</v>
      </c>
      <c r="I126" s="32"/>
      <c r="J126" s="41">
        <f>Data!EC126</f>
        <v>0</v>
      </c>
      <c r="K126" s="65">
        <f t="shared" si="32"/>
        <v>0</v>
      </c>
      <c r="M126" s="23">
        <f t="shared" si="24"/>
        <v>160.89999999999995</v>
      </c>
      <c r="N126" s="23">
        <f t="shared" si="25"/>
        <v>164.27499999999998</v>
      </c>
      <c r="P126" s="20">
        <f t="shared" si="27"/>
        <v>0.41271676300578036</v>
      </c>
      <c r="Q126" s="20">
        <f t="shared" si="28"/>
        <v>0.4</v>
      </c>
      <c r="R126" s="19">
        <f t="shared" si="29"/>
        <v>276.8</v>
      </c>
      <c r="S126" s="23">
        <f t="shared" si="30"/>
        <v>-8.8000000000000114</v>
      </c>
      <c r="T126" s="23">
        <f t="shared" si="31"/>
        <v>8.8000000000000007</v>
      </c>
    </row>
    <row r="127" spans="1:20" x14ac:dyDescent="0.2">
      <c r="A127" s="40">
        <v>35185</v>
      </c>
      <c r="B127" s="34">
        <v>121</v>
      </c>
      <c r="C127" s="16">
        <f>ROUND(Data!BJ127,2)</f>
        <v>0</v>
      </c>
      <c r="D127" s="3">
        <f>ROUND(Data!R127,1)</f>
        <v>6.1</v>
      </c>
      <c r="E127" s="3">
        <f>ROUND(Data!AF127,1)</f>
        <v>-6.5</v>
      </c>
      <c r="F127" s="23">
        <f>Data!BO127</f>
        <v>0</v>
      </c>
      <c r="G127" s="3">
        <f>Data!Q127</f>
        <v>0</v>
      </c>
      <c r="H127" s="62">
        <f t="shared" si="26"/>
        <v>670</v>
      </c>
      <c r="I127" s="32"/>
      <c r="J127" s="41">
        <f>Data!EC127</f>
        <v>0</v>
      </c>
      <c r="K127" s="65">
        <f t="shared" si="32"/>
        <v>0</v>
      </c>
      <c r="M127" s="23">
        <f t="shared" si="24"/>
        <v>160.89999999999995</v>
      </c>
      <c r="N127" s="23">
        <f t="shared" si="25"/>
        <v>164.27499999999998</v>
      </c>
      <c r="P127" s="20">
        <f t="shared" si="27"/>
        <v>0.41313432835820896</v>
      </c>
      <c r="Q127" s="20">
        <f t="shared" si="28"/>
        <v>0.4</v>
      </c>
      <c r="R127" s="19">
        <f t="shared" si="29"/>
        <v>268</v>
      </c>
      <c r="S127" s="23">
        <f t="shared" si="30"/>
        <v>-8.8000000000000114</v>
      </c>
      <c r="T127" s="23">
        <f t="shared" si="31"/>
        <v>8.8000000000000007</v>
      </c>
    </row>
    <row r="128" spans="1:20" x14ac:dyDescent="0.2">
      <c r="A128" s="40">
        <v>35186</v>
      </c>
      <c r="B128" s="34">
        <v>122</v>
      </c>
      <c r="C128" s="16">
        <f>ROUND(Data!BJ128,2)</f>
        <v>0</v>
      </c>
      <c r="D128" s="3">
        <f>ROUND(Data!R128,1)</f>
        <v>3.8</v>
      </c>
      <c r="E128" s="3">
        <f>ROUND(Data!AF128,1)</f>
        <v>-6.3</v>
      </c>
      <c r="F128" s="23">
        <f>Data!BO128</f>
        <v>0</v>
      </c>
      <c r="G128" s="3">
        <f>Data!Q128</f>
        <v>0</v>
      </c>
      <c r="H128" s="62">
        <f t="shared" si="26"/>
        <v>688</v>
      </c>
      <c r="I128" s="32"/>
      <c r="J128" s="41">
        <f>Data!EC128</f>
        <v>2.2999999999999998</v>
      </c>
      <c r="K128" s="65">
        <f t="shared" si="32"/>
        <v>2.2999999999999998</v>
      </c>
      <c r="M128" s="23">
        <f t="shared" si="24"/>
        <v>163.19999999999996</v>
      </c>
      <c r="N128" s="23">
        <f t="shared" si="25"/>
        <v>166.57499999999999</v>
      </c>
      <c r="P128" s="20">
        <f t="shared" ref="P128:P136" si="33">(R127+K128)/H128</f>
        <v>0.39287790697674418</v>
      </c>
      <c r="Q128" s="20">
        <f t="shared" ref="Q128:Q136" si="34">IF(P128&gt;Q$1,Q$1,P128)</f>
        <v>0.39287790697674418</v>
      </c>
      <c r="R128" s="19">
        <f t="shared" ref="R128:R136" si="35">Q128*H128</f>
        <v>270.3</v>
      </c>
      <c r="S128" s="23">
        <f t="shared" ref="S128:S136" si="36">R128-R127</f>
        <v>2.3000000000000114</v>
      </c>
      <c r="T128" s="23">
        <f t="shared" ref="T128:T136" si="37">ROUND(K128-S128,1)</f>
        <v>0</v>
      </c>
    </row>
    <row r="129" spans="1:21" x14ac:dyDescent="0.2">
      <c r="A129" s="40">
        <v>35187</v>
      </c>
      <c r="B129" s="34">
        <v>123</v>
      </c>
      <c r="C129" s="16">
        <f>ROUND(Data!BJ129,2)</f>
        <v>0</v>
      </c>
      <c r="D129" s="3">
        <f>ROUND(Data!R129,1)</f>
        <v>2.7</v>
      </c>
      <c r="E129" s="3">
        <f>ROUND(Data!AF129,1)</f>
        <v>-8.8000000000000007</v>
      </c>
      <c r="F129" s="23">
        <f>Data!BO129</f>
        <v>0</v>
      </c>
      <c r="G129" s="3">
        <f>Data!Q129</f>
        <v>0</v>
      </c>
      <c r="H129" s="62">
        <f t="shared" si="26"/>
        <v>689</v>
      </c>
      <c r="I129" s="32"/>
      <c r="J129" s="41">
        <f>Data!EC129</f>
        <v>0.1</v>
      </c>
      <c r="K129" s="65">
        <f t="shared" si="32"/>
        <v>0.1</v>
      </c>
      <c r="M129" s="23">
        <f t="shared" si="24"/>
        <v>163.29999999999995</v>
      </c>
      <c r="N129" s="23">
        <f t="shared" si="25"/>
        <v>166.67499999999998</v>
      </c>
      <c r="P129" s="20">
        <f t="shared" si="33"/>
        <v>0.39245283018867927</v>
      </c>
      <c r="Q129" s="20">
        <f t="shared" si="34"/>
        <v>0.39245283018867927</v>
      </c>
      <c r="R129" s="19">
        <f t="shared" si="35"/>
        <v>270.40000000000003</v>
      </c>
      <c r="S129" s="23">
        <f t="shared" si="36"/>
        <v>0.10000000000002274</v>
      </c>
      <c r="T129" s="23">
        <f t="shared" si="37"/>
        <v>0</v>
      </c>
    </row>
    <row r="130" spans="1:21" x14ac:dyDescent="0.2">
      <c r="A130" s="40">
        <v>35188</v>
      </c>
      <c r="B130" s="34">
        <v>124</v>
      </c>
      <c r="C130" s="16">
        <f>ROUND(Data!BJ130,2)</f>
        <v>0</v>
      </c>
      <c r="D130" s="3">
        <f>ROUND(Data!R130,1)</f>
        <v>3.4</v>
      </c>
      <c r="E130" s="3">
        <f>ROUND(Data!AF130,1)</f>
        <v>-8.4</v>
      </c>
      <c r="F130" s="23">
        <f>Data!BO130</f>
        <v>0</v>
      </c>
      <c r="G130" s="3">
        <f>Data!Q130</f>
        <v>0</v>
      </c>
      <c r="H130" s="62">
        <f t="shared" si="26"/>
        <v>667</v>
      </c>
      <c r="I130" s="32"/>
      <c r="J130" s="41">
        <f>Data!EC130</f>
        <v>0</v>
      </c>
      <c r="K130" s="65">
        <f t="shared" si="32"/>
        <v>0</v>
      </c>
      <c r="M130" s="23">
        <f t="shared" si="24"/>
        <v>163.29999999999995</v>
      </c>
      <c r="N130" s="23">
        <f t="shared" si="25"/>
        <v>166.67499999999998</v>
      </c>
      <c r="P130" s="20">
        <f t="shared" si="33"/>
        <v>0.40539730134932539</v>
      </c>
      <c r="Q130" s="20">
        <f t="shared" si="34"/>
        <v>0.4</v>
      </c>
      <c r="R130" s="19">
        <f t="shared" si="35"/>
        <v>266.8</v>
      </c>
      <c r="S130" s="23">
        <f t="shared" si="36"/>
        <v>-3.6000000000000227</v>
      </c>
      <c r="T130" s="23">
        <f t="shared" si="37"/>
        <v>3.6</v>
      </c>
    </row>
    <row r="131" spans="1:21" x14ac:dyDescent="0.2">
      <c r="A131" s="40">
        <v>35189</v>
      </c>
      <c r="B131" s="34">
        <v>125</v>
      </c>
      <c r="C131" s="16">
        <f>ROUND(Data!BJ131,2)</f>
        <v>0</v>
      </c>
      <c r="D131" s="3">
        <f>ROUND(Data!R131,1)</f>
        <v>3.8</v>
      </c>
      <c r="E131" s="3">
        <f>ROUND(Data!AF131,1)</f>
        <v>-2.9</v>
      </c>
      <c r="F131" s="23">
        <f>Data!BO131</f>
        <v>0</v>
      </c>
      <c r="G131" s="3">
        <f>Data!Q131</f>
        <v>0</v>
      </c>
      <c r="H131" s="62">
        <f t="shared" si="26"/>
        <v>685</v>
      </c>
      <c r="I131" s="14"/>
      <c r="J131" s="41">
        <f>Data!EC131</f>
        <v>2.4</v>
      </c>
      <c r="K131" s="65">
        <f t="shared" si="32"/>
        <v>2.4</v>
      </c>
      <c r="M131" s="23">
        <f t="shared" ref="M131:M194" si="38">J131+M130</f>
        <v>165.69999999999996</v>
      </c>
      <c r="N131" s="23">
        <f t="shared" ref="N131:N194" si="39">K131+N130</f>
        <v>169.07499999999999</v>
      </c>
      <c r="P131" s="20">
        <f t="shared" si="33"/>
        <v>0.39299270072992698</v>
      </c>
      <c r="Q131" s="20">
        <f t="shared" si="34"/>
        <v>0.39299270072992698</v>
      </c>
      <c r="R131" s="19">
        <f t="shared" si="35"/>
        <v>269.2</v>
      </c>
      <c r="S131" s="23">
        <f t="shared" si="36"/>
        <v>2.3999999999999773</v>
      </c>
      <c r="T131" s="23">
        <f t="shared" si="37"/>
        <v>0</v>
      </c>
    </row>
    <row r="132" spans="1:21" x14ac:dyDescent="0.2">
      <c r="A132" s="40">
        <v>35190</v>
      </c>
      <c r="B132" s="34">
        <v>126</v>
      </c>
      <c r="C132" s="16">
        <f>ROUND(Data!BJ132,2)</f>
        <v>0</v>
      </c>
      <c r="D132" s="3">
        <f>ROUND(Data!R132,1)</f>
        <v>8.1999999999999993</v>
      </c>
      <c r="E132" s="3">
        <f>ROUND(Data!AF132,1)</f>
        <v>-4.3</v>
      </c>
      <c r="F132" s="23">
        <f>Data!BO132</f>
        <v>0</v>
      </c>
      <c r="G132" s="3">
        <f>Data!Q132</f>
        <v>0</v>
      </c>
      <c r="H132" s="62">
        <f t="shared" si="26"/>
        <v>698</v>
      </c>
      <c r="I132" s="14"/>
      <c r="J132" s="41">
        <f>Data!EC132</f>
        <v>1.7</v>
      </c>
      <c r="K132" s="65">
        <f t="shared" si="32"/>
        <v>1.7</v>
      </c>
      <c r="M132" s="23">
        <f t="shared" si="38"/>
        <v>167.39999999999995</v>
      </c>
      <c r="N132" s="23">
        <f t="shared" si="39"/>
        <v>170.77499999999998</v>
      </c>
      <c r="P132" s="20">
        <f t="shared" si="33"/>
        <v>0.38810888252148995</v>
      </c>
      <c r="Q132" s="20">
        <f t="shared" si="34"/>
        <v>0.38810888252148995</v>
      </c>
      <c r="R132" s="19">
        <f t="shared" si="35"/>
        <v>270.89999999999998</v>
      </c>
      <c r="S132" s="23">
        <f t="shared" si="36"/>
        <v>1.6999999999999886</v>
      </c>
      <c r="T132" s="23">
        <f t="shared" si="37"/>
        <v>0</v>
      </c>
    </row>
    <row r="133" spans="1:21" x14ac:dyDescent="0.2">
      <c r="A133" s="40">
        <v>35191</v>
      </c>
      <c r="B133" s="34">
        <v>127</v>
      </c>
      <c r="C133" s="16">
        <f>ROUND(Data!BJ133,2)</f>
        <v>0</v>
      </c>
      <c r="D133" s="3">
        <f>ROUND(Data!R133,1)</f>
        <v>5.0999999999999996</v>
      </c>
      <c r="E133" s="3">
        <f>ROUND(Data!AF133,1)</f>
        <v>-5.7</v>
      </c>
      <c r="F133" s="23">
        <f>Data!BO133</f>
        <v>0</v>
      </c>
      <c r="G133" s="3">
        <f>Data!Q133</f>
        <v>0</v>
      </c>
      <c r="H133" s="62">
        <f t="shared" si="26"/>
        <v>700</v>
      </c>
      <c r="I133" s="14"/>
      <c r="J133" s="41">
        <f>Data!EC133</f>
        <v>0.3</v>
      </c>
      <c r="K133" s="65">
        <f t="shared" si="32"/>
        <v>0.3</v>
      </c>
      <c r="M133" s="23">
        <f t="shared" si="38"/>
        <v>167.69999999999996</v>
      </c>
      <c r="N133" s="23">
        <f t="shared" si="39"/>
        <v>171.07499999999999</v>
      </c>
      <c r="P133" s="20">
        <f t="shared" si="33"/>
        <v>0.3874285714285714</v>
      </c>
      <c r="Q133" s="20">
        <f t="shared" si="34"/>
        <v>0.3874285714285714</v>
      </c>
      <c r="R133" s="19">
        <f t="shared" si="35"/>
        <v>271.2</v>
      </c>
      <c r="S133" s="23">
        <f t="shared" si="36"/>
        <v>0.30000000000001137</v>
      </c>
      <c r="T133" s="23">
        <f t="shared" si="37"/>
        <v>0</v>
      </c>
    </row>
    <row r="134" spans="1:21" x14ac:dyDescent="0.2">
      <c r="A134" s="40">
        <v>35192</v>
      </c>
      <c r="B134" s="34">
        <v>128</v>
      </c>
      <c r="C134" s="16">
        <f>ROUND(Data!BJ134,2)</f>
        <v>0</v>
      </c>
      <c r="D134" s="3">
        <f>ROUND(Data!R134,1)</f>
        <v>2.5</v>
      </c>
      <c r="E134" s="3">
        <f>ROUND(Data!AF134,1)</f>
        <v>-6</v>
      </c>
      <c r="F134" s="23">
        <f>Data!BO134</f>
        <v>0</v>
      </c>
      <c r="G134" s="3">
        <f>Data!Q134</f>
        <v>0</v>
      </c>
      <c r="H134" s="62">
        <f t="shared" si="26"/>
        <v>795</v>
      </c>
      <c r="I134" s="14"/>
      <c r="J134" s="41">
        <f>Data!EC134</f>
        <v>12.3</v>
      </c>
      <c r="K134" s="65">
        <f t="shared" si="32"/>
        <v>12.3</v>
      </c>
      <c r="M134" s="23">
        <f t="shared" si="38"/>
        <v>179.99999999999997</v>
      </c>
      <c r="N134" s="23">
        <f t="shared" si="39"/>
        <v>183.375</v>
      </c>
      <c r="P134" s="20">
        <f t="shared" si="33"/>
        <v>0.35660377358490564</v>
      </c>
      <c r="Q134" s="20">
        <f t="shared" si="34"/>
        <v>0.35660377358490564</v>
      </c>
      <c r="R134" s="19">
        <f t="shared" si="35"/>
        <v>283.5</v>
      </c>
      <c r="S134" s="23">
        <f t="shared" si="36"/>
        <v>12.300000000000011</v>
      </c>
      <c r="T134" s="23">
        <f t="shared" si="37"/>
        <v>0</v>
      </c>
    </row>
    <row r="135" spans="1:21" x14ac:dyDescent="0.2">
      <c r="A135" s="40">
        <v>35193</v>
      </c>
      <c r="B135" s="34">
        <v>129</v>
      </c>
      <c r="C135" s="16">
        <f>ROUND(Data!BJ135,2)</f>
        <v>0</v>
      </c>
      <c r="D135" s="3">
        <f>ROUND(Data!R135,1)</f>
        <v>2.8</v>
      </c>
      <c r="E135" s="3">
        <f>ROUND(Data!AF135,1)</f>
        <v>-11.5</v>
      </c>
      <c r="F135" s="23">
        <f>Data!BO135</f>
        <v>0</v>
      </c>
      <c r="G135" s="3">
        <f>Data!Q135</f>
        <v>0</v>
      </c>
      <c r="H135" s="62">
        <f t="shared" si="26"/>
        <v>890</v>
      </c>
      <c r="I135" s="14"/>
      <c r="J135" s="41">
        <f>Data!EC135</f>
        <v>12.3</v>
      </c>
      <c r="K135" s="65">
        <f t="shared" si="32"/>
        <v>12.3</v>
      </c>
      <c r="M135" s="23">
        <f t="shared" si="38"/>
        <v>192.29999999999998</v>
      </c>
      <c r="N135" s="23">
        <f t="shared" si="39"/>
        <v>195.67500000000001</v>
      </c>
      <c r="P135" s="20">
        <f t="shared" si="33"/>
        <v>0.33235955056179778</v>
      </c>
      <c r="Q135" s="20">
        <f t="shared" si="34"/>
        <v>0.33235955056179778</v>
      </c>
      <c r="R135" s="19">
        <f t="shared" si="35"/>
        <v>295.8</v>
      </c>
      <c r="S135" s="23">
        <f t="shared" si="36"/>
        <v>12.300000000000011</v>
      </c>
      <c r="T135" s="23">
        <f t="shared" si="37"/>
        <v>0</v>
      </c>
    </row>
    <row r="136" spans="1:21" x14ac:dyDescent="0.2">
      <c r="A136" s="40">
        <v>35194</v>
      </c>
      <c r="B136" s="34">
        <v>130</v>
      </c>
      <c r="C136" s="16">
        <f>ROUND(Data!BJ136,2)</f>
        <v>0</v>
      </c>
      <c r="D136" s="3">
        <f>ROUND(Data!R136,1)</f>
        <v>5.5</v>
      </c>
      <c r="E136" s="3">
        <f>ROUND(Data!AF136,1)</f>
        <v>-9.6</v>
      </c>
      <c r="F136" s="23">
        <f>Data!BO136</f>
        <v>0</v>
      </c>
      <c r="G136" s="3">
        <f>Data!Q136</f>
        <v>0</v>
      </c>
      <c r="H136" s="62">
        <f t="shared" ref="H136" si="40">IF(K136&gt;0,ROUND(H135+K136/0.13,0),H135-22)</f>
        <v>868</v>
      </c>
      <c r="I136" s="14"/>
      <c r="J136" s="41">
        <f>Data!EC136</f>
        <v>0</v>
      </c>
      <c r="K136" s="65">
        <f t="shared" si="32"/>
        <v>0</v>
      </c>
      <c r="M136" s="23">
        <f t="shared" si="38"/>
        <v>192.29999999999998</v>
      </c>
      <c r="N136" s="23">
        <f t="shared" si="39"/>
        <v>195.67500000000001</v>
      </c>
      <c r="P136" s="20">
        <f t="shared" si="33"/>
        <v>0.34078341013824887</v>
      </c>
      <c r="Q136" s="20">
        <f t="shared" si="34"/>
        <v>0.34078341013824887</v>
      </c>
      <c r="R136" s="19">
        <f t="shared" si="35"/>
        <v>295.8</v>
      </c>
      <c r="S136" s="23">
        <f t="shared" si="36"/>
        <v>0</v>
      </c>
      <c r="T136" s="23">
        <f t="shared" si="37"/>
        <v>0</v>
      </c>
    </row>
    <row r="137" spans="1:21" x14ac:dyDescent="0.2">
      <c r="A137" s="40">
        <v>35195</v>
      </c>
      <c r="B137" s="34">
        <v>131</v>
      </c>
      <c r="C137" s="16">
        <f>ROUND(Data!BJ137,2)</f>
        <v>0</v>
      </c>
      <c r="D137" s="3">
        <f>ROUND(Data!R137,1)</f>
        <v>4.3</v>
      </c>
      <c r="E137" s="3">
        <f>ROUND(Data!AF137,1)</f>
        <v>-4.9000000000000004</v>
      </c>
      <c r="F137" s="23">
        <f>Data!BO137</f>
        <v>0</v>
      </c>
      <c r="G137" s="3">
        <f>Data!Q137</f>
        <v>0</v>
      </c>
      <c r="H137" s="19"/>
      <c r="I137" s="14"/>
      <c r="J137" s="16">
        <f>Data!BS137</f>
        <v>0.5</v>
      </c>
      <c r="K137" s="35">
        <f t="shared" ref="K137:K145" si="41">J137*L$3</f>
        <v>0.52500000000000002</v>
      </c>
      <c r="M137" s="23">
        <f t="shared" si="38"/>
        <v>192.79999999999998</v>
      </c>
      <c r="N137" s="23">
        <f t="shared" si="39"/>
        <v>196.20000000000002</v>
      </c>
      <c r="P137" s="31"/>
      <c r="Q137" s="31"/>
      <c r="R137" s="32"/>
      <c r="S137" s="33"/>
      <c r="T137" s="33"/>
    </row>
    <row r="138" spans="1:21" x14ac:dyDescent="0.2">
      <c r="A138" s="40">
        <v>35196</v>
      </c>
      <c r="B138" s="34">
        <v>132</v>
      </c>
      <c r="C138" s="16">
        <f>ROUND(Data!BJ138,2)</f>
        <v>0</v>
      </c>
      <c r="D138" s="3">
        <f>ROUND(Data!R138,1)</f>
        <v>5</v>
      </c>
      <c r="E138" s="3">
        <f>ROUND(Data!AF138,1)</f>
        <v>-4.4000000000000004</v>
      </c>
      <c r="F138" s="23">
        <f>Data!BO138</f>
        <v>57</v>
      </c>
      <c r="G138" s="3">
        <f>Data!Q138</f>
        <v>0</v>
      </c>
      <c r="H138" s="19"/>
      <c r="I138" s="14"/>
      <c r="J138" s="16">
        <f>Data!BS138</f>
        <v>1.8</v>
      </c>
      <c r="K138" s="35">
        <f t="shared" si="41"/>
        <v>1.8900000000000001</v>
      </c>
      <c r="M138" s="23">
        <f t="shared" si="38"/>
        <v>194.6</v>
      </c>
      <c r="N138" s="23">
        <f t="shared" si="39"/>
        <v>198.09</v>
      </c>
      <c r="P138" s="31"/>
      <c r="Q138" s="31"/>
      <c r="R138" s="32"/>
      <c r="S138" s="33"/>
      <c r="T138" s="33"/>
    </row>
    <row r="139" spans="1:21" x14ac:dyDescent="0.2">
      <c r="A139" s="40">
        <v>35197</v>
      </c>
      <c r="B139" s="34">
        <v>133</v>
      </c>
      <c r="C139" s="16">
        <f>ROUND(Data!BJ139,2)</f>
        <v>0</v>
      </c>
      <c r="D139" s="3">
        <f>ROUND(Data!R139,1)</f>
        <v>7.3</v>
      </c>
      <c r="E139" s="3">
        <f>ROUND(Data!AF139,1)</f>
        <v>-2.2000000000000002</v>
      </c>
      <c r="F139" s="23">
        <f>Data!BO139</f>
        <v>70</v>
      </c>
      <c r="G139" s="3">
        <f>Data!Q139</f>
        <v>0</v>
      </c>
      <c r="H139" s="19"/>
      <c r="I139" s="14"/>
      <c r="J139" s="16">
        <f>Data!BS139</f>
        <v>2.5</v>
      </c>
      <c r="K139" s="35">
        <f t="shared" si="41"/>
        <v>2.625</v>
      </c>
      <c r="M139" s="23">
        <f t="shared" si="38"/>
        <v>197.1</v>
      </c>
      <c r="N139" s="23">
        <f t="shared" si="39"/>
        <v>200.715</v>
      </c>
      <c r="P139" s="31"/>
      <c r="Q139" s="31"/>
      <c r="R139" s="32"/>
      <c r="S139" s="33"/>
      <c r="T139" s="33"/>
    </row>
    <row r="140" spans="1:21" x14ac:dyDescent="0.2">
      <c r="A140" s="40">
        <v>35198</v>
      </c>
      <c r="B140" s="34">
        <v>134</v>
      </c>
      <c r="C140" s="16">
        <f>ROUND(Data!BJ140,2)</f>
        <v>0</v>
      </c>
      <c r="D140" s="3">
        <f>ROUND(Data!R140,1)</f>
        <v>9.1999999999999993</v>
      </c>
      <c r="E140" s="3">
        <f>ROUND(Data!AF140,1)</f>
        <v>0.4</v>
      </c>
      <c r="F140" s="23">
        <f>Data!BO140</f>
        <v>73</v>
      </c>
      <c r="G140" s="3">
        <f>Data!Q140</f>
        <v>0</v>
      </c>
      <c r="H140" s="19"/>
      <c r="I140" s="14"/>
      <c r="J140" s="16">
        <f>Data!BS140</f>
        <v>8.4</v>
      </c>
      <c r="K140" s="35">
        <f t="shared" si="41"/>
        <v>8.82</v>
      </c>
      <c r="M140" s="23">
        <f t="shared" si="38"/>
        <v>205.5</v>
      </c>
      <c r="N140" s="23">
        <f t="shared" si="39"/>
        <v>209.535</v>
      </c>
      <c r="P140" s="31"/>
      <c r="Q140" s="31"/>
      <c r="R140" s="32"/>
      <c r="S140" s="33"/>
      <c r="T140" s="33"/>
    </row>
    <row r="141" spans="1:21" x14ac:dyDescent="0.2">
      <c r="A141" s="40">
        <v>35199</v>
      </c>
      <c r="B141" s="34">
        <v>135</v>
      </c>
      <c r="C141" s="16">
        <f>ROUND(Data!BJ141,2)</f>
        <v>0</v>
      </c>
      <c r="D141" s="3">
        <f>ROUND(Data!R141,1)</f>
        <v>9.8000000000000007</v>
      </c>
      <c r="E141" s="3">
        <f>ROUND(Data!AF141,1)</f>
        <v>-0.2</v>
      </c>
      <c r="F141" s="23">
        <f>Data!BO141</f>
        <v>55</v>
      </c>
      <c r="G141" s="3">
        <f>Data!Q141</f>
        <v>0</v>
      </c>
      <c r="H141" s="19"/>
      <c r="I141" s="14"/>
      <c r="J141" s="16">
        <f>Data!BS141</f>
        <v>1.8</v>
      </c>
      <c r="K141" s="35">
        <f t="shared" si="41"/>
        <v>1.8900000000000001</v>
      </c>
      <c r="M141" s="23">
        <f t="shared" si="38"/>
        <v>207.3</v>
      </c>
      <c r="N141" s="23">
        <f t="shared" si="39"/>
        <v>211.42499999999998</v>
      </c>
      <c r="P141" s="31"/>
      <c r="Q141" s="31"/>
      <c r="R141" s="32"/>
      <c r="S141" s="33"/>
      <c r="T141" s="33"/>
      <c r="U141" s="34"/>
    </row>
    <row r="142" spans="1:21" x14ac:dyDescent="0.2">
      <c r="A142" s="40">
        <v>35200</v>
      </c>
      <c r="B142" s="34">
        <v>136</v>
      </c>
      <c r="C142" s="16">
        <f>ROUND(Data!BJ142,2)</f>
        <v>0</v>
      </c>
      <c r="D142" s="3">
        <f>ROUND(Data!R142,1)</f>
        <v>8.6</v>
      </c>
      <c r="E142" s="3">
        <f>ROUND(Data!AF142,1)</f>
        <v>-0.7</v>
      </c>
      <c r="F142" s="23">
        <f>Data!BO142</f>
        <v>55</v>
      </c>
      <c r="G142" s="3">
        <f>Data!Q142</f>
        <v>0</v>
      </c>
      <c r="H142" s="19"/>
      <c r="I142" s="14"/>
      <c r="J142" s="16">
        <f>Data!BS142</f>
        <v>2</v>
      </c>
      <c r="K142" s="35">
        <f t="shared" si="41"/>
        <v>2.1</v>
      </c>
      <c r="M142" s="23">
        <f t="shared" si="38"/>
        <v>209.3</v>
      </c>
      <c r="N142" s="23">
        <f t="shared" si="39"/>
        <v>213.52499999999998</v>
      </c>
      <c r="P142" s="31"/>
      <c r="Q142" s="31"/>
      <c r="R142" s="32"/>
      <c r="S142" s="33"/>
      <c r="T142" s="33"/>
      <c r="U142" s="34"/>
    </row>
    <row r="143" spans="1:21" x14ac:dyDescent="0.2">
      <c r="A143" s="40">
        <v>35201</v>
      </c>
      <c r="B143" s="34">
        <v>137</v>
      </c>
      <c r="C143" s="16">
        <f>ROUND(Data!BJ143,2)</f>
        <v>0</v>
      </c>
      <c r="D143" s="3">
        <f>ROUND(Data!R143,1)</f>
        <v>9.1</v>
      </c>
      <c r="E143" s="3">
        <f>ROUND(Data!AF143,1)</f>
        <v>-0.6</v>
      </c>
      <c r="F143" s="23">
        <f>Data!BO143</f>
        <v>0</v>
      </c>
      <c r="G143" s="3">
        <f>Data!Q143</f>
        <v>0</v>
      </c>
      <c r="H143" s="19"/>
      <c r="I143" s="14"/>
      <c r="J143" s="16">
        <f>Data!BS143</f>
        <v>4.3</v>
      </c>
      <c r="K143" s="35">
        <f t="shared" si="41"/>
        <v>4.5149999999999997</v>
      </c>
      <c r="M143" s="23">
        <f t="shared" si="38"/>
        <v>213.60000000000002</v>
      </c>
      <c r="N143" s="23">
        <f t="shared" si="39"/>
        <v>218.03999999999996</v>
      </c>
      <c r="P143" s="31"/>
      <c r="Q143" s="31"/>
      <c r="R143" s="32"/>
      <c r="S143" s="33"/>
      <c r="T143" s="33"/>
      <c r="U143" s="34"/>
    </row>
    <row r="144" spans="1:21" x14ac:dyDescent="0.2">
      <c r="A144" s="40">
        <v>35202</v>
      </c>
      <c r="B144" s="34">
        <v>138</v>
      </c>
      <c r="C144" s="16">
        <f>ROUND(Data!BJ144,2)</f>
        <v>0</v>
      </c>
      <c r="D144" s="3">
        <f>ROUND(Data!R144,1)</f>
        <v>6.4</v>
      </c>
      <c r="E144" s="3">
        <f>ROUND(Data!AF144,1)</f>
        <v>1.3</v>
      </c>
      <c r="F144" s="23">
        <f>Data!BO144</f>
        <v>0</v>
      </c>
      <c r="G144" s="3">
        <f>Data!Q144</f>
        <v>0</v>
      </c>
      <c r="H144" s="19"/>
      <c r="I144" s="14"/>
      <c r="J144" s="16">
        <f>Data!BS144</f>
        <v>12.2</v>
      </c>
      <c r="K144" s="35">
        <f t="shared" si="41"/>
        <v>12.81</v>
      </c>
      <c r="M144" s="23">
        <f t="shared" si="38"/>
        <v>225.8</v>
      </c>
      <c r="N144" s="23">
        <f t="shared" si="39"/>
        <v>230.84999999999997</v>
      </c>
      <c r="P144" s="31"/>
      <c r="Q144" s="31"/>
      <c r="R144" s="32"/>
      <c r="S144" s="33"/>
      <c r="T144" s="33"/>
      <c r="U144" s="34"/>
    </row>
    <row r="145" spans="1:21" x14ac:dyDescent="0.2">
      <c r="A145" s="40">
        <v>35203</v>
      </c>
      <c r="B145" s="34">
        <v>139</v>
      </c>
      <c r="C145" s="16">
        <f>ROUND(Data!BJ145,2)</f>
        <v>0</v>
      </c>
      <c r="D145" s="3">
        <f>ROUND(Data!R145,1)</f>
        <v>7.3</v>
      </c>
      <c r="E145" s="3">
        <f>ROUND(Data!AF145,1)</f>
        <v>-1.5</v>
      </c>
      <c r="F145" s="23">
        <f>Data!BO145</f>
        <v>59</v>
      </c>
      <c r="G145" s="3">
        <f>Data!Q145</f>
        <v>0</v>
      </c>
      <c r="H145" s="19"/>
      <c r="I145" s="14"/>
      <c r="J145" s="16">
        <f>Data!BS145</f>
        <v>3.6</v>
      </c>
      <c r="K145" s="35">
        <f t="shared" si="41"/>
        <v>3.7800000000000002</v>
      </c>
      <c r="M145" s="23">
        <f t="shared" si="38"/>
        <v>229.4</v>
      </c>
      <c r="N145" s="23">
        <f t="shared" si="39"/>
        <v>234.62999999999997</v>
      </c>
      <c r="P145" s="31"/>
      <c r="Q145" s="31"/>
      <c r="R145" s="32"/>
      <c r="S145" s="33"/>
      <c r="T145" s="33"/>
      <c r="U145" s="34"/>
    </row>
    <row r="146" spans="1:21" x14ac:dyDescent="0.2">
      <c r="A146" s="40">
        <v>35204</v>
      </c>
      <c r="B146" s="34">
        <v>140</v>
      </c>
      <c r="C146" s="16">
        <f>ROUND(Data!BJ146,2)</f>
        <v>0</v>
      </c>
      <c r="D146" s="3">
        <f>ROUND(Data!R146,1)</f>
        <v>8.6999999999999993</v>
      </c>
      <c r="E146" s="3">
        <f>ROUND(Data!AF146,1)</f>
        <v>-1.4</v>
      </c>
      <c r="F146" s="23">
        <f>Data!BO146</f>
        <v>47</v>
      </c>
      <c r="G146" s="3">
        <f>Data!Q146</f>
        <v>0</v>
      </c>
      <c r="H146" s="19"/>
      <c r="I146" s="14"/>
      <c r="J146" s="16">
        <f>Data!BS146</f>
        <v>4.0999999999999996</v>
      </c>
      <c r="K146" s="35">
        <f t="shared" ref="K146:K151" si="42">J146*L$3</f>
        <v>4.3049999999999997</v>
      </c>
      <c r="M146" s="23">
        <f t="shared" si="38"/>
        <v>233.5</v>
      </c>
      <c r="N146" s="23">
        <f t="shared" si="39"/>
        <v>238.93499999999997</v>
      </c>
      <c r="P146" s="31"/>
      <c r="Q146" s="31"/>
      <c r="R146" s="32"/>
      <c r="S146" s="33"/>
      <c r="T146" s="33"/>
      <c r="U146" s="34"/>
    </row>
    <row r="147" spans="1:21" x14ac:dyDescent="0.2">
      <c r="A147" s="40">
        <v>35205</v>
      </c>
      <c r="B147" s="34">
        <v>141</v>
      </c>
      <c r="C147" s="16">
        <f>ROUND(Data!BJ147,2)</f>
        <v>0</v>
      </c>
      <c r="D147" s="3">
        <f>ROUND(Data!R147,1)</f>
        <v>8.3000000000000007</v>
      </c>
      <c r="E147" s="3">
        <f>ROUND(Data!AF147,1)</f>
        <v>-1.9</v>
      </c>
      <c r="F147" s="23">
        <f>Data!BO147</f>
        <v>45</v>
      </c>
      <c r="G147" s="3">
        <f>Data!Q147</f>
        <v>0</v>
      </c>
      <c r="H147" s="19"/>
      <c r="I147" s="14"/>
      <c r="J147" s="16">
        <f>Data!BS147</f>
        <v>0.3</v>
      </c>
      <c r="K147" s="35">
        <f t="shared" si="42"/>
        <v>0.315</v>
      </c>
      <c r="M147" s="23">
        <f t="shared" si="38"/>
        <v>233.8</v>
      </c>
      <c r="N147" s="23">
        <f t="shared" si="39"/>
        <v>239.24999999999997</v>
      </c>
      <c r="P147" s="31"/>
      <c r="Q147" s="31"/>
      <c r="R147" s="32"/>
      <c r="S147" s="33"/>
      <c r="T147" s="33"/>
      <c r="U147" s="34"/>
    </row>
    <row r="148" spans="1:21" x14ac:dyDescent="0.2">
      <c r="A148" s="40">
        <v>35206</v>
      </c>
      <c r="B148" s="34">
        <v>142</v>
      </c>
      <c r="C148" s="16">
        <f>ROUND(Data!BJ148,2)</f>
        <v>0</v>
      </c>
      <c r="D148" s="3">
        <f>ROUND(Data!R148,1)</f>
        <v>10</v>
      </c>
      <c r="E148" s="3">
        <f>ROUND(Data!AF148,1)</f>
        <v>-2.2999999999999998</v>
      </c>
      <c r="F148" s="23">
        <f>Data!BO148</f>
        <v>39</v>
      </c>
      <c r="G148" s="3">
        <f>Data!Q148</f>
        <v>0</v>
      </c>
      <c r="H148" s="19"/>
      <c r="I148" s="14"/>
      <c r="J148" s="16">
        <f>Data!BS148</f>
        <v>0</v>
      </c>
      <c r="K148" s="35">
        <f t="shared" si="42"/>
        <v>0</v>
      </c>
      <c r="M148" s="23">
        <f t="shared" si="38"/>
        <v>233.8</v>
      </c>
      <c r="N148" s="23">
        <f t="shared" si="39"/>
        <v>239.24999999999997</v>
      </c>
      <c r="P148" s="31"/>
      <c r="Q148" s="31"/>
      <c r="R148" s="32"/>
      <c r="S148" s="33"/>
      <c r="T148" s="33"/>
      <c r="U148" s="34"/>
    </row>
    <row r="149" spans="1:21" x14ac:dyDescent="0.2">
      <c r="A149" s="40">
        <v>35207</v>
      </c>
      <c r="B149" s="34">
        <v>143</v>
      </c>
      <c r="C149" s="16">
        <f>ROUND(Data!BJ149,2)</f>
        <v>0</v>
      </c>
      <c r="D149" s="3">
        <f>ROUND(Data!R149,1)</f>
        <v>5.3</v>
      </c>
      <c r="E149" s="3">
        <f>ROUND(Data!AF149,1)</f>
        <v>-1.1000000000000001</v>
      </c>
      <c r="F149" s="23">
        <f>Data!BO149</f>
        <v>56</v>
      </c>
      <c r="G149" s="3">
        <f>Data!Q149</f>
        <v>0</v>
      </c>
      <c r="H149" s="19"/>
      <c r="I149" s="14"/>
      <c r="J149" s="16">
        <f>Data!BS149</f>
        <v>5.3</v>
      </c>
      <c r="K149" s="35">
        <f t="shared" si="42"/>
        <v>5.5650000000000004</v>
      </c>
      <c r="M149" s="23">
        <f t="shared" si="38"/>
        <v>239.10000000000002</v>
      </c>
      <c r="N149" s="23">
        <f t="shared" si="39"/>
        <v>244.81499999999997</v>
      </c>
      <c r="P149" s="31"/>
      <c r="Q149" s="31"/>
      <c r="R149" s="32"/>
      <c r="S149" s="33"/>
      <c r="T149" s="33"/>
      <c r="U149" s="34"/>
    </row>
    <row r="150" spans="1:21" x14ac:dyDescent="0.2">
      <c r="A150" s="40">
        <v>35208</v>
      </c>
      <c r="B150" s="34">
        <v>144</v>
      </c>
      <c r="C150" s="16">
        <f>ROUND(Data!BJ150,2)</f>
        <v>0</v>
      </c>
      <c r="D150" s="3">
        <f>ROUND(Data!R150,1)</f>
        <v>12</v>
      </c>
      <c r="E150" s="3">
        <f>ROUND(Data!AF150,1)</f>
        <v>-1.1000000000000001</v>
      </c>
      <c r="F150" s="23">
        <f>Data!BO150</f>
        <v>49</v>
      </c>
      <c r="G150" s="3">
        <f>Data!Q150</f>
        <v>0</v>
      </c>
      <c r="H150" s="19"/>
      <c r="I150" s="14"/>
      <c r="J150" s="16">
        <f>Data!BS150</f>
        <v>0.3</v>
      </c>
      <c r="K150" s="35">
        <f t="shared" si="42"/>
        <v>0.315</v>
      </c>
      <c r="M150" s="23">
        <f t="shared" si="38"/>
        <v>239.40000000000003</v>
      </c>
      <c r="N150" s="23">
        <f t="shared" si="39"/>
        <v>245.12999999999997</v>
      </c>
      <c r="P150" s="31"/>
      <c r="Q150" s="31"/>
      <c r="R150" s="32"/>
      <c r="S150" s="33"/>
      <c r="T150" s="33"/>
      <c r="U150" s="34"/>
    </row>
    <row r="151" spans="1:21" x14ac:dyDescent="0.2">
      <c r="A151" s="40">
        <v>35209</v>
      </c>
      <c r="B151" s="34">
        <v>145</v>
      </c>
      <c r="C151" s="16">
        <f>ROUND(Data!BJ151,2)</f>
        <v>0</v>
      </c>
      <c r="D151" s="3">
        <f>ROUND(Data!R151,1)</f>
        <v>16.3</v>
      </c>
      <c r="E151" s="3">
        <f>ROUND(Data!AF151,1)</f>
        <v>0.6</v>
      </c>
      <c r="F151" s="23">
        <f>Data!BO151</f>
        <v>30</v>
      </c>
      <c r="G151" s="3">
        <f>Data!Q151</f>
        <v>0</v>
      </c>
      <c r="H151" s="19"/>
      <c r="I151" s="14"/>
      <c r="J151" s="16">
        <f>Data!BS151</f>
        <v>0</v>
      </c>
      <c r="K151" s="35">
        <f t="shared" si="42"/>
        <v>0</v>
      </c>
      <c r="M151" s="23">
        <f t="shared" si="38"/>
        <v>239.40000000000003</v>
      </c>
      <c r="N151" s="23">
        <f t="shared" si="39"/>
        <v>245.12999999999997</v>
      </c>
      <c r="P151" s="31"/>
      <c r="Q151" s="31"/>
      <c r="R151" s="32"/>
      <c r="S151" s="33"/>
      <c r="T151" s="33"/>
      <c r="U151" s="34"/>
    </row>
    <row r="152" spans="1:21" x14ac:dyDescent="0.2">
      <c r="A152" s="40">
        <v>35210</v>
      </c>
      <c r="B152" s="34">
        <v>146</v>
      </c>
      <c r="C152" s="16">
        <f>ROUND(Data!BJ152,2)</f>
        <v>0</v>
      </c>
      <c r="D152" s="3">
        <f>ROUND(Data!R152,1)</f>
        <v>14.8</v>
      </c>
      <c r="E152" s="3">
        <f>ROUND(Data!AF152,1)</f>
        <v>3.3</v>
      </c>
      <c r="F152" s="23">
        <f>Data!BO152</f>
        <v>42</v>
      </c>
      <c r="G152" s="3">
        <f>Data!Q152</f>
        <v>0</v>
      </c>
      <c r="H152" s="19"/>
      <c r="I152" s="14"/>
      <c r="J152" s="16">
        <f>Data!BS152</f>
        <v>0</v>
      </c>
      <c r="K152" s="35">
        <f t="shared" ref="K152:K171" si="43">J152*L$3</f>
        <v>0</v>
      </c>
      <c r="M152" s="23">
        <f t="shared" si="38"/>
        <v>239.40000000000003</v>
      </c>
      <c r="N152" s="23">
        <f t="shared" si="39"/>
        <v>245.12999999999997</v>
      </c>
      <c r="P152" s="31"/>
      <c r="Q152" s="31"/>
      <c r="R152" s="32"/>
      <c r="S152" s="33"/>
      <c r="T152" s="33"/>
      <c r="U152" s="34"/>
    </row>
    <row r="153" spans="1:21" x14ac:dyDescent="0.2">
      <c r="A153" s="40">
        <v>35211</v>
      </c>
      <c r="B153" s="34">
        <v>147</v>
      </c>
      <c r="C153" s="16">
        <f>ROUND(Data!BJ153,2)</f>
        <v>0</v>
      </c>
      <c r="D153" s="3">
        <f>ROUND(Data!R153,1)</f>
        <v>13.1</v>
      </c>
      <c r="E153" s="3">
        <f>ROUND(Data!AF153,1)</f>
        <v>1.3</v>
      </c>
      <c r="F153" s="23">
        <f>Data!BO153</f>
        <v>32</v>
      </c>
      <c r="G153" s="3">
        <f>Data!Q153</f>
        <v>0</v>
      </c>
      <c r="H153" s="19"/>
      <c r="I153" s="14"/>
      <c r="J153" s="16">
        <f>Data!BS153</f>
        <v>0</v>
      </c>
      <c r="K153" s="35">
        <f t="shared" si="43"/>
        <v>0</v>
      </c>
      <c r="M153" s="23">
        <f t="shared" si="38"/>
        <v>239.40000000000003</v>
      </c>
      <c r="N153" s="23">
        <f t="shared" si="39"/>
        <v>245.12999999999997</v>
      </c>
      <c r="P153" s="31"/>
      <c r="Q153" s="31"/>
      <c r="R153" s="32"/>
      <c r="S153" s="33"/>
      <c r="T153" s="33"/>
      <c r="U153" s="34"/>
    </row>
    <row r="154" spans="1:21" x14ac:dyDescent="0.2">
      <c r="A154" s="40">
        <v>35212</v>
      </c>
      <c r="B154" s="34">
        <v>148</v>
      </c>
      <c r="C154" s="16">
        <f>ROUND(Data!BJ154,2)</f>
        <v>0</v>
      </c>
      <c r="D154" s="3">
        <f>ROUND(Data!R154,1)</f>
        <v>12</v>
      </c>
      <c r="E154" s="3">
        <f>ROUND(Data!AF154,1)</f>
        <v>0.4</v>
      </c>
      <c r="F154" s="23">
        <f>Data!BO154</f>
        <v>37</v>
      </c>
      <c r="G154" s="3">
        <f>Data!Q154</f>
        <v>0</v>
      </c>
      <c r="H154" s="19"/>
      <c r="I154" s="14"/>
      <c r="J154" s="16">
        <f>Data!BS154</f>
        <v>0.3</v>
      </c>
      <c r="K154" s="35">
        <f t="shared" si="43"/>
        <v>0.315</v>
      </c>
      <c r="M154" s="23">
        <f t="shared" si="38"/>
        <v>239.70000000000005</v>
      </c>
      <c r="N154" s="23">
        <f t="shared" si="39"/>
        <v>245.44499999999996</v>
      </c>
      <c r="P154" s="31"/>
      <c r="Q154" s="31"/>
      <c r="R154" s="32"/>
      <c r="S154" s="33"/>
      <c r="T154" s="33"/>
      <c r="U154" s="34"/>
    </row>
    <row r="155" spans="1:21" x14ac:dyDescent="0.2">
      <c r="A155" s="40">
        <v>35213</v>
      </c>
      <c r="B155" s="34">
        <v>149</v>
      </c>
      <c r="C155" s="16">
        <f>ROUND(Data!BJ155,2)</f>
        <v>0</v>
      </c>
      <c r="D155" s="3">
        <f>ROUND(Data!R155,1)</f>
        <v>8.1999999999999993</v>
      </c>
      <c r="E155" s="3">
        <f>ROUND(Data!AF155,1)</f>
        <v>-0.6</v>
      </c>
      <c r="F155" s="23">
        <f>Data!BO155</f>
        <v>65</v>
      </c>
      <c r="G155" s="3">
        <f>Data!Q155</f>
        <v>0</v>
      </c>
      <c r="H155" s="19"/>
      <c r="I155" s="14"/>
      <c r="J155" s="16">
        <f>Data!BS155</f>
        <v>1.5</v>
      </c>
      <c r="K155" s="35">
        <f t="shared" si="43"/>
        <v>1.5750000000000002</v>
      </c>
      <c r="M155" s="23">
        <f t="shared" si="38"/>
        <v>241.20000000000005</v>
      </c>
      <c r="N155" s="23">
        <f t="shared" si="39"/>
        <v>247.01999999999995</v>
      </c>
      <c r="P155" s="31"/>
      <c r="Q155" s="31"/>
      <c r="R155" s="32"/>
      <c r="S155" s="33"/>
      <c r="T155" s="33"/>
      <c r="U155" s="34"/>
    </row>
    <row r="156" spans="1:21" x14ac:dyDescent="0.2">
      <c r="A156" s="40">
        <v>35214</v>
      </c>
      <c r="B156" s="34">
        <v>150</v>
      </c>
      <c r="C156" s="16">
        <f>ROUND(Data!BJ156,2)</f>
        <v>0</v>
      </c>
      <c r="D156" s="3">
        <f>ROUND(Data!R156,1)</f>
        <v>5.5</v>
      </c>
      <c r="E156" s="3">
        <f>ROUND(Data!AF156,1)</f>
        <v>-1.9</v>
      </c>
      <c r="F156" s="23">
        <f>Data!BO156</f>
        <v>80</v>
      </c>
      <c r="G156" s="3">
        <f>Data!Q156</f>
        <v>0</v>
      </c>
      <c r="H156" s="19"/>
      <c r="I156" s="14"/>
      <c r="J156" s="16">
        <f>Data!BS156</f>
        <v>12.4</v>
      </c>
      <c r="K156" s="35">
        <f t="shared" si="43"/>
        <v>13.020000000000001</v>
      </c>
      <c r="M156" s="23">
        <f t="shared" si="38"/>
        <v>253.60000000000005</v>
      </c>
      <c r="N156" s="23">
        <f t="shared" si="39"/>
        <v>260.03999999999996</v>
      </c>
      <c r="P156" s="31"/>
      <c r="Q156" s="31"/>
      <c r="R156" s="32"/>
      <c r="S156" s="33"/>
      <c r="T156" s="33"/>
      <c r="U156" s="34"/>
    </row>
    <row r="157" spans="1:21" x14ac:dyDescent="0.2">
      <c r="A157" s="40">
        <v>35215</v>
      </c>
      <c r="B157" s="34">
        <v>151</v>
      </c>
      <c r="C157" s="16">
        <f>ROUND(Data!BJ157,2)</f>
        <v>0</v>
      </c>
      <c r="D157" s="3">
        <f>ROUND(Data!R157,1)</f>
        <v>1.8</v>
      </c>
      <c r="E157" s="3">
        <f>ROUND(Data!AF157,1)</f>
        <v>-3.4</v>
      </c>
      <c r="F157" s="23">
        <f>Data!BO157</f>
        <v>86</v>
      </c>
      <c r="G157" s="3">
        <f>Data!Q157</f>
        <v>0</v>
      </c>
      <c r="H157" s="19"/>
      <c r="I157" s="14"/>
      <c r="J157" s="16">
        <f>Data!BS157</f>
        <v>34.5</v>
      </c>
      <c r="K157" s="35">
        <f t="shared" si="43"/>
        <v>36.225000000000001</v>
      </c>
      <c r="M157" s="23">
        <f t="shared" si="38"/>
        <v>288.10000000000002</v>
      </c>
      <c r="N157" s="23">
        <f t="shared" si="39"/>
        <v>296.26499999999999</v>
      </c>
      <c r="P157" s="31"/>
      <c r="Q157" s="31"/>
      <c r="R157" s="32"/>
      <c r="S157" s="33"/>
      <c r="T157" s="33"/>
      <c r="U157" s="34"/>
    </row>
    <row r="158" spans="1:21" x14ac:dyDescent="0.2">
      <c r="A158" s="40">
        <v>35216</v>
      </c>
      <c r="B158" s="34">
        <v>152</v>
      </c>
      <c r="C158" s="16">
        <f>ROUND(Data!BJ158,2)</f>
        <v>0</v>
      </c>
      <c r="D158" s="3">
        <f>ROUND(Data!R158,1)</f>
        <v>6.3</v>
      </c>
      <c r="E158" s="3">
        <f>ROUND(Data!AF158,1)</f>
        <v>-1.5</v>
      </c>
      <c r="F158" s="23">
        <f>Data!BO158</f>
        <v>86</v>
      </c>
      <c r="G158" s="3">
        <f>Data!Q158</f>
        <v>0</v>
      </c>
      <c r="H158" s="19"/>
      <c r="I158" s="14"/>
      <c r="J158" s="16">
        <f>Data!BS158</f>
        <v>10.4</v>
      </c>
      <c r="K158" s="35">
        <f t="shared" si="43"/>
        <v>10.920000000000002</v>
      </c>
      <c r="M158" s="23">
        <f t="shared" si="38"/>
        <v>298.5</v>
      </c>
      <c r="N158" s="23">
        <f t="shared" si="39"/>
        <v>307.185</v>
      </c>
      <c r="P158" s="31"/>
      <c r="Q158" s="31"/>
      <c r="R158" s="32"/>
      <c r="S158" s="33"/>
      <c r="T158" s="33"/>
      <c r="U158" s="34"/>
    </row>
    <row r="159" spans="1:21" x14ac:dyDescent="0.2">
      <c r="A159" s="40">
        <v>35217</v>
      </c>
      <c r="B159" s="34">
        <v>153</v>
      </c>
      <c r="C159" s="16">
        <f>ROUND(Data!BJ159,2)</f>
        <v>0</v>
      </c>
      <c r="D159" s="3">
        <f>ROUND(Data!R159,1)</f>
        <v>14.9</v>
      </c>
      <c r="E159" s="3">
        <f>ROUND(Data!AF159,1)</f>
        <v>-2.9</v>
      </c>
      <c r="F159" s="23">
        <f>Data!BO159</f>
        <v>0</v>
      </c>
      <c r="G159" s="3">
        <f>Data!Q159</f>
        <v>0</v>
      </c>
      <c r="H159" s="19"/>
      <c r="I159" s="14"/>
      <c r="J159" s="16">
        <f>Data!BS159</f>
        <v>0.3</v>
      </c>
      <c r="K159" s="35">
        <f t="shared" si="43"/>
        <v>0.315</v>
      </c>
      <c r="M159" s="23">
        <f t="shared" si="38"/>
        <v>298.8</v>
      </c>
      <c r="N159" s="23">
        <f t="shared" si="39"/>
        <v>307.5</v>
      </c>
      <c r="P159" s="31"/>
      <c r="Q159" s="31"/>
      <c r="R159" s="32"/>
      <c r="S159" s="33"/>
      <c r="T159" s="33"/>
    </row>
    <row r="160" spans="1:21" x14ac:dyDescent="0.2">
      <c r="A160" s="40">
        <v>35218</v>
      </c>
      <c r="B160" s="34">
        <v>154</v>
      </c>
      <c r="C160" s="16">
        <f>ROUND(Data!BJ160,2)</f>
        <v>0</v>
      </c>
      <c r="D160" s="3">
        <f>ROUND(Data!R160,1)</f>
        <v>17.8</v>
      </c>
      <c r="E160" s="3">
        <f>ROUND(Data!AF160,1)</f>
        <v>3.1</v>
      </c>
      <c r="F160" s="23">
        <f>Data!BO160</f>
        <v>0</v>
      </c>
      <c r="G160" s="3">
        <f>Data!Q160</f>
        <v>0</v>
      </c>
      <c r="H160" s="19"/>
      <c r="I160" s="14"/>
      <c r="J160" s="16">
        <f>Data!BS160</f>
        <v>2</v>
      </c>
      <c r="K160" s="35">
        <f t="shared" si="43"/>
        <v>2.1</v>
      </c>
      <c r="M160" s="23">
        <f t="shared" si="38"/>
        <v>300.8</v>
      </c>
      <c r="N160" s="23">
        <f t="shared" si="39"/>
        <v>309.60000000000002</v>
      </c>
      <c r="P160" s="31"/>
      <c r="Q160" s="31"/>
      <c r="R160" s="32"/>
      <c r="S160" s="33"/>
      <c r="T160" s="33"/>
    </row>
    <row r="161" spans="1:20" x14ac:dyDescent="0.2">
      <c r="A161" s="40">
        <v>35219</v>
      </c>
      <c r="B161" s="34">
        <v>155</v>
      </c>
      <c r="C161" s="16">
        <f>ROUND(Data!BJ161,2)</f>
        <v>0</v>
      </c>
      <c r="D161" s="3">
        <f>ROUND(Data!R161,1)</f>
        <v>17.5</v>
      </c>
      <c r="E161" s="3">
        <f>ROUND(Data!AF161,1)</f>
        <v>3</v>
      </c>
      <c r="F161" s="23">
        <f>Data!BO161</f>
        <v>0</v>
      </c>
      <c r="G161" s="3">
        <f>Data!Q161</f>
        <v>0</v>
      </c>
      <c r="H161" s="19"/>
      <c r="I161" s="14"/>
      <c r="J161" s="16">
        <f>Data!BS161</f>
        <v>0.5</v>
      </c>
      <c r="K161" s="35">
        <f t="shared" si="43"/>
        <v>0.52500000000000002</v>
      </c>
      <c r="M161" s="23">
        <f t="shared" si="38"/>
        <v>301.3</v>
      </c>
      <c r="N161" s="23">
        <f t="shared" si="39"/>
        <v>310.125</v>
      </c>
      <c r="P161" s="31"/>
      <c r="Q161" s="31"/>
      <c r="R161" s="32"/>
      <c r="S161" s="33"/>
      <c r="T161" s="33"/>
    </row>
    <row r="162" spans="1:20" x14ac:dyDescent="0.2">
      <c r="A162" s="40">
        <v>35220</v>
      </c>
      <c r="B162" s="34">
        <v>156</v>
      </c>
      <c r="C162" s="16">
        <f>ROUND(Data!BJ162,2)</f>
        <v>0</v>
      </c>
      <c r="D162" s="3">
        <f>ROUND(Data!R162,1)</f>
        <v>11.1</v>
      </c>
      <c r="E162" s="3">
        <f>ROUND(Data!AF162,1)</f>
        <v>0.9</v>
      </c>
      <c r="F162" s="23">
        <f>Data!BO162</f>
        <v>0</v>
      </c>
      <c r="G162" s="3">
        <f>Data!Q162</f>
        <v>0</v>
      </c>
      <c r="H162" s="19"/>
      <c r="I162" s="14"/>
      <c r="J162" s="16">
        <f>Data!BS162</f>
        <v>1.2999999523162842</v>
      </c>
      <c r="K162" s="35">
        <f t="shared" si="43"/>
        <v>1.3649999499320984</v>
      </c>
      <c r="M162" s="23">
        <f t="shared" si="38"/>
        <v>302.5999999523163</v>
      </c>
      <c r="N162" s="23">
        <f t="shared" si="39"/>
        <v>311.4899999499321</v>
      </c>
      <c r="P162" s="31"/>
      <c r="Q162" s="31"/>
      <c r="R162" s="32"/>
      <c r="S162" s="33"/>
      <c r="T162" s="33"/>
    </row>
    <row r="163" spans="1:20" x14ac:dyDescent="0.2">
      <c r="A163" s="40">
        <v>35221</v>
      </c>
      <c r="B163" s="34">
        <v>157</v>
      </c>
      <c r="C163" s="16">
        <f>ROUND(Data!BJ163,2)</f>
        <v>0</v>
      </c>
      <c r="D163" s="3">
        <f>ROUND(Data!R163,1)</f>
        <v>12.6</v>
      </c>
      <c r="E163" s="3">
        <f>ROUND(Data!AF163,1)</f>
        <v>0.7</v>
      </c>
      <c r="F163" s="23">
        <f>Data!BO163</f>
        <v>43</v>
      </c>
      <c r="G163" s="3">
        <f>Data!Q163</f>
        <v>0</v>
      </c>
      <c r="H163" s="19"/>
      <c r="I163" s="14"/>
      <c r="J163" s="16">
        <f>Data!BS163</f>
        <v>6.0999999046325684</v>
      </c>
      <c r="K163" s="35">
        <f t="shared" si="43"/>
        <v>6.4049998998641975</v>
      </c>
      <c r="M163" s="23">
        <f t="shared" si="38"/>
        <v>308.69999985694886</v>
      </c>
      <c r="N163" s="23">
        <f t="shared" si="39"/>
        <v>317.89499984979631</v>
      </c>
      <c r="P163" s="31"/>
      <c r="Q163" s="31"/>
      <c r="R163" s="32"/>
      <c r="S163" s="33"/>
      <c r="T163" s="33"/>
    </row>
    <row r="164" spans="1:20" x14ac:dyDescent="0.2">
      <c r="A164" s="40">
        <v>35222</v>
      </c>
      <c r="B164" s="34">
        <v>158</v>
      </c>
      <c r="C164" s="16">
        <f>ROUND(Data!BJ164,2)</f>
        <v>0</v>
      </c>
      <c r="D164" s="3">
        <f>ROUND(Data!R164,1)</f>
        <v>14.8</v>
      </c>
      <c r="E164" s="3">
        <f>ROUND(Data!AF164,1)</f>
        <v>3.7</v>
      </c>
      <c r="F164" s="23">
        <f>Data!BO164</f>
        <v>44</v>
      </c>
      <c r="G164" s="3">
        <f>Data!Q164</f>
        <v>0</v>
      </c>
      <c r="H164" s="19"/>
      <c r="I164" s="14"/>
      <c r="J164" s="16">
        <f>Data!BS164</f>
        <v>0</v>
      </c>
      <c r="K164" s="35">
        <f t="shared" si="43"/>
        <v>0</v>
      </c>
      <c r="M164" s="23">
        <f t="shared" si="38"/>
        <v>308.69999985694886</v>
      </c>
      <c r="N164" s="23">
        <f t="shared" si="39"/>
        <v>317.89499984979631</v>
      </c>
      <c r="P164" s="31"/>
      <c r="Q164" s="31"/>
      <c r="R164" s="32"/>
      <c r="S164" s="33"/>
      <c r="T164" s="33"/>
    </row>
    <row r="165" spans="1:20" x14ac:dyDescent="0.2">
      <c r="A165" s="40">
        <v>35223</v>
      </c>
      <c r="B165" s="34">
        <v>159</v>
      </c>
      <c r="C165" s="16">
        <f>ROUND(Data!BJ165,2)</f>
        <v>0</v>
      </c>
      <c r="D165" s="3">
        <f>ROUND(Data!R165,1)</f>
        <v>18.899999999999999</v>
      </c>
      <c r="E165" s="3">
        <f>ROUND(Data!AF165,1)</f>
        <v>3.8</v>
      </c>
      <c r="F165" s="23">
        <f>Data!BO165</f>
        <v>30</v>
      </c>
      <c r="G165" s="3">
        <f>Data!Q165</f>
        <v>0</v>
      </c>
      <c r="H165" s="19"/>
      <c r="I165" s="14"/>
      <c r="J165" s="16">
        <f>Data!BS165</f>
        <v>0</v>
      </c>
      <c r="K165" s="35">
        <f t="shared" si="43"/>
        <v>0</v>
      </c>
      <c r="M165" s="23">
        <f t="shared" si="38"/>
        <v>308.69999985694886</v>
      </c>
      <c r="N165" s="23">
        <f t="shared" si="39"/>
        <v>317.89499984979631</v>
      </c>
      <c r="P165" s="31"/>
      <c r="Q165" s="31"/>
      <c r="R165" s="32"/>
      <c r="S165" s="33"/>
      <c r="T165" s="33"/>
    </row>
    <row r="166" spans="1:20" x14ac:dyDescent="0.2">
      <c r="A166" s="40">
        <v>35224</v>
      </c>
      <c r="B166" s="34">
        <v>160</v>
      </c>
      <c r="C166" s="16">
        <f>ROUND(Data!BJ166,2)</f>
        <v>0</v>
      </c>
      <c r="D166" s="3">
        <f>ROUND(Data!R166,1)</f>
        <v>16.3</v>
      </c>
      <c r="E166" s="3">
        <f>ROUND(Data!AF166,1)</f>
        <v>1</v>
      </c>
      <c r="F166" s="23">
        <f>Data!BO166</f>
        <v>27</v>
      </c>
      <c r="G166" s="3">
        <f>Data!Q166</f>
        <v>0</v>
      </c>
      <c r="H166" s="19"/>
      <c r="I166" s="14"/>
      <c r="J166" s="16">
        <f>Data!BS166</f>
        <v>0</v>
      </c>
      <c r="K166" s="35">
        <f t="shared" si="43"/>
        <v>0</v>
      </c>
      <c r="M166" s="23">
        <f t="shared" si="38"/>
        <v>308.69999985694886</v>
      </c>
      <c r="N166" s="23">
        <f t="shared" si="39"/>
        <v>317.89499984979631</v>
      </c>
      <c r="P166" s="31"/>
      <c r="Q166" s="31"/>
      <c r="R166" s="32"/>
      <c r="S166" s="33"/>
      <c r="T166" s="33"/>
    </row>
    <row r="167" spans="1:20" x14ac:dyDescent="0.2">
      <c r="A167" s="40">
        <v>35225</v>
      </c>
      <c r="B167" s="34">
        <v>161</v>
      </c>
      <c r="C167" s="16">
        <f>ROUND(Data!BJ167,2)</f>
        <v>0</v>
      </c>
      <c r="D167" s="3">
        <f>ROUND(Data!R167,1)</f>
        <v>12.4</v>
      </c>
      <c r="E167" s="3">
        <f>ROUND(Data!AF167,1)</f>
        <v>-0.2</v>
      </c>
      <c r="F167" s="23">
        <f>Data!BO167</f>
        <v>37</v>
      </c>
      <c r="G167" s="3">
        <f>Data!Q167</f>
        <v>0</v>
      </c>
      <c r="H167" s="19"/>
      <c r="I167" s="14"/>
      <c r="J167" s="16">
        <f>Data!BS167</f>
        <v>0</v>
      </c>
      <c r="K167" s="35">
        <f t="shared" si="43"/>
        <v>0</v>
      </c>
      <c r="M167" s="23">
        <f t="shared" si="38"/>
        <v>308.69999985694886</v>
      </c>
      <c r="N167" s="23">
        <f t="shared" si="39"/>
        <v>317.89499984979631</v>
      </c>
      <c r="P167" s="31"/>
      <c r="Q167" s="31"/>
      <c r="R167" s="32"/>
      <c r="S167" s="33"/>
      <c r="T167" s="33"/>
    </row>
    <row r="168" spans="1:20" x14ac:dyDescent="0.2">
      <c r="A168" s="40">
        <v>35226</v>
      </c>
      <c r="B168" s="34">
        <v>162</v>
      </c>
      <c r="C168" s="16">
        <f>ROUND(Data!BJ168,2)</f>
        <v>0</v>
      </c>
      <c r="D168" s="3">
        <f>ROUND(Data!R168,1)</f>
        <v>12.1</v>
      </c>
      <c r="E168" s="3">
        <f>ROUND(Data!AF168,1)</f>
        <v>0.1</v>
      </c>
      <c r="F168" s="23">
        <f>Data!BO168</f>
        <v>44</v>
      </c>
      <c r="G168" s="3">
        <f>Data!Q168</f>
        <v>0</v>
      </c>
      <c r="H168" s="19"/>
      <c r="I168" s="14"/>
      <c r="J168" s="16">
        <f>Data!BS168</f>
        <v>1.5</v>
      </c>
      <c r="K168" s="35">
        <f t="shared" si="43"/>
        <v>1.5750000000000002</v>
      </c>
      <c r="M168" s="23">
        <f t="shared" si="38"/>
        <v>310.19999985694886</v>
      </c>
      <c r="N168" s="23">
        <f t="shared" si="39"/>
        <v>319.4699998497963</v>
      </c>
      <c r="P168" s="31"/>
      <c r="Q168" s="31"/>
      <c r="R168" s="32"/>
      <c r="S168" s="33"/>
      <c r="T168" s="33"/>
    </row>
    <row r="169" spans="1:20" x14ac:dyDescent="0.2">
      <c r="A169" s="40">
        <v>35227</v>
      </c>
      <c r="B169" s="34">
        <v>163</v>
      </c>
      <c r="C169" s="16">
        <f>ROUND(Data!BJ169,2)</f>
        <v>0</v>
      </c>
      <c r="D169" s="3">
        <f>ROUND(Data!R169,1)</f>
        <v>10.4</v>
      </c>
      <c r="E169" s="3">
        <f>ROUND(Data!AF169,1)</f>
        <v>-0.3</v>
      </c>
      <c r="F169" s="23">
        <f>Data!BO169</f>
        <v>47</v>
      </c>
      <c r="G169" s="3">
        <f>Data!Q169</f>
        <v>0</v>
      </c>
      <c r="H169" s="19"/>
      <c r="I169" s="14"/>
      <c r="J169" s="16">
        <f>Data!BS169</f>
        <v>0</v>
      </c>
      <c r="K169" s="35">
        <f t="shared" si="43"/>
        <v>0</v>
      </c>
      <c r="M169" s="23">
        <f t="shared" si="38"/>
        <v>310.19999985694886</v>
      </c>
      <c r="N169" s="23">
        <f t="shared" si="39"/>
        <v>319.4699998497963</v>
      </c>
      <c r="P169" s="31"/>
      <c r="Q169" s="31"/>
      <c r="R169" s="32"/>
      <c r="S169" s="33"/>
      <c r="T169" s="33"/>
    </row>
    <row r="170" spans="1:20" x14ac:dyDescent="0.2">
      <c r="A170" s="40">
        <v>35228</v>
      </c>
      <c r="B170" s="34">
        <v>164</v>
      </c>
      <c r="C170" s="16">
        <f>ROUND(Data!BJ170,2)</f>
        <v>0</v>
      </c>
      <c r="D170" s="3">
        <f>ROUND(Data!R170,1)</f>
        <v>16.2</v>
      </c>
      <c r="E170" s="3">
        <f>ROUND(Data!AF170,1)</f>
        <v>0.7</v>
      </c>
      <c r="F170" s="23">
        <f>Data!BO170</f>
        <v>29</v>
      </c>
      <c r="G170" s="3">
        <f>Data!Q170</f>
        <v>0</v>
      </c>
      <c r="H170" s="19"/>
      <c r="I170" s="14"/>
      <c r="J170" s="16">
        <f>Data!BS170</f>
        <v>0</v>
      </c>
      <c r="K170" s="35">
        <f t="shared" si="43"/>
        <v>0</v>
      </c>
      <c r="M170" s="23">
        <f t="shared" si="38"/>
        <v>310.19999985694886</v>
      </c>
      <c r="N170" s="23">
        <f t="shared" si="39"/>
        <v>319.4699998497963</v>
      </c>
      <c r="P170" s="34"/>
      <c r="Q170" s="34"/>
      <c r="R170" s="34"/>
      <c r="S170" s="34"/>
      <c r="T170" s="34"/>
    </row>
    <row r="171" spans="1:20" x14ac:dyDescent="0.2">
      <c r="A171" s="40">
        <v>35229</v>
      </c>
      <c r="B171" s="34">
        <v>165</v>
      </c>
      <c r="C171" s="16">
        <f>ROUND(Data!BJ171,2)</f>
        <v>0</v>
      </c>
      <c r="D171" s="3">
        <f>ROUND(Data!R171,1)</f>
        <v>13.4</v>
      </c>
      <c r="E171" s="3">
        <f>ROUND(Data!AF171,1)</f>
        <v>3.3</v>
      </c>
      <c r="F171" s="23">
        <f>Data!BO171</f>
        <v>35</v>
      </c>
      <c r="G171" s="3">
        <f>Data!Q171</f>
        <v>0</v>
      </c>
      <c r="H171" s="19"/>
      <c r="I171" s="14"/>
      <c r="J171" s="16">
        <f>Data!BS171</f>
        <v>0</v>
      </c>
      <c r="K171" s="35">
        <f t="shared" si="43"/>
        <v>0</v>
      </c>
      <c r="M171" s="23">
        <f t="shared" si="38"/>
        <v>310.19999985694886</v>
      </c>
      <c r="N171" s="23">
        <f t="shared" si="39"/>
        <v>319.4699998497963</v>
      </c>
    </row>
    <row r="172" spans="1:20" x14ac:dyDescent="0.2">
      <c r="A172" s="40">
        <v>35230</v>
      </c>
      <c r="B172" s="34">
        <v>166</v>
      </c>
      <c r="C172" s="16">
        <f>ROUND(Data!BJ172,2)</f>
        <v>29.93</v>
      </c>
      <c r="D172" s="3">
        <f>ROUND(Data!R172,1)</f>
        <v>16.8</v>
      </c>
      <c r="E172" s="3">
        <f>ROUND(Data!AF172,1)</f>
        <v>-1.7</v>
      </c>
      <c r="F172" s="23">
        <f>Data!BO172</f>
        <v>22.4</v>
      </c>
      <c r="G172" s="3">
        <f>Data!Q172</f>
        <v>0</v>
      </c>
      <c r="H172" s="19"/>
      <c r="I172" s="14"/>
      <c r="J172" s="16">
        <f>Data!BS172</f>
        <v>0</v>
      </c>
      <c r="K172" s="39">
        <f t="shared" ref="K172:K222" si="44">G172</f>
        <v>0</v>
      </c>
      <c r="M172" s="23">
        <f t="shared" si="38"/>
        <v>310.19999985694886</v>
      </c>
      <c r="N172" s="23">
        <f t="shared" si="39"/>
        <v>319.4699998497963</v>
      </c>
    </row>
    <row r="173" spans="1:20" x14ac:dyDescent="0.2">
      <c r="A173" s="40">
        <v>35231</v>
      </c>
      <c r="B173" s="34">
        <v>167</v>
      </c>
      <c r="C173" s="16">
        <f>ROUND(Data!BJ173,2)</f>
        <v>20.56</v>
      </c>
      <c r="D173" s="3">
        <f>ROUND(Data!R173,1)</f>
        <v>15.6</v>
      </c>
      <c r="E173" s="3">
        <f>ROUND(Data!AF173,1)</f>
        <v>-0.9</v>
      </c>
      <c r="F173" s="23">
        <f>Data!BO173</f>
        <v>38.9</v>
      </c>
      <c r="G173" s="3">
        <f>Data!Q173</f>
        <v>1</v>
      </c>
      <c r="H173" s="19"/>
      <c r="I173" s="14"/>
      <c r="J173" s="16">
        <f>Data!BS173</f>
        <v>0.3</v>
      </c>
      <c r="K173" s="39">
        <f t="shared" si="44"/>
        <v>1</v>
      </c>
      <c r="M173" s="23">
        <f t="shared" si="38"/>
        <v>310.49999985694888</v>
      </c>
      <c r="N173" s="23">
        <f t="shared" si="39"/>
        <v>320.4699998497963</v>
      </c>
    </row>
    <row r="174" spans="1:20" x14ac:dyDescent="0.2">
      <c r="A174" s="40">
        <v>35232</v>
      </c>
      <c r="B174" s="34">
        <v>168</v>
      </c>
      <c r="C174" s="16">
        <f>ROUND(Data!BJ174,2)</f>
        <v>26.84</v>
      </c>
      <c r="D174" s="3">
        <f>ROUND(Data!R174,1)</f>
        <v>13.2</v>
      </c>
      <c r="E174" s="3">
        <f>ROUND(Data!AF174,1)</f>
        <v>-2.2000000000000002</v>
      </c>
      <c r="F174" s="23">
        <f>Data!BO174</f>
        <v>25.2</v>
      </c>
      <c r="G174" s="3">
        <f>Data!Q174</f>
        <v>0</v>
      </c>
      <c r="H174" s="19"/>
      <c r="I174" s="14"/>
      <c r="J174" s="16">
        <f>Data!BS174</f>
        <v>0</v>
      </c>
      <c r="K174" s="39">
        <f t="shared" si="44"/>
        <v>0</v>
      </c>
      <c r="M174" s="23">
        <f t="shared" si="38"/>
        <v>310.49999985694888</v>
      </c>
      <c r="N174" s="23">
        <f t="shared" si="39"/>
        <v>320.4699998497963</v>
      </c>
    </row>
    <row r="175" spans="1:20" x14ac:dyDescent="0.2">
      <c r="A175" s="40">
        <v>35233</v>
      </c>
      <c r="B175" s="34">
        <v>169</v>
      </c>
      <c r="C175" s="16">
        <f>ROUND(Data!BJ175,2)</f>
        <v>13.81</v>
      </c>
      <c r="D175" s="3">
        <f>ROUND(Data!R175,1)</f>
        <v>7.8</v>
      </c>
      <c r="E175" s="3">
        <f>ROUND(Data!AF175,1)</f>
        <v>1.9</v>
      </c>
      <c r="F175" s="23">
        <f>Data!BO175</f>
        <v>56.2</v>
      </c>
      <c r="G175" s="3">
        <f>Data!Q175</f>
        <v>6</v>
      </c>
      <c r="H175" s="19"/>
      <c r="I175" s="14"/>
      <c r="J175" s="16">
        <f>Data!BS175</f>
        <v>9.6999999999999993</v>
      </c>
      <c r="K175" s="39">
        <f t="shared" si="44"/>
        <v>6</v>
      </c>
      <c r="M175" s="23">
        <f t="shared" si="38"/>
        <v>320.19999985694886</v>
      </c>
      <c r="N175" s="23">
        <f t="shared" si="39"/>
        <v>326.4699998497963</v>
      </c>
    </row>
    <row r="176" spans="1:20" x14ac:dyDescent="0.2">
      <c r="A176" s="40">
        <v>35234</v>
      </c>
      <c r="B176" s="34">
        <v>170</v>
      </c>
      <c r="C176" s="16">
        <f>ROUND(Data!BJ176,2)</f>
        <v>4.09</v>
      </c>
      <c r="D176" s="3">
        <f>ROUND(Data!R176,1)</f>
        <v>4.5</v>
      </c>
      <c r="E176" s="3">
        <f>ROUND(Data!AF176,1)</f>
        <v>0.7</v>
      </c>
      <c r="F176" s="23">
        <f>Data!BO176</f>
        <v>84</v>
      </c>
      <c r="G176" s="3">
        <f>Data!Q176</f>
        <v>9</v>
      </c>
      <c r="H176" s="19"/>
      <c r="I176" s="14"/>
      <c r="J176" s="16">
        <f>Data!BS176</f>
        <v>1</v>
      </c>
      <c r="K176" s="39">
        <f t="shared" si="44"/>
        <v>9</v>
      </c>
      <c r="M176" s="23">
        <f t="shared" si="38"/>
        <v>321.19999985694886</v>
      </c>
      <c r="N176" s="23">
        <f t="shared" si="39"/>
        <v>335.4699998497963</v>
      </c>
    </row>
    <row r="177" spans="1:14" x14ac:dyDescent="0.2">
      <c r="A177" s="40">
        <v>35235</v>
      </c>
      <c r="B177" s="34">
        <v>171</v>
      </c>
      <c r="C177" s="16">
        <f>ROUND(Data!BJ177,2)</f>
        <v>11.2</v>
      </c>
      <c r="D177" s="3">
        <f>ROUND(Data!R177,1)</f>
        <v>10.3</v>
      </c>
      <c r="E177" s="3">
        <f>ROUND(Data!AF177,1)</f>
        <v>-0.9</v>
      </c>
      <c r="F177" s="23">
        <f>Data!BO177</f>
        <v>54.6</v>
      </c>
      <c r="G177" s="3">
        <f>Data!Q177</f>
        <v>2</v>
      </c>
      <c r="H177" s="19"/>
      <c r="I177" s="14"/>
      <c r="J177" s="16">
        <f>Data!BS177</f>
        <v>1.3</v>
      </c>
      <c r="K177" s="39">
        <f t="shared" si="44"/>
        <v>2</v>
      </c>
      <c r="M177" s="23">
        <f t="shared" si="38"/>
        <v>322.49999985694888</v>
      </c>
      <c r="N177" s="23">
        <f t="shared" si="39"/>
        <v>337.4699998497963</v>
      </c>
    </row>
    <row r="178" spans="1:14" x14ac:dyDescent="0.2">
      <c r="A178" s="40">
        <v>35236</v>
      </c>
      <c r="B178" s="34">
        <v>172</v>
      </c>
      <c r="C178" s="16">
        <f>ROUND(Data!BJ178,2)</f>
        <v>32.58</v>
      </c>
      <c r="D178" s="3">
        <f>ROUND(Data!R178,1)</f>
        <v>14.4</v>
      </c>
      <c r="E178" s="3">
        <f>ROUND(Data!AF178,1)</f>
        <v>-1.9</v>
      </c>
      <c r="F178" s="23">
        <f>Data!BO178</f>
        <v>32.299999999999997</v>
      </c>
      <c r="G178" s="3">
        <f>Data!Q178</f>
        <v>0</v>
      </c>
      <c r="H178" s="19"/>
      <c r="I178" s="14"/>
      <c r="J178" s="16">
        <f>Data!BS178</f>
        <v>0</v>
      </c>
      <c r="K178" s="39">
        <f t="shared" si="44"/>
        <v>0</v>
      </c>
      <c r="M178" s="23">
        <f t="shared" si="38"/>
        <v>322.49999985694888</v>
      </c>
      <c r="N178" s="23">
        <f t="shared" si="39"/>
        <v>337.4699998497963</v>
      </c>
    </row>
    <row r="179" spans="1:14" x14ac:dyDescent="0.2">
      <c r="A179" s="40">
        <v>35237</v>
      </c>
      <c r="B179" s="34">
        <v>173</v>
      </c>
      <c r="C179" s="16">
        <f>ROUND(Data!BJ179,2)</f>
        <v>19.57</v>
      </c>
      <c r="D179" s="3">
        <f>ROUND(Data!R179,1)</f>
        <v>13.7</v>
      </c>
      <c r="E179" s="3">
        <f>ROUND(Data!AF179,1)</f>
        <v>-1.4</v>
      </c>
      <c r="F179" s="23">
        <f>Data!BO179</f>
        <v>44.7</v>
      </c>
      <c r="G179" s="3">
        <f>Data!Q179</f>
        <v>1</v>
      </c>
      <c r="H179" s="19"/>
      <c r="I179" s="14"/>
      <c r="J179" s="16">
        <f>Data!BS179</f>
        <v>2</v>
      </c>
      <c r="K179" s="39">
        <f t="shared" si="44"/>
        <v>1</v>
      </c>
      <c r="M179" s="23">
        <f t="shared" si="38"/>
        <v>324.49999985694888</v>
      </c>
      <c r="N179" s="23">
        <f t="shared" si="39"/>
        <v>338.4699998497963</v>
      </c>
    </row>
    <row r="180" spans="1:14" x14ac:dyDescent="0.2">
      <c r="A180" s="40">
        <v>35238</v>
      </c>
      <c r="B180" s="34">
        <v>174</v>
      </c>
      <c r="C180" s="16">
        <f>ROUND(Data!BJ180,2)</f>
        <v>11.24</v>
      </c>
      <c r="D180" s="3">
        <f>ROUND(Data!R180,1)</f>
        <v>11.8</v>
      </c>
      <c r="E180" s="3">
        <f>ROUND(Data!AF180,1)</f>
        <v>2.6</v>
      </c>
      <c r="F180" s="23">
        <f>Data!BO180</f>
        <v>64.599999999999994</v>
      </c>
      <c r="G180" s="3">
        <f>Data!Q180</f>
        <v>6</v>
      </c>
      <c r="H180" s="19"/>
      <c r="I180" s="14"/>
      <c r="J180" s="16">
        <f>Data!BS180</f>
        <v>2.5</v>
      </c>
      <c r="K180" s="39">
        <f t="shared" si="44"/>
        <v>6</v>
      </c>
      <c r="M180" s="23">
        <f t="shared" si="38"/>
        <v>326.99999985694888</v>
      </c>
      <c r="N180" s="23">
        <f t="shared" si="39"/>
        <v>344.4699998497963</v>
      </c>
    </row>
    <row r="181" spans="1:14" x14ac:dyDescent="0.2">
      <c r="A181" s="40">
        <v>35239</v>
      </c>
      <c r="B181" s="34">
        <v>175</v>
      </c>
      <c r="C181" s="16">
        <f>ROUND(Data!BJ181,2)</f>
        <v>10.6</v>
      </c>
      <c r="D181" s="3">
        <f>ROUND(Data!R181,1)</f>
        <v>11.3</v>
      </c>
      <c r="E181" s="3">
        <f>ROUND(Data!AF181,1)</f>
        <v>4.8</v>
      </c>
      <c r="F181" s="23">
        <f>Data!BO181</f>
        <v>72.400000000000006</v>
      </c>
      <c r="G181" s="3">
        <f>Data!Q181</f>
        <v>10</v>
      </c>
      <c r="H181" s="19"/>
      <c r="I181" s="14"/>
      <c r="J181" s="16">
        <f>Data!BS181</f>
        <v>10.9</v>
      </c>
      <c r="K181" s="39">
        <f t="shared" si="44"/>
        <v>10</v>
      </c>
      <c r="M181" s="23">
        <f t="shared" si="38"/>
        <v>337.89999985694885</v>
      </c>
      <c r="N181" s="23">
        <f t="shared" si="39"/>
        <v>354.4699998497963</v>
      </c>
    </row>
    <row r="182" spans="1:14" x14ac:dyDescent="0.2">
      <c r="A182" s="40">
        <v>35240</v>
      </c>
      <c r="B182" s="34">
        <v>176</v>
      </c>
      <c r="C182" s="16">
        <f>ROUND(Data!BJ182,2)</f>
        <v>12.51</v>
      </c>
      <c r="D182" s="3">
        <f>ROUND(Data!R182,1)</f>
        <v>9.1999999999999993</v>
      </c>
      <c r="E182" s="3">
        <f>ROUND(Data!AF182,1)</f>
        <v>2.9</v>
      </c>
      <c r="F182" s="23">
        <f>Data!BO182</f>
        <v>73.8</v>
      </c>
      <c r="G182" s="3">
        <f>Data!Q182</f>
        <v>14</v>
      </c>
      <c r="H182" s="19"/>
      <c r="I182" s="14"/>
      <c r="J182" s="16">
        <f>Data!BS182</f>
        <v>8.1</v>
      </c>
      <c r="K182" s="39">
        <f t="shared" si="44"/>
        <v>14</v>
      </c>
      <c r="M182" s="23">
        <f t="shared" si="38"/>
        <v>345.99999985694888</v>
      </c>
      <c r="N182" s="23">
        <f t="shared" si="39"/>
        <v>368.4699998497963</v>
      </c>
    </row>
    <row r="183" spans="1:14" x14ac:dyDescent="0.2">
      <c r="A183" s="40">
        <v>35241</v>
      </c>
      <c r="B183" s="34">
        <v>177</v>
      </c>
      <c r="C183" s="16">
        <f>ROUND(Data!BJ183,2)</f>
        <v>14.32</v>
      </c>
      <c r="D183" s="3">
        <f>ROUND(Data!R183,1)</f>
        <v>11.7</v>
      </c>
      <c r="E183" s="3">
        <f>ROUND(Data!AF183,1)</f>
        <v>4</v>
      </c>
      <c r="F183" s="23">
        <f>Data!BO183</f>
        <v>61.1</v>
      </c>
      <c r="G183" s="3">
        <f>Data!Q183</f>
        <v>1</v>
      </c>
      <c r="H183" s="19"/>
      <c r="I183" s="14"/>
      <c r="J183" s="16">
        <f>Data!BS183</f>
        <v>2.5</v>
      </c>
      <c r="K183" s="39">
        <f t="shared" si="44"/>
        <v>1</v>
      </c>
      <c r="M183" s="23">
        <f t="shared" si="38"/>
        <v>348.49999985694888</v>
      </c>
      <c r="N183" s="23">
        <f t="shared" si="39"/>
        <v>369.4699998497963</v>
      </c>
    </row>
    <row r="184" spans="1:14" x14ac:dyDescent="0.2">
      <c r="A184" s="40">
        <v>35242</v>
      </c>
      <c r="B184" s="34">
        <v>178</v>
      </c>
      <c r="C184" s="16">
        <f>ROUND(Data!BJ184,2)</f>
        <v>17.63</v>
      </c>
      <c r="D184" s="3">
        <f>ROUND(Data!R184,1)</f>
        <v>14.5</v>
      </c>
      <c r="E184" s="3">
        <f>ROUND(Data!AF184,1)</f>
        <v>2.1</v>
      </c>
      <c r="F184" s="23">
        <f>Data!BO184</f>
        <v>45.4</v>
      </c>
      <c r="G184" s="3">
        <f>Data!Q184</f>
        <v>1</v>
      </c>
      <c r="H184" s="19"/>
      <c r="I184" s="14"/>
      <c r="J184" s="16">
        <f>Data!BS184</f>
        <v>0</v>
      </c>
      <c r="K184" s="39">
        <f t="shared" si="44"/>
        <v>1</v>
      </c>
      <c r="M184" s="23">
        <f t="shared" si="38"/>
        <v>348.49999985694888</v>
      </c>
      <c r="N184" s="23">
        <f t="shared" si="39"/>
        <v>370.4699998497963</v>
      </c>
    </row>
    <row r="185" spans="1:14" x14ac:dyDescent="0.2">
      <c r="A185" s="40">
        <v>35243</v>
      </c>
      <c r="B185" s="34">
        <v>179</v>
      </c>
      <c r="C185" s="16">
        <f>ROUND(Data!BJ185,2)</f>
        <v>21.64</v>
      </c>
      <c r="D185" s="3">
        <f>ROUND(Data!R185,1)</f>
        <v>15</v>
      </c>
      <c r="E185" s="3">
        <f>ROUND(Data!AF185,1)</f>
        <v>0.5</v>
      </c>
      <c r="F185" s="23">
        <f>Data!BO185</f>
        <v>47.7</v>
      </c>
      <c r="G185" s="3">
        <f>Data!Q185</f>
        <v>0</v>
      </c>
      <c r="H185" s="19"/>
      <c r="I185" s="14"/>
      <c r="J185" s="16">
        <f>Data!BS185</f>
        <v>6.4</v>
      </c>
      <c r="K185" s="39">
        <f t="shared" si="44"/>
        <v>0</v>
      </c>
      <c r="M185" s="23">
        <f t="shared" si="38"/>
        <v>354.89999985694885</v>
      </c>
      <c r="N185" s="23">
        <f t="shared" si="39"/>
        <v>370.4699998497963</v>
      </c>
    </row>
    <row r="186" spans="1:14" x14ac:dyDescent="0.2">
      <c r="A186" s="40">
        <v>35244</v>
      </c>
      <c r="B186" s="34">
        <v>180</v>
      </c>
      <c r="C186" s="16">
        <f>ROUND(Data!BJ186,2)</f>
        <v>17.91</v>
      </c>
      <c r="D186" s="3">
        <f>ROUND(Data!R186,1)</f>
        <v>12.8</v>
      </c>
      <c r="E186" s="3">
        <f>ROUND(Data!AF186,1)</f>
        <v>4.0999999999999996</v>
      </c>
      <c r="F186" s="23">
        <f>Data!BO186</f>
        <v>37.799999999999997</v>
      </c>
      <c r="G186" s="3">
        <f>Data!Q186</f>
        <v>0</v>
      </c>
      <c r="H186" s="19"/>
      <c r="I186" s="14"/>
      <c r="J186" s="16">
        <f>Data!BS186</f>
        <v>0</v>
      </c>
      <c r="K186" s="39">
        <f t="shared" si="44"/>
        <v>0</v>
      </c>
      <c r="M186" s="23">
        <f t="shared" si="38"/>
        <v>354.89999985694885</v>
      </c>
      <c r="N186" s="23">
        <f t="shared" si="39"/>
        <v>370.4699998497963</v>
      </c>
    </row>
    <row r="187" spans="1:14" x14ac:dyDescent="0.2">
      <c r="A187" s="40">
        <v>35245</v>
      </c>
      <c r="B187" s="34">
        <v>181</v>
      </c>
      <c r="C187" s="16">
        <f>ROUND(Data!BJ187,2)</f>
        <v>24.01</v>
      </c>
      <c r="D187" s="3">
        <f>ROUND(Data!R187,1)</f>
        <v>14.1</v>
      </c>
      <c r="E187" s="3">
        <f>ROUND(Data!AF187,1)</f>
        <v>0.3</v>
      </c>
      <c r="F187" s="23">
        <f>Data!BO187</f>
        <v>35.299999999999997</v>
      </c>
      <c r="G187" s="3">
        <f>Data!Q187</f>
        <v>0</v>
      </c>
      <c r="H187" s="19"/>
      <c r="I187" s="14"/>
      <c r="J187" s="16">
        <f>Data!BS187</f>
        <v>0</v>
      </c>
      <c r="K187" s="39">
        <f t="shared" si="44"/>
        <v>0</v>
      </c>
      <c r="M187" s="23">
        <f t="shared" si="38"/>
        <v>354.89999985694885</v>
      </c>
      <c r="N187" s="23">
        <f t="shared" si="39"/>
        <v>370.4699998497963</v>
      </c>
    </row>
    <row r="188" spans="1:14" x14ac:dyDescent="0.2">
      <c r="A188" s="40">
        <v>35246</v>
      </c>
      <c r="B188" s="34">
        <v>182</v>
      </c>
      <c r="C188" s="16">
        <f>ROUND(Data!BJ188,2)</f>
        <v>19.68</v>
      </c>
      <c r="D188" s="3">
        <f>ROUND(Data!R188,1)</f>
        <v>17.3</v>
      </c>
      <c r="E188" s="3">
        <f>ROUND(Data!AF188,1)</f>
        <v>0.9</v>
      </c>
      <c r="F188" s="23">
        <f>Data!BO188</f>
        <v>30.4</v>
      </c>
      <c r="G188" s="3">
        <f>Data!Q188</f>
        <v>1</v>
      </c>
      <c r="H188" s="19"/>
      <c r="I188" s="14"/>
      <c r="J188" s="16">
        <f>Data!BS188</f>
        <v>0.3</v>
      </c>
      <c r="K188" s="39">
        <f t="shared" si="44"/>
        <v>1</v>
      </c>
      <c r="M188" s="23">
        <f t="shared" si="38"/>
        <v>355.19999985694886</v>
      </c>
      <c r="N188" s="23">
        <f t="shared" si="39"/>
        <v>371.4699998497963</v>
      </c>
    </row>
    <row r="189" spans="1:14" x14ac:dyDescent="0.2">
      <c r="A189" s="40">
        <v>35247</v>
      </c>
      <c r="B189" s="34">
        <v>183</v>
      </c>
      <c r="C189" s="16">
        <f>ROUND(Data!BJ189,2)</f>
        <v>24.24</v>
      </c>
      <c r="D189" s="3">
        <f>ROUND(Data!R189,1)</f>
        <v>19.100000000000001</v>
      </c>
      <c r="E189" s="3">
        <f>ROUND(Data!AF189,1)</f>
        <v>3.9</v>
      </c>
      <c r="F189" s="23">
        <f>Data!BO189</f>
        <v>29.2</v>
      </c>
      <c r="G189" s="3">
        <f>Data!Q189</f>
        <v>0</v>
      </c>
      <c r="H189" s="19"/>
      <c r="I189" s="14"/>
      <c r="J189" s="16">
        <f>Data!BS189</f>
        <v>0</v>
      </c>
      <c r="K189" s="39">
        <f t="shared" si="44"/>
        <v>0</v>
      </c>
      <c r="M189" s="23">
        <f t="shared" si="38"/>
        <v>355.19999985694886</v>
      </c>
      <c r="N189" s="23">
        <f t="shared" si="39"/>
        <v>371.4699998497963</v>
      </c>
    </row>
    <row r="190" spans="1:14" x14ac:dyDescent="0.2">
      <c r="A190" s="40">
        <v>35248</v>
      </c>
      <c r="B190" s="34">
        <v>184</v>
      </c>
      <c r="C190" s="16">
        <f>ROUND(Data!BJ190,2)</f>
        <v>19.88</v>
      </c>
      <c r="D190" s="3">
        <f>ROUND(Data!R190,1)</f>
        <v>21.8</v>
      </c>
      <c r="E190" s="3">
        <f>ROUND(Data!AF190,1)</f>
        <v>3.6</v>
      </c>
      <c r="F190" s="23">
        <f>Data!BO190</f>
        <v>39.4</v>
      </c>
      <c r="G190" s="3">
        <f>Data!Q190</f>
        <v>0</v>
      </c>
      <c r="H190" s="19"/>
      <c r="I190" s="14"/>
      <c r="J190" s="16">
        <f>Data!BS190</f>
        <v>0.8</v>
      </c>
      <c r="K190" s="39">
        <f t="shared" si="44"/>
        <v>0</v>
      </c>
      <c r="M190" s="23">
        <f t="shared" si="38"/>
        <v>355.99999985694888</v>
      </c>
      <c r="N190" s="23">
        <f t="shared" si="39"/>
        <v>371.4699998497963</v>
      </c>
    </row>
    <row r="191" spans="1:14" x14ac:dyDescent="0.2">
      <c r="A191" s="40">
        <v>35249</v>
      </c>
      <c r="B191" s="34">
        <v>185</v>
      </c>
      <c r="C191" s="16">
        <f>ROUND(Data!BJ191,2)</f>
        <v>21.77</v>
      </c>
      <c r="D191" s="3">
        <f>ROUND(Data!R191,1)</f>
        <v>20.100000000000001</v>
      </c>
      <c r="E191" s="3">
        <f>ROUND(Data!AF191,1)</f>
        <v>5.7</v>
      </c>
      <c r="F191" s="23">
        <f>Data!BO191</f>
        <v>40.9</v>
      </c>
      <c r="G191" s="3">
        <f>Data!Q191</f>
        <v>1</v>
      </c>
      <c r="H191" s="19"/>
      <c r="I191" s="14"/>
      <c r="J191" s="16">
        <f>Data!BS191</f>
        <v>1</v>
      </c>
      <c r="K191" s="39">
        <f t="shared" si="44"/>
        <v>1</v>
      </c>
      <c r="M191" s="23">
        <f t="shared" si="38"/>
        <v>356.99999985694888</v>
      </c>
      <c r="N191" s="23">
        <f t="shared" si="39"/>
        <v>372.4699998497963</v>
      </c>
    </row>
    <row r="192" spans="1:14" x14ac:dyDescent="0.2">
      <c r="A192" s="40">
        <v>35250</v>
      </c>
      <c r="B192" s="34">
        <v>186</v>
      </c>
      <c r="C192" s="16">
        <f>ROUND(Data!BJ192,2)</f>
        <v>22.41</v>
      </c>
      <c r="D192" s="3">
        <f>ROUND(Data!R192,1)</f>
        <v>13.8</v>
      </c>
      <c r="E192" s="3">
        <f>ROUND(Data!AF192,1)</f>
        <v>5.4</v>
      </c>
      <c r="F192" s="23">
        <f>Data!BO192</f>
        <v>28.4</v>
      </c>
      <c r="G192" s="3">
        <f>Data!Q192</f>
        <v>2</v>
      </c>
      <c r="H192" s="19"/>
      <c r="I192" s="14"/>
      <c r="J192" s="16">
        <f>Data!BS192</f>
        <v>0.8</v>
      </c>
      <c r="K192" s="39">
        <f t="shared" si="44"/>
        <v>2</v>
      </c>
      <c r="M192" s="23">
        <f t="shared" si="38"/>
        <v>357.79999985694889</v>
      </c>
      <c r="N192" s="23">
        <f t="shared" si="39"/>
        <v>374.4699998497963</v>
      </c>
    </row>
    <row r="193" spans="1:14" x14ac:dyDescent="0.2">
      <c r="A193" s="40">
        <v>35251</v>
      </c>
      <c r="B193" s="34">
        <v>187</v>
      </c>
      <c r="C193" s="16">
        <f>ROUND(Data!BJ193,2)</f>
        <v>22.82</v>
      </c>
      <c r="D193" s="3">
        <f>ROUND(Data!R193,1)</f>
        <v>11.7</v>
      </c>
      <c r="E193" s="3">
        <f>ROUND(Data!AF193,1)</f>
        <v>1.1000000000000001</v>
      </c>
      <c r="F193" s="23">
        <f>Data!BO193</f>
        <v>46.9</v>
      </c>
      <c r="G193" s="3">
        <f>Data!Q193</f>
        <v>9</v>
      </c>
      <c r="H193" s="19"/>
      <c r="I193" s="14"/>
      <c r="J193" s="16">
        <f>Data!BS193</f>
        <v>14.2</v>
      </c>
      <c r="K193" s="39">
        <f t="shared" si="44"/>
        <v>9</v>
      </c>
      <c r="M193" s="23">
        <f t="shared" si="38"/>
        <v>371.99999985694888</v>
      </c>
      <c r="N193" s="23">
        <f t="shared" si="39"/>
        <v>383.4699998497963</v>
      </c>
    </row>
    <row r="194" spans="1:14" x14ac:dyDescent="0.2">
      <c r="A194" s="40">
        <v>35252</v>
      </c>
      <c r="B194" s="34">
        <v>188</v>
      </c>
      <c r="C194" s="16">
        <f>ROUND(Data!BJ194,2)</f>
        <v>32.36</v>
      </c>
      <c r="D194" s="3">
        <f>ROUND(Data!R194,1)</f>
        <v>15.9</v>
      </c>
      <c r="E194" s="3">
        <f>ROUND(Data!AF194,1)</f>
        <v>1.4</v>
      </c>
      <c r="F194" s="23">
        <f>Data!BO194</f>
        <v>31.3</v>
      </c>
      <c r="G194" s="3">
        <f>Data!Q194</f>
        <v>0</v>
      </c>
      <c r="H194" s="19"/>
      <c r="I194" s="14"/>
      <c r="J194" s="16">
        <f>Data!BS194</f>
        <v>0</v>
      </c>
      <c r="K194" s="39">
        <f t="shared" si="44"/>
        <v>0</v>
      </c>
      <c r="M194" s="23">
        <f t="shared" si="38"/>
        <v>371.99999985694888</v>
      </c>
      <c r="N194" s="23">
        <f t="shared" si="39"/>
        <v>383.4699998497963</v>
      </c>
    </row>
    <row r="195" spans="1:14" x14ac:dyDescent="0.2">
      <c r="A195" s="40">
        <v>35253</v>
      </c>
      <c r="B195" s="34">
        <v>189</v>
      </c>
      <c r="C195" s="16">
        <f>ROUND(Data!BJ195,2)</f>
        <v>32.130000000000003</v>
      </c>
      <c r="D195" s="3">
        <f>ROUND(Data!R195,1)</f>
        <v>21.1</v>
      </c>
      <c r="E195" s="3">
        <f>ROUND(Data!AF195,1)</f>
        <v>0.7</v>
      </c>
      <c r="F195" s="23">
        <f>Data!BO195</f>
        <v>24.1</v>
      </c>
      <c r="G195" s="3">
        <f>Data!Q195</f>
        <v>0</v>
      </c>
      <c r="H195" s="19"/>
      <c r="I195" s="14"/>
      <c r="J195" s="16">
        <f>Data!BS195</f>
        <v>0</v>
      </c>
      <c r="K195" s="39">
        <f t="shared" si="44"/>
        <v>0</v>
      </c>
      <c r="M195" s="23">
        <f t="shared" ref="M195:M258" si="45">J195+M194</f>
        <v>371.99999985694888</v>
      </c>
      <c r="N195" s="23">
        <f t="shared" ref="N195:N258" si="46">K195+N194</f>
        <v>383.4699998497963</v>
      </c>
    </row>
    <row r="196" spans="1:14" x14ac:dyDescent="0.2">
      <c r="A196" s="40">
        <v>35254</v>
      </c>
      <c r="B196" s="34">
        <v>190</v>
      </c>
      <c r="C196" s="16">
        <f>ROUND(Data!BJ196,2)</f>
        <v>31.99</v>
      </c>
      <c r="D196" s="3">
        <f>ROUND(Data!R196,1)</f>
        <v>24.7</v>
      </c>
      <c r="E196" s="3">
        <f>ROUND(Data!AF196,1)</f>
        <v>3.6</v>
      </c>
      <c r="F196" s="23">
        <f>Data!BO196</f>
        <v>25.4</v>
      </c>
      <c r="G196" s="3">
        <f>Data!Q196</f>
        <v>0</v>
      </c>
      <c r="H196" s="19"/>
      <c r="I196" s="14"/>
      <c r="J196" s="16">
        <f>Data!BS196</f>
        <v>0</v>
      </c>
      <c r="K196" s="39">
        <f t="shared" si="44"/>
        <v>0</v>
      </c>
      <c r="M196" s="23">
        <f t="shared" si="45"/>
        <v>371.99999985694888</v>
      </c>
      <c r="N196" s="23">
        <f t="shared" si="46"/>
        <v>383.4699998497963</v>
      </c>
    </row>
    <row r="197" spans="1:14" x14ac:dyDescent="0.2">
      <c r="A197" s="40">
        <v>35255</v>
      </c>
      <c r="B197" s="34">
        <v>191</v>
      </c>
      <c r="C197" s="16">
        <f>ROUND(Data!BJ197,2)</f>
        <v>20.16</v>
      </c>
      <c r="D197" s="3">
        <f>ROUND(Data!R197,1)</f>
        <v>17.8</v>
      </c>
      <c r="E197" s="3">
        <f>ROUND(Data!AF197,1)</f>
        <v>4.8</v>
      </c>
      <c r="F197" s="23">
        <f>Data!BO197</f>
        <v>35.700000000000003</v>
      </c>
      <c r="G197" s="3">
        <f>Data!Q197</f>
        <v>0</v>
      </c>
      <c r="H197" s="19"/>
      <c r="I197" s="14"/>
      <c r="J197" s="16">
        <f>Data!BS197</f>
        <v>0</v>
      </c>
      <c r="K197" s="39">
        <f t="shared" si="44"/>
        <v>0</v>
      </c>
      <c r="M197" s="23">
        <f t="shared" si="45"/>
        <v>371.99999985694888</v>
      </c>
      <c r="N197" s="23">
        <f t="shared" si="46"/>
        <v>383.4699998497963</v>
      </c>
    </row>
    <row r="198" spans="1:14" x14ac:dyDescent="0.2">
      <c r="A198" s="40">
        <v>35256</v>
      </c>
      <c r="B198" s="34">
        <v>192</v>
      </c>
      <c r="C198" s="16">
        <f>ROUND(Data!BJ198,2)</f>
        <v>25.07</v>
      </c>
      <c r="D198" s="3">
        <f>ROUND(Data!R198,1)</f>
        <v>14.5</v>
      </c>
      <c r="E198" s="3">
        <f>ROUND(Data!AF198,1)</f>
        <v>1.6</v>
      </c>
      <c r="F198" s="23">
        <f>Data!BO198</f>
        <v>39.5</v>
      </c>
      <c r="G198" s="3">
        <f>Data!Q198</f>
        <v>0</v>
      </c>
      <c r="H198" s="19"/>
      <c r="I198" s="14"/>
      <c r="J198" s="16">
        <f>Data!BS198</f>
        <v>0</v>
      </c>
      <c r="K198" s="39">
        <f t="shared" si="44"/>
        <v>0</v>
      </c>
      <c r="M198" s="23">
        <f t="shared" si="45"/>
        <v>371.99999985694888</v>
      </c>
      <c r="N198" s="23">
        <f t="shared" si="46"/>
        <v>383.4699998497963</v>
      </c>
    </row>
    <row r="199" spans="1:14" x14ac:dyDescent="0.2">
      <c r="A199" s="40">
        <v>35257</v>
      </c>
      <c r="B199" s="34">
        <v>193</v>
      </c>
      <c r="C199" s="16">
        <f>ROUND(Data!BJ199,2)</f>
        <v>31.21</v>
      </c>
      <c r="D199" s="3">
        <f>ROUND(Data!R199,1)</f>
        <v>19</v>
      </c>
      <c r="E199" s="3">
        <f>ROUND(Data!AF199,1)</f>
        <v>-0.2</v>
      </c>
      <c r="F199" s="23">
        <f>Data!BO199</f>
        <v>34</v>
      </c>
      <c r="G199" s="3">
        <f>Data!Q199</f>
        <v>0</v>
      </c>
      <c r="H199" s="19"/>
      <c r="I199" s="14"/>
      <c r="J199" s="16">
        <f>Data!BS199</f>
        <v>0</v>
      </c>
      <c r="K199" s="39">
        <f t="shared" si="44"/>
        <v>0</v>
      </c>
      <c r="M199" s="23">
        <f t="shared" si="45"/>
        <v>371.99999985694888</v>
      </c>
      <c r="N199" s="23">
        <f t="shared" si="46"/>
        <v>383.4699998497963</v>
      </c>
    </row>
    <row r="200" spans="1:14" x14ac:dyDescent="0.2">
      <c r="A200" s="40">
        <v>35258</v>
      </c>
      <c r="B200" s="34">
        <v>194</v>
      </c>
      <c r="C200" s="16">
        <f>ROUND(Data!BJ200,2)</f>
        <v>31.02</v>
      </c>
      <c r="D200" s="3">
        <f>ROUND(Data!R200,1)</f>
        <v>22.5</v>
      </c>
      <c r="E200" s="3">
        <f>ROUND(Data!AF200,1)</f>
        <v>2.4</v>
      </c>
      <c r="F200" s="23">
        <f>Data!BO200</f>
        <v>25.5</v>
      </c>
      <c r="G200" s="3">
        <f>Data!Q200</f>
        <v>0</v>
      </c>
      <c r="H200" s="19"/>
      <c r="I200" s="14"/>
      <c r="J200" s="16">
        <f>Data!BS200</f>
        <v>0</v>
      </c>
      <c r="K200" s="39">
        <f t="shared" si="44"/>
        <v>0</v>
      </c>
      <c r="M200" s="23">
        <f t="shared" si="45"/>
        <v>371.99999985694888</v>
      </c>
      <c r="N200" s="23">
        <f t="shared" si="46"/>
        <v>383.4699998497963</v>
      </c>
    </row>
    <row r="201" spans="1:14" x14ac:dyDescent="0.2">
      <c r="A201" s="40">
        <v>35259</v>
      </c>
      <c r="B201" s="34">
        <v>195</v>
      </c>
      <c r="C201" s="16">
        <f>ROUND(Data!BJ201,2)</f>
        <v>31.59</v>
      </c>
      <c r="D201" s="3">
        <f>ROUND(Data!R201,1)</f>
        <v>22.5</v>
      </c>
      <c r="E201" s="3">
        <f>ROUND(Data!AF201,1)</f>
        <v>5.0999999999999996</v>
      </c>
      <c r="F201" s="23">
        <f>Data!BO201</f>
        <v>25.1</v>
      </c>
      <c r="G201" s="3">
        <f>Data!Q201</f>
        <v>0</v>
      </c>
      <c r="H201" s="19"/>
      <c r="I201" s="14"/>
      <c r="J201" s="16">
        <f>Data!BS201</f>
        <v>0</v>
      </c>
      <c r="K201" s="39">
        <f t="shared" si="44"/>
        <v>0</v>
      </c>
      <c r="M201" s="23">
        <f t="shared" si="45"/>
        <v>371.99999985694888</v>
      </c>
      <c r="N201" s="23">
        <f t="shared" si="46"/>
        <v>383.4699998497963</v>
      </c>
    </row>
    <row r="202" spans="1:14" x14ac:dyDescent="0.2">
      <c r="A202" s="40">
        <v>35260</v>
      </c>
      <c r="B202" s="34">
        <v>196</v>
      </c>
      <c r="C202" s="16">
        <f>ROUND(Data!BJ202,2)</f>
        <v>31.17</v>
      </c>
      <c r="D202" s="3">
        <f>ROUND(Data!R202,1)</f>
        <v>23.7</v>
      </c>
      <c r="E202" s="3">
        <f>ROUND(Data!AF202,1)</f>
        <v>4.3</v>
      </c>
      <c r="F202" s="23">
        <f>Data!BO202</f>
        <v>27.8</v>
      </c>
      <c r="G202" s="3">
        <f>Data!Q202</f>
        <v>0</v>
      </c>
      <c r="H202" s="19"/>
      <c r="I202" s="14"/>
      <c r="J202" s="16">
        <f>Data!BS202</f>
        <v>0</v>
      </c>
      <c r="K202" s="39">
        <f t="shared" si="44"/>
        <v>0</v>
      </c>
      <c r="M202" s="23">
        <f t="shared" si="45"/>
        <v>371.99999985694888</v>
      </c>
      <c r="N202" s="23">
        <f t="shared" si="46"/>
        <v>383.4699998497963</v>
      </c>
    </row>
    <row r="203" spans="1:14" x14ac:dyDescent="0.2">
      <c r="A203" s="40">
        <v>35261</v>
      </c>
      <c r="B203" s="34">
        <v>197</v>
      </c>
      <c r="C203" s="16">
        <f>ROUND(Data!BJ203,2)</f>
        <v>31.43</v>
      </c>
      <c r="D203" s="3">
        <f>ROUND(Data!R203,1)</f>
        <v>24.2</v>
      </c>
      <c r="E203" s="3">
        <f>ROUND(Data!AF203,1)</f>
        <v>6.3</v>
      </c>
      <c r="F203" s="23">
        <f>Data!BO203</f>
        <v>26.2</v>
      </c>
      <c r="G203" s="3">
        <f>Data!Q203</f>
        <v>0</v>
      </c>
      <c r="H203" s="19"/>
      <c r="I203" s="14"/>
      <c r="J203" s="16">
        <f>Data!BS203</f>
        <v>0</v>
      </c>
      <c r="K203" s="39">
        <f t="shared" si="44"/>
        <v>0</v>
      </c>
      <c r="M203" s="23">
        <f t="shared" si="45"/>
        <v>371.99999985694888</v>
      </c>
      <c r="N203" s="23">
        <f t="shared" si="46"/>
        <v>383.4699998497963</v>
      </c>
    </row>
    <row r="204" spans="1:14" x14ac:dyDescent="0.2">
      <c r="A204" s="40">
        <v>35262</v>
      </c>
      <c r="B204" s="34">
        <v>198</v>
      </c>
      <c r="C204" s="16">
        <f>ROUND(Data!BJ204,2)</f>
        <v>15.45</v>
      </c>
      <c r="D204" s="3">
        <f>ROUND(Data!R204,1)</f>
        <v>16.3</v>
      </c>
      <c r="E204" s="3">
        <f>ROUND(Data!AF204,1)</f>
        <v>7.7</v>
      </c>
      <c r="F204" s="23">
        <f>Data!BO204</f>
        <v>43.2</v>
      </c>
      <c r="G204" s="3">
        <f>Data!Q204</f>
        <v>0</v>
      </c>
      <c r="H204" s="19"/>
      <c r="I204" s="14"/>
      <c r="J204" s="16">
        <f>Data!BS204</f>
        <v>0</v>
      </c>
      <c r="K204" s="39">
        <f t="shared" si="44"/>
        <v>0</v>
      </c>
      <c r="M204" s="23">
        <f t="shared" si="45"/>
        <v>371.99999985694888</v>
      </c>
      <c r="N204" s="23">
        <f t="shared" si="46"/>
        <v>383.4699998497963</v>
      </c>
    </row>
    <row r="205" spans="1:14" x14ac:dyDescent="0.2">
      <c r="A205" s="40">
        <v>35263</v>
      </c>
      <c r="B205" s="34">
        <v>199</v>
      </c>
      <c r="C205" s="16">
        <f>ROUND(Data!BJ205,2)</f>
        <v>19.41</v>
      </c>
      <c r="D205" s="3">
        <f>ROUND(Data!R205,1)</f>
        <v>18.8</v>
      </c>
      <c r="E205" s="3">
        <f>ROUND(Data!AF205,1)</f>
        <v>3.3</v>
      </c>
      <c r="F205" s="23">
        <f>Data!BO205</f>
        <v>38.6</v>
      </c>
      <c r="G205" s="3">
        <f>Data!Q205</f>
        <v>17</v>
      </c>
      <c r="H205" s="19"/>
      <c r="I205" s="14"/>
      <c r="J205" s="16">
        <f>Data!BS205</f>
        <v>17</v>
      </c>
      <c r="K205" s="39">
        <f t="shared" si="44"/>
        <v>17</v>
      </c>
      <c r="M205" s="23">
        <f t="shared" si="45"/>
        <v>388.99999985694888</v>
      </c>
      <c r="N205" s="23">
        <f t="shared" si="46"/>
        <v>400.4699998497963</v>
      </c>
    </row>
    <row r="206" spans="1:14" x14ac:dyDescent="0.2">
      <c r="A206" s="40">
        <v>35264</v>
      </c>
      <c r="B206" s="34">
        <v>200</v>
      </c>
      <c r="C206" s="16">
        <f>ROUND(Data!BJ206,2)</f>
        <v>0</v>
      </c>
      <c r="D206" s="3">
        <f>ROUND(Data!R206,1)</f>
        <v>10</v>
      </c>
      <c r="E206" s="3">
        <f>ROUND(Data!AF206,1)</f>
        <v>-0.6</v>
      </c>
      <c r="F206" s="23">
        <f>Data!BO206</f>
        <v>0</v>
      </c>
      <c r="G206" s="3">
        <f>Data!Q206</f>
        <v>0</v>
      </c>
      <c r="H206" s="19"/>
      <c r="I206" s="14"/>
      <c r="J206" s="16">
        <f>Data!BS206</f>
        <v>9.1</v>
      </c>
      <c r="K206" s="35">
        <f t="shared" ref="K206:K217" si="47">J206*L$3</f>
        <v>9.5549999999999997</v>
      </c>
      <c r="M206" s="23">
        <f t="shared" si="45"/>
        <v>398.0999998569489</v>
      </c>
      <c r="N206" s="23">
        <f t="shared" si="46"/>
        <v>410.0249998497963</v>
      </c>
    </row>
    <row r="207" spans="1:14" x14ac:dyDescent="0.2">
      <c r="A207" s="40">
        <v>35265</v>
      </c>
      <c r="B207" s="34">
        <v>201</v>
      </c>
      <c r="C207" s="16">
        <f>ROUND(Data!BJ207,2)</f>
        <v>0</v>
      </c>
      <c r="D207" s="3">
        <f>ROUND(Data!R207,1)</f>
        <v>8.5</v>
      </c>
      <c r="E207" s="3">
        <f>ROUND(Data!AF207,1)</f>
        <v>-0.3</v>
      </c>
      <c r="F207" s="23">
        <f>Data!BO207</f>
        <v>0</v>
      </c>
      <c r="G207" s="3">
        <f>Data!Q207</f>
        <v>0</v>
      </c>
      <c r="H207" s="19"/>
      <c r="I207" s="14"/>
      <c r="J207" s="16">
        <f>Data!BS207</f>
        <v>1.5</v>
      </c>
      <c r="K207" s="35">
        <f t="shared" si="47"/>
        <v>1.5750000000000002</v>
      </c>
      <c r="M207" s="23">
        <f t="shared" si="45"/>
        <v>399.5999998569489</v>
      </c>
      <c r="N207" s="23">
        <f t="shared" si="46"/>
        <v>411.59999984979629</v>
      </c>
    </row>
    <row r="208" spans="1:14" x14ac:dyDescent="0.2">
      <c r="A208" s="40">
        <v>35266</v>
      </c>
      <c r="B208" s="34">
        <v>202</v>
      </c>
      <c r="C208" s="16">
        <f>ROUND(Data!BJ208,2)</f>
        <v>0</v>
      </c>
      <c r="D208" s="3">
        <f>ROUND(Data!R208,1)</f>
        <v>10.8</v>
      </c>
      <c r="E208" s="3">
        <f>ROUND(Data!AF208,1)</f>
        <v>1.6</v>
      </c>
      <c r="F208" s="23">
        <f>Data!BO208</f>
        <v>0</v>
      </c>
      <c r="G208" s="3">
        <f>Data!Q208</f>
        <v>0</v>
      </c>
      <c r="H208" s="19"/>
      <c r="I208" s="14"/>
      <c r="J208" s="16">
        <f>Data!BS208</f>
        <v>0.3</v>
      </c>
      <c r="K208" s="35">
        <f t="shared" si="47"/>
        <v>0.315</v>
      </c>
      <c r="M208" s="23">
        <f t="shared" si="45"/>
        <v>399.89999985694891</v>
      </c>
      <c r="N208" s="23">
        <f t="shared" si="46"/>
        <v>411.91499984979629</v>
      </c>
    </row>
    <row r="209" spans="1:14" x14ac:dyDescent="0.2">
      <c r="A209" s="40">
        <v>35267</v>
      </c>
      <c r="B209" s="34">
        <v>203</v>
      </c>
      <c r="C209" s="16">
        <f>ROUND(Data!BJ209,2)</f>
        <v>0</v>
      </c>
      <c r="D209" s="3">
        <f>ROUND(Data!R209,1)</f>
        <v>16.600000000000001</v>
      </c>
      <c r="E209" s="3">
        <f>ROUND(Data!AF209,1)</f>
        <v>2.8</v>
      </c>
      <c r="F209" s="23">
        <f>Data!BO209</f>
        <v>0</v>
      </c>
      <c r="G209" s="3">
        <f>Data!Q209</f>
        <v>0</v>
      </c>
      <c r="H209" s="19"/>
      <c r="I209" s="14"/>
      <c r="J209" s="16">
        <f>Data!BS209</f>
        <v>0</v>
      </c>
      <c r="K209" s="35">
        <f t="shared" si="47"/>
        <v>0</v>
      </c>
      <c r="M209" s="23">
        <f t="shared" si="45"/>
        <v>399.89999985694891</v>
      </c>
      <c r="N209" s="23">
        <f t="shared" si="46"/>
        <v>411.91499984979629</v>
      </c>
    </row>
    <row r="210" spans="1:14" x14ac:dyDescent="0.2">
      <c r="A210" s="40">
        <v>35268</v>
      </c>
      <c r="B210" s="34">
        <v>204</v>
      </c>
      <c r="C210" s="16">
        <f>ROUND(Data!BJ210,2)</f>
        <v>0</v>
      </c>
      <c r="D210" s="3">
        <f>ROUND(Data!R210,1)</f>
        <v>21.8</v>
      </c>
      <c r="E210" s="3">
        <f>ROUND(Data!AF210,1)</f>
        <v>3.7</v>
      </c>
      <c r="F210" s="23">
        <f>Data!BO210</f>
        <v>0</v>
      </c>
      <c r="G210" s="3">
        <f>Data!Q210</f>
        <v>0</v>
      </c>
      <c r="H210" s="19"/>
      <c r="I210" s="14"/>
      <c r="J210" s="16">
        <f>Data!BS210</f>
        <v>0</v>
      </c>
      <c r="K210" s="35">
        <f t="shared" si="47"/>
        <v>0</v>
      </c>
      <c r="M210" s="23">
        <f t="shared" si="45"/>
        <v>399.89999985694891</v>
      </c>
      <c r="N210" s="23">
        <f t="shared" si="46"/>
        <v>411.91499984979629</v>
      </c>
    </row>
    <row r="211" spans="1:14" x14ac:dyDescent="0.2">
      <c r="A211" s="40">
        <v>35269</v>
      </c>
      <c r="B211" s="34">
        <v>205</v>
      </c>
      <c r="C211" s="16">
        <f>ROUND(Data!BJ211,2)</f>
        <v>0</v>
      </c>
      <c r="D211" s="3">
        <f>ROUND(Data!R211,1)</f>
        <v>22.5</v>
      </c>
      <c r="E211" s="3">
        <f>ROUND(Data!AF211,1)</f>
        <v>6.7</v>
      </c>
      <c r="F211" s="23">
        <f>Data!BO211</f>
        <v>0</v>
      </c>
      <c r="G211" s="3">
        <f>Data!Q211</f>
        <v>0</v>
      </c>
      <c r="H211" s="19"/>
      <c r="I211" s="14"/>
      <c r="J211" s="16">
        <f>Data!BS211</f>
        <v>0</v>
      </c>
      <c r="K211" s="35">
        <f t="shared" si="47"/>
        <v>0</v>
      </c>
      <c r="M211" s="23">
        <f t="shared" si="45"/>
        <v>399.89999985694891</v>
      </c>
      <c r="N211" s="23">
        <f t="shared" si="46"/>
        <v>411.91499984979629</v>
      </c>
    </row>
    <row r="212" spans="1:14" x14ac:dyDescent="0.2">
      <c r="A212" s="40">
        <v>35270</v>
      </c>
      <c r="B212" s="34">
        <v>206</v>
      </c>
      <c r="C212" s="16">
        <f>ROUND(Data!BJ212,2)</f>
        <v>0</v>
      </c>
      <c r="D212" s="3">
        <f>ROUND(Data!R212,1)</f>
        <v>23.8</v>
      </c>
      <c r="E212" s="3">
        <f>ROUND(Data!AF212,1)</f>
        <v>7.3</v>
      </c>
      <c r="F212" s="23">
        <f>Data!BO212</f>
        <v>0</v>
      </c>
      <c r="G212" s="3">
        <f>Data!Q212</f>
        <v>0</v>
      </c>
      <c r="H212" s="19"/>
      <c r="I212" s="14"/>
      <c r="J212" s="16">
        <f>Data!BS212</f>
        <v>0</v>
      </c>
      <c r="K212" s="35">
        <f t="shared" si="47"/>
        <v>0</v>
      </c>
      <c r="M212" s="23">
        <f t="shared" si="45"/>
        <v>399.89999985694891</v>
      </c>
      <c r="N212" s="23">
        <f t="shared" si="46"/>
        <v>411.91499984979629</v>
      </c>
    </row>
    <row r="213" spans="1:14" x14ac:dyDescent="0.2">
      <c r="A213" s="40">
        <v>35271</v>
      </c>
      <c r="B213" s="34">
        <v>207</v>
      </c>
      <c r="C213" s="16">
        <f>ROUND(Data!BJ213,2)</f>
        <v>0</v>
      </c>
      <c r="D213" s="3">
        <f>ROUND(Data!R213,1)</f>
        <v>21.9</v>
      </c>
      <c r="E213" s="3">
        <f>ROUND(Data!AF213,1)</f>
        <v>7.1</v>
      </c>
      <c r="F213" s="23">
        <f>Data!BO213</f>
        <v>0</v>
      </c>
      <c r="G213" s="3">
        <f>Data!Q213</f>
        <v>0</v>
      </c>
      <c r="H213" s="19"/>
      <c r="I213" s="14"/>
      <c r="J213" s="16">
        <f>Data!BS213</f>
        <v>0</v>
      </c>
      <c r="K213" s="35">
        <f t="shared" si="47"/>
        <v>0</v>
      </c>
      <c r="M213" s="23">
        <f t="shared" si="45"/>
        <v>399.89999985694891</v>
      </c>
      <c r="N213" s="23">
        <f t="shared" si="46"/>
        <v>411.91499984979629</v>
      </c>
    </row>
    <row r="214" spans="1:14" x14ac:dyDescent="0.2">
      <c r="A214" s="40">
        <v>35272</v>
      </c>
      <c r="B214" s="34">
        <v>208</v>
      </c>
      <c r="C214" s="16">
        <f>ROUND(Data!BJ214,2)</f>
        <v>0</v>
      </c>
      <c r="D214" s="3">
        <f>ROUND(Data!R214,1)</f>
        <v>23.1</v>
      </c>
      <c r="E214" s="3">
        <f>ROUND(Data!AF214,1)</f>
        <v>6.4</v>
      </c>
      <c r="F214" s="23">
        <f>Data!BO214</f>
        <v>0</v>
      </c>
      <c r="G214" s="3">
        <f>Data!Q214</f>
        <v>0</v>
      </c>
      <c r="H214" s="19"/>
      <c r="I214" s="14"/>
      <c r="J214" s="16">
        <f>Data!BS214</f>
        <v>0</v>
      </c>
      <c r="K214" s="35">
        <f t="shared" si="47"/>
        <v>0</v>
      </c>
      <c r="M214" s="23">
        <f t="shared" si="45"/>
        <v>399.89999985694891</v>
      </c>
      <c r="N214" s="23">
        <f t="shared" si="46"/>
        <v>411.91499984979629</v>
      </c>
    </row>
    <row r="215" spans="1:14" x14ac:dyDescent="0.2">
      <c r="A215" s="40">
        <v>35273</v>
      </c>
      <c r="B215" s="34">
        <v>209</v>
      </c>
      <c r="C215" s="16">
        <f>ROUND(Data!BJ215,2)</f>
        <v>0</v>
      </c>
      <c r="D215" s="3">
        <f>ROUND(Data!R215,1)</f>
        <v>24.9</v>
      </c>
      <c r="E215" s="3">
        <f>ROUND(Data!AF215,1)</f>
        <v>7.2</v>
      </c>
      <c r="F215" s="23">
        <f>Data!BO215</f>
        <v>0</v>
      </c>
      <c r="G215" s="3">
        <f>Data!Q215</f>
        <v>0</v>
      </c>
      <c r="H215" s="19"/>
      <c r="I215" s="14"/>
      <c r="J215" s="16">
        <f>Data!BS215</f>
        <v>0</v>
      </c>
      <c r="K215" s="35">
        <f t="shared" si="47"/>
        <v>0</v>
      </c>
      <c r="M215" s="23">
        <f t="shared" si="45"/>
        <v>399.89999985694891</v>
      </c>
      <c r="N215" s="23">
        <f t="shared" si="46"/>
        <v>411.91499984979629</v>
      </c>
    </row>
    <row r="216" spans="1:14" x14ac:dyDescent="0.2">
      <c r="A216" s="40">
        <v>35274</v>
      </c>
      <c r="B216" s="34">
        <v>210</v>
      </c>
      <c r="C216" s="16">
        <f>ROUND(Data!BJ216,2)</f>
        <v>0</v>
      </c>
      <c r="D216" s="3">
        <f>ROUND(Data!R216,1)</f>
        <v>26.8</v>
      </c>
      <c r="E216" s="3">
        <f>ROUND(Data!AF216,1)</f>
        <v>9.8000000000000007</v>
      </c>
      <c r="F216" s="23">
        <f>Data!BO216</f>
        <v>0</v>
      </c>
      <c r="G216" s="3">
        <f>Data!Q216</f>
        <v>0</v>
      </c>
      <c r="H216" s="19"/>
      <c r="I216" s="14"/>
      <c r="J216" s="16">
        <f>Data!BS216</f>
        <v>0</v>
      </c>
      <c r="K216" s="35">
        <f t="shared" si="47"/>
        <v>0</v>
      </c>
      <c r="M216" s="23">
        <f t="shared" si="45"/>
        <v>399.89999985694891</v>
      </c>
      <c r="N216" s="23">
        <f t="shared" si="46"/>
        <v>411.91499984979629</v>
      </c>
    </row>
    <row r="217" spans="1:14" x14ac:dyDescent="0.2">
      <c r="A217" s="40">
        <v>35275</v>
      </c>
      <c r="B217" s="34">
        <v>211</v>
      </c>
      <c r="C217" s="16">
        <f>ROUND(Data!BJ217,2)</f>
        <v>0</v>
      </c>
      <c r="D217" s="3">
        <f>ROUND(Data!R217,1)</f>
        <v>21.2</v>
      </c>
      <c r="E217" s="3">
        <f>ROUND(Data!AF217,1)</f>
        <v>9.1999999999999993</v>
      </c>
      <c r="F217" s="23">
        <f>Data!BO217</f>
        <v>0</v>
      </c>
      <c r="G217" s="3">
        <f>Data!Q217</f>
        <v>0</v>
      </c>
      <c r="H217" s="19"/>
      <c r="I217" s="14"/>
      <c r="J217" s="16">
        <f>Data!BS217</f>
        <v>0</v>
      </c>
      <c r="K217" s="35">
        <f t="shared" si="47"/>
        <v>0</v>
      </c>
      <c r="M217" s="23">
        <f t="shared" si="45"/>
        <v>399.89999985694891</v>
      </c>
      <c r="N217" s="23">
        <f t="shared" si="46"/>
        <v>411.91499984979629</v>
      </c>
    </row>
    <row r="218" spans="1:14" x14ac:dyDescent="0.2">
      <c r="A218" s="40">
        <v>35276</v>
      </c>
      <c r="B218" s="34">
        <v>212</v>
      </c>
      <c r="C218" s="16">
        <f>ROUND(Data!BJ218,2)</f>
        <v>25.7</v>
      </c>
      <c r="D218" s="3">
        <f>ROUND(Data!R218,1)</f>
        <v>22.3</v>
      </c>
      <c r="E218" s="3">
        <f>ROUND(Data!AF218,1)</f>
        <v>5.7</v>
      </c>
      <c r="F218" s="23">
        <f>Data!BO218</f>
        <v>22.9</v>
      </c>
      <c r="G218" s="3">
        <f>Data!Q218</f>
        <v>0</v>
      </c>
      <c r="H218" s="19"/>
      <c r="I218" s="14"/>
      <c r="J218" s="16">
        <f>Data!BS218</f>
        <v>0</v>
      </c>
      <c r="K218" s="39">
        <f t="shared" si="44"/>
        <v>0</v>
      </c>
      <c r="M218" s="23">
        <f t="shared" si="45"/>
        <v>399.89999985694891</v>
      </c>
      <c r="N218" s="23">
        <f t="shared" si="46"/>
        <v>411.91499984979629</v>
      </c>
    </row>
    <row r="219" spans="1:14" x14ac:dyDescent="0.2">
      <c r="A219" s="40">
        <v>35277</v>
      </c>
      <c r="B219" s="34">
        <v>213</v>
      </c>
      <c r="C219" s="16">
        <f>ROUND(Data!BJ219,2)</f>
        <v>29.37</v>
      </c>
      <c r="D219" s="3">
        <f>ROUND(Data!R219,1)</f>
        <v>17.8</v>
      </c>
      <c r="E219" s="3">
        <f>ROUND(Data!AF219,1)</f>
        <v>2</v>
      </c>
      <c r="F219" s="23">
        <f>Data!BO219</f>
        <v>24</v>
      </c>
      <c r="G219" s="3">
        <f>Data!Q219</f>
        <v>0</v>
      </c>
      <c r="H219" s="19"/>
      <c r="I219" s="14"/>
      <c r="J219" s="16">
        <f>Data!BS219</f>
        <v>0</v>
      </c>
      <c r="K219" s="39">
        <f t="shared" si="44"/>
        <v>0</v>
      </c>
      <c r="M219" s="23">
        <f t="shared" si="45"/>
        <v>399.89999985694891</v>
      </c>
      <c r="N219" s="23">
        <f t="shared" si="46"/>
        <v>411.91499984979629</v>
      </c>
    </row>
    <row r="220" spans="1:14" x14ac:dyDescent="0.2">
      <c r="A220" s="40">
        <v>35278</v>
      </c>
      <c r="B220" s="34">
        <v>214</v>
      </c>
      <c r="C220" s="16">
        <f>ROUND(Data!BJ220,2)</f>
        <v>29.26</v>
      </c>
      <c r="D220" s="3">
        <f>ROUND(Data!R220,1)</f>
        <v>20.5</v>
      </c>
      <c r="E220" s="3">
        <f>ROUND(Data!AF220,1)</f>
        <v>0.9</v>
      </c>
      <c r="F220" s="23">
        <f>Data!BO220</f>
        <v>20.100000000000001</v>
      </c>
      <c r="G220" s="3">
        <f>Data!Q220</f>
        <v>0</v>
      </c>
      <c r="H220" s="19"/>
      <c r="I220" s="14"/>
      <c r="J220" s="16">
        <f>Data!BS220</f>
        <v>0</v>
      </c>
      <c r="K220" s="39">
        <f t="shared" si="44"/>
        <v>0</v>
      </c>
      <c r="M220" s="23">
        <f t="shared" si="45"/>
        <v>399.89999985694891</v>
      </c>
      <c r="N220" s="23">
        <f t="shared" si="46"/>
        <v>411.91499984979629</v>
      </c>
    </row>
    <row r="221" spans="1:14" x14ac:dyDescent="0.2">
      <c r="A221" s="40">
        <v>35279</v>
      </c>
      <c r="B221" s="34">
        <v>215</v>
      </c>
      <c r="C221" s="16">
        <f>ROUND(Data!BJ221,2)</f>
        <v>11.93</v>
      </c>
      <c r="D221" s="3">
        <f>ROUND(Data!R221,1)</f>
        <v>10.7</v>
      </c>
      <c r="E221" s="3">
        <f>ROUND(Data!AF221,1)</f>
        <v>2</v>
      </c>
      <c r="F221" s="23">
        <f>Data!BO221</f>
        <v>55</v>
      </c>
      <c r="G221" s="3">
        <f>Data!Q221</f>
        <v>5</v>
      </c>
      <c r="H221" s="19"/>
      <c r="I221" s="14"/>
      <c r="J221" s="16">
        <f>Data!BS221</f>
        <v>4.5999999999999996</v>
      </c>
      <c r="K221" s="39">
        <f t="shared" si="44"/>
        <v>5</v>
      </c>
      <c r="M221" s="23">
        <f t="shared" si="45"/>
        <v>404.49999985694893</v>
      </c>
      <c r="N221" s="23">
        <f t="shared" si="46"/>
        <v>416.91499984979629</v>
      </c>
    </row>
    <row r="222" spans="1:14" x14ac:dyDescent="0.2">
      <c r="A222" s="40">
        <v>35280</v>
      </c>
      <c r="B222" s="34">
        <v>216</v>
      </c>
      <c r="C222" s="16">
        <f>ROUND(Data!BJ222,2)</f>
        <v>6.08</v>
      </c>
      <c r="D222" s="3">
        <f>ROUND(Data!R222,1)</f>
        <v>9.6</v>
      </c>
      <c r="E222" s="3">
        <f>ROUND(Data!AF222,1)</f>
        <v>5.3</v>
      </c>
      <c r="F222" s="23">
        <f>Data!BO222</f>
        <v>82.6</v>
      </c>
      <c r="G222" s="3">
        <f>Data!Q222</f>
        <v>9</v>
      </c>
      <c r="H222" s="19"/>
      <c r="I222" s="14"/>
      <c r="J222" s="16">
        <f>Data!BS222</f>
        <v>4.8</v>
      </c>
      <c r="K222" s="39">
        <f t="shared" si="44"/>
        <v>9</v>
      </c>
      <c r="M222" s="23">
        <f t="shared" si="45"/>
        <v>409.29999985694894</v>
      </c>
      <c r="N222" s="23">
        <f t="shared" si="46"/>
        <v>425.91499984979629</v>
      </c>
    </row>
    <row r="223" spans="1:14" x14ac:dyDescent="0.2">
      <c r="A223" s="40">
        <v>35281</v>
      </c>
      <c r="B223" s="34">
        <v>217</v>
      </c>
      <c r="C223" s="16">
        <f>ROUND(Data!BJ223,2)</f>
        <v>4.17</v>
      </c>
      <c r="D223" s="3">
        <f>ROUND(Data!R223,1)</f>
        <v>7.8</v>
      </c>
      <c r="E223" s="3">
        <f>ROUND(Data!AF223,1)</f>
        <v>3.5</v>
      </c>
      <c r="F223" s="23">
        <f>Data!BO223</f>
        <v>85.4</v>
      </c>
      <c r="G223" s="3">
        <f>Data!Q223</f>
        <v>29</v>
      </c>
      <c r="H223" s="19"/>
      <c r="I223" s="14"/>
      <c r="J223" s="16">
        <f>Data!BS223</f>
        <v>23.1</v>
      </c>
      <c r="K223" s="39">
        <f t="shared" ref="K223:K251" si="48">G223</f>
        <v>29</v>
      </c>
      <c r="M223" s="23">
        <f t="shared" si="45"/>
        <v>432.39999985694897</v>
      </c>
      <c r="N223" s="23">
        <f t="shared" si="46"/>
        <v>454.91499984979629</v>
      </c>
    </row>
    <row r="224" spans="1:14" x14ac:dyDescent="0.2">
      <c r="A224" s="40">
        <v>35282</v>
      </c>
      <c r="B224" s="34">
        <v>218</v>
      </c>
      <c r="C224" s="16">
        <f>ROUND(Data!BJ224,2)</f>
        <v>4.3899999999999997</v>
      </c>
      <c r="D224" s="3">
        <f>ROUND(Data!R224,1)</f>
        <v>6.2</v>
      </c>
      <c r="E224" s="3">
        <f>ROUND(Data!AF224,1)</f>
        <v>3.5</v>
      </c>
      <c r="F224" s="23">
        <f>Data!BO224</f>
        <v>97.9</v>
      </c>
      <c r="G224" s="3">
        <f>Data!Q224</f>
        <v>5</v>
      </c>
      <c r="H224" s="19"/>
      <c r="I224" s="14"/>
      <c r="J224" s="16">
        <f>Data!BS224</f>
        <v>1.8</v>
      </c>
      <c r="K224" s="39">
        <f t="shared" si="48"/>
        <v>5</v>
      </c>
      <c r="M224" s="23">
        <f t="shared" si="45"/>
        <v>434.19999985694898</v>
      </c>
      <c r="N224" s="23">
        <f t="shared" si="46"/>
        <v>459.91499984979629</v>
      </c>
    </row>
    <row r="225" spans="1:14" x14ac:dyDescent="0.2">
      <c r="A225" s="40">
        <v>35283</v>
      </c>
      <c r="B225" s="34">
        <v>219</v>
      </c>
      <c r="C225" s="16">
        <f>ROUND(Data!BJ225,2)</f>
        <v>20.420000000000002</v>
      </c>
      <c r="D225" s="3">
        <f>ROUND(Data!R225,1)</f>
        <v>15.7</v>
      </c>
      <c r="E225" s="3">
        <f>ROUND(Data!AF225,1)</f>
        <v>4.0999999999999996</v>
      </c>
      <c r="F225" s="23">
        <f>Data!BO225</f>
        <v>49.8</v>
      </c>
      <c r="G225" s="3">
        <f>Data!Q225</f>
        <v>0</v>
      </c>
      <c r="H225" s="19"/>
      <c r="I225" s="14"/>
      <c r="J225" s="16">
        <f>Data!BS225</f>
        <v>0</v>
      </c>
      <c r="K225" s="39">
        <f t="shared" si="48"/>
        <v>0</v>
      </c>
      <c r="M225" s="23">
        <f t="shared" si="45"/>
        <v>434.19999985694898</v>
      </c>
      <c r="N225" s="23">
        <f t="shared" si="46"/>
        <v>459.91499984979629</v>
      </c>
    </row>
    <row r="226" spans="1:14" x14ac:dyDescent="0.2">
      <c r="A226" s="40">
        <v>35284</v>
      </c>
      <c r="B226" s="34">
        <v>220</v>
      </c>
      <c r="C226" s="16">
        <f>ROUND(Data!BJ226,2)</f>
        <v>28.62</v>
      </c>
      <c r="D226" s="3">
        <f>ROUND(Data!R226,1)</f>
        <v>19.8</v>
      </c>
      <c r="E226" s="3">
        <f>ROUND(Data!AF226,1)</f>
        <v>2.4</v>
      </c>
      <c r="F226" s="23">
        <f>Data!BO226</f>
        <v>38.700000000000003</v>
      </c>
      <c r="G226" s="3">
        <f>Data!Q226</f>
        <v>0</v>
      </c>
      <c r="H226" s="19"/>
      <c r="I226" s="14"/>
      <c r="J226" s="16">
        <f>Data!BS226</f>
        <v>0</v>
      </c>
      <c r="K226" s="39">
        <f t="shared" si="48"/>
        <v>0</v>
      </c>
      <c r="M226" s="23">
        <f t="shared" si="45"/>
        <v>434.19999985694898</v>
      </c>
      <c r="N226" s="23">
        <f t="shared" si="46"/>
        <v>459.91499984979629</v>
      </c>
    </row>
    <row r="227" spans="1:14" x14ac:dyDescent="0.2">
      <c r="A227" s="40">
        <v>35285</v>
      </c>
      <c r="B227" s="34">
        <v>221</v>
      </c>
      <c r="C227" s="16">
        <f>ROUND(Data!BJ227,2)</f>
        <v>27.33</v>
      </c>
      <c r="D227" s="3">
        <f>ROUND(Data!R227,1)</f>
        <v>23.2</v>
      </c>
      <c r="E227" s="3">
        <f>ROUND(Data!AF227,1)</f>
        <v>3.2</v>
      </c>
      <c r="F227" s="23">
        <f>Data!BO227</f>
        <v>24</v>
      </c>
      <c r="G227" s="3">
        <f>Data!Q227</f>
        <v>0</v>
      </c>
      <c r="H227" s="19"/>
      <c r="I227" s="14"/>
      <c r="J227" s="16">
        <f>Data!BS227</f>
        <v>0</v>
      </c>
      <c r="K227" s="39">
        <f t="shared" si="48"/>
        <v>0</v>
      </c>
      <c r="M227" s="23">
        <f t="shared" si="45"/>
        <v>434.19999985694898</v>
      </c>
      <c r="N227" s="23">
        <f t="shared" si="46"/>
        <v>459.91499984979629</v>
      </c>
    </row>
    <row r="228" spans="1:14" x14ac:dyDescent="0.2">
      <c r="A228" s="40">
        <v>35286</v>
      </c>
      <c r="B228" s="34">
        <v>222</v>
      </c>
      <c r="C228" s="16">
        <f>ROUND(Data!BJ228,2)</f>
        <v>26.23</v>
      </c>
      <c r="D228" s="3">
        <f>ROUND(Data!R228,1)</f>
        <v>22.4</v>
      </c>
      <c r="E228" s="3">
        <f>ROUND(Data!AF228,1)</f>
        <v>3.9</v>
      </c>
      <c r="F228" s="23">
        <f>Data!BO228</f>
        <v>25.8</v>
      </c>
      <c r="G228" s="3">
        <f>Data!Q228</f>
        <v>0</v>
      </c>
      <c r="H228" s="19"/>
      <c r="I228" s="14"/>
      <c r="J228" s="16">
        <f>Data!BS228</f>
        <v>0</v>
      </c>
      <c r="K228" s="39">
        <f t="shared" si="48"/>
        <v>0</v>
      </c>
      <c r="M228" s="23">
        <f t="shared" si="45"/>
        <v>434.19999985694898</v>
      </c>
      <c r="N228" s="23">
        <f t="shared" si="46"/>
        <v>459.91499984979629</v>
      </c>
    </row>
    <row r="229" spans="1:14" x14ac:dyDescent="0.2">
      <c r="A229" s="40">
        <v>35287</v>
      </c>
      <c r="B229" s="34">
        <v>223</v>
      </c>
      <c r="C229" s="16">
        <f>ROUND(Data!BJ229,2)</f>
        <v>26.42</v>
      </c>
      <c r="D229" s="3">
        <f>ROUND(Data!R229,1)</f>
        <v>25</v>
      </c>
      <c r="E229" s="3">
        <f>ROUND(Data!AF229,1)</f>
        <v>4</v>
      </c>
      <c r="F229" s="23">
        <f>Data!BO229</f>
        <v>21.5</v>
      </c>
      <c r="G229" s="3">
        <f>Data!Q229</f>
        <v>0</v>
      </c>
      <c r="H229" s="19"/>
      <c r="I229" s="14"/>
      <c r="J229" s="16">
        <f>Data!BS229</f>
        <v>0</v>
      </c>
      <c r="K229" s="39">
        <f t="shared" si="48"/>
        <v>0</v>
      </c>
      <c r="M229" s="23">
        <f t="shared" si="45"/>
        <v>434.19999985694898</v>
      </c>
      <c r="N229" s="23">
        <f t="shared" si="46"/>
        <v>459.91499984979629</v>
      </c>
    </row>
    <row r="230" spans="1:14" x14ac:dyDescent="0.2">
      <c r="A230" s="40">
        <v>35288</v>
      </c>
      <c r="B230" s="34">
        <v>224</v>
      </c>
      <c r="C230" s="16">
        <f>ROUND(Data!BJ230,2)</f>
        <v>21.75</v>
      </c>
      <c r="D230" s="3">
        <f>ROUND(Data!R230,1)</f>
        <v>23.4</v>
      </c>
      <c r="E230" s="3">
        <f>ROUND(Data!AF230,1)</f>
        <v>4.2</v>
      </c>
      <c r="F230" s="23">
        <f>Data!BO230</f>
        <v>27.2</v>
      </c>
      <c r="G230" s="3">
        <f>Data!Q230</f>
        <v>0</v>
      </c>
      <c r="H230" s="19"/>
      <c r="I230" s="14"/>
      <c r="J230" s="16">
        <f>Data!BS230</f>
        <v>0</v>
      </c>
      <c r="K230" s="39">
        <f t="shared" si="48"/>
        <v>0</v>
      </c>
      <c r="M230" s="23">
        <f t="shared" si="45"/>
        <v>434.19999985694898</v>
      </c>
      <c r="N230" s="23">
        <f t="shared" si="46"/>
        <v>459.91499984979629</v>
      </c>
    </row>
    <row r="231" spans="1:14" x14ac:dyDescent="0.2">
      <c r="A231" s="40">
        <v>35289</v>
      </c>
      <c r="B231" s="34">
        <v>225</v>
      </c>
      <c r="C231" s="16">
        <f>ROUND(Data!BJ231,2)</f>
        <v>27.08</v>
      </c>
      <c r="D231" s="3">
        <f>ROUND(Data!R231,1)</f>
        <v>17.8</v>
      </c>
      <c r="E231" s="3">
        <f>ROUND(Data!AF231,1)</f>
        <v>0</v>
      </c>
      <c r="F231" s="23">
        <f>Data!BO231</f>
        <v>35.5</v>
      </c>
      <c r="G231" s="3">
        <f>Data!Q231</f>
        <v>0</v>
      </c>
      <c r="H231" s="19"/>
      <c r="I231" s="14"/>
      <c r="J231" s="16">
        <f>Data!BS231</f>
        <v>0</v>
      </c>
      <c r="K231" s="39">
        <f t="shared" si="48"/>
        <v>0</v>
      </c>
      <c r="M231" s="23">
        <f t="shared" si="45"/>
        <v>434.19999985694898</v>
      </c>
      <c r="N231" s="23">
        <f t="shared" si="46"/>
        <v>459.91499984979629</v>
      </c>
    </row>
    <row r="232" spans="1:14" x14ac:dyDescent="0.2">
      <c r="A232" s="40">
        <v>35290</v>
      </c>
      <c r="B232" s="34">
        <v>226</v>
      </c>
      <c r="C232" s="16">
        <f>ROUND(Data!BJ232,2)</f>
        <v>26.5</v>
      </c>
      <c r="D232" s="3">
        <f>ROUND(Data!R232,1)</f>
        <v>22.8</v>
      </c>
      <c r="E232" s="3">
        <f>ROUND(Data!AF232,1)</f>
        <v>1.2</v>
      </c>
      <c r="F232" s="23">
        <f>Data!BO232</f>
        <v>31.3</v>
      </c>
      <c r="G232" s="3">
        <f>Data!Q232</f>
        <v>0</v>
      </c>
      <c r="H232" s="19"/>
      <c r="I232" s="14"/>
      <c r="J232" s="16">
        <f>Data!BS232</f>
        <v>0</v>
      </c>
      <c r="K232" s="39">
        <f t="shared" si="48"/>
        <v>0</v>
      </c>
      <c r="M232" s="23">
        <f t="shared" si="45"/>
        <v>434.19999985694898</v>
      </c>
      <c r="N232" s="23">
        <f t="shared" si="46"/>
        <v>459.91499984979629</v>
      </c>
    </row>
    <row r="233" spans="1:14" x14ac:dyDescent="0.2">
      <c r="A233" s="40">
        <v>35291</v>
      </c>
      <c r="B233" s="34">
        <v>227</v>
      </c>
      <c r="C233" s="16">
        <f>ROUND(Data!BJ233,2)</f>
        <v>23.6</v>
      </c>
      <c r="D233" s="3">
        <f>ROUND(Data!R233,1)</f>
        <v>23.6</v>
      </c>
      <c r="E233" s="3">
        <f>ROUND(Data!AF233,1)</f>
        <v>5.9</v>
      </c>
      <c r="F233" s="23">
        <f>Data!BO233</f>
        <v>27.1</v>
      </c>
      <c r="G233" s="3">
        <f>Data!Q233</f>
        <v>0</v>
      </c>
      <c r="H233" s="19"/>
      <c r="I233" s="14"/>
      <c r="J233" s="16">
        <f>Data!BS233</f>
        <v>0</v>
      </c>
      <c r="K233" s="39">
        <f t="shared" si="48"/>
        <v>0</v>
      </c>
      <c r="M233" s="23">
        <f t="shared" si="45"/>
        <v>434.19999985694898</v>
      </c>
      <c r="N233" s="23">
        <f t="shared" si="46"/>
        <v>459.91499984979629</v>
      </c>
    </row>
    <row r="234" spans="1:14" x14ac:dyDescent="0.2">
      <c r="A234" s="40">
        <v>35292</v>
      </c>
      <c r="B234" s="34">
        <v>228</v>
      </c>
      <c r="C234" s="16">
        <f>ROUND(Data!BJ234,2)</f>
        <v>24.67</v>
      </c>
      <c r="D234" s="3">
        <f>ROUND(Data!R234,1)</f>
        <v>21.6</v>
      </c>
      <c r="E234" s="3">
        <f>ROUND(Data!AF234,1)</f>
        <v>3</v>
      </c>
      <c r="F234" s="23">
        <f>Data!BO234</f>
        <v>24</v>
      </c>
      <c r="G234" s="3">
        <f>Data!Q234</f>
        <v>0</v>
      </c>
      <c r="H234" s="19"/>
      <c r="I234" s="14"/>
      <c r="J234" s="16">
        <f>Data!BS234</f>
        <v>0</v>
      </c>
      <c r="K234" s="39">
        <f t="shared" si="48"/>
        <v>0</v>
      </c>
      <c r="M234" s="23">
        <f t="shared" si="45"/>
        <v>434.19999985694898</v>
      </c>
      <c r="N234" s="23">
        <f t="shared" si="46"/>
        <v>459.91499984979629</v>
      </c>
    </row>
    <row r="235" spans="1:14" x14ac:dyDescent="0.2">
      <c r="A235" s="40">
        <v>35293</v>
      </c>
      <c r="B235" s="34">
        <v>229</v>
      </c>
      <c r="C235" s="16">
        <f>ROUND(Data!BJ235,2)</f>
        <v>9.61</v>
      </c>
      <c r="D235" s="3">
        <f>ROUND(Data!R235,1)</f>
        <v>14.2</v>
      </c>
      <c r="E235" s="3">
        <f>ROUND(Data!AF235,1)</f>
        <v>2.5</v>
      </c>
      <c r="F235" s="23">
        <f>Data!BO235</f>
        <v>47.8</v>
      </c>
      <c r="G235" s="3">
        <f>Data!Q235</f>
        <v>0</v>
      </c>
      <c r="H235" s="19"/>
      <c r="I235" s="14"/>
      <c r="J235" s="16">
        <f>Data!BS235</f>
        <v>0</v>
      </c>
      <c r="K235" s="39">
        <f t="shared" si="48"/>
        <v>0</v>
      </c>
      <c r="M235" s="23">
        <f t="shared" si="45"/>
        <v>434.19999985694898</v>
      </c>
      <c r="N235" s="23">
        <f t="shared" si="46"/>
        <v>459.91499984979629</v>
      </c>
    </row>
    <row r="236" spans="1:14" x14ac:dyDescent="0.2">
      <c r="A236" s="40">
        <v>35294</v>
      </c>
      <c r="B236" s="34">
        <v>230</v>
      </c>
      <c r="C236" s="16">
        <f>ROUND(Data!BJ236,2)</f>
        <v>16.68</v>
      </c>
      <c r="D236" s="3">
        <f>ROUND(Data!R236,1)</f>
        <v>12.3</v>
      </c>
      <c r="E236" s="3">
        <f>ROUND(Data!AF236,1)</f>
        <v>0.3</v>
      </c>
      <c r="F236" s="23">
        <f>Data!BO236</f>
        <v>50.6</v>
      </c>
      <c r="G236" s="3">
        <f>Data!Q236</f>
        <v>3</v>
      </c>
      <c r="H236" s="19"/>
      <c r="I236" s="14"/>
      <c r="J236" s="16">
        <f>Data!BS236</f>
        <v>0</v>
      </c>
      <c r="K236" s="39">
        <f t="shared" si="48"/>
        <v>3</v>
      </c>
      <c r="M236" s="23">
        <f t="shared" si="45"/>
        <v>434.19999985694898</v>
      </c>
      <c r="N236" s="23">
        <f t="shared" si="46"/>
        <v>462.91499984979629</v>
      </c>
    </row>
    <row r="237" spans="1:14" x14ac:dyDescent="0.2">
      <c r="A237" s="40">
        <v>35295</v>
      </c>
      <c r="B237" s="34">
        <v>231</v>
      </c>
      <c r="C237" s="16">
        <f>ROUND(Data!BJ237,2)</f>
        <v>17.39</v>
      </c>
      <c r="D237" s="3">
        <f>ROUND(Data!R237,1)</f>
        <v>12.9</v>
      </c>
      <c r="E237" s="3">
        <f>ROUND(Data!AF237,1)</f>
        <v>-1.2</v>
      </c>
      <c r="F237" s="23">
        <f>Data!BO237</f>
        <v>51.9</v>
      </c>
      <c r="G237" s="3">
        <f>Data!Q237</f>
        <v>0</v>
      </c>
      <c r="H237" s="19"/>
      <c r="I237" s="14"/>
      <c r="J237" s="16">
        <f>Data!BS237</f>
        <v>0</v>
      </c>
      <c r="K237" s="39">
        <f t="shared" si="48"/>
        <v>0</v>
      </c>
      <c r="M237" s="23">
        <f t="shared" si="45"/>
        <v>434.19999985694898</v>
      </c>
      <c r="N237" s="23">
        <f t="shared" si="46"/>
        <v>462.91499984979629</v>
      </c>
    </row>
    <row r="238" spans="1:14" x14ac:dyDescent="0.2">
      <c r="A238" s="40">
        <v>35296</v>
      </c>
      <c r="B238" s="34">
        <v>232</v>
      </c>
      <c r="C238" s="16">
        <f>ROUND(Data!BJ238,2)</f>
        <v>8.5500000000000007</v>
      </c>
      <c r="D238" s="3">
        <f>ROUND(Data!R238,1)</f>
        <v>11.7</v>
      </c>
      <c r="E238" s="3">
        <f>ROUND(Data!AF238,1)</f>
        <v>3.3</v>
      </c>
      <c r="F238" s="23">
        <f>Data!BO238</f>
        <v>59.4</v>
      </c>
      <c r="G238" s="3">
        <f>Data!Q238</f>
        <v>2</v>
      </c>
      <c r="H238" s="19"/>
      <c r="I238" s="14"/>
      <c r="J238" s="16">
        <f>Data!BS238</f>
        <v>1.5</v>
      </c>
      <c r="K238" s="39">
        <f t="shared" si="48"/>
        <v>2</v>
      </c>
      <c r="M238" s="23">
        <f t="shared" si="45"/>
        <v>435.69999985694898</v>
      </c>
      <c r="N238" s="23">
        <f t="shared" si="46"/>
        <v>464.91499984979629</v>
      </c>
    </row>
    <row r="239" spans="1:14" x14ac:dyDescent="0.2">
      <c r="A239" s="40">
        <v>35297</v>
      </c>
      <c r="B239" s="34">
        <v>233</v>
      </c>
      <c r="C239" s="16">
        <f>ROUND(Data!BJ239,2)</f>
        <v>22.2</v>
      </c>
      <c r="D239" s="3">
        <f>ROUND(Data!R239,1)</f>
        <v>11.9</v>
      </c>
      <c r="E239" s="3">
        <f>ROUND(Data!AF239,1)</f>
        <v>-0.2</v>
      </c>
      <c r="F239" s="23">
        <f>Data!BO239</f>
        <v>50.8</v>
      </c>
      <c r="G239" s="3">
        <f>Data!Q239</f>
        <v>0</v>
      </c>
      <c r="H239" s="19"/>
      <c r="I239" s="14"/>
      <c r="J239" s="16">
        <f>Data!BS239</f>
        <v>0.5</v>
      </c>
      <c r="K239" s="39">
        <f t="shared" si="48"/>
        <v>0</v>
      </c>
      <c r="M239" s="23">
        <f t="shared" si="45"/>
        <v>436.19999985694898</v>
      </c>
      <c r="N239" s="23">
        <f t="shared" si="46"/>
        <v>464.91499984979629</v>
      </c>
    </row>
    <row r="240" spans="1:14" x14ac:dyDescent="0.2">
      <c r="A240" s="40">
        <v>35298</v>
      </c>
      <c r="B240" s="34">
        <v>234</v>
      </c>
      <c r="C240" s="16">
        <f>ROUND(Data!BJ240,2)</f>
        <v>18.37</v>
      </c>
      <c r="D240" s="3">
        <f>ROUND(Data!R240,1)</f>
        <v>13.8</v>
      </c>
      <c r="E240" s="3">
        <f>ROUND(Data!AF240,1)</f>
        <v>-1.8</v>
      </c>
      <c r="F240" s="23">
        <f>Data!BO240</f>
        <v>43.7</v>
      </c>
      <c r="G240" s="3">
        <f>Data!Q240</f>
        <v>0</v>
      </c>
      <c r="H240" s="19"/>
      <c r="I240" s="14"/>
      <c r="J240" s="16">
        <f>Data!BS240</f>
        <v>0</v>
      </c>
      <c r="K240" s="39">
        <f t="shared" si="48"/>
        <v>0</v>
      </c>
      <c r="M240" s="23">
        <f t="shared" si="45"/>
        <v>436.19999985694898</v>
      </c>
      <c r="N240" s="23">
        <f t="shared" si="46"/>
        <v>464.91499984979629</v>
      </c>
    </row>
    <row r="241" spans="1:14" x14ac:dyDescent="0.2">
      <c r="A241" s="40">
        <v>35299</v>
      </c>
      <c r="B241" s="34">
        <v>235</v>
      </c>
      <c r="C241" s="16">
        <f>ROUND(Data!BJ241,2)</f>
        <v>24.78</v>
      </c>
      <c r="D241" s="3">
        <f>ROUND(Data!R241,1)</f>
        <v>19.899999999999999</v>
      </c>
      <c r="E241" s="3">
        <f>ROUND(Data!AF241,1)</f>
        <v>-0.8</v>
      </c>
      <c r="F241" s="23">
        <f>Data!BO241</f>
        <v>35</v>
      </c>
      <c r="G241" s="3">
        <f>Data!Q241</f>
        <v>0</v>
      </c>
      <c r="H241" s="19"/>
      <c r="I241" s="14"/>
      <c r="J241" s="16">
        <f>Data!BS241</f>
        <v>0</v>
      </c>
      <c r="K241" s="39">
        <f t="shared" si="48"/>
        <v>0</v>
      </c>
      <c r="M241" s="23">
        <f t="shared" si="45"/>
        <v>436.19999985694898</v>
      </c>
      <c r="N241" s="23">
        <f t="shared" si="46"/>
        <v>464.91499984979629</v>
      </c>
    </row>
    <row r="242" spans="1:14" x14ac:dyDescent="0.2">
      <c r="A242" s="40">
        <v>35300</v>
      </c>
      <c r="B242" s="34">
        <v>236</v>
      </c>
      <c r="C242" s="16">
        <f>ROUND(Data!BJ242,2)</f>
        <v>24.93</v>
      </c>
      <c r="D242" s="3">
        <f>ROUND(Data!R242,1)</f>
        <v>23.6</v>
      </c>
      <c r="E242" s="3">
        <f>ROUND(Data!AF242,1)</f>
        <v>3.9</v>
      </c>
      <c r="F242" s="23">
        <f>Data!BO242</f>
        <v>17.8</v>
      </c>
      <c r="G242" s="3">
        <f>Data!Q242</f>
        <v>0</v>
      </c>
      <c r="H242" s="19"/>
      <c r="I242" s="14"/>
      <c r="J242" s="16">
        <f>Data!BS242</f>
        <v>0</v>
      </c>
      <c r="K242" s="39">
        <f t="shared" si="48"/>
        <v>0</v>
      </c>
      <c r="M242" s="23">
        <f t="shared" si="45"/>
        <v>436.19999985694898</v>
      </c>
      <c r="N242" s="23">
        <f t="shared" si="46"/>
        <v>464.91499984979629</v>
      </c>
    </row>
    <row r="243" spans="1:14" x14ac:dyDescent="0.2">
      <c r="A243" s="40">
        <v>35301</v>
      </c>
      <c r="B243" s="34">
        <v>237</v>
      </c>
      <c r="C243" s="16">
        <f>ROUND(Data!BJ243,2)</f>
        <v>24.69</v>
      </c>
      <c r="D243" s="3">
        <f>ROUND(Data!R243,1)</f>
        <v>24.9</v>
      </c>
      <c r="E243" s="3">
        <f>ROUND(Data!AF243,1)</f>
        <v>3.2</v>
      </c>
      <c r="F243" s="23">
        <f>Data!BO243</f>
        <v>17.5</v>
      </c>
      <c r="G243" s="3">
        <f>Data!Q243</f>
        <v>0</v>
      </c>
      <c r="H243" s="19"/>
      <c r="I243" s="14"/>
      <c r="J243" s="16">
        <f>Data!BS243</f>
        <v>0</v>
      </c>
      <c r="K243" s="39">
        <f t="shared" si="48"/>
        <v>0</v>
      </c>
      <c r="M243" s="23">
        <f t="shared" si="45"/>
        <v>436.19999985694898</v>
      </c>
      <c r="N243" s="23">
        <f t="shared" si="46"/>
        <v>464.91499984979629</v>
      </c>
    </row>
    <row r="244" spans="1:14" x14ac:dyDescent="0.2">
      <c r="A244" s="40">
        <v>35302</v>
      </c>
      <c r="B244" s="34">
        <v>238</v>
      </c>
      <c r="C244" s="16">
        <f>ROUND(Data!BJ244,2)</f>
        <v>24.75</v>
      </c>
      <c r="D244" s="3">
        <f>ROUND(Data!R244,1)</f>
        <v>26</v>
      </c>
      <c r="E244" s="3">
        <f>ROUND(Data!AF244,1)</f>
        <v>3.4</v>
      </c>
      <c r="F244" s="23">
        <f>Data!BO244</f>
        <v>12.4</v>
      </c>
      <c r="G244" s="3">
        <f>Data!Q244</f>
        <v>0</v>
      </c>
      <c r="H244" s="19"/>
      <c r="I244" s="14"/>
      <c r="J244" s="16">
        <f>Data!BS244</f>
        <v>0</v>
      </c>
      <c r="K244" s="39">
        <f t="shared" si="48"/>
        <v>0</v>
      </c>
      <c r="M244" s="23">
        <f t="shared" si="45"/>
        <v>436.19999985694898</v>
      </c>
      <c r="N244" s="23">
        <f t="shared" si="46"/>
        <v>464.91499984979629</v>
      </c>
    </row>
    <row r="245" spans="1:14" x14ac:dyDescent="0.2">
      <c r="A245" s="40">
        <v>35303</v>
      </c>
      <c r="B245" s="34">
        <v>239</v>
      </c>
      <c r="C245" s="16">
        <f>ROUND(Data!BJ245,2)</f>
        <v>22.27</v>
      </c>
      <c r="D245" s="3">
        <f>ROUND(Data!R245,1)</f>
        <v>27</v>
      </c>
      <c r="E245" s="3">
        <f>ROUND(Data!AF245,1)</f>
        <v>4.5</v>
      </c>
      <c r="F245" s="23">
        <f>Data!BO245</f>
        <v>15.7</v>
      </c>
      <c r="G245" s="3">
        <f>Data!Q245</f>
        <v>0</v>
      </c>
      <c r="H245" s="19"/>
      <c r="I245" s="14"/>
      <c r="J245" s="16">
        <f>Data!BS245</f>
        <v>0</v>
      </c>
      <c r="K245" s="39">
        <f t="shared" si="48"/>
        <v>0</v>
      </c>
      <c r="M245" s="23">
        <f t="shared" si="45"/>
        <v>436.19999985694898</v>
      </c>
      <c r="N245" s="23">
        <f t="shared" si="46"/>
        <v>464.91499984979629</v>
      </c>
    </row>
    <row r="246" spans="1:14" x14ac:dyDescent="0.2">
      <c r="A246" s="40">
        <v>35304</v>
      </c>
      <c r="B246" s="34">
        <v>240</v>
      </c>
      <c r="C246" s="16">
        <f>ROUND(Data!BJ246,2)</f>
        <v>20.170000000000002</v>
      </c>
      <c r="D246" s="3">
        <f>ROUND(Data!R246,1)</f>
        <v>27.8</v>
      </c>
      <c r="E246" s="3">
        <f>ROUND(Data!AF246,1)</f>
        <v>6.8</v>
      </c>
      <c r="F246" s="23">
        <f>Data!BO246</f>
        <v>14.7</v>
      </c>
      <c r="G246" s="3">
        <f>Data!Q246</f>
        <v>0</v>
      </c>
      <c r="H246" s="19"/>
      <c r="I246" s="14"/>
      <c r="J246" s="16">
        <f>Data!BS246</f>
        <v>0</v>
      </c>
      <c r="K246" s="39">
        <f t="shared" si="48"/>
        <v>0</v>
      </c>
      <c r="M246" s="23">
        <f t="shared" si="45"/>
        <v>436.19999985694898</v>
      </c>
      <c r="N246" s="23">
        <f t="shared" si="46"/>
        <v>464.91499984979629</v>
      </c>
    </row>
    <row r="247" spans="1:14" x14ac:dyDescent="0.2">
      <c r="A247" s="40">
        <v>35305</v>
      </c>
      <c r="B247" s="34">
        <v>241</v>
      </c>
      <c r="C247" s="16">
        <f>ROUND(Data!BJ247,2)</f>
        <v>19.79</v>
      </c>
      <c r="D247" s="3">
        <f>ROUND(Data!R247,1)</f>
        <v>22.4</v>
      </c>
      <c r="E247" s="3">
        <f>ROUND(Data!AF247,1)</f>
        <v>8</v>
      </c>
      <c r="F247" s="23">
        <f>Data!BO247</f>
        <v>38.799999999999997</v>
      </c>
      <c r="G247" s="3">
        <f>Data!Q247</f>
        <v>0</v>
      </c>
      <c r="H247" s="19"/>
      <c r="I247" s="14"/>
      <c r="J247" s="16">
        <f>Data!BS247</f>
        <v>0</v>
      </c>
      <c r="K247" s="39">
        <f t="shared" si="48"/>
        <v>0</v>
      </c>
      <c r="M247" s="23">
        <f t="shared" si="45"/>
        <v>436.19999985694898</v>
      </c>
      <c r="N247" s="23">
        <f t="shared" si="46"/>
        <v>464.91499984979629</v>
      </c>
    </row>
    <row r="248" spans="1:14" x14ac:dyDescent="0.2">
      <c r="A248" s="40">
        <v>35306</v>
      </c>
      <c r="B248" s="34">
        <v>242</v>
      </c>
      <c r="C248" s="16">
        <f>ROUND(Data!BJ248,2)</f>
        <v>20.61</v>
      </c>
      <c r="D248" s="3">
        <f>ROUND(Data!R248,1)</f>
        <v>23.5</v>
      </c>
      <c r="E248" s="3">
        <f>ROUND(Data!AF248,1)</f>
        <v>7.9</v>
      </c>
      <c r="F248" s="23">
        <f>Data!BO248</f>
        <v>38.6</v>
      </c>
      <c r="G248" s="3">
        <f>Data!Q248</f>
        <v>0</v>
      </c>
      <c r="H248" s="19"/>
      <c r="I248" s="14"/>
      <c r="J248" s="16">
        <f>Data!BS248</f>
        <v>0</v>
      </c>
      <c r="K248" s="39">
        <f t="shared" si="48"/>
        <v>0</v>
      </c>
      <c r="M248" s="23">
        <f t="shared" si="45"/>
        <v>436.19999985694898</v>
      </c>
      <c r="N248" s="23">
        <f t="shared" si="46"/>
        <v>464.91499984979629</v>
      </c>
    </row>
    <row r="249" spans="1:14" x14ac:dyDescent="0.2">
      <c r="A249" s="40">
        <v>35307</v>
      </c>
      <c r="B249" s="34">
        <v>243</v>
      </c>
      <c r="C249" s="16">
        <f>ROUND(Data!BJ249,2)</f>
        <v>11.4</v>
      </c>
      <c r="D249" s="3">
        <f>ROUND(Data!R249,1)</f>
        <v>23</v>
      </c>
      <c r="E249" s="3">
        <f>ROUND(Data!AF249,1)</f>
        <v>4.5</v>
      </c>
      <c r="F249" s="23">
        <f>Data!BO249</f>
        <v>34.9</v>
      </c>
      <c r="G249" s="3">
        <f>Data!Q249</f>
        <v>13</v>
      </c>
      <c r="H249" s="19"/>
      <c r="I249" s="14"/>
      <c r="J249" s="16">
        <f>Data!BS249</f>
        <v>9.9</v>
      </c>
      <c r="K249" s="39">
        <f t="shared" si="48"/>
        <v>13</v>
      </c>
      <c r="M249" s="23">
        <f t="shared" si="45"/>
        <v>446.09999985694895</v>
      </c>
      <c r="N249" s="23">
        <f t="shared" si="46"/>
        <v>477.91499984979629</v>
      </c>
    </row>
    <row r="250" spans="1:14" x14ac:dyDescent="0.2">
      <c r="A250" s="40">
        <v>35308</v>
      </c>
      <c r="B250" s="34">
        <v>244</v>
      </c>
      <c r="C250" s="16">
        <f>ROUND(Data!BJ250,2)</f>
        <v>7.58</v>
      </c>
      <c r="D250" s="3">
        <f>ROUND(Data!R250,1)</f>
        <v>8.5</v>
      </c>
      <c r="E250" s="3">
        <f>ROUND(Data!AF250,1)</f>
        <v>2.7</v>
      </c>
      <c r="F250" s="23">
        <f>Data!BO250</f>
        <v>74.599999999999994</v>
      </c>
      <c r="G250" s="3">
        <f>Data!Q250</f>
        <v>7</v>
      </c>
      <c r="H250" s="19"/>
      <c r="I250" s="14"/>
      <c r="J250" s="16">
        <f>Data!BS250</f>
        <v>5.6</v>
      </c>
      <c r="K250" s="39">
        <f t="shared" si="48"/>
        <v>7</v>
      </c>
      <c r="M250" s="23">
        <f t="shared" si="45"/>
        <v>451.69999985694898</v>
      </c>
      <c r="N250" s="23">
        <f t="shared" si="46"/>
        <v>484.91499984979629</v>
      </c>
    </row>
    <row r="251" spans="1:14" x14ac:dyDescent="0.2">
      <c r="A251" s="40">
        <v>35309</v>
      </c>
      <c r="B251" s="34">
        <v>245</v>
      </c>
      <c r="C251" s="16">
        <f>ROUND(Data!BJ251,2)</f>
        <v>13.77</v>
      </c>
      <c r="D251" s="3">
        <f>ROUND(Data!R251,1)</f>
        <v>10.1</v>
      </c>
      <c r="E251" s="3">
        <f>ROUND(Data!AF251,1)</f>
        <v>1.2</v>
      </c>
      <c r="F251" s="23">
        <f>Data!BO251</f>
        <v>53.2</v>
      </c>
      <c r="G251" s="3">
        <f>Data!Q251</f>
        <v>0</v>
      </c>
      <c r="H251" s="19"/>
      <c r="I251" s="14"/>
      <c r="J251" s="16">
        <f>Data!BS251</f>
        <v>0</v>
      </c>
      <c r="K251" s="39">
        <f t="shared" si="48"/>
        <v>0</v>
      </c>
      <c r="M251" s="23">
        <f t="shared" si="45"/>
        <v>451.69999985694898</v>
      </c>
      <c r="N251" s="23">
        <f t="shared" si="46"/>
        <v>484.91499984979629</v>
      </c>
    </row>
    <row r="252" spans="1:14" x14ac:dyDescent="0.2">
      <c r="A252" s="40">
        <v>35310</v>
      </c>
      <c r="B252" s="34">
        <v>246</v>
      </c>
      <c r="C252" s="16">
        <f>ROUND(Data!BJ252,2)</f>
        <v>0</v>
      </c>
      <c r="D252" s="3">
        <f>ROUND(Data!R252,1)</f>
        <v>15.1</v>
      </c>
      <c r="E252" s="3">
        <f>ROUND(Data!AF252,1)</f>
        <v>0.9</v>
      </c>
      <c r="F252" s="23">
        <f>Data!BO252</f>
        <v>35</v>
      </c>
      <c r="G252" s="3">
        <f>Data!Q252</f>
        <v>0</v>
      </c>
      <c r="H252" s="19"/>
      <c r="I252" s="14"/>
      <c r="J252" s="16">
        <f>Data!BS252</f>
        <v>0</v>
      </c>
      <c r="K252" s="35">
        <f t="shared" ref="K252:K315" si="49">J252*L$3</f>
        <v>0</v>
      </c>
      <c r="M252" s="23">
        <f t="shared" si="45"/>
        <v>451.69999985694898</v>
      </c>
      <c r="N252" s="23">
        <f t="shared" si="46"/>
        <v>484.91499984979629</v>
      </c>
    </row>
    <row r="253" spans="1:14" x14ac:dyDescent="0.2">
      <c r="A253" s="40">
        <v>35311</v>
      </c>
      <c r="B253" s="34">
        <v>247</v>
      </c>
      <c r="C253" s="16">
        <f>ROUND(Data!BJ253,2)</f>
        <v>0</v>
      </c>
      <c r="D253" s="3">
        <f>ROUND(Data!R253,1)</f>
        <v>11.1</v>
      </c>
      <c r="E253" s="3">
        <f>ROUND(Data!AF253,1)</f>
        <v>0.7</v>
      </c>
      <c r="F253" s="23">
        <f>Data!BO253</f>
        <v>45</v>
      </c>
      <c r="G253" s="3">
        <f>Data!Q253</f>
        <v>0</v>
      </c>
      <c r="H253" s="19"/>
      <c r="I253" s="14"/>
      <c r="J253" s="16">
        <f>Data!BS253</f>
        <v>23.4</v>
      </c>
      <c r="K253" s="35">
        <f t="shared" si="49"/>
        <v>24.57</v>
      </c>
      <c r="M253" s="23">
        <f t="shared" si="45"/>
        <v>475.09999985694895</v>
      </c>
      <c r="N253" s="23">
        <f t="shared" si="46"/>
        <v>509.48499984979628</v>
      </c>
    </row>
    <row r="254" spans="1:14" x14ac:dyDescent="0.2">
      <c r="A254" s="40">
        <v>35312</v>
      </c>
      <c r="B254" s="34">
        <v>248</v>
      </c>
      <c r="C254" s="16">
        <f>ROUND(Data!BJ254,2)</f>
        <v>0</v>
      </c>
      <c r="D254" s="3">
        <f>ROUND(Data!R254,1)</f>
        <v>8.5</v>
      </c>
      <c r="E254" s="3">
        <f>ROUND(Data!AF254,1)</f>
        <v>0.1</v>
      </c>
      <c r="F254" s="23">
        <f>Data!BO254</f>
        <v>65</v>
      </c>
      <c r="G254" s="3">
        <f>Data!Q254</f>
        <v>0</v>
      </c>
      <c r="H254" s="19"/>
      <c r="I254" s="14"/>
      <c r="J254" s="16">
        <f>Data!BS254</f>
        <v>2.5</v>
      </c>
      <c r="K254" s="35">
        <f t="shared" si="49"/>
        <v>2.625</v>
      </c>
      <c r="M254" s="23">
        <f t="shared" si="45"/>
        <v>477.59999985694895</v>
      </c>
      <c r="N254" s="23">
        <f t="shared" si="46"/>
        <v>512.10999984979628</v>
      </c>
    </row>
    <row r="255" spans="1:14" x14ac:dyDescent="0.2">
      <c r="A255" s="40">
        <v>35313</v>
      </c>
      <c r="B255" s="34">
        <v>249</v>
      </c>
      <c r="C255" s="16">
        <f>ROUND(Data!BJ255,2)</f>
        <v>0</v>
      </c>
      <c r="D255" s="3">
        <f>ROUND(Data!R255,1)</f>
        <v>8.5</v>
      </c>
      <c r="E255" s="3">
        <f>ROUND(Data!AF255,1)</f>
        <v>-0.6</v>
      </c>
      <c r="F255" s="23">
        <f>Data!BO255</f>
        <v>59</v>
      </c>
      <c r="G255" s="3">
        <f>Data!Q255</f>
        <v>0</v>
      </c>
      <c r="H255" s="19"/>
      <c r="I255" s="14"/>
      <c r="J255" s="16">
        <f>Data!BS255</f>
        <v>1</v>
      </c>
      <c r="K255" s="35">
        <f t="shared" si="49"/>
        <v>1.05</v>
      </c>
      <c r="M255" s="23">
        <f t="shared" si="45"/>
        <v>478.59999985694895</v>
      </c>
      <c r="N255" s="23">
        <f t="shared" si="46"/>
        <v>513.15999984979624</v>
      </c>
    </row>
    <row r="256" spans="1:14" x14ac:dyDescent="0.2">
      <c r="A256" s="40">
        <v>35314</v>
      </c>
      <c r="B256" s="34">
        <v>250</v>
      </c>
      <c r="C256" s="16">
        <f>ROUND(Data!BJ256,2)</f>
        <v>0</v>
      </c>
      <c r="D256" s="3">
        <f>ROUND(Data!R256,1)</f>
        <v>9.6999999999999993</v>
      </c>
      <c r="E256" s="3">
        <f>ROUND(Data!AF256,1)</f>
        <v>0.1</v>
      </c>
      <c r="F256" s="23">
        <f>Data!BO256</f>
        <v>56</v>
      </c>
      <c r="G256" s="3">
        <f>Data!Q256</f>
        <v>0</v>
      </c>
      <c r="H256" s="19"/>
      <c r="I256" s="14"/>
      <c r="J256" s="16">
        <f>Data!BS256</f>
        <v>2.8</v>
      </c>
      <c r="K256" s="35">
        <f t="shared" si="49"/>
        <v>2.94</v>
      </c>
      <c r="M256" s="23">
        <f t="shared" si="45"/>
        <v>481.39999985694897</v>
      </c>
      <c r="N256" s="23">
        <f t="shared" si="46"/>
        <v>516.09999984979629</v>
      </c>
    </row>
    <row r="257" spans="1:14" x14ac:dyDescent="0.2">
      <c r="A257" s="40">
        <v>35315</v>
      </c>
      <c r="B257" s="34">
        <v>251</v>
      </c>
      <c r="C257" s="16">
        <f>ROUND(Data!BJ257,2)</f>
        <v>0</v>
      </c>
      <c r="D257" s="3">
        <f>ROUND(Data!R257,1)</f>
        <v>7.6</v>
      </c>
      <c r="E257" s="3">
        <f>ROUND(Data!AF257,1)</f>
        <v>0.9</v>
      </c>
      <c r="F257" s="23">
        <f>Data!BO257</f>
        <v>78</v>
      </c>
      <c r="G257" s="3">
        <f>Data!Q257</f>
        <v>0</v>
      </c>
      <c r="H257" s="19"/>
      <c r="I257" s="14"/>
      <c r="J257" s="16">
        <f>Data!BS257</f>
        <v>14.2</v>
      </c>
      <c r="K257" s="35">
        <f t="shared" si="49"/>
        <v>14.91</v>
      </c>
      <c r="M257" s="23">
        <f t="shared" si="45"/>
        <v>495.59999985694895</v>
      </c>
      <c r="N257" s="23">
        <f t="shared" si="46"/>
        <v>531.00999984979626</v>
      </c>
    </row>
    <row r="258" spans="1:14" x14ac:dyDescent="0.2">
      <c r="A258" s="40">
        <v>35316</v>
      </c>
      <c r="B258" s="34">
        <v>252</v>
      </c>
      <c r="C258" s="16">
        <f>ROUND(Data!BJ258,2)</f>
        <v>0</v>
      </c>
      <c r="D258" s="3">
        <f>ROUND(Data!R258,1)</f>
        <v>13.7</v>
      </c>
      <c r="E258" s="3">
        <f>ROUND(Data!AF258,1)</f>
        <v>2.5</v>
      </c>
      <c r="F258" s="23">
        <f>Data!BO258</f>
        <v>62</v>
      </c>
      <c r="G258" s="3">
        <f>Data!Q258</f>
        <v>0</v>
      </c>
      <c r="H258" s="19"/>
      <c r="I258" s="14"/>
      <c r="J258" s="16">
        <f>Data!BS258</f>
        <v>3.6</v>
      </c>
      <c r="K258" s="35">
        <f t="shared" si="49"/>
        <v>3.7800000000000002</v>
      </c>
      <c r="M258" s="23">
        <f t="shared" si="45"/>
        <v>499.19999985694898</v>
      </c>
      <c r="N258" s="23">
        <f t="shared" si="46"/>
        <v>534.78999984979623</v>
      </c>
    </row>
    <row r="259" spans="1:14" x14ac:dyDescent="0.2">
      <c r="A259" s="40">
        <v>35317</v>
      </c>
      <c r="B259" s="34">
        <v>253</v>
      </c>
      <c r="C259" s="16">
        <f>ROUND(Data!BJ259,2)</f>
        <v>0</v>
      </c>
      <c r="D259" s="3">
        <f>ROUND(Data!R259,1)</f>
        <v>15.5</v>
      </c>
      <c r="E259" s="3">
        <f>ROUND(Data!AF259,1)</f>
        <v>2.7</v>
      </c>
      <c r="F259" s="23">
        <f>Data!BO259</f>
        <v>44</v>
      </c>
      <c r="G259" s="3">
        <f>Data!Q259</f>
        <v>0</v>
      </c>
      <c r="H259" s="19"/>
      <c r="I259" s="14"/>
      <c r="J259" s="16">
        <f>Data!BS259</f>
        <v>0</v>
      </c>
      <c r="K259" s="35">
        <f t="shared" si="49"/>
        <v>0</v>
      </c>
      <c r="M259" s="23">
        <f t="shared" ref="M259:M322" si="50">J259+M258</f>
        <v>499.19999985694898</v>
      </c>
      <c r="N259" s="23">
        <f t="shared" ref="N259:N322" si="51">K259+N258</f>
        <v>534.78999984979623</v>
      </c>
    </row>
    <row r="260" spans="1:14" x14ac:dyDescent="0.2">
      <c r="A260" s="40">
        <v>35318</v>
      </c>
      <c r="B260" s="34">
        <v>254</v>
      </c>
      <c r="C260" s="16">
        <f>ROUND(Data!BJ260,2)</f>
        <v>0</v>
      </c>
      <c r="D260" s="3">
        <f>ROUND(Data!R260,1)</f>
        <v>19.2</v>
      </c>
      <c r="E260" s="3">
        <f>ROUND(Data!AF260,1)</f>
        <v>3.1</v>
      </c>
      <c r="F260" s="23">
        <f>Data!BO260</f>
        <v>36</v>
      </c>
      <c r="G260" s="3">
        <f>Data!Q260</f>
        <v>0</v>
      </c>
      <c r="H260" s="19"/>
      <c r="I260" s="14"/>
      <c r="J260" s="16">
        <f>Data!BS260</f>
        <v>0</v>
      </c>
      <c r="K260" s="35">
        <f t="shared" si="49"/>
        <v>0</v>
      </c>
      <c r="M260" s="23">
        <f t="shared" si="50"/>
        <v>499.19999985694898</v>
      </c>
      <c r="N260" s="23">
        <f t="shared" si="51"/>
        <v>534.78999984979623</v>
      </c>
    </row>
    <row r="261" spans="1:14" x14ac:dyDescent="0.2">
      <c r="A261" s="40">
        <v>35319</v>
      </c>
      <c r="B261" s="34">
        <v>255</v>
      </c>
      <c r="C261" s="16">
        <f>ROUND(Data!BJ261,2)</f>
        <v>0</v>
      </c>
      <c r="D261" s="3">
        <f>ROUND(Data!R261,1)</f>
        <v>22.9</v>
      </c>
      <c r="E261" s="3">
        <f>ROUND(Data!AF261,1)</f>
        <v>5.0999999999999996</v>
      </c>
      <c r="F261" s="23">
        <f>Data!BO261</f>
        <v>27</v>
      </c>
      <c r="G261" s="3">
        <f>Data!Q261</f>
        <v>0</v>
      </c>
      <c r="H261" s="19"/>
      <c r="I261" s="14"/>
      <c r="J261" s="16">
        <f>Data!BS261</f>
        <v>0.5</v>
      </c>
      <c r="K261" s="35">
        <f t="shared" si="49"/>
        <v>0.52500000000000002</v>
      </c>
      <c r="M261" s="23">
        <f t="shared" si="50"/>
        <v>499.69999985694898</v>
      </c>
      <c r="N261" s="23">
        <f t="shared" si="51"/>
        <v>535.31499984979621</v>
      </c>
    </row>
    <row r="262" spans="1:14" x14ac:dyDescent="0.2">
      <c r="A262" s="40">
        <v>35320</v>
      </c>
      <c r="B262" s="34">
        <v>256</v>
      </c>
      <c r="C262" s="16">
        <f>ROUND(Data!BJ262,2)</f>
        <v>0</v>
      </c>
      <c r="D262" s="3">
        <f>ROUND(Data!R262,1)</f>
        <v>17.899999999999999</v>
      </c>
      <c r="E262" s="3">
        <f>ROUND(Data!AF262,1)</f>
        <v>6.1</v>
      </c>
      <c r="F262" s="23">
        <f>Data!BO262</f>
        <v>29</v>
      </c>
      <c r="G262" s="3">
        <f>Data!Q262</f>
        <v>0</v>
      </c>
      <c r="H262" s="19"/>
      <c r="I262" s="14"/>
      <c r="J262" s="16">
        <f>Data!BS262</f>
        <v>0.3</v>
      </c>
      <c r="K262" s="35">
        <f t="shared" si="49"/>
        <v>0.315</v>
      </c>
      <c r="M262" s="23">
        <f t="shared" si="50"/>
        <v>499.99999985694899</v>
      </c>
      <c r="N262" s="23">
        <f t="shared" si="51"/>
        <v>535.62999984979626</v>
      </c>
    </row>
    <row r="263" spans="1:14" x14ac:dyDescent="0.2">
      <c r="A263" s="40">
        <v>35321</v>
      </c>
      <c r="B263" s="34">
        <v>257</v>
      </c>
      <c r="C263" s="16">
        <f>ROUND(Data!BJ263,2)</f>
        <v>0</v>
      </c>
      <c r="D263" s="3">
        <f>ROUND(Data!R263,1)</f>
        <v>13</v>
      </c>
      <c r="E263" s="3">
        <f>ROUND(Data!AF263,1)</f>
        <v>3.2</v>
      </c>
      <c r="F263" s="23">
        <f>Data!BO263</f>
        <v>68</v>
      </c>
      <c r="G263" s="3">
        <f>Data!Q263</f>
        <v>0</v>
      </c>
      <c r="H263" s="19"/>
      <c r="I263" s="14"/>
      <c r="J263" s="16">
        <f>Data!BS263</f>
        <v>15</v>
      </c>
      <c r="K263" s="35">
        <f t="shared" si="49"/>
        <v>15.75</v>
      </c>
      <c r="M263" s="23">
        <f t="shared" si="50"/>
        <v>514.99999985694899</v>
      </c>
      <c r="N263" s="23">
        <f t="shared" si="51"/>
        <v>551.37999984979626</v>
      </c>
    </row>
    <row r="264" spans="1:14" x14ac:dyDescent="0.2">
      <c r="A264" s="40">
        <v>35322</v>
      </c>
      <c r="B264" s="34">
        <v>258</v>
      </c>
      <c r="C264" s="16">
        <f>ROUND(Data!BJ264,2)</f>
        <v>0</v>
      </c>
      <c r="D264" s="3">
        <f>ROUND(Data!R264,1)</f>
        <v>11.1</v>
      </c>
      <c r="E264" s="3">
        <f>ROUND(Data!AF264,1)</f>
        <v>1</v>
      </c>
      <c r="F264" s="23">
        <f>Data!BO264</f>
        <v>66</v>
      </c>
      <c r="G264" s="3">
        <f>Data!Q264</f>
        <v>0</v>
      </c>
      <c r="H264" s="19"/>
      <c r="I264" s="14"/>
      <c r="J264" s="16">
        <f>Data!BS264</f>
        <v>15</v>
      </c>
      <c r="K264" s="35">
        <f t="shared" si="49"/>
        <v>15.75</v>
      </c>
      <c r="M264" s="23">
        <f t="shared" si="50"/>
        <v>529.99999985694899</v>
      </c>
      <c r="N264" s="23">
        <f t="shared" si="51"/>
        <v>567.12999984979626</v>
      </c>
    </row>
    <row r="265" spans="1:14" x14ac:dyDescent="0.2">
      <c r="A265" s="40">
        <v>35323</v>
      </c>
      <c r="B265" s="34">
        <v>259</v>
      </c>
      <c r="C265" s="16">
        <f>ROUND(Data!BJ265,2)</f>
        <v>0</v>
      </c>
      <c r="D265" s="3">
        <f>ROUND(Data!R265,1)</f>
        <v>7.7</v>
      </c>
      <c r="E265" s="3">
        <f>ROUND(Data!AF265,1)</f>
        <v>0.4</v>
      </c>
      <c r="F265" s="23">
        <f>Data!BO265</f>
        <v>78</v>
      </c>
      <c r="G265" s="3">
        <f>Data!Q265</f>
        <v>0</v>
      </c>
      <c r="H265" s="19"/>
      <c r="I265" s="14"/>
      <c r="J265" s="16">
        <f>Data!BS265</f>
        <v>16.5</v>
      </c>
      <c r="K265" s="35">
        <f t="shared" si="49"/>
        <v>17.324999999999999</v>
      </c>
      <c r="M265" s="23">
        <f t="shared" si="50"/>
        <v>546.49999985694899</v>
      </c>
      <c r="N265" s="23">
        <f t="shared" si="51"/>
        <v>584.45499984979631</v>
      </c>
    </row>
    <row r="266" spans="1:14" x14ac:dyDescent="0.2">
      <c r="A266" s="40">
        <v>35324</v>
      </c>
      <c r="B266" s="34">
        <v>260</v>
      </c>
      <c r="C266" s="16">
        <f>ROUND(Data!BJ266,2)</f>
        <v>0</v>
      </c>
      <c r="D266" s="3">
        <f>ROUND(Data!R266,1)</f>
        <v>7.6</v>
      </c>
      <c r="E266" s="3">
        <f>ROUND(Data!AF266,1)</f>
        <v>-1.1000000000000001</v>
      </c>
      <c r="F266" s="23">
        <f>Data!BO266</f>
        <v>67</v>
      </c>
      <c r="G266" s="3">
        <f>Data!Q266</f>
        <v>0</v>
      </c>
      <c r="H266" s="19"/>
      <c r="I266" s="14"/>
      <c r="J266" s="16">
        <f>Data!BS266</f>
        <v>0</v>
      </c>
      <c r="K266" s="35">
        <f t="shared" si="49"/>
        <v>0</v>
      </c>
      <c r="M266" s="23">
        <f t="shared" si="50"/>
        <v>546.49999985694899</v>
      </c>
      <c r="N266" s="23">
        <f t="shared" si="51"/>
        <v>584.45499984979631</v>
      </c>
    </row>
    <row r="267" spans="1:14" x14ac:dyDescent="0.2">
      <c r="A267" s="40">
        <v>35325</v>
      </c>
      <c r="B267" s="34">
        <v>261</v>
      </c>
      <c r="C267" s="16">
        <f>ROUND(Data!BJ267,2)</f>
        <v>0</v>
      </c>
      <c r="D267" s="3">
        <f>ROUND(Data!R267,1)</f>
        <v>9.3000000000000007</v>
      </c>
      <c r="E267" s="3">
        <f>ROUND(Data!AF267,1)</f>
        <v>-1.2</v>
      </c>
      <c r="F267" s="23">
        <f>Data!BO267</f>
        <v>65</v>
      </c>
      <c r="G267" s="3">
        <f>Data!Q267</f>
        <v>0</v>
      </c>
      <c r="H267" s="19"/>
      <c r="I267" s="14"/>
      <c r="J267" s="16">
        <f>Data!BS267</f>
        <v>1</v>
      </c>
      <c r="K267" s="35">
        <f t="shared" si="49"/>
        <v>1.05</v>
      </c>
      <c r="M267" s="23">
        <f t="shared" si="50"/>
        <v>547.49999985694899</v>
      </c>
      <c r="N267" s="23">
        <f t="shared" si="51"/>
        <v>585.50499984979626</v>
      </c>
    </row>
    <row r="268" spans="1:14" x14ac:dyDescent="0.2">
      <c r="A268" s="40">
        <v>35326</v>
      </c>
      <c r="B268" s="34">
        <v>262</v>
      </c>
      <c r="C268" s="16">
        <f>ROUND(Data!BJ268,2)</f>
        <v>0</v>
      </c>
      <c r="D268" s="3">
        <f>ROUND(Data!R268,1)</f>
        <v>9.3000000000000007</v>
      </c>
      <c r="E268" s="3">
        <f>ROUND(Data!AF268,1)</f>
        <v>-0.6</v>
      </c>
      <c r="F268" s="23">
        <f>Data!BO268</f>
        <v>63</v>
      </c>
      <c r="G268" s="3">
        <f>Data!Q268</f>
        <v>0</v>
      </c>
      <c r="H268" s="19"/>
      <c r="I268" s="14"/>
      <c r="J268" s="16">
        <f>Data!BS268</f>
        <v>0.3</v>
      </c>
      <c r="K268" s="35">
        <f t="shared" si="49"/>
        <v>0.315</v>
      </c>
      <c r="M268" s="23">
        <f t="shared" si="50"/>
        <v>547.79999985694894</v>
      </c>
      <c r="N268" s="23">
        <f t="shared" si="51"/>
        <v>585.81999984979632</v>
      </c>
    </row>
    <row r="269" spans="1:14" x14ac:dyDescent="0.2">
      <c r="A269" s="40">
        <v>35327</v>
      </c>
      <c r="B269" s="34">
        <v>263</v>
      </c>
      <c r="C269" s="16">
        <f>ROUND(Data!BJ269,2)</f>
        <v>0</v>
      </c>
      <c r="D269" s="3">
        <f>ROUND(Data!R269,1)</f>
        <v>7.8</v>
      </c>
      <c r="E269" s="3">
        <f>ROUND(Data!AF269,1)</f>
        <v>-1.4</v>
      </c>
      <c r="F269" s="23">
        <f>Data!BO269</f>
        <v>72</v>
      </c>
      <c r="G269" s="3">
        <f>Data!Q269</f>
        <v>0</v>
      </c>
      <c r="H269" s="19"/>
      <c r="I269" s="14"/>
      <c r="J269" s="16">
        <f>Data!BS269</f>
        <v>2.8</v>
      </c>
      <c r="K269" s="35">
        <f t="shared" si="49"/>
        <v>2.94</v>
      </c>
      <c r="M269" s="23">
        <f t="shared" si="50"/>
        <v>550.5999998569489</v>
      </c>
      <c r="N269" s="23">
        <f t="shared" si="51"/>
        <v>588.75999984979637</v>
      </c>
    </row>
    <row r="270" spans="1:14" x14ac:dyDescent="0.2">
      <c r="A270" s="40">
        <v>35328</v>
      </c>
      <c r="B270" s="34">
        <v>264</v>
      </c>
      <c r="C270" s="16">
        <f>ROUND(Data!BJ270,2)</f>
        <v>0</v>
      </c>
      <c r="D270" s="3">
        <f>ROUND(Data!R270,1)</f>
        <v>4.2</v>
      </c>
      <c r="E270" s="3">
        <f>ROUND(Data!AF270,1)</f>
        <v>-1.8</v>
      </c>
      <c r="F270" s="23">
        <f>Data!BO270</f>
        <v>80</v>
      </c>
      <c r="G270" s="3">
        <f>Data!Q270</f>
        <v>0</v>
      </c>
      <c r="H270" s="19"/>
      <c r="I270" s="14"/>
      <c r="J270" s="16">
        <f>Data!BS270</f>
        <v>18.3</v>
      </c>
      <c r="K270" s="35">
        <f t="shared" si="49"/>
        <v>19.215</v>
      </c>
      <c r="M270" s="23">
        <f t="shared" si="50"/>
        <v>568.89999985694885</v>
      </c>
      <c r="N270" s="23">
        <f t="shared" si="51"/>
        <v>607.9749998497964</v>
      </c>
    </row>
    <row r="271" spans="1:14" x14ac:dyDescent="0.2">
      <c r="A271" s="40">
        <v>35329</v>
      </c>
      <c r="B271" s="34">
        <v>265</v>
      </c>
      <c r="C271" s="16">
        <f>ROUND(Data!BJ271,2)</f>
        <v>0</v>
      </c>
      <c r="D271" s="3">
        <f>ROUND(Data!R271,1)</f>
        <v>4</v>
      </c>
      <c r="E271" s="3">
        <f>ROUND(Data!AF271,1)</f>
        <v>-3.3</v>
      </c>
      <c r="F271" s="23">
        <f>Data!BO271</f>
        <v>77</v>
      </c>
      <c r="G271" s="3">
        <f>Data!Q271</f>
        <v>0</v>
      </c>
      <c r="H271" s="19"/>
      <c r="I271" s="14"/>
      <c r="J271" s="16">
        <f>Data!BS271</f>
        <v>10.4</v>
      </c>
      <c r="K271" s="35">
        <f t="shared" si="49"/>
        <v>10.920000000000002</v>
      </c>
      <c r="M271" s="23">
        <f t="shared" si="50"/>
        <v>579.29999985694883</v>
      </c>
      <c r="N271" s="23">
        <f t="shared" si="51"/>
        <v>618.89499984979636</v>
      </c>
    </row>
    <row r="272" spans="1:14" x14ac:dyDescent="0.2">
      <c r="A272" s="40">
        <v>35330</v>
      </c>
      <c r="B272" s="34">
        <v>266</v>
      </c>
      <c r="C272" s="16">
        <f>ROUND(Data!BJ272,2)</f>
        <v>0</v>
      </c>
      <c r="D272" s="3">
        <f>ROUND(Data!R272,1)</f>
        <v>4.2</v>
      </c>
      <c r="E272" s="3">
        <f>ROUND(Data!AF272,1)</f>
        <v>-3.7</v>
      </c>
      <c r="F272" s="23">
        <f>Data!BO272</f>
        <v>72</v>
      </c>
      <c r="G272" s="3">
        <f>Data!Q272</f>
        <v>0</v>
      </c>
      <c r="H272" s="19"/>
      <c r="I272" s="14"/>
      <c r="J272" s="16">
        <f>Data!BS272</f>
        <v>2.5</v>
      </c>
      <c r="K272" s="35">
        <f t="shared" si="49"/>
        <v>2.625</v>
      </c>
      <c r="M272" s="23">
        <f t="shared" si="50"/>
        <v>581.79999985694883</v>
      </c>
      <c r="N272" s="23">
        <f t="shared" si="51"/>
        <v>621.51999984979636</v>
      </c>
    </row>
    <row r="273" spans="1:20" x14ac:dyDescent="0.2">
      <c r="A273" s="40">
        <v>35331</v>
      </c>
      <c r="B273" s="34">
        <v>267</v>
      </c>
      <c r="C273" s="16">
        <f>ROUND(Data!BJ273,2)</f>
        <v>0</v>
      </c>
      <c r="D273" s="3">
        <f>ROUND(Data!R273,1)</f>
        <v>7</v>
      </c>
      <c r="E273" s="3">
        <f>ROUND(Data!AF273,1)</f>
        <v>-4</v>
      </c>
      <c r="F273" s="23">
        <f>Data!BO273</f>
        <v>43</v>
      </c>
      <c r="G273" s="3">
        <f>Data!Q273</f>
        <v>0</v>
      </c>
      <c r="H273" s="19"/>
      <c r="I273" s="14"/>
      <c r="J273" s="16">
        <f>Data!BS273</f>
        <v>0</v>
      </c>
      <c r="K273" s="35">
        <f t="shared" si="49"/>
        <v>0</v>
      </c>
      <c r="M273" s="23">
        <f t="shared" si="50"/>
        <v>581.79999985694883</v>
      </c>
      <c r="N273" s="23">
        <f t="shared" si="51"/>
        <v>621.51999984979636</v>
      </c>
    </row>
    <row r="274" spans="1:20" x14ac:dyDescent="0.2">
      <c r="A274" s="40">
        <v>35332</v>
      </c>
      <c r="B274" s="34">
        <v>268</v>
      </c>
      <c r="C274" s="16">
        <f>ROUND(Data!BJ274,2)</f>
        <v>0</v>
      </c>
      <c r="D274" s="3">
        <f>ROUND(Data!R274,1)</f>
        <v>7.9</v>
      </c>
      <c r="E274" s="3">
        <f>ROUND(Data!AF274,1)</f>
        <v>-3.9</v>
      </c>
      <c r="F274" s="23">
        <f>Data!BO274</f>
        <v>44</v>
      </c>
      <c r="G274" s="3">
        <f>Data!Q274</f>
        <v>0</v>
      </c>
      <c r="H274" s="19"/>
      <c r="I274" s="14"/>
      <c r="J274" s="16">
        <f>Data!BS274</f>
        <v>0.3</v>
      </c>
      <c r="K274" s="35">
        <f t="shared" si="49"/>
        <v>0.315</v>
      </c>
      <c r="M274" s="23">
        <f t="shared" si="50"/>
        <v>582.09999985694878</v>
      </c>
      <c r="N274" s="23">
        <f t="shared" si="51"/>
        <v>621.83499984979642</v>
      </c>
    </row>
    <row r="275" spans="1:20" x14ac:dyDescent="0.2">
      <c r="A275" s="40">
        <v>35333</v>
      </c>
      <c r="B275" s="34">
        <v>269</v>
      </c>
      <c r="C275" s="16">
        <f>ROUND(Data!BJ275,2)</f>
        <v>0</v>
      </c>
      <c r="D275" s="3">
        <f>ROUND(Data!R275,1)</f>
        <v>8.9</v>
      </c>
      <c r="E275" s="3">
        <f>ROUND(Data!AF275,1)</f>
        <v>-3.2</v>
      </c>
      <c r="F275" s="23">
        <f>Data!BO275</f>
        <v>45</v>
      </c>
      <c r="G275" s="3">
        <f>Data!Q275</f>
        <v>0</v>
      </c>
      <c r="H275" s="19"/>
      <c r="I275" s="14"/>
      <c r="J275" s="16">
        <f>Data!BS275</f>
        <v>0</v>
      </c>
      <c r="K275" s="35">
        <f t="shared" si="49"/>
        <v>0</v>
      </c>
      <c r="M275" s="23">
        <f t="shared" si="50"/>
        <v>582.09999985694878</v>
      </c>
      <c r="N275" s="23">
        <f t="shared" si="51"/>
        <v>621.83499984979642</v>
      </c>
    </row>
    <row r="276" spans="1:20" x14ac:dyDescent="0.2">
      <c r="A276" s="40">
        <v>35334</v>
      </c>
      <c r="B276" s="34">
        <v>270</v>
      </c>
      <c r="C276" s="16">
        <f>ROUND(Data!BJ276,2)</f>
        <v>0</v>
      </c>
      <c r="D276" s="3">
        <f>ROUND(Data!R276,1)</f>
        <v>10.4</v>
      </c>
      <c r="E276" s="3">
        <f>ROUND(Data!AF276,1)</f>
        <v>0.1</v>
      </c>
      <c r="F276" s="23">
        <f>Data!BO276</f>
        <v>63</v>
      </c>
      <c r="G276" s="3">
        <f>Data!Q276</f>
        <v>0</v>
      </c>
      <c r="H276" s="19"/>
      <c r="I276" s="14"/>
      <c r="J276" s="16">
        <f>Data!BS276</f>
        <v>0</v>
      </c>
      <c r="K276" s="35">
        <f t="shared" si="49"/>
        <v>0</v>
      </c>
      <c r="M276" s="23">
        <f t="shared" si="50"/>
        <v>582.09999985694878</v>
      </c>
      <c r="N276" s="23">
        <f t="shared" si="51"/>
        <v>621.83499984979642</v>
      </c>
    </row>
    <row r="277" spans="1:20" x14ac:dyDescent="0.2">
      <c r="A277" s="40">
        <v>35335</v>
      </c>
      <c r="B277" s="34">
        <v>271</v>
      </c>
      <c r="C277" s="16">
        <f>ROUND(Data!BJ277,2)</f>
        <v>0</v>
      </c>
      <c r="D277" s="3">
        <f>ROUND(Data!R277,1)</f>
        <v>15.5</v>
      </c>
      <c r="E277" s="3">
        <f>ROUND(Data!AF277,1)</f>
        <v>1.5</v>
      </c>
      <c r="F277" s="23">
        <f>Data!BO277</f>
        <v>56</v>
      </c>
      <c r="G277" s="3">
        <f>Data!Q277</f>
        <v>0</v>
      </c>
      <c r="H277" s="19"/>
      <c r="I277" s="14"/>
      <c r="J277" s="16">
        <f>Data!BS277</f>
        <v>0</v>
      </c>
      <c r="K277" s="35">
        <f t="shared" si="49"/>
        <v>0</v>
      </c>
      <c r="M277" s="23">
        <f t="shared" si="50"/>
        <v>582.09999985694878</v>
      </c>
      <c r="N277" s="23">
        <f t="shared" si="51"/>
        <v>621.83499984979642</v>
      </c>
    </row>
    <row r="278" spans="1:20" x14ac:dyDescent="0.2">
      <c r="A278" s="40">
        <v>35336</v>
      </c>
      <c r="B278" s="34">
        <v>272</v>
      </c>
      <c r="C278" s="16">
        <f>ROUND(Data!BJ278,2)</f>
        <v>0</v>
      </c>
      <c r="D278" s="3">
        <f>ROUND(Data!R278,1)</f>
        <v>16.3</v>
      </c>
      <c r="E278" s="3">
        <f>ROUND(Data!AF278,1)</f>
        <v>4.2</v>
      </c>
      <c r="F278" s="23">
        <f>Data!BO278</f>
        <v>45</v>
      </c>
      <c r="G278" s="3">
        <f>Data!Q278</f>
        <v>0</v>
      </c>
      <c r="H278" s="19"/>
      <c r="I278" s="14"/>
      <c r="J278" s="16">
        <f>Data!BS278</f>
        <v>0</v>
      </c>
      <c r="K278" s="35">
        <f t="shared" si="49"/>
        <v>0</v>
      </c>
      <c r="M278" s="23">
        <f t="shared" si="50"/>
        <v>582.09999985694878</v>
      </c>
      <c r="N278" s="23">
        <f t="shared" si="51"/>
        <v>621.83499984979642</v>
      </c>
    </row>
    <row r="279" spans="1:20" x14ac:dyDescent="0.2">
      <c r="A279" s="40">
        <v>35337</v>
      </c>
      <c r="B279" s="34">
        <v>273</v>
      </c>
      <c r="C279" s="16">
        <f>ROUND(Data!BJ279,2)</f>
        <v>0</v>
      </c>
      <c r="D279" s="3">
        <f>ROUND(Data!R279,1)</f>
        <v>10.5</v>
      </c>
      <c r="E279" s="3">
        <f>ROUND(Data!AF279,1)</f>
        <v>1.7</v>
      </c>
      <c r="F279" s="23">
        <f>Data!BO279</f>
        <v>67</v>
      </c>
      <c r="G279" s="3">
        <f>Data!Q279</f>
        <v>0</v>
      </c>
      <c r="H279" s="19"/>
      <c r="I279" s="14"/>
      <c r="J279" s="16">
        <f>Data!BS279</f>
        <v>1.3</v>
      </c>
      <c r="K279" s="35">
        <f t="shared" si="49"/>
        <v>1.3650000000000002</v>
      </c>
      <c r="M279" s="23">
        <f t="shared" si="50"/>
        <v>583.39999985694874</v>
      </c>
      <c r="N279" s="23">
        <f t="shared" si="51"/>
        <v>623.19999984979643</v>
      </c>
    </row>
    <row r="280" spans="1:20" x14ac:dyDescent="0.2">
      <c r="A280" s="40">
        <v>35338</v>
      </c>
      <c r="B280" s="34">
        <v>274</v>
      </c>
      <c r="C280" s="16">
        <f>ROUND(Data!BJ280,2)</f>
        <v>0</v>
      </c>
      <c r="D280" s="3">
        <f>ROUND(Data!R280,1)</f>
        <v>11.3</v>
      </c>
      <c r="E280" s="3">
        <f>ROUND(Data!AF280,1)</f>
        <v>-1.1000000000000001</v>
      </c>
      <c r="F280" s="23">
        <f>Data!BO280</f>
        <v>54</v>
      </c>
      <c r="G280" s="3">
        <f>Data!Q280</f>
        <v>0</v>
      </c>
      <c r="H280" s="19"/>
      <c r="I280" s="14"/>
      <c r="J280" s="16">
        <f>Data!BS280</f>
        <v>3</v>
      </c>
      <c r="K280" s="35">
        <f t="shared" si="49"/>
        <v>3.1500000000000004</v>
      </c>
      <c r="M280" s="23">
        <f t="shared" si="50"/>
        <v>586.39999985694874</v>
      </c>
      <c r="N280" s="23">
        <f t="shared" si="51"/>
        <v>626.3499998497964</v>
      </c>
    </row>
    <row r="281" spans="1:20" x14ac:dyDescent="0.2">
      <c r="A281" s="40">
        <v>35339</v>
      </c>
      <c r="B281" s="34">
        <v>275</v>
      </c>
      <c r="C281" s="16">
        <f>ROUND(Data!BJ281,2)</f>
        <v>0</v>
      </c>
      <c r="D281" s="3">
        <f>ROUND(Data!R281,1)</f>
        <v>6.2</v>
      </c>
      <c r="E281" s="3">
        <f>ROUND(Data!AF281,1)</f>
        <v>-4.7</v>
      </c>
      <c r="F281" s="23">
        <f>Data!BO281</f>
        <v>45</v>
      </c>
      <c r="G281" s="3">
        <f>Data!Q281</f>
        <v>0</v>
      </c>
      <c r="H281" s="19"/>
      <c r="I281" s="14"/>
      <c r="J281" s="16">
        <f>Data!BS281</f>
        <v>0</v>
      </c>
      <c r="K281" s="35">
        <f t="shared" si="49"/>
        <v>0</v>
      </c>
      <c r="M281" s="23">
        <f t="shared" si="50"/>
        <v>586.39999985694874</v>
      </c>
      <c r="N281" s="23">
        <f t="shared" si="51"/>
        <v>626.3499998497964</v>
      </c>
    </row>
    <row r="282" spans="1:20" x14ac:dyDescent="0.2">
      <c r="A282" s="40">
        <v>35340</v>
      </c>
      <c r="B282" s="34">
        <v>276</v>
      </c>
      <c r="C282" s="16">
        <f>ROUND(Data!BJ282,2)</f>
        <v>0</v>
      </c>
      <c r="D282" s="3">
        <f>ROUND(Data!R282,1)</f>
        <v>10.3</v>
      </c>
      <c r="E282" s="3">
        <f>ROUND(Data!AF282,1)</f>
        <v>-1.8</v>
      </c>
      <c r="F282" s="23">
        <f>Data!BO282</f>
        <v>29</v>
      </c>
      <c r="G282" s="3">
        <f>Data!Q282</f>
        <v>0</v>
      </c>
      <c r="H282" s="19"/>
      <c r="I282" s="14"/>
      <c r="J282" s="16">
        <f>Data!BS282</f>
        <v>0.3</v>
      </c>
      <c r="K282" s="35">
        <f t="shared" si="49"/>
        <v>0.315</v>
      </c>
      <c r="M282" s="23">
        <f t="shared" si="50"/>
        <v>586.69999985694869</v>
      </c>
      <c r="N282" s="23">
        <f t="shared" si="51"/>
        <v>626.66499984979646</v>
      </c>
    </row>
    <row r="283" spans="1:20" x14ac:dyDescent="0.2">
      <c r="A283" s="40">
        <v>35341</v>
      </c>
      <c r="B283" s="34">
        <v>277</v>
      </c>
      <c r="C283" s="16">
        <f>ROUND(Data!BJ283,2)</f>
        <v>0</v>
      </c>
      <c r="D283" s="3">
        <f>ROUND(Data!R283,1)</f>
        <v>10.7</v>
      </c>
      <c r="E283" s="3">
        <f>ROUND(Data!AF283,1)</f>
        <v>0.8</v>
      </c>
      <c r="F283" s="23">
        <f>Data!BO283</f>
        <v>59</v>
      </c>
      <c r="G283" s="3">
        <f>Data!Q283</f>
        <v>0</v>
      </c>
      <c r="H283" s="19"/>
      <c r="I283" s="14"/>
      <c r="J283" s="16">
        <f>Data!BS283</f>
        <v>1</v>
      </c>
      <c r="K283" s="35">
        <f t="shared" si="49"/>
        <v>1.05</v>
      </c>
      <c r="M283" s="23">
        <f t="shared" si="50"/>
        <v>587.69999985694869</v>
      </c>
      <c r="N283" s="23">
        <f t="shared" si="51"/>
        <v>627.71499984979641</v>
      </c>
    </row>
    <row r="284" spans="1:20" x14ac:dyDescent="0.2">
      <c r="A284" s="40">
        <v>35342</v>
      </c>
      <c r="B284" s="34">
        <v>278</v>
      </c>
      <c r="C284" s="16">
        <f>ROUND(Data!BJ284,2)</f>
        <v>0</v>
      </c>
      <c r="D284" s="3">
        <f>ROUND(Data!R284,1)</f>
        <v>9.8000000000000007</v>
      </c>
      <c r="E284" s="3">
        <f>ROUND(Data!AF284,1)</f>
        <v>2.4</v>
      </c>
      <c r="F284" s="23">
        <f>Data!BO284</f>
        <v>63</v>
      </c>
      <c r="G284" s="3">
        <f>Data!Q284</f>
        <v>0</v>
      </c>
      <c r="H284" s="19"/>
      <c r="I284" s="14"/>
      <c r="J284" s="16">
        <f>Data!BS284</f>
        <v>14.7</v>
      </c>
      <c r="K284" s="35">
        <f t="shared" si="49"/>
        <v>15.435</v>
      </c>
      <c r="M284" s="23">
        <f t="shared" si="50"/>
        <v>602.39999985694874</v>
      </c>
      <c r="N284" s="23">
        <f t="shared" si="51"/>
        <v>643.14999984979636</v>
      </c>
    </row>
    <row r="285" spans="1:20" x14ac:dyDescent="0.2">
      <c r="A285" s="40">
        <v>35343</v>
      </c>
      <c r="B285" s="34">
        <v>279</v>
      </c>
      <c r="C285" s="16">
        <f>ROUND(Data!BJ285,2)</f>
        <v>0</v>
      </c>
      <c r="D285" s="3">
        <f>ROUND(Data!R285,1)</f>
        <v>7.1</v>
      </c>
      <c r="E285" s="3">
        <f>ROUND(Data!AF285,1)</f>
        <v>-0.5</v>
      </c>
      <c r="F285" s="23">
        <f>Data!BO285</f>
        <v>77</v>
      </c>
      <c r="G285" s="3">
        <f>Data!Q285</f>
        <v>0</v>
      </c>
      <c r="H285" s="19"/>
      <c r="I285" s="14"/>
      <c r="J285" s="16">
        <f>Data!BS285</f>
        <v>0.5</v>
      </c>
      <c r="K285" s="35">
        <f t="shared" si="49"/>
        <v>0.52500000000000002</v>
      </c>
      <c r="M285" s="23">
        <f t="shared" si="50"/>
        <v>602.89999985694874</v>
      </c>
      <c r="N285" s="23">
        <f t="shared" si="51"/>
        <v>643.67499984979634</v>
      </c>
    </row>
    <row r="286" spans="1:20" x14ac:dyDescent="0.2">
      <c r="A286" s="40">
        <v>35344</v>
      </c>
      <c r="B286" s="34">
        <v>280</v>
      </c>
      <c r="C286" s="16">
        <f>ROUND(Data!BJ286,2)</f>
        <v>0</v>
      </c>
      <c r="D286" s="3">
        <f>ROUND(Data!R286,1)</f>
        <v>8.9</v>
      </c>
      <c r="E286" s="3">
        <f>ROUND(Data!AF286,1)</f>
        <v>-0.3</v>
      </c>
      <c r="F286" s="23">
        <f>Data!BO286</f>
        <v>62</v>
      </c>
      <c r="G286" s="3">
        <f>Data!Q286</f>
        <v>0</v>
      </c>
      <c r="H286" s="19"/>
      <c r="I286" s="14"/>
      <c r="J286" s="16">
        <f>Data!BS286</f>
        <v>1</v>
      </c>
      <c r="K286" s="35">
        <f t="shared" si="49"/>
        <v>1.05</v>
      </c>
      <c r="M286" s="23">
        <f t="shared" si="50"/>
        <v>603.89999985694874</v>
      </c>
      <c r="N286" s="23">
        <f t="shared" si="51"/>
        <v>644.72499984979629</v>
      </c>
      <c r="P286" s="31"/>
      <c r="Q286" s="31"/>
      <c r="R286" s="32"/>
      <c r="S286" s="33"/>
      <c r="T286" s="33"/>
    </row>
    <row r="287" spans="1:20" x14ac:dyDescent="0.2">
      <c r="A287" s="40">
        <v>35345</v>
      </c>
      <c r="B287" s="34">
        <v>281</v>
      </c>
      <c r="C287" s="16">
        <f>ROUND(Data!BJ287,2)</f>
        <v>0</v>
      </c>
      <c r="D287" s="3">
        <f>ROUND(Data!R287,1)</f>
        <v>12</v>
      </c>
      <c r="E287" s="3">
        <f>ROUND(Data!AF287,1)</f>
        <v>1.2</v>
      </c>
      <c r="F287" s="23">
        <f>Data!BO287</f>
        <v>63</v>
      </c>
      <c r="G287" s="3">
        <f>Data!Q287</f>
        <v>0</v>
      </c>
      <c r="H287" s="19"/>
      <c r="I287" s="14"/>
      <c r="J287" s="16">
        <f>Data!BS287</f>
        <v>0</v>
      </c>
      <c r="K287" s="35">
        <f t="shared" si="49"/>
        <v>0</v>
      </c>
      <c r="M287" s="23">
        <f t="shared" si="50"/>
        <v>603.89999985694874</v>
      </c>
      <c r="N287" s="23">
        <f t="shared" si="51"/>
        <v>644.72499984979629</v>
      </c>
      <c r="P287" s="31"/>
      <c r="Q287" s="31"/>
      <c r="R287" s="32"/>
      <c r="S287" s="33"/>
      <c r="T287" s="33"/>
    </row>
    <row r="288" spans="1:20" x14ac:dyDescent="0.2">
      <c r="A288" s="40">
        <v>35346</v>
      </c>
      <c r="B288" s="34">
        <v>282</v>
      </c>
      <c r="C288" s="16">
        <f>ROUND(Data!BJ288,2)</f>
        <v>0</v>
      </c>
      <c r="D288" s="3">
        <f>ROUND(Data!R288,1)</f>
        <v>13.8</v>
      </c>
      <c r="E288" s="3">
        <f>ROUND(Data!AF288,1)</f>
        <v>1.1000000000000001</v>
      </c>
      <c r="F288" s="23">
        <f>Data!BO288</f>
        <v>53</v>
      </c>
      <c r="G288" s="3">
        <f>Data!Q288</f>
        <v>0</v>
      </c>
      <c r="H288" s="19"/>
      <c r="I288" s="14"/>
      <c r="J288" s="16">
        <f>Data!BS288</f>
        <v>0</v>
      </c>
      <c r="K288" s="35">
        <f t="shared" si="49"/>
        <v>0</v>
      </c>
      <c r="M288" s="23">
        <f t="shared" si="50"/>
        <v>603.89999985694874</v>
      </c>
      <c r="N288" s="23">
        <f t="shared" si="51"/>
        <v>644.72499984979629</v>
      </c>
      <c r="P288" s="31"/>
      <c r="Q288" s="31"/>
      <c r="R288" s="32"/>
      <c r="S288" s="33"/>
      <c r="T288" s="33"/>
    </row>
    <row r="289" spans="1:20" x14ac:dyDescent="0.2">
      <c r="A289" s="40">
        <v>35347</v>
      </c>
      <c r="B289" s="34">
        <v>283</v>
      </c>
      <c r="C289" s="16">
        <f>ROUND(Data!BJ289,2)</f>
        <v>0</v>
      </c>
      <c r="D289" s="3">
        <f>ROUND(Data!R289,1)</f>
        <v>11.6</v>
      </c>
      <c r="E289" s="3">
        <f>ROUND(Data!AF289,1)</f>
        <v>1.1000000000000001</v>
      </c>
      <c r="F289" s="23">
        <f>Data!BO289</f>
        <v>63</v>
      </c>
      <c r="G289" s="3">
        <f>Data!Q289</f>
        <v>0</v>
      </c>
      <c r="H289" s="19"/>
      <c r="I289" s="14"/>
      <c r="J289" s="16">
        <f>Data!BS289</f>
        <v>0.3</v>
      </c>
      <c r="K289" s="35">
        <f t="shared" si="49"/>
        <v>0.315</v>
      </c>
      <c r="M289" s="23">
        <f t="shared" si="50"/>
        <v>604.19999985694869</v>
      </c>
      <c r="N289" s="23">
        <f t="shared" si="51"/>
        <v>645.03999984979635</v>
      </c>
      <c r="P289" s="31"/>
      <c r="Q289" s="31"/>
      <c r="R289" s="32"/>
      <c r="S289" s="33"/>
      <c r="T289" s="33"/>
    </row>
    <row r="290" spans="1:20" x14ac:dyDescent="0.2">
      <c r="A290" s="40">
        <v>35348</v>
      </c>
      <c r="B290" s="34">
        <v>284</v>
      </c>
      <c r="C290" s="16">
        <f>ROUND(Data!BJ290,2)</f>
        <v>0</v>
      </c>
      <c r="D290" s="3">
        <f>ROUND(Data!R290,1)</f>
        <v>13.3</v>
      </c>
      <c r="E290" s="3">
        <f>ROUND(Data!AF290,1)</f>
        <v>3.5</v>
      </c>
      <c r="F290" s="23">
        <f>Data!BO290</f>
        <v>50</v>
      </c>
      <c r="G290" s="3">
        <f>Data!Q290</f>
        <v>0</v>
      </c>
      <c r="H290" s="19"/>
      <c r="I290" s="14"/>
      <c r="J290" s="16">
        <f>Data!BS290</f>
        <v>0</v>
      </c>
      <c r="K290" s="35">
        <f t="shared" si="49"/>
        <v>0</v>
      </c>
      <c r="M290" s="23">
        <f t="shared" si="50"/>
        <v>604.19999985694869</v>
      </c>
      <c r="N290" s="23">
        <f t="shared" si="51"/>
        <v>645.03999984979635</v>
      </c>
      <c r="P290" s="31"/>
      <c r="Q290" s="31"/>
      <c r="R290" s="32"/>
      <c r="S290" s="33"/>
      <c r="T290" s="33"/>
    </row>
    <row r="291" spans="1:20" x14ac:dyDescent="0.2">
      <c r="A291" s="40">
        <v>35349</v>
      </c>
      <c r="B291" s="34">
        <v>285</v>
      </c>
      <c r="C291" s="16">
        <f>ROUND(Data!BJ291,2)</f>
        <v>0</v>
      </c>
      <c r="D291" s="3">
        <f>ROUND(Data!R291,1)</f>
        <v>9.1999999999999993</v>
      </c>
      <c r="E291" s="3">
        <f>ROUND(Data!AF291,1)</f>
        <v>-0.5</v>
      </c>
      <c r="F291" s="23">
        <f>Data!BO291</f>
        <v>62</v>
      </c>
      <c r="G291" s="3">
        <f>Data!Q291</f>
        <v>0</v>
      </c>
      <c r="H291" s="19"/>
      <c r="I291" s="14"/>
      <c r="J291" s="16">
        <f>Data!BS291</f>
        <v>19.8</v>
      </c>
      <c r="K291" s="35">
        <f t="shared" si="49"/>
        <v>20.790000000000003</v>
      </c>
      <c r="M291" s="23">
        <f t="shared" si="50"/>
        <v>623.99999985694865</v>
      </c>
      <c r="N291" s="23">
        <f t="shared" si="51"/>
        <v>665.82999984979631</v>
      </c>
      <c r="P291" s="31"/>
      <c r="Q291" s="31"/>
      <c r="R291" s="32"/>
      <c r="S291" s="33"/>
      <c r="T291" s="33"/>
    </row>
    <row r="292" spans="1:20" x14ac:dyDescent="0.2">
      <c r="A292" s="40">
        <v>35350</v>
      </c>
      <c r="B292" s="34">
        <v>286</v>
      </c>
      <c r="C292" s="16">
        <f>ROUND(Data!BJ292,2)</f>
        <v>0</v>
      </c>
      <c r="D292" s="3">
        <f>ROUND(Data!R292,1)</f>
        <v>8.6</v>
      </c>
      <c r="E292" s="3">
        <f>ROUND(Data!AF292,1)</f>
        <v>-1.2</v>
      </c>
      <c r="F292" s="23">
        <f>Data!BO292</f>
        <v>68</v>
      </c>
      <c r="G292" s="3">
        <f>Data!Q292</f>
        <v>0</v>
      </c>
      <c r="H292" s="19"/>
      <c r="I292" s="14"/>
      <c r="J292" s="16">
        <f>Data!BS292</f>
        <v>0</v>
      </c>
      <c r="K292" s="35">
        <f t="shared" si="49"/>
        <v>0</v>
      </c>
      <c r="M292" s="23">
        <f t="shared" si="50"/>
        <v>623.99999985694865</v>
      </c>
      <c r="N292" s="23">
        <f t="shared" si="51"/>
        <v>665.82999984979631</v>
      </c>
      <c r="P292" s="31"/>
      <c r="Q292" s="31"/>
      <c r="R292" s="32"/>
      <c r="S292" s="33"/>
      <c r="T292" s="33"/>
    </row>
    <row r="293" spans="1:20" x14ac:dyDescent="0.2">
      <c r="A293" s="40">
        <v>35351</v>
      </c>
      <c r="B293" s="34">
        <v>287</v>
      </c>
      <c r="C293" s="16">
        <f>ROUND(Data!BJ293,2)</f>
        <v>0</v>
      </c>
      <c r="D293" s="3">
        <f>ROUND(Data!R293,1)</f>
        <v>8.6</v>
      </c>
      <c r="E293" s="3">
        <f>ROUND(Data!AF293,1)</f>
        <v>-0.6</v>
      </c>
      <c r="F293" s="23">
        <f>Data!BO293</f>
        <v>63</v>
      </c>
      <c r="G293" s="3">
        <f>Data!Q293</f>
        <v>0</v>
      </c>
      <c r="H293" s="19"/>
      <c r="I293" s="14"/>
      <c r="J293" s="16">
        <f>Data!BS293</f>
        <v>0.3</v>
      </c>
      <c r="K293" s="35">
        <f t="shared" si="49"/>
        <v>0.315</v>
      </c>
      <c r="M293" s="23">
        <f t="shared" si="50"/>
        <v>624.2999998569486</v>
      </c>
      <c r="N293" s="23">
        <f t="shared" si="51"/>
        <v>666.14499984979636</v>
      </c>
      <c r="P293" s="31"/>
      <c r="Q293" s="31"/>
      <c r="R293" s="32"/>
      <c r="S293" s="33"/>
      <c r="T293" s="33"/>
    </row>
    <row r="294" spans="1:20" x14ac:dyDescent="0.2">
      <c r="A294" s="40">
        <v>35352</v>
      </c>
      <c r="B294" s="34">
        <v>288</v>
      </c>
      <c r="C294" s="16">
        <f>ROUND(Data!BJ294,2)</f>
        <v>0</v>
      </c>
      <c r="D294" s="3">
        <f>ROUND(Data!R294,1)</f>
        <v>3.6</v>
      </c>
      <c r="E294" s="3">
        <f>ROUND(Data!AF294,1)</f>
        <v>-2.2000000000000002</v>
      </c>
      <c r="F294" s="23">
        <f>Data!BO294</f>
        <v>70</v>
      </c>
      <c r="G294" s="3">
        <f>Data!Q294</f>
        <v>0</v>
      </c>
      <c r="H294" s="19"/>
      <c r="I294" s="14"/>
      <c r="J294" s="16">
        <f>Data!BS294</f>
        <v>7.1</v>
      </c>
      <c r="K294" s="35">
        <f t="shared" si="49"/>
        <v>7.4550000000000001</v>
      </c>
      <c r="M294" s="23">
        <f t="shared" si="50"/>
        <v>631.39999985694863</v>
      </c>
      <c r="N294" s="23">
        <f t="shared" si="51"/>
        <v>673.5999998497964</v>
      </c>
      <c r="P294" s="31"/>
      <c r="Q294" s="31"/>
      <c r="R294" s="32"/>
      <c r="S294" s="33"/>
      <c r="T294" s="33"/>
    </row>
    <row r="295" spans="1:20" x14ac:dyDescent="0.2">
      <c r="A295" s="40">
        <v>35353</v>
      </c>
      <c r="B295" s="34">
        <v>289</v>
      </c>
      <c r="C295" s="16">
        <f>ROUND(Data!BJ295,2)</f>
        <v>0</v>
      </c>
      <c r="D295" s="3">
        <f>ROUND(Data!R295,1)</f>
        <v>2.6</v>
      </c>
      <c r="E295" s="3">
        <f>ROUND(Data!AF295,1)</f>
        <v>-4.7</v>
      </c>
      <c r="F295" s="23">
        <f>Data!BO295</f>
        <v>66</v>
      </c>
      <c r="G295" s="3">
        <f>Data!Q295</f>
        <v>0</v>
      </c>
      <c r="H295" s="19"/>
      <c r="I295" s="14"/>
      <c r="J295" s="16">
        <f>Data!BS295</f>
        <v>0.3</v>
      </c>
      <c r="K295" s="35">
        <f t="shared" si="49"/>
        <v>0.315</v>
      </c>
      <c r="M295" s="23">
        <f t="shared" si="50"/>
        <v>631.69999985694858</v>
      </c>
      <c r="N295" s="23">
        <f t="shared" si="51"/>
        <v>673.91499984979646</v>
      </c>
      <c r="P295" s="31"/>
      <c r="Q295" s="31"/>
      <c r="R295" s="32"/>
      <c r="S295" s="33"/>
      <c r="T295" s="33"/>
    </row>
    <row r="296" spans="1:20" x14ac:dyDescent="0.2">
      <c r="A296" s="40">
        <v>35354</v>
      </c>
      <c r="B296" s="34">
        <v>290</v>
      </c>
      <c r="C296" s="16">
        <f>ROUND(Data!BJ296,2)</f>
        <v>0</v>
      </c>
      <c r="D296" s="3">
        <f>ROUND(Data!R296,1)</f>
        <v>0.6</v>
      </c>
      <c r="E296" s="3">
        <f>ROUND(Data!AF296,1)</f>
        <v>-7.3</v>
      </c>
      <c r="F296" s="23">
        <f>Data!BO296</f>
        <v>63</v>
      </c>
      <c r="G296" s="3">
        <f>Data!Q296</f>
        <v>0</v>
      </c>
      <c r="H296" s="19"/>
      <c r="I296" s="14"/>
      <c r="J296" s="16">
        <f>Data!BS296</f>
        <v>3.6</v>
      </c>
      <c r="K296" s="35">
        <f t="shared" si="49"/>
        <v>3.7800000000000002</v>
      </c>
      <c r="M296" s="23">
        <f t="shared" si="50"/>
        <v>635.2999998569486</v>
      </c>
      <c r="N296" s="23">
        <f t="shared" si="51"/>
        <v>677.69499984979643</v>
      </c>
      <c r="P296" s="31"/>
      <c r="Q296" s="31"/>
      <c r="R296" s="32"/>
      <c r="S296" s="33"/>
      <c r="T296" s="33"/>
    </row>
    <row r="297" spans="1:20" x14ac:dyDescent="0.2">
      <c r="A297" s="40">
        <v>35355</v>
      </c>
      <c r="B297" s="34">
        <v>291</v>
      </c>
      <c r="C297" s="16">
        <f>ROUND(Data!BJ297,2)</f>
        <v>0</v>
      </c>
      <c r="D297" s="3">
        <f>ROUND(Data!R297,1)</f>
        <v>-1.6</v>
      </c>
      <c r="E297" s="3">
        <f>ROUND(Data!AF297,1)</f>
        <v>-5.7</v>
      </c>
      <c r="F297" s="23">
        <f>Data!BO297</f>
        <v>63</v>
      </c>
      <c r="G297" s="3">
        <f>Data!Q297</f>
        <v>0</v>
      </c>
      <c r="H297" s="19"/>
      <c r="I297" s="14"/>
      <c r="J297" s="16">
        <f>Data!BS297</f>
        <v>0.3</v>
      </c>
      <c r="K297" s="35">
        <f t="shared" si="49"/>
        <v>0.315</v>
      </c>
      <c r="M297" s="23">
        <f t="shared" si="50"/>
        <v>635.59999985694856</v>
      </c>
      <c r="N297" s="23">
        <f t="shared" si="51"/>
        <v>678.00999984979649</v>
      </c>
      <c r="P297" s="31"/>
      <c r="Q297" s="31"/>
      <c r="R297" s="32"/>
      <c r="S297" s="33"/>
      <c r="T297" s="33"/>
    </row>
    <row r="298" spans="1:20" x14ac:dyDescent="0.2">
      <c r="A298" s="40">
        <v>35356</v>
      </c>
      <c r="B298" s="42">
        <v>292</v>
      </c>
      <c r="C298" s="16">
        <f>ROUND(Data!BJ298,2)</f>
        <v>0</v>
      </c>
      <c r="D298" s="3">
        <f>ROUND(Data!R298,1)</f>
        <v>0.7</v>
      </c>
      <c r="E298" s="3">
        <f>ROUND(Data!AF298,1)</f>
        <v>-4.8</v>
      </c>
      <c r="F298" s="23">
        <f>Data!BO298</f>
        <v>65</v>
      </c>
      <c r="G298" s="3">
        <f>Data!Q298</f>
        <v>0</v>
      </c>
      <c r="H298" s="19"/>
      <c r="I298" s="14"/>
      <c r="J298" s="16">
        <f>Data!BS298</f>
        <v>1.3</v>
      </c>
      <c r="K298" s="35">
        <f t="shared" si="49"/>
        <v>1.3650000000000002</v>
      </c>
      <c r="M298" s="23">
        <f t="shared" si="50"/>
        <v>636.89999985694851</v>
      </c>
      <c r="N298" s="23">
        <f t="shared" si="51"/>
        <v>679.3749998497965</v>
      </c>
      <c r="P298" s="31"/>
      <c r="Q298" s="31"/>
      <c r="R298" s="32"/>
      <c r="S298" s="33"/>
      <c r="T298" s="33"/>
    </row>
    <row r="299" spans="1:20" x14ac:dyDescent="0.2">
      <c r="A299" s="40">
        <v>35357</v>
      </c>
      <c r="B299" s="42">
        <v>293</v>
      </c>
      <c r="C299" s="16">
        <f>ROUND(Data!BJ299,2)</f>
        <v>0</v>
      </c>
      <c r="D299" s="3">
        <f>ROUND(Data!R299,1)</f>
        <v>1.9</v>
      </c>
      <c r="E299" s="3">
        <f>ROUND(Data!AF299,1)</f>
        <v>-5.3</v>
      </c>
      <c r="F299" s="23">
        <f>Data!BO299</f>
        <v>70</v>
      </c>
      <c r="G299" s="3">
        <f>Data!Q299</f>
        <v>0</v>
      </c>
      <c r="H299" s="19"/>
      <c r="I299" s="14"/>
      <c r="J299" s="16">
        <f>Data!BS299</f>
        <v>0.3</v>
      </c>
      <c r="K299" s="35">
        <f t="shared" si="49"/>
        <v>0.315</v>
      </c>
      <c r="M299" s="23">
        <f t="shared" si="50"/>
        <v>637.19999985694847</v>
      </c>
      <c r="N299" s="23">
        <f t="shared" si="51"/>
        <v>679.68999984979655</v>
      </c>
      <c r="P299" s="31"/>
      <c r="Q299" s="31"/>
      <c r="R299" s="32"/>
      <c r="S299" s="33"/>
      <c r="T299" s="33"/>
    </row>
    <row r="300" spans="1:20" x14ac:dyDescent="0.2">
      <c r="A300" s="40">
        <v>35358</v>
      </c>
      <c r="B300" s="42">
        <v>294</v>
      </c>
      <c r="C300" s="16">
        <f>ROUND(Data!BJ300,2)</f>
        <v>0</v>
      </c>
      <c r="D300" s="3">
        <f>ROUND(Data!R300,1)</f>
        <v>-0.4</v>
      </c>
      <c r="E300" s="3">
        <f>ROUND(Data!AF300,1)</f>
        <v>-5.0999999999999996</v>
      </c>
      <c r="F300" s="23">
        <f>Data!BO300</f>
        <v>63</v>
      </c>
      <c r="G300" s="3">
        <f>Data!Q300</f>
        <v>0</v>
      </c>
      <c r="H300" s="19"/>
      <c r="I300" s="14"/>
      <c r="J300" s="16">
        <f>Data!BS300</f>
        <v>0.3</v>
      </c>
      <c r="K300" s="35">
        <f t="shared" si="49"/>
        <v>0.315</v>
      </c>
      <c r="M300" s="23">
        <f t="shared" si="50"/>
        <v>637.49999985694842</v>
      </c>
      <c r="N300" s="23">
        <f t="shared" si="51"/>
        <v>680.0049998497966</v>
      </c>
      <c r="P300" s="31"/>
      <c r="Q300" s="31"/>
      <c r="R300" s="32"/>
      <c r="S300" s="33"/>
      <c r="T300" s="33"/>
    </row>
    <row r="301" spans="1:20" x14ac:dyDescent="0.2">
      <c r="A301" s="40">
        <v>35359</v>
      </c>
      <c r="B301" s="42">
        <v>295</v>
      </c>
      <c r="C301" s="16">
        <f>ROUND(Data!BJ301,2)</f>
        <v>0</v>
      </c>
      <c r="D301" s="3">
        <f>ROUND(Data!R301,1)</f>
        <v>-2.2000000000000002</v>
      </c>
      <c r="E301" s="3">
        <f>ROUND(Data!AF301,1)</f>
        <v>-5.2</v>
      </c>
      <c r="F301" s="23">
        <f>Data!BO301</f>
        <v>70</v>
      </c>
      <c r="G301" s="3">
        <f>Data!Q301</f>
        <v>0</v>
      </c>
      <c r="H301" s="19"/>
      <c r="I301" s="14"/>
      <c r="J301" s="16">
        <f>Data!BS301</f>
        <v>0</v>
      </c>
      <c r="K301" s="35">
        <f t="shared" si="49"/>
        <v>0</v>
      </c>
      <c r="M301" s="23">
        <f t="shared" si="50"/>
        <v>637.49999985694842</v>
      </c>
      <c r="N301" s="23">
        <f t="shared" si="51"/>
        <v>680.0049998497966</v>
      </c>
      <c r="P301" s="31"/>
      <c r="Q301" s="31"/>
      <c r="R301" s="32"/>
      <c r="S301" s="33"/>
      <c r="T301" s="33"/>
    </row>
    <row r="302" spans="1:20" x14ac:dyDescent="0.2">
      <c r="A302" s="40">
        <v>35360</v>
      </c>
      <c r="B302" s="42">
        <v>296</v>
      </c>
      <c r="C302" s="16">
        <f>ROUND(Data!BJ302,2)</f>
        <v>0</v>
      </c>
      <c r="D302" s="3">
        <f>ROUND(Data!R302,1)</f>
        <v>-0.4</v>
      </c>
      <c r="E302" s="3">
        <f>ROUND(Data!AF302,1)</f>
        <v>-5.3</v>
      </c>
      <c r="F302" s="23">
        <f>Data!BO302</f>
        <v>81</v>
      </c>
      <c r="G302" s="3">
        <f>Data!Q302</f>
        <v>0</v>
      </c>
      <c r="H302" s="19"/>
      <c r="I302" s="14"/>
      <c r="J302" s="16">
        <f>Data!BS302</f>
        <v>0.3</v>
      </c>
      <c r="K302" s="35">
        <f t="shared" si="49"/>
        <v>0.315</v>
      </c>
      <c r="M302" s="23">
        <f t="shared" si="50"/>
        <v>637.79999985694838</v>
      </c>
      <c r="N302" s="23">
        <f t="shared" si="51"/>
        <v>680.31999984979666</v>
      </c>
      <c r="P302" s="31"/>
      <c r="Q302" s="31"/>
      <c r="R302" s="32"/>
      <c r="S302" s="33"/>
      <c r="T302" s="33"/>
    </row>
    <row r="303" spans="1:20" x14ac:dyDescent="0.2">
      <c r="A303" s="40">
        <v>35361</v>
      </c>
      <c r="B303" s="42">
        <v>297</v>
      </c>
      <c r="C303" s="16">
        <f>ROUND(Data!BJ303,2)</f>
        <v>0</v>
      </c>
      <c r="D303" s="3">
        <f>ROUND(Data!R303,1)</f>
        <v>-0.9</v>
      </c>
      <c r="E303" s="3">
        <f>ROUND(Data!AF303,1)</f>
        <v>-4.5999999999999996</v>
      </c>
      <c r="F303" s="23">
        <f>Data!BO303</f>
        <v>81</v>
      </c>
      <c r="G303" s="3">
        <f>Data!Q303</f>
        <v>0</v>
      </c>
      <c r="H303" s="19"/>
      <c r="I303" s="14"/>
      <c r="J303" s="16">
        <f>Data!BS303</f>
        <v>0.8</v>
      </c>
      <c r="K303" s="35">
        <f t="shared" si="49"/>
        <v>0.84000000000000008</v>
      </c>
      <c r="M303" s="23">
        <f t="shared" si="50"/>
        <v>638.59999985694833</v>
      </c>
      <c r="N303" s="23">
        <f t="shared" si="51"/>
        <v>681.15999984979669</v>
      </c>
      <c r="P303" s="31"/>
      <c r="Q303" s="31"/>
      <c r="R303" s="32"/>
      <c r="S303" s="33"/>
      <c r="T303" s="33"/>
    </row>
    <row r="304" spans="1:20" x14ac:dyDescent="0.2">
      <c r="A304" s="40">
        <v>35362</v>
      </c>
      <c r="B304" s="42">
        <v>298</v>
      </c>
      <c r="C304" s="16">
        <f>ROUND(Data!BJ304,2)</f>
        <v>0</v>
      </c>
      <c r="D304" s="3">
        <f>ROUND(Data!R304,1)</f>
        <v>2</v>
      </c>
      <c r="E304" s="3">
        <f>ROUND(Data!AF304,1)</f>
        <v>-5.2</v>
      </c>
      <c r="F304" s="23">
        <f>Data!BO304</f>
        <v>80</v>
      </c>
      <c r="G304" s="3">
        <f>Data!Q304</f>
        <v>0</v>
      </c>
      <c r="H304" s="19"/>
      <c r="I304" s="14"/>
      <c r="J304" s="16">
        <f>Data!BS304</f>
        <v>2.8</v>
      </c>
      <c r="K304" s="35">
        <f t="shared" si="49"/>
        <v>2.94</v>
      </c>
      <c r="M304" s="23">
        <f t="shared" si="50"/>
        <v>641.39999985694828</v>
      </c>
      <c r="N304" s="23">
        <f t="shared" si="51"/>
        <v>684.09999984979675</v>
      </c>
      <c r="P304" s="31"/>
      <c r="Q304" s="31"/>
      <c r="R304" s="32"/>
      <c r="S304" s="33"/>
      <c r="T304" s="33"/>
    </row>
    <row r="305" spans="1:20" x14ac:dyDescent="0.2">
      <c r="A305" s="40">
        <v>35363</v>
      </c>
      <c r="B305" s="42">
        <v>299</v>
      </c>
      <c r="C305" s="16">
        <f>ROUND(Data!BJ305,2)</f>
        <v>0</v>
      </c>
      <c r="D305" s="3">
        <f>ROUND(Data!R305,1)</f>
        <v>1.3</v>
      </c>
      <c r="E305" s="3">
        <f>ROUND(Data!AF305,1)</f>
        <v>-5.6</v>
      </c>
      <c r="F305" s="23">
        <f>Data!BO305</f>
        <v>72</v>
      </c>
      <c r="G305" s="3">
        <f>Data!Q305</f>
        <v>0</v>
      </c>
      <c r="H305" s="19"/>
      <c r="I305" s="14"/>
      <c r="J305" s="16">
        <f>Data!BS305</f>
        <v>2</v>
      </c>
      <c r="K305" s="35">
        <f t="shared" si="49"/>
        <v>2.1</v>
      </c>
      <c r="M305" s="23">
        <f t="shared" si="50"/>
        <v>643.39999985694828</v>
      </c>
      <c r="N305" s="23">
        <f t="shared" si="51"/>
        <v>686.19999984979677</v>
      </c>
      <c r="P305" s="31"/>
      <c r="Q305" s="31"/>
      <c r="R305" s="32"/>
      <c r="S305" s="33"/>
      <c r="T305" s="33"/>
    </row>
    <row r="306" spans="1:20" x14ac:dyDescent="0.2">
      <c r="A306" s="40">
        <v>35364</v>
      </c>
      <c r="B306" s="42">
        <v>300</v>
      </c>
      <c r="C306" s="16">
        <f>ROUND(Data!BJ306,2)</f>
        <v>0</v>
      </c>
      <c r="D306" s="3">
        <f>ROUND(Data!R306,1)</f>
        <v>-1.1000000000000001</v>
      </c>
      <c r="E306" s="3">
        <f>ROUND(Data!AF306,1)</f>
        <v>-6.7</v>
      </c>
      <c r="F306" s="23">
        <f>Data!BO306</f>
        <v>77</v>
      </c>
      <c r="G306" s="3">
        <f>Data!Q306</f>
        <v>0</v>
      </c>
      <c r="H306" s="19"/>
      <c r="I306" s="14"/>
      <c r="J306" s="16">
        <f>Data!BS306</f>
        <v>0.3</v>
      </c>
      <c r="K306" s="35">
        <f t="shared" si="49"/>
        <v>0.315</v>
      </c>
      <c r="M306" s="23">
        <f t="shared" si="50"/>
        <v>643.69999985694824</v>
      </c>
      <c r="N306" s="23">
        <f t="shared" si="51"/>
        <v>686.51499984979682</v>
      </c>
      <c r="P306" s="31"/>
      <c r="Q306" s="31"/>
      <c r="R306" s="32"/>
      <c r="S306" s="33"/>
      <c r="T306" s="33"/>
    </row>
    <row r="307" spans="1:20" x14ac:dyDescent="0.2">
      <c r="A307" s="40">
        <v>35365</v>
      </c>
      <c r="B307" s="42">
        <v>301</v>
      </c>
      <c r="C307" s="16">
        <f>ROUND(Data!BJ307,2)</f>
        <v>0</v>
      </c>
      <c r="D307" s="3">
        <f>ROUND(Data!R307,1)</f>
        <v>1.9</v>
      </c>
      <c r="E307" s="3">
        <f>ROUND(Data!AF307,1)</f>
        <v>-5.0999999999999996</v>
      </c>
      <c r="F307" s="23">
        <f>Data!BO307</f>
        <v>77</v>
      </c>
      <c r="G307" s="3">
        <f>Data!Q307</f>
        <v>0</v>
      </c>
      <c r="H307" s="19"/>
      <c r="I307" s="14"/>
      <c r="J307" s="16">
        <f>Data!BS307</f>
        <v>8.4</v>
      </c>
      <c r="K307" s="35">
        <f t="shared" si="49"/>
        <v>8.82</v>
      </c>
      <c r="M307" s="23">
        <f t="shared" si="50"/>
        <v>652.09999985694822</v>
      </c>
      <c r="N307" s="23">
        <f t="shared" si="51"/>
        <v>695.33499984979687</v>
      </c>
      <c r="P307" s="31"/>
      <c r="Q307" s="31"/>
      <c r="R307" s="32"/>
      <c r="S307" s="33"/>
      <c r="T307" s="33"/>
    </row>
    <row r="308" spans="1:20" x14ac:dyDescent="0.2">
      <c r="A308" s="40">
        <v>35366</v>
      </c>
      <c r="B308" s="42">
        <v>302</v>
      </c>
      <c r="C308" s="16">
        <f>ROUND(Data!BJ308,2)</f>
        <v>0</v>
      </c>
      <c r="D308" s="3">
        <f>ROUND(Data!R308,1)</f>
        <v>1.3</v>
      </c>
      <c r="E308" s="3">
        <f>ROUND(Data!AF308,1)</f>
        <v>-3.2</v>
      </c>
      <c r="F308" s="23">
        <f>Data!BO308</f>
        <v>81</v>
      </c>
      <c r="G308" s="3">
        <f>Data!Q308</f>
        <v>0</v>
      </c>
      <c r="H308" s="19"/>
      <c r="I308" s="14"/>
      <c r="J308" s="16">
        <f>Data!BS308</f>
        <v>29</v>
      </c>
      <c r="K308" s="35">
        <f t="shared" si="49"/>
        <v>30.450000000000003</v>
      </c>
      <c r="M308" s="23">
        <f t="shared" si="50"/>
        <v>681.09999985694822</v>
      </c>
      <c r="N308" s="23">
        <f t="shared" si="51"/>
        <v>725.78499984979692</v>
      </c>
      <c r="P308" s="31"/>
      <c r="Q308" s="31"/>
      <c r="R308" s="32"/>
      <c r="S308" s="33"/>
      <c r="T308" s="33"/>
    </row>
    <row r="309" spans="1:20" x14ac:dyDescent="0.2">
      <c r="A309" s="40">
        <v>35367</v>
      </c>
      <c r="B309" s="42">
        <v>303</v>
      </c>
      <c r="C309" s="16">
        <f>ROUND(Data!BJ309,2)</f>
        <v>0</v>
      </c>
      <c r="D309" s="3">
        <f>ROUND(Data!R309,1)</f>
        <v>-0.4</v>
      </c>
      <c r="E309" s="3">
        <f>ROUND(Data!AF309,1)</f>
        <v>-7.5</v>
      </c>
      <c r="F309" s="23">
        <f>Data!BO309</f>
        <v>81</v>
      </c>
      <c r="G309" s="3">
        <f>Data!Q309</f>
        <v>0</v>
      </c>
      <c r="H309" s="19"/>
      <c r="I309" s="14"/>
      <c r="J309" s="16">
        <f>Data!BS309</f>
        <v>0</v>
      </c>
      <c r="K309" s="35">
        <f t="shared" si="49"/>
        <v>0</v>
      </c>
      <c r="M309" s="23">
        <f t="shared" si="50"/>
        <v>681.09999985694822</v>
      </c>
      <c r="N309" s="23">
        <f t="shared" si="51"/>
        <v>725.78499984979692</v>
      </c>
      <c r="P309" s="31"/>
      <c r="Q309" s="31"/>
      <c r="R309" s="32"/>
      <c r="S309" s="33"/>
      <c r="T309" s="33"/>
    </row>
    <row r="310" spans="1:20" x14ac:dyDescent="0.2">
      <c r="A310" s="40">
        <v>35368</v>
      </c>
      <c r="B310" s="42">
        <v>304</v>
      </c>
      <c r="C310" s="16">
        <f>ROUND(Data!BJ310,2)</f>
        <v>0</v>
      </c>
      <c r="D310" s="3">
        <f>ROUND(Data!R310,1)</f>
        <v>-6.3</v>
      </c>
      <c r="E310" s="3">
        <f>ROUND(Data!AF310,1)</f>
        <v>-9.5</v>
      </c>
      <c r="F310" s="23">
        <f>Data!BO310</f>
        <v>80</v>
      </c>
      <c r="G310" s="3">
        <f>Data!Q310</f>
        <v>0</v>
      </c>
      <c r="H310" s="19"/>
      <c r="I310" s="14"/>
      <c r="J310" s="16">
        <f>Data!BS310</f>
        <v>0</v>
      </c>
      <c r="K310" s="35">
        <f t="shared" si="49"/>
        <v>0</v>
      </c>
      <c r="M310" s="23">
        <f t="shared" si="50"/>
        <v>681.09999985694822</v>
      </c>
      <c r="N310" s="23">
        <f t="shared" si="51"/>
        <v>725.78499984979692</v>
      </c>
      <c r="P310" s="31"/>
      <c r="Q310" s="31"/>
      <c r="R310" s="32"/>
      <c r="S310" s="33"/>
      <c r="T310" s="33"/>
    </row>
    <row r="311" spans="1:20" x14ac:dyDescent="0.2">
      <c r="A311" s="40">
        <v>35369</v>
      </c>
      <c r="B311" s="42">
        <v>305</v>
      </c>
      <c r="C311" s="16">
        <f>ROUND(Data!BJ311,2)</f>
        <v>0</v>
      </c>
      <c r="D311" s="3">
        <f>ROUND(Data!R311,1)</f>
        <v>-1.7</v>
      </c>
      <c r="E311" s="3">
        <f>ROUND(Data!AF311,1)</f>
        <v>-7.9</v>
      </c>
      <c r="F311" s="23">
        <f>Data!BO311</f>
        <v>80</v>
      </c>
      <c r="G311" s="3">
        <f>Data!Q311</f>
        <v>0</v>
      </c>
      <c r="H311" s="19"/>
      <c r="I311" s="14"/>
      <c r="J311" s="16">
        <f>Data!BS311</f>
        <v>0</v>
      </c>
      <c r="K311" s="35">
        <f t="shared" si="49"/>
        <v>0</v>
      </c>
      <c r="M311" s="23">
        <f t="shared" si="50"/>
        <v>681.09999985694822</v>
      </c>
      <c r="N311" s="23">
        <f t="shared" si="51"/>
        <v>725.78499984979692</v>
      </c>
      <c r="P311" s="31"/>
      <c r="Q311" s="31"/>
      <c r="R311" s="32"/>
      <c r="S311" s="33"/>
      <c r="T311" s="33"/>
    </row>
    <row r="312" spans="1:20" x14ac:dyDescent="0.2">
      <c r="A312" s="40">
        <v>35370</v>
      </c>
      <c r="B312" s="42">
        <v>306</v>
      </c>
      <c r="C312" s="16">
        <f>ROUND(Data!BJ312,2)</f>
        <v>0</v>
      </c>
      <c r="D312" s="3">
        <f>ROUND(Data!R312,1)</f>
        <v>1.8</v>
      </c>
      <c r="E312" s="3">
        <f>ROUND(Data!AF312,1)</f>
        <v>-7.4</v>
      </c>
      <c r="F312" s="23">
        <f>Data!BO312</f>
        <v>66</v>
      </c>
      <c r="G312" s="3">
        <f>Data!Q312</f>
        <v>0</v>
      </c>
      <c r="H312" s="19"/>
      <c r="I312" s="14"/>
      <c r="J312" s="16">
        <f>Data!BS312</f>
        <v>0.3</v>
      </c>
      <c r="K312" s="35">
        <f t="shared" si="49"/>
        <v>0.315</v>
      </c>
      <c r="M312" s="23">
        <f t="shared" si="50"/>
        <v>681.39999985694817</v>
      </c>
      <c r="N312" s="23">
        <f t="shared" si="51"/>
        <v>726.09999984979697</v>
      </c>
      <c r="P312" s="31"/>
      <c r="Q312" s="31"/>
      <c r="R312" s="32"/>
      <c r="S312" s="33"/>
      <c r="T312" s="33"/>
    </row>
    <row r="313" spans="1:20" x14ac:dyDescent="0.2">
      <c r="A313" s="40">
        <v>35371</v>
      </c>
      <c r="B313" s="42">
        <v>307</v>
      </c>
      <c r="C313" s="16">
        <f>ROUND(Data!BJ313,2)</f>
        <v>0</v>
      </c>
      <c r="D313" s="3">
        <f>ROUND(Data!R313,1)</f>
        <v>0.1</v>
      </c>
      <c r="E313" s="3">
        <f>ROUND(Data!AF313,1)</f>
        <v>-5.0999999999999996</v>
      </c>
      <c r="F313" s="23">
        <f>Data!BO313</f>
        <v>76</v>
      </c>
      <c r="G313" s="3">
        <f>Data!Q313</f>
        <v>0</v>
      </c>
      <c r="H313" s="19"/>
      <c r="I313" s="14"/>
      <c r="J313" s="16">
        <f>Data!BS313</f>
        <v>0</v>
      </c>
      <c r="K313" s="35">
        <f t="shared" si="49"/>
        <v>0</v>
      </c>
      <c r="M313" s="23">
        <f t="shared" si="50"/>
        <v>681.39999985694817</v>
      </c>
      <c r="N313" s="23">
        <f t="shared" si="51"/>
        <v>726.09999984979697</v>
      </c>
      <c r="P313" s="31"/>
      <c r="Q313" s="31"/>
      <c r="R313" s="32"/>
      <c r="S313" s="33"/>
      <c r="T313" s="33"/>
    </row>
    <row r="314" spans="1:20" x14ac:dyDescent="0.2">
      <c r="A314" s="40">
        <v>35372</v>
      </c>
      <c r="B314" s="42">
        <v>308</v>
      </c>
      <c r="C314" s="16">
        <f>ROUND(Data!BJ314,2)</f>
        <v>0</v>
      </c>
      <c r="D314" s="3">
        <f>ROUND(Data!R314,1)</f>
        <v>1.4</v>
      </c>
      <c r="E314" s="3">
        <f>ROUND(Data!AF314,1)</f>
        <v>-4.9000000000000004</v>
      </c>
      <c r="F314" s="23">
        <f>Data!BO314</f>
        <v>62</v>
      </c>
      <c r="G314" s="3">
        <f>Data!Q314</f>
        <v>0</v>
      </c>
      <c r="H314" s="19"/>
      <c r="I314" s="14"/>
      <c r="J314" s="16">
        <f>Data!BS314</f>
        <v>1</v>
      </c>
      <c r="K314" s="35">
        <f t="shared" si="49"/>
        <v>1.05</v>
      </c>
      <c r="M314" s="23">
        <f t="shared" si="50"/>
        <v>682.39999985694817</v>
      </c>
      <c r="N314" s="23">
        <f t="shared" si="51"/>
        <v>727.14999984979693</v>
      </c>
      <c r="P314" s="31"/>
      <c r="Q314" s="31"/>
      <c r="R314" s="32"/>
      <c r="S314" s="33"/>
      <c r="T314" s="33"/>
    </row>
    <row r="315" spans="1:20" x14ac:dyDescent="0.2">
      <c r="A315" s="40">
        <v>35373</v>
      </c>
      <c r="B315" s="42">
        <v>309</v>
      </c>
      <c r="C315" s="16">
        <f>ROUND(Data!BJ315,2)</f>
        <v>0</v>
      </c>
      <c r="D315" s="3">
        <f>ROUND(Data!R315,1)</f>
        <v>-1.5</v>
      </c>
      <c r="E315" s="3">
        <f>ROUND(Data!AF315,1)</f>
        <v>-5.6</v>
      </c>
      <c r="F315" s="23">
        <f>Data!BO315</f>
        <v>81</v>
      </c>
      <c r="G315" s="3">
        <f>Data!Q315</f>
        <v>0</v>
      </c>
      <c r="H315" s="19"/>
      <c r="I315" s="14"/>
      <c r="J315" s="16">
        <f>Data!BS315</f>
        <v>0</v>
      </c>
      <c r="K315" s="35">
        <f t="shared" si="49"/>
        <v>0</v>
      </c>
      <c r="M315" s="23">
        <f t="shared" si="50"/>
        <v>682.39999985694817</v>
      </c>
      <c r="N315" s="23">
        <f t="shared" si="51"/>
        <v>727.14999984979693</v>
      </c>
      <c r="P315" s="31"/>
      <c r="Q315" s="31"/>
      <c r="R315" s="32"/>
      <c r="S315" s="33"/>
      <c r="T315" s="33"/>
    </row>
    <row r="316" spans="1:20" x14ac:dyDescent="0.2">
      <c r="A316" s="40">
        <v>35374</v>
      </c>
      <c r="B316" s="42">
        <v>310</v>
      </c>
      <c r="C316" s="16">
        <f>ROUND(Data!BJ316,2)</f>
        <v>0</v>
      </c>
      <c r="D316" s="3">
        <f>ROUND(Data!R316,1)</f>
        <v>-0.1</v>
      </c>
      <c r="E316" s="3">
        <f>ROUND(Data!AF316,1)</f>
        <v>-5.9</v>
      </c>
      <c r="F316" s="23">
        <f>Data!BO316</f>
        <v>67</v>
      </c>
      <c r="G316" s="3">
        <f>Data!Q316</f>
        <v>0</v>
      </c>
      <c r="H316" s="19"/>
      <c r="I316" s="14"/>
      <c r="J316" s="16">
        <f>Data!BS316</f>
        <v>0.5</v>
      </c>
      <c r="K316" s="35">
        <f t="shared" ref="K316:K372" si="52">J316*L$3</f>
        <v>0.52500000000000002</v>
      </c>
      <c r="M316" s="23">
        <f t="shared" si="50"/>
        <v>682.89999985694817</v>
      </c>
      <c r="N316" s="23">
        <f t="shared" si="51"/>
        <v>727.6749998497969</v>
      </c>
      <c r="P316" s="31"/>
      <c r="Q316" s="31"/>
      <c r="R316" s="32"/>
      <c r="S316" s="33"/>
      <c r="T316" s="33"/>
    </row>
    <row r="317" spans="1:20" x14ac:dyDescent="0.2">
      <c r="A317" s="40">
        <v>35375</v>
      </c>
      <c r="B317" s="42">
        <v>311</v>
      </c>
      <c r="C317" s="16">
        <f>ROUND(Data!BJ317,2)</f>
        <v>0</v>
      </c>
      <c r="D317" s="3">
        <f>ROUND(Data!R317,1)</f>
        <v>-1.6</v>
      </c>
      <c r="E317" s="3">
        <f>ROUND(Data!AF317,1)</f>
        <v>-5.3</v>
      </c>
      <c r="F317" s="23">
        <f>Data!BO317</f>
        <v>81</v>
      </c>
      <c r="G317" s="3">
        <f>Data!Q317</f>
        <v>0</v>
      </c>
      <c r="H317" s="19"/>
      <c r="I317" s="14"/>
      <c r="J317" s="16">
        <f>Data!BS317</f>
        <v>0</v>
      </c>
      <c r="K317" s="45">
        <f t="shared" si="52"/>
        <v>0</v>
      </c>
      <c r="M317" s="23">
        <f t="shared" si="50"/>
        <v>682.89999985694817</v>
      </c>
      <c r="N317" s="23">
        <f t="shared" si="51"/>
        <v>727.6749998497969</v>
      </c>
      <c r="P317" s="31"/>
      <c r="Q317" s="31"/>
      <c r="R317" s="32"/>
      <c r="S317" s="33"/>
      <c r="T317" s="33"/>
    </row>
    <row r="318" spans="1:20" x14ac:dyDescent="0.2">
      <c r="A318" s="40">
        <v>35376</v>
      </c>
      <c r="B318" s="42">
        <v>312</v>
      </c>
      <c r="C318" s="16">
        <f>ROUND(Data!BJ318,2)</f>
        <v>0</v>
      </c>
      <c r="D318" s="3">
        <f>ROUND(Data!R318,1)</f>
        <v>-3.7</v>
      </c>
      <c r="E318" s="3">
        <f>ROUND(Data!AF318,1)</f>
        <v>-13.9</v>
      </c>
      <c r="F318" s="23">
        <f>Data!BO318</f>
        <v>0</v>
      </c>
      <c r="G318" s="3">
        <f>Data!Q318</f>
        <v>0</v>
      </c>
      <c r="H318" s="19"/>
      <c r="I318" s="14"/>
      <c r="J318" s="16">
        <f>Data!BS318</f>
        <v>0</v>
      </c>
      <c r="K318" s="45">
        <f t="shared" si="52"/>
        <v>0</v>
      </c>
      <c r="M318" s="23">
        <f t="shared" si="50"/>
        <v>682.89999985694817</v>
      </c>
      <c r="N318" s="23">
        <f t="shared" si="51"/>
        <v>727.6749998497969</v>
      </c>
      <c r="P318" s="31"/>
      <c r="Q318" s="31"/>
      <c r="R318" s="32"/>
      <c r="S318" s="33"/>
      <c r="T318" s="33"/>
    </row>
    <row r="319" spans="1:20" x14ac:dyDescent="0.2">
      <c r="A319" s="40">
        <v>35377</v>
      </c>
      <c r="B319" s="42">
        <v>313</v>
      </c>
      <c r="C319" s="16">
        <f>ROUND(Data!BJ319,2)</f>
        <v>0</v>
      </c>
      <c r="D319" s="3">
        <f>ROUND(Data!R319,1)</f>
        <v>1.8</v>
      </c>
      <c r="E319" s="3">
        <f>ROUND(Data!AF319,1)</f>
        <v>-6.8</v>
      </c>
      <c r="F319" s="23">
        <f>Data!BO319</f>
        <v>0</v>
      </c>
      <c r="G319" s="3">
        <f>Data!Q319</f>
        <v>0</v>
      </c>
      <c r="H319" s="19"/>
      <c r="I319" s="14"/>
      <c r="J319" s="16">
        <f>Data!BS319</f>
        <v>6.1499999999999995</v>
      </c>
      <c r="K319" s="45">
        <f t="shared" si="52"/>
        <v>6.4574999999999996</v>
      </c>
      <c r="M319" s="23">
        <f t="shared" si="50"/>
        <v>689.04999985694815</v>
      </c>
      <c r="N319" s="23">
        <f t="shared" si="51"/>
        <v>734.13249984979689</v>
      </c>
      <c r="P319" s="31"/>
      <c r="Q319" s="31"/>
      <c r="R319" s="32"/>
      <c r="S319" s="33"/>
      <c r="T319" s="33"/>
    </row>
    <row r="320" spans="1:20" x14ac:dyDescent="0.2">
      <c r="A320" s="40">
        <v>35378</v>
      </c>
      <c r="B320" s="42">
        <v>314</v>
      </c>
      <c r="C320" s="16">
        <f>ROUND(Data!BJ320,2)</f>
        <v>0</v>
      </c>
      <c r="D320" s="3">
        <f>ROUND(Data!R320,1)</f>
        <v>6.2</v>
      </c>
      <c r="E320" s="3">
        <f>ROUND(Data!AF320,1)</f>
        <v>-3.2</v>
      </c>
      <c r="F320" s="23">
        <f>Data!BO320</f>
        <v>0</v>
      </c>
      <c r="G320" s="3">
        <f>Data!Q320</f>
        <v>0</v>
      </c>
      <c r="H320" s="19"/>
      <c r="I320" s="14"/>
      <c r="J320" s="16">
        <f>Data!BS320</f>
        <v>0</v>
      </c>
      <c r="K320" s="45">
        <f t="shared" si="52"/>
        <v>0</v>
      </c>
      <c r="M320" s="23">
        <f t="shared" si="50"/>
        <v>689.04999985694815</v>
      </c>
      <c r="N320" s="23">
        <f t="shared" si="51"/>
        <v>734.13249984979689</v>
      </c>
      <c r="P320" s="31"/>
      <c r="Q320" s="31"/>
      <c r="R320" s="32"/>
      <c r="S320" s="33"/>
      <c r="T320" s="33"/>
    </row>
    <row r="321" spans="1:20" x14ac:dyDescent="0.2">
      <c r="A321" s="40">
        <v>35379</v>
      </c>
      <c r="B321" s="42">
        <v>315</v>
      </c>
      <c r="C321" s="16">
        <f>ROUND(Data!BJ321,2)</f>
        <v>0</v>
      </c>
      <c r="D321" s="3">
        <f>ROUND(Data!R321,1)</f>
        <v>5.0999999999999996</v>
      </c>
      <c r="E321" s="3">
        <f>ROUND(Data!AF321,1)</f>
        <v>-3.8</v>
      </c>
      <c r="F321" s="23">
        <f>Data!BO321</f>
        <v>0</v>
      </c>
      <c r="G321" s="3">
        <f>Data!Q321</f>
        <v>0</v>
      </c>
      <c r="H321" s="19"/>
      <c r="I321" s="14"/>
      <c r="J321" s="16">
        <f>Data!BS321</f>
        <v>0</v>
      </c>
      <c r="K321" s="45">
        <f t="shared" si="52"/>
        <v>0</v>
      </c>
      <c r="M321" s="23">
        <f t="shared" si="50"/>
        <v>689.04999985694815</v>
      </c>
      <c r="N321" s="23">
        <f t="shared" si="51"/>
        <v>734.13249984979689</v>
      </c>
      <c r="P321" s="31"/>
      <c r="Q321" s="31"/>
      <c r="R321" s="32"/>
      <c r="S321" s="33"/>
      <c r="T321" s="33"/>
    </row>
    <row r="322" spans="1:20" x14ac:dyDescent="0.2">
      <c r="A322" s="40">
        <v>35380</v>
      </c>
      <c r="B322" s="42">
        <v>316</v>
      </c>
      <c r="C322" s="16">
        <f>ROUND(Data!BJ322,2)</f>
        <v>0</v>
      </c>
      <c r="D322" s="3">
        <f>ROUND(Data!R322,1)</f>
        <v>8.9</v>
      </c>
      <c r="E322" s="3">
        <f>ROUND(Data!AF322,1)</f>
        <v>-0.5</v>
      </c>
      <c r="F322" s="23">
        <f>Data!BO322</f>
        <v>0</v>
      </c>
      <c r="G322" s="3">
        <f>Data!Q322</f>
        <v>0</v>
      </c>
      <c r="H322" s="19"/>
      <c r="I322" s="14"/>
      <c r="J322" s="16">
        <f>Data!BS322</f>
        <v>0</v>
      </c>
      <c r="K322" s="45">
        <f t="shared" si="52"/>
        <v>0</v>
      </c>
      <c r="M322" s="23">
        <f t="shared" si="50"/>
        <v>689.04999985694815</v>
      </c>
      <c r="N322" s="23">
        <f t="shared" si="51"/>
        <v>734.13249984979689</v>
      </c>
      <c r="P322" s="31"/>
      <c r="Q322" s="31"/>
      <c r="R322" s="32"/>
      <c r="S322" s="33"/>
      <c r="T322" s="33"/>
    </row>
    <row r="323" spans="1:20" x14ac:dyDescent="0.2">
      <c r="A323" s="40">
        <v>35381</v>
      </c>
      <c r="B323" s="42">
        <v>317</v>
      </c>
      <c r="C323" s="16">
        <f>ROUND(Data!BJ323,2)</f>
        <v>0</v>
      </c>
      <c r="D323" s="3">
        <f>ROUND(Data!R323,1)</f>
        <v>5.7</v>
      </c>
      <c r="E323" s="3">
        <f>ROUND(Data!AF323,1)</f>
        <v>-0.3</v>
      </c>
      <c r="F323" s="23">
        <f>Data!BO323</f>
        <v>0</v>
      </c>
      <c r="G323" s="3">
        <f>Data!Q323</f>
        <v>0</v>
      </c>
      <c r="H323" s="19"/>
      <c r="I323" s="14"/>
      <c r="J323" s="16">
        <f>Data!BS323</f>
        <v>0</v>
      </c>
      <c r="K323" s="45">
        <f t="shared" si="52"/>
        <v>0</v>
      </c>
      <c r="M323" s="23">
        <f t="shared" ref="M323:M372" si="53">J323+M322</f>
        <v>689.04999985694815</v>
      </c>
      <c r="N323" s="23">
        <f t="shared" ref="N323:N372" si="54">K323+N322</f>
        <v>734.13249984979689</v>
      </c>
      <c r="P323" s="31"/>
      <c r="Q323" s="31"/>
      <c r="R323" s="32"/>
      <c r="S323" s="33"/>
      <c r="T323" s="33"/>
    </row>
    <row r="324" spans="1:20" x14ac:dyDescent="0.2">
      <c r="A324" s="40">
        <v>35382</v>
      </c>
      <c r="B324" s="42">
        <v>318</v>
      </c>
      <c r="C324" s="16">
        <f>ROUND(Data!BJ324,2)</f>
        <v>0</v>
      </c>
      <c r="D324" s="3">
        <f>ROUND(Data!R324,1)</f>
        <v>1.6</v>
      </c>
      <c r="E324" s="3">
        <f>ROUND(Data!AF324,1)</f>
        <v>-2.5</v>
      </c>
      <c r="F324" s="23">
        <f>Data!BO324</f>
        <v>0</v>
      </c>
      <c r="G324" s="3">
        <f>Data!Q324</f>
        <v>0</v>
      </c>
      <c r="H324" s="19"/>
      <c r="I324" s="14"/>
      <c r="J324" s="16">
        <f>Data!BS324</f>
        <v>0</v>
      </c>
      <c r="K324" s="45">
        <f t="shared" si="52"/>
        <v>0</v>
      </c>
      <c r="M324" s="23">
        <f t="shared" si="53"/>
        <v>689.04999985694815</v>
      </c>
      <c r="N324" s="23">
        <f t="shared" si="54"/>
        <v>734.13249984979689</v>
      </c>
      <c r="P324" s="31"/>
      <c r="Q324" s="31"/>
      <c r="R324" s="32"/>
      <c r="S324" s="33"/>
      <c r="T324" s="33"/>
    </row>
    <row r="325" spans="1:20" x14ac:dyDescent="0.2">
      <c r="A325" s="40">
        <v>35383</v>
      </c>
      <c r="B325" s="42">
        <v>319</v>
      </c>
      <c r="C325" s="16">
        <f>ROUND(Data!BJ325,2)</f>
        <v>1.21</v>
      </c>
      <c r="D325" s="3">
        <f>ROUND(Data!R325,1)</f>
        <v>-1.6</v>
      </c>
      <c r="E325" s="3">
        <f>ROUND(Data!AF325,1)</f>
        <v>-4</v>
      </c>
      <c r="F325" s="23">
        <f>Data!BO325</f>
        <v>97.7</v>
      </c>
      <c r="G325" s="3">
        <f>Data!Q325</f>
        <v>0</v>
      </c>
      <c r="H325" s="19"/>
      <c r="I325" s="14"/>
      <c r="J325" s="16">
        <f>Data!BS325</f>
        <v>0</v>
      </c>
      <c r="K325" s="45">
        <f t="shared" si="52"/>
        <v>0</v>
      </c>
      <c r="M325" s="23">
        <f t="shared" si="53"/>
        <v>689.04999985694815</v>
      </c>
      <c r="N325" s="23">
        <f t="shared" si="54"/>
        <v>734.13249984979689</v>
      </c>
      <c r="P325" s="31"/>
      <c r="Q325" s="31"/>
      <c r="R325" s="32"/>
      <c r="S325" s="33"/>
      <c r="T325" s="33"/>
    </row>
    <row r="326" spans="1:20" x14ac:dyDescent="0.2">
      <c r="A326" s="40">
        <v>35384</v>
      </c>
      <c r="B326" s="42">
        <v>320</v>
      </c>
      <c r="C326" s="16">
        <f>ROUND(Data!BJ326,2)</f>
        <v>0.77</v>
      </c>
      <c r="D326" s="3">
        <f>ROUND(Data!R326,1)</f>
        <v>-4</v>
      </c>
      <c r="E326" s="3">
        <f>ROUND(Data!AF326,1)</f>
        <v>-10.5</v>
      </c>
      <c r="F326" s="23">
        <f>Data!BO326</f>
        <v>93.2</v>
      </c>
      <c r="G326" s="3">
        <f>Data!Q326</f>
        <v>0</v>
      </c>
      <c r="H326" s="19"/>
      <c r="I326" s="14"/>
      <c r="J326" s="16">
        <f>Data!BS326</f>
        <v>0</v>
      </c>
      <c r="K326" s="45">
        <f t="shared" si="52"/>
        <v>0</v>
      </c>
      <c r="M326" s="23">
        <f t="shared" si="53"/>
        <v>689.04999985694815</v>
      </c>
      <c r="N326" s="23">
        <f t="shared" si="54"/>
        <v>734.13249984979689</v>
      </c>
      <c r="P326" s="31"/>
      <c r="Q326" s="31"/>
      <c r="R326" s="32"/>
      <c r="S326" s="33"/>
      <c r="T326" s="33"/>
    </row>
    <row r="327" spans="1:20" x14ac:dyDescent="0.2">
      <c r="A327" s="40">
        <v>35385</v>
      </c>
      <c r="B327" s="42">
        <v>321</v>
      </c>
      <c r="C327" s="16">
        <f>ROUND(Data!BJ327,2)</f>
        <v>1.42</v>
      </c>
      <c r="D327" s="3">
        <f>ROUND(Data!R327,1)</f>
        <v>-5</v>
      </c>
      <c r="E327" s="3">
        <f>ROUND(Data!AF327,1)</f>
        <v>-11</v>
      </c>
      <c r="F327" s="23">
        <f>Data!BO327</f>
        <v>79.900000000000006</v>
      </c>
      <c r="G327" s="3">
        <f>Data!Q327</f>
        <v>0</v>
      </c>
      <c r="H327" s="19"/>
      <c r="I327" s="14"/>
      <c r="J327" s="16">
        <f>Data!BS327</f>
        <v>0</v>
      </c>
      <c r="K327" s="45">
        <f t="shared" si="52"/>
        <v>0</v>
      </c>
      <c r="M327" s="23">
        <f t="shared" si="53"/>
        <v>689.04999985694815</v>
      </c>
      <c r="N327" s="23">
        <f t="shared" si="54"/>
        <v>734.13249984979689</v>
      </c>
      <c r="P327" s="31"/>
      <c r="Q327" s="31"/>
      <c r="R327" s="32"/>
      <c r="S327" s="33"/>
      <c r="T327" s="33"/>
    </row>
    <row r="328" spans="1:20" x14ac:dyDescent="0.2">
      <c r="A328" s="40">
        <v>35386</v>
      </c>
      <c r="B328" s="42">
        <v>322</v>
      </c>
      <c r="C328" s="16">
        <f>ROUND(Data!BJ328,2)</f>
        <v>0.52</v>
      </c>
      <c r="D328" s="3">
        <f>ROUND(Data!R328,1)</f>
        <v>-4.0999999999999996</v>
      </c>
      <c r="E328" s="3">
        <f>ROUND(Data!AF328,1)</f>
        <v>-11.4</v>
      </c>
      <c r="F328" s="23">
        <f>Data!BO328</f>
        <v>92.5</v>
      </c>
      <c r="G328" s="3">
        <f>Data!Q328</f>
        <v>0</v>
      </c>
      <c r="H328" s="19"/>
      <c r="I328" s="14"/>
      <c r="J328" s="16">
        <f>Data!BS328</f>
        <v>33</v>
      </c>
      <c r="K328" s="45">
        <f t="shared" si="52"/>
        <v>34.65</v>
      </c>
      <c r="M328" s="23">
        <f t="shared" si="53"/>
        <v>722.04999985694815</v>
      </c>
      <c r="N328" s="23">
        <f t="shared" si="54"/>
        <v>768.78249984979686</v>
      </c>
      <c r="P328" s="31"/>
      <c r="Q328" s="31"/>
      <c r="R328" s="32"/>
      <c r="S328" s="33"/>
      <c r="T328" s="33"/>
    </row>
    <row r="329" spans="1:20" x14ac:dyDescent="0.2">
      <c r="A329" s="40">
        <v>35387</v>
      </c>
      <c r="B329" s="42">
        <v>323</v>
      </c>
      <c r="C329" s="16">
        <f>ROUND(Data!BJ329,2)</f>
        <v>1.0900000000000001</v>
      </c>
      <c r="D329" s="3">
        <f>ROUND(Data!R329,1)</f>
        <v>-7</v>
      </c>
      <c r="E329" s="3">
        <f>ROUND(Data!AF329,1)</f>
        <v>-17.399999999999999</v>
      </c>
      <c r="F329" s="23">
        <f>Data!BO329</f>
        <v>88.2</v>
      </c>
      <c r="G329" s="3">
        <f>Data!Q329</f>
        <v>0</v>
      </c>
      <c r="H329" s="19"/>
      <c r="I329" s="14"/>
      <c r="J329" s="16">
        <f>Data!BS329</f>
        <v>0</v>
      </c>
      <c r="K329" s="45">
        <f t="shared" si="52"/>
        <v>0</v>
      </c>
      <c r="M329" s="23">
        <f t="shared" si="53"/>
        <v>722.04999985694815</v>
      </c>
      <c r="N329" s="23">
        <f t="shared" si="54"/>
        <v>768.78249984979686</v>
      </c>
      <c r="P329" s="31"/>
      <c r="Q329" s="31"/>
      <c r="R329" s="32"/>
      <c r="S329" s="33"/>
      <c r="T329" s="33"/>
    </row>
    <row r="330" spans="1:20" x14ac:dyDescent="0.2">
      <c r="A330" s="40">
        <v>35388</v>
      </c>
      <c r="B330" s="42">
        <v>324</v>
      </c>
      <c r="C330" s="16">
        <f>ROUND(Data!BJ330,2)</f>
        <v>0.92</v>
      </c>
      <c r="D330" s="3">
        <f>ROUND(Data!R330,1)</f>
        <v>-10.7</v>
      </c>
      <c r="E330" s="3">
        <f>ROUND(Data!AF330,1)</f>
        <v>-17.899999999999999</v>
      </c>
      <c r="F330" s="23">
        <f>Data!BO330</f>
        <v>87.9</v>
      </c>
      <c r="G330" s="3">
        <f>Data!Q330</f>
        <v>0</v>
      </c>
      <c r="H330" s="19"/>
      <c r="I330" s="14"/>
      <c r="J330" s="16">
        <f>Data!BS330</f>
        <v>1.5</v>
      </c>
      <c r="K330" s="45">
        <f t="shared" si="52"/>
        <v>1.5750000000000002</v>
      </c>
      <c r="M330" s="23">
        <f t="shared" si="53"/>
        <v>723.54999985694815</v>
      </c>
      <c r="N330" s="23">
        <f t="shared" si="54"/>
        <v>770.35749984979691</v>
      </c>
      <c r="P330" s="31"/>
      <c r="Q330" s="31"/>
      <c r="R330" s="32"/>
      <c r="S330" s="33"/>
      <c r="T330" s="33"/>
    </row>
    <row r="331" spans="1:20" x14ac:dyDescent="0.2">
      <c r="A331" s="40">
        <v>35389</v>
      </c>
      <c r="B331" s="42">
        <v>325</v>
      </c>
      <c r="C331" s="16">
        <f>ROUND(Data!BJ331,2)</f>
        <v>1.05</v>
      </c>
      <c r="D331" s="3">
        <f>ROUND(Data!R331,1)</f>
        <v>-8.8000000000000007</v>
      </c>
      <c r="E331" s="3">
        <f>ROUND(Data!AF331,1)</f>
        <v>-25.7</v>
      </c>
      <c r="F331" s="23">
        <f>Data!BO331</f>
        <v>81.2</v>
      </c>
      <c r="G331" s="3">
        <f>Data!Q331</f>
        <v>0</v>
      </c>
      <c r="H331" s="19"/>
      <c r="I331" s="14"/>
      <c r="J331" s="16">
        <f>Data!BS331</f>
        <v>6</v>
      </c>
      <c r="K331" s="45">
        <f t="shared" si="52"/>
        <v>6.3000000000000007</v>
      </c>
      <c r="M331" s="23">
        <f t="shared" si="53"/>
        <v>729.54999985694815</v>
      </c>
      <c r="N331" s="23">
        <f t="shared" si="54"/>
        <v>776.65749984979686</v>
      </c>
      <c r="P331" s="31"/>
      <c r="Q331" s="31"/>
      <c r="R331" s="32"/>
      <c r="S331" s="33"/>
      <c r="T331" s="33"/>
    </row>
    <row r="332" spans="1:20" x14ac:dyDescent="0.2">
      <c r="A332" s="40">
        <v>35390</v>
      </c>
      <c r="B332" s="42">
        <v>326</v>
      </c>
      <c r="C332" s="16">
        <f>ROUND(Data!BJ332,2)</f>
        <v>0.97</v>
      </c>
      <c r="D332" s="3">
        <f>ROUND(Data!R332,1)</f>
        <v>-7.3</v>
      </c>
      <c r="E332" s="3">
        <f>ROUND(Data!AF332,1)</f>
        <v>-19.100000000000001</v>
      </c>
      <c r="F332" s="23">
        <f>Data!BO332</f>
        <v>86.5</v>
      </c>
      <c r="G332" s="3">
        <f>Data!Q332</f>
        <v>0</v>
      </c>
      <c r="H332" s="19"/>
      <c r="I332" s="14"/>
      <c r="J332" s="16">
        <f>Data!BS332</f>
        <v>0</v>
      </c>
      <c r="K332" s="45">
        <f t="shared" si="52"/>
        <v>0</v>
      </c>
      <c r="M332" s="23">
        <f t="shared" si="53"/>
        <v>729.54999985694815</v>
      </c>
      <c r="N332" s="23">
        <f t="shared" si="54"/>
        <v>776.65749984979686</v>
      </c>
      <c r="P332" s="31"/>
      <c r="Q332" s="31"/>
      <c r="R332" s="32"/>
      <c r="S332" s="33"/>
      <c r="T332" s="33"/>
    </row>
    <row r="333" spans="1:20" x14ac:dyDescent="0.2">
      <c r="A333" s="40">
        <v>35391</v>
      </c>
      <c r="B333" s="42">
        <v>327</v>
      </c>
      <c r="C333" s="16">
        <f>ROUND(Data!BJ333,2)</f>
        <v>0.79</v>
      </c>
      <c r="D333" s="3">
        <f>ROUND(Data!R333,1)</f>
        <v>-10.6</v>
      </c>
      <c r="E333" s="3">
        <f>ROUND(Data!AF333,1)</f>
        <v>-22.2</v>
      </c>
      <c r="F333" s="23">
        <f>Data!BO333</f>
        <v>83.8</v>
      </c>
      <c r="G333" s="3">
        <f>Data!Q333</f>
        <v>0</v>
      </c>
      <c r="H333" s="19"/>
      <c r="I333" s="14"/>
      <c r="J333" s="16">
        <f>Data!BS333</f>
        <v>0</v>
      </c>
      <c r="K333" s="45">
        <f t="shared" si="52"/>
        <v>0</v>
      </c>
      <c r="M333" s="23">
        <f t="shared" si="53"/>
        <v>729.54999985694815</v>
      </c>
      <c r="N333" s="23">
        <f t="shared" si="54"/>
        <v>776.65749984979686</v>
      </c>
      <c r="P333" s="31"/>
      <c r="Q333" s="31"/>
      <c r="R333" s="32"/>
      <c r="S333" s="33"/>
      <c r="T333" s="33"/>
    </row>
    <row r="334" spans="1:20" x14ac:dyDescent="0.2">
      <c r="A334" s="40">
        <v>35392</v>
      </c>
      <c r="B334" s="42">
        <v>328</v>
      </c>
      <c r="C334" s="16">
        <f>ROUND(Data!BJ334,2)</f>
        <v>1.86</v>
      </c>
      <c r="D334" s="3">
        <f>ROUND(Data!R334,1)</f>
        <v>-10.4</v>
      </c>
      <c r="E334" s="3">
        <f>ROUND(Data!AF334,1)</f>
        <v>-28</v>
      </c>
      <c r="F334" s="23">
        <f>Data!BO334</f>
        <v>77.599999999999994</v>
      </c>
      <c r="G334" s="3">
        <f>Data!Q334</f>
        <v>0</v>
      </c>
      <c r="H334" s="19"/>
      <c r="I334" s="14"/>
      <c r="J334" s="16">
        <f>Data!BS334</f>
        <v>0</v>
      </c>
      <c r="K334" s="45">
        <f t="shared" si="52"/>
        <v>0</v>
      </c>
      <c r="M334" s="23">
        <f t="shared" si="53"/>
        <v>729.54999985694815</v>
      </c>
      <c r="N334" s="23">
        <f t="shared" si="54"/>
        <v>776.65749984979686</v>
      </c>
      <c r="P334" s="31"/>
      <c r="Q334" s="31"/>
      <c r="R334" s="32"/>
      <c r="S334" s="33"/>
      <c r="T334" s="33"/>
    </row>
    <row r="335" spans="1:20" x14ac:dyDescent="0.2">
      <c r="A335" s="40">
        <v>35393</v>
      </c>
      <c r="B335" s="42">
        <v>329</v>
      </c>
      <c r="C335" s="16">
        <f>ROUND(Data!BJ335,2)</f>
        <v>0.72</v>
      </c>
      <c r="D335" s="3">
        <f>ROUND(Data!R335,1)</f>
        <v>-1.5</v>
      </c>
      <c r="E335" s="3">
        <f>ROUND(Data!AF335,1)</f>
        <v>-10.3</v>
      </c>
      <c r="F335" s="23">
        <f>Data!BO335</f>
        <v>90.3</v>
      </c>
      <c r="G335" s="3">
        <f>Data!Q335</f>
        <v>0</v>
      </c>
      <c r="H335" s="19"/>
      <c r="I335" s="14"/>
      <c r="J335" s="16">
        <f>Data!BS335</f>
        <v>1.5</v>
      </c>
      <c r="K335" s="45">
        <f t="shared" si="52"/>
        <v>1.5750000000000002</v>
      </c>
      <c r="M335" s="23">
        <f t="shared" si="53"/>
        <v>731.04999985694815</v>
      </c>
      <c r="N335" s="23">
        <f t="shared" si="54"/>
        <v>778.23249984979691</v>
      </c>
      <c r="P335" s="31"/>
      <c r="Q335" s="31"/>
      <c r="R335" s="32"/>
      <c r="S335" s="33"/>
      <c r="T335" s="33"/>
    </row>
    <row r="336" spans="1:20" x14ac:dyDescent="0.2">
      <c r="A336" s="40">
        <v>35394</v>
      </c>
      <c r="B336" s="42">
        <v>330</v>
      </c>
      <c r="C336" s="16">
        <f>ROUND(Data!BJ336,2)</f>
        <v>0.39</v>
      </c>
      <c r="D336" s="3">
        <f>ROUND(Data!R336,1)</f>
        <v>-3.8</v>
      </c>
      <c r="E336" s="3">
        <f>ROUND(Data!AF336,1)</f>
        <v>-8.5</v>
      </c>
      <c r="F336" s="23">
        <f>Data!BO336</f>
        <v>92</v>
      </c>
      <c r="G336" s="3">
        <f>Data!Q336</f>
        <v>0</v>
      </c>
      <c r="H336" s="19"/>
      <c r="I336" s="14"/>
      <c r="J336" s="16">
        <f>Data!BS336</f>
        <v>7.5</v>
      </c>
      <c r="K336" s="45">
        <f t="shared" si="52"/>
        <v>7.875</v>
      </c>
      <c r="M336" s="23">
        <f t="shared" si="53"/>
        <v>738.54999985694815</v>
      </c>
      <c r="N336" s="23">
        <f t="shared" si="54"/>
        <v>786.10749984979691</v>
      </c>
      <c r="P336" s="31"/>
      <c r="Q336" s="31"/>
      <c r="R336" s="32"/>
      <c r="S336" s="33"/>
      <c r="T336" s="33"/>
    </row>
    <row r="337" spans="1:20" x14ac:dyDescent="0.2">
      <c r="A337" s="40">
        <v>35395</v>
      </c>
      <c r="B337" s="42">
        <v>331</v>
      </c>
      <c r="C337" s="16">
        <f>ROUND(Data!BJ337,2)</f>
        <v>0.38</v>
      </c>
      <c r="D337" s="3">
        <f>ROUND(Data!R337,1)</f>
        <v>-2.5</v>
      </c>
      <c r="E337" s="3">
        <f>ROUND(Data!AF337,1)</f>
        <v>-7.1</v>
      </c>
      <c r="F337" s="23">
        <f>Data!BO337</f>
        <v>78.900000000000006</v>
      </c>
      <c r="G337" s="3">
        <f>Data!Q337</f>
        <v>0</v>
      </c>
      <c r="H337" s="19"/>
      <c r="I337" s="14"/>
      <c r="J337" s="16">
        <f>Data!BS337</f>
        <v>4.5</v>
      </c>
      <c r="K337" s="45">
        <f t="shared" si="52"/>
        <v>4.7250000000000005</v>
      </c>
      <c r="M337" s="23">
        <f t="shared" si="53"/>
        <v>743.04999985694815</v>
      </c>
      <c r="N337" s="23">
        <f t="shared" si="54"/>
        <v>790.83249984979693</v>
      </c>
      <c r="P337" s="31"/>
      <c r="Q337" s="31"/>
      <c r="R337" s="32"/>
      <c r="S337" s="33"/>
      <c r="T337" s="33"/>
    </row>
    <row r="338" spans="1:20" x14ac:dyDescent="0.2">
      <c r="A338" s="40">
        <v>35396</v>
      </c>
      <c r="B338" s="42">
        <v>332</v>
      </c>
      <c r="C338" s="16">
        <f>ROUND(Data!BJ338,2)</f>
        <v>0.23</v>
      </c>
      <c r="D338" s="3">
        <f>ROUND(Data!R338,1)</f>
        <v>-1.4</v>
      </c>
      <c r="E338" s="3">
        <f>ROUND(Data!AF338,1)</f>
        <v>-7</v>
      </c>
      <c r="F338" s="23">
        <f>Data!BO338</f>
        <v>91.2</v>
      </c>
      <c r="G338" s="3">
        <f>Data!Q338</f>
        <v>0</v>
      </c>
      <c r="H338" s="19"/>
      <c r="I338" s="14"/>
      <c r="J338" s="16">
        <f>Data!BS338</f>
        <v>24</v>
      </c>
      <c r="K338" s="45">
        <f t="shared" si="52"/>
        <v>25.200000000000003</v>
      </c>
      <c r="M338" s="23">
        <f t="shared" si="53"/>
        <v>767.04999985694815</v>
      </c>
      <c r="N338" s="23">
        <f t="shared" si="54"/>
        <v>816.03249984979698</v>
      </c>
      <c r="P338" s="31"/>
      <c r="Q338" s="31"/>
      <c r="R338" s="32"/>
      <c r="S338" s="33"/>
      <c r="T338" s="33"/>
    </row>
    <row r="339" spans="1:20" x14ac:dyDescent="0.2">
      <c r="A339" s="40">
        <v>35397</v>
      </c>
      <c r="B339" s="42">
        <v>333</v>
      </c>
      <c r="C339" s="16">
        <f>ROUND(Data!BJ339,2)</f>
        <v>0.15</v>
      </c>
      <c r="D339" s="3">
        <f>ROUND(Data!R339,1)</f>
        <v>-2.6</v>
      </c>
      <c r="E339" s="3">
        <f>ROUND(Data!AF339,1)</f>
        <v>-6.4</v>
      </c>
      <c r="F339" s="23">
        <f>Data!BO339</f>
        <v>95.5</v>
      </c>
      <c r="G339" s="3">
        <f>Data!Q339</f>
        <v>0</v>
      </c>
      <c r="H339" s="19"/>
      <c r="I339" s="14"/>
      <c r="J339" s="16">
        <f>Data!BS339</f>
        <v>16.5</v>
      </c>
      <c r="K339" s="45">
        <f t="shared" si="52"/>
        <v>17.324999999999999</v>
      </c>
      <c r="M339" s="23">
        <f t="shared" si="53"/>
        <v>783.54999985694815</v>
      </c>
      <c r="N339" s="23">
        <f t="shared" si="54"/>
        <v>833.35749984979702</v>
      </c>
      <c r="P339" s="31"/>
      <c r="Q339" s="31"/>
      <c r="R339" s="32"/>
      <c r="S339" s="33"/>
      <c r="T339" s="33"/>
    </row>
    <row r="340" spans="1:20" x14ac:dyDescent="0.2">
      <c r="A340" s="40">
        <v>35398</v>
      </c>
      <c r="B340" s="42">
        <v>334</v>
      </c>
      <c r="C340" s="16">
        <f>ROUND(Data!BJ340,2)</f>
        <v>0.54</v>
      </c>
      <c r="D340" s="3">
        <f>ROUND(Data!R340,1)</f>
        <v>-5.0999999999999996</v>
      </c>
      <c r="E340" s="3">
        <f>ROUND(Data!AF340,1)</f>
        <v>-12.3</v>
      </c>
      <c r="F340" s="23">
        <f>Data!BO340</f>
        <v>86.9</v>
      </c>
      <c r="G340" s="3">
        <f>Data!Q340</f>
        <v>0</v>
      </c>
      <c r="H340" s="19"/>
      <c r="I340" s="14"/>
      <c r="J340" s="16">
        <f>Data!BS340</f>
        <v>0</v>
      </c>
      <c r="K340" s="45">
        <f t="shared" si="52"/>
        <v>0</v>
      </c>
      <c r="M340" s="23">
        <f t="shared" si="53"/>
        <v>783.54999985694815</v>
      </c>
      <c r="N340" s="23">
        <f t="shared" si="54"/>
        <v>833.35749984979702</v>
      </c>
      <c r="P340" s="31"/>
      <c r="Q340" s="31"/>
      <c r="R340" s="32"/>
      <c r="S340" s="33"/>
      <c r="T340" s="33"/>
    </row>
    <row r="341" spans="1:20" x14ac:dyDescent="0.2">
      <c r="A341" s="40">
        <v>35399</v>
      </c>
      <c r="B341" s="42">
        <v>335</v>
      </c>
      <c r="C341" s="16">
        <f>ROUND(Data!BJ341,2)</f>
        <v>0.13</v>
      </c>
      <c r="D341" s="3">
        <f>ROUND(Data!R341,1)</f>
        <v>-1.9</v>
      </c>
      <c r="E341" s="3">
        <f>ROUND(Data!AF341,1)</f>
        <v>-6.9</v>
      </c>
      <c r="F341" s="23">
        <f>Data!BO341</f>
        <v>88.9</v>
      </c>
      <c r="G341" s="3">
        <f>Data!Q341</f>
        <v>0</v>
      </c>
      <c r="H341" s="19"/>
      <c r="I341" s="14"/>
      <c r="J341" s="16">
        <f>Data!BS341</f>
        <v>6</v>
      </c>
      <c r="K341" s="45">
        <f t="shared" si="52"/>
        <v>6.3000000000000007</v>
      </c>
      <c r="M341" s="23">
        <f t="shared" si="53"/>
        <v>789.54999985694815</v>
      </c>
      <c r="N341" s="23">
        <f t="shared" si="54"/>
        <v>839.65749984979698</v>
      </c>
      <c r="P341" s="31"/>
      <c r="Q341" s="31"/>
      <c r="R341" s="32"/>
      <c r="S341" s="33"/>
      <c r="T341" s="33"/>
    </row>
    <row r="342" spans="1:20" x14ac:dyDescent="0.2">
      <c r="A342" s="40">
        <v>35400</v>
      </c>
      <c r="B342" s="42">
        <v>336</v>
      </c>
      <c r="C342" s="16">
        <f>ROUND(Data!BJ342,2)</f>
        <v>0.15</v>
      </c>
      <c r="D342" s="3">
        <f>ROUND(Data!R342,1)</f>
        <v>-2</v>
      </c>
      <c r="E342" s="3">
        <f>ROUND(Data!AF342,1)</f>
        <v>-9.1999999999999993</v>
      </c>
      <c r="F342" s="23">
        <f>Data!BO342</f>
        <v>81.7</v>
      </c>
      <c r="G342" s="3">
        <f>Data!Q342</f>
        <v>0</v>
      </c>
      <c r="H342" s="19"/>
      <c r="I342" s="14"/>
      <c r="J342" s="16">
        <f>Data!BS342</f>
        <v>4.5</v>
      </c>
      <c r="K342" s="45">
        <f t="shared" si="52"/>
        <v>4.7250000000000005</v>
      </c>
      <c r="M342" s="23">
        <f t="shared" si="53"/>
        <v>794.04999985694815</v>
      </c>
      <c r="N342" s="23">
        <f t="shared" si="54"/>
        <v>844.382499849797</v>
      </c>
      <c r="P342" s="31"/>
      <c r="Q342" s="31"/>
      <c r="R342" s="32"/>
      <c r="S342" s="33"/>
      <c r="T342" s="33"/>
    </row>
    <row r="343" spans="1:20" x14ac:dyDescent="0.2">
      <c r="A343" s="40">
        <v>35401</v>
      </c>
      <c r="B343" s="42">
        <v>337</v>
      </c>
      <c r="C343" s="16">
        <f>ROUND(Data!BJ343,2)</f>
        <v>0.23</v>
      </c>
      <c r="D343" s="3">
        <f>ROUND(Data!R343,1)</f>
        <v>-7.4</v>
      </c>
      <c r="E343" s="3">
        <f>ROUND(Data!AF343,1)</f>
        <v>-11.1</v>
      </c>
      <c r="F343" s="23">
        <f>Data!BO343</f>
        <v>92.6</v>
      </c>
      <c r="G343" s="3">
        <f>Data!Q343</f>
        <v>0</v>
      </c>
      <c r="H343" s="19"/>
      <c r="I343" s="14"/>
      <c r="J343" s="16">
        <f>Data!BS343</f>
        <v>0</v>
      </c>
      <c r="K343" s="45">
        <f t="shared" si="52"/>
        <v>0</v>
      </c>
      <c r="M343" s="23">
        <f t="shared" si="53"/>
        <v>794.04999985694815</v>
      </c>
      <c r="N343" s="23">
        <f t="shared" si="54"/>
        <v>844.382499849797</v>
      </c>
      <c r="P343" s="31"/>
      <c r="Q343" s="31"/>
      <c r="R343" s="32"/>
      <c r="S343" s="33"/>
      <c r="T343" s="33"/>
    </row>
    <row r="344" spans="1:20" x14ac:dyDescent="0.2">
      <c r="A344" s="40">
        <v>35402</v>
      </c>
      <c r="B344" s="42">
        <v>338</v>
      </c>
      <c r="C344" s="16">
        <f>ROUND(Data!BJ344,2)</f>
        <v>0.19</v>
      </c>
      <c r="D344" s="3">
        <f>ROUND(Data!R344,1)</f>
        <v>-7.9</v>
      </c>
      <c r="E344" s="3">
        <f>ROUND(Data!AF344,1)</f>
        <v>-11.2</v>
      </c>
      <c r="F344" s="23">
        <f>Data!BO344</f>
        <v>92.4</v>
      </c>
      <c r="G344" s="3">
        <f>Data!Q344</f>
        <v>0</v>
      </c>
      <c r="H344" s="19"/>
      <c r="I344" s="14"/>
      <c r="J344" s="16">
        <f>Data!BS344</f>
        <v>1.5</v>
      </c>
      <c r="K344" s="45">
        <f t="shared" si="52"/>
        <v>1.5750000000000002</v>
      </c>
      <c r="M344" s="23">
        <f t="shared" si="53"/>
        <v>795.54999985694815</v>
      </c>
      <c r="N344" s="23">
        <f t="shared" si="54"/>
        <v>845.95749984979705</v>
      </c>
      <c r="P344" s="31"/>
      <c r="Q344" s="31"/>
      <c r="R344" s="32"/>
      <c r="S344" s="33"/>
      <c r="T344" s="33"/>
    </row>
    <row r="345" spans="1:20" x14ac:dyDescent="0.2">
      <c r="A345" s="40">
        <v>35403</v>
      </c>
      <c r="B345" s="42">
        <v>339</v>
      </c>
      <c r="C345" s="16">
        <f>ROUND(Data!BJ345,2)</f>
        <v>0.1</v>
      </c>
      <c r="D345" s="3">
        <f>ROUND(Data!R345,1)</f>
        <v>-5.9</v>
      </c>
      <c r="E345" s="3">
        <f>ROUND(Data!AF345,1)</f>
        <v>-12.6</v>
      </c>
      <c r="F345" s="23">
        <f>Data!BO345</f>
        <v>89.4</v>
      </c>
      <c r="G345" s="3">
        <f>Data!Q345</f>
        <v>0</v>
      </c>
      <c r="H345" s="19"/>
      <c r="I345" s="14"/>
      <c r="J345" s="16">
        <f>Data!BS345</f>
        <v>1.5</v>
      </c>
      <c r="K345" s="45">
        <f t="shared" si="52"/>
        <v>1.5750000000000002</v>
      </c>
      <c r="M345" s="23">
        <f t="shared" si="53"/>
        <v>797.04999985694815</v>
      </c>
      <c r="N345" s="23">
        <f t="shared" si="54"/>
        <v>847.53249984979709</v>
      </c>
      <c r="P345" s="20"/>
      <c r="Q345" s="20"/>
      <c r="R345" s="19"/>
      <c r="S345" s="23"/>
      <c r="T345" s="33"/>
    </row>
    <row r="346" spans="1:20" x14ac:dyDescent="0.2">
      <c r="A346" s="40">
        <v>35404</v>
      </c>
      <c r="B346" s="42">
        <v>340</v>
      </c>
      <c r="C346" s="16">
        <f>ROUND(Data!BJ346,2)</f>
        <v>0.23</v>
      </c>
      <c r="D346" s="3">
        <f>ROUND(Data!R346,1)</f>
        <v>-4.5999999999999996</v>
      </c>
      <c r="E346" s="3">
        <f>ROUND(Data!AF346,1)</f>
        <v>-6.8</v>
      </c>
      <c r="F346" s="23">
        <f>Data!BO346</f>
        <v>91.6</v>
      </c>
      <c r="G346" s="3">
        <f>Data!Q346</f>
        <v>0</v>
      </c>
      <c r="H346" s="19"/>
      <c r="I346" s="14"/>
      <c r="J346" s="16">
        <f>Data!BS346</f>
        <v>13.5</v>
      </c>
      <c r="K346" s="45">
        <f t="shared" si="52"/>
        <v>14.175000000000001</v>
      </c>
      <c r="M346" s="23">
        <f t="shared" si="53"/>
        <v>810.54999985694815</v>
      </c>
      <c r="N346" s="23">
        <f t="shared" si="54"/>
        <v>861.70749984979705</v>
      </c>
      <c r="P346" s="20"/>
      <c r="Q346" s="20"/>
      <c r="R346" s="19"/>
      <c r="S346" s="23"/>
      <c r="T346" s="23"/>
    </row>
    <row r="347" spans="1:20" x14ac:dyDescent="0.2">
      <c r="A347" s="40">
        <v>35405</v>
      </c>
      <c r="B347" s="42">
        <v>341</v>
      </c>
      <c r="C347" s="16">
        <f>ROUND(Data!BJ347,2)</f>
        <v>0.73</v>
      </c>
      <c r="D347" s="3">
        <f>ROUND(Data!R347,1)</f>
        <v>-3.4</v>
      </c>
      <c r="E347" s="3">
        <f>ROUND(Data!AF347,1)</f>
        <v>-9.5</v>
      </c>
      <c r="F347" s="23">
        <f>Data!BO347</f>
        <v>82.2</v>
      </c>
      <c r="G347" s="3">
        <f>Data!Q347</f>
        <v>0</v>
      </c>
      <c r="H347" s="19"/>
      <c r="I347" s="14"/>
      <c r="J347" s="16">
        <f>Data!BS347</f>
        <v>1.6500000000000001</v>
      </c>
      <c r="K347" s="45">
        <f t="shared" si="52"/>
        <v>1.7325000000000002</v>
      </c>
      <c r="M347" s="23">
        <f t="shared" si="53"/>
        <v>812.19999985694812</v>
      </c>
      <c r="N347" s="23">
        <f t="shared" si="54"/>
        <v>863.439999849797</v>
      </c>
      <c r="P347" s="20"/>
      <c r="Q347" s="20"/>
      <c r="R347" s="19"/>
      <c r="S347" s="23"/>
      <c r="T347" s="23"/>
    </row>
    <row r="348" spans="1:20" x14ac:dyDescent="0.2">
      <c r="A348" s="40">
        <v>35406</v>
      </c>
      <c r="B348" s="42">
        <v>342</v>
      </c>
      <c r="C348" s="16">
        <f>ROUND(Data!BJ348,2)</f>
        <v>0.17</v>
      </c>
      <c r="D348" s="3">
        <f>ROUND(Data!R348,1)</f>
        <v>-4.5999999999999996</v>
      </c>
      <c r="E348" s="3">
        <f>ROUND(Data!AF348,1)</f>
        <v>-11.4</v>
      </c>
      <c r="F348" s="23">
        <f>Data!BO348</f>
        <v>67.3</v>
      </c>
      <c r="G348" s="3">
        <f>Data!Q348</f>
        <v>0</v>
      </c>
      <c r="H348" s="19"/>
      <c r="I348" s="14"/>
      <c r="J348" s="16">
        <f>Data!BS348</f>
        <v>1.5</v>
      </c>
      <c r="K348" s="45">
        <f t="shared" si="52"/>
        <v>1.5750000000000002</v>
      </c>
      <c r="M348" s="23">
        <f t="shared" si="53"/>
        <v>813.69999985694812</v>
      </c>
      <c r="N348" s="23">
        <f t="shared" si="54"/>
        <v>865.01499984979705</v>
      </c>
      <c r="P348" s="20"/>
      <c r="Q348" s="20"/>
      <c r="R348" s="19"/>
      <c r="S348" s="23"/>
      <c r="T348" s="23"/>
    </row>
    <row r="349" spans="1:20" x14ac:dyDescent="0.2">
      <c r="A349" s="40">
        <v>35407</v>
      </c>
      <c r="B349" s="34">
        <v>343</v>
      </c>
      <c r="C349" s="16">
        <f>ROUND(Data!BJ349,2)</f>
        <v>0.2</v>
      </c>
      <c r="D349" s="3">
        <f>ROUND(Data!R349,1)</f>
        <v>-2.7</v>
      </c>
      <c r="E349" s="3">
        <f>ROUND(Data!AF349,1)</f>
        <v>-8.3000000000000007</v>
      </c>
      <c r="F349" s="23">
        <f>Data!BO349</f>
        <v>80.7</v>
      </c>
      <c r="G349" s="3">
        <f>Data!Q349</f>
        <v>0</v>
      </c>
      <c r="H349" s="19"/>
      <c r="I349" s="14"/>
      <c r="J349" s="16">
        <f>Data!BS349</f>
        <v>13.5</v>
      </c>
      <c r="K349" s="45">
        <f t="shared" si="52"/>
        <v>14.175000000000001</v>
      </c>
      <c r="M349" s="23">
        <f t="shared" si="53"/>
        <v>827.19999985694812</v>
      </c>
      <c r="N349" s="23">
        <f t="shared" si="54"/>
        <v>879.189999849797</v>
      </c>
      <c r="P349" s="20"/>
      <c r="Q349" s="20"/>
      <c r="R349" s="19"/>
      <c r="S349" s="23"/>
      <c r="T349" s="23"/>
    </row>
    <row r="350" spans="1:20" x14ac:dyDescent="0.2">
      <c r="A350" s="40">
        <v>35408</v>
      </c>
      <c r="B350" s="34">
        <v>344</v>
      </c>
      <c r="C350" s="16">
        <f>ROUND(Data!BJ350,2)</f>
        <v>1.76</v>
      </c>
      <c r="D350" s="3">
        <f>ROUND(Data!R350,1)</f>
        <v>-2.1</v>
      </c>
      <c r="E350" s="3">
        <f>ROUND(Data!AF350,1)</f>
        <v>-16.3</v>
      </c>
      <c r="F350" s="23">
        <f>Data!BO350</f>
        <v>51.8</v>
      </c>
      <c r="G350" s="3">
        <f>Data!Q350</f>
        <v>0</v>
      </c>
      <c r="H350" s="19"/>
      <c r="I350" s="14"/>
      <c r="J350" s="16">
        <f>Data!BS350</f>
        <v>1.5</v>
      </c>
      <c r="K350" s="45">
        <f t="shared" si="52"/>
        <v>1.5750000000000002</v>
      </c>
      <c r="M350" s="23">
        <f t="shared" si="53"/>
        <v>828.69999985694812</v>
      </c>
      <c r="N350" s="23">
        <f t="shared" si="54"/>
        <v>880.76499984979705</v>
      </c>
      <c r="P350" s="20"/>
      <c r="Q350" s="20"/>
      <c r="R350" s="19"/>
      <c r="S350" s="23"/>
      <c r="T350" s="23"/>
    </row>
    <row r="351" spans="1:20" x14ac:dyDescent="0.2">
      <c r="A351" s="40">
        <v>35409</v>
      </c>
      <c r="B351" s="34">
        <v>345</v>
      </c>
      <c r="C351" s="16">
        <f>ROUND(Data!BJ351,2)</f>
        <v>0.61</v>
      </c>
      <c r="D351" s="3">
        <f>ROUND(Data!R351,1)</f>
        <v>0.4</v>
      </c>
      <c r="E351" s="3">
        <f>ROUND(Data!AF351,1)</f>
        <v>-9.1999999999999993</v>
      </c>
      <c r="F351" s="23">
        <f>Data!BO351</f>
        <v>70.900000000000006</v>
      </c>
      <c r="G351" s="3">
        <f>Data!Q351</f>
        <v>0</v>
      </c>
      <c r="H351" s="19"/>
      <c r="I351" s="14"/>
      <c r="J351" s="16">
        <f>Data!BS351</f>
        <v>3</v>
      </c>
      <c r="K351" s="45">
        <f t="shared" si="52"/>
        <v>3.1500000000000004</v>
      </c>
      <c r="M351" s="23">
        <f t="shared" si="53"/>
        <v>831.69999985694812</v>
      </c>
      <c r="N351" s="23">
        <f t="shared" si="54"/>
        <v>883.91499984979703</v>
      </c>
      <c r="P351" s="20"/>
      <c r="Q351" s="20"/>
      <c r="R351" s="19"/>
      <c r="S351" s="23"/>
      <c r="T351" s="23"/>
    </row>
    <row r="352" spans="1:20" x14ac:dyDescent="0.2">
      <c r="A352" s="40">
        <v>35410</v>
      </c>
      <c r="B352" s="34">
        <v>346</v>
      </c>
      <c r="C352" s="16">
        <f>ROUND(Data!BJ352,2)</f>
        <v>2.87</v>
      </c>
      <c r="D352" s="3">
        <f>ROUND(Data!R352,1)</f>
        <v>0.5</v>
      </c>
      <c r="E352" s="3">
        <f>ROUND(Data!AF352,1)</f>
        <v>-11.1</v>
      </c>
      <c r="F352" s="23">
        <f>Data!BO352</f>
        <v>51.2</v>
      </c>
      <c r="G352" s="3">
        <f>Data!Q352</f>
        <v>0</v>
      </c>
      <c r="H352" s="19"/>
      <c r="I352" s="14"/>
      <c r="J352" s="16">
        <f>Data!BS352</f>
        <v>1.5</v>
      </c>
      <c r="K352" s="45">
        <f t="shared" si="52"/>
        <v>1.5750000000000002</v>
      </c>
      <c r="M352" s="23">
        <f t="shared" si="53"/>
        <v>833.19999985694812</v>
      </c>
      <c r="N352" s="23">
        <f t="shared" si="54"/>
        <v>885.48999984979707</v>
      </c>
      <c r="P352" s="20"/>
      <c r="Q352" s="20"/>
      <c r="R352" s="19"/>
      <c r="S352" s="23"/>
      <c r="T352" s="23"/>
    </row>
    <row r="353" spans="1:20" x14ac:dyDescent="0.2">
      <c r="A353" s="40">
        <v>35411</v>
      </c>
      <c r="B353" s="34">
        <v>347</v>
      </c>
      <c r="C353" s="16">
        <f>ROUND(Data!BJ353,2)</f>
        <v>0.66</v>
      </c>
      <c r="D353" s="3">
        <f>ROUND(Data!R353,1)</f>
        <v>-3.6</v>
      </c>
      <c r="E353" s="3">
        <f>ROUND(Data!AF353,1)</f>
        <v>-12.3</v>
      </c>
      <c r="F353" s="23">
        <f>Data!BO353</f>
        <v>75.8</v>
      </c>
      <c r="G353" s="3">
        <f>Data!Q353</f>
        <v>0</v>
      </c>
      <c r="H353" s="19"/>
      <c r="I353" s="14"/>
      <c r="J353" s="16">
        <f>Data!BS353</f>
        <v>9</v>
      </c>
      <c r="K353" s="45">
        <f t="shared" si="52"/>
        <v>9.4500000000000011</v>
      </c>
      <c r="M353" s="23">
        <f t="shared" si="53"/>
        <v>842.19999985694812</v>
      </c>
      <c r="N353" s="23">
        <f t="shared" si="54"/>
        <v>894.93999984979712</v>
      </c>
      <c r="P353" s="20"/>
      <c r="Q353" s="20"/>
      <c r="R353" s="19"/>
      <c r="S353" s="23"/>
      <c r="T353" s="23"/>
    </row>
    <row r="354" spans="1:20" x14ac:dyDescent="0.2">
      <c r="A354" s="40">
        <v>35412</v>
      </c>
      <c r="B354" s="34">
        <v>348</v>
      </c>
      <c r="C354" s="16">
        <f>ROUND(Data!BJ354,2)</f>
        <v>0.53</v>
      </c>
      <c r="D354" s="3">
        <f>ROUND(Data!R354,1)</f>
        <v>-3.4</v>
      </c>
      <c r="E354" s="3">
        <f>ROUND(Data!AF354,1)</f>
        <v>-12.7</v>
      </c>
      <c r="F354" s="23">
        <f>Data!BO354</f>
        <v>71</v>
      </c>
      <c r="G354" s="3">
        <f>Data!Q354</f>
        <v>0</v>
      </c>
      <c r="H354" s="19"/>
      <c r="I354" s="14"/>
      <c r="J354" s="16">
        <f>Data!BS354</f>
        <v>1.5</v>
      </c>
      <c r="K354" s="45">
        <f t="shared" si="52"/>
        <v>1.5750000000000002</v>
      </c>
      <c r="M354" s="23">
        <f t="shared" si="53"/>
        <v>843.69999985694812</v>
      </c>
      <c r="N354" s="23">
        <f t="shared" si="54"/>
        <v>896.51499984979716</v>
      </c>
      <c r="P354" s="20"/>
      <c r="Q354" s="20"/>
      <c r="R354" s="19"/>
      <c r="S354" s="23"/>
      <c r="T354" s="23"/>
    </row>
    <row r="355" spans="1:20" x14ac:dyDescent="0.2">
      <c r="A355" s="40">
        <v>35413</v>
      </c>
      <c r="B355" s="34">
        <v>349</v>
      </c>
      <c r="C355" s="16">
        <f>ROUND(Data!BJ355,2)</f>
        <v>2.4700000000000002</v>
      </c>
      <c r="D355" s="3">
        <f>ROUND(Data!R355,1)</f>
        <v>-4.0999999999999996</v>
      </c>
      <c r="E355" s="3">
        <f>ROUND(Data!AF355,1)</f>
        <v>-14.2</v>
      </c>
      <c r="F355" s="23">
        <f>Data!BO355</f>
        <v>78.2</v>
      </c>
      <c r="G355" s="3">
        <f>Data!Q355</f>
        <v>0</v>
      </c>
      <c r="H355" s="19"/>
      <c r="I355" s="14"/>
      <c r="J355" s="16">
        <f>Data!BS355</f>
        <v>6</v>
      </c>
      <c r="K355" s="45">
        <f t="shared" si="52"/>
        <v>6.3000000000000007</v>
      </c>
      <c r="M355" s="23">
        <f t="shared" si="53"/>
        <v>849.69999985694812</v>
      </c>
      <c r="N355" s="23">
        <f t="shared" si="54"/>
        <v>902.81499984979712</v>
      </c>
      <c r="P355" s="20"/>
      <c r="Q355" s="20"/>
      <c r="R355" s="19"/>
      <c r="S355" s="23"/>
      <c r="T355" s="23"/>
    </row>
    <row r="356" spans="1:20" x14ac:dyDescent="0.2">
      <c r="A356" s="40">
        <v>35414</v>
      </c>
      <c r="B356" s="34">
        <v>350</v>
      </c>
      <c r="C356" s="16">
        <f>ROUND(Data!BJ356,2)</f>
        <v>0.27</v>
      </c>
      <c r="D356" s="3">
        <f>ROUND(Data!R356,1)</f>
        <v>-4.2</v>
      </c>
      <c r="E356" s="3">
        <f>ROUND(Data!AF356,1)</f>
        <v>-11</v>
      </c>
      <c r="F356" s="23">
        <f>Data!BO356</f>
        <v>77.8</v>
      </c>
      <c r="G356" s="3">
        <f>Data!Q356</f>
        <v>0</v>
      </c>
      <c r="H356" s="19"/>
      <c r="I356" s="14"/>
      <c r="J356" s="16">
        <f>Data!BS356</f>
        <v>7.5</v>
      </c>
      <c r="K356" s="45">
        <f t="shared" si="52"/>
        <v>7.875</v>
      </c>
      <c r="M356" s="23">
        <f t="shared" si="53"/>
        <v>857.19999985694812</v>
      </c>
      <c r="N356" s="23">
        <f t="shared" si="54"/>
        <v>910.68999984979712</v>
      </c>
      <c r="P356" s="20"/>
      <c r="Q356" s="20"/>
      <c r="R356" s="19"/>
      <c r="S356" s="23"/>
      <c r="T356" s="23"/>
    </row>
    <row r="357" spans="1:20" x14ac:dyDescent="0.2">
      <c r="A357" s="40">
        <v>35415</v>
      </c>
      <c r="B357" s="34">
        <v>351</v>
      </c>
      <c r="C357" s="16">
        <f>ROUND(Data!BJ357,2)</f>
        <v>0.62</v>
      </c>
      <c r="D357" s="3">
        <f>ROUND(Data!R357,1)</f>
        <v>-9.5</v>
      </c>
      <c r="E357" s="3">
        <f>ROUND(Data!AF357,1)</f>
        <v>-14.4</v>
      </c>
      <c r="F357" s="23">
        <f>Data!BO357</f>
        <v>88.3</v>
      </c>
      <c r="G357" s="3">
        <f>Data!Q357</f>
        <v>0</v>
      </c>
      <c r="H357" s="19"/>
      <c r="I357" s="14"/>
      <c r="J357" s="16">
        <f>Data!BS357</f>
        <v>0</v>
      </c>
      <c r="K357" s="45">
        <f t="shared" si="52"/>
        <v>0</v>
      </c>
      <c r="M357" s="23">
        <f t="shared" si="53"/>
        <v>857.19999985694812</v>
      </c>
      <c r="N357" s="23">
        <f t="shared" si="54"/>
        <v>910.68999984979712</v>
      </c>
      <c r="P357" s="31"/>
      <c r="Q357" s="31"/>
      <c r="R357" s="32"/>
      <c r="S357" s="33"/>
      <c r="T357" s="33"/>
    </row>
    <row r="358" spans="1:20" x14ac:dyDescent="0.2">
      <c r="A358" s="40">
        <v>35416</v>
      </c>
      <c r="B358" s="34">
        <v>352</v>
      </c>
      <c r="C358" s="16">
        <f>ROUND(Data!BJ358,2)</f>
        <v>1.6</v>
      </c>
      <c r="D358" s="3">
        <f>ROUND(Data!R358,1)</f>
        <v>-11.3</v>
      </c>
      <c r="E358" s="3">
        <f>ROUND(Data!AF358,1)</f>
        <v>-23.8</v>
      </c>
      <c r="F358" s="23">
        <f>Data!BO358</f>
        <v>80.900000000000006</v>
      </c>
      <c r="G358" s="3">
        <f>Data!Q358</f>
        <v>0</v>
      </c>
      <c r="H358" s="19"/>
      <c r="I358" s="14"/>
      <c r="J358" s="16">
        <f>Data!BS358</f>
        <v>0</v>
      </c>
      <c r="K358" s="45">
        <f t="shared" si="52"/>
        <v>0</v>
      </c>
      <c r="M358" s="23">
        <f t="shared" si="53"/>
        <v>857.19999985694812</v>
      </c>
      <c r="N358" s="23">
        <f t="shared" si="54"/>
        <v>910.68999984979712</v>
      </c>
      <c r="P358" s="31"/>
      <c r="Q358" s="31"/>
      <c r="R358" s="32"/>
      <c r="S358" s="33"/>
      <c r="T358" s="33"/>
    </row>
    <row r="359" spans="1:20" x14ac:dyDescent="0.2">
      <c r="A359" s="40">
        <v>35417</v>
      </c>
      <c r="B359" s="34">
        <v>353</v>
      </c>
      <c r="C359" s="16">
        <f>ROUND(Data!BJ359,2)</f>
        <v>0.01</v>
      </c>
      <c r="D359" s="3">
        <f>ROUND(Data!R359,1)</f>
        <v>-9.6999999999999993</v>
      </c>
      <c r="E359" s="3">
        <f>ROUND(Data!AF359,1)</f>
        <v>-14.1</v>
      </c>
      <c r="F359" s="23">
        <f>Data!BO359</f>
        <v>86.2</v>
      </c>
      <c r="G359" s="3">
        <f>Data!Q359</f>
        <v>0</v>
      </c>
      <c r="H359" s="19"/>
      <c r="I359" s="14"/>
      <c r="J359" s="16">
        <f>Data!BS359</f>
        <v>0</v>
      </c>
      <c r="K359" s="45">
        <f t="shared" si="52"/>
        <v>0</v>
      </c>
      <c r="M359" s="23">
        <f t="shared" si="53"/>
        <v>857.19999985694812</v>
      </c>
      <c r="N359" s="23">
        <f t="shared" si="54"/>
        <v>910.68999984979712</v>
      </c>
      <c r="P359" s="31"/>
      <c r="Q359" s="31"/>
      <c r="R359" s="32"/>
      <c r="S359" s="33"/>
      <c r="T359" s="33"/>
    </row>
    <row r="360" spans="1:20" x14ac:dyDescent="0.2">
      <c r="A360" s="40">
        <v>35418</v>
      </c>
      <c r="B360" s="34">
        <v>354</v>
      </c>
      <c r="C360" s="16">
        <f>ROUND(Data!BJ360,2)</f>
        <v>0.27</v>
      </c>
      <c r="D360" s="3">
        <f>ROUND(Data!R360,1)</f>
        <v>-5</v>
      </c>
      <c r="E360" s="3">
        <f>ROUND(Data!AF360,1)</f>
        <v>-15.7</v>
      </c>
      <c r="F360" s="23">
        <f>Data!BO360</f>
        <v>87.1</v>
      </c>
      <c r="G360" s="3">
        <f>Data!Q360</f>
        <v>0</v>
      </c>
      <c r="H360" s="19"/>
      <c r="I360" s="14"/>
      <c r="J360" s="16">
        <f>Data!BS360</f>
        <v>12</v>
      </c>
      <c r="K360" s="45">
        <f t="shared" si="52"/>
        <v>12.600000000000001</v>
      </c>
      <c r="M360" s="23">
        <f t="shared" si="53"/>
        <v>869.19999985694812</v>
      </c>
      <c r="N360" s="23">
        <f t="shared" si="54"/>
        <v>923.28999984979714</v>
      </c>
      <c r="P360" s="31"/>
      <c r="Q360" s="31"/>
      <c r="R360" s="32"/>
      <c r="S360" s="33"/>
      <c r="T360" s="33"/>
    </row>
    <row r="361" spans="1:20" x14ac:dyDescent="0.2">
      <c r="A361" s="40">
        <v>35419</v>
      </c>
      <c r="B361" s="34">
        <v>355</v>
      </c>
      <c r="C361" s="16">
        <f>ROUND(Data!BJ361,2)</f>
        <v>0.47</v>
      </c>
      <c r="D361" s="3">
        <f>ROUND(Data!R361,1)</f>
        <v>-5</v>
      </c>
      <c r="E361" s="3">
        <f>ROUND(Data!AF361,1)</f>
        <v>-10.3</v>
      </c>
      <c r="F361" s="23">
        <f>Data!BO361</f>
        <v>89.9</v>
      </c>
      <c r="G361" s="3">
        <f>Data!Q361</f>
        <v>0</v>
      </c>
      <c r="H361" s="19"/>
      <c r="I361" s="14"/>
      <c r="J361" s="16">
        <f>Data!BS361</f>
        <v>16.5</v>
      </c>
      <c r="K361" s="45">
        <f t="shared" si="52"/>
        <v>17.324999999999999</v>
      </c>
      <c r="M361" s="23">
        <f t="shared" si="53"/>
        <v>885.69999985694812</v>
      </c>
      <c r="N361" s="23">
        <f t="shared" si="54"/>
        <v>940.61499984979719</v>
      </c>
      <c r="P361" s="31"/>
      <c r="Q361" s="31"/>
      <c r="R361" s="32"/>
      <c r="S361" s="33"/>
      <c r="T361" s="33"/>
    </row>
    <row r="362" spans="1:20" x14ac:dyDescent="0.2">
      <c r="A362" s="40">
        <v>35420</v>
      </c>
      <c r="B362" s="34">
        <v>356</v>
      </c>
      <c r="C362" s="16">
        <f>ROUND(Data!BJ362,2)</f>
        <v>0.6</v>
      </c>
      <c r="D362" s="3">
        <f>ROUND(Data!R362,1)</f>
        <v>-6.7</v>
      </c>
      <c r="E362" s="3">
        <f>ROUND(Data!AF362,1)</f>
        <v>-11.2</v>
      </c>
      <c r="F362" s="23">
        <f>Data!BO362</f>
        <v>89.4</v>
      </c>
      <c r="G362" s="3">
        <f>Data!Q362</f>
        <v>0</v>
      </c>
      <c r="H362" s="19"/>
      <c r="I362" s="14"/>
      <c r="J362" s="16">
        <f>Data!BS362</f>
        <v>6</v>
      </c>
      <c r="K362" s="45">
        <f t="shared" si="52"/>
        <v>6.3000000000000007</v>
      </c>
      <c r="M362" s="23">
        <f t="shared" si="53"/>
        <v>891.69999985694812</v>
      </c>
      <c r="N362" s="23">
        <f t="shared" si="54"/>
        <v>946.91499984979714</v>
      </c>
      <c r="P362" s="31"/>
      <c r="Q362" s="31"/>
      <c r="R362" s="32"/>
      <c r="S362" s="33"/>
      <c r="T362" s="33"/>
    </row>
    <row r="363" spans="1:20" x14ac:dyDescent="0.2">
      <c r="A363" s="40">
        <v>35421</v>
      </c>
      <c r="B363" s="34">
        <v>357</v>
      </c>
      <c r="C363" s="16">
        <f>ROUND(Data!BJ363,2)</f>
        <v>0.64</v>
      </c>
      <c r="D363" s="3">
        <f>ROUND(Data!R363,1)</f>
        <v>-10.3</v>
      </c>
      <c r="E363" s="3">
        <f>ROUND(Data!AF363,1)</f>
        <v>-20</v>
      </c>
      <c r="F363" s="23">
        <f>Data!BO363</f>
        <v>85.5</v>
      </c>
      <c r="G363" s="3">
        <f>Data!Q363</f>
        <v>0</v>
      </c>
      <c r="H363" s="19"/>
      <c r="I363" s="14"/>
      <c r="J363" s="16">
        <f>Data!BS363</f>
        <v>3</v>
      </c>
      <c r="K363" s="45">
        <f t="shared" si="52"/>
        <v>3.1500000000000004</v>
      </c>
      <c r="M363" s="23">
        <f t="shared" si="53"/>
        <v>894.69999985694812</v>
      </c>
      <c r="N363" s="23">
        <f t="shared" si="54"/>
        <v>950.06499984979712</v>
      </c>
      <c r="P363" s="31"/>
      <c r="Q363" s="31"/>
      <c r="R363" s="32"/>
      <c r="S363" s="33"/>
      <c r="T363" s="33"/>
    </row>
    <row r="364" spans="1:20" x14ac:dyDescent="0.2">
      <c r="A364" s="40">
        <v>35422</v>
      </c>
      <c r="B364" s="34">
        <v>358</v>
      </c>
      <c r="C364" s="16">
        <f>ROUND(Data!BJ364,2)</f>
        <v>0.38</v>
      </c>
      <c r="D364" s="3">
        <f>ROUND(Data!R364,1)</f>
        <v>-13.4</v>
      </c>
      <c r="E364" s="3">
        <f>ROUND(Data!AF364,1)</f>
        <v>-20.8</v>
      </c>
      <c r="F364" s="23">
        <f>Data!BO364</f>
        <v>84.7</v>
      </c>
      <c r="G364" s="3">
        <f>Data!Q364</f>
        <v>0</v>
      </c>
      <c r="H364" s="19"/>
      <c r="I364" s="14"/>
      <c r="J364" s="16">
        <f>Data!BS364</f>
        <v>13.5</v>
      </c>
      <c r="K364" s="45">
        <f t="shared" si="52"/>
        <v>14.175000000000001</v>
      </c>
      <c r="M364" s="23">
        <f t="shared" si="53"/>
        <v>908.19999985694812</v>
      </c>
      <c r="N364" s="23">
        <f t="shared" si="54"/>
        <v>964.23999984979707</v>
      </c>
      <c r="P364" s="31"/>
      <c r="Q364" s="31"/>
      <c r="R364" s="32"/>
      <c r="S364" s="33"/>
      <c r="T364" s="33"/>
    </row>
    <row r="365" spans="1:20" x14ac:dyDescent="0.2">
      <c r="A365" s="40">
        <v>35423</v>
      </c>
      <c r="B365" s="34">
        <v>359</v>
      </c>
      <c r="C365" s="16">
        <f>ROUND(Data!BJ365,2)</f>
        <v>0.48</v>
      </c>
      <c r="D365" s="3">
        <f>ROUND(Data!R365,1)</f>
        <v>-12.7</v>
      </c>
      <c r="E365" s="3">
        <f>ROUND(Data!AF365,1)</f>
        <v>-21.8</v>
      </c>
      <c r="F365" s="23">
        <f>Data!BO365</f>
        <v>83.6</v>
      </c>
      <c r="G365" s="3">
        <f>Data!Q365</f>
        <v>0</v>
      </c>
      <c r="H365" s="19"/>
      <c r="I365" s="14"/>
      <c r="J365" s="16">
        <f>Data!BS365</f>
        <v>6</v>
      </c>
      <c r="K365" s="45">
        <f t="shared" si="52"/>
        <v>6.3000000000000007</v>
      </c>
      <c r="M365" s="23">
        <f t="shared" si="53"/>
        <v>914.19999985694812</v>
      </c>
      <c r="N365" s="23">
        <f t="shared" si="54"/>
        <v>970.53999984979703</v>
      </c>
      <c r="P365" s="31"/>
      <c r="Q365" s="31"/>
      <c r="R365" s="32"/>
      <c r="S365" s="33"/>
      <c r="T365" s="33"/>
    </row>
    <row r="366" spans="1:20" x14ac:dyDescent="0.2">
      <c r="A366" s="40">
        <v>35424</v>
      </c>
      <c r="B366" s="34">
        <v>360</v>
      </c>
      <c r="C366" s="16">
        <f>ROUND(Data!BJ366,2)</f>
        <v>1.84</v>
      </c>
      <c r="D366" s="3">
        <f>ROUND(Data!R366,1)</f>
        <v>-10.9</v>
      </c>
      <c r="E366" s="3">
        <f>ROUND(Data!AF366,1)</f>
        <v>-31.4</v>
      </c>
      <c r="F366" s="23">
        <f>Data!BO366</f>
        <v>74.8</v>
      </c>
      <c r="G366" s="3">
        <f>Data!Q366</f>
        <v>0</v>
      </c>
      <c r="H366" s="19"/>
      <c r="I366" s="14"/>
      <c r="J366" s="16">
        <f>Data!BS366</f>
        <v>3</v>
      </c>
      <c r="K366" s="45">
        <f t="shared" si="52"/>
        <v>3.1500000000000004</v>
      </c>
      <c r="M366" s="23">
        <f t="shared" si="53"/>
        <v>917.19999985694812</v>
      </c>
      <c r="N366" s="23">
        <f t="shared" si="54"/>
        <v>973.689999849797</v>
      </c>
      <c r="P366" s="31"/>
      <c r="Q366" s="31"/>
      <c r="R366" s="32"/>
      <c r="S366" s="33"/>
      <c r="T366" s="33"/>
    </row>
    <row r="367" spans="1:20" x14ac:dyDescent="0.2">
      <c r="A367" s="40">
        <v>35425</v>
      </c>
      <c r="B367" s="34">
        <v>361</v>
      </c>
      <c r="C367" s="16">
        <f>ROUND(Data!BJ367,2)</f>
        <v>2.77</v>
      </c>
      <c r="D367" s="3">
        <f>ROUND(Data!R367,1)</f>
        <v>-15</v>
      </c>
      <c r="E367" s="3">
        <f>ROUND(Data!AF367,1)</f>
        <v>-32.4</v>
      </c>
      <c r="F367" s="23">
        <f>Data!BO367</f>
        <v>74</v>
      </c>
      <c r="G367" s="3">
        <f>Data!Q367</f>
        <v>0</v>
      </c>
      <c r="H367" s="19"/>
      <c r="I367" s="14"/>
      <c r="J367" s="16">
        <f>Data!BS367</f>
        <v>0</v>
      </c>
      <c r="K367" s="45">
        <f t="shared" si="52"/>
        <v>0</v>
      </c>
      <c r="M367" s="23">
        <f t="shared" si="53"/>
        <v>917.19999985694812</v>
      </c>
      <c r="N367" s="23">
        <f t="shared" si="54"/>
        <v>973.689999849797</v>
      </c>
      <c r="P367" s="31"/>
      <c r="Q367" s="31"/>
      <c r="R367" s="32"/>
      <c r="S367" s="33"/>
      <c r="T367" s="33"/>
    </row>
    <row r="368" spans="1:20" x14ac:dyDescent="0.2">
      <c r="A368" s="40">
        <v>35426</v>
      </c>
      <c r="B368" s="34">
        <v>362</v>
      </c>
      <c r="C368" s="16">
        <f>ROUND(Data!BJ368,2)</f>
        <v>0.67</v>
      </c>
      <c r="D368" s="3">
        <f>ROUND(Data!R368,1)</f>
        <v>-21.2</v>
      </c>
      <c r="E368" s="3">
        <f>ROUND(Data!AF368,1)</f>
        <v>-34.700000000000003</v>
      </c>
      <c r="F368" s="23">
        <f>Data!BO368</f>
        <v>71.3</v>
      </c>
      <c r="G368" s="3">
        <f>Data!Q368</f>
        <v>0</v>
      </c>
      <c r="H368" s="19"/>
      <c r="I368" s="14"/>
      <c r="J368" s="16">
        <f>Data!BS368</f>
        <v>1.5</v>
      </c>
      <c r="K368" s="45">
        <f t="shared" si="52"/>
        <v>1.5750000000000002</v>
      </c>
      <c r="M368" s="23">
        <f t="shared" si="53"/>
        <v>918.69999985694812</v>
      </c>
      <c r="N368" s="23">
        <f t="shared" si="54"/>
        <v>975.26499984979705</v>
      </c>
      <c r="P368" s="31"/>
      <c r="Q368" s="31"/>
      <c r="R368" s="32"/>
      <c r="S368" s="33"/>
      <c r="T368" s="33"/>
    </row>
    <row r="369" spans="1:20" x14ac:dyDescent="0.2">
      <c r="A369" s="40">
        <v>35427</v>
      </c>
      <c r="B369" s="34">
        <v>363</v>
      </c>
      <c r="C369" s="16">
        <f>ROUND(Data!BJ369,2)</f>
        <v>1.24</v>
      </c>
      <c r="D369" s="3">
        <f>ROUND(Data!R369,1)</f>
        <v>-23.2</v>
      </c>
      <c r="E369" s="3">
        <f>ROUND(Data!AF369,1)</f>
        <v>-35</v>
      </c>
      <c r="F369" s="23">
        <f>Data!BO369</f>
        <v>71.099999999999994</v>
      </c>
      <c r="G369" s="3">
        <f>Data!Q369</f>
        <v>0</v>
      </c>
      <c r="H369" s="19"/>
      <c r="I369" s="14"/>
      <c r="J369" s="16">
        <f>Data!BS369</f>
        <v>1.5</v>
      </c>
      <c r="K369" s="45">
        <f t="shared" si="52"/>
        <v>1.5750000000000002</v>
      </c>
      <c r="M369" s="23">
        <f t="shared" si="53"/>
        <v>920.19999985694812</v>
      </c>
      <c r="N369" s="23">
        <f t="shared" si="54"/>
        <v>976.8399998497971</v>
      </c>
      <c r="P369" s="31"/>
      <c r="Q369" s="31"/>
      <c r="R369" s="32"/>
      <c r="S369" s="33"/>
      <c r="T369" s="33"/>
    </row>
    <row r="370" spans="1:20" x14ac:dyDescent="0.2">
      <c r="A370" s="40">
        <v>35428</v>
      </c>
      <c r="B370" s="34">
        <v>364</v>
      </c>
      <c r="C370" s="16">
        <f>ROUND(Data!BJ370,2)</f>
        <v>0.32</v>
      </c>
      <c r="D370" s="3">
        <f>ROUND(Data!R370,1)</f>
        <v>-9.6999999999999993</v>
      </c>
      <c r="E370" s="3">
        <f>ROUND(Data!AF370,1)</f>
        <v>-33.299999999999997</v>
      </c>
      <c r="F370" s="23">
        <f>Data!BO370</f>
        <v>73.7</v>
      </c>
      <c r="G370" s="3">
        <f>Data!Q370</f>
        <v>0</v>
      </c>
      <c r="H370" s="19"/>
      <c r="I370" s="14"/>
      <c r="J370" s="16">
        <f>Data!BS370</f>
        <v>10.5</v>
      </c>
      <c r="K370" s="45">
        <f t="shared" si="52"/>
        <v>11.025</v>
      </c>
      <c r="M370" s="23">
        <f t="shared" si="53"/>
        <v>930.69999985694812</v>
      </c>
      <c r="N370" s="23">
        <f t="shared" si="54"/>
        <v>987.86499984979707</v>
      </c>
      <c r="P370" s="31"/>
      <c r="Q370" s="31"/>
      <c r="R370" s="32"/>
      <c r="S370" s="33"/>
      <c r="T370" s="33"/>
    </row>
    <row r="371" spans="1:20" x14ac:dyDescent="0.2">
      <c r="A371" s="40">
        <v>35429</v>
      </c>
      <c r="B371" s="34">
        <v>365</v>
      </c>
      <c r="C371" s="16">
        <f>ROUND(Data!BJ371,2)</f>
        <v>0.57999999999999996</v>
      </c>
      <c r="D371" s="3">
        <f>ROUND(Data!R371,1)</f>
        <v>0.5</v>
      </c>
      <c r="E371" s="3">
        <f>ROUND(Data!AF371,1)</f>
        <v>-11</v>
      </c>
      <c r="F371" s="23">
        <f>Data!BO371</f>
        <v>92.1</v>
      </c>
      <c r="G371" s="3">
        <f>Data!Q371</f>
        <v>0</v>
      </c>
      <c r="H371" s="19"/>
      <c r="I371" s="14"/>
      <c r="J371" s="16">
        <f>Data!BS371</f>
        <v>6</v>
      </c>
      <c r="K371" s="45">
        <f t="shared" si="52"/>
        <v>6.3000000000000007</v>
      </c>
      <c r="M371" s="23">
        <f t="shared" si="53"/>
        <v>936.69999985694812</v>
      </c>
      <c r="N371" s="23">
        <f t="shared" si="54"/>
        <v>994.16499984979703</v>
      </c>
      <c r="P371" s="31"/>
      <c r="Q371" s="31"/>
      <c r="R371" s="32"/>
      <c r="S371" s="33"/>
      <c r="T371" s="33"/>
    </row>
    <row r="372" spans="1:20" x14ac:dyDescent="0.2">
      <c r="A372" s="40">
        <v>35430</v>
      </c>
      <c r="B372" s="34">
        <v>366</v>
      </c>
      <c r="C372" s="16">
        <f>ROUND(Data!BJ372,2)</f>
        <v>1.07</v>
      </c>
      <c r="D372" s="3">
        <f>ROUND(Data!R372,1)</f>
        <v>3.9</v>
      </c>
      <c r="E372" s="3">
        <f>ROUND(Data!AF372,1)</f>
        <v>-1.8</v>
      </c>
      <c r="F372" s="23">
        <f>Data!BO372</f>
        <v>80</v>
      </c>
      <c r="G372" s="3">
        <f>Data!Q372</f>
        <v>0</v>
      </c>
      <c r="H372" s="19"/>
      <c r="I372" s="14"/>
      <c r="J372" s="16">
        <f>Data!BS372</f>
        <v>0</v>
      </c>
      <c r="K372" s="45">
        <f t="shared" si="52"/>
        <v>0</v>
      </c>
      <c r="M372" s="23">
        <f t="shared" si="53"/>
        <v>936.69999985694812</v>
      </c>
      <c r="N372" s="23">
        <f t="shared" si="54"/>
        <v>994.16499984979703</v>
      </c>
      <c r="P372" s="31"/>
      <c r="Q372" s="31"/>
      <c r="R372" s="32"/>
      <c r="S372" s="33"/>
      <c r="T372" s="33"/>
    </row>
    <row r="374" spans="1:20" x14ac:dyDescent="0.2">
      <c r="A374" s="3" t="s">
        <v>125</v>
      </c>
    </row>
    <row r="375" spans="1:20" x14ac:dyDescent="0.2">
      <c r="A375" s="3" t="s">
        <v>92</v>
      </c>
      <c r="K375" s="46">
        <f>ROUND(SUM(K7:K37),1)</f>
        <v>37.799999999999997</v>
      </c>
    </row>
    <row r="376" spans="1:20" x14ac:dyDescent="0.2">
      <c r="A376" s="3" t="s">
        <v>93</v>
      </c>
      <c r="K376" s="46">
        <f>ROUND(SUM(K38:K66),1)</f>
        <v>54</v>
      </c>
    </row>
    <row r="377" spans="1:20" x14ac:dyDescent="0.2">
      <c r="A377" s="3" t="s">
        <v>94</v>
      </c>
      <c r="K377" s="21">
        <f>ROUND(SUM(K67:K97),1)</f>
        <v>32.200000000000003</v>
      </c>
    </row>
    <row r="378" spans="1:20" x14ac:dyDescent="0.2">
      <c r="A378" s="3" t="s">
        <v>95</v>
      </c>
      <c r="K378" s="21">
        <f>ROUND(SUM(K98:K127),1)</f>
        <v>40.6</v>
      </c>
    </row>
    <row r="379" spans="1:20" x14ac:dyDescent="0.2">
      <c r="A379" s="3" t="s">
        <v>96</v>
      </c>
      <c r="K379" s="37">
        <f>ROUND(SUM(K128:K158),1)</f>
        <v>142.9</v>
      </c>
    </row>
    <row r="380" spans="1:20" x14ac:dyDescent="0.2">
      <c r="A380" s="3" t="s">
        <v>97</v>
      </c>
      <c r="K380" s="43">
        <f>ROUND(SUM(K159:K188),1)</f>
        <v>64.3</v>
      </c>
    </row>
    <row r="381" spans="1:20" x14ac:dyDescent="0.2">
      <c r="A381" s="3" t="s">
        <v>98</v>
      </c>
      <c r="K381" s="43">
        <f>ROUND(SUM(K189:K219),1)</f>
        <v>40.4</v>
      </c>
    </row>
    <row r="382" spans="1:20" x14ac:dyDescent="0.2">
      <c r="A382" s="3" t="s">
        <v>99</v>
      </c>
      <c r="K382" s="43">
        <f>ROUND(SUM(K220:K250),1)</f>
        <v>73</v>
      </c>
    </row>
    <row r="383" spans="1:20" x14ac:dyDescent="0.2">
      <c r="A383" s="3" t="s">
        <v>100</v>
      </c>
      <c r="K383" s="37">
        <f>ROUND(SUM(K251:K280),1)</f>
        <v>141.4</v>
      </c>
    </row>
    <row r="384" spans="1:20" x14ac:dyDescent="0.2">
      <c r="A384" s="3" t="s">
        <v>101</v>
      </c>
      <c r="K384" s="37">
        <f>ROUND(SUM(K281:K311),1)</f>
        <v>99.4</v>
      </c>
    </row>
    <row r="385" spans="1:14" x14ac:dyDescent="0.2">
      <c r="A385" s="3" t="s">
        <v>102</v>
      </c>
      <c r="K385" s="46">
        <f>ROUND(SUM(K312:K341),1)</f>
        <v>113.9</v>
      </c>
      <c r="M385" s="3"/>
      <c r="N385" s="3"/>
    </row>
    <row r="386" spans="1:14" x14ac:dyDescent="0.2">
      <c r="A386" s="3" t="s">
        <v>103</v>
      </c>
      <c r="K386" s="46">
        <f>ROUND(SUM(K342:K372),1)</f>
        <v>154.5</v>
      </c>
      <c r="M386" s="3"/>
      <c r="N386" s="3"/>
    </row>
    <row r="387" spans="1:14" x14ac:dyDescent="0.2">
      <c r="M387" s="3"/>
      <c r="N387" s="3"/>
    </row>
    <row r="388" spans="1:14" x14ac:dyDescent="0.2">
      <c r="K388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0"/>
  <sheetViews>
    <sheetView tabSelected="1" workbookViewId="0">
      <pane xSplit="2" ySplit="5" topLeftCell="BV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58" width="6.7109375" style="1" customWidth="1"/>
    <col min="59" max="64" width="6.7109375" style="2" customWidth="1"/>
    <col min="65" max="107" width="6.7109375" style="1" customWidth="1"/>
    <col min="108" max="129" width="9.140625" style="1"/>
    <col min="130" max="144" width="6.7109375" style="1" customWidth="1"/>
    <col min="145" max="16384" width="9.140625" style="1"/>
  </cols>
  <sheetData>
    <row r="1" spans="1:133" x14ac:dyDescent="0.2">
      <c r="A1" s="1" t="s">
        <v>126</v>
      </c>
      <c r="D1" s="3"/>
      <c r="E1" s="3"/>
      <c r="F1" s="3"/>
      <c r="G1" s="3"/>
      <c r="H1" s="3"/>
      <c r="I1" s="1" t="s">
        <v>67</v>
      </c>
      <c r="J1" s="3"/>
      <c r="K1" s="3"/>
      <c r="L1" s="3"/>
      <c r="M1" s="3"/>
      <c r="N1" s="3" t="s">
        <v>52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BF1" s="1">
        <v>3480</v>
      </c>
      <c r="BG1" s="5"/>
      <c r="BH1" s="3"/>
      <c r="BI1" s="3">
        <f>2.02</f>
        <v>2.02</v>
      </c>
      <c r="BJ1" s="2" t="s">
        <v>59</v>
      </c>
      <c r="BM1" s="1" t="s">
        <v>139</v>
      </c>
      <c r="BQ1" s="1" t="s">
        <v>70</v>
      </c>
    </row>
    <row r="2" spans="1:133" x14ac:dyDescent="0.2">
      <c r="A2" s="1" t="s">
        <v>252</v>
      </c>
      <c r="C2" s="1" t="s">
        <v>58</v>
      </c>
      <c r="D2" s="3"/>
      <c r="E2" s="3"/>
      <c r="F2" s="3"/>
      <c r="G2" s="3"/>
      <c r="H2" s="3"/>
      <c r="I2" s="3"/>
      <c r="J2" s="3" t="s">
        <v>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BG2" s="5"/>
      <c r="BH2" s="3"/>
      <c r="BJ2" s="4">
        <v>1</v>
      </c>
      <c r="BK2" s="4">
        <f>274/261.1</f>
        <v>1.0494063577173496</v>
      </c>
      <c r="BM2" s="1">
        <f>MAX(BM7:BM372)</f>
        <v>100</v>
      </c>
      <c r="BP2" s="58" t="s">
        <v>199</v>
      </c>
      <c r="BQ2" s="60" t="s">
        <v>201</v>
      </c>
      <c r="BT2" s="44">
        <v>1.5</v>
      </c>
      <c r="BV2" s="3" t="s">
        <v>202</v>
      </c>
    </row>
    <row r="3" spans="1:133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H3" s="1"/>
      <c r="BI3" s="3"/>
      <c r="BJ3" s="2" t="s">
        <v>60</v>
      </c>
      <c r="BM3" s="1">
        <v>0.92400000000000004</v>
      </c>
      <c r="BP3" s="59" t="s">
        <v>200</v>
      </c>
      <c r="BQ3" s="6"/>
      <c r="BT3" s="44" t="s">
        <v>128</v>
      </c>
      <c r="BW3" s="61"/>
      <c r="BX3" s="61"/>
      <c r="BY3" s="61"/>
      <c r="BZ3" s="61"/>
      <c r="CA3" s="61"/>
      <c r="CB3" s="61"/>
      <c r="CC3" s="61"/>
      <c r="CD3" s="61"/>
      <c r="CE3" s="61"/>
      <c r="CV3" s="1" t="s">
        <v>203</v>
      </c>
      <c r="CX3"/>
      <c r="CY3"/>
      <c r="CZ3"/>
      <c r="DA3"/>
      <c r="DB3"/>
      <c r="DD3" s="1" t="s">
        <v>107</v>
      </c>
      <c r="DZ3" s="1" t="s">
        <v>187</v>
      </c>
    </row>
    <row r="4" spans="1:133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57</v>
      </c>
      <c r="K4" s="6" t="s">
        <v>57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57</v>
      </c>
      <c r="Z4" s="6" t="s">
        <v>57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57</v>
      </c>
      <c r="AN4" s="6" t="s">
        <v>57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50</v>
      </c>
      <c r="BD4" s="6" t="s">
        <v>47</v>
      </c>
      <c r="BE4" s="6" t="s">
        <v>47</v>
      </c>
      <c r="BF4" s="9" t="s">
        <v>45</v>
      </c>
      <c r="BG4" s="3"/>
      <c r="BH4" s="3" t="s">
        <v>62</v>
      </c>
      <c r="BI4" s="3" t="s">
        <v>63</v>
      </c>
      <c r="BJ4" s="2" t="s">
        <v>61</v>
      </c>
      <c r="BK4" s="2" t="s">
        <v>8</v>
      </c>
      <c r="BM4" s="1">
        <v>1</v>
      </c>
      <c r="BN4" s="8"/>
      <c r="BP4" s="6" t="s">
        <v>197</v>
      </c>
      <c r="BQ4" s="6" t="s">
        <v>198</v>
      </c>
      <c r="BT4" s="44" t="s">
        <v>127</v>
      </c>
      <c r="BV4" s="6" t="s">
        <v>61</v>
      </c>
      <c r="BW4" s="3" t="s">
        <v>8</v>
      </c>
      <c r="BX4" s="8" t="s">
        <v>204</v>
      </c>
      <c r="BY4" s="8" t="s">
        <v>205</v>
      </c>
      <c r="BZ4" s="8" t="s">
        <v>206</v>
      </c>
      <c r="CA4" s="8" t="s">
        <v>207</v>
      </c>
      <c r="CB4" s="8" t="s">
        <v>208</v>
      </c>
      <c r="CC4" s="8" t="s">
        <v>209</v>
      </c>
      <c r="CD4" s="8" t="s">
        <v>210</v>
      </c>
      <c r="CE4" s="8" t="s">
        <v>211</v>
      </c>
      <c r="CF4" s="3" t="s">
        <v>212</v>
      </c>
      <c r="CG4" s="8" t="s">
        <v>213</v>
      </c>
      <c r="CH4" s="8" t="s">
        <v>214</v>
      </c>
      <c r="CI4" s="8" t="s">
        <v>215</v>
      </c>
      <c r="CJ4" s="8" t="s">
        <v>216</v>
      </c>
      <c r="CK4" s="8" t="s">
        <v>217</v>
      </c>
      <c r="CL4" s="8" t="s">
        <v>218</v>
      </c>
      <c r="CM4" s="3" t="s">
        <v>219</v>
      </c>
      <c r="CN4" s="3" t="s">
        <v>220</v>
      </c>
      <c r="CO4" s="8" t="s">
        <v>221</v>
      </c>
      <c r="CP4" s="8" t="s">
        <v>222</v>
      </c>
      <c r="CQ4" s="8" t="s">
        <v>223</v>
      </c>
      <c r="CR4" s="8" t="s">
        <v>224</v>
      </c>
      <c r="CS4" s="8" t="s">
        <v>225</v>
      </c>
      <c r="CT4" s="8" t="s">
        <v>226</v>
      </c>
      <c r="CU4" s="3" t="s">
        <v>227</v>
      </c>
      <c r="CV4" s="3" t="s">
        <v>117</v>
      </c>
      <c r="CW4" s="1" t="s">
        <v>108</v>
      </c>
      <c r="CX4" s="6" t="s">
        <v>75</v>
      </c>
      <c r="CY4" s="6" t="s">
        <v>83</v>
      </c>
      <c r="CZ4" s="8" t="s">
        <v>228</v>
      </c>
      <c r="DA4" s="8" t="s">
        <v>229</v>
      </c>
      <c r="DB4" s="1" t="s">
        <v>230</v>
      </c>
      <c r="DD4" s="1" t="s">
        <v>55</v>
      </c>
      <c r="DE4" s="1" t="s">
        <v>55</v>
      </c>
      <c r="DF4" s="1" t="s">
        <v>55</v>
      </c>
      <c r="DG4" s="1" t="s">
        <v>56</v>
      </c>
      <c r="DH4" s="1" t="s">
        <v>56</v>
      </c>
      <c r="DZ4" s="1" t="s">
        <v>186</v>
      </c>
      <c r="EA4" s="1" t="s">
        <v>114</v>
      </c>
      <c r="EB4" s="1" t="s">
        <v>115</v>
      </c>
      <c r="EC4" s="1" t="s">
        <v>247</v>
      </c>
    </row>
    <row r="5" spans="1:133" x14ac:dyDescent="0.2">
      <c r="A5" s="9" t="s">
        <v>42</v>
      </c>
      <c r="B5" s="6" t="s">
        <v>123</v>
      </c>
      <c r="C5" s="10" t="s">
        <v>53</v>
      </c>
      <c r="D5" s="11" t="s">
        <v>54</v>
      </c>
      <c r="E5" s="10" t="s">
        <v>55</v>
      </c>
      <c r="F5" s="12" t="s">
        <v>56</v>
      </c>
      <c r="G5" s="12" t="s">
        <v>55</v>
      </c>
      <c r="H5" s="12" t="s">
        <v>55</v>
      </c>
      <c r="I5" s="12" t="s">
        <v>55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46</v>
      </c>
      <c r="R5" s="10" t="s">
        <v>55</v>
      </c>
      <c r="S5" s="12"/>
      <c r="T5" s="12" t="s">
        <v>56</v>
      </c>
      <c r="U5" s="12"/>
      <c r="V5" s="10" t="s">
        <v>55</v>
      </c>
      <c r="W5" s="10" t="s">
        <v>55</v>
      </c>
      <c r="X5" s="10" t="s">
        <v>55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2" t="s">
        <v>43</v>
      </c>
      <c r="AE5" s="12" t="s">
        <v>43</v>
      </c>
      <c r="AF5" s="12" t="s">
        <v>55</v>
      </c>
      <c r="AG5" s="12" t="s">
        <v>55</v>
      </c>
      <c r="AH5" s="12" t="s">
        <v>56</v>
      </c>
      <c r="AI5" s="12"/>
      <c r="AJ5" s="12" t="s">
        <v>55</v>
      </c>
      <c r="AK5" s="12" t="s">
        <v>55</v>
      </c>
      <c r="AL5" s="12" t="s">
        <v>55</v>
      </c>
      <c r="AM5" s="6" t="s">
        <v>24</v>
      </c>
      <c r="AN5" s="6" t="s">
        <v>25</v>
      </c>
      <c r="AO5" s="6" t="s">
        <v>26</v>
      </c>
      <c r="AP5" s="6" t="s">
        <v>27</v>
      </c>
      <c r="AQ5" s="6" t="s">
        <v>28</v>
      </c>
      <c r="AR5" s="6" t="s">
        <v>31</v>
      </c>
      <c r="AS5" s="6" t="s">
        <v>32</v>
      </c>
      <c r="AT5" s="6" t="s">
        <v>33</v>
      </c>
      <c r="AU5" s="6" t="s">
        <v>34</v>
      </c>
      <c r="AV5" s="6" t="s">
        <v>35</v>
      </c>
      <c r="AW5" s="6" t="s">
        <v>36</v>
      </c>
      <c r="AX5" s="6" t="s">
        <v>37</v>
      </c>
      <c r="AY5" s="6" t="s">
        <v>38</v>
      </c>
      <c r="AZ5" s="6" t="s">
        <v>39</v>
      </c>
      <c r="BA5" s="6" t="s">
        <v>40</v>
      </c>
      <c r="BB5" s="6" t="s">
        <v>41</v>
      </c>
      <c r="BD5" s="6" t="s">
        <v>49</v>
      </c>
      <c r="BE5" s="6" t="s">
        <v>48</v>
      </c>
      <c r="BF5" s="9" t="s">
        <v>46</v>
      </c>
      <c r="BG5" s="3"/>
      <c r="BH5" s="12" t="s">
        <v>53</v>
      </c>
      <c r="BI5" s="3" t="s">
        <v>54</v>
      </c>
      <c r="BM5" s="1" t="s">
        <v>65</v>
      </c>
      <c r="BN5" s="1" t="s">
        <v>64</v>
      </c>
      <c r="BO5" s="1" t="s">
        <v>66</v>
      </c>
      <c r="BP5" s="13" t="s">
        <v>44</v>
      </c>
      <c r="BQ5" s="13" t="s">
        <v>44</v>
      </c>
      <c r="BS5" s="1" t="s">
        <v>107</v>
      </c>
      <c r="BV5" s="10" t="s">
        <v>53</v>
      </c>
      <c r="BW5" s="3" t="s">
        <v>54</v>
      </c>
      <c r="BX5" s="10" t="s">
        <v>55</v>
      </c>
      <c r="BY5" s="10" t="s">
        <v>55</v>
      </c>
      <c r="BZ5" s="10" t="s">
        <v>55</v>
      </c>
      <c r="CA5" s="10" t="s">
        <v>55</v>
      </c>
      <c r="CB5" s="10" t="s">
        <v>55</v>
      </c>
      <c r="CC5" s="10" t="s">
        <v>55</v>
      </c>
      <c r="CD5" s="10" t="s">
        <v>55</v>
      </c>
      <c r="CE5" s="12" t="s">
        <v>56</v>
      </c>
      <c r="CF5" s="10" t="s">
        <v>55</v>
      </c>
      <c r="CG5" s="10" t="s">
        <v>55</v>
      </c>
      <c r="CH5" s="10" t="s">
        <v>55</v>
      </c>
      <c r="CI5" s="10" t="s">
        <v>55</v>
      </c>
      <c r="CJ5" s="10" t="s">
        <v>55</v>
      </c>
      <c r="CK5" s="10" t="s">
        <v>55</v>
      </c>
      <c r="CL5" s="10" t="s">
        <v>55</v>
      </c>
      <c r="CM5" s="12" t="s">
        <v>56</v>
      </c>
      <c r="CN5" s="10" t="s">
        <v>55</v>
      </c>
      <c r="CO5" s="10" t="s">
        <v>55</v>
      </c>
      <c r="CP5" s="10" t="s">
        <v>55</v>
      </c>
      <c r="CQ5" s="10" t="s">
        <v>55</v>
      </c>
      <c r="CR5" s="10" t="s">
        <v>55</v>
      </c>
      <c r="CS5" s="10" t="s">
        <v>55</v>
      </c>
      <c r="CT5" s="10" t="s">
        <v>55</v>
      </c>
      <c r="CU5" s="12" t="s">
        <v>56</v>
      </c>
      <c r="CV5" s="1" t="s">
        <v>46</v>
      </c>
      <c r="CW5" s="1" t="s">
        <v>231</v>
      </c>
      <c r="CX5" s="1" t="s">
        <v>43</v>
      </c>
      <c r="CY5" s="1" t="s">
        <v>43</v>
      </c>
      <c r="CZ5" s="1" t="s">
        <v>44</v>
      </c>
      <c r="DA5" s="1" t="s">
        <v>44</v>
      </c>
      <c r="DB5" s="1" t="s">
        <v>232</v>
      </c>
      <c r="DD5" s="1" t="s">
        <v>133</v>
      </c>
      <c r="DE5" s="1" t="s">
        <v>114</v>
      </c>
      <c r="DF5" s="1" t="s">
        <v>115</v>
      </c>
      <c r="DG5" s="1" t="s">
        <v>134</v>
      </c>
      <c r="DH5" s="1" t="s">
        <v>116</v>
      </c>
      <c r="DZ5" s="1" t="s">
        <v>55</v>
      </c>
      <c r="EA5" s="1" t="s">
        <v>55</v>
      </c>
      <c r="EB5" s="1" t="s">
        <v>55</v>
      </c>
      <c r="EC5" s="1" t="s">
        <v>46</v>
      </c>
    </row>
    <row r="6" spans="1:133" x14ac:dyDescent="0.2">
      <c r="BF6" s="3"/>
      <c r="BG6" s="3"/>
      <c r="BH6" s="3"/>
      <c r="BI6" s="3"/>
      <c r="BV6"/>
      <c r="BW6"/>
      <c r="BX6"/>
      <c r="BY6"/>
      <c r="BZ6"/>
      <c r="CA6"/>
      <c r="CB6"/>
      <c r="CC6"/>
      <c r="CD6"/>
      <c r="CE6"/>
      <c r="CX6"/>
      <c r="CY6"/>
      <c r="CZ6"/>
      <c r="DA6"/>
    </row>
    <row r="7" spans="1:133" x14ac:dyDescent="0.2">
      <c r="A7" s="40">
        <v>35065</v>
      </c>
      <c r="B7" s="34">
        <v>1</v>
      </c>
      <c r="C7" s="34"/>
      <c r="D7" s="34"/>
      <c r="E7" s="55">
        <f t="shared" ref="E7:E65" si="0">ROUND(1.19*DZ7-0.2,1)</f>
        <v>-4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41"/>
      <c r="Q7" s="34"/>
      <c r="R7" s="55">
        <f t="shared" ref="R7:R65" si="1">ROUND(0.95*EA7-0.5,1)</f>
        <v>0.8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1"/>
      <c r="AE7" s="34"/>
      <c r="AF7" s="55">
        <f t="shared" ref="AF7:AF65" si="2">ROUND(1.1*EB7-1,1)</f>
        <v>-7.5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"/>
      <c r="BE7" s="3"/>
      <c r="BF7" s="3"/>
      <c r="BG7" s="15"/>
      <c r="BH7" s="16">
        <v>4.59</v>
      </c>
      <c r="BI7" s="16">
        <f t="shared" ref="BI7:BI38" si="3">BH7*$BI$1</f>
        <v>9.2717999999999989</v>
      </c>
      <c r="BJ7" s="17"/>
      <c r="BK7" s="17"/>
      <c r="BP7" s="57">
        <f t="shared" ref="BP7:BP70" si="4">ROUND(0.6105*(EXP((17.273*AF7)/(AF7+237.3))), 3)</f>
        <v>0.34699999999999998</v>
      </c>
      <c r="BQ7" s="57">
        <f>ROUND(0.6105*(EXP((17.273*R7)/(R7+237.3)))-BP7, 3)</f>
        <v>0.3</v>
      </c>
      <c r="BS7" s="47">
        <f t="shared" ref="BS7:BS67" si="5">BT$2*BT7</f>
        <v>0</v>
      </c>
      <c r="BT7" s="44">
        <v>0</v>
      </c>
      <c r="BV7" s="16" t="s">
        <v>233</v>
      </c>
      <c r="BW7" s="16" t="s">
        <v>233</v>
      </c>
      <c r="BX7" s="3">
        <f t="shared" ref="BX7" si="6">ROUND(E7,1)</f>
        <v>-4</v>
      </c>
      <c r="BY7" s="16" t="s">
        <v>233</v>
      </c>
      <c r="BZ7" s="16" t="s">
        <v>233</v>
      </c>
      <c r="CA7" s="16" t="s">
        <v>233</v>
      </c>
      <c r="CB7" s="16" t="s">
        <v>233</v>
      </c>
      <c r="CC7" s="16" t="s">
        <v>233</v>
      </c>
      <c r="CD7" s="16" t="s">
        <v>233</v>
      </c>
      <c r="CE7" s="16" t="s">
        <v>233</v>
      </c>
      <c r="CF7" s="1">
        <f t="shared" ref="CF7" si="7">ROUND(R7,1)</f>
        <v>0.8</v>
      </c>
      <c r="CG7" s="16" t="s">
        <v>233</v>
      </c>
      <c r="CH7" s="16" t="s">
        <v>233</v>
      </c>
      <c r="CI7" s="16" t="s">
        <v>233</v>
      </c>
      <c r="CJ7" s="16" t="s">
        <v>233</v>
      </c>
      <c r="CK7" s="16" t="s">
        <v>233</v>
      </c>
      <c r="CL7" s="16" t="s">
        <v>233</v>
      </c>
      <c r="CM7" s="16" t="s">
        <v>233</v>
      </c>
      <c r="CN7" s="1">
        <f t="shared" ref="CN7" si="8">ROUND(AF7,1)</f>
        <v>-7.5</v>
      </c>
      <c r="CO7" s="16" t="s">
        <v>233</v>
      </c>
      <c r="CP7" s="16" t="s">
        <v>233</v>
      </c>
      <c r="CQ7" s="16" t="s">
        <v>233</v>
      </c>
      <c r="CR7" s="16" t="s">
        <v>233</v>
      </c>
      <c r="CS7" s="16" t="s">
        <v>233</v>
      </c>
      <c r="CT7" s="16" t="s">
        <v>233</v>
      </c>
      <c r="CU7" s="16" t="s">
        <v>233</v>
      </c>
      <c r="CV7" s="18" t="s">
        <v>233</v>
      </c>
      <c r="CW7" s="1">
        <f>ROUND(PPTest!K7,1)</f>
        <v>0</v>
      </c>
      <c r="CX7" s="16" t="s">
        <v>233</v>
      </c>
      <c r="CY7" s="16" t="s">
        <v>233</v>
      </c>
      <c r="CZ7" s="20">
        <f t="shared" ref="CZ7:DA7" si="9">BP7</f>
        <v>0.34699999999999998</v>
      </c>
      <c r="DA7" s="20">
        <f t="shared" si="9"/>
        <v>0.3</v>
      </c>
      <c r="DB7" s="16" t="s">
        <v>233</v>
      </c>
      <c r="DZ7" s="1">
        <v>-3.2</v>
      </c>
      <c r="EA7" s="1">
        <v>1.4</v>
      </c>
      <c r="EB7" s="1">
        <v>-5.9</v>
      </c>
      <c r="EC7" s="1">
        <v>10</v>
      </c>
    </row>
    <row r="8" spans="1:133" x14ac:dyDescent="0.2">
      <c r="A8" s="40">
        <v>35066</v>
      </c>
      <c r="B8" s="34">
        <v>2</v>
      </c>
      <c r="C8" s="34"/>
      <c r="D8" s="34"/>
      <c r="E8" s="55">
        <f t="shared" si="0"/>
        <v>-3.1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41"/>
      <c r="Q8" s="34"/>
      <c r="R8" s="55">
        <f t="shared" si="1"/>
        <v>2.6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1"/>
      <c r="AE8" s="34"/>
      <c r="AF8" s="55">
        <f t="shared" si="2"/>
        <v>-6.2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"/>
      <c r="BE8" s="3"/>
      <c r="BF8" s="3"/>
      <c r="BH8" s="16">
        <v>4.63</v>
      </c>
      <c r="BI8" s="16">
        <f t="shared" si="3"/>
        <v>9.3526000000000007</v>
      </c>
      <c r="BJ8" s="17"/>
      <c r="BK8" s="17"/>
      <c r="BP8" s="57">
        <f t="shared" si="4"/>
        <v>0.38400000000000001</v>
      </c>
      <c r="BQ8" s="57">
        <f t="shared" ref="BQ8:BQ71" si="10">ROUND(0.6105*(EXP((17.273*R8)/(R8+237.3)))-BP8, 3)</f>
        <v>0.35199999999999998</v>
      </c>
      <c r="BS8" s="47">
        <f t="shared" si="5"/>
        <v>9</v>
      </c>
      <c r="BT8" s="44">
        <v>6</v>
      </c>
      <c r="BV8" s="16" t="s">
        <v>233</v>
      </c>
      <c r="BW8" s="16" t="s">
        <v>233</v>
      </c>
      <c r="BX8" s="3">
        <f t="shared" ref="BX8:BX71" si="11">ROUND(E8,1)</f>
        <v>-3.1</v>
      </c>
      <c r="BY8" s="16" t="s">
        <v>233</v>
      </c>
      <c r="BZ8" s="16" t="s">
        <v>233</v>
      </c>
      <c r="CA8" s="16" t="s">
        <v>233</v>
      </c>
      <c r="CB8" s="16" t="s">
        <v>233</v>
      </c>
      <c r="CC8" s="16" t="s">
        <v>233</v>
      </c>
      <c r="CD8" s="16" t="s">
        <v>233</v>
      </c>
      <c r="CE8" s="16" t="s">
        <v>233</v>
      </c>
      <c r="CF8" s="1">
        <f t="shared" ref="CF8:CF71" si="12">ROUND(R8,1)</f>
        <v>2.6</v>
      </c>
      <c r="CG8" s="16" t="s">
        <v>233</v>
      </c>
      <c r="CH8" s="16" t="s">
        <v>233</v>
      </c>
      <c r="CI8" s="16" t="s">
        <v>233</v>
      </c>
      <c r="CJ8" s="16" t="s">
        <v>233</v>
      </c>
      <c r="CK8" s="16" t="s">
        <v>233</v>
      </c>
      <c r="CL8" s="16" t="s">
        <v>233</v>
      </c>
      <c r="CM8" s="16" t="s">
        <v>233</v>
      </c>
      <c r="CN8" s="1">
        <f t="shared" ref="CN8:CN71" si="13">ROUND(AF8,1)</f>
        <v>-6.2</v>
      </c>
      <c r="CO8" s="16" t="s">
        <v>233</v>
      </c>
      <c r="CP8" s="16" t="s">
        <v>233</v>
      </c>
      <c r="CQ8" s="16" t="s">
        <v>233</v>
      </c>
      <c r="CR8" s="16" t="s">
        <v>233</v>
      </c>
      <c r="CS8" s="16" t="s">
        <v>233</v>
      </c>
      <c r="CT8" s="16" t="s">
        <v>233</v>
      </c>
      <c r="CU8" s="16" t="s">
        <v>233</v>
      </c>
      <c r="CV8" s="18" t="s">
        <v>233</v>
      </c>
      <c r="CW8" s="1">
        <f>ROUND(PPTest!K8,1)</f>
        <v>9.5</v>
      </c>
      <c r="CX8" s="16" t="s">
        <v>233</v>
      </c>
      <c r="CY8" s="16" t="s">
        <v>233</v>
      </c>
      <c r="CZ8" s="20">
        <f t="shared" ref="CZ8:CZ71" si="14">BP8</f>
        <v>0.38400000000000001</v>
      </c>
      <c r="DA8" s="20">
        <f t="shared" ref="DA8:DA71" si="15">BQ8</f>
        <v>0.35199999999999998</v>
      </c>
      <c r="DB8" s="16" t="s">
        <v>233</v>
      </c>
      <c r="DZ8" s="1">
        <v>-2.4</v>
      </c>
      <c r="EA8" s="1">
        <v>3.3</v>
      </c>
      <c r="EB8" s="1">
        <v>-4.7</v>
      </c>
      <c r="EC8" s="1">
        <v>5.6</v>
      </c>
    </row>
    <row r="9" spans="1:133" x14ac:dyDescent="0.2">
      <c r="A9" s="40">
        <v>35067</v>
      </c>
      <c r="B9" s="34">
        <v>3</v>
      </c>
      <c r="C9" s="34"/>
      <c r="D9" s="34"/>
      <c r="E9" s="55">
        <f t="shared" si="0"/>
        <v>-7.1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41"/>
      <c r="Q9" s="34"/>
      <c r="R9" s="55">
        <f t="shared" si="1"/>
        <v>0.7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41"/>
      <c r="AE9" s="34"/>
      <c r="AF9" s="55">
        <f t="shared" si="2"/>
        <v>-14.5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"/>
      <c r="BE9" s="3"/>
      <c r="BF9" s="3"/>
      <c r="BH9" s="16">
        <v>4.67</v>
      </c>
      <c r="BI9" s="16">
        <f t="shared" si="3"/>
        <v>9.4334000000000007</v>
      </c>
      <c r="BJ9" s="17"/>
      <c r="BK9" s="17"/>
      <c r="BP9" s="57">
        <f t="shared" si="4"/>
        <v>0.19800000000000001</v>
      </c>
      <c r="BQ9" s="57">
        <f t="shared" si="10"/>
        <v>0.44400000000000001</v>
      </c>
      <c r="BS9" s="47">
        <f t="shared" si="5"/>
        <v>0</v>
      </c>
      <c r="BT9" s="44">
        <v>0</v>
      </c>
      <c r="BV9" s="16" t="s">
        <v>233</v>
      </c>
      <c r="BW9" s="16" t="s">
        <v>233</v>
      </c>
      <c r="BX9" s="3">
        <f t="shared" si="11"/>
        <v>-7.1</v>
      </c>
      <c r="BY9" s="16" t="s">
        <v>233</v>
      </c>
      <c r="BZ9" s="16" t="s">
        <v>233</v>
      </c>
      <c r="CA9" s="16" t="s">
        <v>233</v>
      </c>
      <c r="CB9" s="16" t="s">
        <v>233</v>
      </c>
      <c r="CC9" s="16" t="s">
        <v>233</v>
      </c>
      <c r="CD9" s="16" t="s">
        <v>233</v>
      </c>
      <c r="CE9" s="16" t="s">
        <v>233</v>
      </c>
      <c r="CF9" s="1">
        <f t="shared" si="12"/>
        <v>0.7</v>
      </c>
      <c r="CG9" s="16" t="s">
        <v>233</v>
      </c>
      <c r="CH9" s="16" t="s">
        <v>233</v>
      </c>
      <c r="CI9" s="16" t="s">
        <v>233</v>
      </c>
      <c r="CJ9" s="16" t="s">
        <v>233</v>
      </c>
      <c r="CK9" s="16" t="s">
        <v>233</v>
      </c>
      <c r="CL9" s="16" t="s">
        <v>233</v>
      </c>
      <c r="CM9" s="16" t="s">
        <v>233</v>
      </c>
      <c r="CN9" s="1">
        <f t="shared" si="13"/>
        <v>-14.5</v>
      </c>
      <c r="CO9" s="16" t="s">
        <v>233</v>
      </c>
      <c r="CP9" s="16" t="s">
        <v>233</v>
      </c>
      <c r="CQ9" s="16" t="s">
        <v>233</v>
      </c>
      <c r="CR9" s="16" t="s">
        <v>233</v>
      </c>
      <c r="CS9" s="16" t="s">
        <v>233</v>
      </c>
      <c r="CT9" s="16" t="s">
        <v>233</v>
      </c>
      <c r="CU9" s="16" t="s">
        <v>233</v>
      </c>
      <c r="CV9" s="18" t="s">
        <v>233</v>
      </c>
      <c r="CW9" s="1">
        <f>ROUND(PPTest!K9,1)</f>
        <v>0</v>
      </c>
      <c r="CX9" s="16" t="s">
        <v>233</v>
      </c>
      <c r="CY9" s="16" t="s">
        <v>233</v>
      </c>
      <c r="CZ9" s="20">
        <f t="shared" si="14"/>
        <v>0.19800000000000001</v>
      </c>
      <c r="DA9" s="20">
        <f t="shared" si="15"/>
        <v>0.44400000000000001</v>
      </c>
      <c r="DB9" s="16" t="s">
        <v>233</v>
      </c>
      <c r="DZ9" s="1">
        <v>-5.8</v>
      </c>
      <c r="EA9" s="1">
        <v>1.3</v>
      </c>
      <c r="EB9" s="1">
        <v>-12.3</v>
      </c>
      <c r="EC9" s="1">
        <v>5</v>
      </c>
    </row>
    <row r="10" spans="1:133" x14ac:dyDescent="0.2">
      <c r="A10" s="40">
        <v>35068</v>
      </c>
      <c r="B10" s="34">
        <v>4</v>
      </c>
      <c r="C10" s="34"/>
      <c r="D10" s="34"/>
      <c r="E10" s="55">
        <f t="shared" si="0"/>
        <v>-16.5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41"/>
      <c r="Q10" s="34"/>
      <c r="R10" s="55">
        <f t="shared" si="1"/>
        <v>-10.4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41"/>
      <c r="AE10" s="34"/>
      <c r="AF10" s="55">
        <f t="shared" si="2"/>
        <v>-21.2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"/>
      <c r="BE10" s="3"/>
      <c r="BF10" s="3"/>
      <c r="BH10" s="16">
        <v>4.72</v>
      </c>
      <c r="BI10" s="16">
        <f t="shared" si="3"/>
        <v>9.5343999999999998</v>
      </c>
      <c r="BJ10" s="17"/>
      <c r="BK10" s="17"/>
      <c r="BP10" s="57">
        <f t="shared" si="4"/>
        <v>0.112</v>
      </c>
      <c r="BQ10" s="57">
        <f t="shared" si="10"/>
        <v>0.16500000000000001</v>
      </c>
      <c r="BS10" s="47">
        <f t="shared" si="5"/>
        <v>0</v>
      </c>
      <c r="BT10" s="44">
        <v>0</v>
      </c>
      <c r="BV10" s="16" t="s">
        <v>233</v>
      </c>
      <c r="BW10" s="16" t="s">
        <v>233</v>
      </c>
      <c r="BX10" s="3">
        <f t="shared" si="11"/>
        <v>-16.5</v>
      </c>
      <c r="BY10" s="16" t="s">
        <v>233</v>
      </c>
      <c r="BZ10" s="16" t="s">
        <v>233</v>
      </c>
      <c r="CA10" s="16" t="s">
        <v>233</v>
      </c>
      <c r="CB10" s="16" t="s">
        <v>233</v>
      </c>
      <c r="CC10" s="16" t="s">
        <v>233</v>
      </c>
      <c r="CD10" s="16" t="s">
        <v>233</v>
      </c>
      <c r="CE10" s="16" t="s">
        <v>233</v>
      </c>
      <c r="CF10" s="1">
        <f t="shared" si="12"/>
        <v>-10.4</v>
      </c>
      <c r="CG10" s="16" t="s">
        <v>233</v>
      </c>
      <c r="CH10" s="16" t="s">
        <v>233</v>
      </c>
      <c r="CI10" s="16" t="s">
        <v>233</v>
      </c>
      <c r="CJ10" s="16" t="s">
        <v>233</v>
      </c>
      <c r="CK10" s="16" t="s">
        <v>233</v>
      </c>
      <c r="CL10" s="16" t="s">
        <v>233</v>
      </c>
      <c r="CM10" s="16" t="s">
        <v>233</v>
      </c>
      <c r="CN10" s="1">
        <f t="shared" si="13"/>
        <v>-21.2</v>
      </c>
      <c r="CO10" s="16" t="s">
        <v>233</v>
      </c>
      <c r="CP10" s="16" t="s">
        <v>233</v>
      </c>
      <c r="CQ10" s="16" t="s">
        <v>233</v>
      </c>
      <c r="CR10" s="16" t="s">
        <v>233</v>
      </c>
      <c r="CS10" s="16" t="s">
        <v>233</v>
      </c>
      <c r="CT10" s="16" t="s">
        <v>233</v>
      </c>
      <c r="CU10" s="16" t="s">
        <v>233</v>
      </c>
      <c r="CV10" s="18" t="s">
        <v>233</v>
      </c>
      <c r="CW10" s="1">
        <f>ROUND(PPTest!K10,1)</f>
        <v>0</v>
      </c>
      <c r="CX10" s="16" t="s">
        <v>233</v>
      </c>
      <c r="CY10" s="16" t="s">
        <v>233</v>
      </c>
      <c r="CZ10" s="20">
        <f t="shared" si="14"/>
        <v>0.112</v>
      </c>
      <c r="DA10" s="20">
        <f t="shared" si="15"/>
        <v>0.16500000000000001</v>
      </c>
      <c r="DB10" s="16" t="s">
        <v>233</v>
      </c>
      <c r="DZ10" s="1">
        <v>-13.7</v>
      </c>
      <c r="EA10" s="1">
        <v>-10.4</v>
      </c>
      <c r="EB10" s="1">
        <v>-18.399999999999999</v>
      </c>
      <c r="EC10" s="1">
        <v>2.2000000000000002</v>
      </c>
    </row>
    <row r="11" spans="1:133" x14ac:dyDescent="0.2">
      <c r="A11" s="40">
        <v>35069</v>
      </c>
      <c r="B11" s="34">
        <v>5</v>
      </c>
      <c r="C11" s="34"/>
      <c r="D11" s="34"/>
      <c r="E11" s="55">
        <f t="shared" si="0"/>
        <v>-17.2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41"/>
      <c r="Q11" s="34"/>
      <c r="R11" s="55">
        <f t="shared" si="1"/>
        <v>-6.1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41"/>
      <c r="AE11" s="34"/>
      <c r="AF11" s="55">
        <f t="shared" si="2"/>
        <v>-22.7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"/>
      <c r="BE11" s="3"/>
      <c r="BF11" s="3"/>
      <c r="BH11" s="16">
        <v>4.76</v>
      </c>
      <c r="BI11" s="16">
        <f t="shared" si="3"/>
        <v>9.6151999999999997</v>
      </c>
      <c r="BJ11" s="17"/>
      <c r="BK11" s="17"/>
      <c r="BP11" s="57">
        <f t="shared" si="4"/>
        <v>9.8000000000000004E-2</v>
      </c>
      <c r="BQ11" s="57">
        <f t="shared" si="10"/>
        <v>0.28899999999999998</v>
      </c>
      <c r="BS11" s="47">
        <f t="shared" si="5"/>
        <v>1.5</v>
      </c>
      <c r="BT11" s="44">
        <v>1</v>
      </c>
      <c r="BV11" s="16" t="s">
        <v>233</v>
      </c>
      <c r="BW11" s="16" t="s">
        <v>233</v>
      </c>
      <c r="BX11" s="3">
        <f t="shared" si="11"/>
        <v>-17.2</v>
      </c>
      <c r="BY11" s="16" t="s">
        <v>233</v>
      </c>
      <c r="BZ11" s="16" t="s">
        <v>233</v>
      </c>
      <c r="CA11" s="16" t="s">
        <v>233</v>
      </c>
      <c r="CB11" s="16" t="s">
        <v>233</v>
      </c>
      <c r="CC11" s="16" t="s">
        <v>233</v>
      </c>
      <c r="CD11" s="16" t="s">
        <v>233</v>
      </c>
      <c r="CE11" s="16" t="s">
        <v>233</v>
      </c>
      <c r="CF11" s="1">
        <f t="shared" si="12"/>
        <v>-6.1</v>
      </c>
      <c r="CG11" s="16" t="s">
        <v>233</v>
      </c>
      <c r="CH11" s="16" t="s">
        <v>233</v>
      </c>
      <c r="CI11" s="16" t="s">
        <v>233</v>
      </c>
      <c r="CJ11" s="16" t="s">
        <v>233</v>
      </c>
      <c r="CK11" s="16" t="s">
        <v>233</v>
      </c>
      <c r="CL11" s="16" t="s">
        <v>233</v>
      </c>
      <c r="CM11" s="16" t="s">
        <v>233</v>
      </c>
      <c r="CN11" s="1">
        <f t="shared" si="13"/>
        <v>-22.7</v>
      </c>
      <c r="CO11" s="16" t="s">
        <v>233</v>
      </c>
      <c r="CP11" s="16" t="s">
        <v>233</v>
      </c>
      <c r="CQ11" s="16" t="s">
        <v>233</v>
      </c>
      <c r="CR11" s="16" t="s">
        <v>233</v>
      </c>
      <c r="CS11" s="16" t="s">
        <v>233</v>
      </c>
      <c r="CT11" s="16" t="s">
        <v>233</v>
      </c>
      <c r="CU11" s="16" t="s">
        <v>233</v>
      </c>
      <c r="CV11" s="18" t="s">
        <v>233</v>
      </c>
      <c r="CW11" s="1">
        <f>ROUND(PPTest!K11,1)</f>
        <v>1.6</v>
      </c>
      <c r="CX11" s="16" t="s">
        <v>233</v>
      </c>
      <c r="CY11" s="16" t="s">
        <v>233</v>
      </c>
      <c r="CZ11" s="20">
        <f t="shared" si="14"/>
        <v>9.8000000000000004E-2</v>
      </c>
      <c r="DA11" s="20">
        <f t="shared" si="15"/>
        <v>0.28899999999999998</v>
      </c>
      <c r="DB11" s="16" t="s">
        <v>233</v>
      </c>
      <c r="DZ11" s="1">
        <v>-14.3</v>
      </c>
      <c r="EA11" s="1">
        <v>-5.9</v>
      </c>
      <c r="EB11" s="1">
        <v>-19.7</v>
      </c>
      <c r="EC11" s="1">
        <v>2.6</v>
      </c>
    </row>
    <row r="12" spans="1:133" x14ac:dyDescent="0.2">
      <c r="A12" s="40">
        <v>35070</v>
      </c>
      <c r="B12" s="34">
        <v>6</v>
      </c>
      <c r="C12" s="34"/>
      <c r="D12" s="34"/>
      <c r="E12" s="55">
        <f t="shared" si="0"/>
        <v>-10.3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41"/>
      <c r="Q12" s="34"/>
      <c r="R12" s="55">
        <f t="shared" si="1"/>
        <v>-5.2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41"/>
      <c r="AE12" s="34"/>
      <c r="AF12" s="55">
        <f t="shared" si="2"/>
        <v>-14.6</v>
      </c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"/>
      <c r="BE12" s="3"/>
      <c r="BF12" s="3"/>
      <c r="BH12" s="16">
        <v>4.82</v>
      </c>
      <c r="BI12" s="16">
        <f t="shared" si="3"/>
        <v>9.7364000000000015</v>
      </c>
      <c r="BJ12" s="17"/>
      <c r="BK12" s="17"/>
      <c r="BP12" s="57">
        <f t="shared" si="4"/>
        <v>0.19700000000000001</v>
      </c>
      <c r="BQ12" s="57">
        <f t="shared" si="10"/>
        <v>0.218</v>
      </c>
      <c r="BS12" s="47">
        <f t="shared" si="5"/>
        <v>7.5</v>
      </c>
      <c r="BT12" s="44">
        <v>5</v>
      </c>
      <c r="BV12" s="16" t="s">
        <v>233</v>
      </c>
      <c r="BW12" s="16" t="s">
        <v>233</v>
      </c>
      <c r="BX12" s="3">
        <f t="shared" si="11"/>
        <v>-10.3</v>
      </c>
      <c r="BY12" s="16" t="s">
        <v>233</v>
      </c>
      <c r="BZ12" s="16" t="s">
        <v>233</v>
      </c>
      <c r="CA12" s="16" t="s">
        <v>233</v>
      </c>
      <c r="CB12" s="16" t="s">
        <v>233</v>
      </c>
      <c r="CC12" s="16" t="s">
        <v>233</v>
      </c>
      <c r="CD12" s="16" t="s">
        <v>233</v>
      </c>
      <c r="CE12" s="16" t="s">
        <v>233</v>
      </c>
      <c r="CF12" s="1">
        <f t="shared" si="12"/>
        <v>-5.2</v>
      </c>
      <c r="CG12" s="16" t="s">
        <v>233</v>
      </c>
      <c r="CH12" s="16" t="s">
        <v>233</v>
      </c>
      <c r="CI12" s="16" t="s">
        <v>233</v>
      </c>
      <c r="CJ12" s="16" t="s">
        <v>233</v>
      </c>
      <c r="CK12" s="16" t="s">
        <v>233</v>
      </c>
      <c r="CL12" s="16" t="s">
        <v>233</v>
      </c>
      <c r="CM12" s="16" t="s">
        <v>233</v>
      </c>
      <c r="CN12" s="1">
        <f t="shared" si="13"/>
        <v>-14.6</v>
      </c>
      <c r="CO12" s="16" t="s">
        <v>233</v>
      </c>
      <c r="CP12" s="16" t="s">
        <v>233</v>
      </c>
      <c r="CQ12" s="16" t="s">
        <v>233</v>
      </c>
      <c r="CR12" s="16" t="s">
        <v>233</v>
      </c>
      <c r="CS12" s="16" t="s">
        <v>233</v>
      </c>
      <c r="CT12" s="16" t="s">
        <v>233</v>
      </c>
      <c r="CU12" s="16" t="s">
        <v>233</v>
      </c>
      <c r="CV12" s="18" t="s">
        <v>233</v>
      </c>
      <c r="CW12" s="1">
        <f>ROUND(PPTest!K12,1)</f>
        <v>7.9</v>
      </c>
      <c r="CX12" s="16" t="s">
        <v>233</v>
      </c>
      <c r="CY12" s="16" t="s">
        <v>233</v>
      </c>
      <c r="CZ12" s="20">
        <f t="shared" si="14"/>
        <v>0.19700000000000001</v>
      </c>
      <c r="DA12" s="20">
        <f t="shared" si="15"/>
        <v>0.218</v>
      </c>
      <c r="DB12" s="16" t="s">
        <v>233</v>
      </c>
      <c r="DZ12" s="1">
        <v>-8.5</v>
      </c>
      <c r="EA12" s="1">
        <v>-4.9000000000000004</v>
      </c>
      <c r="EB12" s="1">
        <v>-12.4</v>
      </c>
      <c r="EC12" s="1">
        <v>0.6</v>
      </c>
    </row>
    <row r="13" spans="1:133" x14ac:dyDescent="0.2">
      <c r="A13" s="40">
        <v>35071</v>
      </c>
      <c r="B13" s="34">
        <v>7</v>
      </c>
      <c r="C13" s="34"/>
      <c r="D13" s="34"/>
      <c r="E13" s="55">
        <f t="shared" si="0"/>
        <v>-4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41"/>
      <c r="Q13" s="34"/>
      <c r="R13" s="55">
        <f t="shared" si="1"/>
        <v>0.6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41"/>
      <c r="AE13" s="34"/>
      <c r="AF13" s="55">
        <f t="shared" si="2"/>
        <v>-6.8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"/>
      <c r="BE13" s="3"/>
      <c r="BF13" s="3"/>
      <c r="BH13" s="16">
        <v>4.87</v>
      </c>
      <c r="BI13" s="16">
        <f t="shared" si="3"/>
        <v>9.8374000000000006</v>
      </c>
      <c r="BJ13" s="17"/>
      <c r="BK13" s="17"/>
      <c r="BP13" s="57">
        <f t="shared" si="4"/>
        <v>0.36699999999999999</v>
      </c>
      <c r="BQ13" s="57">
        <f t="shared" si="10"/>
        <v>0.27100000000000002</v>
      </c>
      <c r="BS13" s="47">
        <f t="shared" si="5"/>
        <v>0</v>
      </c>
      <c r="BT13" s="44">
        <v>0</v>
      </c>
      <c r="BV13" s="16" t="s">
        <v>233</v>
      </c>
      <c r="BW13" s="16" t="s">
        <v>233</v>
      </c>
      <c r="BX13" s="3">
        <f t="shared" si="11"/>
        <v>-4</v>
      </c>
      <c r="BY13" s="16" t="s">
        <v>233</v>
      </c>
      <c r="BZ13" s="16" t="s">
        <v>233</v>
      </c>
      <c r="CA13" s="16" t="s">
        <v>233</v>
      </c>
      <c r="CB13" s="16" t="s">
        <v>233</v>
      </c>
      <c r="CC13" s="16" t="s">
        <v>233</v>
      </c>
      <c r="CD13" s="16" t="s">
        <v>233</v>
      </c>
      <c r="CE13" s="16" t="s">
        <v>233</v>
      </c>
      <c r="CF13" s="1">
        <f t="shared" si="12"/>
        <v>0.6</v>
      </c>
      <c r="CG13" s="16" t="s">
        <v>233</v>
      </c>
      <c r="CH13" s="16" t="s">
        <v>233</v>
      </c>
      <c r="CI13" s="16" t="s">
        <v>233</v>
      </c>
      <c r="CJ13" s="16" t="s">
        <v>233</v>
      </c>
      <c r="CK13" s="16" t="s">
        <v>233</v>
      </c>
      <c r="CL13" s="16" t="s">
        <v>233</v>
      </c>
      <c r="CM13" s="16" t="s">
        <v>233</v>
      </c>
      <c r="CN13" s="1">
        <f t="shared" si="13"/>
        <v>-6.8</v>
      </c>
      <c r="CO13" s="16" t="s">
        <v>233</v>
      </c>
      <c r="CP13" s="16" t="s">
        <v>233</v>
      </c>
      <c r="CQ13" s="16" t="s">
        <v>233</v>
      </c>
      <c r="CR13" s="16" t="s">
        <v>233</v>
      </c>
      <c r="CS13" s="16" t="s">
        <v>233</v>
      </c>
      <c r="CT13" s="16" t="s">
        <v>233</v>
      </c>
      <c r="CU13" s="16" t="s">
        <v>233</v>
      </c>
      <c r="CV13" s="18" t="s">
        <v>233</v>
      </c>
      <c r="CW13" s="1">
        <f>ROUND(PPTest!K13,1)</f>
        <v>0</v>
      </c>
      <c r="CX13" s="16" t="s">
        <v>233</v>
      </c>
      <c r="CY13" s="16" t="s">
        <v>233</v>
      </c>
      <c r="CZ13" s="20">
        <f t="shared" si="14"/>
        <v>0.36699999999999999</v>
      </c>
      <c r="DA13" s="20">
        <f t="shared" si="15"/>
        <v>0.27100000000000002</v>
      </c>
      <c r="DB13" s="16" t="s">
        <v>233</v>
      </c>
      <c r="DZ13" s="1">
        <v>-3.2</v>
      </c>
      <c r="EA13" s="1">
        <v>1.2</v>
      </c>
      <c r="EB13" s="1">
        <v>-5.3</v>
      </c>
      <c r="EC13" s="1">
        <v>1.8</v>
      </c>
    </row>
    <row r="14" spans="1:133" x14ac:dyDescent="0.2">
      <c r="A14" s="40">
        <v>35072</v>
      </c>
      <c r="B14" s="34">
        <v>8</v>
      </c>
      <c r="C14" s="34"/>
      <c r="D14" s="34"/>
      <c r="E14" s="55">
        <f t="shared" si="0"/>
        <v>-5.6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41"/>
      <c r="Q14" s="34"/>
      <c r="R14" s="55">
        <f t="shared" si="1"/>
        <v>2.5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41"/>
      <c r="AE14" s="34"/>
      <c r="AF14" s="55">
        <f t="shared" si="2"/>
        <v>-10.199999999999999</v>
      </c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"/>
      <c r="BE14" s="3"/>
      <c r="BF14" s="3"/>
      <c r="BH14" s="16">
        <v>4.93</v>
      </c>
      <c r="BI14" s="16">
        <f t="shared" si="3"/>
        <v>9.9585999999999988</v>
      </c>
      <c r="BJ14" s="17"/>
      <c r="BK14" s="17"/>
      <c r="BP14" s="57">
        <f t="shared" si="4"/>
        <v>0.28100000000000003</v>
      </c>
      <c r="BQ14" s="57">
        <f t="shared" si="10"/>
        <v>0.45</v>
      </c>
      <c r="BS14" s="47">
        <f t="shared" si="5"/>
        <v>0</v>
      </c>
      <c r="BT14" s="44">
        <v>0</v>
      </c>
      <c r="BV14" s="16" t="s">
        <v>233</v>
      </c>
      <c r="BW14" s="16" t="s">
        <v>233</v>
      </c>
      <c r="BX14" s="3">
        <f t="shared" si="11"/>
        <v>-5.6</v>
      </c>
      <c r="BY14" s="16" t="s">
        <v>233</v>
      </c>
      <c r="BZ14" s="16" t="s">
        <v>233</v>
      </c>
      <c r="CA14" s="16" t="s">
        <v>233</v>
      </c>
      <c r="CB14" s="16" t="s">
        <v>233</v>
      </c>
      <c r="CC14" s="16" t="s">
        <v>233</v>
      </c>
      <c r="CD14" s="16" t="s">
        <v>233</v>
      </c>
      <c r="CE14" s="16" t="s">
        <v>233</v>
      </c>
      <c r="CF14" s="1">
        <f t="shared" si="12"/>
        <v>2.5</v>
      </c>
      <c r="CG14" s="16" t="s">
        <v>233</v>
      </c>
      <c r="CH14" s="16" t="s">
        <v>233</v>
      </c>
      <c r="CI14" s="16" t="s">
        <v>233</v>
      </c>
      <c r="CJ14" s="16" t="s">
        <v>233</v>
      </c>
      <c r="CK14" s="16" t="s">
        <v>233</v>
      </c>
      <c r="CL14" s="16" t="s">
        <v>233</v>
      </c>
      <c r="CM14" s="16" t="s">
        <v>233</v>
      </c>
      <c r="CN14" s="1">
        <f t="shared" si="13"/>
        <v>-10.199999999999999</v>
      </c>
      <c r="CO14" s="16" t="s">
        <v>233</v>
      </c>
      <c r="CP14" s="16" t="s">
        <v>233</v>
      </c>
      <c r="CQ14" s="16" t="s">
        <v>233</v>
      </c>
      <c r="CR14" s="16" t="s">
        <v>233</v>
      </c>
      <c r="CS14" s="16" t="s">
        <v>233</v>
      </c>
      <c r="CT14" s="16" t="s">
        <v>233</v>
      </c>
      <c r="CU14" s="16" t="s">
        <v>233</v>
      </c>
      <c r="CV14" s="18" t="s">
        <v>233</v>
      </c>
      <c r="CW14" s="1">
        <f>ROUND(PPTest!K14,1)</f>
        <v>0</v>
      </c>
      <c r="CX14" s="16" t="s">
        <v>233</v>
      </c>
      <c r="CY14" s="16" t="s">
        <v>233</v>
      </c>
      <c r="CZ14" s="20">
        <f t="shared" si="14"/>
        <v>0.28100000000000003</v>
      </c>
      <c r="DA14" s="20">
        <f t="shared" si="15"/>
        <v>0.45</v>
      </c>
      <c r="DB14" s="16" t="s">
        <v>233</v>
      </c>
      <c r="DZ14" s="1">
        <v>-4.5</v>
      </c>
      <c r="EA14" s="1">
        <v>3.2</v>
      </c>
      <c r="EB14" s="1">
        <v>-8.4</v>
      </c>
      <c r="EC14" s="1">
        <v>0</v>
      </c>
    </row>
    <row r="15" spans="1:133" x14ac:dyDescent="0.2">
      <c r="A15" s="40">
        <v>35073</v>
      </c>
      <c r="B15" s="34">
        <v>9</v>
      </c>
      <c r="C15" s="34"/>
      <c r="D15" s="34"/>
      <c r="E15" s="55">
        <f t="shared" si="0"/>
        <v>-4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41"/>
      <c r="Q15" s="34"/>
      <c r="R15" s="55">
        <f t="shared" si="1"/>
        <v>0.9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41"/>
      <c r="AE15" s="34"/>
      <c r="AF15" s="55">
        <f t="shared" si="2"/>
        <v>-7.6</v>
      </c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"/>
      <c r="BE15" s="3"/>
      <c r="BF15" s="3"/>
      <c r="BH15" s="16">
        <v>4.99</v>
      </c>
      <c r="BI15" s="16">
        <f t="shared" si="3"/>
        <v>10.079800000000001</v>
      </c>
      <c r="BJ15" s="17"/>
      <c r="BK15" s="17"/>
      <c r="BP15" s="57">
        <f t="shared" si="4"/>
        <v>0.34499999999999997</v>
      </c>
      <c r="BQ15" s="57">
        <f t="shared" si="10"/>
        <v>0.307</v>
      </c>
      <c r="BS15" s="47">
        <f t="shared" si="5"/>
        <v>0</v>
      </c>
      <c r="BT15" s="44">
        <v>0</v>
      </c>
      <c r="BV15" s="16" t="s">
        <v>233</v>
      </c>
      <c r="BW15" s="16" t="s">
        <v>233</v>
      </c>
      <c r="BX15" s="3">
        <f t="shared" si="11"/>
        <v>-4</v>
      </c>
      <c r="BY15" s="16" t="s">
        <v>233</v>
      </c>
      <c r="BZ15" s="16" t="s">
        <v>233</v>
      </c>
      <c r="CA15" s="16" t="s">
        <v>233</v>
      </c>
      <c r="CB15" s="16" t="s">
        <v>233</v>
      </c>
      <c r="CC15" s="16" t="s">
        <v>233</v>
      </c>
      <c r="CD15" s="16" t="s">
        <v>233</v>
      </c>
      <c r="CE15" s="16" t="s">
        <v>233</v>
      </c>
      <c r="CF15" s="1">
        <f t="shared" si="12"/>
        <v>0.9</v>
      </c>
      <c r="CG15" s="16" t="s">
        <v>233</v>
      </c>
      <c r="CH15" s="16" t="s">
        <v>233</v>
      </c>
      <c r="CI15" s="16" t="s">
        <v>233</v>
      </c>
      <c r="CJ15" s="16" t="s">
        <v>233</v>
      </c>
      <c r="CK15" s="16" t="s">
        <v>233</v>
      </c>
      <c r="CL15" s="16" t="s">
        <v>233</v>
      </c>
      <c r="CM15" s="16" t="s">
        <v>233</v>
      </c>
      <c r="CN15" s="1">
        <f t="shared" si="13"/>
        <v>-7.6</v>
      </c>
      <c r="CO15" s="16" t="s">
        <v>233</v>
      </c>
      <c r="CP15" s="16" t="s">
        <v>233</v>
      </c>
      <c r="CQ15" s="16" t="s">
        <v>233</v>
      </c>
      <c r="CR15" s="16" t="s">
        <v>233</v>
      </c>
      <c r="CS15" s="16" t="s">
        <v>233</v>
      </c>
      <c r="CT15" s="16" t="s">
        <v>233</v>
      </c>
      <c r="CU15" s="16" t="s">
        <v>233</v>
      </c>
      <c r="CV15" s="18" t="s">
        <v>233</v>
      </c>
      <c r="CW15" s="1">
        <f>ROUND(PPTest!K15,1)</f>
        <v>0</v>
      </c>
      <c r="CX15" s="16" t="s">
        <v>233</v>
      </c>
      <c r="CY15" s="16" t="s">
        <v>233</v>
      </c>
      <c r="CZ15" s="20">
        <f t="shared" si="14"/>
        <v>0.34499999999999997</v>
      </c>
      <c r="DA15" s="20">
        <f t="shared" si="15"/>
        <v>0.307</v>
      </c>
      <c r="DB15" s="16" t="s">
        <v>233</v>
      </c>
      <c r="DZ15" s="1">
        <v>-3.2</v>
      </c>
      <c r="EA15" s="1">
        <v>1.5</v>
      </c>
      <c r="EB15" s="1">
        <v>-6</v>
      </c>
      <c r="EC15" s="1">
        <v>0</v>
      </c>
    </row>
    <row r="16" spans="1:133" x14ac:dyDescent="0.2">
      <c r="A16" s="40">
        <v>35074</v>
      </c>
      <c r="B16" s="34">
        <v>10</v>
      </c>
      <c r="C16" s="34"/>
      <c r="D16" s="34"/>
      <c r="E16" s="55">
        <f t="shared" si="0"/>
        <v>-3.8</v>
      </c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41"/>
      <c r="Q16" s="34"/>
      <c r="R16" s="55">
        <f t="shared" si="1"/>
        <v>-0.4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41"/>
      <c r="AE16" s="34"/>
      <c r="AF16" s="55">
        <f t="shared" si="2"/>
        <v>-6.1</v>
      </c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"/>
      <c r="BE16" s="3"/>
      <c r="BF16" s="3"/>
      <c r="BH16" s="16">
        <v>5.0599999999999996</v>
      </c>
      <c r="BI16" s="16">
        <f t="shared" si="3"/>
        <v>10.2212</v>
      </c>
      <c r="BJ16" s="17"/>
      <c r="BK16" s="17"/>
      <c r="BP16" s="57">
        <f t="shared" si="4"/>
        <v>0.38700000000000001</v>
      </c>
      <c r="BQ16" s="57">
        <f t="shared" si="10"/>
        <v>0.20599999999999999</v>
      </c>
      <c r="BS16" s="47">
        <f t="shared" si="5"/>
        <v>0</v>
      </c>
      <c r="BT16" s="44">
        <v>0</v>
      </c>
      <c r="BV16" s="16" t="s">
        <v>233</v>
      </c>
      <c r="BW16" s="16" t="s">
        <v>233</v>
      </c>
      <c r="BX16" s="3">
        <f t="shared" si="11"/>
        <v>-3.8</v>
      </c>
      <c r="BY16" s="16" t="s">
        <v>233</v>
      </c>
      <c r="BZ16" s="16" t="s">
        <v>233</v>
      </c>
      <c r="CA16" s="16" t="s">
        <v>233</v>
      </c>
      <c r="CB16" s="16" t="s">
        <v>233</v>
      </c>
      <c r="CC16" s="16" t="s">
        <v>233</v>
      </c>
      <c r="CD16" s="16" t="s">
        <v>233</v>
      </c>
      <c r="CE16" s="16" t="s">
        <v>233</v>
      </c>
      <c r="CF16" s="1">
        <f t="shared" si="12"/>
        <v>-0.4</v>
      </c>
      <c r="CG16" s="16" t="s">
        <v>233</v>
      </c>
      <c r="CH16" s="16" t="s">
        <v>233</v>
      </c>
      <c r="CI16" s="16" t="s">
        <v>233</v>
      </c>
      <c r="CJ16" s="16" t="s">
        <v>233</v>
      </c>
      <c r="CK16" s="16" t="s">
        <v>233</v>
      </c>
      <c r="CL16" s="16" t="s">
        <v>233</v>
      </c>
      <c r="CM16" s="16" t="s">
        <v>233</v>
      </c>
      <c r="CN16" s="1">
        <f t="shared" si="13"/>
        <v>-6.1</v>
      </c>
      <c r="CO16" s="16" t="s">
        <v>233</v>
      </c>
      <c r="CP16" s="16" t="s">
        <v>233</v>
      </c>
      <c r="CQ16" s="16" t="s">
        <v>233</v>
      </c>
      <c r="CR16" s="16" t="s">
        <v>233</v>
      </c>
      <c r="CS16" s="16" t="s">
        <v>233</v>
      </c>
      <c r="CT16" s="16" t="s">
        <v>233</v>
      </c>
      <c r="CU16" s="16" t="s">
        <v>233</v>
      </c>
      <c r="CV16" s="18" t="s">
        <v>233</v>
      </c>
      <c r="CW16" s="1">
        <f>ROUND(PPTest!K16,1)</f>
        <v>0</v>
      </c>
      <c r="CX16" s="16" t="s">
        <v>233</v>
      </c>
      <c r="CY16" s="16" t="s">
        <v>233</v>
      </c>
      <c r="CZ16" s="20">
        <f t="shared" si="14"/>
        <v>0.38700000000000001</v>
      </c>
      <c r="DA16" s="20">
        <f t="shared" si="15"/>
        <v>0.20599999999999999</v>
      </c>
      <c r="DB16" s="16" t="s">
        <v>233</v>
      </c>
      <c r="DZ16" s="1">
        <v>-3</v>
      </c>
      <c r="EA16" s="1">
        <v>0.1</v>
      </c>
      <c r="EB16" s="1">
        <v>-4.5999999999999996</v>
      </c>
      <c r="EC16" s="1">
        <v>0</v>
      </c>
    </row>
    <row r="17" spans="1:133" x14ac:dyDescent="0.2">
      <c r="A17" s="40">
        <v>35075</v>
      </c>
      <c r="B17" s="34">
        <v>11</v>
      </c>
      <c r="C17" s="34"/>
      <c r="D17" s="34"/>
      <c r="E17" s="55">
        <f t="shared" si="0"/>
        <v>-3.9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41"/>
      <c r="Q17" s="34"/>
      <c r="R17" s="55">
        <f t="shared" si="1"/>
        <v>1.6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41"/>
      <c r="AE17" s="34"/>
      <c r="AF17" s="55">
        <f t="shared" si="2"/>
        <v>-10.4</v>
      </c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"/>
      <c r="BE17" s="3"/>
      <c r="BF17" s="3"/>
      <c r="BH17" s="16">
        <v>5.13</v>
      </c>
      <c r="BI17" s="16">
        <f t="shared" si="3"/>
        <v>10.3626</v>
      </c>
      <c r="BJ17" s="17"/>
      <c r="BK17" s="17"/>
      <c r="BP17" s="57">
        <f t="shared" si="4"/>
        <v>0.27700000000000002</v>
      </c>
      <c r="BQ17" s="57">
        <f t="shared" si="10"/>
        <v>0.40799999999999997</v>
      </c>
      <c r="BS17" s="47">
        <f t="shared" si="5"/>
        <v>0</v>
      </c>
      <c r="BT17" s="44">
        <v>0</v>
      </c>
      <c r="BV17" s="16" t="s">
        <v>233</v>
      </c>
      <c r="BW17" s="16" t="s">
        <v>233</v>
      </c>
      <c r="BX17" s="3">
        <f t="shared" si="11"/>
        <v>-3.9</v>
      </c>
      <c r="BY17" s="16" t="s">
        <v>233</v>
      </c>
      <c r="BZ17" s="16" t="s">
        <v>233</v>
      </c>
      <c r="CA17" s="16" t="s">
        <v>233</v>
      </c>
      <c r="CB17" s="16" t="s">
        <v>233</v>
      </c>
      <c r="CC17" s="16" t="s">
        <v>233</v>
      </c>
      <c r="CD17" s="16" t="s">
        <v>233</v>
      </c>
      <c r="CE17" s="16" t="s">
        <v>233</v>
      </c>
      <c r="CF17" s="1">
        <f t="shared" si="12"/>
        <v>1.6</v>
      </c>
      <c r="CG17" s="16" t="s">
        <v>233</v>
      </c>
      <c r="CH17" s="16" t="s">
        <v>233</v>
      </c>
      <c r="CI17" s="16" t="s">
        <v>233</v>
      </c>
      <c r="CJ17" s="16" t="s">
        <v>233</v>
      </c>
      <c r="CK17" s="16" t="s">
        <v>233</v>
      </c>
      <c r="CL17" s="16" t="s">
        <v>233</v>
      </c>
      <c r="CM17" s="16" t="s">
        <v>233</v>
      </c>
      <c r="CN17" s="1">
        <f t="shared" si="13"/>
        <v>-10.4</v>
      </c>
      <c r="CO17" s="16" t="s">
        <v>233</v>
      </c>
      <c r="CP17" s="16" t="s">
        <v>233</v>
      </c>
      <c r="CQ17" s="16" t="s">
        <v>233</v>
      </c>
      <c r="CR17" s="16" t="s">
        <v>233</v>
      </c>
      <c r="CS17" s="16" t="s">
        <v>233</v>
      </c>
      <c r="CT17" s="16" t="s">
        <v>233</v>
      </c>
      <c r="CU17" s="16" t="s">
        <v>233</v>
      </c>
      <c r="CV17" s="18" t="s">
        <v>233</v>
      </c>
      <c r="CW17" s="1">
        <f>ROUND(PPTest!K17,1)</f>
        <v>0</v>
      </c>
      <c r="CX17" s="16" t="s">
        <v>233</v>
      </c>
      <c r="CY17" s="16" t="s">
        <v>233</v>
      </c>
      <c r="CZ17" s="20">
        <f t="shared" si="14"/>
        <v>0.27700000000000002</v>
      </c>
      <c r="DA17" s="20">
        <f t="shared" si="15"/>
        <v>0.40799999999999997</v>
      </c>
      <c r="DB17" s="16" t="s">
        <v>233</v>
      </c>
      <c r="DZ17" s="1">
        <v>-3.1</v>
      </c>
      <c r="EA17" s="1">
        <v>2.2000000000000002</v>
      </c>
      <c r="EB17" s="1">
        <v>-8.5</v>
      </c>
      <c r="EC17" s="1">
        <v>0</v>
      </c>
    </row>
    <row r="18" spans="1:133" x14ac:dyDescent="0.2">
      <c r="A18" s="40">
        <v>35076</v>
      </c>
      <c r="B18" s="34">
        <v>12</v>
      </c>
      <c r="C18" s="34"/>
      <c r="D18" s="34"/>
      <c r="E18" s="55">
        <f t="shared" si="0"/>
        <v>-6.7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41"/>
      <c r="Q18" s="34"/>
      <c r="R18" s="55">
        <f t="shared" si="1"/>
        <v>1.5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41"/>
      <c r="AE18" s="34"/>
      <c r="AF18" s="55">
        <f t="shared" si="2"/>
        <v>-12.7</v>
      </c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"/>
      <c r="BE18" s="3"/>
      <c r="BF18" s="3"/>
      <c r="BH18" s="16">
        <v>5.2</v>
      </c>
      <c r="BI18" s="16">
        <f t="shared" si="3"/>
        <v>10.504000000000001</v>
      </c>
      <c r="BJ18" s="17"/>
      <c r="BK18" s="17"/>
      <c r="BP18" s="57">
        <f t="shared" si="4"/>
        <v>0.23</v>
      </c>
      <c r="BQ18" s="57">
        <f t="shared" si="10"/>
        <v>0.45</v>
      </c>
      <c r="BS18" s="47">
        <f t="shared" si="5"/>
        <v>0</v>
      </c>
      <c r="BT18" s="44">
        <v>0</v>
      </c>
      <c r="BV18" s="16" t="s">
        <v>233</v>
      </c>
      <c r="BW18" s="16" t="s">
        <v>233</v>
      </c>
      <c r="BX18" s="3">
        <f t="shared" si="11"/>
        <v>-6.7</v>
      </c>
      <c r="BY18" s="16" t="s">
        <v>233</v>
      </c>
      <c r="BZ18" s="16" t="s">
        <v>233</v>
      </c>
      <c r="CA18" s="16" t="s">
        <v>233</v>
      </c>
      <c r="CB18" s="16" t="s">
        <v>233</v>
      </c>
      <c r="CC18" s="16" t="s">
        <v>233</v>
      </c>
      <c r="CD18" s="16" t="s">
        <v>233</v>
      </c>
      <c r="CE18" s="16" t="s">
        <v>233</v>
      </c>
      <c r="CF18" s="1">
        <f t="shared" si="12"/>
        <v>1.5</v>
      </c>
      <c r="CG18" s="16" t="s">
        <v>233</v>
      </c>
      <c r="CH18" s="16" t="s">
        <v>233</v>
      </c>
      <c r="CI18" s="16" t="s">
        <v>233</v>
      </c>
      <c r="CJ18" s="16" t="s">
        <v>233</v>
      </c>
      <c r="CK18" s="16" t="s">
        <v>233</v>
      </c>
      <c r="CL18" s="16" t="s">
        <v>233</v>
      </c>
      <c r="CM18" s="16" t="s">
        <v>233</v>
      </c>
      <c r="CN18" s="1">
        <f t="shared" si="13"/>
        <v>-12.7</v>
      </c>
      <c r="CO18" s="16" t="s">
        <v>233</v>
      </c>
      <c r="CP18" s="16" t="s">
        <v>233</v>
      </c>
      <c r="CQ18" s="16" t="s">
        <v>233</v>
      </c>
      <c r="CR18" s="16" t="s">
        <v>233</v>
      </c>
      <c r="CS18" s="16" t="s">
        <v>233</v>
      </c>
      <c r="CT18" s="16" t="s">
        <v>233</v>
      </c>
      <c r="CU18" s="16" t="s">
        <v>233</v>
      </c>
      <c r="CV18" s="18" t="s">
        <v>233</v>
      </c>
      <c r="CW18" s="1">
        <f>ROUND(PPTest!K18,1)</f>
        <v>0</v>
      </c>
      <c r="CX18" s="16" t="s">
        <v>233</v>
      </c>
      <c r="CY18" s="16" t="s">
        <v>233</v>
      </c>
      <c r="CZ18" s="20">
        <f t="shared" si="14"/>
        <v>0.23</v>
      </c>
      <c r="DA18" s="20">
        <f t="shared" si="15"/>
        <v>0.45</v>
      </c>
      <c r="DB18" s="16" t="s">
        <v>233</v>
      </c>
      <c r="DZ18" s="1">
        <v>-5.5</v>
      </c>
      <c r="EA18" s="1">
        <v>2.1</v>
      </c>
      <c r="EB18" s="1">
        <v>-10.6</v>
      </c>
      <c r="EC18" s="1">
        <v>0</v>
      </c>
    </row>
    <row r="19" spans="1:133" x14ac:dyDescent="0.2">
      <c r="A19" s="40">
        <v>35077</v>
      </c>
      <c r="B19" s="34">
        <v>13</v>
      </c>
      <c r="C19" s="34"/>
      <c r="D19" s="34"/>
      <c r="E19" s="55">
        <f t="shared" si="0"/>
        <v>-2.2999999999999998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41"/>
      <c r="Q19" s="34"/>
      <c r="R19" s="55">
        <f t="shared" si="1"/>
        <v>4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41"/>
      <c r="AE19" s="34"/>
      <c r="AF19" s="55">
        <f t="shared" si="2"/>
        <v>-10.199999999999999</v>
      </c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"/>
      <c r="BE19" s="3"/>
      <c r="BF19" s="3"/>
      <c r="BH19" s="16">
        <v>5.27</v>
      </c>
      <c r="BI19" s="16">
        <f t="shared" si="3"/>
        <v>10.645399999999999</v>
      </c>
      <c r="BJ19" s="17"/>
      <c r="BK19" s="17"/>
      <c r="BP19" s="57">
        <f t="shared" si="4"/>
        <v>0.28100000000000003</v>
      </c>
      <c r="BQ19" s="57">
        <f t="shared" si="10"/>
        <v>0.53200000000000003</v>
      </c>
      <c r="BS19" s="47">
        <f t="shared" si="5"/>
        <v>0</v>
      </c>
      <c r="BT19" s="44">
        <v>0</v>
      </c>
      <c r="BV19" s="16" t="s">
        <v>233</v>
      </c>
      <c r="BW19" s="16" t="s">
        <v>233</v>
      </c>
      <c r="BX19" s="3">
        <f t="shared" si="11"/>
        <v>-2.2999999999999998</v>
      </c>
      <c r="BY19" s="16" t="s">
        <v>233</v>
      </c>
      <c r="BZ19" s="16" t="s">
        <v>233</v>
      </c>
      <c r="CA19" s="16" t="s">
        <v>233</v>
      </c>
      <c r="CB19" s="16" t="s">
        <v>233</v>
      </c>
      <c r="CC19" s="16" t="s">
        <v>233</v>
      </c>
      <c r="CD19" s="16" t="s">
        <v>233</v>
      </c>
      <c r="CE19" s="16" t="s">
        <v>233</v>
      </c>
      <c r="CF19" s="1">
        <f t="shared" si="12"/>
        <v>4</v>
      </c>
      <c r="CG19" s="16" t="s">
        <v>233</v>
      </c>
      <c r="CH19" s="16" t="s">
        <v>233</v>
      </c>
      <c r="CI19" s="16" t="s">
        <v>233</v>
      </c>
      <c r="CJ19" s="16" t="s">
        <v>233</v>
      </c>
      <c r="CK19" s="16" t="s">
        <v>233</v>
      </c>
      <c r="CL19" s="16" t="s">
        <v>233</v>
      </c>
      <c r="CM19" s="16" t="s">
        <v>233</v>
      </c>
      <c r="CN19" s="1">
        <f t="shared" si="13"/>
        <v>-10.199999999999999</v>
      </c>
      <c r="CO19" s="16" t="s">
        <v>233</v>
      </c>
      <c r="CP19" s="16" t="s">
        <v>233</v>
      </c>
      <c r="CQ19" s="16" t="s">
        <v>233</v>
      </c>
      <c r="CR19" s="16" t="s">
        <v>233</v>
      </c>
      <c r="CS19" s="16" t="s">
        <v>233</v>
      </c>
      <c r="CT19" s="16" t="s">
        <v>233</v>
      </c>
      <c r="CU19" s="16" t="s">
        <v>233</v>
      </c>
      <c r="CV19" s="18" t="s">
        <v>233</v>
      </c>
      <c r="CW19" s="1">
        <f>ROUND(PPTest!K19,1)</f>
        <v>0</v>
      </c>
      <c r="CX19" s="16" t="s">
        <v>233</v>
      </c>
      <c r="CY19" s="16" t="s">
        <v>233</v>
      </c>
      <c r="CZ19" s="20">
        <f t="shared" si="14"/>
        <v>0.28100000000000003</v>
      </c>
      <c r="DA19" s="20">
        <f t="shared" si="15"/>
        <v>0.53200000000000003</v>
      </c>
      <c r="DB19" s="16" t="s">
        <v>233</v>
      </c>
      <c r="DZ19" s="1">
        <v>-1.8</v>
      </c>
      <c r="EA19" s="1">
        <v>4.7</v>
      </c>
      <c r="EB19" s="1">
        <v>-8.4</v>
      </c>
      <c r="EC19" s="1">
        <v>2</v>
      </c>
    </row>
    <row r="20" spans="1:133" x14ac:dyDescent="0.2">
      <c r="A20" s="40">
        <v>35078</v>
      </c>
      <c r="B20" s="34">
        <v>14</v>
      </c>
      <c r="C20" s="34"/>
      <c r="D20" s="34"/>
      <c r="E20" s="55">
        <f t="shared" si="0"/>
        <v>0.2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41"/>
      <c r="Q20" s="34"/>
      <c r="R20" s="55">
        <f t="shared" si="1"/>
        <v>2.2000000000000002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41"/>
      <c r="AE20" s="34"/>
      <c r="AF20" s="55">
        <f t="shared" si="2"/>
        <v>-2.8</v>
      </c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"/>
      <c r="BE20" s="3"/>
      <c r="BF20" s="3"/>
      <c r="BH20" s="16">
        <v>5.36</v>
      </c>
      <c r="BI20" s="16">
        <f t="shared" si="3"/>
        <v>10.827200000000001</v>
      </c>
      <c r="BJ20" s="17"/>
      <c r="BK20" s="17"/>
      <c r="BP20" s="57">
        <f t="shared" si="4"/>
        <v>0.497</v>
      </c>
      <c r="BQ20" s="57">
        <f t="shared" si="10"/>
        <v>0.218</v>
      </c>
      <c r="BS20" s="47">
        <f t="shared" si="5"/>
        <v>0</v>
      </c>
      <c r="BT20" s="44">
        <v>0</v>
      </c>
      <c r="BV20" s="16" t="s">
        <v>233</v>
      </c>
      <c r="BW20" s="16" t="s">
        <v>233</v>
      </c>
      <c r="BX20" s="3">
        <f t="shared" si="11"/>
        <v>0.2</v>
      </c>
      <c r="BY20" s="16" t="s">
        <v>233</v>
      </c>
      <c r="BZ20" s="16" t="s">
        <v>233</v>
      </c>
      <c r="CA20" s="16" t="s">
        <v>233</v>
      </c>
      <c r="CB20" s="16" t="s">
        <v>233</v>
      </c>
      <c r="CC20" s="16" t="s">
        <v>233</v>
      </c>
      <c r="CD20" s="16" t="s">
        <v>233</v>
      </c>
      <c r="CE20" s="16" t="s">
        <v>233</v>
      </c>
      <c r="CF20" s="1">
        <f t="shared" si="12"/>
        <v>2.2000000000000002</v>
      </c>
      <c r="CG20" s="16" t="s">
        <v>233</v>
      </c>
      <c r="CH20" s="16" t="s">
        <v>233</v>
      </c>
      <c r="CI20" s="16" t="s">
        <v>233</v>
      </c>
      <c r="CJ20" s="16" t="s">
        <v>233</v>
      </c>
      <c r="CK20" s="16" t="s">
        <v>233</v>
      </c>
      <c r="CL20" s="16" t="s">
        <v>233</v>
      </c>
      <c r="CM20" s="16" t="s">
        <v>233</v>
      </c>
      <c r="CN20" s="1">
        <f t="shared" si="13"/>
        <v>-2.8</v>
      </c>
      <c r="CO20" s="16" t="s">
        <v>233</v>
      </c>
      <c r="CP20" s="16" t="s">
        <v>233</v>
      </c>
      <c r="CQ20" s="16" t="s">
        <v>233</v>
      </c>
      <c r="CR20" s="16" t="s">
        <v>233</v>
      </c>
      <c r="CS20" s="16" t="s">
        <v>233</v>
      </c>
      <c r="CT20" s="16" t="s">
        <v>233</v>
      </c>
      <c r="CU20" s="16" t="s">
        <v>233</v>
      </c>
      <c r="CV20" s="18" t="s">
        <v>233</v>
      </c>
      <c r="CW20" s="1">
        <f>ROUND(PPTest!K20,1)</f>
        <v>0</v>
      </c>
      <c r="CX20" s="16" t="s">
        <v>233</v>
      </c>
      <c r="CY20" s="16" t="s">
        <v>233</v>
      </c>
      <c r="CZ20" s="20">
        <f t="shared" si="14"/>
        <v>0.497</v>
      </c>
      <c r="DA20" s="20">
        <f t="shared" si="15"/>
        <v>0.218</v>
      </c>
      <c r="DB20" s="16" t="s">
        <v>233</v>
      </c>
      <c r="DZ20" s="1">
        <v>0.3</v>
      </c>
      <c r="EA20" s="1">
        <v>2.8</v>
      </c>
      <c r="EB20" s="1">
        <v>-1.6</v>
      </c>
      <c r="EC20" s="1">
        <v>3.6</v>
      </c>
    </row>
    <row r="21" spans="1:133" x14ac:dyDescent="0.2">
      <c r="A21" s="40">
        <v>35079</v>
      </c>
      <c r="B21" s="34">
        <v>15</v>
      </c>
      <c r="C21" s="34"/>
      <c r="D21" s="34"/>
      <c r="E21" s="55">
        <f t="shared" si="0"/>
        <v>-0.4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41"/>
      <c r="Q21" s="34"/>
      <c r="R21" s="55">
        <f t="shared" si="1"/>
        <v>2.8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41"/>
      <c r="AE21" s="34"/>
      <c r="AF21" s="55">
        <f t="shared" si="2"/>
        <v>-4.3</v>
      </c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"/>
      <c r="BE21" s="3"/>
      <c r="BF21" s="3"/>
      <c r="BH21" s="16">
        <v>5.44</v>
      </c>
      <c r="BI21" s="16">
        <f t="shared" si="3"/>
        <v>10.988800000000001</v>
      </c>
      <c r="BJ21" s="17"/>
      <c r="BK21" s="17"/>
      <c r="BP21" s="57">
        <f t="shared" si="4"/>
        <v>0.44400000000000001</v>
      </c>
      <c r="BQ21" s="57">
        <f t="shared" si="10"/>
        <v>0.30299999999999999</v>
      </c>
      <c r="BS21" s="47">
        <f t="shared" si="5"/>
        <v>1.5</v>
      </c>
      <c r="BT21" s="44">
        <v>1</v>
      </c>
      <c r="BV21" s="16" t="s">
        <v>233</v>
      </c>
      <c r="BW21" s="16" t="s">
        <v>233</v>
      </c>
      <c r="BX21" s="3">
        <f t="shared" si="11"/>
        <v>-0.4</v>
      </c>
      <c r="BY21" s="16" t="s">
        <v>233</v>
      </c>
      <c r="BZ21" s="16" t="s">
        <v>233</v>
      </c>
      <c r="CA21" s="16" t="s">
        <v>233</v>
      </c>
      <c r="CB21" s="16" t="s">
        <v>233</v>
      </c>
      <c r="CC21" s="16" t="s">
        <v>233</v>
      </c>
      <c r="CD21" s="16" t="s">
        <v>233</v>
      </c>
      <c r="CE21" s="16" t="s">
        <v>233</v>
      </c>
      <c r="CF21" s="1">
        <f t="shared" si="12"/>
        <v>2.8</v>
      </c>
      <c r="CG21" s="16" t="s">
        <v>233</v>
      </c>
      <c r="CH21" s="16" t="s">
        <v>233</v>
      </c>
      <c r="CI21" s="16" t="s">
        <v>233</v>
      </c>
      <c r="CJ21" s="16" t="s">
        <v>233</v>
      </c>
      <c r="CK21" s="16" t="s">
        <v>233</v>
      </c>
      <c r="CL21" s="16" t="s">
        <v>233</v>
      </c>
      <c r="CM21" s="16" t="s">
        <v>233</v>
      </c>
      <c r="CN21" s="1">
        <f t="shared" si="13"/>
        <v>-4.3</v>
      </c>
      <c r="CO21" s="16" t="s">
        <v>233</v>
      </c>
      <c r="CP21" s="16" t="s">
        <v>233</v>
      </c>
      <c r="CQ21" s="16" t="s">
        <v>233</v>
      </c>
      <c r="CR21" s="16" t="s">
        <v>233</v>
      </c>
      <c r="CS21" s="16" t="s">
        <v>233</v>
      </c>
      <c r="CT21" s="16" t="s">
        <v>233</v>
      </c>
      <c r="CU21" s="16" t="s">
        <v>233</v>
      </c>
      <c r="CV21" s="18" t="s">
        <v>233</v>
      </c>
      <c r="CW21" s="1">
        <f>ROUND(PPTest!K21,1)</f>
        <v>1.6</v>
      </c>
      <c r="CX21" s="16" t="s">
        <v>233</v>
      </c>
      <c r="CY21" s="16" t="s">
        <v>233</v>
      </c>
      <c r="CZ21" s="20">
        <f t="shared" si="14"/>
        <v>0.44400000000000001</v>
      </c>
      <c r="DA21" s="20">
        <f t="shared" si="15"/>
        <v>0.30299999999999999</v>
      </c>
      <c r="DB21" s="16" t="s">
        <v>233</v>
      </c>
      <c r="DZ21" s="1">
        <v>-0.2</v>
      </c>
      <c r="EA21" s="1">
        <v>3.5</v>
      </c>
      <c r="EB21" s="1">
        <v>-3</v>
      </c>
      <c r="EC21" s="1">
        <v>0.4</v>
      </c>
    </row>
    <row r="22" spans="1:133" x14ac:dyDescent="0.2">
      <c r="A22" s="40">
        <v>35080</v>
      </c>
      <c r="B22" s="34">
        <v>16</v>
      </c>
      <c r="C22" s="34"/>
      <c r="D22" s="34"/>
      <c r="E22" s="55">
        <f t="shared" si="0"/>
        <v>-9.4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41"/>
      <c r="Q22" s="34"/>
      <c r="R22" s="55">
        <f t="shared" si="1"/>
        <v>0.5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41"/>
      <c r="AE22" s="34"/>
      <c r="AF22" s="55">
        <f t="shared" si="2"/>
        <v>-17.8</v>
      </c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"/>
      <c r="BE22" s="3"/>
      <c r="BF22" s="3"/>
      <c r="BH22" s="16">
        <v>5.53</v>
      </c>
      <c r="BI22" s="16">
        <f t="shared" si="3"/>
        <v>11.1706</v>
      </c>
      <c r="BJ22" s="17"/>
      <c r="BK22" s="17"/>
      <c r="BP22" s="57">
        <f t="shared" si="4"/>
        <v>0.15</v>
      </c>
      <c r="BQ22" s="57">
        <f t="shared" si="10"/>
        <v>0.48299999999999998</v>
      </c>
      <c r="BS22" s="47">
        <f t="shared" si="5"/>
        <v>0</v>
      </c>
      <c r="BT22" s="44">
        <v>0</v>
      </c>
      <c r="BV22" s="16" t="s">
        <v>233</v>
      </c>
      <c r="BW22" s="16" t="s">
        <v>233</v>
      </c>
      <c r="BX22" s="3">
        <f t="shared" si="11"/>
        <v>-9.4</v>
      </c>
      <c r="BY22" s="16" t="s">
        <v>233</v>
      </c>
      <c r="BZ22" s="16" t="s">
        <v>233</v>
      </c>
      <c r="CA22" s="16" t="s">
        <v>233</v>
      </c>
      <c r="CB22" s="16" t="s">
        <v>233</v>
      </c>
      <c r="CC22" s="16" t="s">
        <v>233</v>
      </c>
      <c r="CD22" s="16" t="s">
        <v>233</v>
      </c>
      <c r="CE22" s="16" t="s">
        <v>233</v>
      </c>
      <c r="CF22" s="1">
        <f t="shared" si="12"/>
        <v>0.5</v>
      </c>
      <c r="CG22" s="16" t="s">
        <v>233</v>
      </c>
      <c r="CH22" s="16" t="s">
        <v>233</v>
      </c>
      <c r="CI22" s="16" t="s">
        <v>233</v>
      </c>
      <c r="CJ22" s="16" t="s">
        <v>233</v>
      </c>
      <c r="CK22" s="16" t="s">
        <v>233</v>
      </c>
      <c r="CL22" s="16" t="s">
        <v>233</v>
      </c>
      <c r="CM22" s="16" t="s">
        <v>233</v>
      </c>
      <c r="CN22" s="1">
        <f t="shared" si="13"/>
        <v>-17.8</v>
      </c>
      <c r="CO22" s="16" t="s">
        <v>233</v>
      </c>
      <c r="CP22" s="16" t="s">
        <v>233</v>
      </c>
      <c r="CQ22" s="16" t="s">
        <v>233</v>
      </c>
      <c r="CR22" s="16" t="s">
        <v>233</v>
      </c>
      <c r="CS22" s="16" t="s">
        <v>233</v>
      </c>
      <c r="CT22" s="16" t="s">
        <v>233</v>
      </c>
      <c r="CU22" s="16" t="s">
        <v>233</v>
      </c>
      <c r="CV22" s="18" t="s">
        <v>233</v>
      </c>
      <c r="CW22" s="1">
        <f>ROUND(PPTest!K22,1)</f>
        <v>0</v>
      </c>
      <c r="CX22" s="16" t="s">
        <v>233</v>
      </c>
      <c r="CY22" s="16" t="s">
        <v>233</v>
      </c>
      <c r="CZ22" s="20">
        <f t="shared" si="14"/>
        <v>0.15</v>
      </c>
      <c r="DA22" s="20">
        <f t="shared" si="15"/>
        <v>0.48299999999999998</v>
      </c>
      <c r="DB22" s="16" t="s">
        <v>233</v>
      </c>
      <c r="DZ22" s="1">
        <v>-7.7</v>
      </c>
      <c r="EA22" s="1">
        <v>1</v>
      </c>
      <c r="EB22" s="1">
        <v>-15.3</v>
      </c>
      <c r="EC22" s="1">
        <v>0</v>
      </c>
    </row>
    <row r="23" spans="1:133" x14ac:dyDescent="0.2">
      <c r="A23" s="40">
        <v>35081</v>
      </c>
      <c r="B23" s="34">
        <v>17</v>
      </c>
      <c r="C23" s="34"/>
      <c r="D23" s="34"/>
      <c r="E23" s="55">
        <f t="shared" si="0"/>
        <v>-22.8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41"/>
      <c r="Q23" s="34"/>
      <c r="R23" s="55">
        <f t="shared" si="1"/>
        <v>-9.1999999999999993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41"/>
      <c r="AE23" s="34"/>
      <c r="AF23" s="55">
        <f t="shared" si="2"/>
        <v>-30.9</v>
      </c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"/>
      <c r="BE23" s="3"/>
      <c r="BF23" s="3"/>
      <c r="BH23" s="16">
        <v>5.63</v>
      </c>
      <c r="BI23" s="16">
        <f t="shared" si="3"/>
        <v>11.3726</v>
      </c>
      <c r="BJ23" s="17"/>
      <c r="BK23" s="17"/>
      <c r="BP23" s="57">
        <f t="shared" si="4"/>
        <v>4.5999999999999999E-2</v>
      </c>
      <c r="BQ23" s="57">
        <f t="shared" si="10"/>
        <v>0.25800000000000001</v>
      </c>
      <c r="BS23" s="47">
        <f t="shared" si="5"/>
        <v>0</v>
      </c>
      <c r="BT23" s="44">
        <v>0</v>
      </c>
      <c r="BV23" s="16" t="s">
        <v>233</v>
      </c>
      <c r="BW23" s="16" t="s">
        <v>233</v>
      </c>
      <c r="BX23" s="3">
        <f t="shared" si="11"/>
        <v>-22.8</v>
      </c>
      <c r="BY23" s="16" t="s">
        <v>233</v>
      </c>
      <c r="BZ23" s="16" t="s">
        <v>233</v>
      </c>
      <c r="CA23" s="16" t="s">
        <v>233</v>
      </c>
      <c r="CB23" s="16" t="s">
        <v>233</v>
      </c>
      <c r="CC23" s="16" t="s">
        <v>233</v>
      </c>
      <c r="CD23" s="16" t="s">
        <v>233</v>
      </c>
      <c r="CE23" s="16" t="s">
        <v>233</v>
      </c>
      <c r="CF23" s="1">
        <f t="shared" si="12"/>
        <v>-9.1999999999999993</v>
      </c>
      <c r="CG23" s="16" t="s">
        <v>233</v>
      </c>
      <c r="CH23" s="16" t="s">
        <v>233</v>
      </c>
      <c r="CI23" s="16" t="s">
        <v>233</v>
      </c>
      <c r="CJ23" s="16" t="s">
        <v>233</v>
      </c>
      <c r="CK23" s="16" t="s">
        <v>233</v>
      </c>
      <c r="CL23" s="16" t="s">
        <v>233</v>
      </c>
      <c r="CM23" s="16" t="s">
        <v>233</v>
      </c>
      <c r="CN23" s="1">
        <f t="shared" si="13"/>
        <v>-30.9</v>
      </c>
      <c r="CO23" s="16" t="s">
        <v>233</v>
      </c>
      <c r="CP23" s="16" t="s">
        <v>233</v>
      </c>
      <c r="CQ23" s="16" t="s">
        <v>233</v>
      </c>
      <c r="CR23" s="16" t="s">
        <v>233</v>
      </c>
      <c r="CS23" s="16" t="s">
        <v>233</v>
      </c>
      <c r="CT23" s="16" t="s">
        <v>233</v>
      </c>
      <c r="CU23" s="16" t="s">
        <v>233</v>
      </c>
      <c r="CV23" s="18" t="s">
        <v>233</v>
      </c>
      <c r="CW23" s="1">
        <f>ROUND(PPTest!K23,1)</f>
        <v>0</v>
      </c>
      <c r="CX23" s="16" t="s">
        <v>233</v>
      </c>
      <c r="CY23" s="16" t="s">
        <v>233</v>
      </c>
      <c r="CZ23" s="20">
        <f t="shared" si="14"/>
        <v>4.5999999999999999E-2</v>
      </c>
      <c r="DA23" s="20">
        <f t="shared" si="15"/>
        <v>0.25800000000000001</v>
      </c>
      <c r="DB23" s="16" t="s">
        <v>233</v>
      </c>
      <c r="DZ23" s="1">
        <v>-19</v>
      </c>
      <c r="EA23" s="1">
        <v>-9.1999999999999993</v>
      </c>
      <c r="EB23" s="1">
        <v>-27.2</v>
      </c>
      <c r="EC23" s="1">
        <v>0</v>
      </c>
    </row>
    <row r="24" spans="1:133" x14ac:dyDescent="0.2">
      <c r="A24" s="40">
        <v>35082</v>
      </c>
      <c r="B24" s="34">
        <v>18</v>
      </c>
      <c r="C24" s="34"/>
      <c r="D24" s="34"/>
      <c r="E24" s="55">
        <f t="shared" si="0"/>
        <v>-18.899999999999999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41"/>
      <c r="Q24" s="34"/>
      <c r="R24" s="55">
        <f t="shared" si="1"/>
        <v>-9.3000000000000007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41"/>
      <c r="AE24" s="34"/>
      <c r="AF24" s="55">
        <f t="shared" si="2"/>
        <v>-32.4</v>
      </c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"/>
      <c r="BE24" s="3"/>
      <c r="BF24" s="3"/>
      <c r="BH24" s="16">
        <v>5.72</v>
      </c>
      <c r="BI24" s="16">
        <f t="shared" si="3"/>
        <v>11.554399999999999</v>
      </c>
      <c r="BJ24" s="17"/>
      <c r="BK24" s="17"/>
      <c r="BP24" s="57">
        <f t="shared" si="4"/>
        <v>0.04</v>
      </c>
      <c r="BQ24" s="57">
        <f t="shared" si="10"/>
        <v>0.26200000000000001</v>
      </c>
      <c r="BS24" s="47">
        <f t="shared" si="5"/>
        <v>0</v>
      </c>
      <c r="BT24" s="44">
        <v>0</v>
      </c>
      <c r="BV24" s="16" t="s">
        <v>233</v>
      </c>
      <c r="BW24" s="16" t="s">
        <v>233</v>
      </c>
      <c r="BX24" s="3">
        <f t="shared" si="11"/>
        <v>-18.899999999999999</v>
      </c>
      <c r="BY24" s="16" t="s">
        <v>233</v>
      </c>
      <c r="BZ24" s="16" t="s">
        <v>233</v>
      </c>
      <c r="CA24" s="16" t="s">
        <v>233</v>
      </c>
      <c r="CB24" s="16" t="s">
        <v>233</v>
      </c>
      <c r="CC24" s="16" t="s">
        <v>233</v>
      </c>
      <c r="CD24" s="16" t="s">
        <v>233</v>
      </c>
      <c r="CE24" s="16" t="s">
        <v>233</v>
      </c>
      <c r="CF24" s="1">
        <f t="shared" si="12"/>
        <v>-9.3000000000000007</v>
      </c>
      <c r="CG24" s="16" t="s">
        <v>233</v>
      </c>
      <c r="CH24" s="16" t="s">
        <v>233</v>
      </c>
      <c r="CI24" s="16" t="s">
        <v>233</v>
      </c>
      <c r="CJ24" s="16" t="s">
        <v>233</v>
      </c>
      <c r="CK24" s="16" t="s">
        <v>233</v>
      </c>
      <c r="CL24" s="16" t="s">
        <v>233</v>
      </c>
      <c r="CM24" s="16" t="s">
        <v>233</v>
      </c>
      <c r="CN24" s="1">
        <f t="shared" si="13"/>
        <v>-32.4</v>
      </c>
      <c r="CO24" s="16" t="s">
        <v>233</v>
      </c>
      <c r="CP24" s="16" t="s">
        <v>233</v>
      </c>
      <c r="CQ24" s="16" t="s">
        <v>233</v>
      </c>
      <c r="CR24" s="16" t="s">
        <v>233</v>
      </c>
      <c r="CS24" s="16" t="s">
        <v>233</v>
      </c>
      <c r="CT24" s="16" t="s">
        <v>233</v>
      </c>
      <c r="CU24" s="16" t="s">
        <v>233</v>
      </c>
      <c r="CV24" s="18" t="s">
        <v>233</v>
      </c>
      <c r="CW24" s="1">
        <f>ROUND(PPTest!K24,1)</f>
        <v>0</v>
      </c>
      <c r="CX24" s="16" t="s">
        <v>233</v>
      </c>
      <c r="CY24" s="16" t="s">
        <v>233</v>
      </c>
      <c r="CZ24" s="20">
        <f t="shared" si="14"/>
        <v>0.04</v>
      </c>
      <c r="DA24" s="20">
        <f t="shared" si="15"/>
        <v>0.26200000000000001</v>
      </c>
      <c r="DB24" s="16" t="s">
        <v>233</v>
      </c>
      <c r="DZ24" s="1">
        <v>-15.7</v>
      </c>
      <c r="EA24" s="1">
        <v>-9.3000000000000007</v>
      </c>
      <c r="EB24" s="1">
        <v>-28.5</v>
      </c>
      <c r="EC24" s="1">
        <v>0.4</v>
      </c>
    </row>
    <row r="25" spans="1:133" x14ac:dyDescent="0.2">
      <c r="A25" s="40">
        <v>35083</v>
      </c>
      <c r="B25" s="34">
        <v>19</v>
      </c>
      <c r="C25" s="34"/>
      <c r="D25" s="34"/>
      <c r="E25" s="55">
        <f t="shared" si="0"/>
        <v>-14.2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41"/>
      <c r="Q25" s="34"/>
      <c r="R25" s="55">
        <f t="shared" si="1"/>
        <v>-9.1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41"/>
      <c r="AE25" s="34"/>
      <c r="AF25" s="55">
        <f t="shared" si="2"/>
        <v>-17.7</v>
      </c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"/>
      <c r="BE25" s="3"/>
      <c r="BF25" s="3"/>
      <c r="BH25" s="16">
        <v>5.82</v>
      </c>
      <c r="BI25" s="16">
        <f t="shared" si="3"/>
        <v>11.756400000000001</v>
      </c>
      <c r="BJ25" s="17"/>
      <c r="BK25" s="17"/>
      <c r="BP25" s="57">
        <f t="shared" si="4"/>
        <v>0.152</v>
      </c>
      <c r="BQ25" s="57">
        <f t="shared" si="10"/>
        <v>0.155</v>
      </c>
      <c r="BS25" s="47">
        <f t="shared" si="5"/>
        <v>0</v>
      </c>
      <c r="BT25" s="44">
        <v>0</v>
      </c>
      <c r="BV25" s="16" t="s">
        <v>233</v>
      </c>
      <c r="BW25" s="16" t="s">
        <v>233</v>
      </c>
      <c r="BX25" s="3">
        <f t="shared" si="11"/>
        <v>-14.2</v>
      </c>
      <c r="BY25" s="16" t="s">
        <v>233</v>
      </c>
      <c r="BZ25" s="16" t="s">
        <v>233</v>
      </c>
      <c r="CA25" s="16" t="s">
        <v>233</v>
      </c>
      <c r="CB25" s="16" t="s">
        <v>233</v>
      </c>
      <c r="CC25" s="16" t="s">
        <v>233</v>
      </c>
      <c r="CD25" s="16" t="s">
        <v>233</v>
      </c>
      <c r="CE25" s="16" t="s">
        <v>233</v>
      </c>
      <c r="CF25" s="1">
        <f t="shared" si="12"/>
        <v>-9.1</v>
      </c>
      <c r="CG25" s="16" t="s">
        <v>233</v>
      </c>
      <c r="CH25" s="16" t="s">
        <v>233</v>
      </c>
      <c r="CI25" s="16" t="s">
        <v>233</v>
      </c>
      <c r="CJ25" s="16" t="s">
        <v>233</v>
      </c>
      <c r="CK25" s="16" t="s">
        <v>233</v>
      </c>
      <c r="CL25" s="16" t="s">
        <v>233</v>
      </c>
      <c r="CM25" s="16" t="s">
        <v>233</v>
      </c>
      <c r="CN25" s="1">
        <f t="shared" si="13"/>
        <v>-17.7</v>
      </c>
      <c r="CO25" s="16" t="s">
        <v>233</v>
      </c>
      <c r="CP25" s="16" t="s">
        <v>233</v>
      </c>
      <c r="CQ25" s="16" t="s">
        <v>233</v>
      </c>
      <c r="CR25" s="16" t="s">
        <v>233</v>
      </c>
      <c r="CS25" s="16" t="s">
        <v>233</v>
      </c>
      <c r="CT25" s="16" t="s">
        <v>233</v>
      </c>
      <c r="CU25" s="16" t="s">
        <v>233</v>
      </c>
      <c r="CV25" s="18" t="s">
        <v>233</v>
      </c>
      <c r="CW25" s="1">
        <f>ROUND(PPTest!K25,1)</f>
        <v>0</v>
      </c>
      <c r="CX25" s="16" t="s">
        <v>233</v>
      </c>
      <c r="CY25" s="16" t="s">
        <v>233</v>
      </c>
      <c r="CZ25" s="20">
        <f t="shared" si="14"/>
        <v>0.152</v>
      </c>
      <c r="DA25" s="20">
        <f t="shared" si="15"/>
        <v>0.155</v>
      </c>
      <c r="DB25" s="16" t="s">
        <v>233</v>
      </c>
      <c r="DZ25" s="1">
        <v>-11.8</v>
      </c>
      <c r="EA25" s="1">
        <v>-9</v>
      </c>
      <c r="EB25" s="1">
        <v>-15.2</v>
      </c>
      <c r="EC25" s="1">
        <v>0.8</v>
      </c>
    </row>
    <row r="26" spans="1:133" x14ac:dyDescent="0.2">
      <c r="A26" s="40">
        <v>35084</v>
      </c>
      <c r="B26" s="34">
        <v>20</v>
      </c>
      <c r="C26" s="34"/>
      <c r="D26" s="34"/>
      <c r="E26" s="55">
        <f t="shared" si="0"/>
        <v>-13.3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41"/>
      <c r="Q26" s="34"/>
      <c r="R26" s="55">
        <f t="shared" si="1"/>
        <v>-8.3000000000000007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41"/>
      <c r="AE26" s="34"/>
      <c r="AF26" s="55">
        <f t="shared" si="2"/>
        <v>-16.5</v>
      </c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"/>
      <c r="BE26" s="3"/>
      <c r="BF26" s="3"/>
      <c r="BH26" s="16">
        <v>5.92</v>
      </c>
      <c r="BI26" s="16">
        <f t="shared" si="3"/>
        <v>11.958399999999999</v>
      </c>
      <c r="BJ26" s="17"/>
      <c r="BK26" s="17"/>
      <c r="BP26" s="57">
        <f t="shared" si="4"/>
        <v>0.16800000000000001</v>
      </c>
      <c r="BQ26" s="57">
        <f t="shared" si="10"/>
        <v>0.158</v>
      </c>
      <c r="BS26" s="47">
        <f t="shared" si="5"/>
        <v>0</v>
      </c>
      <c r="BT26" s="44">
        <v>0</v>
      </c>
      <c r="BV26" s="16" t="s">
        <v>233</v>
      </c>
      <c r="BW26" s="16" t="s">
        <v>233</v>
      </c>
      <c r="BX26" s="3">
        <f t="shared" si="11"/>
        <v>-13.3</v>
      </c>
      <c r="BY26" s="16" t="s">
        <v>233</v>
      </c>
      <c r="BZ26" s="16" t="s">
        <v>233</v>
      </c>
      <c r="CA26" s="16" t="s">
        <v>233</v>
      </c>
      <c r="CB26" s="16" t="s">
        <v>233</v>
      </c>
      <c r="CC26" s="16" t="s">
        <v>233</v>
      </c>
      <c r="CD26" s="16" t="s">
        <v>233</v>
      </c>
      <c r="CE26" s="16" t="s">
        <v>233</v>
      </c>
      <c r="CF26" s="1">
        <f t="shared" si="12"/>
        <v>-8.3000000000000007</v>
      </c>
      <c r="CG26" s="16" t="s">
        <v>233</v>
      </c>
      <c r="CH26" s="16" t="s">
        <v>233</v>
      </c>
      <c r="CI26" s="16" t="s">
        <v>233</v>
      </c>
      <c r="CJ26" s="16" t="s">
        <v>233</v>
      </c>
      <c r="CK26" s="16" t="s">
        <v>233</v>
      </c>
      <c r="CL26" s="16" t="s">
        <v>233</v>
      </c>
      <c r="CM26" s="16" t="s">
        <v>233</v>
      </c>
      <c r="CN26" s="1">
        <f t="shared" si="13"/>
        <v>-16.5</v>
      </c>
      <c r="CO26" s="16" t="s">
        <v>233</v>
      </c>
      <c r="CP26" s="16" t="s">
        <v>233</v>
      </c>
      <c r="CQ26" s="16" t="s">
        <v>233</v>
      </c>
      <c r="CR26" s="16" t="s">
        <v>233</v>
      </c>
      <c r="CS26" s="16" t="s">
        <v>233</v>
      </c>
      <c r="CT26" s="16" t="s">
        <v>233</v>
      </c>
      <c r="CU26" s="16" t="s">
        <v>233</v>
      </c>
      <c r="CV26" s="18" t="s">
        <v>233</v>
      </c>
      <c r="CW26" s="1">
        <f>ROUND(PPTest!K26,1)</f>
        <v>0</v>
      </c>
      <c r="CX26" s="16" t="s">
        <v>233</v>
      </c>
      <c r="CY26" s="16" t="s">
        <v>233</v>
      </c>
      <c r="CZ26" s="20">
        <f t="shared" si="14"/>
        <v>0.16800000000000001</v>
      </c>
      <c r="DA26" s="20">
        <f t="shared" si="15"/>
        <v>0.158</v>
      </c>
      <c r="DB26" s="16" t="s">
        <v>233</v>
      </c>
      <c r="DZ26" s="1">
        <v>-11</v>
      </c>
      <c r="EA26" s="1">
        <v>-8.1999999999999993</v>
      </c>
      <c r="EB26" s="1">
        <v>-14.1</v>
      </c>
      <c r="EC26" s="1">
        <v>13.4</v>
      </c>
    </row>
    <row r="27" spans="1:133" x14ac:dyDescent="0.2">
      <c r="A27" s="40">
        <v>35085</v>
      </c>
      <c r="B27" s="34">
        <v>21</v>
      </c>
      <c r="C27" s="34"/>
      <c r="D27" s="34"/>
      <c r="E27" s="55">
        <f t="shared" si="0"/>
        <v>-17.8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41"/>
      <c r="Q27" s="34"/>
      <c r="R27" s="55">
        <f t="shared" si="1"/>
        <v>-9.8000000000000007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41"/>
      <c r="AE27" s="34"/>
      <c r="AF27" s="55">
        <f t="shared" si="2"/>
        <v>-27.8</v>
      </c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"/>
      <c r="BE27" s="3"/>
      <c r="BF27" s="3"/>
      <c r="BH27" s="16">
        <v>6.02</v>
      </c>
      <c r="BI27" s="16">
        <f t="shared" si="3"/>
        <v>12.160399999999999</v>
      </c>
      <c r="BJ27" s="17"/>
      <c r="BK27" s="17"/>
      <c r="BP27" s="57">
        <f t="shared" si="4"/>
        <v>6.2E-2</v>
      </c>
      <c r="BQ27" s="57">
        <f t="shared" si="10"/>
        <v>0.22800000000000001</v>
      </c>
      <c r="BS27" s="47">
        <f t="shared" si="5"/>
        <v>1.5</v>
      </c>
      <c r="BT27" s="44">
        <v>1</v>
      </c>
      <c r="BV27" s="16" t="s">
        <v>233</v>
      </c>
      <c r="BW27" s="16" t="s">
        <v>233</v>
      </c>
      <c r="BX27" s="3">
        <f t="shared" si="11"/>
        <v>-17.8</v>
      </c>
      <c r="BY27" s="16" t="s">
        <v>233</v>
      </c>
      <c r="BZ27" s="16" t="s">
        <v>233</v>
      </c>
      <c r="CA27" s="16" t="s">
        <v>233</v>
      </c>
      <c r="CB27" s="16" t="s">
        <v>233</v>
      </c>
      <c r="CC27" s="16" t="s">
        <v>233</v>
      </c>
      <c r="CD27" s="16" t="s">
        <v>233</v>
      </c>
      <c r="CE27" s="16" t="s">
        <v>233</v>
      </c>
      <c r="CF27" s="1">
        <f t="shared" si="12"/>
        <v>-9.8000000000000007</v>
      </c>
      <c r="CG27" s="16" t="s">
        <v>233</v>
      </c>
      <c r="CH27" s="16" t="s">
        <v>233</v>
      </c>
      <c r="CI27" s="16" t="s">
        <v>233</v>
      </c>
      <c r="CJ27" s="16" t="s">
        <v>233</v>
      </c>
      <c r="CK27" s="16" t="s">
        <v>233</v>
      </c>
      <c r="CL27" s="16" t="s">
        <v>233</v>
      </c>
      <c r="CM27" s="16" t="s">
        <v>233</v>
      </c>
      <c r="CN27" s="1">
        <f t="shared" si="13"/>
        <v>-27.8</v>
      </c>
      <c r="CO27" s="16" t="s">
        <v>233</v>
      </c>
      <c r="CP27" s="16" t="s">
        <v>233</v>
      </c>
      <c r="CQ27" s="16" t="s">
        <v>233</v>
      </c>
      <c r="CR27" s="16" t="s">
        <v>233</v>
      </c>
      <c r="CS27" s="16" t="s">
        <v>233</v>
      </c>
      <c r="CT27" s="16" t="s">
        <v>233</v>
      </c>
      <c r="CU27" s="16" t="s">
        <v>233</v>
      </c>
      <c r="CV27" s="18" t="s">
        <v>233</v>
      </c>
      <c r="CW27" s="1">
        <f>ROUND(PPTest!K27,1)</f>
        <v>1.6</v>
      </c>
      <c r="CX27" s="16" t="s">
        <v>233</v>
      </c>
      <c r="CY27" s="16" t="s">
        <v>233</v>
      </c>
      <c r="CZ27" s="20">
        <f t="shared" si="14"/>
        <v>6.2E-2</v>
      </c>
      <c r="DA27" s="20">
        <f t="shared" si="15"/>
        <v>0.22800000000000001</v>
      </c>
      <c r="DB27" s="16" t="s">
        <v>233</v>
      </c>
      <c r="DZ27" s="1">
        <v>-14.8</v>
      </c>
      <c r="EA27" s="1">
        <v>-9.8000000000000007</v>
      </c>
      <c r="EB27" s="1">
        <v>-24.4</v>
      </c>
      <c r="EC27" s="1">
        <v>0</v>
      </c>
    </row>
    <row r="28" spans="1:133" x14ac:dyDescent="0.2">
      <c r="A28" s="40">
        <v>35086</v>
      </c>
      <c r="B28" s="34">
        <v>22</v>
      </c>
      <c r="C28" s="34"/>
      <c r="D28" s="34"/>
      <c r="E28" s="55">
        <f t="shared" si="0"/>
        <v>-14.8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41"/>
      <c r="Q28" s="34"/>
      <c r="R28" s="55">
        <f t="shared" si="1"/>
        <v>-7.2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41"/>
      <c r="AE28" s="34"/>
      <c r="AF28" s="55">
        <f t="shared" si="2"/>
        <v>-27.6</v>
      </c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"/>
      <c r="BE28" s="3"/>
      <c r="BF28" s="3"/>
      <c r="BH28" s="16">
        <v>6.13</v>
      </c>
      <c r="BI28" s="16">
        <f t="shared" si="3"/>
        <v>12.3826</v>
      </c>
      <c r="BJ28" s="17"/>
      <c r="BK28" s="17"/>
      <c r="BP28" s="57">
        <f t="shared" si="4"/>
        <v>6.3E-2</v>
      </c>
      <c r="BQ28" s="57">
        <f t="shared" si="10"/>
        <v>0.29299999999999998</v>
      </c>
      <c r="BS28" s="47">
        <f t="shared" si="5"/>
        <v>1.5</v>
      </c>
      <c r="BT28" s="44">
        <v>1</v>
      </c>
      <c r="BV28" s="16" t="s">
        <v>233</v>
      </c>
      <c r="BW28" s="16" t="s">
        <v>233</v>
      </c>
      <c r="BX28" s="3">
        <f t="shared" si="11"/>
        <v>-14.8</v>
      </c>
      <c r="BY28" s="16" t="s">
        <v>233</v>
      </c>
      <c r="BZ28" s="16" t="s">
        <v>233</v>
      </c>
      <c r="CA28" s="16" t="s">
        <v>233</v>
      </c>
      <c r="CB28" s="16" t="s">
        <v>233</v>
      </c>
      <c r="CC28" s="16" t="s">
        <v>233</v>
      </c>
      <c r="CD28" s="16" t="s">
        <v>233</v>
      </c>
      <c r="CE28" s="16" t="s">
        <v>233</v>
      </c>
      <c r="CF28" s="1">
        <f t="shared" si="12"/>
        <v>-7.2</v>
      </c>
      <c r="CG28" s="16" t="s">
        <v>233</v>
      </c>
      <c r="CH28" s="16" t="s">
        <v>233</v>
      </c>
      <c r="CI28" s="16" t="s">
        <v>233</v>
      </c>
      <c r="CJ28" s="16" t="s">
        <v>233</v>
      </c>
      <c r="CK28" s="16" t="s">
        <v>233</v>
      </c>
      <c r="CL28" s="16" t="s">
        <v>233</v>
      </c>
      <c r="CM28" s="16" t="s">
        <v>233</v>
      </c>
      <c r="CN28" s="1">
        <f t="shared" si="13"/>
        <v>-27.6</v>
      </c>
      <c r="CO28" s="16" t="s">
        <v>233</v>
      </c>
      <c r="CP28" s="16" t="s">
        <v>233</v>
      </c>
      <c r="CQ28" s="16" t="s">
        <v>233</v>
      </c>
      <c r="CR28" s="16" t="s">
        <v>233</v>
      </c>
      <c r="CS28" s="16" t="s">
        <v>233</v>
      </c>
      <c r="CT28" s="16" t="s">
        <v>233</v>
      </c>
      <c r="CU28" s="16" t="s">
        <v>233</v>
      </c>
      <c r="CV28" s="18" t="s">
        <v>233</v>
      </c>
      <c r="CW28" s="1">
        <f>ROUND(PPTest!K28,1)</f>
        <v>1.6</v>
      </c>
      <c r="CX28" s="16" t="s">
        <v>233</v>
      </c>
      <c r="CY28" s="16" t="s">
        <v>233</v>
      </c>
      <c r="CZ28" s="20">
        <f t="shared" si="14"/>
        <v>6.3E-2</v>
      </c>
      <c r="DA28" s="20">
        <f t="shared" si="15"/>
        <v>0.29299999999999998</v>
      </c>
      <c r="DB28" s="16" t="s">
        <v>233</v>
      </c>
      <c r="DZ28" s="1">
        <v>-12.3</v>
      </c>
      <c r="EA28" s="1">
        <v>-7</v>
      </c>
      <c r="EB28" s="1">
        <v>-24.2</v>
      </c>
      <c r="EC28" s="1">
        <v>3.6</v>
      </c>
    </row>
    <row r="29" spans="1:133" x14ac:dyDescent="0.2">
      <c r="A29" s="40">
        <v>35087</v>
      </c>
      <c r="B29" s="34">
        <v>23</v>
      </c>
      <c r="C29" s="34"/>
      <c r="D29" s="34"/>
      <c r="E29" s="55">
        <f t="shared" si="0"/>
        <v>-12.6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1"/>
      <c r="Q29" s="34"/>
      <c r="R29" s="55">
        <f t="shared" si="1"/>
        <v>-5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41"/>
      <c r="AE29" s="34"/>
      <c r="AF29" s="55">
        <f t="shared" si="2"/>
        <v>-15.1</v>
      </c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"/>
      <c r="BE29" s="3"/>
      <c r="BF29" s="3"/>
      <c r="BH29" s="16">
        <v>6.25</v>
      </c>
      <c r="BI29" s="16">
        <f t="shared" si="3"/>
        <v>12.625</v>
      </c>
      <c r="BJ29" s="17"/>
      <c r="BK29" s="17"/>
      <c r="BP29" s="57">
        <f t="shared" si="4"/>
        <v>0.189</v>
      </c>
      <c r="BQ29" s="57">
        <f t="shared" si="10"/>
        <v>0.23200000000000001</v>
      </c>
      <c r="BS29" s="47">
        <f t="shared" si="5"/>
        <v>6</v>
      </c>
      <c r="BT29" s="44">
        <v>4</v>
      </c>
      <c r="BV29" s="16" t="s">
        <v>233</v>
      </c>
      <c r="BW29" s="16" t="s">
        <v>233</v>
      </c>
      <c r="BX29" s="3">
        <f t="shared" si="11"/>
        <v>-12.6</v>
      </c>
      <c r="BY29" s="16" t="s">
        <v>233</v>
      </c>
      <c r="BZ29" s="16" t="s">
        <v>233</v>
      </c>
      <c r="CA29" s="16" t="s">
        <v>233</v>
      </c>
      <c r="CB29" s="16" t="s">
        <v>233</v>
      </c>
      <c r="CC29" s="16" t="s">
        <v>233</v>
      </c>
      <c r="CD29" s="16" t="s">
        <v>233</v>
      </c>
      <c r="CE29" s="16" t="s">
        <v>233</v>
      </c>
      <c r="CF29" s="1">
        <f t="shared" si="12"/>
        <v>-5</v>
      </c>
      <c r="CG29" s="16" t="s">
        <v>233</v>
      </c>
      <c r="CH29" s="16" t="s">
        <v>233</v>
      </c>
      <c r="CI29" s="16" t="s">
        <v>233</v>
      </c>
      <c r="CJ29" s="16" t="s">
        <v>233</v>
      </c>
      <c r="CK29" s="16" t="s">
        <v>233</v>
      </c>
      <c r="CL29" s="16" t="s">
        <v>233</v>
      </c>
      <c r="CM29" s="16" t="s">
        <v>233</v>
      </c>
      <c r="CN29" s="1">
        <f t="shared" si="13"/>
        <v>-15.1</v>
      </c>
      <c r="CO29" s="16" t="s">
        <v>233</v>
      </c>
      <c r="CP29" s="16" t="s">
        <v>233</v>
      </c>
      <c r="CQ29" s="16" t="s">
        <v>233</v>
      </c>
      <c r="CR29" s="16" t="s">
        <v>233</v>
      </c>
      <c r="CS29" s="16" t="s">
        <v>233</v>
      </c>
      <c r="CT29" s="16" t="s">
        <v>233</v>
      </c>
      <c r="CU29" s="16" t="s">
        <v>233</v>
      </c>
      <c r="CV29" s="18" t="s">
        <v>233</v>
      </c>
      <c r="CW29" s="1">
        <f>ROUND(PPTest!K29,1)</f>
        <v>6.3</v>
      </c>
      <c r="CX29" s="16" t="s">
        <v>233</v>
      </c>
      <c r="CY29" s="16" t="s">
        <v>233</v>
      </c>
      <c r="CZ29" s="20">
        <f t="shared" si="14"/>
        <v>0.189</v>
      </c>
      <c r="DA29" s="20">
        <f t="shared" si="15"/>
        <v>0.23200000000000001</v>
      </c>
      <c r="DB29" s="16" t="s">
        <v>233</v>
      </c>
      <c r="DZ29" s="1">
        <v>-10.4</v>
      </c>
      <c r="EA29" s="1">
        <v>-4.7</v>
      </c>
      <c r="EB29" s="1">
        <v>-12.8</v>
      </c>
      <c r="EC29" s="1">
        <v>5</v>
      </c>
    </row>
    <row r="30" spans="1:133" x14ac:dyDescent="0.2">
      <c r="A30" s="40">
        <v>35088</v>
      </c>
      <c r="B30" s="34">
        <v>24</v>
      </c>
      <c r="C30" s="34"/>
      <c r="D30" s="34"/>
      <c r="E30" s="55">
        <f t="shared" si="0"/>
        <v>-14.8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41"/>
      <c r="Q30" s="34"/>
      <c r="R30" s="55">
        <f t="shared" si="1"/>
        <v>-7.9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41"/>
      <c r="AE30" s="34"/>
      <c r="AF30" s="55">
        <f t="shared" si="2"/>
        <v>-24.2</v>
      </c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"/>
      <c r="BE30" s="3"/>
      <c r="BF30" s="3"/>
      <c r="BH30" s="16">
        <v>6.36</v>
      </c>
      <c r="BI30" s="16">
        <f t="shared" si="3"/>
        <v>12.847200000000001</v>
      </c>
      <c r="BJ30" s="17"/>
      <c r="BK30" s="17"/>
      <c r="BP30" s="57">
        <f t="shared" si="4"/>
        <v>8.5999999999999993E-2</v>
      </c>
      <c r="BQ30" s="57">
        <f t="shared" si="10"/>
        <v>0.251</v>
      </c>
      <c r="BS30" s="47">
        <f t="shared" si="5"/>
        <v>0</v>
      </c>
      <c r="BT30" s="44">
        <v>0</v>
      </c>
      <c r="BV30" s="16" t="s">
        <v>233</v>
      </c>
      <c r="BW30" s="16" t="s">
        <v>233</v>
      </c>
      <c r="BX30" s="3">
        <f t="shared" si="11"/>
        <v>-14.8</v>
      </c>
      <c r="BY30" s="16" t="s">
        <v>233</v>
      </c>
      <c r="BZ30" s="16" t="s">
        <v>233</v>
      </c>
      <c r="CA30" s="16" t="s">
        <v>233</v>
      </c>
      <c r="CB30" s="16" t="s">
        <v>233</v>
      </c>
      <c r="CC30" s="16" t="s">
        <v>233</v>
      </c>
      <c r="CD30" s="16" t="s">
        <v>233</v>
      </c>
      <c r="CE30" s="16" t="s">
        <v>233</v>
      </c>
      <c r="CF30" s="1">
        <f t="shared" si="12"/>
        <v>-7.9</v>
      </c>
      <c r="CG30" s="16" t="s">
        <v>233</v>
      </c>
      <c r="CH30" s="16" t="s">
        <v>233</v>
      </c>
      <c r="CI30" s="16" t="s">
        <v>233</v>
      </c>
      <c r="CJ30" s="16" t="s">
        <v>233</v>
      </c>
      <c r="CK30" s="16" t="s">
        <v>233</v>
      </c>
      <c r="CL30" s="16" t="s">
        <v>233</v>
      </c>
      <c r="CM30" s="16" t="s">
        <v>233</v>
      </c>
      <c r="CN30" s="1">
        <f t="shared" si="13"/>
        <v>-24.2</v>
      </c>
      <c r="CO30" s="16" t="s">
        <v>233</v>
      </c>
      <c r="CP30" s="16" t="s">
        <v>233</v>
      </c>
      <c r="CQ30" s="16" t="s">
        <v>233</v>
      </c>
      <c r="CR30" s="16" t="s">
        <v>233</v>
      </c>
      <c r="CS30" s="16" t="s">
        <v>233</v>
      </c>
      <c r="CT30" s="16" t="s">
        <v>233</v>
      </c>
      <c r="CU30" s="16" t="s">
        <v>233</v>
      </c>
      <c r="CV30" s="18" t="s">
        <v>233</v>
      </c>
      <c r="CW30" s="1">
        <f>ROUND(PPTest!K30,1)</f>
        <v>0</v>
      </c>
      <c r="CX30" s="16" t="s">
        <v>233</v>
      </c>
      <c r="CY30" s="16" t="s">
        <v>233</v>
      </c>
      <c r="CZ30" s="20">
        <f t="shared" si="14"/>
        <v>8.5999999999999993E-2</v>
      </c>
      <c r="DA30" s="20">
        <f t="shared" si="15"/>
        <v>0.251</v>
      </c>
      <c r="DB30" s="16" t="s">
        <v>233</v>
      </c>
      <c r="DZ30" s="1">
        <v>-12.3</v>
      </c>
      <c r="EA30" s="1">
        <v>-7.8</v>
      </c>
      <c r="EB30" s="1">
        <v>-21.1</v>
      </c>
      <c r="EC30" s="1">
        <v>0</v>
      </c>
    </row>
    <row r="31" spans="1:133" x14ac:dyDescent="0.2">
      <c r="A31" s="40">
        <v>35089</v>
      </c>
      <c r="B31" s="34">
        <v>25</v>
      </c>
      <c r="C31" s="34"/>
      <c r="D31" s="34"/>
      <c r="E31" s="55">
        <f t="shared" si="0"/>
        <v>-18.100000000000001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41"/>
      <c r="Q31" s="34"/>
      <c r="R31" s="55">
        <f t="shared" si="1"/>
        <v>-9.1999999999999993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41"/>
      <c r="AE31" s="34"/>
      <c r="AF31" s="55">
        <f t="shared" si="2"/>
        <v>-26.6</v>
      </c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"/>
      <c r="BE31" s="3"/>
      <c r="BF31" s="3"/>
      <c r="BH31" s="16">
        <v>6.48</v>
      </c>
      <c r="BI31" s="16">
        <f t="shared" si="3"/>
        <v>13.089600000000001</v>
      </c>
      <c r="BJ31" s="17"/>
      <c r="BK31" s="17"/>
      <c r="BP31" s="57">
        <f t="shared" si="4"/>
        <v>6.9000000000000006E-2</v>
      </c>
      <c r="BQ31" s="57">
        <f t="shared" si="10"/>
        <v>0.23499999999999999</v>
      </c>
      <c r="BS31" s="47">
        <f t="shared" si="5"/>
        <v>3</v>
      </c>
      <c r="BT31" s="44">
        <v>2</v>
      </c>
      <c r="BV31" s="16" t="s">
        <v>233</v>
      </c>
      <c r="BW31" s="16" t="s">
        <v>233</v>
      </c>
      <c r="BX31" s="3">
        <f t="shared" si="11"/>
        <v>-18.100000000000001</v>
      </c>
      <c r="BY31" s="16" t="s">
        <v>233</v>
      </c>
      <c r="BZ31" s="16" t="s">
        <v>233</v>
      </c>
      <c r="CA31" s="16" t="s">
        <v>233</v>
      </c>
      <c r="CB31" s="16" t="s">
        <v>233</v>
      </c>
      <c r="CC31" s="16" t="s">
        <v>233</v>
      </c>
      <c r="CD31" s="16" t="s">
        <v>233</v>
      </c>
      <c r="CE31" s="16" t="s">
        <v>233</v>
      </c>
      <c r="CF31" s="1">
        <f t="shared" si="12"/>
        <v>-9.1999999999999993</v>
      </c>
      <c r="CG31" s="16" t="s">
        <v>233</v>
      </c>
      <c r="CH31" s="16" t="s">
        <v>233</v>
      </c>
      <c r="CI31" s="16" t="s">
        <v>233</v>
      </c>
      <c r="CJ31" s="16" t="s">
        <v>233</v>
      </c>
      <c r="CK31" s="16" t="s">
        <v>233</v>
      </c>
      <c r="CL31" s="16" t="s">
        <v>233</v>
      </c>
      <c r="CM31" s="16" t="s">
        <v>233</v>
      </c>
      <c r="CN31" s="1">
        <f t="shared" si="13"/>
        <v>-26.6</v>
      </c>
      <c r="CO31" s="16" t="s">
        <v>233</v>
      </c>
      <c r="CP31" s="16" t="s">
        <v>233</v>
      </c>
      <c r="CQ31" s="16" t="s">
        <v>233</v>
      </c>
      <c r="CR31" s="16" t="s">
        <v>233</v>
      </c>
      <c r="CS31" s="16" t="s">
        <v>233</v>
      </c>
      <c r="CT31" s="16" t="s">
        <v>233</v>
      </c>
      <c r="CU31" s="16" t="s">
        <v>233</v>
      </c>
      <c r="CV31" s="18" t="s">
        <v>233</v>
      </c>
      <c r="CW31" s="1">
        <f>ROUND(PPTest!K31,1)</f>
        <v>3.2</v>
      </c>
      <c r="CX31" s="16" t="s">
        <v>233</v>
      </c>
      <c r="CY31" s="16" t="s">
        <v>233</v>
      </c>
      <c r="CZ31" s="20">
        <f t="shared" si="14"/>
        <v>6.9000000000000006E-2</v>
      </c>
      <c r="DA31" s="20">
        <f t="shared" si="15"/>
        <v>0.23499999999999999</v>
      </c>
      <c r="DB31" s="16" t="s">
        <v>233</v>
      </c>
      <c r="DZ31" s="1">
        <v>-15</v>
      </c>
      <c r="EA31" s="1">
        <v>-9.1999999999999993</v>
      </c>
      <c r="EB31" s="1">
        <v>-23.3</v>
      </c>
      <c r="EC31" s="1">
        <v>2</v>
      </c>
    </row>
    <row r="32" spans="1:133" x14ac:dyDescent="0.2">
      <c r="A32" s="40">
        <v>35090</v>
      </c>
      <c r="B32" s="34">
        <v>26</v>
      </c>
      <c r="C32" s="34"/>
      <c r="D32" s="34"/>
      <c r="E32" s="55">
        <f t="shared" si="0"/>
        <v>-15.6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41"/>
      <c r="Q32" s="34"/>
      <c r="R32" s="55">
        <f t="shared" si="1"/>
        <v>-5.0999999999999996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41"/>
      <c r="AE32" s="34"/>
      <c r="AF32" s="55">
        <f t="shared" si="2"/>
        <v>-25.1</v>
      </c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"/>
      <c r="BE32" s="3"/>
      <c r="BF32" s="3"/>
      <c r="BH32" s="16">
        <v>6.61</v>
      </c>
      <c r="BI32" s="16">
        <f t="shared" si="3"/>
        <v>13.352200000000002</v>
      </c>
      <c r="BJ32" s="17"/>
      <c r="BK32" s="17"/>
      <c r="BP32" s="57">
        <f t="shared" si="4"/>
        <v>7.9000000000000001E-2</v>
      </c>
      <c r="BQ32" s="57">
        <f t="shared" si="10"/>
        <v>0.33900000000000002</v>
      </c>
      <c r="BS32" s="47">
        <f t="shared" si="5"/>
        <v>1.5</v>
      </c>
      <c r="BT32" s="44">
        <v>1</v>
      </c>
      <c r="BV32" s="16" t="s">
        <v>233</v>
      </c>
      <c r="BW32" s="16" t="s">
        <v>233</v>
      </c>
      <c r="BX32" s="3">
        <f t="shared" si="11"/>
        <v>-15.6</v>
      </c>
      <c r="BY32" s="16" t="s">
        <v>233</v>
      </c>
      <c r="BZ32" s="16" t="s">
        <v>233</v>
      </c>
      <c r="CA32" s="16" t="s">
        <v>233</v>
      </c>
      <c r="CB32" s="16" t="s">
        <v>233</v>
      </c>
      <c r="CC32" s="16" t="s">
        <v>233</v>
      </c>
      <c r="CD32" s="16" t="s">
        <v>233</v>
      </c>
      <c r="CE32" s="16" t="s">
        <v>233</v>
      </c>
      <c r="CF32" s="1">
        <f t="shared" si="12"/>
        <v>-5.0999999999999996</v>
      </c>
      <c r="CG32" s="16" t="s">
        <v>233</v>
      </c>
      <c r="CH32" s="16" t="s">
        <v>233</v>
      </c>
      <c r="CI32" s="16" t="s">
        <v>233</v>
      </c>
      <c r="CJ32" s="16" t="s">
        <v>233</v>
      </c>
      <c r="CK32" s="16" t="s">
        <v>233</v>
      </c>
      <c r="CL32" s="16" t="s">
        <v>233</v>
      </c>
      <c r="CM32" s="16" t="s">
        <v>233</v>
      </c>
      <c r="CN32" s="1">
        <f t="shared" si="13"/>
        <v>-25.1</v>
      </c>
      <c r="CO32" s="16" t="s">
        <v>233</v>
      </c>
      <c r="CP32" s="16" t="s">
        <v>233</v>
      </c>
      <c r="CQ32" s="16" t="s">
        <v>233</v>
      </c>
      <c r="CR32" s="16" t="s">
        <v>233</v>
      </c>
      <c r="CS32" s="16" t="s">
        <v>233</v>
      </c>
      <c r="CT32" s="16" t="s">
        <v>233</v>
      </c>
      <c r="CU32" s="16" t="s">
        <v>233</v>
      </c>
      <c r="CV32" s="18" t="s">
        <v>233</v>
      </c>
      <c r="CW32" s="1">
        <f>ROUND(PPTest!K32,1)</f>
        <v>1.6</v>
      </c>
      <c r="CX32" s="16" t="s">
        <v>233</v>
      </c>
      <c r="CY32" s="16" t="s">
        <v>233</v>
      </c>
      <c r="CZ32" s="20">
        <f t="shared" si="14"/>
        <v>7.9000000000000001E-2</v>
      </c>
      <c r="DA32" s="20">
        <f t="shared" si="15"/>
        <v>0.33900000000000002</v>
      </c>
      <c r="DB32" s="16" t="s">
        <v>233</v>
      </c>
      <c r="DZ32" s="1">
        <v>-12.9</v>
      </c>
      <c r="EA32" s="1">
        <v>-4.8</v>
      </c>
      <c r="EB32" s="1">
        <v>-21.9</v>
      </c>
      <c r="EC32" s="1">
        <v>2</v>
      </c>
    </row>
    <row r="33" spans="1:133" x14ac:dyDescent="0.2">
      <c r="A33" s="40">
        <v>35091</v>
      </c>
      <c r="B33" s="34">
        <v>27</v>
      </c>
      <c r="C33" s="34"/>
      <c r="D33" s="34"/>
      <c r="E33" s="55">
        <f t="shared" si="0"/>
        <v>-17.7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41"/>
      <c r="Q33" s="34"/>
      <c r="R33" s="55">
        <f t="shared" si="1"/>
        <v>-11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41"/>
      <c r="AE33" s="34"/>
      <c r="AF33" s="55">
        <f t="shared" si="2"/>
        <v>-24.7</v>
      </c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"/>
      <c r="BE33" s="3"/>
      <c r="BF33" s="3"/>
      <c r="BH33" s="16">
        <v>6.74</v>
      </c>
      <c r="BI33" s="16">
        <f t="shared" si="3"/>
        <v>13.614800000000001</v>
      </c>
      <c r="BJ33" s="17"/>
      <c r="BK33" s="17"/>
      <c r="BP33" s="57">
        <f t="shared" si="4"/>
        <v>8.2000000000000003E-2</v>
      </c>
      <c r="BQ33" s="57">
        <f t="shared" si="10"/>
        <v>0.182</v>
      </c>
      <c r="BS33" s="47">
        <f t="shared" si="5"/>
        <v>0</v>
      </c>
      <c r="BT33" s="44">
        <v>0</v>
      </c>
      <c r="BV33" s="16" t="s">
        <v>233</v>
      </c>
      <c r="BW33" s="16" t="s">
        <v>233</v>
      </c>
      <c r="BX33" s="3">
        <f t="shared" si="11"/>
        <v>-17.7</v>
      </c>
      <c r="BY33" s="16" t="s">
        <v>233</v>
      </c>
      <c r="BZ33" s="16" t="s">
        <v>233</v>
      </c>
      <c r="CA33" s="16" t="s">
        <v>233</v>
      </c>
      <c r="CB33" s="16" t="s">
        <v>233</v>
      </c>
      <c r="CC33" s="16" t="s">
        <v>233</v>
      </c>
      <c r="CD33" s="16" t="s">
        <v>233</v>
      </c>
      <c r="CE33" s="16" t="s">
        <v>233</v>
      </c>
      <c r="CF33" s="1">
        <f t="shared" si="12"/>
        <v>-11</v>
      </c>
      <c r="CG33" s="16" t="s">
        <v>233</v>
      </c>
      <c r="CH33" s="16" t="s">
        <v>233</v>
      </c>
      <c r="CI33" s="16" t="s">
        <v>233</v>
      </c>
      <c r="CJ33" s="16" t="s">
        <v>233</v>
      </c>
      <c r="CK33" s="16" t="s">
        <v>233</v>
      </c>
      <c r="CL33" s="16" t="s">
        <v>233</v>
      </c>
      <c r="CM33" s="16" t="s">
        <v>233</v>
      </c>
      <c r="CN33" s="1">
        <f t="shared" si="13"/>
        <v>-24.7</v>
      </c>
      <c r="CO33" s="16" t="s">
        <v>233</v>
      </c>
      <c r="CP33" s="16" t="s">
        <v>233</v>
      </c>
      <c r="CQ33" s="16" t="s">
        <v>233</v>
      </c>
      <c r="CR33" s="16" t="s">
        <v>233</v>
      </c>
      <c r="CS33" s="16" t="s">
        <v>233</v>
      </c>
      <c r="CT33" s="16" t="s">
        <v>233</v>
      </c>
      <c r="CU33" s="16" t="s">
        <v>233</v>
      </c>
      <c r="CV33" s="18" t="s">
        <v>233</v>
      </c>
      <c r="CW33" s="1">
        <f>ROUND(PPTest!K33,1)</f>
        <v>0</v>
      </c>
      <c r="CX33" s="16" t="s">
        <v>233</v>
      </c>
      <c r="CY33" s="16" t="s">
        <v>233</v>
      </c>
      <c r="CZ33" s="20">
        <f t="shared" si="14"/>
        <v>8.2000000000000003E-2</v>
      </c>
      <c r="DA33" s="20">
        <f t="shared" si="15"/>
        <v>0.182</v>
      </c>
      <c r="DB33" s="16" t="s">
        <v>233</v>
      </c>
      <c r="DZ33" s="1">
        <v>-14.7</v>
      </c>
      <c r="EA33" s="1">
        <v>-11.1</v>
      </c>
      <c r="EB33" s="1">
        <v>-21.5</v>
      </c>
      <c r="EC33" s="1">
        <v>5</v>
      </c>
    </row>
    <row r="34" spans="1:133" x14ac:dyDescent="0.2">
      <c r="A34" s="40">
        <v>35092</v>
      </c>
      <c r="B34" s="34">
        <v>28</v>
      </c>
      <c r="C34" s="34"/>
      <c r="D34" s="34"/>
      <c r="E34" s="55">
        <f t="shared" si="0"/>
        <v>-28.8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41"/>
      <c r="Q34" s="34"/>
      <c r="R34" s="55">
        <f t="shared" si="1"/>
        <v>-17.100000000000001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41"/>
      <c r="AE34" s="34"/>
      <c r="AF34" s="55">
        <f t="shared" si="2"/>
        <v>-34.1</v>
      </c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"/>
      <c r="BE34" s="3"/>
      <c r="BF34" s="3"/>
      <c r="BH34" s="16">
        <v>6.87</v>
      </c>
      <c r="BI34" s="16">
        <f t="shared" si="3"/>
        <v>13.8774</v>
      </c>
      <c r="BJ34" s="17"/>
      <c r="BK34" s="17"/>
      <c r="BP34" s="57">
        <f t="shared" si="4"/>
        <v>3.4000000000000002E-2</v>
      </c>
      <c r="BQ34" s="57">
        <f t="shared" si="10"/>
        <v>0.126</v>
      </c>
      <c r="BS34" s="47">
        <f t="shared" si="5"/>
        <v>3</v>
      </c>
      <c r="BT34" s="44">
        <v>2</v>
      </c>
      <c r="BV34" s="16" t="s">
        <v>233</v>
      </c>
      <c r="BW34" s="16" t="s">
        <v>233</v>
      </c>
      <c r="BX34" s="3">
        <f t="shared" si="11"/>
        <v>-28.8</v>
      </c>
      <c r="BY34" s="16" t="s">
        <v>233</v>
      </c>
      <c r="BZ34" s="16" t="s">
        <v>233</v>
      </c>
      <c r="CA34" s="16" t="s">
        <v>233</v>
      </c>
      <c r="CB34" s="16" t="s">
        <v>233</v>
      </c>
      <c r="CC34" s="16" t="s">
        <v>233</v>
      </c>
      <c r="CD34" s="16" t="s">
        <v>233</v>
      </c>
      <c r="CE34" s="16" t="s">
        <v>233</v>
      </c>
      <c r="CF34" s="1">
        <f t="shared" si="12"/>
        <v>-17.100000000000001</v>
      </c>
      <c r="CG34" s="16" t="s">
        <v>233</v>
      </c>
      <c r="CH34" s="16" t="s">
        <v>233</v>
      </c>
      <c r="CI34" s="16" t="s">
        <v>233</v>
      </c>
      <c r="CJ34" s="16" t="s">
        <v>233</v>
      </c>
      <c r="CK34" s="16" t="s">
        <v>233</v>
      </c>
      <c r="CL34" s="16" t="s">
        <v>233</v>
      </c>
      <c r="CM34" s="16" t="s">
        <v>233</v>
      </c>
      <c r="CN34" s="1">
        <f t="shared" si="13"/>
        <v>-34.1</v>
      </c>
      <c r="CO34" s="16" t="s">
        <v>233</v>
      </c>
      <c r="CP34" s="16" t="s">
        <v>233</v>
      </c>
      <c r="CQ34" s="16" t="s">
        <v>233</v>
      </c>
      <c r="CR34" s="16" t="s">
        <v>233</v>
      </c>
      <c r="CS34" s="16" t="s">
        <v>233</v>
      </c>
      <c r="CT34" s="16" t="s">
        <v>233</v>
      </c>
      <c r="CU34" s="16" t="s">
        <v>233</v>
      </c>
      <c r="CV34" s="18" t="s">
        <v>233</v>
      </c>
      <c r="CW34" s="1">
        <f>ROUND(PPTest!K34,1)</f>
        <v>3.2</v>
      </c>
      <c r="CX34" s="16" t="s">
        <v>233</v>
      </c>
      <c r="CY34" s="16" t="s">
        <v>233</v>
      </c>
      <c r="CZ34" s="20">
        <f t="shared" si="14"/>
        <v>3.4000000000000002E-2</v>
      </c>
      <c r="DA34" s="20">
        <f t="shared" si="15"/>
        <v>0.126</v>
      </c>
      <c r="DB34" s="16" t="s">
        <v>233</v>
      </c>
      <c r="DZ34" s="1">
        <v>-24</v>
      </c>
      <c r="EA34" s="1">
        <v>-17.5</v>
      </c>
      <c r="EB34" s="1">
        <v>-30.1</v>
      </c>
      <c r="EC34" s="1">
        <v>1</v>
      </c>
    </row>
    <row r="35" spans="1:133" x14ac:dyDescent="0.2">
      <c r="A35" s="40">
        <v>35093</v>
      </c>
      <c r="B35" s="34">
        <v>29</v>
      </c>
      <c r="C35" s="34"/>
      <c r="D35" s="34"/>
      <c r="E35" s="55">
        <f t="shared" si="0"/>
        <v>-33.4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41"/>
      <c r="Q35" s="34"/>
      <c r="R35" s="55">
        <f t="shared" si="1"/>
        <v>-20.8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41"/>
      <c r="AE35" s="34"/>
      <c r="AF35" s="55">
        <f t="shared" si="2"/>
        <v>-37</v>
      </c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"/>
      <c r="BE35" s="3"/>
      <c r="BF35" s="3"/>
      <c r="BH35" s="16">
        <v>7</v>
      </c>
      <c r="BI35" s="16">
        <f t="shared" si="3"/>
        <v>14.14</v>
      </c>
      <c r="BJ35" s="17"/>
      <c r="BK35" s="17"/>
      <c r="BP35" s="57">
        <f t="shared" si="4"/>
        <v>2.5000000000000001E-2</v>
      </c>
      <c r="BQ35" s="57">
        <f t="shared" si="10"/>
        <v>9.0999999999999998E-2</v>
      </c>
      <c r="BS35" s="47">
        <f t="shared" si="5"/>
        <v>0</v>
      </c>
      <c r="BT35" s="44">
        <v>0</v>
      </c>
      <c r="BV35" s="16" t="s">
        <v>233</v>
      </c>
      <c r="BW35" s="16" t="s">
        <v>233</v>
      </c>
      <c r="BX35" s="3">
        <f t="shared" si="11"/>
        <v>-33.4</v>
      </c>
      <c r="BY35" s="16" t="s">
        <v>233</v>
      </c>
      <c r="BZ35" s="16" t="s">
        <v>233</v>
      </c>
      <c r="CA35" s="16" t="s">
        <v>233</v>
      </c>
      <c r="CB35" s="16" t="s">
        <v>233</v>
      </c>
      <c r="CC35" s="16" t="s">
        <v>233</v>
      </c>
      <c r="CD35" s="16" t="s">
        <v>233</v>
      </c>
      <c r="CE35" s="16" t="s">
        <v>233</v>
      </c>
      <c r="CF35" s="1">
        <f t="shared" si="12"/>
        <v>-20.8</v>
      </c>
      <c r="CG35" s="16" t="s">
        <v>233</v>
      </c>
      <c r="CH35" s="16" t="s">
        <v>233</v>
      </c>
      <c r="CI35" s="16" t="s">
        <v>233</v>
      </c>
      <c r="CJ35" s="16" t="s">
        <v>233</v>
      </c>
      <c r="CK35" s="16" t="s">
        <v>233</v>
      </c>
      <c r="CL35" s="16" t="s">
        <v>233</v>
      </c>
      <c r="CM35" s="16" t="s">
        <v>233</v>
      </c>
      <c r="CN35" s="1">
        <f t="shared" si="13"/>
        <v>-37</v>
      </c>
      <c r="CO35" s="16" t="s">
        <v>233</v>
      </c>
      <c r="CP35" s="16" t="s">
        <v>233</v>
      </c>
      <c r="CQ35" s="16" t="s">
        <v>233</v>
      </c>
      <c r="CR35" s="16" t="s">
        <v>233</v>
      </c>
      <c r="CS35" s="16" t="s">
        <v>233</v>
      </c>
      <c r="CT35" s="16" t="s">
        <v>233</v>
      </c>
      <c r="CU35" s="16" t="s">
        <v>233</v>
      </c>
      <c r="CV35" s="18" t="s">
        <v>233</v>
      </c>
      <c r="CW35" s="1">
        <f>ROUND(PPTest!K35,1)</f>
        <v>0</v>
      </c>
      <c r="CX35" s="16" t="s">
        <v>233</v>
      </c>
      <c r="CY35" s="16" t="s">
        <v>233</v>
      </c>
      <c r="CZ35" s="20">
        <f t="shared" si="14"/>
        <v>2.5000000000000001E-2</v>
      </c>
      <c r="DA35" s="20">
        <f t="shared" si="15"/>
        <v>9.0999999999999998E-2</v>
      </c>
      <c r="DB35" s="16" t="s">
        <v>233</v>
      </c>
      <c r="DZ35" s="1">
        <v>-27.9</v>
      </c>
      <c r="EA35" s="1">
        <v>-21.4</v>
      </c>
      <c r="EB35" s="1">
        <v>-32.700000000000003</v>
      </c>
      <c r="EC35" s="1">
        <v>0</v>
      </c>
    </row>
    <row r="36" spans="1:133" x14ac:dyDescent="0.2">
      <c r="A36" s="40">
        <v>35094</v>
      </c>
      <c r="B36" s="34">
        <v>30</v>
      </c>
      <c r="C36" s="34"/>
      <c r="D36" s="34"/>
      <c r="E36" s="55">
        <f t="shared" si="0"/>
        <v>-26.9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41"/>
      <c r="Q36" s="34"/>
      <c r="R36" s="55">
        <f t="shared" si="1"/>
        <v>-8.3000000000000007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41"/>
      <c r="AE36" s="34"/>
      <c r="AF36" s="55">
        <f t="shared" si="2"/>
        <v>-41</v>
      </c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"/>
      <c r="BE36" s="3"/>
      <c r="BF36" s="3"/>
      <c r="BH36" s="16">
        <v>7.14</v>
      </c>
      <c r="BI36" s="16">
        <f t="shared" si="3"/>
        <v>14.422799999999999</v>
      </c>
      <c r="BJ36" s="17"/>
      <c r="BK36" s="17"/>
      <c r="BP36" s="57">
        <f t="shared" si="4"/>
        <v>1.7000000000000001E-2</v>
      </c>
      <c r="BQ36" s="57">
        <f t="shared" si="10"/>
        <v>0.309</v>
      </c>
      <c r="BS36" s="47">
        <f t="shared" si="5"/>
        <v>0</v>
      </c>
      <c r="BT36" s="44">
        <v>0</v>
      </c>
      <c r="BV36" s="16" t="s">
        <v>233</v>
      </c>
      <c r="BW36" s="16" t="s">
        <v>233</v>
      </c>
      <c r="BX36" s="3">
        <f t="shared" si="11"/>
        <v>-26.9</v>
      </c>
      <c r="BY36" s="16" t="s">
        <v>233</v>
      </c>
      <c r="BZ36" s="16" t="s">
        <v>233</v>
      </c>
      <c r="CA36" s="16" t="s">
        <v>233</v>
      </c>
      <c r="CB36" s="16" t="s">
        <v>233</v>
      </c>
      <c r="CC36" s="16" t="s">
        <v>233</v>
      </c>
      <c r="CD36" s="16" t="s">
        <v>233</v>
      </c>
      <c r="CE36" s="16" t="s">
        <v>233</v>
      </c>
      <c r="CF36" s="1">
        <f t="shared" si="12"/>
        <v>-8.3000000000000007</v>
      </c>
      <c r="CG36" s="16" t="s">
        <v>233</v>
      </c>
      <c r="CH36" s="16" t="s">
        <v>233</v>
      </c>
      <c r="CI36" s="16" t="s">
        <v>233</v>
      </c>
      <c r="CJ36" s="16" t="s">
        <v>233</v>
      </c>
      <c r="CK36" s="16" t="s">
        <v>233</v>
      </c>
      <c r="CL36" s="16" t="s">
        <v>233</v>
      </c>
      <c r="CM36" s="16" t="s">
        <v>233</v>
      </c>
      <c r="CN36" s="1">
        <f t="shared" si="13"/>
        <v>-41</v>
      </c>
      <c r="CO36" s="16" t="s">
        <v>233</v>
      </c>
      <c r="CP36" s="16" t="s">
        <v>233</v>
      </c>
      <c r="CQ36" s="16" t="s">
        <v>233</v>
      </c>
      <c r="CR36" s="16" t="s">
        <v>233</v>
      </c>
      <c r="CS36" s="16" t="s">
        <v>233</v>
      </c>
      <c r="CT36" s="16" t="s">
        <v>233</v>
      </c>
      <c r="CU36" s="16" t="s">
        <v>233</v>
      </c>
      <c r="CV36" s="18" t="s">
        <v>233</v>
      </c>
      <c r="CW36" s="1">
        <f>ROUND(PPTest!K36,1)</f>
        <v>0</v>
      </c>
      <c r="CX36" s="16" t="s">
        <v>233</v>
      </c>
      <c r="CY36" s="16" t="s">
        <v>233</v>
      </c>
      <c r="CZ36" s="20">
        <f t="shared" si="14"/>
        <v>1.7000000000000001E-2</v>
      </c>
      <c r="DA36" s="20">
        <f t="shared" si="15"/>
        <v>0.309</v>
      </c>
      <c r="DB36" s="16" t="s">
        <v>233</v>
      </c>
      <c r="DZ36" s="1">
        <v>-22.4</v>
      </c>
      <c r="EA36" s="1">
        <v>-8.1999999999999993</v>
      </c>
      <c r="EB36" s="1">
        <v>-36.4</v>
      </c>
      <c r="EC36" s="1">
        <v>0</v>
      </c>
    </row>
    <row r="37" spans="1:133" x14ac:dyDescent="0.2">
      <c r="A37" s="40">
        <v>35095</v>
      </c>
      <c r="B37" s="34">
        <v>31</v>
      </c>
      <c r="C37" s="34"/>
      <c r="D37" s="34"/>
      <c r="E37" s="55">
        <f t="shared" si="0"/>
        <v>-19.7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41"/>
      <c r="Q37" s="34"/>
      <c r="R37" s="55">
        <f t="shared" si="1"/>
        <v>-6.3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41"/>
      <c r="AE37" s="34"/>
      <c r="AF37" s="55">
        <f t="shared" si="2"/>
        <v>-25</v>
      </c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"/>
      <c r="BE37" s="3"/>
      <c r="BF37" s="3"/>
      <c r="BH37" s="16">
        <v>7.28</v>
      </c>
      <c r="BI37" s="16">
        <f t="shared" si="3"/>
        <v>14.7056</v>
      </c>
      <c r="BJ37" s="17"/>
      <c r="BK37" s="17"/>
      <c r="BP37" s="57">
        <f t="shared" si="4"/>
        <v>0.08</v>
      </c>
      <c r="BQ37" s="57">
        <f t="shared" si="10"/>
        <v>0.30099999999999999</v>
      </c>
      <c r="BS37" s="47">
        <f t="shared" si="5"/>
        <v>0</v>
      </c>
      <c r="BT37" s="46">
        <v>0</v>
      </c>
      <c r="BV37" s="16" t="s">
        <v>233</v>
      </c>
      <c r="BW37" s="16" t="s">
        <v>233</v>
      </c>
      <c r="BX37" s="3">
        <f t="shared" si="11"/>
        <v>-19.7</v>
      </c>
      <c r="BY37" s="16" t="s">
        <v>233</v>
      </c>
      <c r="BZ37" s="16" t="s">
        <v>233</v>
      </c>
      <c r="CA37" s="16" t="s">
        <v>233</v>
      </c>
      <c r="CB37" s="16" t="s">
        <v>233</v>
      </c>
      <c r="CC37" s="16" t="s">
        <v>233</v>
      </c>
      <c r="CD37" s="16" t="s">
        <v>233</v>
      </c>
      <c r="CE37" s="16" t="s">
        <v>233</v>
      </c>
      <c r="CF37" s="1">
        <f t="shared" si="12"/>
        <v>-6.3</v>
      </c>
      <c r="CG37" s="16" t="s">
        <v>233</v>
      </c>
      <c r="CH37" s="16" t="s">
        <v>233</v>
      </c>
      <c r="CI37" s="16" t="s">
        <v>233</v>
      </c>
      <c r="CJ37" s="16" t="s">
        <v>233</v>
      </c>
      <c r="CK37" s="16" t="s">
        <v>233</v>
      </c>
      <c r="CL37" s="16" t="s">
        <v>233</v>
      </c>
      <c r="CM37" s="16" t="s">
        <v>233</v>
      </c>
      <c r="CN37" s="1">
        <f t="shared" si="13"/>
        <v>-25</v>
      </c>
      <c r="CO37" s="16" t="s">
        <v>233</v>
      </c>
      <c r="CP37" s="16" t="s">
        <v>233</v>
      </c>
      <c r="CQ37" s="16" t="s">
        <v>233</v>
      </c>
      <c r="CR37" s="16" t="s">
        <v>233</v>
      </c>
      <c r="CS37" s="16" t="s">
        <v>233</v>
      </c>
      <c r="CT37" s="16" t="s">
        <v>233</v>
      </c>
      <c r="CU37" s="16" t="s">
        <v>233</v>
      </c>
      <c r="CV37" s="18" t="s">
        <v>233</v>
      </c>
      <c r="CW37" s="1">
        <f>ROUND(PPTest!K37,1)</f>
        <v>0</v>
      </c>
      <c r="CX37" s="16" t="s">
        <v>233</v>
      </c>
      <c r="CY37" s="16" t="s">
        <v>233</v>
      </c>
      <c r="CZ37" s="20">
        <f t="shared" si="14"/>
        <v>0.08</v>
      </c>
      <c r="DA37" s="20">
        <f t="shared" si="15"/>
        <v>0.30099999999999999</v>
      </c>
      <c r="DB37" s="16" t="s">
        <v>233</v>
      </c>
      <c r="DZ37" s="1">
        <v>-16.399999999999999</v>
      </c>
      <c r="EA37" s="1">
        <v>-6.1</v>
      </c>
      <c r="EB37" s="1">
        <v>-21.8</v>
      </c>
      <c r="EC37" s="1">
        <v>0</v>
      </c>
    </row>
    <row r="38" spans="1:133" x14ac:dyDescent="0.2">
      <c r="A38" s="40">
        <v>35096</v>
      </c>
      <c r="B38" s="34">
        <v>32</v>
      </c>
      <c r="C38" s="34"/>
      <c r="D38" s="34"/>
      <c r="E38" s="55">
        <f t="shared" si="0"/>
        <v>-20.2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41"/>
      <c r="Q38" s="34"/>
      <c r="R38" s="55">
        <f t="shared" si="1"/>
        <v>-9.4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41"/>
      <c r="AE38" s="34"/>
      <c r="AF38" s="55">
        <f t="shared" si="2"/>
        <v>-31</v>
      </c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"/>
      <c r="BE38" s="3"/>
      <c r="BF38" s="3"/>
      <c r="BH38" s="16">
        <v>7.43</v>
      </c>
      <c r="BI38" s="16">
        <f t="shared" si="3"/>
        <v>15.008599999999999</v>
      </c>
      <c r="BJ38" s="17"/>
      <c r="BK38" s="17"/>
      <c r="BP38" s="57">
        <f t="shared" si="4"/>
        <v>4.5999999999999999E-2</v>
      </c>
      <c r="BQ38" s="57">
        <f t="shared" si="10"/>
        <v>0.253</v>
      </c>
      <c r="BS38" s="47">
        <f t="shared" si="5"/>
        <v>0</v>
      </c>
      <c r="BT38" s="44">
        <v>0</v>
      </c>
      <c r="BV38" s="16" t="s">
        <v>233</v>
      </c>
      <c r="BW38" s="16" t="s">
        <v>233</v>
      </c>
      <c r="BX38" s="3">
        <f t="shared" si="11"/>
        <v>-20.2</v>
      </c>
      <c r="BY38" s="16" t="s">
        <v>233</v>
      </c>
      <c r="BZ38" s="16" t="s">
        <v>233</v>
      </c>
      <c r="CA38" s="16" t="s">
        <v>233</v>
      </c>
      <c r="CB38" s="16" t="s">
        <v>233</v>
      </c>
      <c r="CC38" s="16" t="s">
        <v>233</v>
      </c>
      <c r="CD38" s="16" t="s">
        <v>233</v>
      </c>
      <c r="CE38" s="16" t="s">
        <v>233</v>
      </c>
      <c r="CF38" s="1">
        <f t="shared" si="12"/>
        <v>-9.4</v>
      </c>
      <c r="CG38" s="16" t="s">
        <v>233</v>
      </c>
      <c r="CH38" s="16" t="s">
        <v>233</v>
      </c>
      <c r="CI38" s="16" t="s">
        <v>233</v>
      </c>
      <c r="CJ38" s="16" t="s">
        <v>233</v>
      </c>
      <c r="CK38" s="16" t="s">
        <v>233</v>
      </c>
      <c r="CL38" s="16" t="s">
        <v>233</v>
      </c>
      <c r="CM38" s="16" t="s">
        <v>233</v>
      </c>
      <c r="CN38" s="1">
        <f t="shared" si="13"/>
        <v>-31</v>
      </c>
      <c r="CO38" s="16" t="s">
        <v>233</v>
      </c>
      <c r="CP38" s="16" t="s">
        <v>233</v>
      </c>
      <c r="CQ38" s="16" t="s">
        <v>233</v>
      </c>
      <c r="CR38" s="16" t="s">
        <v>233</v>
      </c>
      <c r="CS38" s="16" t="s">
        <v>233</v>
      </c>
      <c r="CT38" s="16" t="s">
        <v>233</v>
      </c>
      <c r="CU38" s="16" t="s">
        <v>233</v>
      </c>
      <c r="CV38" s="18" t="s">
        <v>233</v>
      </c>
      <c r="CW38" s="1">
        <f>ROUND(PPTest!K38,1)</f>
        <v>0</v>
      </c>
      <c r="CX38" s="16" t="s">
        <v>233</v>
      </c>
      <c r="CY38" s="16" t="s">
        <v>233</v>
      </c>
      <c r="CZ38" s="20">
        <f t="shared" si="14"/>
        <v>4.5999999999999999E-2</v>
      </c>
      <c r="DA38" s="20">
        <f t="shared" si="15"/>
        <v>0.253</v>
      </c>
      <c r="DB38" s="16" t="s">
        <v>233</v>
      </c>
      <c r="DZ38" s="1">
        <v>-16.8</v>
      </c>
      <c r="EA38" s="1">
        <v>-9.4</v>
      </c>
      <c r="EB38" s="1">
        <v>-27.3</v>
      </c>
      <c r="EC38" s="1">
        <v>0</v>
      </c>
    </row>
    <row r="39" spans="1:133" x14ac:dyDescent="0.2">
      <c r="A39" s="40">
        <v>35097</v>
      </c>
      <c r="B39" s="34">
        <v>33</v>
      </c>
      <c r="C39" s="34"/>
      <c r="D39" s="34"/>
      <c r="E39" s="55">
        <f t="shared" si="0"/>
        <v>-22.5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41"/>
      <c r="Q39" s="34"/>
      <c r="R39" s="55">
        <f t="shared" si="1"/>
        <v>-7.9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41"/>
      <c r="AE39" s="34"/>
      <c r="AF39" s="55">
        <f t="shared" si="2"/>
        <v>-33.1</v>
      </c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"/>
      <c r="BE39" s="3"/>
      <c r="BF39" s="3"/>
      <c r="BH39" s="16">
        <v>7.59</v>
      </c>
      <c r="BI39" s="16">
        <f t="shared" ref="BI39:BI70" si="16">BH39*$BI$1</f>
        <v>15.331799999999999</v>
      </c>
      <c r="BJ39" s="17"/>
      <c r="BK39" s="17"/>
      <c r="BP39" s="57">
        <f t="shared" si="4"/>
        <v>3.6999999999999998E-2</v>
      </c>
      <c r="BQ39" s="57">
        <f t="shared" si="10"/>
        <v>0.3</v>
      </c>
      <c r="BS39" s="47">
        <f t="shared" si="5"/>
        <v>0</v>
      </c>
      <c r="BT39" s="44">
        <v>0</v>
      </c>
      <c r="BV39" s="16" t="s">
        <v>233</v>
      </c>
      <c r="BW39" s="16" t="s">
        <v>233</v>
      </c>
      <c r="BX39" s="3">
        <f t="shared" si="11"/>
        <v>-22.5</v>
      </c>
      <c r="BY39" s="16" t="s">
        <v>233</v>
      </c>
      <c r="BZ39" s="16" t="s">
        <v>233</v>
      </c>
      <c r="CA39" s="16" t="s">
        <v>233</v>
      </c>
      <c r="CB39" s="16" t="s">
        <v>233</v>
      </c>
      <c r="CC39" s="16" t="s">
        <v>233</v>
      </c>
      <c r="CD39" s="16" t="s">
        <v>233</v>
      </c>
      <c r="CE39" s="16" t="s">
        <v>233</v>
      </c>
      <c r="CF39" s="1">
        <f t="shared" si="12"/>
        <v>-7.9</v>
      </c>
      <c r="CG39" s="16" t="s">
        <v>233</v>
      </c>
      <c r="CH39" s="16" t="s">
        <v>233</v>
      </c>
      <c r="CI39" s="16" t="s">
        <v>233</v>
      </c>
      <c r="CJ39" s="16" t="s">
        <v>233</v>
      </c>
      <c r="CK39" s="16" t="s">
        <v>233</v>
      </c>
      <c r="CL39" s="16" t="s">
        <v>233</v>
      </c>
      <c r="CM39" s="16" t="s">
        <v>233</v>
      </c>
      <c r="CN39" s="1">
        <f t="shared" si="13"/>
        <v>-33.1</v>
      </c>
      <c r="CO39" s="16" t="s">
        <v>233</v>
      </c>
      <c r="CP39" s="16" t="s">
        <v>233</v>
      </c>
      <c r="CQ39" s="16" t="s">
        <v>233</v>
      </c>
      <c r="CR39" s="16" t="s">
        <v>233</v>
      </c>
      <c r="CS39" s="16" t="s">
        <v>233</v>
      </c>
      <c r="CT39" s="16" t="s">
        <v>233</v>
      </c>
      <c r="CU39" s="16" t="s">
        <v>233</v>
      </c>
      <c r="CV39" s="18" t="s">
        <v>233</v>
      </c>
      <c r="CW39" s="1">
        <f>ROUND(PPTest!K39,1)</f>
        <v>0</v>
      </c>
      <c r="CX39" s="16" t="s">
        <v>233</v>
      </c>
      <c r="CY39" s="16" t="s">
        <v>233</v>
      </c>
      <c r="CZ39" s="20">
        <f t="shared" si="14"/>
        <v>3.6999999999999998E-2</v>
      </c>
      <c r="DA39" s="20">
        <f t="shared" si="15"/>
        <v>0.3</v>
      </c>
      <c r="DB39" s="16" t="s">
        <v>233</v>
      </c>
      <c r="DZ39" s="1">
        <v>-18.7</v>
      </c>
      <c r="EA39" s="1">
        <v>-7.8</v>
      </c>
      <c r="EB39" s="1">
        <v>-29.2</v>
      </c>
      <c r="EC39" s="1">
        <v>0</v>
      </c>
    </row>
    <row r="40" spans="1:133" x14ac:dyDescent="0.2">
      <c r="A40" s="40">
        <v>35098</v>
      </c>
      <c r="B40" s="34">
        <v>34</v>
      </c>
      <c r="C40" s="34"/>
      <c r="D40" s="34"/>
      <c r="E40" s="55">
        <f t="shared" si="0"/>
        <v>-18.8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41"/>
      <c r="Q40" s="34"/>
      <c r="R40" s="55">
        <f t="shared" si="1"/>
        <v>-11.2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41"/>
      <c r="AE40" s="34"/>
      <c r="AF40" s="55">
        <f t="shared" si="2"/>
        <v>-25.2</v>
      </c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"/>
      <c r="BE40" s="3"/>
      <c r="BF40" s="3"/>
      <c r="BH40" s="16">
        <v>7.74</v>
      </c>
      <c r="BI40" s="16">
        <f t="shared" si="16"/>
        <v>15.6348</v>
      </c>
      <c r="BJ40" s="17"/>
      <c r="BK40" s="17"/>
      <c r="BP40" s="57">
        <f t="shared" si="4"/>
        <v>7.8E-2</v>
      </c>
      <c r="BQ40" s="57">
        <f t="shared" si="10"/>
        <v>0.18099999999999999</v>
      </c>
      <c r="BS40" s="47">
        <f t="shared" si="5"/>
        <v>0</v>
      </c>
      <c r="BT40" s="44">
        <v>0</v>
      </c>
      <c r="BV40" s="16" t="s">
        <v>233</v>
      </c>
      <c r="BW40" s="16" t="s">
        <v>233</v>
      </c>
      <c r="BX40" s="3">
        <f t="shared" si="11"/>
        <v>-18.8</v>
      </c>
      <c r="BY40" s="16" t="s">
        <v>233</v>
      </c>
      <c r="BZ40" s="16" t="s">
        <v>233</v>
      </c>
      <c r="CA40" s="16" t="s">
        <v>233</v>
      </c>
      <c r="CB40" s="16" t="s">
        <v>233</v>
      </c>
      <c r="CC40" s="16" t="s">
        <v>233</v>
      </c>
      <c r="CD40" s="16" t="s">
        <v>233</v>
      </c>
      <c r="CE40" s="16" t="s">
        <v>233</v>
      </c>
      <c r="CF40" s="1">
        <f t="shared" si="12"/>
        <v>-11.2</v>
      </c>
      <c r="CG40" s="16" t="s">
        <v>233</v>
      </c>
      <c r="CH40" s="16" t="s">
        <v>233</v>
      </c>
      <c r="CI40" s="16" t="s">
        <v>233</v>
      </c>
      <c r="CJ40" s="16" t="s">
        <v>233</v>
      </c>
      <c r="CK40" s="16" t="s">
        <v>233</v>
      </c>
      <c r="CL40" s="16" t="s">
        <v>233</v>
      </c>
      <c r="CM40" s="16" t="s">
        <v>233</v>
      </c>
      <c r="CN40" s="1">
        <f t="shared" si="13"/>
        <v>-25.2</v>
      </c>
      <c r="CO40" s="16" t="s">
        <v>233</v>
      </c>
      <c r="CP40" s="16" t="s">
        <v>233</v>
      </c>
      <c r="CQ40" s="16" t="s">
        <v>233</v>
      </c>
      <c r="CR40" s="16" t="s">
        <v>233</v>
      </c>
      <c r="CS40" s="16" t="s">
        <v>233</v>
      </c>
      <c r="CT40" s="16" t="s">
        <v>233</v>
      </c>
      <c r="CU40" s="16" t="s">
        <v>233</v>
      </c>
      <c r="CV40" s="18" t="s">
        <v>233</v>
      </c>
      <c r="CW40" s="1">
        <f>ROUND(PPTest!K40,1)</f>
        <v>0</v>
      </c>
      <c r="CX40" s="16" t="s">
        <v>233</v>
      </c>
      <c r="CY40" s="16" t="s">
        <v>233</v>
      </c>
      <c r="CZ40" s="20">
        <f t="shared" si="14"/>
        <v>7.8E-2</v>
      </c>
      <c r="DA40" s="20">
        <f t="shared" si="15"/>
        <v>0.18099999999999999</v>
      </c>
      <c r="DB40" s="16" t="s">
        <v>233</v>
      </c>
      <c r="DZ40" s="1">
        <v>-15.6</v>
      </c>
      <c r="EA40" s="1">
        <v>-11.3</v>
      </c>
      <c r="EB40" s="1">
        <v>-22</v>
      </c>
      <c r="EC40" s="1">
        <v>7.6</v>
      </c>
    </row>
    <row r="41" spans="1:133" x14ac:dyDescent="0.2">
      <c r="A41" s="40">
        <v>35099</v>
      </c>
      <c r="B41" s="34">
        <v>35</v>
      </c>
      <c r="C41" s="34"/>
      <c r="D41" s="34"/>
      <c r="E41" s="55">
        <f t="shared" si="0"/>
        <v>-13.3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41"/>
      <c r="Q41" s="34"/>
      <c r="R41" s="55">
        <f t="shared" si="1"/>
        <v>-5.4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41"/>
      <c r="AE41" s="34"/>
      <c r="AF41" s="55">
        <f t="shared" si="2"/>
        <v>-17.7</v>
      </c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"/>
      <c r="BE41" s="3"/>
      <c r="BF41" s="3"/>
      <c r="BH41" s="16">
        <v>7.9</v>
      </c>
      <c r="BI41" s="16">
        <f t="shared" si="16"/>
        <v>15.958</v>
      </c>
      <c r="BJ41" s="17"/>
      <c r="BK41" s="17"/>
      <c r="BP41" s="57">
        <f t="shared" si="4"/>
        <v>0.152</v>
      </c>
      <c r="BQ41" s="57">
        <f t="shared" si="10"/>
        <v>0.25600000000000001</v>
      </c>
      <c r="BS41" s="47">
        <f t="shared" si="5"/>
        <v>6</v>
      </c>
      <c r="BT41" s="44">
        <v>4</v>
      </c>
      <c r="BV41" s="16" t="s">
        <v>233</v>
      </c>
      <c r="BW41" s="16" t="s">
        <v>233</v>
      </c>
      <c r="BX41" s="3">
        <f t="shared" si="11"/>
        <v>-13.3</v>
      </c>
      <c r="BY41" s="16" t="s">
        <v>233</v>
      </c>
      <c r="BZ41" s="16" t="s">
        <v>233</v>
      </c>
      <c r="CA41" s="16" t="s">
        <v>233</v>
      </c>
      <c r="CB41" s="16" t="s">
        <v>233</v>
      </c>
      <c r="CC41" s="16" t="s">
        <v>233</v>
      </c>
      <c r="CD41" s="16" t="s">
        <v>233</v>
      </c>
      <c r="CE41" s="16" t="s">
        <v>233</v>
      </c>
      <c r="CF41" s="1">
        <f t="shared" si="12"/>
        <v>-5.4</v>
      </c>
      <c r="CG41" s="16" t="s">
        <v>233</v>
      </c>
      <c r="CH41" s="16" t="s">
        <v>233</v>
      </c>
      <c r="CI41" s="16" t="s">
        <v>233</v>
      </c>
      <c r="CJ41" s="16" t="s">
        <v>233</v>
      </c>
      <c r="CK41" s="16" t="s">
        <v>233</v>
      </c>
      <c r="CL41" s="16" t="s">
        <v>233</v>
      </c>
      <c r="CM41" s="16" t="s">
        <v>233</v>
      </c>
      <c r="CN41" s="1">
        <f t="shared" si="13"/>
        <v>-17.7</v>
      </c>
      <c r="CO41" s="16" t="s">
        <v>233</v>
      </c>
      <c r="CP41" s="16" t="s">
        <v>233</v>
      </c>
      <c r="CQ41" s="16" t="s">
        <v>233</v>
      </c>
      <c r="CR41" s="16" t="s">
        <v>233</v>
      </c>
      <c r="CS41" s="16" t="s">
        <v>233</v>
      </c>
      <c r="CT41" s="16" t="s">
        <v>233</v>
      </c>
      <c r="CU41" s="16" t="s">
        <v>233</v>
      </c>
      <c r="CV41" s="18" t="s">
        <v>233</v>
      </c>
      <c r="CW41" s="1">
        <f>ROUND(PPTest!K41,1)</f>
        <v>6.3</v>
      </c>
      <c r="CX41" s="16" t="s">
        <v>233</v>
      </c>
      <c r="CY41" s="16" t="s">
        <v>233</v>
      </c>
      <c r="CZ41" s="20">
        <f t="shared" si="14"/>
        <v>0.152</v>
      </c>
      <c r="DA41" s="20">
        <f t="shared" si="15"/>
        <v>0.25600000000000001</v>
      </c>
      <c r="DB41" s="16" t="s">
        <v>233</v>
      </c>
      <c r="DZ41" s="1">
        <v>-11</v>
      </c>
      <c r="EA41" s="1">
        <v>-5.2</v>
      </c>
      <c r="EB41" s="1">
        <v>-15.2</v>
      </c>
      <c r="EC41" s="1">
        <v>1</v>
      </c>
    </row>
    <row r="42" spans="1:133" x14ac:dyDescent="0.2">
      <c r="A42" s="40">
        <v>35100</v>
      </c>
      <c r="B42" s="34">
        <v>36</v>
      </c>
      <c r="C42" s="34"/>
      <c r="D42" s="34"/>
      <c r="E42" s="55">
        <f t="shared" si="0"/>
        <v>-4.5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41"/>
      <c r="Q42" s="34"/>
      <c r="R42" s="55">
        <f t="shared" si="1"/>
        <v>0.2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41"/>
      <c r="AE42" s="34"/>
      <c r="AF42" s="55">
        <f t="shared" si="2"/>
        <v>-9.8000000000000007</v>
      </c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"/>
      <c r="BE42" s="3"/>
      <c r="BF42" s="3"/>
      <c r="BH42" s="16">
        <v>8.06</v>
      </c>
      <c r="BI42" s="16">
        <f t="shared" si="16"/>
        <v>16.281200000000002</v>
      </c>
      <c r="BJ42" s="17"/>
      <c r="BK42" s="17"/>
      <c r="BP42" s="57">
        <f t="shared" si="4"/>
        <v>0.28999999999999998</v>
      </c>
      <c r="BQ42" s="57">
        <f t="shared" si="10"/>
        <v>0.32900000000000001</v>
      </c>
      <c r="BS42" s="47">
        <f t="shared" si="5"/>
        <v>3</v>
      </c>
      <c r="BT42" s="44">
        <v>2</v>
      </c>
      <c r="BV42" s="16" t="s">
        <v>233</v>
      </c>
      <c r="BW42" s="16" t="s">
        <v>233</v>
      </c>
      <c r="BX42" s="3">
        <f t="shared" si="11"/>
        <v>-4.5</v>
      </c>
      <c r="BY42" s="16" t="s">
        <v>233</v>
      </c>
      <c r="BZ42" s="16" t="s">
        <v>233</v>
      </c>
      <c r="CA42" s="16" t="s">
        <v>233</v>
      </c>
      <c r="CB42" s="16" t="s">
        <v>233</v>
      </c>
      <c r="CC42" s="16" t="s">
        <v>233</v>
      </c>
      <c r="CD42" s="16" t="s">
        <v>233</v>
      </c>
      <c r="CE42" s="16" t="s">
        <v>233</v>
      </c>
      <c r="CF42" s="1">
        <f t="shared" si="12"/>
        <v>0.2</v>
      </c>
      <c r="CG42" s="16" t="s">
        <v>233</v>
      </c>
      <c r="CH42" s="16" t="s">
        <v>233</v>
      </c>
      <c r="CI42" s="16" t="s">
        <v>233</v>
      </c>
      <c r="CJ42" s="16" t="s">
        <v>233</v>
      </c>
      <c r="CK42" s="16" t="s">
        <v>233</v>
      </c>
      <c r="CL42" s="16" t="s">
        <v>233</v>
      </c>
      <c r="CM42" s="16" t="s">
        <v>233</v>
      </c>
      <c r="CN42" s="1">
        <f t="shared" si="13"/>
        <v>-9.8000000000000007</v>
      </c>
      <c r="CO42" s="16" t="s">
        <v>233</v>
      </c>
      <c r="CP42" s="16" t="s">
        <v>233</v>
      </c>
      <c r="CQ42" s="16" t="s">
        <v>233</v>
      </c>
      <c r="CR42" s="16" t="s">
        <v>233</v>
      </c>
      <c r="CS42" s="16" t="s">
        <v>233</v>
      </c>
      <c r="CT42" s="16" t="s">
        <v>233</v>
      </c>
      <c r="CU42" s="16" t="s">
        <v>233</v>
      </c>
      <c r="CV42" s="18" t="s">
        <v>233</v>
      </c>
      <c r="CW42" s="1">
        <f>ROUND(PPTest!K42,1)</f>
        <v>3.2</v>
      </c>
      <c r="CX42" s="16" t="s">
        <v>233</v>
      </c>
      <c r="CY42" s="16" t="s">
        <v>233</v>
      </c>
      <c r="CZ42" s="20">
        <f t="shared" si="14"/>
        <v>0.28999999999999998</v>
      </c>
      <c r="DA42" s="20">
        <f t="shared" si="15"/>
        <v>0.32900000000000001</v>
      </c>
      <c r="DB42" s="16" t="s">
        <v>233</v>
      </c>
      <c r="DZ42" s="1">
        <v>-3.6</v>
      </c>
      <c r="EA42" s="1">
        <v>0.7</v>
      </c>
      <c r="EB42" s="1">
        <v>-8</v>
      </c>
      <c r="EC42" s="1">
        <v>4</v>
      </c>
    </row>
    <row r="43" spans="1:133" x14ac:dyDescent="0.2">
      <c r="A43" s="40">
        <v>35101</v>
      </c>
      <c r="B43" s="34">
        <v>37</v>
      </c>
      <c r="C43" s="34"/>
      <c r="D43" s="34"/>
      <c r="E43" s="55">
        <f t="shared" si="0"/>
        <v>-3.3</v>
      </c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41"/>
      <c r="Q43" s="34"/>
      <c r="R43" s="55">
        <f t="shared" si="1"/>
        <v>0.5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41"/>
      <c r="AE43" s="34"/>
      <c r="AF43" s="55">
        <f t="shared" si="2"/>
        <v>-8</v>
      </c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"/>
      <c r="BE43" s="3"/>
      <c r="BF43" s="3"/>
      <c r="BH43" s="16">
        <v>8.23</v>
      </c>
      <c r="BI43" s="16">
        <f t="shared" si="16"/>
        <v>16.624600000000001</v>
      </c>
      <c r="BJ43" s="17"/>
      <c r="BK43" s="17"/>
      <c r="BP43" s="57">
        <f t="shared" si="4"/>
        <v>0.33400000000000002</v>
      </c>
      <c r="BQ43" s="57">
        <f t="shared" si="10"/>
        <v>0.29899999999999999</v>
      </c>
      <c r="BS43" s="47">
        <f t="shared" si="5"/>
        <v>4.5</v>
      </c>
      <c r="BT43" s="44">
        <v>3</v>
      </c>
      <c r="BV43" s="16" t="s">
        <v>233</v>
      </c>
      <c r="BW43" s="16" t="s">
        <v>233</v>
      </c>
      <c r="BX43" s="3">
        <f t="shared" si="11"/>
        <v>-3.3</v>
      </c>
      <c r="BY43" s="16" t="s">
        <v>233</v>
      </c>
      <c r="BZ43" s="16" t="s">
        <v>233</v>
      </c>
      <c r="CA43" s="16" t="s">
        <v>233</v>
      </c>
      <c r="CB43" s="16" t="s">
        <v>233</v>
      </c>
      <c r="CC43" s="16" t="s">
        <v>233</v>
      </c>
      <c r="CD43" s="16" t="s">
        <v>233</v>
      </c>
      <c r="CE43" s="16" t="s">
        <v>233</v>
      </c>
      <c r="CF43" s="1">
        <f t="shared" si="12"/>
        <v>0.5</v>
      </c>
      <c r="CG43" s="16" t="s">
        <v>233</v>
      </c>
      <c r="CH43" s="16" t="s">
        <v>233</v>
      </c>
      <c r="CI43" s="16" t="s">
        <v>233</v>
      </c>
      <c r="CJ43" s="16" t="s">
        <v>233</v>
      </c>
      <c r="CK43" s="16" t="s">
        <v>233</v>
      </c>
      <c r="CL43" s="16" t="s">
        <v>233</v>
      </c>
      <c r="CM43" s="16" t="s">
        <v>233</v>
      </c>
      <c r="CN43" s="1">
        <f t="shared" si="13"/>
        <v>-8</v>
      </c>
      <c r="CO43" s="16" t="s">
        <v>233</v>
      </c>
      <c r="CP43" s="16" t="s">
        <v>233</v>
      </c>
      <c r="CQ43" s="16" t="s">
        <v>233</v>
      </c>
      <c r="CR43" s="16" t="s">
        <v>233</v>
      </c>
      <c r="CS43" s="16" t="s">
        <v>233</v>
      </c>
      <c r="CT43" s="16" t="s">
        <v>233</v>
      </c>
      <c r="CU43" s="16" t="s">
        <v>233</v>
      </c>
      <c r="CV43" s="18" t="s">
        <v>233</v>
      </c>
      <c r="CW43" s="1">
        <f>ROUND(PPTest!K43,1)</f>
        <v>4.7</v>
      </c>
      <c r="CX43" s="16" t="s">
        <v>233</v>
      </c>
      <c r="CY43" s="16" t="s">
        <v>233</v>
      </c>
      <c r="CZ43" s="20">
        <f t="shared" si="14"/>
        <v>0.33400000000000002</v>
      </c>
      <c r="DA43" s="20">
        <f t="shared" si="15"/>
        <v>0.29899999999999999</v>
      </c>
      <c r="DB43" s="16" t="s">
        <v>233</v>
      </c>
      <c r="DZ43" s="1">
        <v>-2.6</v>
      </c>
      <c r="EA43" s="1">
        <v>1</v>
      </c>
      <c r="EB43" s="1">
        <v>-6.4</v>
      </c>
      <c r="EC43" s="1">
        <v>5.2</v>
      </c>
    </row>
    <row r="44" spans="1:133" x14ac:dyDescent="0.2">
      <c r="A44" s="40">
        <v>35102</v>
      </c>
      <c r="B44" s="34">
        <v>38</v>
      </c>
      <c r="C44" s="34"/>
      <c r="D44" s="34"/>
      <c r="E44" s="55">
        <f t="shared" si="0"/>
        <v>-1.2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41"/>
      <c r="Q44" s="34"/>
      <c r="R44" s="55">
        <f t="shared" si="1"/>
        <v>0.4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41"/>
      <c r="AE44" s="34"/>
      <c r="AF44" s="55">
        <f t="shared" si="2"/>
        <v>-3</v>
      </c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"/>
      <c r="BE44" s="3"/>
      <c r="BF44" s="3"/>
      <c r="BH44" s="16">
        <v>8.4</v>
      </c>
      <c r="BI44" s="16">
        <f t="shared" si="16"/>
        <v>16.968</v>
      </c>
      <c r="BJ44" s="17"/>
      <c r="BK44" s="17"/>
      <c r="BP44" s="57">
        <f t="shared" si="4"/>
        <v>0.48899999999999999</v>
      </c>
      <c r="BQ44" s="57">
        <f t="shared" si="10"/>
        <v>0.14000000000000001</v>
      </c>
      <c r="BS44" s="47">
        <f t="shared" si="5"/>
        <v>4.5</v>
      </c>
      <c r="BT44" s="44">
        <v>3</v>
      </c>
      <c r="BV44" s="16" t="s">
        <v>233</v>
      </c>
      <c r="BW44" s="16" t="s">
        <v>233</v>
      </c>
      <c r="BX44" s="3">
        <f t="shared" si="11"/>
        <v>-1.2</v>
      </c>
      <c r="BY44" s="16" t="s">
        <v>233</v>
      </c>
      <c r="BZ44" s="16" t="s">
        <v>233</v>
      </c>
      <c r="CA44" s="16" t="s">
        <v>233</v>
      </c>
      <c r="CB44" s="16" t="s">
        <v>233</v>
      </c>
      <c r="CC44" s="16" t="s">
        <v>233</v>
      </c>
      <c r="CD44" s="16" t="s">
        <v>233</v>
      </c>
      <c r="CE44" s="16" t="s">
        <v>233</v>
      </c>
      <c r="CF44" s="1">
        <f t="shared" si="12"/>
        <v>0.4</v>
      </c>
      <c r="CG44" s="16" t="s">
        <v>233</v>
      </c>
      <c r="CH44" s="16" t="s">
        <v>233</v>
      </c>
      <c r="CI44" s="16" t="s">
        <v>233</v>
      </c>
      <c r="CJ44" s="16" t="s">
        <v>233</v>
      </c>
      <c r="CK44" s="16" t="s">
        <v>233</v>
      </c>
      <c r="CL44" s="16" t="s">
        <v>233</v>
      </c>
      <c r="CM44" s="16" t="s">
        <v>233</v>
      </c>
      <c r="CN44" s="1">
        <f t="shared" si="13"/>
        <v>-3</v>
      </c>
      <c r="CO44" s="16" t="s">
        <v>233</v>
      </c>
      <c r="CP44" s="16" t="s">
        <v>233</v>
      </c>
      <c r="CQ44" s="16" t="s">
        <v>233</v>
      </c>
      <c r="CR44" s="16" t="s">
        <v>233</v>
      </c>
      <c r="CS44" s="16" t="s">
        <v>233</v>
      </c>
      <c r="CT44" s="16" t="s">
        <v>233</v>
      </c>
      <c r="CU44" s="16" t="s">
        <v>233</v>
      </c>
      <c r="CV44" s="18" t="s">
        <v>233</v>
      </c>
      <c r="CW44" s="1">
        <f>ROUND(PPTest!K44,1)</f>
        <v>4.7</v>
      </c>
      <c r="CX44" s="16" t="s">
        <v>233</v>
      </c>
      <c r="CY44" s="16" t="s">
        <v>233</v>
      </c>
      <c r="CZ44" s="20">
        <f t="shared" si="14"/>
        <v>0.48899999999999999</v>
      </c>
      <c r="DA44" s="20">
        <f t="shared" si="15"/>
        <v>0.14000000000000001</v>
      </c>
      <c r="DB44" s="16" t="s">
        <v>233</v>
      </c>
      <c r="DZ44" s="1">
        <v>-0.8</v>
      </c>
      <c r="EA44" s="1">
        <v>0.9</v>
      </c>
      <c r="EB44" s="1">
        <v>-1.8</v>
      </c>
      <c r="EC44" s="1">
        <v>9</v>
      </c>
    </row>
    <row r="45" spans="1:133" x14ac:dyDescent="0.2">
      <c r="A45" s="40">
        <v>35103</v>
      </c>
      <c r="B45" s="34">
        <v>39</v>
      </c>
      <c r="C45" s="34"/>
      <c r="D45" s="34"/>
      <c r="E45" s="55">
        <f t="shared" si="0"/>
        <v>-0.4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41"/>
      <c r="Q45" s="34"/>
      <c r="R45" s="55">
        <f t="shared" si="1"/>
        <v>0.9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41"/>
      <c r="AE45" s="34"/>
      <c r="AF45" s="55">
        <f t="shared" si="2"/>
        <v>-3.1</v>
      </c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"/>
      <c r="BE45" s="3"/>
      <c r="BF45" s="3"/>
      <c r="BH45" s="16">
        <v>8.57</v>
      </c>
      <c r="BI45" s="16">
        <f t="shared" si="16"/>
        <v>17.311399999999999</v>
      </c>
      <c r="BJ45" s="17"/>
      <c r="BK45" s="17"/>
      <c r="BP45" s="57">
        <f t="shared" si="4"/>
        <v>0.48599999999999999</v>
      </c>
      <c r="BQ45" s="57">
        <f t="shared" si="10"/>
        <v>0.16600000000000001</v>
      </c>
      <c r="BS45" s="47">
        <f t="shared" si="5"/>
        <v>13.5</v>
      </c>
      <c r="BT45" s="44">
        <v>9</v>
      </c>
      <c r="BV45" s="16" t="s">
        <v>233</v>
      </c>
      <c r="BW45" s="16" t="s">
        <v>233</v>
      </c>
      <c r="BX45" s="3">
        <f t="shared" si="11"/>
        <v>-0.4</v>
      </c>
      <c r="BY45" s="16" t="s">
        <v>233</v>
      </c>
      <c r="BZ45" s="16" t="s">
        <v>233</v>
      </c>
      <c r="CA45" s="16" t="s">
        <v>233</v>
      </c>
      <c r="CB45" s="16" t="s">
        <v>233</v>
      </c>
      <c r="CC45" s="16" t="s">
        <v>233</v>
      </c>
      <c r="CD45" s="16" t="s">
        <v>233</v>
      </c>
      <c r="CE45" s="16" t="s">
        <v>233</v>
      </c>
      <c r="CF45" s="1">
        <f t="shared" si="12"/>
        <v>0.9</v>
      </c>
      <c r="CG45" s="16" t="s">
        <v>233</v>
      </c>
      <c r="CH45" s="16" t="s">
        <v>233</v>
      </c>
      <c r="CI45" s="16" t="s">
        <v>233</v>
      </c>
      <c r="CJ45" s="16" t="s">
        <v>233</v>
      </c>
      <c r="CK45" s="16" t="s">
        <v>233</v>
      </c>
      <c r="CL45" s="16" t="s">
        <v>233</v>
      </c>
      <c r="CM45" s="16" t="s">
        <v>233</v>
      </c>
      <c r="CN45" s="1">
        <f t="shared" si="13"/>
        <v>-3.1</v>
      </c>
      <c r="CO45" s="16" t="s">
        <v>233</v>
      </c>
      <c r="CP45" s="16" t="s">
        <v>233</v>
      </c>
      <c r="CQ45" s="16" t="s">
        <v>233</v>
      </c>
      <c r="CR45" s="16" t="s">
        <v>233</v>
      </c>
      <c r="CS45" s="16" t="s">
        <v>233</v>
      </c>
      <c r="CT45" s="16" t="s">
        <v>233</v>
      </c>
      <c r="CU45" s="16" t="s">
        <v>233</v>
      </c>
      <c r="CV45" s="18" t="s">
        <v>233</v>
      </c>
      <c r="CW45" s="1">
        <f>ROUND(PPTest!K45,1)</f>
        <v>14.2</v>
      </c>
      <c r="CX45" s="16" t="s">
        <v>233</v>
      </c>
      <c r="CY45" s="16" t="s">
        <v>233</v>
      </c>
      <c r="CZ45" s="20">
        <f t="shared" si="14"/>
        <v>0.48599999999999999</v>
      </c>
      <c r="DA45" s="20">
        <f t="shared" si="15"/>
        <v>0.16600000000000001</v>
      </c>
      <c r="DB45" s="16" t="s">
        <v>233</v>
      </c>
      <c r="DZ45" s="1">
        <v>-0.2</v>
      </c>
      <c r="EA45" s="1">
        <v>1.5</v>
      </c>
      <c r="EB45" s="1">
        <v>-1.9</v>
      </c>
      <c r="EC45" s="1">
        <v>17.7</v>
      </c>
    </row>
    <row r="46" spans="1:133" x14ac:dyDescent="0.2">
      <c r="A46" s="40">
        <v>35104</v>
      </c>
      <c r="B46" s="34">
        <v>40</v>
      </c>
      <c r="C46" s="34"/>
      <c r="D46" s="34"/>
      <c r="E46" s="55">
        <f t="shared" si="0"/>
        <v>-8.9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41"/>
      <c r="Q46" s="34"/>
      <c r="R46" s="55">
        <f t="shared" si="1"/>
        <v>-0.2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41"/>
      <c r="AE46" s="34"/>
      <c r="AF46" s="55">
        <f t="shared" si="2"/>
        <v>-18.8</v>
      </c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"/>
      <c r="BE46" s="3"/>
      <c r="BF46" s="3"/>
      <c r="BH46" s="16">
        <v>8.75</v>
      </c>
      <c r="BI46" s="16">
        <f t="shared" si="16"/>
        <v>17.675000000000001</v>
      </c>
      <c r="BJ46" s="17"/>
      <c r="BK46" s="17"/>
      <c r="BP46" s="57">
        <f t="shared" si="4"/>
        <v>0.13800000000000001</v>
      </c>
      <c r="BQ46" s="57">
        <f t="shared" si="10"/>
        <v>0.46400000000000002</v>
      </c>
      <c r="BS46" s="47">
        <f t="shared" si="5"/>
        <v>0</v>
      </c>
      <c r="BT46" s="44">
        <v>0</v>
      </c>
      <c r="BV46" s="16" t="s">
        <v>233</v>
      </c>
      <c r="BW46" s="16" t="s">
        <v>233</v>
      </c>
      <c r="BX46" s="3">
        <f t="shared" si="11"/>
        <v>-8.9</v>
      </c>
      <c r="BY46" s="16" t="s">
        <v>233</v>
      </c>
      <c r="BZ46" s="16" t="s">
        <v>233</v>
      </c>
      <c r="CA46" s="16" t="s">
        <v>233</v>
      </c>
      <c r="CB46" s="16" t="s">
        <v>233</v>
      </c>
      <c r="CC46" s="16" t="s">
        <v>233</v>
      </c>
      <c r="CD46" s="16" t="s">
        <v>233</v>
      </c>
      <c r="CE46" s="16" t="s">
        <v>233</v>
      </c>
      <c r="CF46" s="1">
        <f t="shared" si="12"/>
        <v>-0.2</v>
      </c>
      <c r="CG46" s="16" t="s">
        <v>233</v>
      </c>
      <c r="CH46" s="16" t="s">
        <v>233</v>
      </c>
      <c r="CI46" s="16" t="s">
        <v>233</v>
      </c>
      <c r="CJ46" s="16" t="s">
        <v>233</v>
      </c>
      <c r="CK46" s="16" t="s">
        <v>233</v>
      </c>
      <c r="CL46" s="16" t="s">
        <v>233</v>
      </c>
      <c r="CM46" s="16" t="s">
        <v>233</v>
      </c>
      <c r="CN46" s="1">
        <f t="shared" si="13"/>
        <v>-18.8</v>
      </c>
      <c r="CO46" s="16" t="s">
        <v>233</v>
      </c>
      <c r="CP46" s="16" t="s">
        <v>233</v>
      </c>
      <c r="CQ46" s="16" t="s">
        <v>233</v>
      </c>
      <c r="CR46" s="16" t="s">
        <v>233</v>
      </c>
      <c r="CS46" s="16" t="s">
        <v>233</v>
      </c>
      <c r="CT46" s="16" t="s">
        <v>233</v>
      </c>
      <c r="CU46" s="16" t="s">
        <v>233</v>
      </c>
      <c r="CV46" s="18" t="s">
        <v>233</v>
      </c>
      <c r="CW46" s="1">
        <f>ROUND(PPTest!K46,1)</f>
        <v>0</v>
      </c>
      <c r="CX46" s="16" t="s">
        <v>233</v>
      </c>
      <c r="CY46" s="16" t="s">
        <v>233</v>
      </c>
      <c r="CZ46" s="20">
        <f t="shared" si="14"/>
        <v>0.13800000000000001</v>
      </c>
      <c r="DA46" s="20">
        <f t="shared" si="15"/>
        <v>0.46400000000000002</v>
      </c>
      <c r="DB46" s="16" t="s">
        <v>233</v>
      </c>
      <c r="DZ46" s="1">
        <v>-7.3</v>
      </c>
      <c r="EA46" s="1">
        <v>0.3</v>
      </c>
      <c r="EB46" s="1">
        <v>-16.2</v>
      </c>
      <c r="EC46" s="1">
        <v>2.4</v>
      </c>
    </row>
    <row r="47" spans="1:133" x14ac:dyDescent="0.2">
      <c r="A47" s="40">
        <v>35105</v>
      </c>
      <c r="B47" s="34">
        <v>41</v>
      </c>
      <c r="C47" s="34"/>
      <c r="D47" s="34"/>
      <c r="E47" s="55">
        <f t="shared" si="0"/>
        <v>-11.4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41"/>
      <c r="Q47" s="34"/>
      <c r="R47" s="55">
        <f t="shared" si="1"/>
        <v>1.2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41"/>
      <c r="AE47" s="34"/>
      <c r="AF47" s="55">
        <f t="shared" si="2"/>
        <v>-20.3</v>
      </c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"/>
      <c r="BE47" s="3"/>
      <c r="BF47" s="3"/>
      <c r="BH47" s="16">
        <v>8.93</v>
      </c>
      <c r="BI47" s="16">
        <f t="shared" si="16"/>
        <v>18.038599999999999</v>
      </c>
      <c r="BJ47" s="17"/>
      <c r="BK47" s="17"/>
      <c r="BP47" s="57">
        <f t="shared" si="4"/>
        <v>0.121</v>
      </c>
      <c r="BQ47" s="57">
        <f t="shared" si="10"/>
        <v>0.54500000000000004</v>
      </c>
      <c r="BS47" s="47">
        <f t="shared" si="5"/>
        <v>0</v>
      </c>
      <c r="BT47" s="44">
        <v>0</v>
      </c>
      <c r="BV47" s="16" t="s">
        <v>233</v>
      </c>
      <c r="BW47" s="16" t="s">
        <v>233</v>
      </c>
      <c r="BX47" s="3">
        <f t="shared" si="11"/>
        <v>-11.4</v>
      </c>
      <c r="BY47" s="16" t="s">
        <v>233</v>
      </c>
      <c r="BZ47" s="16" t="s">
        <v>233</v>
      </c>
      <c r="CA47" s="16" t="s">
        <v>233</v>
      </c>
      <c r="CB47" s="16" t="s">
        <v>233</v>
      </c>
      <c r="CC47" s="16" t="s">
        <v>233</v>
      </c>
      <c r="CD47" s="16" t="s">
        <v>233</v>
      </c>
      <c r="CE47" s="16" t="s">
        <v>233</v>
      </c>
      <c r="CF47" s="1">
        <f t="shared" si="12"/>
        <v>1.2</v>
      </c>
      <c r="CG47" s="16" t="s">
        <v>233</v>
      </c>
      <c r="CH47" s="16" t="s">
        <v>233</v>
      </c>
      <c r="CI47" s="16" t="s">
        <v>233</v>
      </c>
      <c r="CJ47" s="16" t="s">
        <v>233</v>
      </c>
      <c r="CK47" s="16" t="s">
        <v>233</v>
      </c>
      <c r="CL47" s="16" t="s">
        <v>233</v>
      </c>
      <c r="CM47" s="16" t="s">
        <v>233</v>
      </c>
      <c r="CN47" s="1">
        <f t="shared" si="13"/>
        <v>-20.3</v>
      </c>
      <c r="CO47" s="16" t="s">
        <v>233</v>
      </c>
      <c r="CP47" s="16" t="s">
        <v>233</v>
      </c>
      <c r="CQ47" s="16" t="s">
        <v>233</v>
      </c>
      <c r="CR47" s="16" t="s">
        <v>233</v>
      </c>
      <c r="CS47" s="16" t="s">
        <v>233</v>
      </c>
      <c r="CT47" s="16" t="s">
        <v>233</v>
      </c>
      <c r="CU47" s="16" t="s">
        <v>233</v>
      </c>
      <c r="CV47" s="18" t="s">
        <v>233</v>
      </c>
      <c r="CW47" s="1">
        <f>ROUND(PPTest!K47,1)</f>
        <v>0</v>
      </c>
      <c r="CX47" s="16" t="s">
        <v>233</v>
      </c>
      <c r="CY47" s="16" t="s">
        <v>233</v>
      </c>
      <c r="CZ47" s="20">
        <f t="shared" si="14"/>
        <v>0.121</v>
      </c>
      <c r="DA47" s="20">
        <f t="shared" si="15"/>
        <v>0.54500000000000004</v>
      </c>
      <c r="DB47" s="16" t="s">
        <v>233</v>
      </c>
      <c r="DZ47" s="1">
        <v>-9.4</v>
      </c>
      <c r="EA47" s="1">
        <v>1.8</v>
      </c>
      <c r="EB47" s="1">
        <v>-17.5</v>
      </c>
      <c r="EC47" s="1">
        <v>0.3</v>
      </c>
    </row>
    <row r="48" spans="1:133" x14ac:dyDescent="0.2">
      <c r="A48" s="40">
        <v>35106</v>
      </c>
      <c r="B48" s="34">
        <v>42</v>
      </c>
      <c r="C48" s="34"/>
      <c r="D48" s="34"/>
      <c r="E48" s="55">
        <f t="shared" si="0"/>
        <v>-6.4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41"/>
      <c r="Q48" s="34"/>
      <c r="R48" s="55">
        <f t="shared" si="1"/>
        <v>5.2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41"/>
      <c r="AE48" s="34"/>
      <c r="AF48" s="55">
        <f t="shared" si="2"/>
        <v>-15.5</v>
      </c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"/>
      <c r="BE48" s="3"/>
      <c r="BF48" s="3"/>
      <c r="BH48" s="16">
        <v>9.1199999999999992</v>
      </c>
      <c r="BI48" s="16">
        <f t="shared" si="16"/>
        <v>18.4224</v>
      </c>
      <c r="BJ48" s="17"/>
      <c r="BK48" s="17"/>
      <c r="BP48" s="57">
        <f t="shared" si="4"/>
        <v>0.183</v>
      </c>
      <c r="BQ48" s="57">
        <f t="shared" si="10"/>
        <v>0.70099999999999996</v>
      </c>
      <c r="BS48" s="47">
        <f t="shared" si="5"/>
        <v>0</v>
      </c>
      <c r="BT48" s="44">
        <v>0</v>
      </c>
      <c r="BV48" s="16" t="s">
        <v>233</v>
      </c>
      <c r="BW48" s="16" t="s">
        <v>233</v>
      </c>
      <c r="BX48" s="3">
        <f t="shared" si="11"/>
        <v>-6.4</v>
      </c>
      <c r="BY48" s="16" t="s">
        <v>233</v>
      </c>
      <c r="BZ48" s="16" t="s">
        <v>233</v>
      </c>
      <c r="CA48" s="16" t="s">
        <v>233</v>
      </c>
      <c r="CB48" s="16" t="s">
        <v>233</v>
      </c>
      <c r="CC48" s="16" t="s">
        <v>233</v>
      </c>
      <c r="CD48" s="16" t="s">
        <v>233</v>
      </c>
      <c r="CE48" s="16" t="s">
        <v>233</v>
      </c>
      <c r="CF48" s="1">
        <f t="shared" si="12"/>
        <v>5.2</v>
      </c>
      <c r="CG48" s="16" t="s">
        <v>233</v>
      </c>
      <c r="CH48" s="16" t="s">
        <v>233</v>
      </c>
      <c r="CI48" s="16" t="s">
        <v>233</v>
      </c>
      <c r="CJ48" s="16" t="s">
        <v>233</v>
      </c>
      <c r="CK48" s="16" t="s">
        <v>233</v>
      </c>
      <c r="CL48" s="16" t="s">
        <v>233</v>
      </c>
      <c r="CM48" s="16" t="s">
        <v>233</v>
      </c>
      <c r="CN48" s="1">
        <f t="shared" si="13"/>
        <v>-15.5</v>
      </c>
      <c r="CO48" s="16" t="s">
        <v>233</v>
      </c>
      <c r="CP48" s="16" t="s">
        <v>233</v>
      </c>
      <c r="CQ48" s="16" t="s">
        <v>233</v>
      </c>
      <c r="CR48" s="16" t="s">
        <v>233</v>
      </c>
      <c r="CS48" s="16" t="s">
        <v>233</v>
      </c>
      <c r="CT48" s="16" t="s">
        <v>233</v>
      </c>
      <c r="CU48" s="16" t="s">
        <v>233</v>
      </c>
      <c r="CV48" s="18" t="s">
        <v>233</v>
      </c>
      <c r="CW48" s="1">
        <f>ROUND(PPTest!K48,1)</f>
        <v>0</v>
      </c>
      <c r="CX48" s="16" t="s">
        <v>233</v>
      </c>
      <c r="CY48" s="16" t="s">
        <v>233</v>
      </c>
      <c r="CZ48" s="20">
        <f t="shared" si="14"/>
        <v>0.183</v>
      </c>
      <c r="DA48" s="20">
        <f t="shared" si="15"/>
        <v>0.70099999999999996</v>
      </c>
      <c r="DB48" s="16" t="s">
        <v>233</v>
      </c>
      <c r="DZ48" s="1">
        <v>-5.2</v>
      </c>
      <c r="EA48" s="1">
        <v>6</v>
      </c>
      <c r="EB48" s="1">
        <v>-13.2</v>
      </c>
      <c r="EC48" s="1">
        <v>0</v>
      </c>
    </row>
    <row r="49" spans="1:133" x14ac:dyDescent="0.2">
      <c r="A49" s="40">
        <v>35107</v>
      </c>
      <c r="B49" s="34">
        <v>43</v>
      </c>
      <c r="C49" s="34"/>
      <c r="D49" s="34"/>
      <c r="E49" s="55">
        <f t="shared" si="0"/>
        <v>-1.6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41"/>
      <c r="Q49" s="34"/>
      <c r="R49" s="55">
        <f t="shared" si="1"/>
        <v>10.1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41"/>
      <c r="AE49" s="34"/>
      <c r="AF49" s="55">
        <f t="shared" si="2"/>
        <v>-9</v>
      </c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"/>
      <c r="BE49" s="3"/>
      <c r="BF49" s="3"/>
      <c r="BH49" s="16">
        <v>9.31</v>
      </c>
      <c r="BI49" s="16">
        <f t="shared" si="16"/>
        <v>18.8062</v>
      </c>
      <c r="BJ49" s="17"/>
      <c r="BK49" s="17"/>
      <c r="BP49" s="57">
        <f t="shared" si="4"/>
        <v>0.309</v>
      </c>
      <c r="BQ49" s="57">
        <f t="shared" si="10"/>
        <v>0.92700000000000005</v>
      </c>
      <c r="BS49" s="47">
        <f t="shared" si="5"/>
        <v>0</v>
      </c>
      <c r="BT49" s="44">
        <v>0</v>
      </c>
      <c r="BV49" s="16" t="s">
        <v>233</v>
      </c>
      <c r="BW49" s="16" t="s">
        <v>233</v>
      </c>
      <c r="BX49" s="3">
        <f t="shared" si="11"/>
        <v>-1.6</v>
      </c>
      <c r="BY49" s="16" t="s">
        <v>233</v>
      </c>
      <c r="BZ49" s="16" t="s">
        <v>233</v>
      </c>
      <c r="CA49" s="16" t="s">
        <v>233</v>
      </c>
      <c r="CB49" s="16" t="s">
        <v>233</v>
      </c>
      <c r="CC49" s="16" t="s">
        <v>233</v>
      </c>
      <c r="CD49" s="16" t="s">
        <v>233</v>
      </c>
      <c r="CE49" s="16" t="s">
        <v>233</v>
      </c>
      <c r="CF49" s="1">
        <f t="shared" si="12"/>
        <v>10.1</v>
      </c>
      <c r="CG49" s="16" t="s">
        <v>233</v>
      </c>
      <c r="CH49" s="16" t="s">
        <v>233</v>
      </c>
      <c r="CI49" s="16" t="s">
        <v>233</v>
      </c>
      <c r="CJ49" s="16" t="s">
        <v>233</v>
      </c>
      <c r="CK49" s="16" t="s">
        <v>233</v>
      </c>
      <c r="CL49" s="16" t="s">
        <v>233</v>
      </c>
      <c r="CM49" s="16" t="s">
        <v>233</v>
      </c>
      <c r="CN49" s="1">
        <f t="shared" si="13"/>
        <v>-9</v>
      </c>
      <c r="CO49" s="16" t="s">
        <v>233</v>
      </c>
      <c r="CP49" s="16" t="s">
        <v>233</v>
      </c>
      <c r="CQ49" s="16" t="s">
        <v>233</v>
      </c>
      <c r="CR49" s="16" t="s">
        <v>233</v>
      </c>
      <c r="CS49" s="16" t="s">
        <v>233</v>
      </c>
      <c r="CT49" s="16" t="s">
        <v>233</v>
      </c>
      <c r="CU49" s="16" t="s">
        <v>233</v>
      </c>
      <c r="CV49" s="18" t="s">
        <v>233</v>
      </c>
      <c r="CW49" s="1">
        <f>ROUND(PPTest!K49,1)</f>
        <v>0</v>
      </c>
      <c r="CX49" s="16" t="s">
        <v>233</v>
      </c>
      <c r="CY49" s="16" t="s">
        <v>233</v>
      </c>
      <c r="CZ49" s="20">
        <f t="shared" si="14"/>
        <v>0.309</v>
      </c>
      <c r="DA49" s="20">
        <f t="shared" si="15"/>
        <v>0.92700000000000005</v>
      </c>
      <c r="DB49" s="16" t="s">
        <v>233</v>
      </c>
      <c r="DZ49" s="1">
        <v>-1.2</v>
      </c>
      <c r="EA49" s="1">
        <v>11.2</v>
      </c>
      <c r="EB49" s="1">
        <v>-7.3</v>
      </c>
      <c r="EC49" s="1">
        <v>0</v>
      </c>
    </row>
    <row r="50" spans="1:133" x14ac:dyDescent="0.2">
      <c r="A50" s="40">
        <v>35108</v>
      </c>
      <c r="B50" s="34">
        <v>44</v>
      </c>
      <c r="C50" s="34"/>
      <c r="D50" s="34"/>
      <c r="E50" s="55">
        <f t="shared" si="0"/>
        <v>0.9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41"/>
      <c r="Q50" s="34"/>
      <c r="R50" s="55">
        <f t="shared" si="1"/>
        <v>7.5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41"/>
      <c r="AE50" s="34"/>
      <c r="AF50" s="55">
        <f t="shared" si="2"/>
        <v>-4</v>
      </c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"/>
      <c r="BE50" s="3"/>
      <c r="BF50" s="3"/>
      <c r="BH50" s="16">
        <v>9.5</v>
      </c>
      <c r="BI50" s="16">
        <f t="shared" si="16"/>
        <v>19.190000000000001</v>
      </c>
      <c r="BJ50" s="17"/>
      <c r="BK50" s="17"/>
      <c r="BP50" s="57">
        <f t="shared" si="4"/>
        <v>0.45400000000000001</v>
      </c>
      <c r="BQ50" s="57">
        <f t="shared" si="10"/>
        <v>0.58199999999999996</v>
      </c>
      <c r="BS50" s="47">
        <f t="shared" si="5"/>
        <v>0</v>
      </c>
      <c r="BT50" s="44">
        <v>0</v>
      </c>
      <c r="BV50" s="16" t="s">
        <v>233</v>
      </c>
      <c r="BW50" s="16" t="s">
        <v>233</v>
      </c>
      <c r="BX50" s="3">
        <f t="shared" si="11"/>
        <v>0.9</v>
      </c>
      <c r="BY50" s="16" t="s">
        <v>233</v>
      </c>
      <c r="BZ50" s="16" t="s">
        <v>233</v>
      </c>
      <c r="CA50" s="16" t="s">
        <v>233</v>
      </c>
      <c r="CB50" s="16" t="s">
        <v>233</v>
      </c>
      <c r="CC50" s="16" t="s">
        <v>233</v>
      </c>
      <c r="CD50" s="16" t="s">
        <v>233</v>
      </c>
      <c r="CE50" s="16" t="s">
        <v>233</v>
      </c>
      <c r="CF50" s="1">
        <f t="shared" si="12"/>
        <v>7.5</v>
      </c>
      <c r="CG50" s="16" t="s">
        <v>233</v>
      </c>
      <c r="CH50" s="16" t="s">
        <v>233</v>
      </c>
      <c r="CI50" s="16" t="s">
        <v>233</v>
      </c>
      <c r="CJ50" s="16" t="s">
        <v>233</v>
      </c>
      <c r="CK50" s="16" t="s">
        <v>233</v>
      </c>
      <c r="CL50" s="16" t="s">
        <v>233</v>
      </c>
      <c r="CM50" s="16" t="s">
        <v>233</v>
      </c>
      <c r="CN50" s="1">
        <f t="shared" si="13"/>
        <v>-4</v>
      </c>
      <c r="CO50" s="16" t="s">
        <v>233</v>
      </c>
      <c r="CP50" s="16" t="s">
        <v>233</v>
      </c>
      <c r="CQ50" s="16" t="s">
        <v>233</v>
      </c>
      <c r="CR50" s="16" t="s">
        <v>233</v>
      </c>
      <c r="CS50" s="16" t="s">
        <v>233</v>
      </c>
      <c r="CT50" s="16" t="s">
        <v>233</v>
      </c>
      <c r="CU50" s="16" t="s">
        <v>233</v>
      </c>
      <c r="CV50" s="18" t="s">
        <v>233</v>
      </c>
      <c r="CW50" s="1">
        <f>ROUND(PPTest!K50,1)</f>
        <v>0</v>
      </c>
      <c r="CX50" s="16" t="s">
        <v>233</v>
      </c>
      <c r="CY50" s="16" t="s">
        <v>233</v>
      </c>
      <c r="CZ50" s="20">
        <f t="shared" si="14"/>
        <v>0.45400000000000001</v>
      </c>
      <c r="DA50" s="20">
        <f t="shared" si="15"/>
        <v>0.58199999999999996</v>
      </c>
      <c r="DB50" s="16" t="s">
        <v>233</v>
      </c>
      <c r="DZ50" s="1">
        <v>0.9</v>
      </c>
      <c r="EA50" s="1">
        <v>8.4</v>
      </c>
      <c r="EB50" s="1">
        <v>-2.7</v>
      </c>
      <c r="EC50" s="1">
        <v>0</v>
      </c>
    </row>
    <row r="51" spans="1:133" x14ac:dyDescent="0.2">
      <c r="A51" s="40">
        <v>35109</v>
      </c>
      <c r="B51" s="34">
        <v>45</v>
      </c>
      <c r="C51" s="34"/>
      <c r="D51" s="34"/>
      <c r="E51" s="55">
        <f t="shared" si="0"/>
        <v>0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41"/>
      <c r="Q51" s="34"/>
      <c r="R51" s="55">
        <f t="shared" si="1"/>
        <v>6.7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41"/>
      <c r="AE51" s="34"/>
      <c r="AF51" s="55">
        <f t="shared" si="2"/>
        <v>-5.7</v>
      </c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"/>
      <c r="BE51" s="3"/>
      <c r="BF51" s="3"/>
      <c r="BH51" s="16">
        <v>9.69</v>
      </c>
      <c r="BI51" s="16">
        <f t="shared" si="16"/>
        <v>19.573799999999999</v>
      </c>
      <c r="BJ51" s="17"/>
      <c r="BK51" s="17"/>
      <c r="BP51" s="57">
        <f t="shared" si="4"/>
        <v>0.39900000000000002</v>
      </c>
      <c r="BQ51" s="57">
        <f t="shared" si="10"/>
        <v>0.58199999999999996</v>
      </c>
      <c r="BS51" s="47">
        <f t="shared" si="5"/>
        <v>0</v>
      </c>
      <c r="BT51" s="44">
        <v>0</v>
      </c>
      <c r="BV51" s="16" t="s">
        <v>233</v>
      </c>
      <c r="BW51" s="16" t="s">
        <v>233</v>
      </c>
      <c r="BX51" s="3">
        <f t="shared" si="11"/>
        <v>0</v>
      </c>
      <c r="BY51" s="16" t="s">
        <v>233</v>
      </c>
      <c r="BZ51" s="16" t="s">
        <v>233</v>
      </c>
      <c r="CA51" s="16" t="s">
        <v>233</v>
      </c>
      <c r="CB51" s="16" t="s">
        <v>233</v>
      </c>
      <c r="CC51" s="16" t="s">
        <v>233</v>
      </c>
      <c r="CD51" s="16" t="s">
        <v>233</v>
      </c>
      <c r="CE51" s="16" t="s">
        <v>233</v>
      </c>
      <c r="CF51" s="1">
        <f t="shared" si="12"/>
        <v>6.7</v>
      </c>
      <c r="CG51" s="16" t="s">
        <v>233</v>
      </c>
      <c r="CH51" s="16" t="s">
        <v>233</v>
      </c>
      <c r="CI51" s="16" t="s">
        <v>233</v>
      </c>
      <c r="CJ51" s="16" t="s">
        <v>233</v>
      </c>
      <c r="CK51" s="16" t="s">
        <v>233</v>
      </c>
      <c r="CL51" s="16" t="s">
        <v>233</v>
      </c>
      <c r="CM51" s="16" t="s">
        <v>233</v>
      </c>
      <c r="CN51" s="1">
        <f t="shared" si="13"/>
        <v>-5.7</v>
      </c>
      <c r="CO51" s="16" t="s">
        <v>233</v>
      </c>
      <c r="CP51" s="16" t="s">
        <v>233</v>
      </c>
      <c r="CQ51" s="16" t="s">
        <v>233</v>
      </c>
      <c r="CR51" s="16" t="s">
        <v>233</v>
      </c>
      <c r="CS51" s="16" t="s">
        <v>233</v>
      </c>
      <c r="CT51" s="16" t="s">
        <v>233</v>
      </c>
      <c r="CU51" s="16" t="s">
        <v>233</v>
      </c>
      <c r="CV51" s="18" t="s">
        <v>233</v>
      </c>
      <c r="CW51" s="1">
        <f>ROUND(PPTest!K51,1)</f>
        <v>0</v>
      </c>
      <c r="CX51" s="16" t="s">
        <v>233</v>
      </c>
      <c r="CY51" s="16" t="s">
        <v>233</v>
      </c>
      <c r="CZ51" s="20">
        <f t="shared" si="14"/>
        <v>0.39900000000000002</v>
      </c>
      <c r="DA51" s="20">
        <f t="shared" si="15"/>
        <v>0.58199999999999996</v>
      </c>
      <c r="DB51" s="16" t="s">
        <v>233</v>
      </c>
      <c r="DZ51" s="1">
        <v>0.2</v>
      </c>
      <c r="EA51" s="1">
        <v>7.6</v>
      </c>
      <c r="EB51" s="1">
        <v>-4.3</v>
      </c>
      <c r="EC51" s="1">
        <v>0</v>
      </c>
    </row>
    <row r="52" spans="1:133" x14ac:dyDescent="0.2">
      <c r="A52" s="40">
        <v>35110</v>
      </c>
      <c r="B52" s="34">
        <v>46</v>
      </c>
      <c r="C52" s="34"/>
      <c r="D52" s="34"/>
      <c r="E52" s="55">
        <f t="shared" si="0"/>
        <v>-0.1</v>
      </c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41"/>
      <c r="Q52" s="34"/>
      <c r="R52" s="55">
        <f t="shared" si="1"/>
        <v>10.4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41"/>
      <c r="AE52" s="34"/>
      <c r="AF52" s="55">
        <f t="shared" si="2"/>
        <v>-7.8</v>
      </c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"/>
      <c r="BE52" s="3"/>
      <c r="BF52" s="3"/>
      <c r="BH52" s="16">
        <v>9.89</v>
      </c>
      <c r="BI52" s="16">
        <f t="shared" si="16"/>
        <v>19.977800000000002</v>
      </c>
      <c r="BJ52" s="17"/>
      <c r="BK52" s="17"/>
      <c r="BP52" s="57">
        <f t="shared" si="4"/>
        <v>0.33900000000000002</v>
      </c>
      <c r="BQ52" s="57">
        <f t="shared" si="10"/>
        <v>0.92200000000000004</v>
      </c>
      <c r="BS52" s="47">
        <f t="shared" si="5"/>
        <v>0</v>
      </c>
      <c r="BT52" s="44">
        <v>0</v>
      </c>
      <c r="BV52" s="16" t="s">
        <v>233</v>
      </c>
      <c r="BW52" s="16" t="s">
        <v>233</v>
      </c>
      <c r="BX52" s="3">
        <f t="shared" si="11"/>
        <v>-0.1</v>
      </c>
      <c r="BY52" s="16" t="s">
        <v>233</v>
      </c>
      <c r="BZ52" s="16" t="s">
        <v>233</v>
      </c>
      <c r="CA52" s="16" t="s">
        <v>233</v>
      </c>
      <c r="CB52" s="16" t="s">
        <v>233</v>
      </c>
      <c r="CC52" s="16" t="s">
        <v>233</v>
      </c>
      <c r="CD52" s="16" t="s">
        <v>233</v>
      </c>
      <c r="CE52" s="16" t="s">
        <v>233</v>
      </c>
      <c r="CF52" s="1">
        <f t="shared" si="12"/>
        <v>10.4</v>
      </c>
      <c r="CG52" s="16" t="s">
        <v>233</v>
      </c>
      <c r="CH52" s="16" t="s">
        <v>233</v>
      </c>
      <c r="CI52" s="16" t="s">
        <v>233</v>
      </c>
      <c r="CJ52" s="16" t="s">
        <v>233</v>
      </c>
      <c r="CK52" s="16" t="s">
        <v>233</v>
      </c>
      <c r="CL52" s="16" t="s">
        <v>233</v>
      </c>
      <c r="CM52" s="16" t="s">
        <v>233</v>
      </c>
      <c r="CN52" s="1">
        <f t="shared" si="13"/>
        <v>-7.8</v>
      </c>
      <c r="CO52" s="16" t="s">
        <v>233</v>
      </c>
      <c r="CP52" s="16" t="s">
        <v>233</v>
      </c>
      <c r="CQ52" s="16" t="s">
        <v>233</v>
      </c>
      <c r="CR52" s="16" t="s">
        <v>233</v>
      </c>
      <c r="CS52" s="16" t="s">
        <v>233</v>
      </c>
      <c r="CT52" s="16" t="s">
        <v>233</v>
      </c>
      <c r="CU52" s="16" t="s">
        <v>233</v>
      </c>
      <c r="CV52" s="18" t="s">
        <v>233</v>
      </c>
      <c r="CW52" s="1">
        <f>ROUND(PPTest!K52,1)</f>
        <v>0</v>
      </c>
      <c r="CX52" s="16" t="s">
        <v>233</v>
      </c>
      <c r="CY52" s="16" t="s">
        <v>233</v>
      </c>
      <c r="CZ52" s="20">
        <f t="shared" si="14"/>
        <v>0.33900000000000002</v>
      </c>
      <c r="DA52" s="20">
        <f t="shared" si="15"/>
        <v>0.92200000000000004</v>
      </c>
      <c r="DB52" s="16" t="s">
        <v>233</v>
      </c>
      <c r="DZ52" s="1">
        <v>0.1</v>
      </c>
      <c r="EA52" s="1">
        <v>11.5</v>
      </c>
      <c r="EB52" s="1">
        <v>-6.2</v>
      </c>
      <c r="EC52" s="1">
        <v>0</v>
      </c>
    </row>
    <row r="53" spans="1:133" x14ac:dyDescent="0.2">
      <c r="A53" s="40">
        <v>35111</v>
      </c>
      <c r="B53" s="34">
        <v>47</v>
      </c>
      <c r="C53" s="34"/>
      <c r="D53" s="34"/>
      <c r="E53" s="55">
        <f t="shared" si="0"/>
        <v>0.2</v>
      </c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41"/>
      <c r="Q53" s="34"/>
      <c r="R53" s="55">
        <f t="shared" si="1"/>
        <v>10.199999999999999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41"/>
      <c r="AE53" s="34"/>
      <c r="AF53" s="55">
        <f t="shared" si="2"/>
        <v>-7.8</v>
      </c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"/>
      <c r="BE53" s="3"/>
      <c r="BF53" s="3"/>
      <c r="BH53" s="16">
        <v>10.09</v>
      </c>
      <c r="BI53" s="16">
        <f t="shared" si="16"/>
        <v>20.381799999999998</v>
      </c>
      <c r="BJ53" s="17"/>
      <c r="BK53" s="17"/>
      <c r="BP53" s="57">
        <f t="shared" si="4"/>
        <v>0.33900000000000002</v>
      </c>
      <c r="BQ53" s="57">
        <f t="shared" si="10"/>
        <v>0.90500000000000003</v>
      </c>
      <c r="BS53" s="47">
        <f t="shared" si="5"/>
        <v>0</v>
      </c>
      <c r="BT53" s="44">
        <v>0</v>
      </c>
      <c r="BV53" s="16" t="s">
        <v>233</v>
      </c>
      <c r="BW53" s="16" t="s">
        <v>233</v>
      </c>
      <c r="BX53" s="3">
        <f t="shared" si="11"/>
        <v>0.2</v>
      </c>
      <c r="BY53" s="16" t="s">
        <v>233</v>
      </c>
      <c r="BZ53" s="16" t="s">
        <v>233</v>
      </c>
      <c r="CA53" s="16" t="s">
        <v>233</v>
      </c>
      <c r="CB53" s="16" t="s">
        <v>233</v>
      </c>
      <c r="CC53" s="16" t="s">
        <v>233</v>
      </c>
      <c r="CD53" s="16" t="s">
        <v>233</v>
      </c>
      <c r="CE53" s="16" t="s">
        <v>233</v>
      </c>
      <c r="CF53" s="1">
        <f t="shared" si="12"/>
        <v>10.199999999999999</v>
      </c>
      <c r="CG53" s="16" t="s">
        <v>233</v>
      </c>
      <c r="CH53" s="16" t="s">
        <v>233</v>
      </c>
      <c r="CI53" s="16" t="s">
        <v>233</v>
      </c>
      <c r="CJ53" s="16" t="s">
        <v>233</v>
      </c>
      <c r="CK53" s="16" t="s">
        <v>233</v>
      </c>
      <c r="CL53" s="16" t="s">
        <v>233</v>
      </c>
      <c r="CM53" s="16" t="s">
        <v>233</v>
      </c>
      <c r="CN53" s="1">
        <f t="shared" si="13"/>
        <v>-7.8</v>
      </c>
      <c r="CO53" s="16" t="s">
        <v>233</v>
      </c>
      <c r="CP53" s="16" t="s">
        <v>233</v>
      </c>
      <c r="CQ53" s="16" t="s">
        <v>233</v>
      </c>
      <c r="CR53" s="16" t="s">
        <v>233</v>
      </c>
      <c r="CS53" s="16" t="s">
        <v>233</v>
      </c>
      <c r="CT53" s="16" t="s">
        <v>233</v>
      </c>
      <c r="CU53" s="16" t="s">
        <v>233</v>
      </c>
      <c r="CV53" s="18" t="s">
        <v>233</v>
      </c>
      <c r="CW53" s="1">
        <f>ROUND(PPTest!K53,1)</f>
        <v>0</v>
      </c>
      <c r="CX53" s="16" t="s">
        <v>233</v>
      </c>
      <c r="CY53" s="16" t="s">
        <v>233</v>
      </c>
      <c r="CZ53" s="20">
        <f t="shared" si="14"/>
        <v>0.33900000000000002</v>
      </c>
      <c r="DA53" s="20">
        <f t="shared" si="15"/>
        <v>0.90500000000000003</v>
      </c>
      <c r="DB53" s="16" t="s">
        <v>233</v>
      </c>
      <c r="DZ53" s="1">
        <v>0.3</v>
      </c>
      <c r="EA53" s="1">
        <v>11.3</v>
      </c>
      <c r="EB53" s="1">
        <v>-6.2</v>
      </c>
      <c r="EC53" s="1">
        <v>0</v>
      </c>
    </row>
    <row r="54" spans="1:133" x14ac:dyDescent="0.2">
      <c r="A54" s="40">
        <v>35112</v>
      </c>
      <c r="B54" s="34">
        <v>48</v>
      </c>
      <c r="C54" s="34"/>
      <c r="D54" s="34"/>
      <c r="E54" s="55">
        <f t="shared" si="0"/>
        <v>-0.6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41"/>
      <c r="Q54" s="34"/>
      <c r="R54" s="55">
        <f t="shared" si="1"/>
        <v>1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41"/>
      <c r="AE54" s="34"/>
      <c r="AF54" s="55">
        <f t="shared" si="2"/>
        <v>-4.4000000000000004</v>
      </c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"/>
      <c r="BE54" s="3"/>
      <c r="BF54" s="3"/>
      <c r="BH54" s="16">
        <v>10.3</v>
      </c>
      <c r="BI54" s="16">
        <f t="shared" si="16"/>
        <v>20.806000000000001</v>
      </c>
      <c r="BJ54" s="17"/>
      <c r="BK54" s="17"/>
      <c r="BP54" s="57">
        <f t="shared" si="4"/>
        <v>0.441</v>
      </c>
      <c r="BQ54" s="57">
        <f t="shared" si="10"/>
        <v>0.215</v>
      </c>
      <c r="BS54" s="47">
        <f t="shared" si="5"/>
        <v>0</v>
      </c>
      <c r="BT54" s="44">
        <v>0</v>
      </c>
      <c r="BV54" s="16" t="s">
        <v>233</v>
      </c>
      <c r="BW54" s="16" t="s">
        <v>233</v>
      </c>
      <c r="BX54" s="3">
        <f t="shared" si="11"/>
        <v>-0.6</v>
      </c>
      <c r="BY54" s="16" t="s">
        <v>233</v>
      </c>
      <c r="BZ54" s="16" t="s">
        <v>233</v>
      </c>
      <c r="CA54" s="16" t="s">
        <v>233</v>
      </c>
      <c r="CB54" s="16" t="s">
        <v>233</v>
      </c>
      <c r="CC54" s="16" t="s">
        <v>233</v>
      </c>
      <c r="CD54" s="16" t="s">
        <v>233</v>
      </c>
      <c r="CE54" s="16" t="s">
        <v>233</v>
      </c>
      <c r="CF54" s="1">
        <f t="shared" si="12"/>
        <v>1</v>
      </c>
      <c r="CG54" s="16" t="s">
        <v>233</v>
      </c>
      <c r="CH54" s="16" t="s">
        <v>233</v>
      </c>
      <c r="CI54" s="16" t="s">
        <v>233</v>
      </c>
      <c r="CJ54" s="16" t="s">
        <v>233</v>
      </c>
      <c r="CK54" s="16" t="s">
        <v>233</v>
      </c>
      <c r="CL54" s="16" t="s">
        <v>233</v>
      </c>
      <c r="CM54" s="16" t="s">
        <v>233</v>
      </c>
      <c r="CN54" s="1">
        <f t="shared" si="13"/>
        <v>-4.4000000000000004</v>
      </c>
      <c r="CO54" s="16" t="s">
        <v>233</v>
      </c>
      <c r="CP54" s="16" t="s">
        <v>233</v>
      </c>
      <c r="CQ54" s="16" t="s">
        <v>233</v>
      </c>
      <c r="CR54" s="16" t="s">
        <v>233</v>
      </c>
      <c r="CS54" s="16" t="s">
        <v>233</v>
      </c>
      <c r="CT54" s="16" t="s">
        <v>233</v>
      </c>
      <c r="CU54" s="16" t="s">
        <v>233</v>
      </c>
      <c r="CV54" s="18" t="s">
        <v>233</v>
      </c>
      <c r="CW54" s="1">
        <f>ROUND(PPTest!K54,1)</f>
        <v>3.3</v>
      </c>
      <c r="CX54" s="16" t="s">
        <v>233</v>
      </c>
      <c r="CY54" s="16" t="s">
        <v>233</v>
      </c>
      <c r="CZ54" s="20">
        <f t="shared" si="14"/>
        <v>0.441</v>
      </c>
      <c r="DA54" s="20">
        <f t="shared" si="15"/>
        <v>0.215</v>
      </c>
      <c r="DB54" s="16" t="s">
        <v>233</v>
      </c>
      <c r="DZ54" s="1">
        <v>-0.3</v>
      </c>
      <c r="EA54" s="1">
        <v>1.6</v>
      </c>
      <c r="EB54" s="1">
        <v>-3.1</v>
      </c>
      <c r="EC54" s="1">
        <v>3.3</v>
      </c>
    </row>
    <row r="55" spans="1:133" x14ac:dyDescent="0.2">
      <c r="A55" s="40">
        <v>35113</v>
      </c>
      <c r="B55" s="34">
        <v>49</v>
      </c>
      <c r="C55" s="34"/>
      <c r="D55" s="34"/>
      <c r="E55" s="55">
        <f t="shared" si="0"/>
        <v>0.6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41"/>
      <c r="Q55" s="34"/>
      <c r="R55" s="55">
        <f t="shared" si="1"/>
        <v>4.0999999999999996</v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41"/>
      <c r="AE55" s="34"/>
      <c r="AF55" s="55">
        <f t="shared" si="2"/>
        <v>-2.5</v>
      </c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"/>
      <c r="BE55" s="3"/>
      <c r="BF55" s="3"/>
      <c r="BH55" s="16">
        <v>10.5</v>
      </c>
      <c r="BI55" s="16">
        <f t="shared" si="16"/>
        <v>21.21</v>
      </c>
      <c r="BJ55" s="17"/>
      <c r="BK55" s="17"/>
      <c r="BP55" s="57">
        <f t="shared" si="4"/>
        <v>0.50800000000000001</v>
      </c>
      <c r="BQ55" s="57">
        <f t="shared" si="10"/>
        <v>0.311</v>
      </c>
      <c r="BS55" s="47">
        <f t="shared" si="5"/>
        <v>0</v>
      </c>
      <c r="BT55" s="44">
        <v>0</v>
      </c>
      <c r="BV55" s="16" t="s">
        <v>233</v>
      </c>
      <c r="BW55" s="16" t="s">
        <v>233</v>
      </c>
      <c r="BX55" s="3">
        <f t="shared" si="11"/>
        <v>0.6</v>
      </c>
      <c r="BY55" s="16" t="s">
        <v>233</v>
      </c>
      <c r="BZ55" s="16" t="s">
        <v>233</v>
      </c>
      <c r="CA55" s="16" t="s">
        <v>233</v>
      </c>
      <c r="CB55" s="16" t="s">
        <v>233</v>
      </c>
      <c r="CC55" s="16" t="s">
        <v>233</v>
      </c>
      <c r="CD55" s="16" t="s">
        <v>233</v>
      </c>
      <c r="CE55" s="16" t="s">
        <v>233</v>
      </c>
      <c r="CF55" s="1">
        <f t="shared" si="12"/>
        <v>4.0999999999999996</v>
      </c>
      <c r="CG55" s="16" t="s">
        <v>233</v>
      </c>
      <c r="CH55" s="16" t="s">
        <v>233</v>
      </c>
      <c r="CI55" s="16" t="s">
        <v>233</v>
      </c>
      <c r="CJ55" s="16" t="s">
        <v>233</v>
      </c>
      <c r="CK55" s="16" t="s">
        <v>233</v>
      </c>
      <c r="CL55" s="16" t="s">
        <v>233</v>
      </c>
      <c r="CM55" s="16" t="s">
        <v>233</v>
      </c>
      <c r="CN55" s="1">
        <f t="shared" si="13"/>
        <v>-2.5</v>
      </c>
      <c r="CO55" s="16" t="s">
        <v>233</v>
      </c>
      <c r="CP55" s="16" t="s">
        <v>233</v>
      </c>
      <c r="CQ55" s="16" t="s">
        <v>233</v>
      </c>
      <c r="CR55" s="16" t="s">
        <v>233</v>
      </c>
      <c r="CS55" s="16" t="s">
        <v>233</v>
      </c>
      <c r="CT55" s="16" t="s">
        <v>233</v>
      </c>
      <c r="CU55" s="16" t="s">
        <v>233</v>
      </c>
      <c r="CV55" s="18" t="s">
        <v>233</v>
      </c>
      <c r="CW55" s="1">
        <f>ROUND(PPTest!K55,1)</f>
        <v>1.9</v>
      </c>
      <c r="CX55" s="16" t="s">
        <v>233</v>
      </c>
      <c r="CY55" s="16" t="s">
        <v>233</v>
      </c>
      <c r="CZ55" s="20">
        <f t="shared" si="14"/>
        <v>0.50800000000000001</v>
      </c>
      <c r="DA55" s="20">
        <f t="shared" si="15"/>
        <v>0.311</v>
      </c>
      <c r="DB55" s="16" t="s">
        <v>233</v>
      </c>
      <c r="DZ55" s="1">
        <v>0.7</v>
      </c>
      <c r="EA55" s="1">
        <v>4.8</v>
      </c>
      <c r="EB55" s="1">
        <v>-1.4</v>
      </c>
      <c r="EC55" s="1">
        <v>1.9</v>
      </c>
    </row>
    <row r="56" spans="1:133" x14ac:dyDescent="0.2">
      <c r="A56" s="40">
        <v>35114</v>
      </c>
      <c r="B56" s="34">
        <v>50</v>
      </c>
      <c r="C56" s="34"/>
      <c r="D56" s="34"/>
      <c r="E56" s="55">
        <f t="shared" si="0"/>
        <v>-1.2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41"/>
      <c r="Q56" s="34"/>
      <c r="R56" s="55">
        <f t="shared" si="1"/>
        <v>1.7</v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41"/>
      <c r="AE56" s="34"/>
      <c r="AF56" s="55">
        <f t="shared" si="2"/>
        <v>-3.5</v>
      </c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"/>
      <c r="BE56" s="3"/>
      <c r="BF56" s="3"/>
      <c r="BH56" s="16">
        <v>10.72</v>
      </c>
      <c r="BI56" s="16">
        <f t="shared" si="16"/>
        <v>21.654400000000003</v>
      </c>
      <c r="BJ56" s="17"/>
      <c r="BK56" s="17"/>
      <c r="BP56" s="57">
        <f t="shared" si="4"/>
        <v>0.47099999999999997</v>
      </c>
      <c r="BQ56" s="57">
        <f t="shared" si="10"/>
        <v>0.219</v>
      </c>
      <c r="BS56" s="47">
        <f t="shared" si="5"/>
        <v>0</v>
      </c>
      <c r="BT56" s="44">
        <v>0</v>
      </c>
      <c r="BV56" s="16" t="s">
        <v>233</v>
      </c>
      <c r="BW56" s="16" t="s">
        <v>233</v>
      </c>
      <c r="BX56" s="3">
        <f t="shared" si="11"/>
        <v>-1.2</v>
      </c>
      <c r="BY56" s="16" t="s">
        <v>233</v>
      </c>
      <c r="BZ56" s="16" t="s">
        <v>233</v>
      </c>
      <c r="CA56" s="16" t="s">
        <v>233</v>
      </c>
      <c r="CB56" s="16" t="s">
        <v>233</v>
      </c>
      <c r="CC56" s="16" t="s">
        <v>233</v>
      </c>
      <c r="CD56" s="16" t="s">
        <v>233</v>
      </c>
      <c r="CE56" s="16" t="s">
        <v>233</v>
      </c>
      <c r="CF56" s="1">
        <f t="shared" si="12"/>
        <v>1.7</v>
      </c>
      <c r="CG56" s="16" t="s">
        <v>233</v>
      </c>
      <c r="CH56" s="16" t="s">
        <v>233</v>
      </c>
      <c r="CI56" s="16" t="s">
        <v>233</v>
      </c>
      <c r="CJ56" s="16" t="s">
        <v>233</v>
      </c>
      <c r="CK56" s="16" t="s">
        <v>233</v>
      </c>
      <c r="CL56" s="16" t="s">
        <v>233</v>
      </c>
      <c r="CM56" s="16" t="s">
        <v>233</v>
      </c>
      <c r="CN56" s="1">
        <f t="shared" si="13"/>
        <v>-3.5</v>
      </c>
      <c r="CO56" s="16" t="s">
        <v>233</v>
      </c>
      <c r="CP56" s="16" t="s">
        <v>233</v>
      </c>
      <c r="CQ56" s="16" t="s">
        <v>233</v>
      </c>
      <c r="CR56" s="16" t="s">
        <v>233</v>
      </c>
      <c r="CS56" s="16" t="s">
        <v>233</v>
      </c>
      <c r="CT56" s="16" t="s">
        <v>233</v>
      </c>
      <c r="CU56" s="16" t="s">
        <v>233</v>
      </c>
      <c r="CV56" s="18" t="s">
        <v>233</v>
      </c>
      <c r="CW56" s="1">
        <f>ROUND(PPTest!K56,1)</f>
        <v>4.2</v>
      </c>
      <c r="CX56" s="16" t="s">
        <v>233</v>
      </c>
      <c r="CY56" s="16" t="s">
        <v>233</v>
      </c>
      <c r="CZ56" s="20">
        <f t="shared" si="14"/>
        <v>0.47099999999999997</v>
      </c>
      <c r="DA56" s="20">
        <f t="shared" si="15"/>
        <v>0.219</v>
      </c>
      <c r="DB56" s="16" t="s">
        <v>233</v>
      </c>
      <c r="DZ56" s="1">
        <v>-0.8</v>
      </c>
      <c r="EA56" s="1">
        <v>2.2999999999999998</v>
      </c>
      <c r="EB56" s="1">
        <v>-2.2999999999999998</v>
      </c>
      <c r="EC56" s="1">
        <v>4.2</v>
      </c>
    </row>
    <row r="57" spans="1:133" x14ac:dyDescent="0.2">
      <c r="A57" s="40">
        <v>35115</v>
      </c>
      <c r="B57" s="34">
        <v>51</v>
      </c>
      <c r="C57" s="34"/>
      <c r="D57" s="34"/>
      <c r="E57" s="55">
        <f t="shared" si="0"/>
        <v>-2.7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41"/>
      <c r="Q57" s="34"/>
      <c r="R57" s="55">
        <f t="shared" si="1"/>
        <v>0.1</v>
      </c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41"/>
      <c r="AE57" s="34"/>
      <c r="AF57" s="55">
        <f t="shared" si="2"/>
        <v>-4.5999999999999996</v>
      </c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"/>
      <c r="BE57" s="3"/>
      <c r="BF57" s="3"/>
      <c r="BH57" s="16">
        <v>10.93</v>
      </c>
      <c r="BI57" s="16">
        <f t="shared" si="16"/>
        <v>22.078599999999998</v>
      </c>
      <c r="BJ57" s="17"/>
      <c r="BK57" s="17"/>
      <c r="BP57" s="57">
        <f t="shared" si="4"/>
        <v>0.434</v>
      </c>
      <c r="BQ57" s="57">
        <f t="shared" si="10"/>
        <v>0.18099999999999999</v>
      </c>
      <c r="BS57" s="47">
        <f t="shared" si="5"/>
        <v>0</v>
      </c>
      <c r="BT57" s="44">
        <v>0</v>
      </c>
      <c r="BV57" s="16" t="s">
        <v>233</v>
      </c>
      <c r="BW57" s="16" t="s">
        <v>233</v>
      </c>
      <c r="BX57" s="3">
        <f t="shared" si="11"/>
        <v>-2.7</v>
      </c>
      <c r="BY57" s="16" t="s">
        <v>233</v>
      </c>
      <c r="BZ57" s="16" t="s">
        <v>233</v>
      </c>
      <c r="CA57" s="16" t="s">
        <v>233</v>
      </c>
      <c r="CB57" s="16" t="s">
        <v>233</v>
      </c>
      <c r="CC57" s="16" t="s">
        <v>233</v>
      </c>
      <c r="CD57" s="16" t="s">
        <v>233</v>
      </c>
      <c r="CE57" s="16" t="s">
        <v>233</v>
      </c>
      <c r="CF57" s="1">
        <f t="shared" si="12"/>
        <v>0.1</v>
      </c>
      <c r="CG57" s="16" t="s">
        <v>233</v>
      </c>
      <c r="CH57" s="16" t="s">
        <v>233</v>
      </c>
      <c r="CI57" s="16" t="s">
        <v>233</v>
      </c>
      <c r="CJ57" s="16" t="s">
        <v>233</v>
      </c>
      <c r="CK57" s="16" t="s">
        <v>233</v>
      </c>
      <c r="CL57" s="16" t="s">
        <v>233</v>
      </c>
      <c r="CM57" s="16" t="s">
        <v>233</v>
      </c>
      <c r="CN57" s="1">
        <f t="shared" si="13"/>
        <v>-4.5999999999999996</v>
      </c>
      <c r="CO57" s="16" t="s">
        <v>233</v>
      </c>
      <c r="CP57" s="16" t="s">
        <v>233</v>
      </c>
      <c r="CQ57" s="16" t="s">
        <v>233</v>
      </c>
      <c r="CR57" s="16" t="s">
        <v>233</v>
      </c>
      <c r="CS57" s="16" t="s">
        <v>233</v>
      </c>
      <c r="CT57" s="16" t="s">
        <v>233</v>
      </c>
      <c r="CU57" s="16" t="s">
        <v>233</v>
      </c>
      <c r="CV57" s="18" t="s">
        <v>233</v>
      </c>
      <c r="CW57" s="1">
        <f>ROUND(PPTest!K57,1)</f>
        <v>2.2000000000000002</v>
      </c>
      <c r="CX57" s="16" t="s">
        <v>233</v>
      </c>
      <c r="CY57" s="16" t="s">
        <v>233</v>
      </c>
      <c r="CZ57" s="20">
        <f t="shared" si="14"/>
        <v>0.434</v>
      </c>
      <c r="DA57" s="20">
        <f t="shared" si="15"/>
        <v>0.18099999999999999</v>
      </c>
      <c r="DB57" s="16" t="s">
        <v>233</v>
      </c>
      <c r="DZ57" s="1">
        <v>-2.1</v>
      </c>
      <c r="EA57" s="1">
        <v>0.6</v>
      </c>
      <c r="EB57" s="1">
        <v>-3.3</v>
      </c>
      <c r="EC57" s="1">
        <v>2.2000000000000002</v>
      </c>
    </row>
    <row r="58" spans="1:133" x14ac:dyDescent="0.2">
      <c r="A58" s="40">
        <v>35116</v>
      </c>
      <c r="B58" s="34">
        <v>52</v>
      </c>
      <c r="C58" s="34"/>
      <c r="D58" s="34"/>
      <c r="E58" s="55">
        <f t="shared" si="0"/>
        <v>-5.4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41"/>
      <c r="Q58" s="34"/>
      <c r="R58" s="55">
        <f t="shared" si="1"/>
        <v>-1.8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41"/>
      <c r="AE58" s="34"/>
      <c r="AF58" s="55">
        <f t="shared" si="2"/>
        <v>-9.1</v>
      </c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"/>
      <c r="BE58" s="3"/>
      <c r="BF58" s="3"/>
      <c r="BH58" s="16">
        <v>11.14</v>
      </c>
      <c r="BI58" s="16">
        <f t="shared" si="16"/>
        <v>22.502800000000001</v>
      </c>
      <c r="BJ58" s="17"/>
      <c r="BK58" s="17"/>
      <c r="BP58" s="57">
        <f t="shared" si="4"/>
        <v>0.307</v>
      </c>
      <c r="BQ58" s="57">
        <f t="shared" si="10"/>
        <v>0.22800000000000001</v>
      </c>
      <c r="BS58" s="47">
        <f t="shared" si="5"/>
        <v>0</v>
      </c>
      <c r="BT58" s="44">
        <v>0</v>
      </c>
      <c r="BV58" s="16" t="s">
        <v>233</v>
      </c>
      <c r="BW58" s="16" t="s">
        <v>233</v>
      </c>
      <c r="BX58" s="3">
        <f t="shared" si="11"/>
        <v>-5.4</v>
      </c>
      <c r="BY58" s="16" t="s">
        <v>233</v>
      </c>
      <c r="BZ58" s="16" t="s">
        <v>233</v>
      </c>
      <c r="CA58" s="16" t="s">
        <v>233</v>
      </c>
      <c r="CB58" s="16" t="s">
        <v>233</v>
      </c>
      <c r="CC58" s="16" t="s">
        <v>233</v>
      </c>
      <c r="CD58" s="16" t="s">
        <v>233</v>
      </c>
      <c r="CE58" s="16" t="s">
        <v>233</v>
      </c>
      <c r="CF58" s="1">
        <f t="shared" si="12"/>
        <v>-1.8</v>
      </c>
      <c r="CG58" s="16" t="s">
        <v>233</v>
      </c>
      <c r="CH58" s="16" t="s">
        <v>233</v>
      </c>
      <c r="CI58" s="16" t="s">
        <v>233</v>
      </c>
      <c r="CJ58" s="16" t="s">
        <v>233</v>
      </c>
      <c r="CK58" s="16" t="s">
        <v>233</v>
      </c>
      <c r="CL58" s="16" t="s">
        <v>233</v>
      </c>
      <c r="CM58" s="16" t="s">
        <v>233</v>
      </c>
      <c r="CN58" s="1">
        <f t="shared" si="13"/>
        <v>-9.1</v>
      </c>
      <c r="CO58" s="16" t="s">
        <v>233</v>
      </c>
      <c r="CP58" s="16" t="s">
        <v>233</v>
      </c>
      <c r="CQ58" s="16" t="s">
        <v>233</v>
      </c>
      <c r="CR58" s="16" t="s">
        <v>233</v>
      </c>
      <c r="CS58" s="16" t="s">
        <v>233</v>
      </c>
      <c r="CT58" s="16" t="s">
        <v>233</v>
      </c>
      <c r="CU58" s="16" t="s">
        <v>233</v>
      </c>
      <c r="CV58" s="18" t="s">
        <v>233</v>
      </c>
      <c r="CW58" s="1">
        <f>ROUND(PPTest!K58,1)</f>
        <v>5.6</v>
      </c>
      <c r="CX58" s="16" t="s">
        <v>233</v>
      </c>
      <c r="CY58" s="16" t="s">
        <v>233</v>
      </c>
      <c r="CZ58" s="20">
        <f t="shared" si="14"/>
        <v>0.307</v>
      </c>
      <c r="DA58" s="20">
        <f t="shared" si="15"/>
        <v>0.22800000000000001</v>
      </c>
      <c r="DB58" s="16" t="s">
        <v>233</v>
      </c>
      <c r="DZ58" s="1">
        <v>-4.4000000000000004</v>
      </c>
      <c r="EA58" s="1">
        <v>-1.4</v>
      </c>
      <c r="EB58" s="1">
        <v>-7.4</v>
      </c>
      <c r="EC58" s="1">
        <v>5.6</v>
      </c>
    </row>
    <row r="59" spans="1:133" x14ac:dyDescent="0.2">
      <c r="A59" s="40">
        <v>35117</v>
      </c>
      <c r="B59" s="34">
        <v>53</v>
      </c>
      <c r="C59" s="34"/>
      <c r="D59" s="34"/>
      <c r="E59" s="55">
        <f t="shared" si="0"/>
        <v>-8.6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41"/>
      <c r="Q59" s="34"/>
      <c r="R59" s="55">
        <f t="shared" si="1"/>
        <v>-6.1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41"/>
      <c r="AE59" s="34"/>
      <c r="AF59" s="55">
        <f t="shared" si="2"/>
        <v>-11.5</v>
      </c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"/>
      <c r="BE59" s="3"/>
      <c r="BF59" s="3"/>
      <c r="BH59" s="16">
        <v>11.37</v>
      </c>
      <c r="BI59" s="16">
        <f t="shared" si="16"/>
        <v>22.967399999999998</v>
      </c>
      <c r="BJ59" s="17"/>
      <c r="BK59" s="17"/>
      <c r="BP59" s="57">
        <f t="shared" si="4"/>
        <v>0.253</v>
      </c>
      <c r="BQ59" s="57">
        <f t="shared" si="10"/>
        <v>0.13400000000000001</v>
      </c>
      <c r="BS59" s="47">
        <f t="shared" si="5"/>
        <v>0</v>
      </c>
      <c r="BT59" s="44">
        <v>0</v>
      </c>
      <c r="BV59" s="16" t="s">
        <v>233</v>
      </c>
      <c r="BW59" s="16" t="s">
        <v>233</v>
      </c>
      <c r="BX59" s="3">
        <f t="shared" si="11"/>
        <v>-8.6</v>
      </c>
      <c r="BY59" s="16" t="s">
        <v>233</v>
      </c>
      <c r="BZ59" s="16" t="s">
        <v>233</v>
      </c>
      <c r="CA59" s="16" t="s">
        <v>233</v>
      </c>
      <c r="CB59" s="16" t="s">
        <v>233</v>
      </c>
      <c r="CC59" s="16" t="s">
        <v>233</v>
      </c>
      <c r="CD59" s="16" t="s">
        <v>233</v>
      </c>
      <c r="CE59" s="16" t="s">
        <v>233</v>
      </c>
      <c r="CF59" s="1">
        <f t="shared" si="12"/>
        <v>-6.1</v>
      </c>
      <c r="CG59" s="16" t="s">
        <v>233</v>
      </c>
      <c r="CH59" s="16" t="s">
        <v>233</v>
      </c>
      <c r="CI59" s="16" t="s">
        <v>233</v>
      </c>
      <c r="CJ59" s="16" t="s">
        <v>233</v>
      </c>
      <c r="CK59" s="16" t="s">
        <v>233</v>
      </c>
      <c r="CL59" s="16" t="s">
        <v>233</v>
      </c>
      <c r="CM59" s="16" t="s">
        <v>233</v>
      </c>
      <c r="CN59" s="1">
        <f t="shared" si="13"/>
        <v>-11.5</v>
      </c>
      <c r="CO59" s="16" t="s">
        <v>233</v>
      </c>
      <c r="CP59" s="16" t="s">
        <v>233</v>
      </c>
      <c r="CQ59" s="16" t="s">
        <v>233</v>
      </c>
      <c r="CR59" s="16" t="s">
        <v>233</v>
      </c>
      <c r="CS59" s="16" t="s">
        <v>233</v>
      </c>
      <c r="CT59" s="16" t="s">
        <v>233</v>
      </c>
      <c r="CU59" s="16" t="s">
        <v>233</v>
      </c>
      <c r="CV59" s="18" t="s">
        <v>233</v>
      </c>
      <c r="CW59" s="1">
        <f>ROUND(PPTest!K59,1)</f>
        <v>1.1000000000000001</v>
      </c>
      <c r="CX59" s="16" t="s">
        <v>233</v>
      </c>
      <c r="CY59" s="16" t="s">
        <v>233</v>
      </c>
      <c r="CZ59" s="20">
        <f t="shared" si="14"/>
        <v>0.253</v>
      </c>
      <c r="DA59" s="20">
        <f t="shared" si="15"/>
        <v>0.13400000000000001</v>
      </c>
      <c r="DB59" s="16" t="s">
        <v>233</v>
      </c>
      <c r="DZ59" s="1">
        <v>-7.1</v>
      </c>
      <c r="EA59" s="1">
        <v>-5.9</v>
      </c>
      <c r="EB59" s="1">
        <v>-9.5</v>
      </c>
      <c r="EC59" s="1">
        <v>1.1000000000000001</v>
      </c>
    </row>
    <row r="60" spans="1:133" x14ac:dyDescent="0.2">
      <c r="A60" s="40">
        <v>35118</v>
      </c>
      <c r="B60" s="34">
        <v>54</v>
      </c>
      <c r="C60" s="34"/>
      <c r="D60" s="34"/>
      <c r="E60" s="55">
        <f t="shared" si="0"/>
        <v>-10.7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41"/>
      <c r="Q60" s="34"/>
      <c r="R60" s="55">
        <f t="shared" si="1"/>
        <v>-3.9</v>
      </c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41"/>
      <c r="AE60" s="34"/>
      <c r="AF60" s="55">
        <f t="shared" si="2"/>
        <v>-18.899999999999999</v>
      </c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"/>
      <c r="BE60" s="3"/>
      <c r="BF60" s="3"/>
      <c r="BH60" s="16">
        <v>11.59</v>
      </c>
      <c r="BI60" s="16">
        <f t="shared" si="16"/>
        <v>23.411799999999999</v>
      </c>
      <c r="BJ60" s="17"/>
      <c r="BK60" s="17"/>
      <c r="BP60" s="57">
        <f t="shared" si="4"/>
        <v>0.13700000000000001</v>
      </c>
      <c r="BQ60" s="57">
        <f t="shared" si="10"/>
        <v>0.32</v>
      </c>
      <c r="BS60" s="47">
        <f t="shared" si="5"/>
        <v>0</v>
      </c>
      <c r="BT60" s="44">
        <v>0</v>
      </c>
      <c r="BV60" s="16" t="s">
        <v>233</v>
      </c>
      <c r="BW60" s="16" t="s">
        <v>233</v>
      </c>
      <c r="BX60" s="3">
        <f t="shared" si="11"/>
        <v>-10.7</v>
      </c>
      <c r="BY60" s="16" t="s">
        <v>233</v>
      </c>
      <c r="BZ60" s="16" t="s">
        <v>233</v>
      </c>
      <c r="CA60" s="16" t="s">
        <v>233</v>
      </c>
      <c r="CB60" s="16" t="s">
        <v>233</v>
      </c>
      <c r="CC60" s="16" t="s">
        <v>233</v>
      </c>
      <c r="CD60" s="16" t="s">
        <v>233</v>
      </c>
      <c r="CE60" s="16" t="s">
        <v>233</v>
      </c>
      <c r="CF60" s="1">
        <f t="shared" si="12"/>
        <v>-3.9</v>
      </c>
      <c r="CG60" s="16" t="s">
        <v>233</v>
      </c>
      <c r="CH60" s="16" t="s">
        <v>233</v>
      </c>
      <c r="CI60" s="16" t="s">
        <v>233</v>
      </c>
      <c r="CJ60" s="16" t="s">
        <v>233</v>
      </c>
      <c r="CK60" s="16" t="s">
        <v>233</v>
      </c>
      <c r="CL60" s="16" t="s">
        <v>233</v>
      </c>
      <c r="CM60" s="16" t="s">
        <v>233</v>
      </c>
      <c r="CN60" s="1">
        <f t="shared" si="13"/>
        <v>-18.899999999999999</v>
      </c>
      <c r="CO60" s="16" t="s">
        <v>233</v>
      </c>
      <c r="CP60" s="16" t="s">
        <v>233</v>
      </c>
      <c r="CQ60" s="16" t="s">
        <v>233</v>
      </c>
      <c r="CR60" s="16" t="s">
        <v>233</v>
      </c>
      <c r="CS60" s="16" t="s">
        <v>233</v>
      </c>
      <c r="CT60" s="16" t="s">
        <v>233</v>
      </c>
      <c r="CU60" s="16" t="s">
        <v>233</v>
      </c>
      <c r="CV60" s="18" t="s">
        <v>233</v>
      </c>
      <c r="CW60" s="1">
        <f>ROUND(PPTest!K60,1)</f>
        <v>1.9</v>
      </c>
      <c r="CX60" s="16" t="s">
        <v>233</v>
      </c>
      <c r="CY60" s="16" t="s">
        <v>233</v>
      </c>
      <c r="CZ60" s="20">
        <f t="shared" si="14"/>
        <v>0.13700000000000001</v>
      </c>
      <c r="DA60" s="20">
        <f t="shared" si="15"/>
        <v>0.32</v>
      </c>
      <c r="DB60" s="16" t="s">
        <v>233</v>
      </c>
      <c r="DZ60" s="1">
        <v>-8.8000000000000007</v>
      </c>
      <c r="EA60" s="1">
        <v>-3.6</v>
      </c>
      <c r="EB60" s="1">
        <v>-16.3</v>
      </c>
      <c r="EC60" s="1">
        <v>1.9</v>
      </c>
    </row>
    <row r="61" spans="1:133" x14ac:dyDescent="0.2">
      <c r="A61" s="40">
        <v>35119</v>
      </c>
      <c r="B61" s="34">
        <v>55</v>
      </c>
      <c r="C61" s="34"/>
      <c r="D61" s="34"/>
      <c r="E61" s="55">
        <f t="shared" si="0"/>
        <v>-13.1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41"/>
      <c r="Q61" s="34"/>
      <c r="R61" s="55">
        <f t="shared" si="1"/>
        <v>-5.7</v>
      </c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41"/>
      <c r="AE61" s="34"/>
      <c r="AF61" s="55">
        <f t="shared" si="2"/>
        <v>-20.3</v>
      </c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"/>
      <c r="BE61" s="3"/>
      <c r="BF61" s="3"/>
      <c r="BH61" s="16">
        <v>11.82</v>
      </c>
      <c r="BI61" s="16">
        <f t="shared" si="16"/>
        <v>23.8764</v>
      </c>
      <c r="BJ61" s="17"/>
      <c r="BK61" s="17"/>
      <c r="BP61" s="57">
        <f t="shared" si="4"/>
        <v>0.121</v>
      </c>
      <c r="BQ61" s="57">
        <f t="shared" si="10"/>
        <v>0.27800000000000002</v>
      </c>
      <c r="BS61" s="47">
        <f t="shared" si="5"/>
        <v>0</v>
      </c>
      <c r="BT61" s="44">
        <v>0</v>
      </c>
      <c r="BV61" s="16" t="s">
        <v>233</v>
      </c>
      <c r="BW61" s="16" t="s">
        <v>233</v>
      </c>
      <c r="BX61" s="3">
        <f t="shared" si="11"/>
        <v>-13.1</v>
      </c>
      <c r="BY61" s="16" t="s">
        <v>233</v>
      </c>
      <c r="BZ61" s="16" t="s">
        <v>233</v>
      </c>
      <c r="CA61" s="16" t="s">
        <v>233</v>
      </c>
      <c r="CB61" s="16" t="s">
        <v>233</v>
      </c>
      <c r="CC61" s="16" t="s">
        <v>233</v>
      </c>
      <c r="CD61" s="16" t="s">
        <v>233</v>
      </c>
      <c r="CE61" s="16" t="s">
        <v>233</v>
      </c>
      <c r="CF61" s="1">
        <f t="shared" si="12"/>
        <v>-5.7</v>
      </c>
      <c r="CG61" s="16" t="s">
        <v>233</v>
      </c>
      <c r="CH61" s="16" t="s">
        <v>233</v>
      </c>
      <c r="CI61" s="16" t="s">
        <v>233</v>
      </c>
      <c r="CJ61" s="16" t="s">
        <v>233</v>
      </c>
      <c r="CK61" s="16" t="s">
        <v>233</v>
      </c>
      <c r="CL61" s="16" t="s">
        <v>233</v>
      </c>
      <c r="CM61" s="16" t="s">
        <v>233</v>
      </c>
      <c r="CN61" s="1">
        <f t="shared" si="13"/>
        <v>-20.3</v>
      </c>
      <c r="CO61" s="16" t="s">
        <v>233</v>
      </c>
      <c r="CP61" s="16" t="s">
        <v>233</v>
      </c>
      <c r="CQ61" s="16" t="s">
        <v>233</v>
      </c>
      <c r="CR61" s="16" t="s">
        <v>233</v>
      </c>
      <c r="CS61" s="16" t="s">
        <v>233</v>
      </c>
      <c r="CT61" s="16" t="s">
        <v>233</v>
      </c>
      <c r="CU61" s="16" t="s">
        <v>233</v>
      </c>
      <c r="CV61" s="18" t="s">
        <v>233</v>
      </c>
      <c r="CW61" s="1">
        <f>ROUND(PPTest!K61,1)</f>
        <v>0</v>
      </c>
      <c r="CX61" s="16" t="s">
        <v>233</v>
      </c>
      <c r="CY61" s="16" t="s">
        <v>233</v>
      </c>
      <c r="CZ61" s="20">
        <f t="shared" si="14"/>
        <v>0.121</v>
      </c>
      <c r="DA61" s="20">
        <f t="shared" si="15"/>
        <v>0.27800000000000002</v>
      </c>
      <c r="DB61" s="16" t="s">
        <v>233</v>
      </c>
      <c r="DZ61" s="1">
        <v>-10.8</v>
      </c>
      <c r="EA61" s="1">
        <v>-5.5</v>
      </c>
      <c r="EB61" s="1">
        <v>-17.5</v>
      </c>
      <c r="EC61" s="1">
        <v>0</v>
      </c>
    </row>
    <row r="62" spans="1:133" x14ac:dyDescent="0.2">
      <c r="A62" s="40">
        <v>35120</v>
      </c>
      <c r="B62" s="34">
        <v>56</v>
      </c>
      <c r="C62" s="34"/>
      <c r="D62" s="34"/>
      <c r="E62" s="55">
        <f t="shared" si="0"/>
        <v>-13.1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41"/>
      <c r="Q62" s="34"/>
      <c r="R62" s="55">
        <f t="shared" si="1"/>
        <v>-8.6999999999999993</v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41"/>
      <c r="AE62" s="34"/>
      <c r="AF62" s="55">
        <f t="shared" si="2"/>
        <v>-16</v>
      </c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"/>
      <c r="BE62" s="3"/>
      <c r="BF62" s="3"/>
      <c r="BH62" s="16">
        <v>12.04</v>
      </c>
      <c r="BI62" s="16">
        <f t="shared" si="16"/>
        <v>24.320799999999998</v>
      </c>
      <c r="BJ62" s="17"/>
      <c r="BK62" s="17"/>
      <c r="BP62" s="57">
        <f t="shared" si="4"/>
        <v>0.17499999999999999</v>
      </c>
      <c r="BQ62" s="57">
        <f t="shared" si="10"/>
        <v>0.14099999999999999</v>
      </c>
      <c r="BS62" s="47">
        <f t="shared" si="5"/>
        <v>0</v>
      </c>
      <c r="BT62" s="44">
        <v>0</v>
      </c>
      <c r="BV62" s="16" t="s">
        <v>233</v>
      </c>
      <c r="BW62" s="16" t="s">
        <v>233</v>
      </c>
      <c r="BX62" s="3">
        <f t="shared" si="11"/>
        <v>-13.1</v>
      </c>
      <c r="BY62" s="16" t="s">
        <v>233</v>
      </c>
      <c r="BZ62" s="16" t="s">
        <v>233</v>
      </c>
      <c r="CA62" s="16" t="s">
        <v>233</v>
      </c>
      <c r="CB62" s="16" t="s">
        <v>233</v>
      </c>
      <c r="CC62" s="16" t="s">
        <v>233</v>
      </c>
      <c r="CD62" s="16" t="s">
        <v>233</v>
      </c>
      <c r="CE62" s="16" t="s">
        <v>233</v>
      </c>
      <c r="CF62" s="1">
        <f t="shared" si="12"/>
        <v>-8.6999999999999993</v>
      </c>
      <c r="CG62" s="16" t="s">
        <v>233</v>
      </c>
      <c r="CH62" s="16" t="s">
        <v>233</v>
      </c>
      <c r="CI62" s="16" t="s">
        <v>233</v>
      </c>
      <c r="CJ62" s="16" t="s">
        <v>233</v>
      </c>
      <c r="CK62" s="16" t="s">
        <v>233</v>
      </c>
      <c r="CL62" s="16" t="s">
        <v>233</v>
      </c>
      <c r="CM62" s="16" t="s">
        <v>233</v>
      </c>
      <c r="CN62" s="1">
        <f t="shared" si="13"/>
        <v>-16</v>
      </c>
      <c r="CO62" s="16" t="s">
        <v>233</v>
      </c>
      <c r="CP62" s="16" t="s">
        <v>233</v>
      </c>
      <c r="CQ62" s="16" t="s">
        <v>233</v>
      </c>
      <c r="CR62" s="16" t="s">
        <v>233</v>
      </c>
      <c r="CS62" s="16" t="s">
        <v>233</v>
      </c>
      <c r="CT62" s="16" t="s">
        <v>233</v>
      </c>
      <c r="CU62" s="16" t="s">
        <v>233</v>
      </c>
      <c r="CV62" s="18" t="s">
        <v>233</v>
      </c>
      <c r="CW62" s="1">
        <f>ROUND(PPTest!K62,1)</f>
        <v>0</v>
      </c>
      <c r="CX62" s="16" t="s">
        <v>233</v>
      </c>
      <c r="CY62" s="16" t="s">
        <v>233</v>
      </c>
      <c r="CZ62" s="20">
        <f t="shared" si="14"/>
        <v>0.17499999999999999</v>
      </c>
      <c r="DA62" s="20">
        <f t="shared" si="15"/>
        <v>0.14099999999999999</v>
      </c>
      <c r="DB62" s="16" t="s">
        <v>233</v>
      </c>
      <c r="DZ62" s="1">
        <v>-10.8</v>
      </c>
      <c r="EA62" s="1">
        <v>-8.6</v>
      </c>
      <c r="EB62" s="1">
        <v>-13.6</v>
      </c>
      <c r="EC62" s="1">
        <v>0</v>
      </c>
    </row>
    <row r="63" spans="1:133" x14ac:dyDescent="0.2">
      <c r="A63" s="40">
        <v>35121</v>
      </c>
      <c r="B63" s="34">
        <v>57</v>
      </c>
      <c r="C63" s="34"/>
      <c r="D63" s="34"/>
      <c r="E63" s="55">
        <f t="shared" si="0"/>
        <v>-17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41"/>
      <c r="Q63" s="34"/>
      <c r="R63" s="55">
        <f t="shared" si="1"/>
        <v>-7.2</v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41"/>
      <c r="AE63" s="34"/>
      <c r="AF63" s="55">
        <f t="shared" si="2"/>
        <v>-23.8</v>
      </c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"/>
      <c r="BE63" s="3"/>
      <c r="BF63" s="3"/>
      <c r="BH63" s="16">
        <v>12.27</v>
      </c>
      <c r="BI63" s="16">
        <f t="shared" si="16"/>
        <v>24.785399999999999</v>
      </c>
      <c r="BJ63" s="17"/>
      <c r="BK63" s="17"/>
      <c r="BP63" s="57">
        <f t="shared" si="4"/>
        <v>8.8999999999999996E-2</v>
      </c>
      <c r="BQ63" s="57">
        <f t="shared" si="10"/>
        <v>0.26700000000000002</v>
      </c>
      <c r="BS63" s="47">
        <f t="shared" si="5"/>
        <v>0</v>
      </c>
      <c r="BT63" s="44">
        <v>0</v>
      </c>
      <c r="BV63" s="16" t="s">
        <v>233</v>
      </c>
      <c r="BW63" s="16" t="s">
        <v>233</v>
      </c>
      <c r="BX63" s="3">
        <f t="shared" si="11"/>
        <v>-17</v>
      </c>
      <c r="BY63" s="16" t="s">
        <v>233</v>
      </c>
      <c r="BZ63" s="16" t="s">
        <v>233</v>
      </c>
      <c r="CA63" s="16" t="s">
        <v>233</v>
      </c>
      <c r="CB63" s="16" t="s">
        <v>233</v>
      </c>
      <c r="CC63" s="16" t="s">
        <v>233</v>
      </c>
      <c r="CD63" s="16" t="s">
        <v>233</v>
      </c>
      <c r="CE63" s="16" t="s">
        <v>233</v>
      </c>
      <c r="CF63" s="1">
        <f t="shared" si="12"/>
        <v>-7.2</v>
      </c>
      <c r="CG63" s="16" t="s">
        <v>233</v>
      </c>
      <c r="CH63" s="16" t="s">
        <v>233</v>
      </c>
      <c r="CI63" s="16" t="s">
        <v>233</v>
      </c>
      <c r="CJ63" s="16" t="s">
        <v>233</v>
      </c>
      <c r="CK63" s="16" t="s">
        <v>233</v>
      </c>
      <c r="CL63" s="16" t="s">
        <v>233</v>
      </c>
      <c r="CM63" s="16" t="s">
        <v>233</v>
      </c>
      <c r="CN63" s="1">
        <f t="shared" si="13"/>
        <v>-23.8</v>
      </c>
      <c r="CO63" s="16" t="s">
        <v>233</v>
      </c>
      <c r="CP63" s="16" t="s">
        <v>233</v>
      </c>
      <c r="CQ63" s="16" t="s">
        <v>233</v>
      </c>
      <c r="CR63" s="16" t="s">
        <v>233</v>
      </c>
      <c r="CS63" s="16" t="s">
        <v>233</v>
      </c>
      <c r="CT63" s="16" t="s">
        <v>233</v>
      </c>
      <c r="CU63" s="16" t="s">
        <v>233</v>
      </c>
      <c r="CV63" s="18" t="s">
        <v>233</v>
      </c>
      <c r="CW63" s="1">
        <f>ROUND(PPTest!K63,1)</f>
        <v>0.4</v>
      </c>
      <c r="CX63" s="16" t="s">
        <v>233</v>
      </c>
      <c r="CY63" s="16" t="s">
        <v>233</v>
      </c>
      <c r="CZ63" s="20">
        <f t="shared" si="14"/>
        <v>8.8999999999999996E-2</v>
      </c>
      <c r="DA63" s="20">
        <f t="shared" si="15"/>
        <v>0.26700000000000002</v>
      </c>
      <c r="DB63" s="16" t="s">
        <v>233</v>
      </c>
      <c r="DZ63" s="1">
        <v>-14.1</v>
      </c>
      <c r="EA63" s="1">
        <v>-7.1</v>
      </c>
      <c r="EB63" s="1">
        <v>-20.7</v>
      </c>
      <c r="EC63" s="1">
        <v>0.4</v>
      </c>
    </row>
    <row r="64" spans="1:133" x14ac:dyDescent="0.2">
      <c r="A64" s="40">
        <v>35122</v>
      </c>
      <c r="B64" s="34">
        <v>58</v>
      </c>
      <c r="C64" s="34"/>
      <c r="D64" s="34"/>
      <c r="E64" s="55">
        <f t="shared" si="0"/>
        <v>-17.8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41"/>
      <c r="Q64" s="34"/>
      <c r="R64" s="55">
        <f t="shared" si="1"/>
        <v>-9.1999999999999993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41"/>
      <c r="AE64" s="34"/>
      <c r="AF64" s="55">
        <f t="shared" si="2"/>
        <v>-24.3</v>
      </c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"/>
      <c r="BE64" s="3"/>
      <c r="BF64" s="3"/>
      <c r="BH64" s="16">
        <v>12.51</v>
      </c>
      <c r="BI64" s="16">
        <f t="shared" ref="BI64" si="17">BH64*$BI$1</f>
        <v>25.270199999999999</v>
      </c>
      <c r="BJ64" s="17"/>
      <c r="BK64" s="17"/>
      <c r="BP64" s="57">
        <f t="shared" si="4"/>
        <v>8.5000000000000006E-2</v>
      </c>
      <c r="BQ64" s="57">
        <f t="shared" si="10"/>
        <v>0.219</v>
      </c>
      <c r="BS64" s="47">
        <f t="shared" si="5"/>
        <v>0</v>
      </c>
      <c r="BT64" s="44">
        <v>0</v>
      </c>
      <c r="BV64" s="16" t="s">
        <v>233</v>
      </c>
      <c r="BW64" s="16" t="s">
        <v>233</v>
      </c>
      <c r="BX64" s="3">
        <f t="shared" si="11"/>
        <v>-17.8</v>
      </c>
      <c r="BY64" s="16" t="s">
        <v>233</v>
      </c>
      <c r="BZ64" s="16" t="s">
        <v>233</v>
      </c>
      <c r="CA64" s="16" t="s">
        <v>233</v>
      </c>
      <c r="CB64" s="16" t="s">
        <v>233</v>
      </c>
      <c r="CC64" s="16" t="s">
        <v>233</v>
      </c>
      <c r="CD64" s="16" t="s">
        <v>233</v>
      </c>
      <c r="CE64" s="16" t="s">
        <v>233</v>
      </c>
      <c r="CF64" s="1">
        <f t="shared" si="12"/>
        <v>-9.1999999999999993</v>
      </c>
      <c r="CG64" s="16" t="s">
        <v>233</v>
      </c>
      <c r="CH64" s="16" t="s">
        <v>233</v>
      </c>
      <c r="CI64" s="16" t="s">
        <v>233</v>
      </c>
      <c r="CJ64" s="16" t="s">
        <v>233</v>
      </c>
      <c r="CK64" s="16" t="s">
        <v>233</v>
      </c>
      <c r="CL64" s="16" t="s">
        <v>233</v>
      </c>
      <c r="CM64" s="16" t="s">
        <v>233</v>
      </c>
      <c r="CN64" s="1">
        <f t="shared" si="13"/>
        <v>-24.3</v>
      </c>
      <c r="CO64" s="16" t="s">
        <v>233</v>
      </c>
      <c r="CP64" s="16" t="s">
        <v>233</v>
      </c>
      <c r="CQ64" s="16" t="s">
        <v>233</v>
      </c>
      <c r="CR64" s="16" t="s">
        <v>233</v>
      </c>
      <c r="CS64" s="16" t="s">
        <v>233</v>
      </c>
      <c r="CT64" s="16" t="s">
        <v>233</v>
      </c>
      <c r="CU64" s="16" t="s">
        <v>233</v>
      </c>
      <c r="CV64" s="18" t="s">
        <v>233</v>
      </c>
      <c r="CW64" s="1">
        <f>ROUND(PPTest!K64,1)</f>
        <v>0.3</v>
      </c>
      <c r="CX64" s="16" t="s">
        <v>233</v>
      </c>
      <c r="CY64" s="16" t="s">
        <v>233</v>
      </c>
      <c r="CZ64" s="20">
        <f t="shared" si="14"/>
        <v>8.5000000000000006E-2</v>
      </c>
      <c r="DA64" s="20">
        <f t="shared" si="15"/>
        <v>0.219</v>
      </c>
      <c r="DB64" s="16" t="s">
        <v>233</v>
      </c>
      <c r="DZ64" s="1">
        <v>-14.8</v>
      </c>
      <c r="EA64" s="1">
        <v>-9.1999999999999993</v>
      </c>
      <c r="EB64" s="1">
        <v>-21.2</v>
      </c>
      <c r="EC64" s="1">
        <v>0.3</v>
      </c>
    </row>
    <row r="65" spans="1:133" x14ac:dyDescent="0.2">
      <c r="A65" s="40">
        <v>35123</v>
      </c>
      <c r="B65" s="34">
        <v>59</v>
      </c>
      <c r="C65" s="34"/>
      <c r="D65" s="34"/>
      <c r="E65" s="55">
        <f t="shared" si="0"/>
        <v>-16.7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41"/>
      <c r="Q65" s="34"/>
      <c r="R65" s="55">
        <f t="shared" si="1"/>
        <v>-5.5</v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41"/>
      <c r="AE65" s="34"/>
      <c r="AF65" s="55">
        <f t="shared" si="2"/>
        <v>-24.1</v>
      </c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"/>
      <c r="BE65" s="3"/>
      <c r="BF65" s="3"/>
      <c r="BH65" s="16">
        <v>12.75</v>
      </c>
      <c r="BI65" s="16">
        <f t="shared" si="16"/>
        <v>25.754999999999999</v>
      </c>
      <c r="BJ65" s="17"/>
      <c r="BK65" s="17"/>
      <c r="BP65" s="57">
        <f t="shared" si="4"/>
        <v>8.6999999999999994E-2</v>
      </c>
      <c r="BQ65" s="57">
        <f t="shared" si="10"/>
        <v>0.318</v>
      </c>
      <c r="BS65" s="47">
        <f t="shared" si="5"/>
        <v>0</v>
      </c>
      <c r="BT65" s="44">
        <v>0</v>
      </c>
      <c r="BV65" s="16" t="s">
        <v>233</v>
      </c>
      <c r="BW65" s="16" t="s">
        <v>233</v>
      </c>
      <c r="BX65" s="3">
        <f t="shared" si="11"/>
        <v>-16.7</v>
      </c>
      <c r="BY65" s="16" t="s">
        <v>233</v>
      </c>
      <c r="BZ65" s="16" t="s">
        <v>233</v>
      </c>
      <c r="CA65" s="16" t="s">
        <v>233</v>
      </c>
      <c r="CB65" s="16" t="s">
        <v>233</v>
      </c>
      <c r="CC65" s="16" t="s">
        <v>233</v>
      </c>
      <c r="CD65" s="16" t="s">
        <v>233</v>
      </c>
      <c r="CE65" s="16" t="s">
        <v>233</v>
      </c>
      <c r="CF65" s="1">
        <f t="shared" si="12"/>
        <v>-5.5</v>
      </c>
      <c r="CG65" s="16" t="s">
        <v>233</v>
      </c>
      <c r="CH65" s="16" t="s">
        <v>233</v>
      </c>
      <c r="CI65" s="16" t="s">
        <v>233</v>
      </c>
      <c r="CJ65" s="16" t="s">
        <v>233</v>
      </c>
      <c r="CK65" s="16" t="s">
        <v>233</v>
      </c>
      <c r="CL65" s="16" t="s">
        <v>233</v>
      </c>
      <c r="CM65" s="16" t="s">
        <v>233</v>
      </c>
      <c r="CN65" s="1">
        <f t="shared" si="13"/>
        <v>-24.1</v>
      </c>
      <c r="CO65" s="16" t="s">
        <v>233</v>
      </c>
      <c r="CP65" s="16" t="s">
        <v>233</v>
      </c>
      <c r="CQ65" s="16" t="s">
        <v>233</v>
      </c>
      <c r="CR65" s="16" t="s">
        <v>233</v>
      </c>
      <c r="CS65" s="16" t="s">
        <v>233</v>
      </c>
      <c r="CT65" s="16" t="s">
        <v>233</v>
      </c>
      <c r="CU65" s="16" t="s">
        <v>233</v>
      </c>
      <c r="CV65" s="18" t="s">
        <v>233</v>
      </c>
      <c r="CW65" s="1">
        <f>ROUND(PPTest!K65,1)</f>
        <v>0</v>
      </c>
      <c r="CX65" s="16" t="s">
        <v>233</v>
      </c>
      <c r="CY65" s="16" t="s">
        <v>233</v>
      </c>
      <c r="CZ65" s="20">
        <f t="shared" si="14"/>
        <v>8.6999999999999994E-2</v>
      </c>
      <c r="DA65" s="20">
        <f t="shared" si="15"/>
        <v>0.318</v>
      </c>
      <c r="DB65" s="16" t="s">
        <v>233</v>
      </c>
      <c r="DZ65" s="1">
        <v>-13.9</v>
      </c>
      <c r="EA65" s="1">
        <v>-5.3</v>
      </c>
      <c r="EB65" s="1">
        <v>-21</v>
      </c>
      <c r="EC65" s="1">
        <v>0</v>
      </c>
    </row>
    <row r="66" spans="1:133" x14ac:dyDescent="0.2">
      <c r="A66" s="40">
        <v>35124</v>
      </c>
      <c r="B66" s="34">
        <v>60</v>
      </c>
      <c r="C66" s="34"/>
      <c r="D66" s="34"/>
      <c r="E66" s="55">
        <f>ROUND(1.19*DZ66-0.2,1)</f>
        <v>-12.3</v>
      </c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41"/>
      <c r="Q66" s="34"/>
      <c r="R66" s="55">
        <f>ROUND(0.95*EA66-0.5,1)</f>
        <v>-1.7</v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41"/>
      <c r="AE66" s="34"/>
      <c r="AF66" s="55">
        <f>ROUND(1.1*EB66-1,1)</f>
        <v>-22.7</v>
      </c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"/>
      <c r="BE66" s="3"/>
      <c r="BF66" s="3"/>
      <c r="BH66" s="16">
        <v>12.98</v>
      </c>
      <c r="BI66" s="16">
        <f t="shared" si="16"/>
        <v>26.2196</v>
      </c>
      <c r="BJ66" s="17"/>
      <c r="BK66" s="17"/>
      <c r="BP66" s="57">
        <f t="shared" si="4"/>
        <v>9.8000000000000004E-2</v>
      </c>
      <c r="BQ66" s="57">
        <f t="shared" si="10"/>
        <v>0.441</v>
      </c>
      <c r="BS66" s="47">
        <f t="shared" si="5"/>
        <v>0</v>
      </c>
      <c r="BT66" s="44">
        <v>0</v>
      </c>
      <c r="BV66" s="16" t="s">
        <v>233</v>
      </c>
      <c r="BW66" s="16" t="s">
        <v>233</v>
      </c>
      <c r="BX66" s="3">
        <f t="shared" si="11"/>
        <v>-12.3</v>
      </c>
      <c r="BY66" s="16" t="s">
        <v>233</v>
      </c>
      <c r="BZ66" s="16" t="s">
        <v>233</v>
      </c>
      <c r="CA66" s="16" t="s">
        <v>233</v>
      </c>
      <c r="CB66" s="16" t="s">
        <v>233</v>
      </c>
      <c r="CC66" s="16" t="s">
        <v>233</v>
      </c>
      <c r="CD66" s="16" t="s">
        <v>233</v>
      </c>
      <c r="CE66" s="16" t="s">
        <v>233</v>
      </c>
      <c r="CF66" s="1">
        <f t="shared" si="12"/>
        <v>-1.7</v>
      </c>
      <c r="CG66" s="16" t="s">
        <v>233</v>
      </c>
      <c r="CH66" s="16" t="s">
        <v>233</v>
      </c>
      <c r="CI66" s="16" t="s">
        <v>233</v>
      </c>
      <c r="CJ66" s="16" t="s">
        <v>233</v>
      </c>
      <c r="CK66" s="16" t="s">
        <v>233</v>
      </c>
      <c r="CL66" s="16" t="s">
        <v>233</v>
      </c>
      <c r="CM66" s="16" t="s">
        <v>233</v>
      </c>
      <c r="CN66" s="1">
        <f t="shared" si="13"/>
        <v>-22.7</v>
      </c>
      <c r="CO66" s="16" t="s">
        <v>233</v>
      </c>
      <c r="CP66" s="16" t="s">
        <v>233</v>
      </c>
      <c r="CQ66" s="16" t="s">
        <v>233</v>
      </c>
      <c r="CR66" s="16" t="s">
        <v>233</v>
      </c>
      <c r="CS66" s="16" t="s">
        <v>233</v>
      </c>
      <c r="CT66" s="16" t="s">
        <v>233</v>
      </c>
      <c r="CU66" s="16" t="s">
        <v>233</v>
      </c>
      <c r="CV66" s="18" t="s">
        <v>233</v>
      </c>
      <c r="CW66" s="1">
        <f>ROUND(PPTest!K66,1)</f>
        <v>0</v>
      </c>
      <c r="CX66" s="16" t="s">
        <v>233</v>
      </c>
      <c r="CY66" s="16" t="s">
        <v>233</v>
      </c>
      <c r="CZ66" s="20">
        <f t="shared" si="14"/>
        <v>9.8000000000000004E-2</v>
      </c>
      <c r="DA66" s="20">
        <f t="shared" si="15"/>
        <v>0.441</v>
      </c>
      <c r="DB66" s="16" t="s">
        <v>233</v>
      </c>
      <c r="DZ66" s="1">
        <v>-10.199999999999999</v>
      </c>
      <c r="EA66" s="1">
        <v>-1.3</v>
      </c>
      <c r="EB66" s="1">
        <v>-19.7</v>
      </c>
      <c r="EC66" s="1">
        <v>0</v>
      </c>
    </row>
    <row r="67" spans="1:133" x14ac:dyDescent="0.2">
      <c r="A67" s="40">
        <v>35125</v>
      </c>
      <c r="B67" s="34">
        <v>61</v>
      </c>
      <c r="C67" s="34"/>
      <c r="D67" s="34"/>
      <c r="E67" s="55">
        <f t="shared" ref="E67:E74" si="18">ROUND(1.19*DZ67-0.2,1)</f>
        <v>-5.3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41"/>
      <c r="Q67" s="34"/>
      <c r="R67" s="55">
        <f t="shared" ref="R67:R74" si="19">ROUND(0.95*EA67-0.5,1)</f>
        <v>6.7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41"/>
      <c r="AE67" s="34"/>
      <c r="AF67" s="55">
        <f t="shared" ref="AF67:AF74" si="20">ROUND(1.1*EB67-1,1)</f>
        <v>-16.3</v>
      </c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"/>
      <c r="BE67" s="3"/>
      <c r="BF67" s="3"/>
      <c r="BH67" s="16">
        <v>13.23</v>
      </c>
      <c r="BI67" s="16">
        <f t="shared" si="16"/>
        <v>26.724600000000002</v>
      </c>
      <c r="BJ67" s="17"/>
      <c r="BK67" s="17"/>
      <c r="BP67" s="57">
        <f t="shared" si="4"/>
        <v>0.17100000000000001</v>
      </c>
      <c r="BQ67" s="57">
        <f t="shared" si="10"/>
        <v>0.81</v>
      </c>
      <c r="BS67" s="47">
        <f t="shared" si="5"/>
        <v>0</v>
      </c>
      <c r="BT67" s="44">
        <v>0</v>
      </c>
      <c r="BV67" s="16" t="s">
        <v>233</v>
      </c>
      <c r="BW67" s="16" t="s">
        <v>233</v>
      </c>
      <c r="BX67" s="3">
        <f t="shared" si="11"/>
        <v>-5.3</v>
      </c>
      <c r="BY67" s="16" t="s">
        <v>233</v>
      </c>
      <c r="BZ67" s="16" t="s">
        <v>233</v>
      </c>
      <c r="CA67" s="16" t="s">
        <v>233</v>
      </c>
      <c r="CB67" s="16" t="s">
        <v>233</v>
      </c>
      <c r="CC67" s="16" t="s">
        <v>233</v>
      </c>
      <c r="CD67" s="16" t="s">
        <v>233</v>
      </c>
      <c r="CE67" s="16" t="s">
        <v>233</v>
      </c>
      <c r="CF67" s="1">
        <f t="shared" si="12"/>
        <v>6.7</v>
      </c>
      <c r="CG67" s="16" t="s">
        <v>233</v>
      </c>
      <c r="CH67" s="16" t="s">
        <v>233</v>
      </c>
      <c r="CI67" s="16" t="s">
        <v>233</v>
      </c>
      <c r="CJ67" s="16" t="s">
        <v>233</v>
      </c>
      <c r="CK67" s="16" t="s">
        <v>233</v>
      </c>
      <c r="CL67" s="16" t="s">
        <v>233</v>
      </c>
      <c r="CM67" s="16" t="s">
        <v>233</v>
      </c>
      <c r="CN67" s="1">
        <f t="shared" si="13"/>
        <v>-16.3</v>
      </c>
      <c r="CO67" s="16" t="s">
        <v>233</v>
      </c>
      <c r="CP67" s="16" t="s">
        <v>233</v>
      </c>
      <c r="CQ67" s="16" t="s">
        <v>233</v>
      </c>
      <c r="CR67" s="16" t="s">
        <v>233</v>
      </c>
      <c r="CS67" s="16" t="s">
        <v>233</v>
      </c>
      <c r="CT67" s="16" t="s">
        <v>233</v>
      </c>
      <c r="CU67" s="16" t="s">
        <v>233</v>
      </c>
      <c r="CV67" s="18" t="s">
        <v>233</v>
      </c>
      <c r="CW67" s="1">
        <f>ROUND(PPTest!K67,1)</f>
        <v>0</v>
      </c>
      <c r="CX67" s="16" t="s">
        <v>233</v>
      </c>
      <c r="CY67" s="16" t="s">
        <v>233</v>
      </c>
      <c r="CZ67" s="20">
        <f t="shared" si="14"/>
        <v>0.17100000000000001</v>
      </c>
      <c r="DA67" s="20">
        <f t="shared" si="15"/>
        <v>0.81</v>
      </c>
      <c r="DB67" s="16" t="s">
        <v>233</v>
      </c>
      <c r="DZ67" s="1">
        <v>-4.3</v>
      </c>
      <c r="EA67" s="1">
        <v>7.6</v>
      </c>
      <c r="EB67" s="1">
        <v>-13.9</v>
      </c>
      <c r="EC67" s="1">
        <v>0</v>
      </c>
    </row>
    <row r="68" spans="1:133" x14ac:dyDescent="0.2">
      <c r="A68" s="40">
        <v>35126</v>
      </c>
      <c r="B68" s="34">
        <v>62</v>
      </c>
      <c r="C68" s="34"/>
      <c r="D68" s="34"/>
      <c r="E68" s="55">
        <f t="shared" si="18"/>
        <v>-2.8</v>
      </c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41"/>
      <c r="Q68" s="34"/>
      <c r="R68" s="55">
        <f t="shared" si="19"/>
        <v>5.0999999999999996</v>
      </c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41"/>
      <c r="AE68" s="34"/>
      <c r="AF68" s="55">
        <f t="shared" si="20"/>
        <v>-12.6</v>
      </c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"/>
      <c r="BE68" s="3"/>
      <c r="BF68" s="3"/>
      <c r="BH68" s="16">
        <v>13.47</v>
      </c>
      <c r="BI68" s="16">
        <f t="shared" si="16"/>
        <v>27.209400000000002</v>
      </c>
      <c r="BJ68" s="17"/>
      <c r="BK68" s="17"/>
      <c r="BP68" s="57">
        <f t="shared" si="4"/>
        <v>0.23200000000000001</v>
      </c>
      <c r="BQ68" s="57">
        <f t="shared" si="10"/>
        <v>0.64600000000000002</v>
      </c>
      <c r="BS68" s="38"/>
      <c r="BT68" s="8"/>
      <c r="BU68" s="18"/>
      <c r="BV68" s="16" t="s">
        <v>233</v>
      </c>
      <c r="BW68" s="16" t="s">
        <v>233</v>
      </c>
      <c r="BX68" s="3">
        <f t="shared" si="11"/>
        <v>-2.8</v>
      </c>
      <c r="BY68" s="16" t="s">
        <v>233</v>
      </c>
      <c r="BZ68" s="16" t="s">
        <v>233</v>
      </c>
      <c r="CA68" s="16" t="s">
        <v>233</v>
      </c>
      <c r="CB68" s="16" t="s">
        <v>233</v>
      </c>
      <c r="CC68" s="16" t="s">
        <v>233</v>
      </c>
      <c r="CD68" s="16" t="s">
        <v>233</v>
      </c>
      <c r="CE68" s="16" t="s">
        <v>233</v>
      </c>
      <c r="CF68" s="1">
        <f t="shared" si="12"/>
        <v>5.0999999999999996</v>
      </c>
      <c r="CG68" s="16" t="s">
        <v>233</v>
      </c>
      <c r="CH68" s="16" t="s">
        <v>233</v>
      </c>
      <c r="CI68" s="16" t="s">
        <v>233</v>
      </c>
      <c r="CJ68" s="16" t="s">
        <v>233</v>
      </c>
      <c r="CK68" s="16" t="s">
        <v>233</v>
      </c>
      <c r="CL68" s="16" t="s">
        <v>233</v>
      </c>
      <c r="CM68" s="16" t="s">
        <v>233</v>
      </c>
      <c r="CN68" s="1">
        <f t="shared" si="13"/>
        <v>-12.6</v>
      </c>
      <c r="CO68" s="16" t="s">
        <v>233</v>
      </c>
      <c r="CP68" s="16" t="s">
        <v>233</v>
      </c>
      <c r="CQ68" s="16" t="s">
        <v>233</v>
      </c>
      <c r="CR68" s="16" t="s">
        <v>233</v>
      </c>
      <c r="CS68" s="16" t="s">
        <v>233</v>
      </c>
      <c r="CT68" s="16" t="s">
        <v>233</v>
      </c>
      <c r="CU68" s="16" t="s">
        <v>233</v>
      </c>
      <c r="CV68" s="18" t="s">
        <v>233</v>
      </c>
      <c r="CW68" s="1">
        <f>ROUND(PPTest!K68,1)</f>
        <v>0</v>
      </c>
      <c r="CX68" s="16" t="s">
        <v>233</v>
      </c>
      <c r="CY68" s="16" t="s">
        <v>233</v>
      </c>
      <c r="CZ68" s="20">
        <f t="shared" si="14"/>
        <v>0.23200000000000001</v>
      </c>
      <c r="DA68" s="20">
        <f t="shared" si="15"/>
        <v>0.64600000000000002</v>
      </c>
      <c r="DB68" s="16" t="s">
        <v>233</v>
      </c>
      <c r="DC68" s="18"/>
      <c r="DZ68" s="1">
        <v>-2.2000000000000002</v>
      </c>
      <c r="EA68" s="1">
        <v>5.9</v>
      </c>
      <c r="EB68" s="1">
        <v>-10.5</v>
      </c>
      <c r="EC68" s="1">
        <v>0</v>
      </c>
    </row>
    <row r="69" spans="1:133" x14ac:dyDescent="0.2">
      <c r="A69" s="40">
        <v>35127</v>
      </c>
      <c r="B69" s="34">
        <v>63</v>
      </c>
      <c r="C69" s="34"/>
      <c r="D69" s="34"/>
      <c r="E69" s="55">
        <f t="shared" si="18"/>
        <v>-7.7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41"/>
      <c r="Q69" s="34"/>
      <c r="R69" s="55">
        <f t="shared" si="19"/>
        <v>-3.2</v>
      </c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41"/>
      <c r="AE69" s="34"/>
      <c r="AF69" s="55">
        <f t="shared" si="20"/>
        <v>-12.4</v>
      </c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"/>
      <c r="BE69" s="3"/>
      <c r="BF69" s="3"/>
      <c r="BH69" s="16">
        <v>13.71</v>
      </c>
      <c r="BI69" s="16">
        <f t="shared" si="16"/>
        <v>27.694200000000002</v>
      </c>
      <c r="BJ69" s="17"/>
      <c r="BK69" s="17"/>
      <c r="BP69" s="57">
        <f t="shared" si="4"/>
        <v>0.23599999999999999</v>
      </c>
      <c r="BQ69" s="57">
        <f t="shared" si="10"/>
        <v>0.246</v>
      </c>
      <c r="BS69" s="38"/>
      <c r="BT69" s="8"/>
      <c r="BV69" s="16" t="s">
        <v>233</v>
      </c>
      <c r="BW69" s="16" t="s">
        <v>233</v>
      </c>
      <c r="BX69" s="3">
        <f t="shared" si="11"/>
        <v>-7.7</v>
      </c>
      <c r="BY69" s="16" t="s">
        <v>233</v>
      </c>
      <c r="BZ69" s="16" t="s">
        <v>233</v>
      </c>
      <c r="CA69" s="16" t="s">
        <v>233</v>
      </c>
      <c r="CB69" s="16" t="s">
        <v>233</v>
      </c>
      <c r="CC69" s="16" t="s">
        <v>233</v>
      </c>
      <c r="CD69" s="16" t="s">
        <v>233</v>
      </c>
      <c r="CE69" s="16" t="s">
        <v>233</v>
      </c>
      <c r="CF69" s="1">
        <f t="shared" si="12"/>
        <v>-3.2</v>
      </c>
      <c r="CG69" s="16" t="s">
        <v>233</v>
      </c>
      <c r="CH69" s="16" t="s">
        <v>233</v>
      </c>
      <c r="CI69" s="16" t="s">
        <v>233</v>
      </c>
      <c r="CJ69" s="16" t="s">
        <v>233</v>
      </c>
      <c r="CK69" s="16" t="s">
        <v>233</v>
      </c>
      <c r="CL69" s="16" t="s">
        <v>233</v>
      </c>
      <c r="CM69" s="16" t="s">
        <v>233</v>
      </c>
      <c r="CN69" s="1">
        <f t="shared" si="13"/>
        <v>-12.4</v>
      </c>
      <c r="CO69" s="16" t="s">
        <v>233</v>
      </c>
      <c r="CP69" s="16" t="s">
        <v>233</v>
      </c>
      <c r="CQ69" s="16" t="s">
        <v>233</v>
      </c>
      <c r="CR69" s="16" t="s">
        <v>233</v>
      </c>
      <c r="CS69" s="16" t="s">
        <v>233</v>
      </c>
      <c r="CT69" s="16" t="s">
        <v>233</v>
      </c>
      <c r="CU69" s="16" t="s">
        <v>233</v>
      </c>
      <c r="CV69" s="18" t="s">
        <v>233</v>
      </c>
      <c r="CW69" s="1">
        <f>ROUND(PPTest!K69,1)</f>
        <v>3.6</v>
      </c>
      <c r="CX69" s="16" t="s">
        <v>233</v>
      </c>
      <c r="CY69" s="16" t="s">
        <v>233</v>
      </c>
      <c r="CZ69" s="20">
        <f t="shared" si="14"/>
        <v>0.23599999999999999</v>
      </c>
      <c r="DA69" s="20">
        <f t="shared" si="15"/>
        <v>0.246</v>
      </c>
      <c r="DB69" s="16" t="s">
        <v>233</v>
      </c>
      <c r="DZ69" s="1">
        <v>-6.3</v>
      </c>
      <c r="EA69" s="1">
        <v>-2.8</v>
      </c>
      <c r="EB69" s="1">
        <v>-10.4</v>
      </c>
      <c r="EC69" s="1">
        <v>3.6</v>
      </c>
    </row>
    <row r="70" spans="1:133" x14ac:dyDescent="0.2">
      <c r="A70" s="40">
        <v>35128</v>
      </c>
      <c r="B70" s="34">
        <v>64</v>
      </c>
      <c r="C70" s="34"/>
      <c r="D70" s="34"/>
      <c r="E70" s="55">
        <f t="shared" si="18"/>
        <v>-13.9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41"/>
      <c r="Q70" s="34"/>
      <c r="R70" s="55">
        <f t="shared" si="19"/>
        <v>-9.5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41"/>
      <c r="AE70" s="34"/>
      <c r="AF70" s="55">
        <f t="shared" si="20"/>
        <v>-15.2</v>
      </c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"/>
      <c r="BE70" s="3"/>
      <c r="BF70" s="3"/>
      <c r="BH70" s="16">
        <v>13.95</v>
      </c>
      <c r="BI70" s="16">
        <f t="shared" si="16"/>
        <v>28.178999999999998</v>
      </c>
      <c r="BJ70" s="17"/>
      <c r="BK70" s="17"/>
      <c r="BP70" s="57">
        <f t="shared" si="4"/>
        <v>0.187</v>
      </c>
      <c r="BQ70" s="57">
        <f t="shared" si="10"/>
        <v>0.11</v>
      </c>
      <c r="BS70" s="38"/>
      <c r="BT70" s="8"/>
      <c r="BV70" s="16" t="s">
        <v>233</v>
      </c>
      <c r="BW70" s="16" t="s">
        <v>233</v>
      </c>
      <c r="BX70" s="3">
        <f t="shared" si="11"/>
        <v>-13.9</v>
      </c>
      <c r="BY70" s="16" t="s">
        <v>233</v>
      </c>
      <c r="BZ70" s="16" t="s">
        <v>233</v>
      </c>
      <c r="CA70" s="16" t="s">
        <v>233</v>
      </c>
      <c r="CB70" s="16" t="s">
        <v>233</v>
      </c>
      <c r="CC70" s="16" t="s">
        <v>233</v>
      </c>
      <c r="CD70" s="16" t="s">
        <v>233</v>
      </c>
      <c r="CE70" s="16" t="s">
        <v>233</v>
      </c>
      <c r="CF70" s="1">
        <f t="shared" si="12"/>
        <v>-9.5</v>
      </c>
      <c r="CG70" s="16" t="s">
        <v>233</v>
      </c>
      <c r="CH70" s="16" t="s">
        <v>233</v>
      </c>
      <c r="CI70" s="16" t="s">
        <v>233</v>
      </c>
      <c r="CJ70" s="16" t="s">
        <v>233</v>
      </c>
      <c r="CK70" s="16" t="s">
        <v>233</v>
      </c>
      <c r="CL70" s="16" t="s">
        <v>233</v>
      </c>
      <c r="CM70" s="16" t="s">
        <v>233</v>
      </c>
      <c r="CN70" s="1">
        <f t="shared" si="13"/>
        <v>-15.2</v>
      </c>
      <c r="CO70" s="16" t="s">
        <v>233</v>
      </c>
      <c r="CP70" s="16" t="s">
        <v>233</v>
      </c>
      <c r="CQ70" s="16" t="s">
        <v>233</v>
      </c>
      <c r="CR70" s="16" t="s">
        <v>233</v>
      </c>
      <c r="CS70" s="16" t="s">
        <v>233</v>
      </c>
      <c r="CT70" s="16" t="s">
        <v>233</v>
      </c>
      <c r="CU70" s="16" t="s">
        <v>233</v>
      </c>
      <c r="CV70" s="18" t="s">
        <v>233</v>
      </c>
      <c r="CW70" s="1">
        <f>ROUND(PPTest!K70,1)</f>
        <v>0</v>
      </c>
      <c r="CX70" s="16" t="s">
        <v>233</v>
      </c>
      <c r="CY70" s="16" t="s">
        <v>233</v>
      </c>
      <c r="CZ70" s="20">
        <f t="shared" si="14"/>
        <v>0.187</v>
      </c>
      <c r="DA70" s="20">
        <f t="shared" si="15"/>
        <v>0.11</v>
      </c>
      <c r="DB70" s="16" t="s">
        <v>233</v>
      </c>
      <c r="DZ70" s="1">
        <v>-11.5</v>
      </c>
      <c r="EA70" s="1">
        <v>-9.5</v>
      </c>
      <c r="EB70" s="1">
        <v>-12.9</v>
      </c>
      <c r="EC70" s="1">
        <v>0</v>
      </c>
    </row>
    <row r="71" spans="1:133" x14ac:dyDescent="0.2">
      <c r="A71" s="40">
        <v>35129</v>
      </c>
      <c r="B71" s="34">
        <v>65</v>
      </c>
      <c r="C71" s="34"/>
      <c r="D71" s="34"/>
      <c r="E71" s="55">
        <f t="shared" si="18"/>
        <v>-13.6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41"/>
      <c r="Q71" s="34"/>
      <c r="R71" s="55">
        <f t="shared" si="19"/>
        <v>-4.5999999999999996</v>
      </c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41"/>
      <c r="AE71" s="34"/>
      <c r="AF71" s="55">
        <f t="shared" si="20"/>
        <v>-18.5</v>
      </c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"/>
      <c r="BE71" s="3"/>
      <c r="BF71" s="3"/>
      <c r="BH71" s="16">
        <v>14.21</v>
      </c>
      <c r="BI71" s="16">
        <f t="shared" ref="BI71:BI134" si="21">BH71*$BI$1</f>
        <v>28.704200000000004</v>
      </c>
      <c r="BJ71" s="17"/>
      <c r="BK71" s="17"/>
      <c r="BP71" s="57">
        <f t="shared" ref="BP71:BP134" si="22">ROUND(0.6105*(EXP((17.273*AF71)/(AF71+237.3))), 3)</f>
        <v>0.14199999999999999</v>
      </c>
      <c r="BQ71" s="57">
        <f t="shared" si="10"/>
        <v>0.29199999999999998</v>
      </c>
      <c r="BS71" s="38"/>
      <c r="BT71" s="8"/>
      <c r="BV71" s="16" t="s">
        <v>233</v>
      </c>
      <c r="BW71" s="16" t="s">
        <v>233</v>
      </c>
      <c r="BX71" s="3">
        <f t="shared" si="11"/>
        <v>-13.6</v>
      </c>
      <c r="BY71" s="16" t="s">
        <v>233</v>
      </c>
      <c r="BZ71" s="16" t="s">
        <v>233</v>
      </c>
      <c r="CA71" s="16" t="s">
        <v>233</v>
      </c>
      <c r="CB71" s="16" t="s">
        <v>233</v>
      </c>
      <c r="CC71" s="16" t="s">
        <v>233</v>
      </c>
      <c r="CD71" s="16" t="s">
        <v>233</v>
      </c>
      <c r="CE71" s="16" t="s">
        <v>233</v>
      </c>
      <c r="CF71" s="1">
        <f t="shared" si="12"/>
        <v>-4.5999999999999996</v>
      </c>
      <c r="CG71" s="16" t="s">
        <v>233</v>
      </c>
      <c r="CH71" s="16" t="s">
        <v>233</v>
      </c>
      <c r="CI71" s="16" t="s">
        <v>233</v>
      </c>
      <c r="CJ71" s="16" t="s">
        <v>233</v>
      </c>
      <c r="CK71" s="16" t="s">
        <v>233</v>
      </c>
      <c r="CL71" s="16" t="s">
        <v>233</v>
      </c>
      <c r="CM71" s="16" t="s">
        <v>233</v>
      </c>
      <c r="CN71" s="1">
        <f t="shared" si="13"/>
        <v>-18.5</v>
      </c>
      <c r="CO71" s="16" t="s">
        <v>233</v>
      </c>
      <c r="CP71" s="16" t="s">
        <v>233</v>
      </c>
      <c r="CQ71" s="16" t="s">
        <v>233</v>
      </c>
      <c r="CR71" s="16" t="s">
        <v>233</v>
      </c>
      <c r="CS71" s="16" t="s">
        <v>233</v>
      </c>
      <c r="CT71" s="16" t="s">
        <v>233</v>
      </c>
      <c r="CU71" s="16" t="s">
        <v>233</v>
      </c>
      <c r="CV71" s="18" t="s">
        <v>233</v>
      </c>
      <c r="CW71" s="1">
        <f>ROUND(PPTest!K71,1)</f>
        <v>1.2</v>
      </c>
      <c r="CX71" s="16" t="s">
        <v>233</v>
      </c>
      <c r="CY71" s="16" t="s">
        <v>233</v>
      </c>
      <c r="CZ71" s="20">
        <f t="shared" si="14"/>
        <v>0.14199999999999999</v>
      </c>
      <c r="DA71" s="20">
        <f t="shared" si="15"/>
        <v>0.29199999999999998</v>
      </c>
      <c r="DB71" s="16" t="s">
        <v>233</v>
      </c>
      <c r="DZ71" s="1">
        <v>-11.3</v>
      </c>
      <c r="EA71" s="1">
        <v>-4.3</v>
      </c>
      <c r="EB71" s="1">
        <v>-15.9</v>
      </c>
      <c r="EC71" s="1">
        <v>1.2</v>
      </c>
    </row>
    <row r="72" spans="1:133" x14ac:dyDescent="0.2">
      <c r="A72" s="40">
        <v>35130</v>
      </c>
      <c r="B72" s="34">
        <v>66</v>
      </c>
      <c r="C72" s="34"/>
      <c r="D72" s="34"/>
      <c r="E72" s="55">
        <f t="shared" si="18"/>
        <v>-9</v>
      </c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41"/>
      <c r="Q72" s="34"/>
      <c r="R72" s="55">
        <f t="shared" si="19"/>
        <v>-2.8</v>
      </c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41"/>
      <c r="AE72" s="34"/>
      <c r="AF72" s="55">
        <f t="shared" si="20"/>
        <v>-18.7</v>
      </c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"/>
      <c r="BE72" s="3"/>
      <c r="BF72" s="3"/>
      <c r="BH72" s="16">
        <v>14.45</v>
      </c>
      <c r="BI72" s="16">
        <f t="shared" si="21"/>
        <v>29.189</v>
      </c>
      <c r="BJ72" s="17"/>
      <c r="BK72" s="17"/>
      <c r="BP72" s="57">
        <f t="shared" si="22"/>
        <v>0.13900000000000001</v>
      </c>
      <c r="BQ72" s="57">
        <f t="shared" ref="BQ72:BQ135" si="23">ROUND(0.6105*(EXP((17.273*R72)/(R72+237.3)))-BP72, 3)</f>
        <v>0.35799999999999998</v>
      </c>
      <c r="BS72" s="38"/>
      <c r="BT72" s="8"/>
      <c r="BV72" s="16" t="s">
        <v>233</v>
      </c>
      <c r="BW72" s="16" t="s">
        <v>233</v>
      </c>
      <c r="BX72" s="3">
        <f t="shared" ref="BX72:BX135" si="24">ROUND(E72,1)</f>
        <v>-9</v>
      </c>
      <c r="BY72" s="16" t="s">
        <v>233</v>
      </c>
      <c r="BZ72" s="16" t="s">
        <v>233</v>
      </c>
      <c r="CA72" s="16" t="s">
        <v>233</v>
      </c>
      <c r="CB72" s="16" t="s">
        <v>233</v>
      </c>
      <c r="CC72" s="16" t="s">
        <v>233</v>
      </c>
      <c r="CD72" s="16" t="s">
        <v>233</v>
      </c>
      <c r="CE72" s="16" t="s">
        <v>233</v>
      </c>
      <c r="CF72" s="1">
        <f t="shared" ref="CF72:CF135" si="25">ROUND(R72,1)</f>
        <v>-2.8</v>
      </c>
      <c r="CG72" s="16" t="s">
        <v>233</v>
      </c>
      <c r="CH72" s="16" t="s">
        <v>233</v>
      </c>
      <c r="CI72" s="16" t="s">
        <v>233</v>
      </c>
      <c r="CJ72" s="16" t="s">
        <v>233</v>
      </c>
      <c r="CK72" s="16" t="s">
        <v>233</v>
      </c>
      <c r="CL72" s="16" t="s">
        <v>233</v>
      </c>
      <c r="CM72" s="16" t="s">
        <v>233</v>
      </c>
      <c r="CN72" s="1">
        <f t="shared" ref="CN72:CN135" si="26">ROUND(AF72,1)</f>
        <v>-18.7</v>
      </c>
      <c r="CO72" s="16" t="s">
        <v>233</v>
      </c>
      <c r="CP72" s="16" t="s">
        <v>233</v>
      </c>
      <c r="CQ72" s="16" t="s">
        <v>233</v>
      </c>
      <c r="CR72" s="16" t="s">
        <v>233</v>
      </c>
      <c r="CS72" s="16" t="s">
        <v>233</v>
      </c>
      <c r="CT72" s="16" t="s">
        <v>233</v>
      </c>
      <c r="CU72" s="16" t="s">
        <v>233</v>
      </c>
      <c r="CV72" s="18" t="s">
        <v>233</v>
      </c>
      <c r="CW72" s="1">
        <f>ROUND(PPTest!K72,1)</f>
        <v>0.3</v>
      </c>
      <c r="CX72" s="16" t="s">
        <v>233</v>
      </c>
      <c r="CY72" s="16" t="s">
        <v>233</v>
      </c>
      <c r="CZ72" s="20">
        <f t="shared" ref="CZ72:CZ135" si="27">BP72</f>
        <v>0.13900000000000001</v>
      </c>
      <c r="DA72" s="20">
        <f t="shared" ref="DA72:DA135" si="28">BQ72</f>
        <v>0.35799999999999998</v>
      </c>
      <c r="DB72" s="16" t="s">
        <v>233</v>
      </c>
      <c r="DZ72" s="1">
        <v>-7.4</v>
      </c>
      <c r="EA72" s="1">
        <v>-2.4</v>
      </c>
      <c r="EB72" s="1">
        <v>-16.100000000000001</v>
      </c>
      <c r="EC72" s="1">
        <v>0.3</v>
      </c>
    </row>
    <row r="73" spans="1:133" x14ac:dyDescent="0.2">
      <c r="A73" s="40">
        <v>35131</v>
      </c>
      <c r="B73" s="34">
        <v>67</v>
      </c>
      <c r="C73" s="34"/>
      <c r="D73" s="34"/>
      <c r="E73" s="55">
        <f t="shared" si="18"/>
        <v>-6.5</v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41"/>
      <c r="Q73" s="34"/>
      <c r="R73" s="55">
        <f t="shared" si="19"/>
        <v>-3.4</v>
      </c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41"/>
      <c r="AE73" s="34"/>
      <c r="AF73" s="55">
        <f t="shared" si="20"/>
        <v>-12.2</v>
      </c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"/>
      <c r="BE73" s="3"/>
      <c r="BF73" s="3"/>
      <c r="BH73" s="16">
        <v>14.7</v>
      </c>
      <c r="BI73" s="16">
        <f t="shared" si="21"/>
        <v>29.693999999999999</v>
      </c>
      <c r="BJ73" s="17"/>
      <c r="BK73" s="17"/>
      <c r="BP73" s="57">
        <f t="shared" si="22"/>
        <v>0.23899999999999999</v>
      </c>
      <c r="BQ73" s="57">
        <f t="shared" si="23"/>
        <v>0.23599999999999999</v>
      </c>
      <c r="BS73" s="38"/>
      <c r="BT73" s="8"/>
      <c r="BV73" s="16" t="s">
        <v>233</v>
      </c>
      <c r="BW73" s="16" t="s">
        <v>233</v>
      </c>
      <c r="BX73" s="3">
        <f t="shared" si="24"/>
        <v>-6.5</v>
      </c>
      <c r="BY73" s="16" t="s">
        <v>233</v>
      </c>
      <c r="BZ73" s="16" t="s">
        <v>233</v>
      </c>
      <c r="CA73" s="16" t="s">
        <v>233</v>
      </c>
      <c r="CB73" s="16" t="s">
        <v>233</v>
      </c>
      <c r="CC73" s="16" t="s">
        <v>233</v>
      </c>
      <c r="CD73" s="16" t="s">
        <v>233</v>
      </c>
      <c r="CE73" s="16" t="s">
        <v>233</v>
      </c>
      <c r="CF73" s="1">
        <f t="shared" si="25"/>
        <v>-3.4</v>
      </c>
      <c r="CG73" s="16" t="s">
        <v>233</v>
      </c>
      <c r="CH73" s="16" t="s">
        <v>233</v>
      </c>
      <c r="CI73" s="16" t="s">
        <v>233</v>
      </c>
      <c r="CJ73" s="16" t="s">
        <v>233</v>
      </c>
      <c r="CK73" s="16" t="s">
        <v>233</v>
      </c>
      <c r="CL73" s="16" t="s">
        <v>233</v>
      </c>
      <c r="CM73" s="16" t="s">
        <v>233</v>
      </c>
      <c r="CN73" s="1">
        <f t="shared" si="26"/>
        <v>-12.2</v>
      </c>
      <c r="CO73" s="16" t="s">
        <v>233</v>
      </c>
      <c r="CP73" s="16" t="s">
        <v>233</v>
      </c>
      <c r="CQ73" s="16" t="s">
        <v>233</v>
      </c>
      <c r="CR73" s="16" t="s">
        <v>233</v>
      </c>
      <c r="CS73" s="16" t="s">
        <v>233</v>
      </c>
      <c r="CT73" s="16" t="s">
        <v>233</v>
      </c>
      <c r="CU73" s="16" t="s">
        <v>233</v>
      </c>
      <c r="CV73" s="18" t="s">
        <v>233</v>
      </c>
      <c r="CW73" s="1">
        <f>ROUND(PPTest!K73,1)</f>
        <v>2.2999999999999998</v>
      </c>
      <c r="CX73" s="16" t="s">
        <v>233</v>
      </c>
      <c r="CY73" s="16" t="s">
        <v>233</v>
      </c>
      <c r="CZ73" s="20">
        <f t="shared" si="27"/>
        <v>0.23899999999999999</v>
      </c>
      <c r="DA73" s="20">
        <f t="shared" si="28"/>
        <v>0.23599999999999999</v>
      </c>
      <c r="DB73" s="16" t="s">
        <v>233</v>
      </c>
      <c r="DZ73" s="1">
        <v>-5.3</v>
      </c>
      <c r="EA73" s="1">
        <v>-3</v>
      </c>
      <c r="EB73" s="1">
        <v>-10.199999999999999</v>
      </c>
      <c r="EC73" s="1">
        <v>2.2999999999999998</v>
      </c>
    </row>
    <row r="74" spans="1:133" x14ac:dyDescent="0.2">
      <c r="A74" s="40">
        <v>35132</v>
      </c>
      <c r="B74" s="34">
        <v>68</v>
      </c>
      <c r="C74" s="34"/>
      <c r="D74" s="34"/>
      <c r="E74" s="55">
        <f t="shared" si="18"/>
        <v>-2.8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41"/>
      <c r="Q74" s="34"/>
      <c r="R74" s="55">
        <f t="shared" si="19"/>
        <v>0</v>
      </c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41"/>
      <c r="AE74" s="34"/>
      <c r="AF74" s="55">
        <f t="shared" si="20"/>
        <v>-7.1</v>
      </c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"/>
      <c r="BE74" s="3"/>
      <c r="BF74" s="3"/>
      <c r="BH74" s="16">
        <v>14.96</v>
      </c>
      <c r="BI74" s="16">
        <f t="shared" si="21"/>
        <v>30.219200000000001</v>
      </c>
      <c r="BJ74" s="17"/>
      <c r="BK74" s="17"/>
      <c r="BP74" s="57">
        <f t="shared" si="22"/>
        <v>0.35799999999999998</v>
      </c>
      <c r="BQ74" s="57">
        <f t="shared" si="23"/>
        <v>0.253</v>
      </c>
      <c r="BS74" s="38"/>
      <c r="BT74" s="8"/>
      <c r="BV74" s="16" t="s">
        <v>233</v>
      </c>
      <c r="BW74" s="16" t="s">
        <v>233</v>
      </c>
      <c r="BX74" s="3">
        <f t="shared" si="24"/>
        <v>-2.8</v>
      </c>
      <c r="BY74" s="16" t="s">
        <v>233</v>
      </c>
      <c r="BZ74" s="16" t="s">
        <v>233</v>
      </c>
      <c r="CA74" s="16" t="s">
        <v>233</v>
      </c>
      <c r="CB74" s="16" t="s">
        <v>233</v>
      </c>
      <c r="CC74" s="16" t="s">
        <v>233</v>
      </c>
      <c r="CD74" s="16" t="s">
        <v>233</v>
      </c>
      <c r="CE74" s="16" t="s">
        <v>233</v>
      </c>
      <c r="CF74" s="1">
        <f t="shared" si="25"/>
        <v>0</v>
      </c>
      <c r="CG74" s="16" t="s">
        <v>233</v>
      </c>
      <c r="CH74" s="16" t="s">
        <v>233</v>
      </c>
      <c r="CI74" s="16" t="s">
        <v>233</v>
      </c>
      <c r="CJ74" s="16" t="s">
        <v>233</v>
      </c>
      <c r="CK74" s="16" t="s">
        <v>233</v>
      </c>
      <c r="CL74" s="16" t="s">
        <v>233</v>
      </c>
      <c r="CM74" s="16" t="s">
        <v>233</v>
      </c>
      <c r="CN74" s="1">
        <f t="shared" si="26"/>
        <v>-7.1</v>
      </c>
      <c r="CO74" s="16" t="s">
        <v>233</v>
      </c>
      <c r="CP74" s="16" t="s">
        <v>233</v>
      </c>
      <c r="CQ74" s="16" t="s">
        <v>233</v>
      </c>
      <c r="CR74" s="16" t="s">
        <v>233</v>
      </c>
      <c r="CS74" s="16" t="s">
        <v>233</v>
      </c>
      <c r="CT74" s="16" t="s">
        <v>233</v>
      </c>
      <c r="CU74" s="16" t="s">
        <v>233</v>
      </c>
      <c r="CV74" s="18" t="s">
        <v>233</v>
      </c>
      <c r="CW74" s="1">
        <f>ROUND(PPTest!K74,1)</f>
        <v>1.6</v>
      </c>
      <c r="CX74" s="16" t="s">
        <v>233</v>
      </c>
      <c r="CY74" s="16" t="s">
        <v>233</v>
      </c>
      <c r="CZ74" s="20">
        <f t="shared" si="27"/>
        <v>0.35799999999999998</v>
      </c>
      <c r="DA74" s="20">
        <f t="shared" si="28"/>
        <v>0.253</v>
      </c>
      <c r="DB74" s="16" t="s">
        <v>233</v>
      </c>
      <c r="DZ74" s="1">
        <v>-2.2000000000000002</v>
      </c>
      <c r="EA74" s="1">
        <v>0.5</v>
      </c>
      <c r="EB74" s="1">
        <v>-5.5</v>
      </c>
      <c r="EC74" s="1">
        <v>1.6</v>
      </c>
    </row>
    <row r="75" spans="1:133" x14ac:dyDescent="0.2">
      <c r="A75" s="40">
        <v>35133</v>
      </c>
      <c r="B75" s="34">
        <v>69</v>
      </c>
      <c r="C75" s="34"/>
      <c r="D75" s="34"/>
      <c r="E75" s="55">
        <f t="shared" ref="E75:E131" si="29">ROUND(1.02*DZ75-0.4,1)</f>
        <v>0.7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41"/>
      <c r="Q75" s="34"/>
      <c r="R75" s="55">
        <f t="shared" ref="R75:R131" si="30">ROUND(0.96*EA75+0.2,1)</f>
        <v>3.8</v>
      </c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41"/>
      <c r="AE75" s="34"/>
      <c r="AF75" s="55">
        <f t="shared" ref="AF75:AF131" si="31">ROUND(1.1*EB75-0.4,1)</f>
        <v>-1.2</v>
      </c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"/>
      <c r="BE75" s="3"/>
      <c r="BF75" s="3"/>
      <c r="BH75" s="16">
        <v>15.22</v>
      </c>
      <c r="BI75" s="16">
        <f t="shared" si="21"/>
        <v>30.744400000000002</v>
      </c>
      <c r="BJ75" s="17"/>
      <c r="BK75" s="17"/>
      <c r="BP75" s="57">
        <f t="shared" si="22"/>
        <v>0.55900000000000005</v>
      </c>
      <c r="BQ75" s="57">
        <f t="shared" si="23"/>
        <v>0.24299999999999999</v>
      </c>
      <c r="BS75" s="38"/>
      <c r="BT75" s="8"/>
      <c r="BV75" s="16" t="s">
        <v>233</v>
      </c>
      <c r="BW75" s="16" t="s">
        <v>233</v>
      </c>
      <c r="BX75" s="3">
        <f t="shared" si="24"/>
        <v>0.7</v>
      </c>
      <c r="BY75" s="16" t="s">
        <v>233</v>
      </c>
      <c r="BZ75" s="16" t="s">
        <v>233</v>
      </c>
      <c r="CA75" s="16" t="s">
        <v>233</v>
      </c>
      <c r="CB75" s="16" t="s">
        <v>233</v>
      </c>
      <c r="CC75" s="16" t="s">
        <v>233</v>
      </c>
      <c r="CD75" s="16" t="s">
        <v>233</v>
      </c>
      <c r="CE75" s="16" t="s">
        <v>233</v>
      </c>
      <c r="CF75" s="1">
        <f t="shared" si="25"/>
        <v>3.8</v>
      </c>
      <c r="CG75" s="16" t="s">
        <v>233</v>
      </c>
      <c r="CH75" s="16" t="s">
        <v>233</v>
      </c>
      <c r="CI75" s="16" t="s">
        <v>233</v>
      </c>
      <c r="CJ75" s="16" t="s">
        <v>233</v>
      </c>
      <c r="CK75" s="16" t="s">
        <v>233</v>
      </c>
      <c r="CL75" s="16" t="s">
        <v>233</v>
      </c>
      <c r="CM75" s="16" t="s">
        <v>233</v>
      </c>
      <c r="CN75" s="1">
        <f t="shared" si="26"/>
        <v>-1.2</v>
      </c>
      <c r="CO75" s="16" t="s">
        <v>233</v>
      </c>
      <c r="CP75" s="16" t="s">
        <v>233</v>
      </c>
      <c r="CQ75" s="16" t="s">
        <v>233</v>
      </c>
      <c r="CR75" s="16" t="s">
        <v>233</v>
      </c>
      <c r="CS75" s="16" t="s">
        <v>233</v>
      </c>
      <c r="CT75" s="16" t="s">
        <v>233</v>
      </c>
      <c r="CU75" s="16" t="s">
        <v>233</v>
      </c>
      <c r="CV75" s="18" t="s">
        <v>233</v>
      </c>
      <c r="CW75" s="1">
        <f>ROUND(PPTest!K75,1)</f>
        <v>4.8</v>
      </c>
      <c r="CX75" s="16" t="s">
        <v>233</v>
      </c>
      <c r="CY75" s="16" t="s">
        <v>233</v>
      </c>
      <c r="CZ75" s="20">
        <f t="shared" si="27"/>
        <v>0.55900000000000005</v>
      </c>
      <c r="DA75" s="20">
        <f t="shared" si="28"/>
        <v>0.24299999999999999</v>
      </c>
      <c r="DB75" s="16" t="s">
        <v>233</v>
      </c>
      <c r="DZ75" s="1">
        <v>1.1000000000000001</v>
      </c>
      <c r="EA75" s="1">
        <v>3.7</v>
      </c>
      <c r="EB75" s="1">
        <v>-0.7</v>
      </c>
      <c r="EC75" s="1">
        <v>4.8</v>
      </c>
    </row>
    <row r="76" spans="1:133" x14ac:dyDescent="0.2">
      <c r="A76" s="40">
        <v>35134</v>
      </c>
      <c r="B76" s="34">
        <v>70</v>
      </c>
      <c r="C76" s="34"/>
      <c r="D76" s="34"/>
      <c r="E76" s="55">
        <f t="shared" si="29"/>
        <v>1.5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41"/>
      <c r="Q76" s="34"/>
      <c r="R76" s="55">
        <f t="shared" si="30"/>
        <v>4.7</v>
      </c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41"/>
      <c r="AE76" s="34"/>
      <c r="AF76" s="55">
        <f t="shared" si="31"/>
        <v>-0.7</v>
      </c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"/>
      <c r="BE76" s="3"/>
      <c r="BF76" s="3"/>
      <c r="BH76" s="16">
        <v>15.48</v>
      </c>
      <c r="BI76" s="16">
        <f t="shared" si="21"/>
        <v>31.269600000000001</v>
      </c>
      <c r="BJ76" s="17"/>
      <c r="BK76" s="17"/>
      <c r="BP76" s="57">
        <f t="shared" si="22"/>
        <v>0.57999999999999996</v>
      </c>
      <c r="BQ76" s="57">
        <f t="shared" si="23"/>
        <v>0.27400000000000002</v>
      </c>
      <c r="BS76" s="38"/>
      <c r="BT76" s="8"/>
      <c r="BV76" s="16" t="s">
        <v>233</v>
      </c>
      <c r="BW76" s="16" t="s">
        <v>233</v>
      </c>
      <c r="BX76" s="3">
        <f t="shared" si="24"/>
        <v>1.5</v>
      </c>
      <c r="BY76" s="16" t="s">
        <v>233</v>
      </c>
      <c r="BZ76" s="16" t="s">
        <v>233</v>
      </c>
      <c r="CA76" s="16" t="s">
        <v>233</v>
      </c>
      <c r="CB76" s="16" t="s">
        <v>233</v>
      </c>
      <c r="CC76" s="16" t="s">
        <v>233</v>
      </c>
      <c r="CD76" s="16" t="s">
        <v>233</v>
      </c>
      <c r="CE76" s="16" t="s">
        <v>233</v>
      </c>
      <c r="CF76" s="1">
        <f t="shared" si="25"/>
        <v>4.7</v>
      </c>
      <c r="CG76" s="16" t="s">
        <v>233</v>
      </c>
      <c r="CH76" s="16" t="s">
        <v>233</v>
      </c>
      <c r="CI76" s="16" t="s">
        <v>233</v>
      </c>
      <c r="CJ76" s="16" t="s">
        <v>233</v>
      </c>
      <c r="CK76" s="16" t="s">
        <v>233</v>
      </c>
      <c r="CL76" s="16" t="s">
        <v>233</v>
      </c>
      <c r="CM76" s="16" t="s">
        <v>233</v>
      </c>
      <c r="CN76" s="1">
        <f t="shared" si="26"/>
        <v>-0.7</v>
      </c>
      <c r="CO76" s="16" t="s">
        <v>233</v>
      </c>
      <c r="CP76" s="16" t="s">
        <v>233</v>
      </c>
      <c r="CQ76" s="16" t="s">
        <v>233</v>
      </c>
      <c r="CR76" s="16" t="s">
        <v>233</v>
      </c>
      <c r="CS76" s="16" t="s">
        <v>233</v>
      </c>
      <c r="CT76" s="16" t="s">
        <v>233</v>
      </c>
      <c r="CU76" s="16" t="s">
        <v>233</v>
      </c>
      <c r="CV76" s="18" t="s">
        <v>233</v>
      </c>
      <c r="CW76" s="1">
        <f>ROUND(PPTest!K76,1)</f>
        <v>2.2000000000000002</v>
      </c>
      <c r="CX76" s="16" t="s">
        <v>233</v>
      </c>
      <c r="CY76" s="16" t="s">
        <v>233</v>
      </c>
      <c r="CZ76" s="20">
        <f t="shared" si="27"/>
        <v>0.57999999999999996</v>
      </c>
      <c r="DA76" s="20">
        <f t="shared" si="28"/>
        <v>0.27400000000000002</v>
      </c>
      <c r="DB76" s="16" t="s">
        <v>233</v>
      </c>
      <c r="DZ76" s="1">
        <v>1.9</v>
      </c>
      <c r="EA76" s="1">
        <v>4.7</v>
      </c>
      <c r="EB76" s="1">
        <v>-0.3</v>
      </c>
      <c r="EC76" s="1">
        <v>2.2000000000000002</v>
      </c>
    </row>
    <row r="77" spans="1:133" x14ac:dyDescent="0.2">
      <c r="A77" s="40">
        <v>35135</v>
      </c>
      <c r="B77" s="34">
        <v>71</v>
      </c>
      <c r="C77" s="34"/>
      <c r="D77" s="34"/>
      <c r="E77" s="55">
        <f t="shared" si="29"/>
        <v>1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41"/>
      <c r="Q77" s="34"/>
      <c r="R77" s="55">
        <f t="shared" si="30"/>
        <v>4.5999999999999996</v>
      </c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41"/>
      <c r="AE77" s="34"/>
      <c r="AF77" s="55">
        <f t="shared" si="31"/>
        <v>-2.8</v>
      </c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"/>
      <c r="BE77" s="3"/>
      <c r="BF77" s="3"/>
      <c r="BH77" s="16">
        <v>15.73</v>
      </c>
      <c r="BI77" s="16">
        <f t="shared" si="21"/>
        <v>31.7746</v>
      </c>
      <c r="BJ77" s="17"/>
      <c r="BK77" s="17"/>
      <c r="BP77" s="57">
        <f t="shared" si="22"/>
        <v>0.497</v>
      </c>
      <c r="BQ77" s="57">
        <f t="shared" si="23"/>
        <v>0.35099999999999998</v>
      </c>
      <c r="BS77" s="38"/>
      <c r="BT77" s="8"/>
      <c r="BV77" s="16" t="s">
        <v>233</v>
      </c>
      <c r="BW77" s="16" t="s">
        <v>233</v>
      </c>
      <c r="BX77" s="3">
        <f t="shared" si="24"/>
        <v>1</v>
      </c>
      <c r="BY77" s="16" t="s">
        <v>233</v>
      </c>
      <c r="BZ77" s="16" t="s">
        <v>233</v>
      </c>
      <c r="CA77" s="16" t="s">
        <v>233</v>
      </c>
      <c r="CB77" s="16" t="s">
        <v>233</v>
      </c>
      <c r="CC77" s="16" t="s">
        <v>233</v>
      </c>
      <c r="CD77" s="16" t="s">
        <v>233</v>
      </c>
      <c r="CE77" s="16" t="s">
        <v>233</v>
      </c>
      <c r="CF77" s="1">
        <f t="shared" si="25"/>
        <v>4.5999999999999996</v>
      </c>
      <c r="CG77" s="16" t="s">
        <v>233</v>
      </c>
      <c r="CH77" s="16" t="s">
        <v>233</v>
      </c>
      <c r="CI77" s="16" t="s">
        <v>233</v>
      </c>
      <c r="CJ77" s="16" t="s">
        <v>233</v>
      </c>
      <c r="CK77" s="16" t="s">
        <v>233</v>
      </c>
      <c r="CL77" s="16" t="s">
        <v>233</v>
      </c>
      <c r="CM77" s="16" t="s">
        <v>233</v>
      </c>
      <c r="CN77" s="1">
        <f t="shared" si="26"/>
        <v>-2.8</v>
      </c>
      <c r="CO77" s="16" t="s">
        <v>233</v>
      </c>
      <c r="CP77" s="16" t="s">
        <v>233</v>
      </c>
      <c r="CQ77" s="16" t="s">
        <v>233</v>
      </c>
      <c r="CR77" s="16" t="s">
        <v>233</v>
      </c>
      <c r="CS77" s="16" t="s">
        <v>233</v>
      </c>
      <c r="CT77" s="16" t="s">
        <v>233</v>
      </c>
      <c r="CU77" s="16" t="s">
        <v>233</v>
      </c>
      <c r="CV77" s="18" t="s">
        <v>233</v>
      </c>
      <c r="CW77" s="1">
        <f>ROUND(PPTest!K77,1)</f>
        <v>1</v>
      </c>
      <c r="CX77" s="16" t="s">
        <v>233</v>
      </c>
      <c r="CY77" s="16" t="s">
        <v>233</v>
      </c>
      <c r="CZ77" s="20">
        <f t="shared" si="27"/>
        <v>0.497</v>
      </c>
      <c r="DA77" s="20">
        <f t="shared" si="28"/>
        <v>0.35099999999999998</v>
      </c>
      <c r="DB77" s="16" t="s">
        <v>233</v>
      </c>
      <c r="DZ77" s="1">
        <v>1.4</v>
      </c>
      <c r="EA77" s="1">
        <v>4.5999999999999996</v>
      </c>
      <c r="EB77" s="1">
        <v>-2.2000000000000002</v>
      </c>
      <c r="EC77" s="1">
        <v>1</v>
      </c>
    </row>
    <row r="78" spans="1:133" x14ac:dyDescent="0.2">
      <c r="A78" s="40">
        <v>35136</v>
      </c>
      <c r="B78" s="34">
        <v>72</v>
      </c>
      <c r="C78" s="34"/>
      <c r="D78" s="34"/>
      <c r="E78" s="55">
        <f t="shared" si="29"/>
        <v>-1.9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41"/>
      <c r="Q78" s="34"/>
      <c r="R78" s="55">
        <f t="shared" si="30"/>
        <v>1.7</v>
      </c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41"/>
      <c r="AE78" s="34"/>
      <c r="AF78" s="55">
        <f t="shared" si="31"/>
        <v>-5.6</v>
      </c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"/>
      <c r="BE78" s="3"/>
      <c r="BF78" s="3"/>
      <c r="BH78" s="16">
        <v>15.98</v>
      </c>
      <c r="BI78" s="16">
        <f t="shared" si="21"/>
        <v>32.279600000000002</v>
      </c>
      <c r="BJ78" s="17"/>
      <c r="BK78" s="17"/>
      <c r="BP78" s="57">
        <f t="shared" si="22"/>
        <v>0.40200000000000002</v>
      </c>
      <c r="BQ78" s="57">
        <f t="shared" si="23"/>
        <v>0.28799999999999998</v>
      </c>
      <c r="BS78" s="38"/>
      <c r="BT78" s="8"/>
      <c r="BV78" s="16" t="s">
        <v>233</v>
      </c>
      <c r="BW78" s="16" t="s">
        <v>233</v>
      </c>
      <c r="BX78" s="3">
        <f t="shared" si="24"/>
        <v>-1.9</v>
      </c>
      <c r="BY78" s="16" t="s">
        <v>233</v>
      </c>
      <c r="BZ78" s="16" t="s">
        <v>233</v>
      </c>
      <c r="CA78" s="16" t="s">
        <v>233</v>
      </c>
      <c r="CB78" s="16" t="s">
        <v>233</v>
      </c>
      <c r="CC78" s="16" t="s">
        <v>233</v>
      </c>
      <c r="CD78" s="16" t="s">
        <v>233</v>
      </c>
      <c r="CE78" s="16" t="s">
        <v>233</v>
      </c>
      <c r="CF78" s="1">
        <f t="shared" si="25"/>
        <v>1.7</v>
      </c>
      <c r="CG78" s="16" t="s">
        <v>233</v>
      </c>
      <c r="CH78" s="16" t="s">
        <v>233</v>
      </c>
      <c r="CI78" s="16" t="s">
        <v>233</v>
      </c>
      <c r="CJ78" s="16" t="s">
        <v>233</v>
      </c>
      <c r="CK78" s="16" t="s">
        <v>233</v>
      </c>
      <c r="CL78" s="16" t="s">
        <v>233</v>
      </c>
      <c r="CM78" s="16" t="s">
        <v>233</v>
      </c>
      <c r="CN78" s="1">
        <f t="shared" si="26"/>
        <v>-5.6</v>
      </c>
      <c r="CO78" s="16" t="s">
        <v>233</v>
      </c>
      <c r="CP78" s="16" t="s">
        <v>233</v>
      </c>
      <c r="CQ78" s="16" t="s">
        <v>233</v>
      </c>
      <c r="CR78" s="16" t="s">
        <v>233</v>
      </c>
      <c r="CS78" s="16" t="s">
        <v>233</v>
      </c>
      <c r="CT78" s="16" t="s">
        <v>233</v>
      </c>
      <c r="CU78" s="16" t="s">
        <v>233</v>
      </c>
      <c r="CV78" s="18" t="s">
        <v>233</v>
      </c>
      <c r="CW78" s="1">
        <f>ROUND(PPTest!K78,1)</f>
        <v>0.7</v>
      </c>
      <c r="CX78" s="16" t="s">
        <v>233</v>
      </c>
      <c r="CY78" s="16" t="s">
        <v>233</v>
      </c>
      <c r="CZ78" s="20">
        <f t="shared" si="27"/>
        <v>0.40200000000000002</v>
      </c>
      <c r="DA78" s="20">
        <f t="shared" si="28"/>
        <v>0.28799999999999998</v>
      </c>
      <c r="DB78" s="16" t="s">
        <v>233</v>
      </c>
      <c r="DZ78" s="1">
        <v>-1.5</v>
      </c>
      <c r="EA78" s="1">
        <v>1.6</v>
      </c>
      <c r="EB78" s="1">
        <v>-4.7</v>
      </c>
      <c r="EC78" s="1">
        <v>0.7</v>
      </c>
    </row>
    <row r="79" spans="1:133" x14ac:dyDescent="0.2">
      <c r="A79" s="40">
        <v>35137</v>
      </c>
      <c r="B79" s="34">
        <v>73</v>
      </c>
      <c r="C79" s="34"/>
      <c r="D79" s="34"/>
      <c r="E79" s="55">
        <f t="shared" si="29"/>
        <v>-0.9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41"/>
      <c r="Q79" s="34"/>
      <c r="R79" s="55">
        <f t="shared" si="30"/>
        <v>5.3</v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41"/>
      <c r="AE79" s="34"/>
      <c r="AF79" s="55">
        <f t="shared" si="31"/>
        <v>-5.2</v>
      </c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"/>
      <c r="BE79" s="3"/>
      <c r="BF79" s="3"/>
      <c r="BH79" s="16">
        <v>16.25</v>
      </c>
      <c r="BI79" s="16">
        <f t="shared" si="21"/>
        <v>32.825000000000003</v>
      </c>
      <c r="BJ79" s="17"/>
      <c r="BK79" s="17"/>
      <c r="BP79" s="57">
        <f t="shared" si="22"/>
        <v>0.41499999999999998</v>
      </c>
      <c r="BQ79" s="57">
        <f t="shared" si="23"/>
        <v>0.47499999999999998</v>
      </c>
      <c r="BS79" s="38"/>
      <c r="BT79" s="8"/>
      <c r="BV79" s="16" t="s">
        <v>233</v>
      </c>
      <c r="BW79" s="16" t="s">
        <v>233</v>
      </c>
      <c r="BX79" s="3">
        <f t="shared" si="24"/>
        <v>-0.9</v>
      </c>
      <c r="BY79" s="16" t="s">
        <v>233</v>
      </c>
      <c r="BZ79" s="16" t="s">
        <v>233</v>
      </c>
      <c r="CA79" s="16" t="s">
        <v>233</v>
      </c>
      <c r="CB79" s="16" t="s">
        <v>233</v>
      </c>
      <c r="CC79" s="16" t="s">
        <v>233</v>
      </c>
      <c r="CD79" s="16" t="s">
        <v>233</v>
      </c>
      <c r="CE79" s="16" t="s">
        <v>233</v>
      </c>
      <c r="CF79" s="1">
        <f t="shared" si="25"/>
        <v>5.3</v>
      </c>
      <c r="CG79" s="16" t="s">
        <v>233</v>
      </c>
      <c r="CH79" s="16" t="s">
        <v>233</v>
      </c>
      <c r="CI79" s="16" t="s">
        <v>233</v>
      </c>
      <c r="CJ79" s="16" t="s">
        <v>233</v>
      </c>
      <c r="CK79" s="16" t="s">
        <v>233</v>
      </c>
      <c r="CL79" s="16" t="s">
        <v>233</v>
      </c>
      <c r="CM79" s="16" t="s">
        <v>233</v>
      </c>
      <c r="CN79" s="1">
        <f t="shared" si="26"/>
        <v>-5.2</v>
      </c>
      <c r="CO79" s="16" t="s">
        <v>233</v>
      </c>
      <c r="CP79" s="16" t="s">
        <v>233</v>
      </c>
      <c r="CQ79" s="16" t="s">
        <v>233</v>
      </c>
      <c r="CR79" s="16" t="s">
        <v>233</v>
      </c>
      <c r="CS79" s="16" t="s">
        <v>233</v>
      </c>
      <c r="CT79" s="16" t="s">
        <v>233</v>
      </c>
      <c r="CU79" s="16" t="s">
        <v>233</v>
      </c>
      <c r="CV79" s="18" t="s">
        <v>233</v>
      </c>
      <c r="CW79" s="1">
        <f>ROUND(PPTest!K79,1)</f>
        <v>0</v>
      </c>
      <c r="CX79" s="16" t="s">
        <v>233</v>
      </c>
      <c r="CY79" s="16" t="s">
        <v>233</v>
      </c>
      <c r="CZ79" s="20">
        <f t="shared" si="27"/>
        <v>0.41499999999999998</v>
      </c>
      <c r="DA79" s="20">
        <f t="shared" si="28"/>
        <v>0.47499999999999998</v>
      </c>
      <c r="DB79" s="16" t="s">
        <v>233</v>
      </c>
      <c r="DZ79" s="1">
        <v>-0.5</v>
      </c>
      <c r="EA79" s="1">
        <v>5.3</v>
      </c>
      <c r="EB79" s="1">
        <v>-4.4000000000000004</v>
      </c>
      <c r="EC79" s="1">
        <v>0</v>
      </c>
    </row>
    <row r="80" spans="1:133" x14ac:dyDescent="0.2">
      <c r="A80" s="40">
        <v>35138</v>
      </c>
      <c r="B80" s="34">
        <v>74</v>
      </c>
      <c r="C80" s="34"/>
      <c r="D80" s="34"/>
      <c r="E80" s="55">
        <f t="shared" si="29"/>
        <v>3.7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41"/>
      <c r="Q80" s="34"/>
      <c r="R80" s="55">
        <f t="shared" si="30"/>
        <v>12.3</v>
      </c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41"/>
      <c r="AE80" s="34"/>
      <c r="AF80" s="55">
        <f t="shared" si="31"/>
        <v>-4.0999999999999996</v>
      </c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"/>
      <c r="BE80" s="3"/>
      <c r="BF80" s="3"/>
      <c r="BH80" s="16">
        <v>16.510000000000002</v>
      </c>
      <c r="BI80" s="16">
        <f t="shared" si="21"/>
        <v>33.350200000000001</v>
      </c>
      <c r="BJ80" s="17"/>
      <c r="BK80" s="17"/>
      <c r="BP80" s="57">
        <f t="shared" si="22"/>
        <v>0.45100000000000001</v>
      </c>
      <c r="BQ80" s="57">
        <f t="shared" si="23"/>
        <v>0.97899999999999998</v>
      </c>
      <c r="BS80" s="38"/>
      <c r="BT80" s="8"/>
      <c r="BV80" s="16" t="s">
        <v>233</v>
      </c>
      <c r="BW80" s="16" t="s">
        <v>233</v>
      </c>
      <c r="BX80" s="3">
        <f t="shared" si="24"/>
        <v>3.7</v>
      </c>
      <c r="BY80" s="16" t="s">
        <v>233</v>
      </c>
      <c r="BZ80" s="16" t="s">
        <v>233</v>
      </c>
      <c r="CA80" s="16" t="s">
        <v>233</v>
      </c>
      <c r="CB80" s="16" t="s">
        <v>233</v>
      </c>
      <c r="CC80" s="16" t="s">
        <v>233</v>
      </c>
      <c r="CD80" s="16" t="s">
        <v>233</v>
      </c>
      <c r="CE80" s="16" t="s">
        <v>233</v>
      </c>
      <c r="CF80" s="1">
        <f t="shared" si="25"/>
        <v>12.3</v>
      </c>
      <c r="CG80" s="16" t="s">
        <v>233</v>
      </c>
      <c r="CH80" s="16" t="s">
        <v>233</v>
      </c>
      <c r="CI80" s="16" t="s">
        <v>233</v>
      </c>
      <c r="CJ80" s="16" t="s">
        <v>233</v>
      </c>
      <c r="CK80" s="16" t="s">
        <v>233</v>
      </c>
      <c r="CL80" s="16" t="s">
        <v>233</v>
      </c>
      <c r="CM80" s="16" t="s">
        <v>233</v>
      </c>
      <c r="CN80" s="1">
        <f t="shared" si="26"/>
        <v>-4.0999999999999996</v>
      </c>
      <c r="CO80" s="16" t="s">
        <v>233</v>
      </c>
      <c r="CP80" s="16" t="s">
        <v>233</v>
      </c>
      <c r="CQ80" s="16" t="s">
        <v>233</v>
      </c>
      <c r="CR80" s="16" t="s">
        <v>233</v>
      </c>
      <c r="CS80" s="16" t="s">
        <v>233</v>
      </c>
      <c r="CT80" s="16" t="s">
        <v>233</v>
      </c>
      <c r="CU80" s="16" t="s">
        <v>233</v>
      </c>
      <c r="CV80" s="18" t="s">
        <v>233</v>
      </c>
      <c r="CW80" s="1">
        <f>ROUND(PPTest!K80,1)</f>
        <v>0</v>
      </c>
      <c r="CX80" s="16" t="s">
        <v>233</v>
      </c>
      <c r="CY80" s="16" t="s">
        <v>233</v>
      </c>
      <c r="CZ80" s="20">
        <f t="shared" si="27"/>
        <v>0.45100000000000001</v>
      </c>
      <c r="DA80" s="20">
        <f t="shared" si="28"/>
        <v>0.97899999999999998</v>
      </c>
      <c r="DB80" s="16" t="s">
        <v>233</v>
      </c>
      <c r="DZ80" s="1">
        <v>4</v>
      </c>
      <c r="EA80" s="1">
        <v>12.6</v>
      </c>
      <c r="EB80" s="1">
        <v>-3.4</v>
      </c>
      <c r="EC80" s="1">
        <v>0</v>
      </c>
    </row>
    <row r="81" spans="1:133" x14ac:dyDescent="0.2">
      <c r="A81" s="40">
        <v>35139</v>
      </c>
      <c r="B81" s="34">
        <v>75</v>
      </c>
      <c r="C81" s="34"/>
      <c r="D81" s="34"/>
      <c r="E81" s="55">
        <f t="shared" si="29"/>
        <v>-1.2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41"/>
      <c r="Q81" s="34"/>
      <c r="R81" s="55">
        <f t="shared" si="30"/>
        <v>3.4</v>
      </c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41"/>
      <c r="AE81" s="34"/>
      <c r="AF81" s="55">
        <f t="shared" si="31"/>
        <v>-2.8</v>
      </c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"/>
      <c r="BE81" s="3"/>
      <c r="BF81" s="3"/>
      <c r="BH81" s="16">
        <v>16.77</v>
      </c>
      <c r="BI81" s="16">
        <f t="shared" si="21"/>
        <v>33.875399999999999</v>
      </c>
      <c r="BJ81" s="17"/>
      <c r="BK81" s="17"/>
      <c r="BP81" s="57">
        <f t="shared" si="22"/>
        <v>0.497</v>
      </c>
      <c r="BQ81" s="57">
        <f t="shared" si="23"/>
        <v>0.28199999999999997</v>
      </c>
      <c r="BS81" s="38"/>
      <c r="BT81" s="8"/>
      <c r="BV81" s="16" t="s">
        <v>233</v>
      </c>
      <c r="BW81" s="16" t="s">
        <v>233</v>
      </c>
      <c r="BX81" s="3">
        <f t="shared" si="24"/>
        <v>-1.2</v>
      </c>
      <c r="BY81" s="16" t="s">
        <v>233</v>
      </c>
      <c r="BZ81" s="16" t="s">
        <v>233</v>
      </c>
      <c r="CA81" s="16" t="s">
        <v>233</v>
      </c>
      <c r="CB81" s="16" t="s">
        <v>233</v>
      </c>
      <c r="CC81" s="16" t="s">
        <v>233</v>
      </c>
      <c r="CD81" s="16" t="s">
        <v>233</v>
      </c>
      <c r="CE81" s="16" t="s">
        <v>233</v>
      </c>
      <c r="CF81" s="1">
        <f t="shared" si="25"/>
        <v>3.4</v>
      </c>
      <c r="CG81" s="16" t="s">
        <v>233</v>
      </c>
      <c r="CH81" s="16" t="s">
        <v>233</v>
      </c>
      <c r="CI81" s="16" t="s">
        <v>233</v>
      </c>
      <c r="CJ81" s="16" t="s">
        <v>233</v>
      </c>
      <c r="CK81" s="16" t="s">
        <v>233</v>
      </c>
      <c r="CL81" s="16" t="s">
        <v>233</v>
      </c>
      <c r="CM81" s="16" t="s">
        <v>233</v>
      </c>
      <c r="CN81" s="1">
        <f t="shared" si="26"/>
        <v>-2.8</v>
      </c>
      <c r="CO81" s="16" t="s">
        <v>233</v>
      </c>
      <c r="CP81" s="16" t="s">
        <v>233</v>
      </c>
      <c r="CQ81" s="16" t="s">
        <v>233</v>
      </c>
      <c r="CR81" s="16" t="s">
        <v>233</v>
      </c>
      <c r="CS81" s="16" t="s">
        <v>233</v>
      </c>
      <c r="CT81" s="16" t="s">
        <v>233</v>
      </c>
      <c r="CU81" s="16" t="s">
        <v>233</v>
      </c>
      <c r="CV81" s="18" t="s">
        <v>233</v>
      </c>
      <c r="CW81" s="1">
        <f>ROUND(PPTest!K81,1)</f>
        <v>4.4000000000000004</v>
      </c>
      <c r="CX81" s="16" t="s">
        <v>233</v>
      </c>
      <c r="CY81" s="16" t="s">
        <v>233</v>
      </c>
      <c r="CZ81" s="20">
        <f t="shared" si="27"/>
        <v>0.497</v>
      </c>
      <c r="DA81" s="20">
        <f t="shared" si="28"/>
        <v>0.28199999999999997</v>
      </c>
      <c r="DB81" s="16" t="s">
        <v>233</v>
      </c>
      <c r="DZ81" s="1">
        <v>-0.8</v>
      </c>
      <c r="EA81" s="1">
        <v>3.3</v>
      </c>
      <c r="EB81" s="1">
        <v>-2.2000000000000002</v>
      </c>
      <c r="EC81" s="1">
        <v>4.4000000000000004</v>
      </c>
    </row>
    <row r="82" spans="1:133" x14ac:dyDescent="0.2">
      <c r="A82" s="40">
        <v>35140</v>
      </c>
      <c r="B82" s="34">
        <v>76</v>
      </c>
      <c r="C82" s="34"/>
      <c r="D82" s="34"/>
      <c r="E82" s="55">
        <f t="shared" si="29"/>
        <v>-3.2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41"/>
      <c r="Q82" s="34"/>
      <c r="R82" s="55">
        <f t="shared" si="30"/>
        <v>-1</v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41"/>
      <c r="AE82" s="34"/>
      <c r="AF82" s="55">
        <f t="shared" si="31"/>
        <v>-5.0999999999999996</v>
      </c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"/>
      <c r="BE82" s="3"/>
      <c r="BF82" s="3"/>
      <c r="BH82" s="16">
        <v>17.03</v>
      </c>
      <c r="BI82" s="16">
        <f t="shared" si="21"/>
        <v>34.400600000000004</v>
      </c>
      <c r="BJ82" s="17"/>
      <c r="BK82" s="17"/>
      <c r="BP82" s="57">
        <f t="shared" si="22"/>
        <v>0.41799999999999998</v>
      </c>
      <c r="BQ82" s="57">
        <f t="shared" si="23"/>
        <v>0.14899999999999999</v>
      </c>
      <c r="BS82" s="38"/>
      <c r="BT82" s="8"/>
      <c r="BV82" s="16" t="s">
        <v>233</v>
      </c>
      <c r="BW82" s="16" t="s">
        <v>233</v>
      </c>
      <c r="BX82" s="3">
        <f t="shared" si="24"/>
        <v>-3.2</v>
      </c>
      <c r="BY82" s="16" t="s">
        <v>233</v>
      </c>
      <c r="BZ82" s="16" t="s">
        <v>233</v>
      </c>
      <c r="CA82" s="16" t="s">
        <v>233</v>
      </c>
      <c r="CB82" s="16" t="s">
        <v>233</v>
      </c>
      <c r="CC82" s="16" t="s">
        <v>233</v>
      </c>
      <c r="CD82" s="16" t="s">
        <v>233</v>
      </c>
      <c r="CE82" s="16" t="s">
        <v>233</v>
      </c>
      <c r="CF82" s="1">
        <f t="shared" si="25"/>
        <v>-1</v>
      </c>
      <c r="CG82" s="16" t="s">
        <v>233</v>
      </c>
      <c r="CH82" s="16" t="s">
        <v>233</v>
      </c>
      <c r="CI82" s="16" t="s">
        <v>233</v>
      </c>
      <c r="CJ82" s="16" t="s">
        <v>233</v>
      </c>
      <c r="CK82" s="16" t="s">
        <v>233</v>
      </c>
      <c r="CL82" s="16" t="s">
        <v>233</v>
      </c>
      <c r="CM82" s="16" t="s">
        <v>233</v>
      </c>
      <c r="CN82" s="1">
        <f t="shared" si="26"/>
        <v>-5.0999999999999996</v>
      </c>
      <c r="CO82" s="16" t="s">
        <v>233</v>
      </c>
      <c r="CP82" s="16" t="s">
        <v>233</v>
      </c>
      <c r="CQ82" s="16" t="s">
        <v>233</v>
      </c>
      <c r="CR82" s="16" t="s">
        <v>233</v>
      </c>
      <c r="CS82" s="16" t="s">
        <v>233</v>
      </c>
      <c r="CT82" s="16" t="s">
        <v>233</v>
      </c>
      <c r="CU82" s="16" t="s">
        <v>233</v>
      </c>
      <c r="CV82" s="18" t="s">
        <v>233</v>
      </c>
      <c r="CW82" s="1">
        <f>ROUND(PPTest!K82,1)</f>
        <v>3.6</v>
      </c>
      <c r="CX82" s="16" t="s">
        <v>233</v>
      </c>
      <c r="CY82" s="16" t="s">
        <v>233</v>
      </c>
      <c r="CZ82" s="20">
        <f t="shared" si="27"/>
        <v>0.41799999999999998</v>
      </c>
      <c r="DA82" s="20">
        <f t="shared" si="28"/>
        <v>0.14899999999999999</v>
      </c>
      <c r="DB82" s="16" t="s">
        <v>233</v>
      </c>
      <c r="DZ82" s="1">
        <v>-2.7</v>
      </c>
      <c r="EA82" s="1">
        <v>-1.3</v>
      </c>
      <c r="EB82" s="1">
        <v>-4.3</v>
      </c>
      <c r="EC82" s="1">
        <v>3.6</v>
      </c>
    </row>
    <row r="83" spans="1:133" x14ac:dyDescent="0.2">
      <c r="A83" s="40">
        <v>35141</v>
      </c>
      <c r="B83" s="34">
        <v>77</v>
      </c>
      <c r="C83" s="34"/>
      <c r="D83" s="34"/>
      <c r="E83" s="55">
        <f t="shared" si="29"/>
        <v>-2.5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41"/>
      <c r="Q83" s="34"/>
      <c r="R83" s="55">
        <f t="shared" si="30"/>
        <v>4.3</v>
      </c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41"/>
      <c r="AE83" s="34"/>
      <c r="AF83" s="55">
        <f t="shared" si="31"/>
        <v>-8.6999999999999993</v>
      </c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"/>
      <c r="BE83" s="3"/>
      <c r="BF83" s="3"/>
      <c r="BH83" s="16">
        <v>17.3</v>
      </c>
      <c r="BI83" s="16">
        <f t="shared" si="21"/>
        <v>34.946000000000005</v>
      </c>
      <c r="BJ83" s="17"/>
      <c r="BK83" s="17"/>
      <c r="BP83" s="57">
        <f t="shared" si="22"/>
        <v>0.316</v>
      </c>
      <c r="BQ83" s="57">
        <f t="shared" si="23"/>
        <v>0.51400000000000001</v>
      </c>
      <c r="BS83" s="38"/>
      <c r="BT83" s="8"/>
      <c r="BV83" s="16" t="s">
        <v>233</v>
      </c>
      <c r="BW83" s="16" t="s">
        <v>233</v>
      </c>
      <c r="BX83" s="3">
        <f t="shared" si="24"/>
        <v>-2.5</v>
      </c>
      <c r="BY83" s="16" t="s">
        <v>233</v>
      </c>
      <c r="BZ83" s="16" t="s">
        <v>233</v>
      </c>
      <c r="CA83" s="16" t="s">
        <v>233</v>
      </c>
      <c r="CB83" s="16" t="s">
        <v>233</v>
      </c>
      <c r="CC83" s="16" t="s">
        <v>233</v>
      </c>
      <c r="CD83" s="16" t="s">
        <v>233</v>
      </c>
      <c r="CE83" s="16" t="s">
        <v>233</v>
      </c>
      <c r="CF83" s="1">
        <f t="shared" si="25"/>
        <v>4.3</v>
      </c>
      <c r="CG83" s="16" t="s">
        <v>233</v>
      </c>
      <c r="CH83" s="16" t="s">
        <v>233</v>
      </c>
      <c r="CI83" s="16" t="s">
        <v>233</v>
      </c>
      <c r="CJ83" s="16" t="s">
        <v>233</v>
      </c>
      <c r="CK83" s="16" t="s">
        <v>233</v>
      </c>
      <c r="CL83" s="16" t="s">
        <v>233</v>
      </c>
      <c r="CM83" s="16" t="s">
        <v>233</v>
      </c>
      <c r="CN83" s="1">
        <f t="shared" si="26"/>
        <v>-8.6999999999999993</v>
      </c>
      <c r="CO83" s="16" t="s">
        <v>233</v>
      </c>
      <c r="CP83" s="16" t="s">
        <v>233</v>
      </c>
      <c r="CQ83" s="16" t="s">
        <v>233</v>
      </c>
      <c r="CR83" s="16" t="s">
        <v>233</v>
      </c>
      <c r="CS83" s="16" t="s">
        <v>233</v>
      </c>
      <c r="CT83" s="16" t="s">
        <v>233</v>
      </c>
      <c r="CU83" s="16" t="s">
        <v>233</v>
      </c>
      <c r="CV83" s="18" t="s">
        <v>233</v>
      </c>
      <c r="CW83" s="1">
        <f>ROUND(PPTest!K83,1)</f>
        <v>1</v>
      </c>
      <c r="CX83" s="16" t="s">
        <v>233</v>
      </c>
      <c r="CY83" s="16" t="s">
        <v>233</v>
      </c>
      <c r="CZ83" s="20">
        <f t="shared" si="27"/>
        <v>0.316</v>
      </c>
      <c r="DA83" s="20">
        <f t="shared" si="28"/>
        <v>0.51400000000000001</v>
      </c>
      <c r="DB83" s="16" t="s">
        <v>233</v>
      </c>
      <c r="DZ83" s="1">
        <v>-2.1</v>
      </c>
      <c r="EA83" s="1">
        <v>4.3</v>
      </c>
      <c r="EB83" s="1">
        <v>-7.5</v>
      </c>
      <c r="EC83" s="1">
        <v>1</v>
      </c>
    </row>
    <row r="84" spans="1:133" x14ac:dyDescent="0.2">
      <c r="A84" s="40">
        <v>35142</v>
      </c>
      <c r="B84" s="34">
        <v>78</v>
      </c>
      <c r="C84" s="34"/>
      <c r="D84" s="34"/>
      <c r="E84" s="55">
        <f t="shared" si="29"/>
        <v>-1.6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41"/>
      <c r="Q84" s="34"/>
      <c r="R84" s="55">
        <f t="shared" si="30"/>
        <v>4.7</v>
      </c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41"/>
      <c r="AE84" s="34"/>
      <c r="AF84" s="55">
        <f t="shared" si="31"/>
        <v>-11</v>
      </c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"/>
      <c r="BE84" s="3"/>
      <c r="BF84" s="3"/>
      <c r="BH84" s="16">
        <v>17.559999999999999</v>
      </c>
      <c r="BI84" s="16">
        <f t="shared" si="21"/>
        <v>35.471199999999996</v>
      </c>
      <c r="BJ84" s="17"/>
      <c r="BK84" s="17"/>
      <c r="BP84" s="57">
        <f t="shared" si="22"/>
        <v>0.26400000000000001</v>
      </c>
      <c r="BQ84" s="57">
        <f t="shared" si="23"/>
        <v>0.59</v>
      </c>
      <c r="BS84" s="38"/>
      <c r="BT84" s="8"/>
      <c r="BV84" s="16" t="s">
        <v>233</v>
      </c>
      <c r="BW84" s="16" t="s">
        <v>233</v>
      </c>
      <c r="BX84" s="3">
        <f t="shared" si="24"/>
        <v>-1.6</v>
      </c>
      <c r="BY84" s="16" t="s">
        <v>233</v>
      </c>
      <c r="BZ84" s="16" t="s">
        <v>233</v>
      </c>
      <c r="CA84" s="16" t="s">
        <v>233</v>
      </c>
      <c r="CB84" s="16" t="s">
        <v>233</v>
      </c>
      <c r="CC84" s="16" t="s">
        <v>233</v>
      </c>
      <c r="CD84" s="16" t="s">
        <v>233</v>
      </c>
      <c r="CE84" s="16" t="s">
        <v>233</v>
      </c>
      <c r="CF84" s="1">
        <f t="shared" si="25"/>
        <v>4.7</v>
      </c>
      <c r="CG84" s="16" t="s">
        <v>233</v>
      </c>
      <c r="CH84" s="16" t="s">
        <v>233</v>
      </c>
      <c r="CI84" s="16" t="s">
        <v>233</v>
      </c>
      <c r="CJ84" s="16" t="s">
        <v>233</v>
      </c>
      <c r="CK84" s="16" t="s">
        <v>233</v>
      </c>
      <c r="CL84" s="16" t="s">
        <v>233</v>
      </c>
      <c r="CM84" s="16" t="s">
        <v>233</v>
      </c>
      <c r="CN84" s="1">
        <f t="shared" si="26"/>
        <v>-11</v>
      </c>
      <c r="CO84" s="16" t="s">
        <v>233</v>
      </c>
      <c r="CP84" s="16" t="s">
        <v>233</v>
      </c>
      <c r="CQ84" s="16" t="s">
        <v>233</v>
      </c>
      <c r="CR84" s="16" t="s">
        <v>233</v>
      </c>
      <c r="CS84" s="16" t="s">
        <v>233</v>
      </c>
      <c r="CT84" s="16" t="s">
        <v>233</v>
      </c>
      <c r="CU84" s="16" t="s">
        <v>233</v>
      </c>
      <c r="CV84" s="18" t="s">
        <v>233</v>
      </c>
      <c r="CW84" s="1">
        <f>ROUND(PPTest!K84,1)</f>
        <v>0</v>
      </c>
      <c r="CX84" s="16" t="s">
        <v>233</v>
      </c>
      <c r="CY84" s="16" t="s">
        <v>233</v>
      </c>
      <c r="CZ84" s="20">
        <f t="shared" si="27"/>
        <v>0.26400000000000001</v>
      </c>
      <c r="DA84" s="20">
        <f t="shared" si="28"/>
        <v>0.59</v>
      </c>
      <c r="DB84" s="16" t="s">
        <v>233</v>
      </c>
      <c r="DZ84" s="1">
        <v>-1.2</v>
      </c>
      <c r="EA84" s="1">
        <v>4.7</v>
      </c>
      <c r="EB84" s="1">
        <v>-9.6</v>
      </c>
      <c r="EC84" s="1">
        <v>0</v>
      </c>
    </row>
    <row r="85" spans="1:133" x14ac:dyDescent="0.2">
      <c r="A85" s="40">
        <v>35143</v>
      </c>
      <c r="B85" s="34">
        <v>79</v>
      </c>
      <c r="C85" s="34"/>
      <c r="D85" s="34"/>
      <c r="E85" s="55">
        <f t="shared" si="29"/>
        <v>0.6</v>
      </c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41"/>
      <c r="Q85" s="34"/>
      <c r="R85" s="55">
        <f t="shared" si="30"/>
        <v>5.5</v>
      </c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41"/>
      <c r="AE85" s="34"/>
      <c r="AF85" s="55">
        <f t="shared" si="31"/>
        <v>-4.0999999999999996</v>
      </c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"/>
      <c r="BE85" s="3"/>
      <c r="BF85" s="3"/>
      <c r="BH85" s="16">
        <v>17.829999999999998</v>
      </c>
      <c r="BI85" s="16">
        <f t="shared" si="21"/>
        <v>36.016599999999997</v>
      </c>
      <c r="BJ85" s="17"/>
      <c r="BK85" s="17"/>
      <c r="BP85" s="57">
        <f t="shared" si="22"/>
        <v>0.45100000000000001</v>
      </c>
      <c r="BQ85" s="57">
        <f t="shared" si="23"/>
        <v>0.45200000000000001</v>
      </c>
      <c r="BS85" s="38"/>
      <c r="BT85" s="8"/>
      <c r="BV85" s="16" t="s">
        <v>233</v>
      </c>
      <c r="BW85" s="16" t="s">
        <v>233</v>
      </c>
      <c r="BX85" s="3">
        <f t="shared" si="24"/>
        <v>0.6</v>
      </c>
      <c r="BY85" s="16" t="s">
        <v>233</v>
      </c>
      <c r="BZ85" s="16" t="s">
        <v>233</v>
      </c>
      <c r="CA85" s="16" t="s">
        <v>233</v>
      </c>
      <c r="CB85" s="16" t="s">
        <v>233</v>
      </c>
      <c r="CC85" s="16" t="s">
        <v>233</v>
      </c>
      <c r="CD85" s="16" t="s">
        <v>233</v>
      </c>
      <c r="CE85" s="16" t="s">
        <v>233</v>
      </c>
      <c r="CF85" s="1">
        <f t="shared" si="25"/>
        <v>5.5</v>
      </c>
      <c r="CG85" s="16" t="s">
        <v>233</v>
      </c>
      <c r="CH85" s="16" t="s">
        <v>233</v>
      </c>
      <c r="CI85" s="16" t="s">
        <v>233</v>
      </c>
      <c r="CJ85" s="16" t="s">
        <v>233</v>
      </c>
      <c r="CK85" s="16" t="s">
        <v>233</v>
      </c>
      <c r="CL85" s="16" t="s">
        <v>233</v>
      </c>
      <c r="CM85" s="16" t="s">
        <v>233</v>
      </c>
      <c r="CN85" s="1">
        <f t="shared" si="26"/>
        <v>-4.0999999999999996</v>
      </c>
      <c r="CO85" s="16" t="s">
        <v>233</v>
      </c>
      <c r="CP85" s="16" t="s">
        <v>233</v>
      </c>
      <c r="CQ85" s="16" t="s">
        <v>233</v>
      </c>
      <c r="CR85" s="16" t="s">
        <v>233</v>
      </c>
      <c r="CS85" s="16" t="s">
        <v>233</v>
      </c>
      <c r="CT85" s="16" t="s">
        <v>233</v>
      </c>
      <c r="CU85" s="16" t="s">
        <v>233</v>
      </c>
      <c r="CV85" s="18" t="s">
        <v>233</v>
      </c>
      <c r="CW85" s="1">
        <f>ROUND(PPTest!K85,1)</f>
        <v>0</v>
      </c>
      <c r="CX85" s="16" t="s">
        <v>233</v>
      </c>
      <c r="CY85" s="16" t="s">
        <v>233</v>
      </c>
      <c r="CZ85" s="20">
        <f t="shared" si="27"/>
        <v>0.45100000000000001</v>
      </c>
      <c r="DA85" s="20">
        <f t="shared" si="28"/>
        <v>0.45200000000000001</v>
      </c>
      <c r="DB85" s="16" t="s">
        <v>233</v>
      </c>
      <c r="DZ85" s="1">
        <v>1</v>
      </c>
      <c r="EA85" s="1">
        <v>5.5</v>
      </c>
      <c r="EB85" s="1">
        <v>-3.4</v>
      </c>
      <c r="EC85" s="1">
        <v>0</v>
      </c>
    </row>
    <row r="86" spans="1:133" x14ac:dyDescent="0.2">
      <c r="A86" s="40">
        <v>35144</v>
      </c>
      <c r="B86" s="34">
        <v>80</v>
      </c>
      <c r="C86" s="34"/>
      <c r="D86" s="34"/>
      <c r="E86" s="55">
        <f t="shared" si="29"/>
        <v>-2.4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41"/>
      <c r="Q86" s="34"/>
      <c r="R86" s="55">
        <f t="shared" si="30"/>
        <v>4.9000000000000004</v>
      </c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41"/>
      <c r="AE86" s="34"/>
      <c r="AF86" s="55">
        <f t="shared" si="31"/>
        <v>-8</v>
      </c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"/>
      <c r="BE86" s="3"/>
      <c r="BF86" s="3"/>
      <c r="BH86" s="16">
        <v>18.100000000000001</v>
      </c>
      <c r="BI86" s="16">
        <f t="shared" si="21"/>
        <v>36.562000000000005</v>
      </c>
      <c r="BJ86" s="17"/>
      <c r="BK86" s="17"/>
      <c r="BP86" s="57">
        <f t="shared" si="22"/>
        <v>0.33400000000000002</v>
      </c>
      <c r="BQ86" s="57">
        <f t="shared" si="23"/>
        <v>0.53200000000000003</v>
      </c>
      <c r="BS86" s="38"/>
      <c r="BT86" s="8"/>
      <c r="BV86" s="16" t="s">
        <v>233</v>
      </c>
      <c r="BW86" s="16" t="s">
        <v>233</v>
      </c>
      <c r="BX86" s="3">
        <f t="shared" si="24"/>
        <v>-2.4</v>
      </c>
      <c r="BY86" s="16" t="s">
        <v>233</v>
      </c>
      <c r="BZ86" s="16" t="s">
        <v>233</v>
      </c>
      <c r="CA86" s="16" t="s">
        <v>233</v>
      </c>
      <c r="CB86" s="16" t="s">
        <v>233</v>
      </c>
      <c r="CC86" s="16" t="s">
        <v>233</v>
      </c>
      <c r="CD86" s="16" t="s">
        <v>233</v>
      </c>
      <c r="CE86" s="16" t="s">
        <v>233</v>
      </c>
      <c r="CF86" s="1">
        <f t="shared" si="25"/>
        <v>4.9000000000000004</v>
      </c>
      <c r="CG86" s="16" t="s">
        <v>233</v>
      </c>
      <c r="CH86" s="16" t="s">
        <v>233</v>
      </c>
      <c r="CI86" s="16" t="s">
        <v>233</v>
      </c>
      <c r="CJ86" s="16" t="s">
        <v>233</v>
      </c>
      <c r="CK86" s="16" t="s">
        <v>233</v>
      </c>
      <c r="CL86" s="16" t="s">
        <v>233</v>
      </c>
      <c r="CM86" s="16" t="s">
        <v>233</v>
      </c>
      <c r="CN86" s="1">
        <f t="shared" si="26"/>
        <v>-8</v>
      </c>
      <c r="CO86" s="16" t="s">
        <v>233</v>
      </c>
      <c r="CP86" s="16" t="s">
        <v>233</v>
      </c>
      <c r="CQ86" s="16" t="s">
        <v>233</v>
      </c>
      <c r="CR86" s="16" t="s">
        <v>233</v>
      </c>
      <c r="CS86" s="16" t="s">
        <v>233</v>
      </c>
      <c r="CT86" s="16" t="s">
        <v>233</v>
      </c>
      <c r="CU86" s="16" t="s">
        <v>233</v>
      </c>
      <c r="CV86" s="18" t="s">
        <v>233</v>
      </c>
      <c r="CW86" s="1">
        <f>ROUND(PPTest!K86,1)</f>
        <v>0</v>
      </c>
      <c r="CX86" s="16" t="s">
        <v>233</v>
      </c>
      <c r="CY86" s="16" t="s">
        <v>233</v>
      </c>
      <c r="CZ86" s="20">
        <f t="shared" si="27"/>
        <v>0.33400000000000002</v>
      </c>
      <c r="DA86" s="20">
        <f t="shared" si="28"/>
        <v>0.53200000000000003</v>
      </c>
      <c r="DB86" s="16" t="s">
        <v>233</v>
      </c>
      <c r="DZ86" s="1">
        <v>-2</v>
      </c>
      <c r="EA86" s="1">
        <v>4.9000000000000004</v>
      </c>
      <c r="EB86" s="1">
        <v>-6.9</v>
      </c>
      <c r="EC86" s="1">
        <v>0</v>
      </c>
    </row>
    <row r="87" spans="1:133" x14ac:dyDescent="0.2">
      <c r="A87" s="40">
        <v>35145</v>
      </c>
      <c r="B87" s="34">
        <v>81</v>
      </c>
      <c r="C87" s="34"/>
      <c r="D87" s="34"/>
      <c r="E87" s="55">
        <f t="shared" si="29"/>
        <v>-2.5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41"/>
      <c r="Q87" s="34"/>
      <c r="R87" s="55">
        <f t="shared" si="30"/>
        <v>4.7</v>
      </c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41"/>
      <c r="AE87" s="34"/>
      <c r="AF87" s="55">
        <f t="shared" si="31"/>
        <v>-8.8000000000000007</v>
      </c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"/>
      <c r="BE87" s="3"/>
      <c r="BF87" s="3"/>
      <c r="BH87" s="16">
        <v>18.36</v>
      </c>
      <c r="BI87" s="16">
        <f t="shared" si="21"/>
        <v>37.087199999999996</v>
      </c>
      <c r="BJ87" s="17"/>
      <c r="BK87" s="17"/>
      <c r="BP87" s="57">
        <f t="shared" si="22"/>
        <v>0.314</v>
      </c>
      <c r="BQ87" s="57">
        <f t="shared" si="23"/>
        <v>0.54</v>
      </c>
      <c r="BS87" s="38"/>
      <c r="BT87" s="8"/>
      <c r="BV87" s="16" t="s">
        <v>233</v>
      </c>
      <c r="BW87" s="16" t="s">
        <v>233</v>
      </c>
      <c r="BX87" s="3">
        <f t="shared" si="24"/>
        <v>-2.5</v>
      </c>
      <c r="BY87" s="16" t="s">
        <v>233</v>
      </c>
      <c r="BZ87" s="16" t="s">
        <v>233</v>
      </c>
      <c r="CA87" s="16" t="s">
        <v>233</v>
      </c>
      <c r="CB87" s="16" t="s">
        <v>233</v>
      </c>
      <c r="CC87" s="16" t="s">
        <v>233</v>
      </c>
      <c r="CD87" s="16" t="s">
        <v>233</v>
      </c>
      <c r="CE87" s="16" t="s">
        <v>233</v>
      </c>
      <c r="CF87" s="1">
        <f t="shared" si="25"/>
        <v>4.7</v>
      </c>
      <c r="CG87" s="16" t="s">
        <v>233</v>
      </c>
      <c r="CH87" s="16" t="s">
        <v>233</v>
      </c>
      <c r="CI87" s="16" t="s">
        <v>233</v>
      </c>
      <c r="CJ87" s="16" t="s">
        <v>233</v>
      </c>
      <c r="CK87" s="16" t="s">
        <v>233</v>
      </c>
      <c r="CL87" s="16" t="s">
        <v>233</v>
      </c>
      <c r="CM87" s="16" t="s">
        <v>233</v>
      </c>
      <c r="CN87" s="1">
        <f t="shared" si="26"/>
        <v>-8.8000000000000007</v>
      </c>
      <c r="CO87" s="16" t="s">
        <v>233</v>
      </c>
      <c r="CP87" s="16" t="s">
        <v>233</v>
      </c>
      <c r="CQ87" s="16" t="s">
        <v>233</v>
      </c>
      <c r="CR87" s="16" t="s">
        <v>233</v>
      </c>
      <c r="CS87" s="16" t="s">
        <v>233</v>
      </c>
      <c r="CT87" s="16" t="s">
        <v>233</v>
      </c>
      <c r="CU87" s="16" t="s">
        <v>233</v>
      </c>
      <c r="CV87" s="18" t="s">
        <v>233</v>
      </c>
      <c r="CW87" s="1">
        <f>ROUND(PPTest!K87,1)</f>
        <v>0</v>
      </c>
      <c r="CX87" s="16" t="s">
        <v>233</v>
      </c>
      <c r="CY87" s="16" t="s">
        <v>233</v>
      </c>
      <c r="CZ87" s="20">
        <f t="shared" si="27"/>
        <v>0.314</v>
      </c>
      <c r="DA87" s="20">
        <f t="shared" si="28"/>
        <v>0.54</v>
      </c>
      <c r="DB87" s="16" t="s">
        <v>233</v>
      </c>
      <c r="DZ87" s="1">
        <v>-2.1</v>
      </c>
      <c r="EA87" s="1">
        <v>4.7</v>
      </c>
      <c r="EB87" s="1">
        <v>-7.6</v>
      </c>
      <c r="EC87" s="1">
        <v>0</v>
      </c>
    </row>
    <row r="88" spans="1:133" x14ac:dyDescent="0.2">
      <c r="A88" s="40">
        <v>35146</v>
      </c>
      <c r="B88" s="34">
        <v>82</v>
      </c>
      <c r="C88" s="34"/>
      <c r="D88" s="34"/>
      <c r="E88" s="55">
        <f t="shared" si="29"/>
        <v>-3.7</v>
      </c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41"/>
      <c r="Q88" s="34"/>
      <c r="R88" s="55">
        <f t="shared" si="30"/>
        <v>0.6</v>
      </c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41"/>
      <c r="AE88" s="34"/>
      <c r="AF88" s="55">
        <f t="shared" si="31"/>
        <v>-10.1</v>
      </c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"/>
      <c r="BE88" s="3"/>
      <c r="BF88" s="3"/>
      <c r="BH88" s="16">
        <v>18.63</v>
      </c>
      <c r="BI88" s="16">
        <f t="shared" si="21"/>
        <v>37.632599999999996</v>
      </c>
      <c r="BJ88" s="17"/>
      <c r="BK88" s="17"/>
      <c r="BP88" s="57">
        <f t="shared" si="22"/>
        <v>0.28299999999999997</v>
      </c>
      <c r="BQ88" s="57">
        <f t="shared" si="23"/>
        <v>0.35499999999999998</v>
      </c>
      <c r="BS88" s="38"/>
      <c r="BT88" s="8"/>
      <c r="BV88" s="16" t="s">
        <v>233</v>
      </c>
      <c r="BW88" s="16" t="s">
        <v>233</v>
      </c>
      <c r="BX88" s="3">
        <f t="shared" si="24"/>
        <v>-3.7</v>
      </c>
      <c r="BY88" s="16" t="s">
        <v>233</v>
      </c>
      <c r="BZ88" s="16" t="s">
        <v>233</v>
      </c>
      <c r="CA88" s="16" t="s">
        <v>233</v>
      </c>
      <c r="CB88" s="16" t="s">
        <v>233</v>
      </c>
      <c r="CC88" s="16" t="s">
        <v>233</v>
      </c>
      <c r="CD88" s="16" t="s">
        <v>233</v>
      </c>
      <c r="CE88" s="16" t="s">
        <v>233</v>
      </c>
      <c r="CF88" s="1">
        <f t="shared" si="25"/>
        <v>0.6</v>
      </c>
      <c r="CG88" s="16" t="s">
        <v>233</v>
      </c>
      <c r="CH88" s="16" t="s">
        <v>233</v>
      </c>
      <c r="CI88" s="16" t="s">
        <v>233</v>
      </c>
      <c r="CJ88" s="16" t="s">
        <v>233</v>
      </c>
      <c r="CK88" s="16" t="s">
        <v>233</v>
      </c>
      <c r="CL88" s="16" t="s">
        <v>233</v>
      </c>
      <c r="CM88" s="16" t="s">
        <v>233</v>
      </c>
      <c r="CN88" s="1">
        <f t="shared" si="26"/>
        <v>-10.1</v>
      </c>
      <c r="CO88" s="16" t="s">
        <v>233</v>
      </c>
      <c r="CP88" s="16" t="s">
        <v>233</v>
      </c>
      <c r="CQ88" s="16" t="s">
        <v>233</v>
      </c>
      <c r="CR88" s="16" t="s">
        <v>233</v>
      </c>
      <c r="CS88" s="16" t="s">
        <v>233</v>
      </c>
      <c r="CT88" s="16" t="s">
        <v>233</v>
      </c>
      <c r="CU88" s="16" t="s">
        <v>233</v>
      </c>
      <c r="CV88" s="18" t="s">
        <v>233</v>
      </c>
      <c r="CW88" s="1">
        <f>ROUND(PPTest!K88,1)</f>
        <v>1.3</v>
      </c>
      <c r="CX88" s="16" t="s">
        <v>233</v>
      </c>
      <c r="CY88" s="16" t="s">
        <v>233</v>
      </c>
      <c r="CZ88" s="20">
        <f t="shared" si="27"/>
        <v>0.28299999999999997</v>
      </c>
      <c r="DA88" s="20">
        <f t="shared" si="28"/>
        <v>0.35499999999999998</v>
      </c>
      <c r="DB88" s="16" t="s">
        <v>233</v>
      </c>
      <c r="DZ88" s="1">
        <v>-3.2</v>
      </c>
      <c r="EA88" s="1">
        <v>0.4</v>
      </c>
      <c r="EB88" s="1">
        <v>-8.8000000000000007</v>
      </c>
      <c r="EC88" s="1">
        <v>1.3</v>
      </c>
    </row>
    <row r="89" spans="1:133" x14ac:dyDescent="0.2">
      <c r="A89" s="40">
        <v>35147</v>
      </c>
      <c r="B89" s="34">
        <v>83</v>
      </c>
      <c r="C89" s="34"/>
      <c r="D89" s="34"/>
      <c r="E89" s="55">
        <f t="shared" si="29"/>
        <v>-8.6</v>
      </c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41"/>
      <c r="Q89" s="34"/>
      <c r="R89" s="55">
        <f t="shared" si="30"/>
        <v>-3.4</v>
      </c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41"/>
      <c r="AE89" s="34"/>
      <c r="AF89" s="55">
        <f t="shared" si="31"/>
        <v>-13.4</v>
      </c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"/>
      <c r="BE89" s="3"/>
      <c r="BF89" s="3"/>
      <c r="BH89" s="16">
        <v>18.899999999999999</v>
      </c>
      <c r="BI89" s="16">
        <f t="shared" si="21"/>
        <v>38.177999999999997</v>
      </c>
      <c r="BJ89" s="17"/>
      <c r="BK89" s="17"/>
      <c r="BP89" s="57">
        <f t="shared" si="22"/>
        <v>0.217</v>
      </c>
      <c r="BQ89" s="57">
        <f t="shared" si="23"/>
        <v>0.25800000000000001</v>
      </c>
      <c r="BS89" s="38"/>
      <c r="BT89" s="8"/>
      <c r="BV89" s="16" t="s">
        <v>233</v>
      </c>
      <c r="BW89" s="16" t="s">
        <v>233</v>
      </c>
      <c r="BX89" s="3">
        <f t="shared" si="24"/>
        <v>-8.6</v>
      </c>
      <c r="BY89" s="16" t="s">
        <v>233</v>
      </c>
      <c r="BZ89" s="16" t="s">
        <v>233</v>
      </c>
      <c r="CA89" s="16" t="s">
        <v>233</v>
      </c>
      <c r="CB89" s="16" t="s">
        <v>233</v>
      </c>
      <c r="CC89" s="16" t="s">
        <v>233</v>
      </c>
      <c r="CD89" s="16" t="s">
        <v>233</v>
      </c>
      <c r="CE89" s="16" t="s">
        <v>233</v>
      </c>
      <c r="CF89" s="1">
        <f t="shared" si="25"/>
        <v>-3.4</v>
      </c>
      <c r="CG89" s="16" t="s">
        <v>233</v>
      </c>
      <c r="CH89" s="16" t="s">
        <v>233</v>
      </c>
      <c r="CI89" s="16" t="s">
        <v>233</v>
      </c>
      <c r="CJ89" s="16" t="s">
        <v>233</v>
      </c>
      <c r="CK89" s="16" t="s">
        <v>233</v>
      </c>
      <c r="CL89" s="16" t="s">
        <v>233</v>
      </c>
      <c r="CM89" s="16" t="s">
        <v>233</v>
      </c>
      <c r="CN89" s="1">
        <f t="shared" si="26"/>
        <v>-13.4</v>
      </c>
      <c r="CO89" s="16" t="s">
        <v>233</v>
      </c>
      <c r="CP89" s="16" t="s">
        <v>233</v>
      </c>
      <c r="CQ89" s="16" t="s">
        <v>233</v>
      </c>
      <c r="CR89" s="16" t="s">
        <v>233</v>
      </c>
      <c r="CS89" s="16" t="s">
        <v>233</v>
      </c>
      <c r="CT89" s="16" t="s">
        <v>233</v>
      </c>
      <c r="CU89" s="16" t="s">
        <v>233</v>
      </c>
      <c r="CV89" s="18" t="s">
        <v>233</v>
      </c>
      <c r="CW89" s="1">
        <f>ROUND(PPTest!K89,1)</f>
        <v>0</v>
      </c>
      <c r="CX89" s="16" t="s">
        <v>233</v>
      </c>
      <c r="CY89" s="16" t="s">
        <v>233</v>
      </c>
      <c r="CZ89" s="20">
        <f t="shared" si="27"/>
        <v>0.217</v>
      </c>
      <c r="DA89" s="20">
        <f t="shared" si="28"/>
        <v>0.25800000000000001</v>
      </c>
      <c r="DB89" s="16" t="s">
        <v>233</v>
      </c>
      <c r="DZ89" s="1">
        <v>-8</v>
      </c>
      <c r="EA89" s="1">
        <v>-3.8</v>
      </c>
      <c r="EB89" s="1">
        <v>-11.8</v>
      </c>
      <c r="EC89" s="1">
        <v>0</v>
      </c>
    </row>
    <row r="90" spans="1:133" x14ac:dyDescent="0.2">
      <c r="A90" s="40">
        <v>35148</v>
      </c>
      <c r="B90" s="34">
        <v>84</v>
      </c>
      <c r="C90" s="34"/>
      <c r="D90" s="34"/>
      <c r="E90" s="55">
        <f t="shared" si="29"/>
        <v>-11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41"/>
      <c r="Q90" s="34"/>
      <c r="R90" s="55">
        <f t="shared" si="30"/>
        <v>-5.2</v>
      </c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41"/>
      <c r="AE90" s="34"/>
      <c r="AF90" s="55">
        <f t="shared" si="31"/>
        <v>-18.2</v>
      </c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"/>
      <c r="BE90" s="3"/>
      <c r="BF90" s="3"/>
      <c r="BH90" s="16">
        <v>19.16</v>
      </c>
      <c r="BI90" s="16">
        <f t="shared" si="21"/>
        <v>38.703200000000002</v>
      </c>
      <c r="BJ90" s="17"/>
      <c r="BK90" s="17"/>
      <c r="BP90" s="57">
        <f t="shared" si="22"/>
        <v>0.14499999999999999</v>
      </c>
      <c r="BQ90" s="57">
        <f t="shared" si="23"/>
        <v>0.27</v>
      </c>
      <c r="BS90" s="38"/>
      <c r="BT90" s="8"/>
      <c r="BV90" s="16" t="s">
        <v>233</v>
      </c>
      <c r="BW90" s="16" t="s">
        <v>233</v>
      </c>
      <c r="BX90" s="3">
        <f t="shared" si="24"/>
        <v>-11</v>
      </c>
      <c r="BY90" s="16" t="s">
        <v>233</v>
      </c>
      <c r="BZ90" s="16" t="s">
        <v>233</v>
      </c>
      <c r="CA90" s="16" t="s">
        <v>233</v>
      </c>
      <c r="CB90" s="16" t="s">
        <v>233</v>
      </c>
      <c r="CC90" s="16" t="s">
        <v>233</v>
      </c>
      <c r="CD90" s="16" t="s">
        <v>233</v>
      </c>
      <c r="CE90" s="16" t="s">
        <v>233</v>
      </c>
      <c r="CF90" s="1">
        <f t="shared" si="25"/>
        <v>-5.2</v>
      </c>
      <c r="CG90" s="16" t="s">
        <v>233</v>
      </c>
      <c r="CH90" s="16" t="s">
        <v>233</v>
      </c>
      <c r="CI90" s="16" t="s">
        <v>233</v>
      </c>
      <c r="CJ90" s="16" t="s">
        <v>233</v>
      </c>
      <c r="CK90" s="16" t="s">
        <v>233</v>
      </c>
      <c r="CL90" s="16" t="s">
        <v>233</v>
      </c>
      <c r="CM90" s="16" t="s">
        <v>233</v>
      </c>
      <c r="CN90" s="1">
        <f t="shared" si="26"/>
        <v>-18.2</v>
      </c>
      <c r="CO90" s="16" t="s">
        <v>233</v>
      </c>
      <c r="CP90" s="16" t="s">
        <v>233</v>
      </c>
      <c r="CQ90" s="16" t="s">
        <v>233</v>
      </c>
      <c r="CR90" s="16" t="s">
        <v>233</v>
      </c>
      <c r="CS90" s="16" t="s">
        <v>233</v>
      </c>
      <c r="CT90" s="16" t="s">
        <v>233</v>
      </c>
      <c r="CU90" s="16" t="s">
        <v>233</v>
      </c>
      <c r="CV90" s="18" t="s">
        <v>233</v>
      </c>
      <c r="CW90" s="1">
        <f>ROUND(PPTest!K90,1)</f>
        <v>0.2</v>
      </c>
      <c r="CX90" s="16" t="s">
        <v>233</v>
      </c>
      <c r="CY90" s="16" t="s">
        <v>233</v>
      </c>
      <c r="CZ90" s="20">
        <f t="shared" si="27"/>
        <v>0.14499999999999999</v>
      </c>
      <c r="DA90" s="20">
        <f t="shared" si="28"/>
        <v>0.27</v>
      </c>
      <c r="DB90" s="16" t="s">
        <v>233</v>
      </c>
      <c r="DZ90" s="1">
        <v>-10.4</v>
      </c>
      <c r="EA90" s="1">
        <v>-5.6</v>
      </c>
      <c r="EB90" s="1">
        <v>-16.2</v>
      </c>
      <c r="EC90" s="1">
        <v>0.2</v>
      </c>
    </row>
    <row r="91" spans="1:133" x14ac:dyDescent="0.2">
      <c r="A91" s="40">
        <v>35149</v>
      </c>
      <c r="B91" s="34">
        <v>85</v>
      </c>
      <c r="C91" s="34"/>
      <c r="D91" s="34"/>
      <c r="E91" s="55">
        <f t="shared" si="29"/>
        <v>-7.6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41"/>
      <c r="Q91" s="34"/>
      <c r="R91" s="55">
        <f t="shared" si="30"/>
        <v>1.6</v>
      </c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41"/>
      <c r="AE91" s="34"/>
      <c r="AF91" s="55">
        <f t="shared" si="31"/>
        <v>-22.6</v>
      </c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"/>
      <c r="BE91" s="3"/>
      <c r="BF91" s="3"/>
      <c r="BH91" s="16">
        <v>19.440000000000001</v>
      </c>
      <c r="BI91" s="16">
        <f t="shared" si="21"/>
        <v>39.268800000000006</v>
      </c>
      <c r="BJ91" s="17"/>
      <c r="BK91" s="17"/>
      <c r="BP91" s="57">
        <f t="shared" si="22"/>
        <v>9.9000000000000005E-2</v>
      </c>
      <c r="BQ91" s="57">
        <f t="shared" si="23"/>
        <v>0.58599999999999997</v>
      </c>
      <c r="BS91" s="38"/>
      <c r="BT91" s="8"/>
      <c r="BV91" s="16" t="s">
        <v>233</v>
      </c>
      <c r="BW91" s="16" t="s">
        <v>233</v>
      </c>
      <c r="BX91" s="3">
        <f t="shared" si="24"/>
        <v>-7.6</v>
      </c>
      <c r="BY91" s="16" t="s">
        <v>233</v>
      </c>
      <c r="BZ91" s="16" t="s">
        <v>233</v>
      </c>
      <c r="CA91" s="16" t="s">
        <v>233</v>
      </c>
      <c r="CB91" s="16" t="s">
        <v>233</v>
      </c>
      <c r="CC91" s="16" t="s">
        <v>233</v>
      </c>
      <c r="CD91" s="16" t="s">
        <v>233</v>
      </c>
      <c r="CE91" s="16" t="s">
        <v>233</v>
      </c>
      <c r="CF91" s="1">
        <f t="shared" si="25"/>
        <v>1.6</v>
      </c>
      <c r="CG91" s="16" t="s">
        <v>233</v>
      </c>
      <c r="CH91" s="16" t="s">
        <v>233</v>
      </c>
      <c r="CI91" s="16" t="s">
        <v>233</v>
      </c>
      <c r="CJ91" s="16" t="s">
        <v>233</v>
      </c>
      <c r="CK91" s="16" t="s">
        <v>233</v>
      </c>
      <c r="CL91" s="16" t="s">
        <v>233</v>
      </c>
      <c r="CM91" s="16" t="s">
        <v>233</v>
      </c>
      <c r="CN91" s="1">
        <f t="shared" si="26"/>
        <v>-22.6</v>
      </c>
      <c r="CO91" s="16" t="s">
        <v>233</v>
      </c>
      <c r="CP91" s="16" t="s">
        <v>233</v>
      </c>
      <c r="CQ91" s="16" t="s">
        <v>233</v>
      </c>
      <c r="CR91" s="16" t="s">
        <v>233</v>
      </c>
      <c r="CS91" s="16" t="s">
        <v>233</v>
      </c>
      <c r="CT91" s="16" t="s">
        <v>233</v>
      </c>
      <c r="CU91" s="16" t="s">
        <v>233</v>
      </c>
      <c r="CV91" s="18" t="s">
        <v>233</v>
      </c>
      <c r="CW91" s="1">
        <f>ROUND(PPTest!K91,1)</f>
        <v>0</v>
      </c>
      <c r="CX91" s="16" t="s">
        <v>233</v>
      </c>
      <c r="CY91" s="16" t="s">
        <v>233</v>
      </c>
      <c r="CZ91" s="20">
        <f t="shared" si="27"/>
        <v>9.9000000000000005E-2</v>
      </c>
      <c r="DA91" s="20">
        <f t="shared" si="28"/>
        <v>0.58599999999999997</v>
      </c>
      <c r="DB91" s="16" t="s">
        <v>233</v>
      </c>
      <c r="DZ91" s="1">
        <v>-7.1</v>
      </c>
      <c r="EA91" s="1">
        <v>1.5</v>
      </c>
      <c r="EB91" s="1">
        <v>-20.2</v>
      </c>
      <c r="EC91" s="1">
        <v>0</v>
      </c>
    </row>
    <row r="92" spans="1:133" x14ac:dyDescent="0.2">
      <c r="A92" s="40">
        <v>35150</v>
      </c>
      <c r="B92" s="34">
        <v>86</v>
      </c>
      <c r="C92" s="34"/>
      <c r="D92" s="34"/>
      <c r="E92" s="55">
        <f t="shared" si="29"/>
        <v>-6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41"/>
      <c r="Q92" s="34"/>
      <c r="R92" s="55">
        <f t="shared" si="30"/>
        <v>-0.1</v>
      </c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41"/>
      <c r="AE92" s="34"/>
      <c r="AF92" s="55">
        <f t="shared" si="31"/>
        <v>-12.6</v>
      </c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"/>
      <c r="BE92" s="3"/>
      <c r="BF92" s="3"/>
      <c r="BH92" s="16">
        <v>19.7</v>
      </c>
      <c r="BI92" s="16">
        <f t="shared" si="21"/>
        <v>39.793999999999997</v>
      </c>
      <c r="BJ92" s="17"/>
      <c r="BK92" s="17"/>
      <c r="BP92" s="57">
        <f t="shared" si="22"/>
        <v>0.23200000000000001</v>
      </c>
      <c r="BQ92" s="57">
        <f t="shared" si="23"/>
        <v>0.374</v>
      </c>
      <c r="BS92" s="38"/>
      <c r="BT92" s="8"/>
      <c r="BV92" s="16" t="s">
        <v>233</v>
      </c>
      <c r="BW92" s="16" t="s">
        <v>233</v>
      </c>
      <c r="BX92" s="3">
        <f t="shared" si="24"/>
        <v>-6</v>
      </c>
      <c r="BY92" s="16" t="s">
        <v>233</v>
      </c>
      <c r="BZ92" s="16" t="s">
        <v>233</v>
      </c>
      <c r="CA92" s="16" t="s">
        <v>233</v>
      </c>
      <c r="CB92" s="16" t="s">
        <v>233</v>
      </c>
      <c r="CC92" s="16" t="s">
        <v>233</v>
      </c>
      <c r="CD92" s="16" t="s">
        <v>233</v>
      </c>
      <c r="CE92" s="16" t="s">
        <v>233</v>
      </c>
      <c r="CF92" s="1">
        <f t="shared" si="25"/>
        <v>-0.1</v>
      </c>
      <c r="CG92" s="16" t="s">
        <v>233</v>
      </c>
      <c r="CH92" s="16" t="s">
        <v>233</v>
      </c>
      <c r="CI92" s="16" t="s">
        <v>233</v>
      </c>
      <c r="CJ92" s="16" t="s">
        <v>233</v>
      </c>
      <c r="CK92" s="16" t="s">
        <v>233</v>
      </c>
      <c r="CL92" s="16" t="s">
        <v>233</v>
      </c>
      <c r="CM92" s="16" t="s">
        <v>233</v>
      </c>
      <c r="CN92" s="1">
        <f t="shared" si="26"/>
        <v>-12.6</v>
      </c>
      <c r="CO92" s="16" t="s">
        <v>233</v>
      </c>
      <c r="CP92" s="16" t="s">
        <v>233</v>
      </c>
      <c r="CQ92" s="16" t="s">
        <v>233</v>
      </c>
      <c r="CR92" s="16" t="s">
        <v>233</v>
      </c>
      <c r="CS92" s="16" t="s">
        <v>233</v>
      </c>
      <c r="CT92" s="16" t="s">
        <v>233</v>
      </c>
      <c r="CU92" s="16" t="s">
        <v>233</v>
      </c>
      <c r="CV92" s="18" t="s">
        <v>233</v>
      </c>
      <c r="CW92" s="1">
        <f>ROUND(PPTest!K92,1)</f>
        <v>0</v>
      </c>
      <c r="CX92" s="16" t="s">
        <v>233</v>
      </c>
      <c r="CY92" s="16" t="s">
        <v>233</v>
      </c>
      <c r="CZ92" s="20">
        <f t="shared" si="27"/>
        <v>0.23200000000000001</v>
      </c>
      <c r="DA92" s="20">
        <f t="shared" si="28"/>
        <v>0.374</v>
      </c>
      <c r="DB92" s="16" t="s">
        <v>233</v>
      </c>
      <c r="DZ92" s="1">
        <v>-5.5</v>
      </c>
      <c r="EA92" s="1">
        <v>-0.3</v>
      </c>
      <c r="EB92" s="1">
        <v>-11.1</v>
      </c>
      <c r="EC92" s="1">
        <v>0</v>
      </c>
    </row>
    <row r="93" spans="1:133" x14ac:dyDescent="0.2">
      <c r="A93" s="40">
        <v>35151</v>
      </c>
      <c r="B93" s="34">
        <v>87</v>
      </c>
      <c r="C93" s="34"/>
      <c r="D93" s="34"/>
      <c r="E93" s="55">
        <f t="shared" si="29"/>
        <v>-6.8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41"/>
      <c r="Q93" s="34"/>
      <c r="R93" s="55">
        <f t="shared" si="30"/>
        <v>-2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41"/>
      <c r="AE93" s="34"/>
      <c r="AF93" s="55">
        <f t="shared" si="31"/>
        <v>-12.2</v>
      </c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"/>
      <c r="BE93" s="3"/>
      <c r="BF93" s="3"/>
      <c r="BH93" s="16">
        <v>19.97</v>
      </c>
      <c r="BI93" s="16">
        <f t="shared" si="21"/>
        <v>40.339399999999998</v>
      </c>
      <c r="BJ93" s="17"/>
      <c r="BK93" s="17"/>
      <c r="BP93" s="57">
        <f t="shared" si="22"/>
        <v>0.23899999999999999</v>
      </c>
      <c r="BQ93" s="57">
        <f t="shared" si="23"/>
        <v>0.28799999999999998</v>
      </c>
      <c r="BS93" s="38"/>
      <c r="BT93" s="8"/>
      <c r="BV93" s="16" t="s">
        <v>233</v>
      </c>
      <c r="BW93" s="16" t="s">
        <v>233</v>
      </c>
      <c r="BX93" s="3">
        <f t="shared" si="24"/>
        <v>-6.8</v>
      </c>
      <c r="BY93" s="16" t="s">
        <v>233</v>
      </c>
      <c r="BZ93" s="16" t="s">
        <v>233</v>
      </c>
      <c r="CA93" s="16" t="s">
        <v>233</v>
      </c>
      <c r="CB93" s="16" t="s">
        <v>233</v>
      </c>
      <c r="CC93" s="16" t="s">
        <v>233</v>
      </c>
      <c r="CD93" s="16" t="s">
        <v>233</v>
      </c>
      <c r="CE93" s="16" t="s">
        <v>233</v>
      </c>
      <c r="CF93" s="1">
        <f t="shared" si="25"/>
        <v>-2</v>
      </c>
      <c r="CG93" s="16" t="s">
        <v>233</v>
      </c>
      <c r="CH93" s="16" t="s">
        <v>233</v>
      </c>
      <c r="CI93" s="16" t="s">
        <v>233</v>
      </c>
      <c r="CJ93" s="16" t="s">
        <v>233</v>
      </c>
      <c r="CK93" s="16" t="s">
        <v>233</v>
      </c>
      <c r="CL93" s="16" t="s">
        <v>233</v>
      </c>
      <c r="CM93" s="16" t="s">
        <v>233</v>
      </c>
      <c r="CN93" s="1">
        <f t="shared" si="26"/>
        <v>-12.2</v>
      </c>
      <c r="CO93" s="16" t="s">
        <v>233</v>
      </c>
      <c r="CP93" s="16" t="s">
        <v>233</v>
      </c>
      <c r="CQ93" s="16" t="s">
        <v>233</v>
      </c>
      <c r="CR93" s="16" t="s">
        <v>233</v>
      </c>
      <c r="CS93" s="16" t="s">
        <v>233</v>
      </c>
      <c r="CT93" s="16" t="s">
        <v>233</v>
      </c>
      <c r="CU93" s="16" t="s">
        <v>233</v>
      </c>
      <c r="CV93" s="18" t="s">
        <v>233</v>
      </c>
      <c r="CW93" s="1">
        <f>ROUND(PPTest!K93,1)</f>
        <v>0</v>
      </c>
      <c r="CX93" s="16" t="s">
        <v>233</v>
      </c>
      <c r="CY93" s="16" t="s">
        <v>233</v>
      </c>
      <c r="CZ93" s="20">
        <f t="shared" si="27"/>
        <v>0.23899999999999999</v>
      </c>
      <c r="DA93" s="20">
        <f t="shared" si="28"/>
        <v>0.28799999999999998</v>
      </c>
      <c r="DB93" s="16" t="s">
        <v>233</v>
      </c>
      <c r="DZ93" s="1">
        <v>-6.3</v>
      </c>
      <c r="EA93" s="1">
        <v>-2.2999999999999998</v>
      </c>
      <c r="EB93" s="1">
        <v>-10.7</v>
      </c>
      <c r="EC93" s="1">
        <v>0</v>
      </c>
    </row>
    <row r="94" spans="1:133" x14ac:dyDescent="0.2">
      <c r="A94" s="40">
        <v>35152</v>
      </c>
      <c r="B94" s="34">
        <v>88</v>
      </c>
      <c r="C94" s="34"/>
      <c r="D94" s="34"/>
      <c r="E94" s="55">
        <f t="shared" si="29"/>
        <v>-6.1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41"/>
      <c r="Q94" s="34"/>
      <c r="R94" s="55">
        <f t="shared" si="30"/>
        <v>2.6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41"/>
      <c r="AE94" s="34"/>
      <c r="AF94" s="55">
        <f t="shared" si="31"/>
        <v>-16.8</v>
      </c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"/>
      <c r="BE94" s="3"/>
      <c r="BF94" s="3"/>
      <c r="BH94" s="16">
        <v>20.239999999999998</v>
      </c>
      <c r="BI94" s="16">
        <f t="shared" si="21"/>
        <v>40.884799999999998</v>
      </c>
      <c r="BJ94" s="17"/>
      <c r="BK94" s="17"/>
      <c r="BP94" s="57">
        <f t="shared" si="22"/>
        <v>0.16400000000000001</v>
      </c>
      <c r="BQ94" s="57">
        <f t="shared" si="23"/>
        <v>0.57199999999999995</v>
      </c>
      <c r="BS94" s="38"/>
      <c r="BT94" s="8"/>
      <c r="BV94" s="16" t="s">
        <v>233</v>
      </c>
      <c r="BW94" s="16" t="s">
        <v>233</v>
      </c>
      <c r="BX94" s="3">
        <f t="shared" si="24"/>
        <v>-6.1</v>
      </c>
      <c r="BY94" s="16" t="s">
        <v>233</v>
      </c>
      <c r="BZ94" s="16" t="s">
        <v>233</v>
      </c>
      <c r="CA94" s="16" t="s">
        <v>233</v>
      </c>
      <c r="CB94" s="16" t="s">
        <v>233</v>
      </c>
      <c r="CC94" s="16" t="s">
        <v>233</v>
      </c>
      <c r="CD94" s="16" t="s">
        <v>233</v>
      </c>
      <c r="CE94" s="16" t="s">
        <v>233</v>
      </c>
      <c r="CF94" s="1">
        <f t="shared" si="25"/>
        <v>2.6</v>
      </c>
      <c r="CG94" s="16" t="s">
        <v>233</v>
      </c>
      <c r="CH94" s="16" t="s">
        <v>233</v>
      </c>
      <c r="CI94" s="16" t="s">
        <v>233</v>
      </c>
      <c r="CJ94" s="16" t="s">
        <v>233</v>
      </c>
      <c r="CK94" s="16" t="s">
        <v>233</v>
      </c>
      <c r="CL94" s="16" t="s">
        <v>233</v>
      </c>
      <c r="CM94" s="16" t="s">
        <v>233</v>
      </c>
      <c r="CN94" s="1">
        <f t="shared" si="26"/>
        <v>-16.8</v>
      </c>
      <c r="CO94" s="16" t="s">
        <v>233</v>
      </c>
      <c r="CP94" s="16" t="s">
        <v>233</v>
      </c>
      <c r="CQ94" s="16" t="s">
        <v>233</v>
      </c>
      <c r="CR94" s="16" t="s">
        <v>233</v>
      </c>
      <c r="CS94" s="16" t="s">
        <v>233</v>
      </c>
      <c r="CT94" s="16" t="s">
        <v>233</v>
      </c>
      <c r="CU94" s="16" t="s">
        <v>233</v>
      </c>
      <c r="CV94" s="18" t="s">
        <v>233</v>
      </c>
      <c r="CW94" s="1">
        <f>ROUND(PPTest!K94,1)</f>
        <v>0</v>
      </c>
      <c r="CX94" s="16" t="s">
        <v>233</v>
      </c>
      <c r="CY94" s="16" t="s">
        <v>233</v>
      </c>
      <c r="CZ94" s="20">
        <f t="shared" si="27"/>
        <v>0.16400000000000001</v>
      </c>
      <c r="DA94" s="20">
        <f t="shared" si="28"/>
        <v>0.57199999999999995</v>
      </c>
      <c r="DB94" s="16" t="s">
        <v>233</v>
      </c>
      <c r="DZ94" s="1">
        <v>-5.6</v>
      </c>
      <c r="EA94" s="1">
        <v>2.5</v>
      </c>
      <c r="EB94" s="1">
        <v>-14.9</v>
      </c>
      <c r="EC94" s="1">
        <v>0</v>
      </c>
    </row>
    <row r="95" spans="1:133" x14ac:dyDescent="0.2">
      <c r="A95" s="40">
        <v>35153</v>
      </c>
      <c r="B95" s="34">
        <v>89</v>
      </c>
      <c r="C95" s="34"/>
      <c r="D95" s="34"/>
      <c r="E95" s="55">
        <f t="shared" si="29"/>
        <v>-9.4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41"/>
      <c r="Q95" s="34"/>
      <c r="R95" s="55">
        <f t="shared" si="30"/>
        <v>-2.9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41"/>
      <c r="AE95" s="34"/>
      <c r="AF95" s="55">
        <f t="shared" si="31"/>
        <v>-16.5</v>
      </c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"/>
      <c r="BE95" s="3"/>
      <c r="BF95" s="3"/>
      <c r="BH95" s="16">
        <v>20.5</v>
      </c>
      <c r="BI95" s="16">
        <f t="shared" si="21"/>
        <v>41.410000000000004</v>
      </c>
      <c r="BJ95" s="17"/>
      <c r="BK95" s="17"/>
      <c r="BP95" s="57">
        <f t="shared" si="22"/>
        <v>0.16800000000000001</v>
      </c>
      <c r="BQ95" s="57">
        <f t="shared" si="23"/>
        <v>0.32500000000000001</v>
      </c>
      <c r="BS95" s="38"/>
      <c r="BT95" s="8"/>
      <c r="BV95" s="16" t="s">
        <v>233</v>
      </c>
      <c r="BW95" s="16" t="s">
        <v>233</v>
      </c>
      <c r="BX95" s="3">
        <f t="shared" si="24"/>
        <v>-9.4</v>
      </c>
      <c r="BY95" s="16" t="s">
        <v>233</v>
      </c>
      <c r="BZ95" s="16" t="s">
        <v>233</v>
      </c>
      <c r="CA95" s="16" t="s">
        <v>233</v>
      </c>
      <c r="CB95" s="16" t="s">
        <v>233</v>
      </c>
      <c r="CC95" s="16" t="s">
        <v>233</v>
      </c>
      <c r="CD95" s="16" t="s">
        <v>233</v>
      </c>
      <c r="CE95" s="16" t="s">
        <v>233</v>
      </c>
      <c r="CF95" s="1">
        <f t="shared" si="25"/>
        <v>-2.9</v>
      </c>
      <c r="CG95" s="16" t="s">
        <v>233</v>
      </c>
      <c r="CH95" s="16" t="s">
        <v>233</v>
      </c>
      <c r="CI95" s="16" t="s">
        <v>233</v>
      </c>
      <c r="CJ95" s="16" t="s">
        <v>233</v>
      </c>
      <c r="CK95" s="16" t="s">
        <v>233</v>
      </c>
      <c r="CL95" s="16" t="s">
        <v>233</v>
      </c>
      <c r="CM95" s="16" t="s">
        <v>233</v>
      </c>
      <c r="CN95" s="1">
        <f t="shared" si="26"/>
        <v>-16.5</v>
      </c>
      <c r="CO95" s="16" t="s">
        <v>233</v>
      </c>
      <c r="CP95" s="16" t="s">
        <v>233</v>
      </c>
      <c r="CQ95" s="16" t="s">
        <v>233</v>
      </c>
      <c r="CR95" s="16" t="s">
        <v>233</v>
      </c>
      <c r="CS95" s="16" t="s">
        <v>233</v>
      </c>
      <c r="CT95" s="16" t="s">
        <v>233</v>
      </c>
      <c r="CU95" s="16" t="s">
        <v>233</v>
      </c>
      <c r="CV95" s="18" t="s">
        <v>233</v>
      </c>
      <c r="CW95" s="1">
        <f>ROUND(PPTest!K95,1)</f>
        <v>1.4</v>
      </c>
      <c r="CX95" s="16" t="s">
        <v>233</v>
      </c>
      <c r="CY95" s="16" t="s">
        <v>233</v>
      </c>
      <c r="CZ95" s="20">
        <f t="shared" si="27"/>
        <v>0.16800000000000001</v>
      </c>
      <c r="DA95" s="20">
        <f t="shared" si="28"/>
        <v>0.32500000000000001</v>
      </c>
      <c r="DB95" s="16" t="s">
        <v>233</v>
      </c>
      <c r="DZ95" s="1">
        <v>-8.8000000000000007</v>
      </c>
      <c r="EA95" s="1">
        <v>-3.2</v>
      </c>
      <c r="EB95" s="1">
        <v>-14.6</v>
      </c>
      <c r="EC95" s="1">
        <v>1.4</v>
      </c>
    </row>
    <row r="96" spans="1:133" x14ac:dyDescent="0.2">
      <c r="A96" s="40">
        <v>35154</v>
      </c>
      <c r="B96" s="34">
        <v>90</v>
      </c>
      <c r="C96" s="34"/>
      <c r="D96" s="34"/>
      <c r="E96" s="55">
        <f t="shared" si="29"/>
        <v>-7.7</v>
      </c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41"/>
      <c r="Q96" s="34"/>
      <c r="R96" s="55">
        <f t="shared" si="30"/>
        <v>-1.3</v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41"/>
      <c r="AE96" s="34"/>
      <c r="AF96" s="55">
        <f t="shared" si="31"/>
        <v>-16.399999999999999</v>
      </c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"/>
      <c r="BE96" s="3"/>
      <c r="BF96" s="3"/>
      <c r="BH96" s="16">
        <v>20.77</v>
      </c>
      <c r="BI96" s="16">
        <f t="shared" si="21"/>
        <v>41.955399999999997</v>
      </c>
      <c r="BJ96" s="17"/>
      <c r="BK96" s="17"/>
      <c r="BP96" s="57">
        <f t="shared" si="22"/>
        <v>0.16900000000000001</v>
      </c>
      <c r="BQ96" s="57">
        <f t="shared" si="23"/>
        <v>0.38600000000000001</v>
      </c>
      <c r="BS96" s="38"/>
      <c r="BT96" s="8"/>
      <c r="BV96" s="16" t="s">
        <v>233</v>
      </c>
      <c r="BW96" s="16" t="s">
        <v>233</v>
      </c>
      <c r="BX96" s="3">
        <f t="shared" si="24"/>
        <v>-7.7</v>
      </c>
      <c r="BY96" s="16" t="s">
        <v>233</v>
      </c>
      <c r="BZ96" s="16" t="s">
        <v>233</v>
      </c>
      <c r="CA96" s="16" t="s">
        <v>233</v>
      </c>
      <c r="CB96" s="16" t="s">
        <v>233</v>
      </c>
      <c r="CC96" s="16" t="s">
        <v>233</v>
      </c>
      <c r="CD96" s="16" t="s">
        <v>233</v>
      </c>
      <c r="CE96" s="16" t="s">
        <v>233</v>
      </c>
      <c r="CF96" s="1">
        <f t="shared" si="25"/>
        <v>-1.3</v>
      </c>
      <c r="CG96" s="16" t="s">
        <v>233</v>
      </c>
      <c r="CH96" s="16" t="s">
        <v>233</v>
      </c>
      <c r="CI96" s="16" t="s">
        <v>233</v>
      </c>
      <c r="CJ96" s="16" t="s">
        <v>233</v>
      </c>
      <c r="CK96" s="16" t="s">
        <v>233</v>
      </c>
      <c r="CL96" s="16" t="s">
        <v>233</v>
      </c>
      <c r="CM96" s="16" t="s">
        <v>233</v>
      </c>
      <c r="CN96" s="1">
        <f t="shared" si="26"/>
        <v>-16.399999999999999</v>
      </c>
      <c r="CO96" s="16" t="s">
        <v>233</v>
      </c>
      <c r="CP96" s="16" t="s">
        <v>233</v>
      </c>
      <c r="CQ96" s="16" t="s">
        <v>233</v>
      </c>
      <c r="CR96" s="16" t="s">
        <v>233</v>
      </c>
      <c r="CS96" s="16" t="s">
        <v>233</v>
      </c>
      <c r="CT96" s="16" t="s">
        <v>233</v>
      </c>
      <c r="CU96" s="16" t="s">
        <v>233</v>
      </c>
      <c r="CV96" s="18" t="s">
        <v>233</v>
      </c>
      <c r="CW96" s="1">
        <f>ROUND(PPTest!K96,1)</f>
        <v>1.2</v>
      </c>
      <c r="CX96" s="16" t="s">
        <v>233</v>
      </c>
      <c r="CY96" s="16" t="s">
        <v>233</v>
      </c>
      <c r="CZ96" s="20">
        <f t="shared" si="27"/>
        <v>0.16900000000000001</v>
      </c>
      <c r="DA96" s="20">
        <f t="shared" si="28"/>
        <v>0.38600000000000001</v>
      </c>
      <c r="DB96" s="16" t="s">
        <v>233</v>
      </c>
      <c r="DZ96" s="1">
        <v>-7.2</v>
      </c>
      <c r="EA96" s="1">
        <v>-1.6</v>
      </c>
      <c r="EB96" s="1">
        <v>-14.5</v>
      </c>
      <c r="EC96" s="1">
        <v>1.2</v>
      </c>
    </row>
    <row r="97" spans="1:133" x14ac:dyDescent="0.2">
      <c r="A97" s="40">
        <v>35155</v>
      </c>
      <c r="B97" s="34">
        <v>91</v>
      </c>
      <c r="C97" s="34"/>
      <c r="D97" s="34"/>
      <c r="E97" s="55">
        <f t="shared" si="29"/>
        <v>-5.6</v>
      </c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41"/>
      <c r="Q97" s="34"/>
      <c r="R97" s="55">
        <f t="shared" si="30"/>
        <v>-1</v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41"/>
      <c r="AE97" s="34"/>
      <c r="AF97" s="55">
        <f t="shared" si="31"/>
        <v>-15.4</v>
      </c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"/>
      <c r="BE97" s="3"/>
      <c r="BF97" s="3"/>
      <c r="BH97" s="16">
        <v>21.03</v>
      </c>
      <c r="BI97" s="16">
        <f t="shared" si="21"/>
        <v>42.480600000000003</v>
      </c>
      <c r="BJ97" s="17"/>
      <c r="BK97" s="17"/>
      <c r="BP97" s="57">
        <f t="shared" si="22"/>
        <v>0.184</v>
      </c>
      <c r="BQ97" s="57">
        <f t="shared" si="23"/>
        <v>0.38300000000000001</v>
      </c>
      <c r="BS97" s="38"/>
      <c r="BT97" s="8"/>
      <c r="BV97" s="16" t="s">
        <v>233</v>
      </c>
      <c r="BW97" s="16" t="s">
        <v>233</v>
      </c>
      <c r="BX97" s="3">
        <f t="shared" si="24"/>
        <v>-5.6</v>
      </c>
      <c r="BY97" s="16" t="s">
        <v>233</v>
      </c>
      <c r="BZ97" s="16" t="s">
        <v>233</v>
      </c>
      <c r="CA97" s="16" t="s">
        <v>233</v>
      </c>
      <c r="CB97" s="16" t="s">
        <v>233</v>
      </c>
      <c r="CC97" s="16" t="s">
        <v>233</v>
      </c>
      <c r="CD97" s="16" t="s">
        <v>233</v>
      </c>
      <c r="CE97" s="16" t="s">
        <v>233</v>
      </c>
      <c r="CF97" s="1">
        <f t="shared" si="25"/>
        <v>-1</v>
      </c>
      <c r="CG97" s="16" t="s">
        <v>233</v>
      </c>
      <c r="CH97" s="16" t="s">
        <v>233</v>
      </c>
      <c r="CI97" s="16" t="s">
        <v>233</v>
      </c>
      <c r="CJ97" s="16" t="s">
        <v>233</v>
      </c>
      <c r="CK97" s="16" t="s">
        <v>233</v>
      </c>
      <c r="CL97" s="16" t="s">
        <v>233</v>
      </c>
      <c r="CM97" s="16" t="s">
        <v>233</v>
      </c>
      <c r="CN97" s="1">
        <f t="shared" si="26"/>
        <v>-15.4</v>
      </c>
      <c r="CO97" s="16" t="s">
        <v>233</v>
      </c>
      <c r="CP97" s="16" t="s">
        <v>233</v>
      </c>
      <c r="CQ97" s="16" t="s">
        <v>233</v>
      </c>
      <c r="CR97" s="16" t="s">
        <v>233</v>
      </c>
      <c r="CS97" s="16" t="s">
        <v>233</v>
      </c>
      <c r="CT97" s="16" t="s">
        <v>233</v>
      </c>
      <c r="CU97" s="16" t="s">
        <v>233</v>
      </c>
      <c r="CV97" s="18" t="s">
        <v>233</v>
      </c>
      <c r="CW97" s="1">
        <f>ROUND(PPTest!K97,1)</f>
        <v>1.4</v>
      </c>
      <c r="CX97" s="16" t="s">
        <v>233</v>
      </c>
      <c r="CY97" s="16" t="s">
        <v>233</v>
      </c>
      <c r="CZ97" s="20">
        <f t="shared" si="27"/>
        <v>0.184</v>
      </c>
      <c r="DA97" s="20">
        <f t="shared" si="28"/>
        <v>0.38300000000000001</v>
      </c>
      <c r="DB97" s="16" t="s">
        <v>233</v>
      </c>
      <c r="DZ97" s="1">
        <v>-5.0999999999999996</v>
      </c>
      <c r="EA97" s="1">
        <v>-1.2</v>
      </c>
      <c r="EB97" s="1">
        <v>-13.6</v>
      </c>
      <c r="EC97" s="1">
        <v>1.4</v>
      </c>
    </row>
    <row r="98" spans="1:133" x14ac:dyDescent="0.2">
      <c r="A98" s="40">
        <v>35156</v>
      </c>
      <c r="B98" s="34">
        <v>92</v>
      </c>
      <c r="C98" s="34"/>
      <c r="D98" s="34"/>
      <c r="E98" s="55">
        <f t="shared" si="29"/>
        <v>-1.5</v>
      </c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41"/>
      <c r="Q98" s="34"/>
      <c r="R98" s="55">
        <f t="shared" si="30"/>
        <v>1.5</v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41"/>
      <c r="AE98" s="34"/>
      <c r="AF98" s="55">
        <f t="shared" si="31"/>
        <v>-6.3</v>
      </c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"/>
      <c r="BE98" s="3"/>
      <c r="BF98" s="3"/>
      <c r="BH98" s="16">
        <v>21.3</v>
      </c>
      <c r="BI98" s="16">
        <f t="shared" si="21"/>
        <v>43.026000000000003</v>
      </c>
      <c r="BJ98" s="17"/>
      <c r="BK98" s="17"/>
      <c r="BP98" s="57">
        <f t="shared" si="22"/>
        <v>0.38100000000000001</v>
      </c>
      <c r="BQ98" s="57">
        <f t="shared" si="23"/>
        <v>0.29899999999999999</v>
      </c>
      <c r="BR98" s="2"/>
      <c r="BS98" s="38"/>
      <c r="BT98" s="8"/>
      <c r="BV98" s="16" t="s">
        <v>233</v>
      </c>
      <c r="BW98" s="16" t="s">
        <v>233</v>
      </c>
      <c r="BX98" s="3">
        <f t="shared" si="24"/>
        <v>-1.5</v>
      </c>
      <c r="BY98" s="16" t="s">
        <v>233</v>
      </c>
      <c r="BZ98" s="16" t="s">
        <v>233</v>
      </c>
      <c r="CA98" s="16" t="s">
        <v>233</v>
      </c>
      <c r="CB98" s="16" t="s">
        <v>233</v>
      </c>
      <c r="CC98" s="16" t="s">
        <v>233</v>
      </c>
      <c r="CD98" s="16" t="s">
        <v>233</v>
      </c>
      <c r="CE98" s="16" t="s">
        <v>233</v>
      </c>
      <c r="CF98" s="1">
        <f t="shared" si="25"/>
        <v>1.5</v>
      </c>
      <c r="CG98" s="16" t="s">
        <v>233</v>
      </c>
      <c r="CH98" s="16" t="s">
        <v>233</v>
      </c>
      <c r="CI98" s="16" t="s">
        <v>233</v>
      </c>
      <c r="CJ98" s="16" t="s">
        <v>233</v>
      </c>
      <c r="CK98" s="16" t="s">
        <v>233</v>
      </c>
      <c r="CL98" s="16" t="s">
        <v>233</v>
      </c>
      <c r="CM98" s="16" t="s">
        <v>233</v>
      </c>
      <c r="CN98" s="1">
        <f t="shared" si="26"/>
        <v>-6.3</v>
      </c>
      <c r="CO98" s="16" t="s">
        <v>233</v>
      </c>
      <c r="CP98" s="16" t="s">
        <v>233</v>
      </c>
      <c r="CQ98" s="16" t="s">
        <v>233</v>
      </c>
      <c r="CR98" s="16" t="s">
        <v>233</v>
      </c>
      <c r="CS98" s="16" t="s">
        <v>233</v>
      </c>
      <c r="CT98" s="16" t="s">
        <v>233</v>
      </c>
      <c r="CU98" s="16" t="s">
        <v>233</v>
      </c>
      <c r="CV98" s="18" t="s">
        <v>233</v>
      </c>
      <c r="CW98" s="1">
        <f>ROUND(PPTest!K98,1)</f>
        <v>3.5</v>
      </c>
      <c r="CX98" s="16" t="s">
        <v>233</v>
      </c>
      <c r="CY98" s="16" t="s">
        <v>233</v>
      </c>
      <c r="CZ98" s="20">
        <f t="shared" si="27"/>
        <v>0.38100000000000001</v>
      </c>
      <c r="DA98" s="20">
        <f t="shared" si="28"/>
        <v>0.29899999999999999</v>
      </c>
      <c r="DB98" s="16" t="s">
        <v>233</v>
      </c>
      <c r="DZ98" s="1">
        <v>-1.1000000000000001</v>
      </c>
      <c r="EA98" s="1">
        <v>1.4</v>
      </c>
      <c r="EB98" s="1">
        <v>-5.4</v>
      </c>
      <c r="EC98" s="1">
        <v>3.5</v>
      </c>
    </row>
    <row r="99" spans="1:133" x14ac:dyDescent="0.2">
      <c r="A99" s="40">
        <v>35157</v>
      </c>
      <c r="B99" s="34">
        <v>93</v>
      </c>
      <c r="C99" s="34"/>
      <c r="D99" s="34"/>
      <c r="E99" s="55">
        <f t="shared" si="29"/>
        <v>-4.5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41"/>
      <c r="Q99" s="34"/>
      <c r="R99" s="55">
        <f t="shared" si="30"/>
        <v>1.1000000000000001</v>
      </c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41"/>
      <c r="AE99" s="34"/>
      <c r="AF99" s="55">
        <f t="shared" si="31"/>
        <v>-13.8</v>
      </c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"/>
      <c r="BE99" s="3"/>
      <c r="BF99" s="3"/>
      <c r="BH99" s="16">
        <v>21.56</v>
      </c>
      <c r="BI99" s="16">
        <f t="shared" si="21"/>
        <v>43.551199999999994</v>
      </c>
      <c r="BJ99" s="17"/>
      <c r="BK99" s="17"/>
      <c r="BP99" s="57">
        <f t="shared" si="22"/>
        <v>0.21</v>
      </c>
      <c r="BQ99" s="57">
        <f t="shared" si="23"/>
        <v>0.45100000000000001</v>
      </c>
      <c r="BR99" s="2"/>
      <c r="BS99" s="38"/>
      <c r="BT99" s="8"/>
      <c r="BV99" s="16" t="s">
        <v>233</v>
      </c>
      <c r="BW99" s="16" t="s">
        <v>233</v>
      </c>
      <c r="BX99" s="3">
        <f t="shared" si="24"/>
        <v>-4.5</v>
      </c>
      <c r="BY99" s="16" t="s">
        <v>233</v>
      </c>
      <c r="BZ99" s="16" t="s">
        <v>233</v>
      </c>
      <c r="CA99" s="16" t="s">
        <v>233</v>
      </c>
      <c r="CB99" s="16" t="s">
        <v>233</v>
      </c>
      <c r="CC99" s="16" t="s">
        <v>233</v>
      </c>
      <c r="CD99" s="16" t="s">
        <v>233</v>
      </c>
      <c r="CE99" s="16" t="s">
        <v>233</v>
      </c>
      <c r="CF99" s="1">
        <f t="shared" si="25"/>
        <v>1.1000000000000001</v>
      </c>
      <c r="CG99" s="16" t="s">
        <v>233</v>
      </c>
      <c r="CH99" s="16" t="s">
        <v>233</v>
      </c>
      <c r="CI99" s="16" t="s">
        <v>233</v>
      </c>
      <c r="CJ99" s="16" t="s">
        <v>233</v>
      </c>
      <c r="CK99" s="16" t="s">
        <v>233</v>
      </c>
      <c r="CL99" s="16" t="s">
        <v>233</v>
      </c>
      <c r="CM99" s="16" t="s">
        <v>233</v>
      </c>
      <c r="CN99" s="1">
        <f t="shared" si="26"/>
        <v>-13.8</v>
      </c>
      <c r="CO99" s="16" t="s">
        <v>233</v>
      </c>
      <c r="CP99" s="16" t="s">
        <v>233</v>
      </c>
      <c r="CQ99" s="16" t="s">
        <v>233</v>
      </c>
      <c r="CR99" s="16" t="s">
        <v>233</v>
      </c>
      <c r="CS99" s="16" t="s">
        <v>233</v>
      </c>
      <c r="CT99" s="16" t="s">
        <v>233</v>
      </c>
      <c r="CU99" s="16" t="s">
        <v>233</v>
      </c>
      <c r="CV99" s="18" t="s">
        <v>233</v>
      </c>
      <c r="CW99" s="1">
        <f>ROUND(PPTest!K99,1)</f>
        <v>1.7</v>
      </c>
      <c r="CX99" s="16" t="s">
        <v>233</v>
      </c>
      <c r="CY99" s="16" t="s">
        <v>233</v>
      </c>
      <c r="CZ99" s="20">
        <f t="shared" si="27"/>
        <v>0.21</v>
      </c>
      <c r="DA99" s="20">
        <f t="shared" si="28"/>
        <v>0.45100000000000001</v>
      </c>
      <c r="DB99" s="16" t="s">
        <v>233</v>
      </c>
      <c r="DZ99" s="1">
        <v>-4</v>
      </c>
      <c r="EA99" s="1">
        <v>0.9</v>
      </c>
      <c r="EB99" s="1">
        <v>-12.2</v>
      </c>
      <c r="EC99" s="1">
        <v>1.7</v>
      </c>
    </row>
    <row r="100" spans="1:133" x14ac:dyDescent="0.2">
      <c r="A100" s="40">
        <v>35158</v>
      </c>
      <c r="B100" s="34">
        <v>94</v>
      </c>
      <c r="C100" s="34"/>
      <c r="D100" s="34"/>
      <c r="E100" s="55">
        <f t="shared" si="29"/>
        <v>-5.4</v>
      </c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41"/>
      <c r="Q100" s="34"/>
      <c r="R100" s="55">
        <f t="shared" si="30"/>
        <v>2.1</v>
      </c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41"/>
      <c r="AE100" s="34"/>
      <c r="AF100" s="55">
        <f t="shared" si="31"/>
        <v>-15.8</v>
      </c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"/>
      <c r="BE100" s="3"/>
      <c r="BF100" s="3"/>
      <c r="BH100" s="16">
        <v>21.82</v>
      </c>
      <c r="BI100" s="16">
        <f t="shared" si="21"/>
        <v>44.0764</v>
      </c>
      <c r="BJ100" s="17"/>
      <c r="BK100" s="17"/>
      <c r="BP100" s="57">
        <f t="shared" si="22"/>
        <v>0.17799999999999999</v>
      </c>
      <c r="BQ100" s="57">
        <f t="shared" si="23"/>
        <v>0.53200000000000003</v>
      </c>
      <c r="BR100" s="2"/>
      <c r="BS100" s="38"/>
      <c r="BT100" s="8"/>
      <c r="BV100" s="16" t="s">
        <v>233</v>
      </c>
      <c r="BW100" s="16" t="s">
        <v>233</v>
      </c>
      <c r="BX100" s="3">
        <f t="shared" si="24"/>
        <v>-5.4</v>
      </c>
      <c r="BY100" s="16" t="s">
        <v>233</v>
      </c>
      <c r="BZ100" s="16" t="s">
        <v>233</v>
      </c>
      <c r="CA100" s="16" t="s">
        <v>233</v>
      </c>
      <c r="CB100" s="16" t="s">
        <v>233</v>
      </c>
      <c r="CC100" s="16" t="s">
        <v>233</v>
      </c>
      <c r="CD100" s="16" t="s">
        <v>233</v>
      </c>
      <c r="CE100" s="16" t="s">
        <v>233</v>
      </c>
      <c r="CF100" s="1">
        <f t="shared" si="25"/>
        <v>2.1</v>
      </c>
      <c r="CG100" s="16" t="s">
        <v>233</v>
      </c>
      <c r="CH100" s="16" t="s">
        <v>233</v>
      </c>
      <c r="CI100" s="16" t="s">
        <v>233</v>
      </c>
      <c r="CJ100" s="16" t="s">
        <v>233</v>
      </c>
      <c r="CK100" s="16" t="s">
        <v>233</v>
      </c>
      <c r="CL100" s="16" t="s">
        <v>233</v>
      </c>
      <c r="CM100" s="16" t="s">
        <v>233</v>
      </c>
      <c r="CN100" s="1">
        <f t="shared" si="26"/>
        <v>-15.8</v>
      </c>
      <c r="CO100" s="16" t="s">
        <v>233</v>
      </c>
      <c r="CP100" s="16" t="s">
        <v>233</v>
      </c>
      <c r="CQ100" s="16" t="s">
        <v>233</v>
      </c>
      <c r="CR100" s="16" t="s">
        <v>233</v>
      </c>
      <c r="CS100" s="16" t="s">
        <v>233</v>
      </c>
      <c r="CT100" s="16" t="s">
        <v>233</v>
      </c>
      <c r="CU100" s="16" t="s">
        <v>233</v>
      </c>
      <c r="CV100" s="18" t="s">
        <v>233</v>
      </c>
      <c r="CW100" s="1">
        <f>ROUND(PPTest!K100,1)</f>
        <v>0</v>
      </c>
      <c r="CX100" s="16" t="s">
        <v>233</v>
      </c>
      <c r="CY100" s="16" t="s">
        <v>233</v>
      </c>
      <c r="CZ100" s="20">
        <f t="shared" si="27"/>
        <v>0.17799999999999999</v>
      </c>
      <c r="DA100" s="20">
        <f t="shared" si="28"/>
        <v>0.53200000000000003</v>
      </c>
      <c r="DB100" s="16" t="s">
        <v>233</v>
      </c>
      <c r="DZ100" s="1">
        <v>-4.9000000000000004</v>
      </c>
      <c r="EA100" s="1">
        <v>2</v>
      </c>
      <c r="EB100" s="1">
        <v>-14</v>
      </c>
      <c r="EC100" s="1">
        <v>0</v>
      </c>
    </row>
    <row r="101" spans="1:133" x14ac:dyDescent="0.2">
      <c r="A101" s="40">
        <v>35159</v>
      </c>
      <c r="B101" s="34">
        <v>95</v>
      </c>
      <c r="C101" s="34"/>
      <c r="D101" s="34"/>
      <c r="E101" s="55">
        <f t="shared" si="29"/>
        <v>-0.1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41"/>
      <c r="Q101" s="34"/>
      <c r="R101" s="55">
        <f t="shared" si="30"/>
        <v>7.5</v>
      </c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41"/>
      <c r="AE101" s="34"/>
      <c r="AF101" s="55">
        <f t="shared" si="31"/>
        <v>-9.1</v>
      </c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"/>
      <c r="BE101" s="3"/>
      <c r="BF101" s="3"/>
      <c r="BH101" s="16">
        <v>22.08</v>
      </c>
      <c r="BI101" s="16">
        <f t="shared" si="21"/>
        <v>44.601599999999998</v>
      </c>
      <c r="BJ101" s="17"/>
      <c r="BK101" s="17"/>
      <c r="BP101" s="57">
        <f t="shared" si="22"/>
        <v>0.307</v>
      </c>
      <c r="BQ101" s="57">
        <f t="shared" si="23"/>
        <v>0.72899999999999998</v>
      </c>
      <c r="BR101" s="2"/>
      <c r="BS101" s="38"/>
      <c r="BT101" s="8"/>
      <c r="BV101" s="16" t="s">
        <v>233</v>
      </c>
      <c r="BW101" s="16" t="s">
        <v>233</v>
      </c>
      <c r="BX101" s="3">
        <f t="shared" si="24"/>
        <v>-0.1</v>
      </c>
      <c r="BY101" s="16" t="s">
        <v>233</v>
      </c>
      <c r="BZ101" s="16" t="s">
        <v>233</v>
      </c>
      <c r="CA101" s="16" t="s">
        <v>233</v>
      </c>
      <c r="CB101" s="16" t="s">
        <v>233</v>
      </c>
      <c r="CC101" s="16" t="s">
        <v>233</v>
      </c>
      <c r="CD101" s="16" t="s">
        <v>233</v>
      </c>
      <c r="CE101" s="16" t="s">
        <v>233</v>
      </c>
      <c r="CF101" s="1">
        <f t="shared" si="25"/>
        <v>7.5</v>
      </c>
      <c r="CG101" s="16" t="s">
        <v>233</v>
      </c>
      <c r="CH101" s="16" t="s">
        <v>233</v>
      </c>
      <c r="CI101" s="16" t="s">
        <v>233</v>
      </c>
      <c r="CJ101" s="16" t="s">
        <v>233</v>
      </c>
      <c r="CK101" s="16" t="s">
        <v>233</v>
      </c>
      <c r="CL101" s="16" t="s">
        <v>233</v>
      </c>
      <c r="CM101" s="16" t="s">
        <v>233</v>
      </c>
      <c r="CN101" s="1">
        <f t="shared" si="26"/>
        <v>-9.1</v>
      </c>
      <c r="CO101" s="16" t="s">
        <v>233</v>
      </c>
      <c r="CP101" s="16" t="s">
        <v>233</v>
      </c>
      <c r="CQ101" s="16" t="s">
        <v>233</v>
      </c>
      <c r="CR101" s="16" t="s">
        <v>233</v>
      </c>
      <c r="CS101" s="16" t="s">
        <v>233</v>
      </c>
      <c r="CT101" s="16" t="s">
        <v>233</v>
      </c>
      <c r="CU101" s="16" t="s">
        <v>233</v>
      </c>
      <c r="CV101" s="18" t="s">
        <v>233</v>
      </c>
      <c r="CW101" s="1">
        <f>ROUND(PPTest!K101,1)</f>
        <v>0</v>
      </c>
      <c r="CX101" s="16" t="s">
        <v>233</v>
      </c>
      <c r="CY101" s="16" t="s">
        <v>233</v>
      </c>
      <c r="CZ101" s="20">
        <f t="shared" si="27"/>
        <v>0.307</v>
      </c>
      <c r="DA101" s="20">
        <f t="shared" si="28"/>
        <v>0.72899999999999998</v>
      </c>
      <c r="DB101" s="16" t="s">
        <v>233</v>
      </c>
      <c r="DZ101" s="1">
        <v>0.3</v>
      </c>
      <c r="EA101" s="1">
        <v>7.6</v>
      </c>
      <c r="EB101" s="1">
        <v>-7.9</v>
      </c>
      <c r="EC101" s="1">
        <v>0</v>
      </c>
    </row>
    <row r="102" spans="1:133" x14ac:dyDescent="0.2">
      <c r="A102" s="40">
        <v>35160</v>
      </c>
      <c r="B102" s="34">
        <v>96</v>
      </c>
      <c r="C102" s="34"/>
      <c r="D102" s="34"/>
      <c r="E102" s="55">
        <f t="shared" si="29"/>
        <v>3.7</v>
      </c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41"/>
      <c r="Q102" s="34"/>
      <c r="R102" s="55">
        <f t="shared" si="30"/>
        <v>10.1</v>
      </c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41"/>
      <c r="AE102" s="34"/>
      <c r="AF102" s="55">
        <f t="shared" si="31"/>
        <v>-2.6</v>
      </c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"/>
      <c r="BE102" s="3"/>
      <c r="BF102" s="3"/>
      <c r="BH102" s="16">
        <v>22.34</v>
      </c>
      <c r="BI102" s="16">
        <f t="shared" si="21"/>
        <v>45.126800000000003</v>
      </c>
      <c r="BJ102" s="17"/>
      <c r="BK102" s="17"/>
      <c r="BP102" s="57">
        <f t="shared" si="22"/>
        <v>0.504</v>
      </c>
      <c r="BQ102" s="57">
        <f t="shared" si="23"/>
        <v>0.73199999999999998</v>
      </c>
      <c r="BR102" s="2"/>
      <c r="BS102" s="38"/>
      <c r="BT102" s="8"/>
      <c r="BV102" s="16" t="s">
        <v>233</v>
      </c>
      <c r="BW102" s="16" t="s">
        <v>233</v>
      </c>
      <c r="BX102" s="3">
        <f t="shared" si="24"/>
        <v>3.7</v>
      </c>
      <c r="BY102" s="16" t="s">
        <v>233</v>
      </c>
      <c r="BZ102" s="16" t="s">
        <v>233</v>
      </c>
      <c r="CA102" s="16" t="s">
        <v>233</v>
      </c>
      <c r="CB102" s="16" t="s">
        <v>233</v>
      </c>
      <c r="CC102" s="16" t="s">
        <v>233</v>
      </c>
      <c r="CD102" s="16" t="s">
        <v>233</v>
      </c>
      <c r="CE102" s="16" t="s">
        <v>233</v>
      </c>
      <c r="CF102" s="1">
        <f t="shared" si="25"/>
        <v>10.1</v>
      </c>
      <c r="CG102" s="16" t="s">
        <v>233</v>
      </c>
      <c r="CH102" s="16" t="s">
        <v>233</v>
      </c>
      <c r="CI102" s="16" t="s">
        <v>233</v>
      </c>
      <c r="CJ102" s="16" t="s">
        <v>233</v>
      </c>
      <c r="CK102" s="16" t="s">
        <v>233</v>
      </c>
      <c r="CL102" s="16" t="s">
        <v>233</v>
      </c>
      <c r="CM102" s="16" t="s">
        <v>233</v>
      </c>
      <c r="CN102" s="1">
        <f t="shared" si="26"/>
        <v>-2.6</v>
      </c>
      <c r="CO102" s="16" t="s">
        <v>233</v>
      </c>
      <c r="CP102" s="16" t="s">
        <v>233</v>
      </c>
      <c r="CQ102" s="16" t="s">
        <v>233</v>
      </c>
      <c r="CR102" s="16" t="s">
        <v>233</v>
      </c>
      <c r="CS102" s="16" t="s">
        <v>233</v>
      </c>
      <c r="CT102" s="16" t="s">
        <v>233</v>
      </c>
      <c r="CU102" s="16" t="s">
        <v>233</v>
      </c>
      <c r="CV102" s="18" t="s">
        <v>233</v>
      </c>
      <c r="CW102" s="1">
        <f>ROUND(PPTest!K102,1)</f>
        <v>0</v>
      </c>
      <c r="CX102" s="16" t="s">
        <v>233</v>
      </c>
      <c r="CY102" s="16" t="s">
        <v>233</v>
      </c>
      <c r="CZ102" s="20">
        <f t="shared" si="27"/>
        <v>0.504</v>
      </c>
      <c r="DA102" s="20">
        <f t="shared" si="28"/>
        <v>0.73199999999999998</v>
      </c>
      <c r="DB102" s="16" t="s">
        <v>233</v>
      </c>
      <c r="DZ102" s="1">
        <v>4</v>
      </c>
      <c r="EA102" s="1">
        <v>10.3</v>
      </c>
      <c r="EB102" s="1">
        <v>-2</v>
      </c>
      <c r="EC102" s="1">
        <v>0</v>
      </c>
    </row>
    <row r="103" spans="1:133" x14ac:dyDescent="0.2">
      <c r="A103" s="40">
        <v>35161</v>
      </c>
      <c r="B103" s="34">
        <v>97</v>
      </c>
      <c r="C103" s="34"/>
      <c r="D103" s="34"/>
      <c r="E103" s="55">
        <f t="shared" si="29"/>
        <v>4.3</v>
      </c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41"/>
      <c r="Q103" s="34"/>
      <c r="R103" s="55">
        <f t="shared" si="30"/>
        <v>8.6</v>
      </c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41"/>
      <c r="AE103" s="34"/>
      <c r="AF103" s="55">
        <f t="shared" si="31"/>
        <v>0.7</v>
      </c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"/>
      <c r="BE103" s="3"/>
      <c r="BF103" s="3"/>
      <c r="BH103" s="16">
        <v>22.6</v>
      </c>
      <c r="BI103" s="16">
        <f t="shared" si="21"/>
        <v>45.652000000000001</v>
      </c>
      <c r="BJ103" s="17"/>
      <c r="BK103" s="17"/>
      <c r="BP103" s="57">
        <f t="shared" si="22"/>
        <v>0.64200000000000002</v>
      </c>
      <c r="BQ103" s="57">
        <f t="shared" si="23"/>
        <v>0.47499999999999998</v>
      </c>
      <c r="BR103" s="2"/>
      <c r="BS103" s="38"/>
      <c r="BT103" s="8"/>
      <c r="BV103" s="16" t="s">
        <v>233</v>
      </c>
      <c r="BW103" s="16" t="s">
        <v>233</v>
      </c>
      <c r="BX103" s="3">
        <f t="shared" si="24"/>
        <v>4.3</v>
      </c>
      <c r="BY103" s="16" t="s">
        <v>233</v>
      </c>
      <c r="BZ103" s="16" t="s">
        <v>233</v>
      </c>
      <c r="CA103" s="16" t="s">
        <v>233</v>
      </c>
      <c r="CB103" s="16" t="s">
        <v>233</v>
      </c>
      <c r="CC103" s="16" t="s">
        <v>233</v>
      </c>
      <c r="CD103" s="16" t="s">
        <v>233</v>
      </c>
      <c r="CE103" s="16" t="s">
        <v>233</v>
      </c>
      <c r="CF103" s="1">
        <f t="shared" si="25"/>
        <v>8.6</v>
      </c>
      <c r="CG103" s="16" t="s">
        <v>233</v>
      </c>
      <c r="CH103" s="16" t="s">
        <v>233</v>
      </c>
      <c r="CI103" s="16" t="s">
        <v>233</v>
      </c>
      <c r="CJ103" s="16" t="s">
        <v>233</v>
      </c>
      <c r="CK103" s="16" t="s">
        <v>233</v>
      </c>
      <c r="CL103" s="16" t="s">
        <v>233</v>
      </c>
      <c r="CM103" s="16" t="s">
        <v>233</v>
      </c>
      <c r="CN103" s="1">
        <f t="shared" si="26"/>
        <v>0.7</v>
      </c>
      <c r="CO103" s="16" t="s">
        <v>233</v>
      </c>
      <c r="CP103" s="16" t="s">
        <v>233</v>
      </c>
      <c r="CQ103" s="16" t="s">
        <v>233</v>
      </c>
      <c r="CR103" s="16" t="s">
        <v>233</v>
      </c>
      <c r="CS103" s="16" t="s">
        <v>233</v>
      </c>
      <c r="CT103" s="16" t="s">
        <v>233</v>
      </c>
      <c r="CU103" s="16" t="s">
        <v>233</v>
      </c>
      <c r="CV103" s="18" t="s">
        <v>233</v>
      </c>
      <c r="CW103" s="1">
        <f>ROUND(PPTest!K103,1)</f>
        <v>5</v>
      </c>
      <c r="CX103" s="16" t="s">
        <v>233</v>
      </c>
      <c r="CY103" s="16" t="s">
        <v>233</v>
      </c>
      <c r="CZ103" s="20">
        <f t="shared" si="27"/>
        <v>0.64200000000000002</v>
      </c>
      <c r="DA103" s="20">
        <f t="shared" si="28"/>
        <v>0.47499999999999998</v>
      </c>
      <c r="DB103" s="16" t="s">
        <v>233</v>
      </c>
      <c r="DZ103" s="1">
        <v>4.5999999999999996</v>
      </c>
      <c r="EA103" s="1">
        <v>8.8000000000000007</v>
      </c>
      <c r="EB103" s="1">
        <v>1</v>
      </c>
      <c r="EC103" s="1">
        <v>5</v>
      </c>
    </row>
    <row r="104" spans="1:133" x14ac:dyDescent="0.2">
      <c r="A104" s="40">
        <v>35162</v>
      </c>
      <c r="B104" s="34">
        <v>98</v>
      </c>
      <c r="C104" s="34"/>
      <c r="D104" s="34"/>
      <c r="E104" s="55">
        <f t="shared" si="29"/>
        <v>4.0999999999999996</v>
      </c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41"/>
      <c r="Q104" s="34"/>
      <c r="R104" s="55">
        <f t="shared" si="30"/>
        <v>11.3</v>
      </c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41"/>
      <c r="AE104" s="34"/>
      <c r="AF104" s="55">
        <f t="shared" si="31"/>
        <v>0</v>
      </c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"/>
      <c r="BE104" s="3"/>
      <c r="BF104" s="3"/>
      <c r="BH104" s="16">
        <v>22.86</v>
      </c>
      <c r="BI104" s="16">
        <f t="shared" si="21"/>
        <v>46.177199999999999</v>
      </c>
      <c r="BJ104" s="17"/>
      <c r="BK104" s="17"/>
      <c r="BP104" s="57">
        <f t="shared" si="22"/>
        <v>0.61099999999999999</v>
      </c>
      <c r="BQ104" s="57">
        <f t="shared" si="23"/>
        <v>0.72799999999999998</v>
      </c>
      <c r="BR104" s="2"/>
      <c r="BS104" s="38"/>
      <c r="BT104" s="8"/>
      <c r="BV104" s="16" t="s">
        <v>233</v>
      </c>
      <c r="BW104" s="16" t="s">
        <v>233</v>
      </c>
      <c r="BX104" s="3">
        <f t="shared" si="24"/>
        <v>4.0999999999999996</v>
      </c>
      <c r="BY104" s="16" t="s">
        <v>233</v>
      </c>
      <c r="BZ104" s="16" t="s">
        <v>233</v>
      </c>
      <c r="CA104" s="16" t="s">
        <v>233</v>
      </c>
      <c r="CB104" s="16" t="s">
        <v>233</v>
      </c>
      <c r="CC104" s="16" t="s">
        <v>233</v>
      </c>
      <c r="CD104" s="16" t="s">
        <v>233</v>
      </c>
      <c r="CE104" s="16" t="s">
        <v>233</v>
      </c>
      <c r="CF104" s="1">
        <f t="shared" si="25"/>
        <v>11.3</v>
      </c>
      <c r="CG104" s="16" t="s">
        <v>233</v>
      </c>
      <c r="CH104" s="16" t="s">
        <v>233</v>
      </c>
      <c r="CI104" s="16" t="s">
        <v>233</v>
      </c>
      <c r="CJ104" s="16" t="s">
        <v>233</v>
      </c>
      <c r="CK104" s="16" t="s">
        <v>233</v>
      </c>
      <c r="CL104" s="16" t="s">
        <v>233</v>
      </c>
      <c r="CM104" s="16" t="s">
        <v>233</v>
      </c>
      <c r="CN104" s="1">
        <f t="shared" si="26"/>
        <v>0</v>
      </c>
      <c r="CO104" s="16" t="s">
        <v>233</v>
      </c>
      <c r="CP104" s="16" t="s">
        <v>233</v>
      </c>
      <c r="CQ104" s="16" t="s">
        <v>233</v>
      </c>
      <c r="CR104" s="16" t="s">
        <v>233</v>
      </c>
      <c r="CS104" s="16" t="s">
        <v>233</v>
      </c>
      <c r="CT104" s="16" t="s">
        <v>233</v>
      </c>
      <c r="CU104" s="16" t="s">
        <v>233</v>
      </c>
      <c r="CV104" s="18" t="s">
        <v>233</v>
      </c>
      <c r="CW104" s="1">
        <f>ROUND(PPTest!K104,1)</f>
        <v>3</v>
      </c>
      <c r="CX104" s="16" t="s">
        <v>233</v>
      </c>
      <c r="CY104" s="16" t="s">
        <v>233</v>
      </c>
      <c r="CZ104" s="20">
        <f t="shared" si="27"/>
        <v>0.61099999999999999</v>
      </c>
      <c r="DA104" s="20">
        <f t="shared" si="28"/>
        <v>0.72799999999999998</v>
      </c>
      <c r="DB104" s="16" t="s">
        <v>233</v>
      </c>
      <c r="DZ104" s="1">
        <v>4.4000000000000004</v>
      </c>
      <c r="EA104" s="1">
        <v>11.6</v>
      </c>
      <c r="EB104" s="1">
        <v>0.4</v>
      </c>
      <c r="EC104" s="1">
        <v>3</v>
      </c>
    </row>
    <row r="105" spans="1:133" x14ac:dyDescent="0.2">
      <c r="A105" s="40">
        <v>35163</v>
      </c>
      <c r="B105" s="34">
        <v>99</v>
      </c>
      <c r="C105" s="34"/>
      <c r="D105" s="34"/>
      <c r="E105" s="55">
        <f t="shared" si="29"/>
        <v>6.8</v>
      </c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41"/>
      <c r="Q105" s="34"/>
      <c r="R105" s="55">
        <f t="shared" si="30"/>
        <v>15.5</v>
      </c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41"/>
      <c r="AE105" s="34"/>
      <c r="AF105" s="55">
        <f t="shared" si="31"/>
        <v>-0.6</v>
      </c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"/>
      <c r="BE105" s="3"/>
      <c r="BF105" s="3"/>
      <c r="BH105" s="16">
        <v>23.11</v>
      </c>
      <c r="BI105" s="16">
        <f t="shared" si="21"/>
        <v>46.682200000000002</v>
      </c>
      <c r="BJ105" s="17"/>
      <c r="BK105" s="17"/>
      <c r="BP105" s="57">
        <f t="shared" si="22"/>
        <v>0.58399999999999996</v>
      </c>
      <c r="BQ105" s="57">
        <f t="shared" si="23"/>
        <v>1.1759999999999999</v>
      </c>
      <c r="BR105" s="2"/>
      <c r="BS105" s="38"/>
      <c r="BT105" s="8"/>
      <c r="BV105" s="16" t="s">
        <v>233</v>
      </c>
      <c r="BW105" s="16" t="s">
        <v>233</v>
      </c>
      <c r="BX105" s="3">
        <f t="shared" si="24"/>
        <v>6.8</v>
      </c>
      <c r="BY105" s="16" t="s">
        <v>233</v>
      </c>
      <c r="BZ105" s="16" t="s">
        <v>233</v>
      </c>
      <c r="CA105" s="16" t="s">
        <v>233</v>
      </c>
      <c r="CB105" s="16" t="s">
        <v>233</v>
      </c>
      <c r="CC105" s="16" t="s">
        <v>233</v>
      </c>
      <c r="CD105" s="16" t="s">
        <v>233</v>
      </c>
      <c r="CE105" s="16" t="s">
        <v>233</v>
      </c>
      <c r="CF105" s="1">
        <f t="shared" si="25"/>
        <v>15.5</v>
      </c>
      <c r="CG105" s="16" t="s">
        <v>233</v>
      </c>
      <c r="CH105" s="16" t="s">
        <v>233</v>
      </c>
      <c r="CI105" s="16" t="s">
        <v>233</v>
      </c>
      <c r="CJ105" s="16" t="s">
        <v>233</v>
      </c>
      <c r="CK105" s="16" t="s">
        <v>233</v>
      </c>
      <c r="CL105" s="16" t="s">
        <v>233</v>
      </c>
      <c r="CM105" s="16" t="s">
        <v>233</v>
      </c>
      <c r="CN105" s="1">
        <f t="shared" si="26"/>
        <v>-0.6</v>
      </c>
      <c r="CO105" s="16" t="s">
        <v>233</v>
      </c>
      <c r="CP105" s="16" t="s">
        <v>233</v>
      </c>
      <c r="CQ105" s="16" t="s">
        <v>233</v>
      </c>
      <c r="CR105" s="16" t="s">
        <v>233</v>
      </c>
      <c r="CS105" s="16" t="s">
        <v>233</v>
      </c>
      <c r="CT105" s="16" t="s">
        <v>233</v>
      </c>
      <c r="CU105" s="16" t="s">
        <v>233</v>
      </c>
      <c r="CV105" s="18" t="s">
        <v>233</v>
      </c>
      <c r="CW105" s="1">
        <f>ROUND(PPTest!K105,1)</f>
        <v>0</v>
      </c>
      <c r="CX105" s="16" t="s">
        <v>233</v>
      </c>
      <c r="CY105" s="16" t="s">
        <v>233</v>
      </c>
      <c r="CZ105" s="20">
        <f t="shared" si="27"/>
        <v>0.58399999999999996</v>
      </c>
      <c r="DA105" s="20">
        <f t="shared" si="28"/>
        <v>1.1759999999999999</v>
      </c>
      <c r="DB105" s="16" t="s">
        <v>233</v>
      </c>
      <c r="DZ105" s="1">
        <v>7.1</v>
      </c>
      <c r="EA105" s="1">
        <v>15.9</v>
      </c>
      <c r="EB105" s="1">
        <v>-0.2</v>
      </c>
      <c r="EC105" s="1">
        <v>0</v>
      </c>
    </row>
    <row r="106" spans="1:133" x14ac:dyDescent="0.2">
      <c r="A106" s="40">
        <v>35164</v>
      </c>
      <c r="B106" s="34">
        <v>100</v>
      </c>
      <c r="C106" s="34"/>
      <c r="D106" s="34"/>
      <c r="E106" s="55">
        <f t="shared" si="29"/>
        <v>5.6</v>
      </c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41"/>
      <c r="Q106" s="34"/>
      <c r="R106" s="55">
        <f t="shared" si="30"/>
        <v>10.6</v>
      </c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41"/>
      <c r="AE106" s="34"/>
      <c r="AF106" s="55">
        <f t="shared" si="31"/>
        <v>0.7</v>
      </c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"/>
      <c r="BE106" s="3"/>
      <c r="BF106" s="3"/>
      <c r="BH106" s="16">
        <v>23.37</v>
      </c>
      <c r="BI106" s="16">
        <f t="shared" si="21"/>
        <v>47.2074</v>
      </c>
      <c r="BJ106" s="17"/>
      <c r="BK106" s="17"/>
      <c r="BP106" s="57">
        <f t="shared" si="22"/>
        <v>0.64200000000000002</v>
      </c>
      <c r="BQ106" s="57">
        <f t="shared" si="23"/>
        <v>0.63600000000000001</v>
      </c>
      <c r="BR106" s="2"/>
      <c r="BS106" s="38"/>
      <c r="BT106" s="8"/>
      <c r="BV106" s="16" t="s">
        <v>233</v>
      </c>
      <c r="BW106" s="16" t="s">
        <v>233</v>
      </c>
      <c r="BX106" s="3">
        <f t="shared" si="24"/>
        <v>5.6</v>
      </c>
      <c r="BY106" s="16" t="s">
        <v>233</v>
      </c>
      <c r="BZ106" s="16" t="s">
        <v>233</v>
      </c>
      <c r="CA106" s="16" t="s">
        <v>233</v>
      </c>
      <c r="CB106" s="16" t="s">
        <v>233</v>
      </c>
      <c r="CC106" s="16" t="s">
        <v>233</v>
      </c>
      <c r="CD106" s="16" t="s">
        <v>233</v>
      </c>
      <c r="CE106" s="16" t="s">
        <v>233</v>
      </c>
      <c r="CF106" s="1">
        <f t="shared" si="25"/>
        <v>10.6</v>
      </c>
      <c r="CG106" s="16" t="s">
        <v>233</v>
      </c>
      <c r="CH106" s="16" t="s">
        <v>233</v>
      </c>
      <c r="CI106" s="16" t="s">
        <v>233</v>
      </c>
      <c r="CJ106" s="16" t="s">
        <v>233</v>
      </c>
      <c r="CK106" s="16" t="s">
        <v>233</v>
      </c>
      <c r="CL106" s="16" t="s">
        <v>233</v>
      </c>
      <c r="CM106" s="16" t="s">
        <v>233</v>
      </c>
      <c r="CN106" s="1">
        <f t="shared" si="26"/>
        <v>0.7</v>
      </c>
      <c r="CO106" s="16" t="s">
        <v>233</v>
      </c>
      <c r="CP106" s="16" t="s">
        <v>233</v>
      </c>
      <c r="CQ106" s="16" t="s">
        <v>233</v>
      </c>
      <c r="CR106" s="16" t="s">
        <v>233</v>
      </c>
      <c r="CS106" s="16" t="s">
        <v>233</v>
      </c>
      <c r="CT106" s="16" t="s">
        <v>233</v>
      </c>
      <c r="CU106" s="16" t="s">
        <v>233</v>
      </c>
      <c r="CV106" s="18" t="s">
        <v>233</v>
      </c>
      <c r="CW106" s="1">
        <f>ROUND(PPTest!K106,1)</f>
        <v>0</v>
      </c>
      <c r="CX106" s="16" t="s">
        <v>233</v>
      </c>
      <c r="CY106" s="16" t="s">
        <v>233</v>
      </c>
      <c r="CZ106" s="20">
        <f t="shared" si="27"/>
        <v>0.64200000000000002</v>
      </c>
      <c r="DA106" s="20">
        <f t="shared" si="28"/>
        <v>0.63600000000000001</v>
      </c>
      <c r="DB106" s="16" t="s">
        <v>233</v>
      </c>
      <c r="DZ106" s="1">
        <v>5.9</v>
      </c>
      <c r="EA106" s="1">
        <v>10.8</v>
      </c>
      <c r="EB106" s="1">
        <v>1</v>
      </c>
      <c r="EC106" s="1">
        <v>0</v>
      </c>
    </row>
    <row r="107" spans="1:133" x14ac:dyDescent="0.2">
      <c r="A107" s="40">
        <v>35165</v>
      </c>
      <c r="B107" s="34">
        <v>101</v>
      </c>
      <c r="C107" s="34"/>
      <c r="D107" s="34"/>
      <c r="E107" s="55">
        <f t="shared" si="29"/>
        <v>3</v>
      </c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41"/>
      <c r="Q107" s="34"/>
      <c r="R107" s="55">
        <f t="shared" si="30"/>
        <v>7.6</v>
      </c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41"/>
      <c r="AE107" s="34"/>
      <c r="AF107" s="55">
        <f t="shared" si="31"/>
        <v>-2.1</v>
      </c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"/>
      <c r="BE107" s="3"/>
      <c r="BF107" s="3"/>
      <c r="BH107" s="16">
        <v>23.61</v>
      </c>
      <c r="BI107" s="16">
        <f t="shared" si="21"/>
        <v>47.6922</v>
      </c>
      <c r="BJ107" s="17"/>
      <c r="BK107" s="17"/>
      <c r="BP107" s="57">
        <f t="shared" si="22"/>
        <v>0.52300000000000002</v>
      </c>
      <c r="BQ107" s="57">
        <f t="shared" si="23"/>
        <v>0.52</v>
      </c>
      <c r="BR107" s="2"/>
      <c r="BS107" s="38"/>
      <c r="BT107" s="8"/>
      <c r="BV107" s="16" t="s">
        <v>233</v>
      </c>
      <c r="BW107" s="16" t="s">
        <v>233</v>
      </c>
      <c r="BX107" s="3">
        <f t="shared" si="24"/>
        <v>3</v>
      </c>
      <c r="BY107" s="16" t="s">
        <v>233</v>
      </c>
      <c r="BZ107" s="16" t="s">
        <v>233</v>
      </c>
      <c r="CA107" s="16" t="s">
        <v>233</v>
      </c>
      <c r="CB107" s="16" t="s">
        <v>233</v>
      </c>
      <c r="CC107" s="16" t="s">
        <v>233</v>
      </c>
      <c r="CD107" s="16" t="s">
        <v>233</v>
      </c>
      <c r="CE107" s="16" t="s">
        <v>233</v>
      </c>
      <c r="CF107" s="1">
        <f t="shared" si="25"/>
        <v>7.6</v>
      </c>
      <c r="CG107" s="16" t="s">
        <v>233</v>
      </c>
      <c r="CH107" s="16" t="s">
        <v>233</v>
      </c>
      <c r="CI107" s="16" t="s">
        <v>233</v>
      </c>
      <c r="CJ107" s="16" t="s">
        <v>233</v>
      </c>
      <c r="CK107" s="16" t="s">
        <v>233</v>
      </c>
      <c r="CL107" s="16" t="s">
        <v>233</v>
      </c>
      <c r="CM107" s="16" t="s">
        <v>233</v>
      </c>
      <c r="CN107" s="1">
        <f t="shared" si="26"/>
        <v>-2.1</v>
      </c>
      <c r="CO107" s="16" t="s">
        <v>233</v>
      </c>
      <c r="CP107" s="16" t="s">
        <v>233</v>
      </c>
      <c r="CQ107" s="16" t="s">
        <v>233</v>
      </c>
      <c r="CR107" s="16" t="s">
        <v>233</v>
      </c>
      <c r="CS107" s="16" t="s">
        <v>233</v>
      </c>
      <c r="CT107" s="16" t="s">
        <v>233</v>
      </c>
      <c r="CU107" s="16" t="s">
        <v>233</v>
      </c>
      <c r="CV107" s="18" t="s">
        <v>233</v>
      </c>
      <c r="CW107" s="1">
        <f>ROUND(PPTest!K107,1)</f>
        <v>0</v>
      </c>
      <c r="CX107" s="16" t="s">
        <v>233</v>
      </c>
      <c r="CY107" s="16" t="s">
        <v>233</v>
      </c>
      <c r="CZ107" s="20">
        <f t="shared" si="27"/>
        <v>0.52300000000000002</v>
      </c>
      <c r="DA107" s="20">
        <f t="shared" si="28"/>
        <v>0.52</v>
      </c>
      <c r="DB107" s="16" t="s">
        <v>233</v>
      </c>
      <c r="DZ107" s="1">
        <v>3.3</v>
      </c>
      <c r="EA107" s="1">
        <v>7.7</v>
      </c>
      <c r="EB107" s="1">
        <v>-1.5</v>
      </c>
      <c r="EC107" s="1">
        <v>0</v>
      </c>
    </row>
    <row r="108" spans="1:133" x14ac:dyDescent="0.2">
      <c r="A108" s="40">
        <v>35166</v>
      </c>
      <c r="B108" s="34">
        <v>102</v>
      </c>
      <c r="C108" s="34"/>
      <c r="D108" s="34"/>
      <c r="E108" s="55">
        <f t="shared" si="29"/>
        <v>0.2</v>
      </c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41"/>
      <c r="Q108" s="34"/>
      <c r="R108" s="55">
        <f t="shared" si="30"/>
        <v>4</v>
      </c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41"/>
      <c r="AE108" s="34"/>
      <c r="AF108" s="55">
        <f t="shared" si="31"/>
        <v>-2.2999999999999998</v>
      </c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"/>
      <c r="BE108" s="3"/>
      <c r="BF108" s="3"/>
      <c r="BH108" s="16">
        <v>23.88</v>
      </c>
      <c r="BI108" s="16">
        <f t="shared" si="21"/>
        <v>48.2376</v>
      </c>
      <c r="BJ108" s="17"/>
      <c r="BK108" s="17"/>
      <c r="BP108" s="57">
        <f t="shared" si="22"/>
        <v>0.51600000000000001</v>
      </c>
      <c r="BQ108" s="57">
        <f t="shared" si="23"/>
        <v>0.29699999999999999</v>
      </c>
      <c r="BR108" s="2"/>
      <c r="BS108" s="38"/>
      <c r="BT108" s="8"/>
      <c r="BV108" s="16" t="s">
        <v>233</v>
      </c>
      <c r="BW108" s="16" t="s">
        <v>233</v>
      </c>
      <c r="BX108" s="3">
        <f t="shared" si="24"/>
        <v>0.2</v>
      </c>
      <c r="BY108" s="16" t="s">
        <v>233</v>
      </c>
      <c r="BZ108" s="16" t="s">
        <v>233</v>
      </c>
      <c r="CA108" s="16" t="s">
        <v>233</v>
      </c>
      <c r="CB108" s="16" t="s">
        <v>233</v>
      </c>
      <c r="CC108" s="16" t="s">
        <v>233</v>
      </c>
      <c r="CD108" s="16" t="s">
        <v>233</v>
      </c>
      <c r="CE108" s="16" t="s">
        <v>233</v>
      </c>
      <c r="CF108" s="1">
        <f t="shared" si="25"/>
        <v>4</v>
      </c>
      <c r="CG108" s="16" t="s">
        <v>233</v>
      </c>
      <c r="CH108" s="16" t="s">
        <v>233</v>
      </c>
      <c r="CI108" s="16" t="s">
        <v>233</v>
      </c>
      <c r="CJ108" s="16" t="s">
        <v>233</v>
      </c>
      <c r="CK108" s="16" t="s">
        <v>233</v>
      </c>
      <c r="CL108" s="16" t="s">
        <v>233</v>
      </c>
      <c r="CM108" s="16" t="s">
        <v>233</v>
      </c>
      <c r="CN108" s="1">
        <f t="shared" si="26"/>
        <v>-2.2999999999999998</v>
      </c>
      <c r="CO108" s="16" t="s">
        <v>233</v>
      </c>
      <c r="CP108" s="16" t="s">
        <v>233</v>
      </c>
      <c r="CQ108" s="16" t="s">
        <v>233</v>
      </c>
      <c r="CR108" s="16" t="s">
        <v>233</v>
      </c>
      <c r="CS108" s="16" t="s">
        <v>233</v>
      </c>
      <c r="CT108" s="16" t="s">
        <v>233</v>
      </c>
      <c r="CU108" s="16" t="s">
        <v>233</v>
      </c>
      <c r="CV108" s="18" t="s">
        <v>233</v>
      </c>
      <c r="CW108" s="1">
        <f>ROUND(PPTest!K108,1)</f>
        <v>6.1</v>
      </c>
      <c r="CX108" s="16" t="s">
        <v>233</v>
      </c>
      <c r="CY108" s="16" t="s">
        <v>233</v>
      </c>
      <c r="CZ108" s="20">
        <f t="shared" si="27"/>
        <v>0.51600000000000001</v>
      </c>
      <c r="DA108" s="20">
        <f t="shared" si="28"/>
        <v>0.29699999999999999</v>
      </c>
      <c r="DB108" s="16" t="s">
        <v>233</v>
      </c>
      <c r="DZ108" s="1">
        <v>0.6</v>
      </c>
      <c r="EA108" s="1">
        <v>4</v>
      </c>
      <c r="EB108" s="1">
        <v>-1.7</v>
      </c>
      <c r="EC108" s="1">
        <v>6.1</v>
      </c>
    </row>
    <row r="109" spans="1:133" x14ac:dyDescent="0.2">
      <c r="A109" s="40">
        <v>35167</v>
      </c>
      <c r="B109" s="34">
        <v>103</v>
      </c>
      <c r="C109" s="34"/>
      <c r="D109" s="34"/>
      <c r="E109" s="55">
        <f t="shared" si="29"/>
        <v>-1.8</v>
      </c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41"/>
      <c r="Q109" s="34"/>
      <c r="R109" s="55">
        <f t="shared" si="30"/>
        <v>3.7</v>
      </c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41"/>
      <c r="AE109" s="34"/>
      <c r="AF109" s="55">
        <f t="shared" si="31"/>
        <v>-5.9</v>
      </c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"/>
      <c r="BE109" s="3"/>
      <c r="BF109" s="3"/>
      <c r="BH109" s="16">
        <v>24.12</v>
      </c>
      <c r="BI109" s="16">
        <f t="shared" si="21"/>
        <v>48.7224</v>
      </c>
      <c r="BJ109" s="17"/>
      <c r="BK109" s="17"/>
      <c r="BP109" s="57">
        <f t="shared" si="22"/>
        <v>0.39300000000000002</v>
      </c>
      <c r="BQ109" s="57">
        <f t="shared" si="23"/>
        <v>0.40300000000000002</v>
      </c>
      <c r="BR109" s="2"/>
      <c r="BS109" s="38"/>
      <c r="BT109" s="8"/>
      <c r="BV109" s="16" t="s">
        <v>233</v>
      </c>
      <c r="BW109" s="16" t="s">
        <v>233</v>
      </c>
      <c r="BX109" s="3">
        <f t="shared" si="24"/>
        <v>-1.8</v>
      </c>
      <c r="BY109" s="16" t="s">
        <v>233</v>
      </c>
      <c r="BZ109" s="16" t="s">
        <v>233</v>
      </c>
      <c r="CA109" s="16" t="s">
        <v>233</v>
      </c>
      <c r="CB109" s="16" t="s">
        <v>233</v>
      </c>
      <c r="CC109" s="16" t="s">
        <v>233</v>
      </c>
      <c r="CD109" s="16" t="s">
        <v>233</v>
      </c>
      <c r="CE109" s="16" t="s">
        <v>233</v>
      </c>
      <c r="CF109" s="1">
        <f t="shared" si="25"/>
        <v>3.7</v>
      </c>
      <c r="CG109" s="16" t="s">
        <v>233</v>
      </c>
      <c r="CH109" s="16" t="s">
        <v>233</v>
      </c>
      <c r="CI109" s="16" t="s">
        <v>233</v>
      </c>
      <c r="CJ109" s="16" t="s">
        <v>233</v>
      </c>
      <c r="CK109" s="16" t="s">
        <v>233</v>
      </c>
      <c r="CL109" s="16" t="s">
        <v>233</v>
      </c>
      <c r="CM109" s="16" t="s">
        <v>233</v>
      </c>
      <c r="CN109" s="1">
        <f t="shared" si="26"/>
        <v>-5.9</v>
      </c>
      <c r="CO109" s="16" t="s">
        <v>233</v>
      </c>
      <c r="CP109" s="16" t="s">
        <v>233</v>
      </c>
      <c r="CQ109" s="16" t="s">
        <v>233</v>
      </c>
      <c r="CR109" s="16" t="s">
        <v>233</v>
      </c>
      <c r="CS109" s="16" t="s">
        <v>233</v>
      </c>
      <c r="CT109" s="16" t="s">
        <v>233</v>
      </c>
      <c r="CU109" s="16" t="s">
        <v>233</v>
      </c>
      <c r="CV109" s="18" t="s">
        <v>233</v>
      </c>
      <c r="CW109" s="1">
        <f>ROUND(PPTest!K109,1)</f>
        <v>3.6</v>
      </c>
      <c r="CX109" s="16" t="s">
        <v>233</v>
      </c>
      <c r="CY109" s="16" t="s">
        <v>233</v>
      </c>
      <c r="CZ109" s="20">
        <f t="shared" si="27"/>
        <v>0.39300000000000002</v>
      </c>
      <c r="DA109" s="20">
        <f t="shared" si="28"/>
        <v>0.40300000000000002</v>
      </c>
      <c r="DB109" s="16" t="s">
        <v>233</v>
      </c>
      <c r="DZ109" s="1">
        <v>-1.4</v>
      </c>
      <c r="EA109" s="1">
        <v>3.6</v>
      </c>
      <c r="EB109" s="1">
        <v>-5</v>
      </c>
      <c r="EC109" s="1">
        <v>3.6</v>
      </c>
    </row>
    <row r="110" spans="1:133" x14ac:dyDescent="0.2">
      <c r="A110" s="40">
        <v>35168</v>
      </c>
      <c r="B110" s="34">
        <v>104</v>
      </c>
      <c r="C110" s="34"/>
      <c r="D110" s="34"/>
      <c r="E110" s="55">
        <f t="shared" si="29"/>
        <v>-0.2</v>
      </c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41"/>
      <c r="Q110" s="34"/>
      <c r="R110" s="55">
        <f t="shared" si="30"/>
        <v>7.2</v>
      </c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41"/>
      <c r="AE110" s="34"/>
      <c r="AF110" s="55">
        <f t="shared" si="31"/>
        <v>-7.1</v>
      </c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"/>
      <c r="BE110" s="3"/>
      <c r="BF110" s="3"/>
      <c r="BH110" s="16">
        <v>24.37</v>
      </c>
      <c r="BI110" s="16">
        <f t="shared" si="21"/>
        <v>49.227400000000003</v>
      </c>
      <c r="BJ110" s="17"/>
      <c r="BK110" s="17"/>
      <c r="BP110" s="57">
        <f t="shared" si="22"/>
        <v>0.35799999999999998</v>
      </c>
      <c r="BQ110" s="57">
        <f t="shared" si="23"/>
        <v>0.65700000000000003</v>
      </c>
      <c r="BR110" s="2"/>
      <c r="BS110" s="38"/>
      <c r="BT110" s="8"/>
      <c r="BV110" s="16" t="s">
        <v>233</v>
      </c>
      <c r="BW110" s="16" t="s">
        <v>233</v>
      </c>
      <c r="BX110" s="3">
        <f t="shared" si="24"/>
        <v>-0.2</v>
      </c>
      <c r="BY110" s="16" t="s">
        <v>233</v>
      </c>
      <c r="BZ110" s="16" t="s">
        <v>233</v>
      </c>
      <c r="CA110" s="16" t="s">
        <v>233</v>
      </c>
      <c r="CB110" s="16" t="s">
        <v>233</v>
      </c>
      <c r="CC110" s="16" t="s">
        <v>233</v>
      </c>
      <c r="CD110" s="16" t="s">
        <v>233</v>
      </c>
      <c r="CE110" s="16" t="s">
        <v>233</v>
      </c>
      <c r="CF110" s="1">
        <f t="shared" si="25"/>
        <v>7.2</v>
      </c>
      <c r="CG110" s="16" t="s">
        <v>233</v>
      </c>
      <c r="CH110" s="16" t="s">
        <v>233</v>
      </c>
      <c r="CI110" s="16" t="s">
        <v>233</v>
      </c>
      <c r="CJ110" s="16" t="s">
        <v>233</v>
      </c>
      <c r="CK110" s="16" t="s">
        <v>233</v>
      </c>
      <c r="CL110" s="16" t="s">
        <v>233</v>
      </c>
      <c r="CM110" s="16" t="s">
        <v>233</v>
      </c>
      <c r="CN110" s="1">
        <f t="shared" si="26"/>
        <v>-7.1</v>
      </c>
      <c r="CO110" s="16" t="s">
        <v>233</v>
      </c>
      <c r="CP110" s="16" t="s">
        <v>233</v>
      </c>
      <c r="CQ110" s="16" t="s">
        <v>233</v>
      </c>
      <c r="CR110" s="16" t="s">
        <v>233</v>
      </c>
      <c r="CS110" s="16" t="s">
        <v>233</v>
      </c>
      <c r="CT110" s="16" t="s">
        <v>233</v>
      </c>
      <c r="CU110" s="16" t="s">
        <v>233</v>
      </c>
      <c r="CV110" s="18" t="s">
        <v>233</v>
      </c>
      <c r="CW110" s="1">
        <f>ROUND(PPTest!K110,1)</f>
        <v>0</v>
      </c>
      <c r="CX110" s="16" t="s">
        <v>233</v>
      </c>
      <c r="CY110" s="16" t="s">
        <v>233</v>
      </c>
      <c r="CZ110" s="20">
        <f t="shared" si="27"/>
        <v>0.35799999999999998</v>
      </c>
      <c r="DA110" s="20">
        <f t="shared" si="28"/>
        <v>0.65700000000000003</v>
      </c>
      <c r="DB110" s="16" t="s">
        <v>233</v>
      </c>
      <c r="DZ110" s="1">
        <v>0.2</v>
      </c>
      <c r="EA110" s="1">
        <v>7.3</v>
      </c>
      <c r="EB110" s="1">
        <v>-6.1</v>
      </c>
      <c r="EC110" s="1">
        <v>0</v>
      </c>
    </row>
    <row r="111" spans="1:133" x14ac:dyDescent="0.2">
      <c r="A111" s="40">
        <v>35169</v>
      </c>
      <c r="B111" s="34">
        <v>105</v>
      </c>
      <c r="C111" s="34"/>
      <c r="D111" s="34"/>
      <c r="E111" s="55">
        <f t="shared" si="29"/>
        <v>2</v>
      </c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41"/>
      <c r="Q111" s="34"/>
      <c r="R111" s="55">
        <f t="shared" si="30"/>
        <v>8.3000000000000007</v>
      </c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41"/>
      <c r="AE111" s="34"/>
      <c r="AF111" s="55">
        <f t="shared" si="31"/>
        <v>-5.2</v>
      </c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"/>
      <c r="BE111" s="3"/>
      <c r="BF111" s="3"/>
      <c r="BH111" s="16">
        <v>24.61</v>
      </c>
      <c r="BI111" s="16">
        <f t="shared" si="21"/>
        <v>49.712200000000003</v>
      </c>
      <c r="BJ111" s="17"/>
      <c r="BK111" s="17"/>
      <c r="BP111" s="57">
        <f t="shared" si="22"/>
        <v>0.41499999999999998</v>
      </c>
      <c r="BQ111" s="57">
        <f t="shared" si="23"/>
        <v>0.67900000000000005</v>
      </c>
      <c r="BR111" s="2"/>
      <c r="BS111" s="38"/>
      <c r="BT111" s="8"/>
      <c r="BV111" s="16" t="s">
        <v>233</v>
      </c>
      <c r="BW111" s="16" t="s">
        <v>233</v>
      </c>
      <c r="BX111" s="3">
        <f t="shared" si="24"/>
        <v>2</v>
      </c>
      <c r="BY111" s="16" t="s">
        <v>233</v>
      </c>
      <c r="BZ111" s="16" t="s">
        <v>233</v>
      </c>
      <c r="CA111" s="16" t="s">
        <v>233</v>
      </c>
      <c r="CB111" s="16" t="s">
        <v>233</v>
      </c>
      <c r="CC111" s="16" t="s">
        <v>233</v>
      </c>
      <c r="CD111" s="16" t="s">
        <v>233</v>
      </c>
      <c r="CE111" s="16" t="s">
        <v>233</v>
      </c>
      <c r="CF111" s="1">
        <f t="shared" si="25"/>
        <v>8.3000000000000007</v>
      </c>
      <c r="CG111" s="16" t="s">
        <v>233</v>
      </c>
      <c r="CH111" s="16" t="s">
        <v>233</v>
      </c>
      <c r="CI111" s="16" t="s">
        <v>233</v>
      </c>
      <c r="CJ111" s="16" t="s">
        <v>233</v>
      </c>
      <c r="CK111" s="16" t="s">
        <v>233</v>
      </c>
      <c r="CL111" s="16" t="s">
        <v>233</v>
      </c>
      <c r="CM111" s="16" t="s">
        <v>233</v>
      </c>
      <c r="CN111" s="1">
        <f t="shared" si="26"/>
        <v>-5.2</v>
      </c>
      <c r="CO111" s="16" t="s">
        <v>233</v>
      </c>
      <c r="CP111" s="16" t="s">
        <v>233</v>
      </c>
      <c r="CQ111" s="16" t="s">
        <v>233</v>
      </c>
      <c r="CR111" s="16" t="s">
        <v>233</v>
      </c>
      <c r="CS111" s="16" t="s">
        <v>233</v>
      </c>
      <c r="CT111" s="16" t="s">
        <v>233</v>
      </c>
      <c r="CU111" s="16" t="s">
        <v>233</v>
      </c>
      <c r="CV111" s="18" t="s">
        <v>233</v>
      </c>
      <c r="CW111" s="1">
        <f>ROUND(PPTest!K111,1)</f>
        <v>0</v>
      </c>
      <c r="CX111" s="16" t="s">
        <v>233</v>
      </c>
      <c r="CY111" s="16" t="s">
        <v>233</v>
      </c>
      <c r="CZ111" s="20">
        <f t="shared" si="27"/>
        <v>0.41499999999999998</v>
      </c>
      <c r="DA111" s="20">
        <f t="shared" si="28"/>
        <v>0.67900000000000005</v>
      </c>
      <c r="DB111" s="16" t="s">
        <v>233</v>
      </c>
      <c r="DZ111" s="1">
        <v>2.4</v>
      </c>
      <c r="EA111" s="1">
        <v>8.4</v>
      </c>
      <c r="EB111" s="1">
        <v>-4.4000000000000004</v>
      </c>
      <c r="EC111" s="1">
        <v>0</v>
      </c>
    </row>
    <row r="112" spans="1:133" x14ac:dyDescent="0.2">
      <c r="A112" s="40">
        <v>35170</v>
      </c>
      <c r="B112" s="34">
        <v>106</v>
      </c>
      <c r="C112" s="34"/>
      <c r="D112" s="34"/>
      <c r="E112" s="55">
        <f t="shared" si="29"/>
        <v>5</v>
      </c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41"/>
      <c r="Q112" s="34"/>
      <c r="R112" s="55">
        <f t="shared" si="30"/>
        <v>10.4</v>
      </c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41"/>
      <c r="AE112" s="34"/>
      <c r="AF112" s="55">
        <f t="shared" si="31"/>
        <v>1.1000000000000001</v>
      </c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"/>
      <c r="BE112" s="3"/>
      <c r="BF112" s="3"/>
      <c r="BH112" s="16">
        <v>24.86</v>
      </c>
      <c r="BI112" s="16">
        <f t="shared" si="21"/>
        <v>50.217199999999998</v>
      </c>
      <c r="BJ112" s="17"/>
      <c r="BK112" s="17"/>
      <c r="BP112" s="57">
        <f t="shared" si="22"/>
        <v>0.66100000000000003</v>
      </c>
      <c r="BQ112" s="57">
        <f t="shared" si="23"/>
        <v>0.6</v>
      </c>
      <c r="BR112" s="2"/>
      <c r="BS112" s="38"/>
      <c r="BT112" s="8"/>
      <c r="BV112" s="16" t="s">
        <v>233</v>
      </c>
      <c r="BW112" s="16" t="s">
        <v>233</v>
      </c>
      <c r="BX112" s="3">
        <f t="shared" si="24"/>
        <v>5</v>
      </c>
      <c r="BY112" s="16" t="s">
        <v>233</v>
      </c>
      <c r="BZ112" s="16" t="s">
        <v>233</v>
      </c>
      <c r="CA112" s="16" t="s">
        <v>233</v>
      </c>
      <c r="CB112" s="16" t="s">
        <v>233</v>
      </c>
      <c r="CC112" s="16" t="s">
        <v>233</v>
      </c>
      <c r="CD112" s="16" t="s">
        <v>233</v>
      </c>
      <c r="CE112" s="16" t="s">
        <v>233</v>
      </c>
      <c r="CF112" s="1">
        <f t="shared" si="25"/>
        <v>10.4</v>
      </c>
      <c r="CG112" s="16" t="s">
        <v>233</v>
      </c>
      <c r="CH112" s="16" t="s">
        <v>233</v>
      </c>
      <c r="CI112" s="16" t="s">
        <v>233</v>
      </c>
      <c r="CJ112" s="16" t="s">
        <v>233</v>
      </c>
      <c r="CK112" s="16" t="s">
        <v>233</v>
      </c>
      <c r="CL112" s="16" t="s">
        <v>233</v>
      </c>
      <c r="CM112" s="16" t="s">
        <v>233</v>
      </c>
      <c r="CN112" s="1">
        <f t="shared" si="26"/>
        <v>1.1000000000000001</v>
      </c>
      <c r="CO112" s="16" t="s">
        <v>233</v>
      </c>
      <c r="CP112" s="16" t="s">
        <v>233</v>
      </c>
      <c r="CQ112" s="16" t="s">
        <v>233</v>
      </c>
      <c r="CR112" s="16" t="s">
        <v>233</v>
      </c>
      <c r="CS112" s="16" t="s">
        <v>233</v>
      </c>
      <c r="CT112" s="16" t="s">
        <v>233</v>
      </c>
      <c r="CU112" s="16" t="s">
        <v>233</v>
      </c>
      <c r="CV112" s="18" t="s">
        <v>233</v>
      </c>
      <c r="CW112" s="1">
        <f>ROUND(PPTest!K112,1)</f>
        <v>6.7</v>
      </c>
      <c r="CX112" s="16" t="s">
        <v>233</v>
      </c>
      <c r="CY112" s="16" t="s">
        <v>233</v>
      </c>
      <c r="CZ112" s="20">
        <f t="shared" si="27"/>
        <v>0.66100000000000003</v>
      </c>
      <c r="DA112" s="20">
        <f t="shared" si="28"/>
        <v>0.6</v>
      </c>
      <c r="DB112" s="16" t="s">
        <v>233</v>
      </c>
      <c r="DZ112" s="1">
        <v>5.3</v>
      </c>
      <c r="EA112" s="1">
        <v>10.6</v>
      </c>
      <c r="EB112" s="1">
        <v>1.4</v>
      </c>
      <c r="EC112" s="1">
        <v>6.7</v>
      </c>
    </row>
    <row r="113" spans="1:133" x14ac:dyDescent="0.2">
      <c r="A113" s="40">
        <v>35171</v>
      </c>
      <c r="B113" s="34">
        <v>107</v>
      </c>
      <c r="C113" s="34"/>
      <c r="D113" s="34"/>
      <c r="E113" s="55">
        <f t="shared" si="29"/>
        <v>1.2</v>
      </c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41"/>
      <c r="Q113" s="34"/>
      <c r="R113" s="55">
        <f t="shared" si="30"/>
        <v>5</v>
      </c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41"/>
      <c r="AE113" s="34"/>
      <c r="AF113" s="55">
        <f t="shared" si="31"/>
        <v>-5</v>
      </c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"/>
      <c r="BE113" s="3"/>
      <c r="BF113" s="3"/>
      <c r="BH113" s="16">
        <v>25.1</v>
      </c>
      <c r="BI113" s="16">
        <f t="shared" si="21"/>
        <v>50.702000000000005</v>
      </c>
      <c r="BJ113" s="17"/>
      <c r="BK113" s="17"/>
      <c r="BP113" s="57">
        <f t="shared" si="22"/>
        <v>0.42099999999999999</v>
      </c>
      <c r="BQ113" s="57">
        <f t="shared" si="23"/>
        <v>0.45100000000000001</v>
      </c>
      <c r="BR113" s="2"/>
      <c r="BS113" s="38"/>
      <c r="BT113" s="8"/>
      <c r="BV113" s="16" t="s">
        <v>233</v>
      </c>
      <c r="BW113" s="16" t="s">
        <v>233</v>
      </c>
      <c r="BX113" s="3">
        <f t="shared" si="24"/>
        <v>1.2</v>
      </c>
      <c r="BY113" s="16" t="s">
        <v>233</v>
      </c>
      <c r="BZ113" s="16" t="s">
        <v>233</v>
      </c>
      <c r="CA113" s="16" t="s">
        <v>233</v>
      </c>
      <c r="CB113" s="16" t="s">
        <v>233</v>
      </c>
      <c r="CC113" s="16" t="s">
        <v>233</v>
      </c>
      <c r="CD113" s="16" t="s">
        <v>233</v>
      </c>
      <c r="CE113" s="16" t="s">
        <v>233</v>
      </c>
      <c r="CF113" s="1">
        <f t="shared" si="25"/>
        <v>5</v>
      </c>
      <c r="CG113" s="16" t="s">
        <v>233</v>
      </c>
      <c r="CH113" s="16" t="s">
        <v>233</v>
      </c>
      <c r="CI113" s="16" t="s">
        <v>233</v>
      </c>
      <c r="CJ113" s="16" t="s">
        <v>233</v>
      </c>
      <c r="CK113" s="16" t="s">
        <v>233</v>
      </c>
      <c r="CL113" s="16" t="s">
        <v>233</v>
      </c>
      <c r="CM113" s="16" t="s">
        <v>233</v>
      </c>
      <c r="CN113" s="1">
        <f t="shared" si="26"/>
        <v>-5</v>
      </c>
      <c r="CO113" s="16" t="s">
        <v>233</v>
      </c>
      <c r="CP113" s="16" t="s">
        <v>233</v>
      </c>
      <c r="CQ113" s="16" t="s">
        <v>233</v>
      </c>
      <c r="CR113" s="16" t="s">
        <v>233</v>
      </c>
      <c r="CS113" s="16" t="s">
        <v>233</v>
      </c>
      <c r="CT113" s="16" t="s">
        <v>233</v>
      </c>
      <c r="CU113" s="16" t="s">
        <v>233</v>
      </c>
      <c r="CV113" s="18" t="s">
        <v>233</v>
      </c>
      <c r="CW113" s="1">
        <f>ROUND(PPTest!K113,1)</f>
        <v>0</v>
      </c>
      <c r="CX113" s="16" t="s">
        <v>233</v>
      </c>
      <c r="CY113" s="16" t="s">
        <v>233</v>
      </c>
      <c r="CZ113" s="20">
        <f t="shared" si="27"/>
        <v>0.42099999999999999</v>
      </c>
      <c r="DA113" s="20">
        <f t="shared" si="28"/>
        <v>0.45100000000000001</v>
      </c>
      <c r="DB113" s="16" t="s">
        <v>233</v>
      </c>
      <c r="DZ113" s="1">
        <v>1.6</v>
      </c>
      <c r="EA113" s="1">
        <v>5</v>
      </c>
      <c r="EB113" s="1">
        <v>-4.2</v>
      </c>
      <c r="EC113" s="1">
        <v>0</v>
      </c>
    </row>
    <row r="114" spans="1:133" x14ac:dyDescent="0.2">
      <c r="A114" s="40">
        <v>35172</v>
      </c>
      <c r="B114" s="34">
        <v>108</v>
      </c>
      <c r="C114" s="34"/>
      <c r="D114" s="34"/>
      <c r="E114" s="55">
        <f t="shared" si="29"/>
        <v>-0.1</v>
      </c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41"/>
      <c r="Q114" s="34"/>
      <c r="R114" s="55">
        <f t="shared" si="30"/>
        <v>4.5999999999999996</v>
      </c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41"/>
      <c r="AE114" s="34"/>
      <c r="AF114" s="55">
        <f t="shared" si="31"/>
        <v>-5.4</v>
      </c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"/>
      <c r="BE114" s="3"/>
      <c r="BF114" s="3"/>
      <c r="BH114" s="16">
        <v>25.34</v>
      </c>
      <c r="BI114" s="16">
        <f t="shared" si="21"/>
        <v>51.186799999999998</v>
      </c>
      <c r="BJ114" s="17"/>
      <c r="BK114" s="17"/>
      <c r="BP114" s="57">
        <f t="shared" si="22"/>
        <v>0.40799999999999997</v>
      </c>
      <c r="BQ114" s="57">
        <f t="shared" si="23"/>
        <v>0.44</v>
      </c>
      <c r="BR114" s="2"/>
      <c r="BS114" s="38"/>
      <c r="BT114" s="8"/>
      <c r="BV114" s="16" t="s">
        <v>233</v>
      </c>
      <c r="BW114" s="16" t="s">
        <v>233</v>
      </c>
      <c r="BX114" s="3">
        <f t="shared" si="24"/>
        <v>-0.1</v>
      </c>
      <c r="BY114" s="16" t="s">
        <v>233</v>
      </c>
      <c r="BZ114" s="16" t="s">
        <v>233</v>
      </c>
      <c r="CA114" s="16" t="s">
        <v>233</v>
      </c>
      <c r="CB114" s="16" t="s">
        <v>233</v>
      </c>
      <c r="CC114" s="16" t="s">
        <v>233</v>
      </c>
      <c r="CD114" s="16" t="s">
        <v>233</v>
      </c>
      <c r="CE114" s="16" t="s">
        <v>233</v>
      </c>
      <c r="CF114" s="1">
        <f t="shared" si="25"/>
        <v>4.5999999999999996</v>
      </c>
      <c r="CG114" s="16" t="s">
        <v>233</v>
      </c>
      <c r="CH114" s="16" t="s">
        <v>233</v>
      </c>
      <c r="CI114" s="16" t="s">
        <v>233</v>
      </c>
      <c r="CJ114" s="16" t="s">
        <v>233</v>
      </c>
      <c r="CK114" s="16" t="s">
        <v>233</v>
      </c>
      <c r="CL114" s="16" t="s">
        <v>233</v>
      </c>
      <c r="CM114" s="16" t="s">
        <v>233</v>
      </c>
      <c r="CN114" s="1">
        <f t="shared" si="26"/>
        <v>-5.4</v>
      </c>
      <c r="CO114" s="16" t="s">
        <v>233</v>
      </c>
      <c r="CP114" s="16" t="s">
        <v>233</v>
      </c>
      <c r="CQ114" s="16" t="s">
        <v>233</v>
      </c>
      <c r="CR114" s="16" t="s">
        <v>233</v>
      </c>
      <c r="CS114" s="16" t="s">
        <v>233</v>
      </c>
      <c r="CT114" s="16" t="s">
        <v>233</v>
      </c>
      <c r="CU114" s="16" t="s">
        <v>233</v>
      </c>
      <c r="CV114" s="18" t="s">
        <v>233</v>
      </c>
      <c r="CW114" s="1">
        <f>ROUND(PPTest!K114,1)</f>
        <v>0.4</v>
      </c>
      <c r="CX114" s="16" t="s">
        <v>233</v>
      </c>
      <c r="CY114" s="16" t="s">
        <v>233</v>
      </c>
      <c r="CZ114" s="20">
        <f t="shared" si="27"/>
        <v>0.40799999999999997</v>
      </c>
      <c r="DA114" s="20">
        <f t="shared" si="28"/>
        <v>0.44</v>
      </c>
      <c r="DB114" s="16" t="s">
        <v>233</v>
      </c>
      <c r="DZ114" s="1">
        <v>0.3</v>
      </c>
      <c r="EA114" s="1">
        <v>4.5999999999999996</v>
      </c>
      <c r="EB114" s="1">
        <v>-4.5</v>
      </c>
      <c r="EC114" s="1">
        <v>0.4</v>
      </c>
    </row>
    <row r="115" spans="1:133" x14ac:dyDescent="0.2">
      <c r="A115" s="40">
        <v>35173</v>
      </c>
      <c r="B115" s="34">
        <v>109</v>
      </c>
      <c r="C115" s="34"/>
      <c r="D115" s="34"/>
      <c r="E115" s="55">
        <f t="shared" si="29"/>
        <v>-1.3</v>
      </c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41"/>
      <c r="Q115" s="34"/>
      <c r="R115" s="55">
        <f t="shared" si="30"/>
        <v>3</v>
      </c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41"/>
      <c r="AE115" s="34"/>
      <c r="AF115" s="55">
        <f t="shared" si="31"/>
        <v>-4.5999999999999996</v>
      </c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"/>
      <c r="BE115" s="3"/>
      <c r="BF115" s="3"/>
      <c r="BH115" s="16">
        <v>25.58</v>
      </c>
      <c r="BI115" s="16">
        <f t="shared" si="21"/>
        <v>51.671599999999998</v>
      </c>
      <c r="BJ115" s="17"/>
      <c r="BK115" s="17"/>
      <c r="BP115" s="57">
        <f t="shared" si="22"/>
        <v>0.434</v>
      </c>
      <c r="BQ115" s="57">
        <f t="shared" si="23"/>
        <v>0.32300000000000001</v>
      </c>
      <c r="BR115" s="2"/>
      <c r="BS115" s="38"/>
      <c r="BT115" s="8"/>
      <c r="BV115" s="16" t="s">
        <v>233</v>
      </c>
      <c r="BW115" s="16" t="s">
        <v>233</v>
      </c>
      <c r="BX115" s="3">
        <f t="shared" si="24"/>
        <v>-1.3</v>
      </c>
      <c r="BY115" s="16" t="s">
        <v>233</v>
      </c>
      <c r="BZ115" s="16" t="s">
        <v>233</v>
      </c>
      <c r="CA115" s="16" t="s">
        <v>233</v>
      </c>
      <c r="CB115" s="16" t="s">
        <v>233</v>
      </c>
      <c r="CC115" s="16" t="s">
        <v>233</v>
      </c>
      <c r="CD115" s="16" t="s">
        <v>233</v>
      </c>
      <c r="CE115" s="16" t="s">
        <v>233</v>
      </c>
      <c r="CF115" s="1">
        <f t="shared" si="25"/>
        <v>3</v>
      </c>
      <c r="CG115" s="16" t="s">
        <v>233</v>
      </c>
      <c r="CH115" s="16" t="s">
        <v>233</v>
      </c>
      <c r="CI115" s="16" t="s">
        <v>233</v>
      </c>
      <c r="CJ115" s="16" t="s">
        <v>233</v>
      </c>
      <c r="CK115" s="16" t="s">
        <v>233</v>
      </c>
      <c r="CL115" s="16" t="s">
        <v>233</v>
      </c>
      <c r="CM115" s="16" t="s">
        <v>233</v>
      </c>
      <c r="CN115" s="1">
        <f t="shared" si="26"/>
        <v>-4.5999999999999996</v>
      </c>
      <c r="CO115" s="16" t="s">
        <v>233</v>
      </c>
      <c r="CP115" s="16" t="s">
        <v>233</v>
      </c>
      <c r="CQ115" s="16" t="s">
        <v>233</v>
      </c>
      <c r="CR115" s="16" t="s">
        <v>233</v>
      </c>
      <c r="CS115" s="16" t="s">
        <v>233</v>
      </c>
      <c r="CT115" s="16" t="s">
        <v>233</v>
      </c>
      <c r="CU115" s="16" t="s">
        <v>233</v>
      </c>
      <c r="CV115" s="18" t="s">
        <v>233</v>
      </c>
      <c r="CW115" s="1">
        <f>ROUND(PPTest!K115,1)</f>
        <v>4.4000000000000004</v>
      </c>
      <c r="CX115" s="16" t="s">
        <v>233</v>
      </c>
      <c r="CY115" s="16" t="s">
        <v>233</v>
      </c>
      <c r="CZ115" s="20">
        <f t="shared" si="27"/>
        <v>0.434</v>
      </c>
      <c r="DA115" s="20">
        <f t="shared" si="28"/>
        <v>0.32300000000000001</v>
      </c>
      <c r="DB115" s="16" t="s">
        <v>233</v>
      </c>
      <c r="DZ115" s="1">
        <v>-0.9</v>
      </c>
      <c r="EA115" s="1">
        <v>2.9</v>
      </c>
      <c r="EB115" s="1">
        <v>-3.8</v>
      </c>
      <c r="EC115" s="1">
        <v>4.4000000000000004</v>
      </c>
    </row>
    <row r="116" spans="1:133" x14ac:dyDescent="0.2">
      <c r="A116" s="40">
        <v>35174</v>
      </c>
      <c r="B116" s="34">
        <v>110</v>
      </c>
      <c r="C116" s="34"/>
      <c r="D116" s="34"/>
      <c r="E116" s="55">
        <f t="shared" si="29"/>
        <v>-1.6</v>
      </c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41"/>
      <c r="Q116" s="34"/>
      <c r="R116" s="55">
        <f t="shared" si="30"/>
        <v>5.9</v>
      </c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41"/>
      <c r="AE116" s="34"/>
      <c r="AF116" s="55">
        <f t="shared" si="31"/>
        <v>-9</v>
      </c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"/>
      <c r="BE116" s="3"/>
      <c r="BF116" s="3"/>
      <c r="BH116" s="16">
        <v>25.81</v>
      </c>
      <c r="BI116" s="16">
        <f t="shared" si="21"/>
        <v>52.136199999999995</v>
      </c>
      <c r="BJ116" s="17"/>
      <c r="BK116" s="17"/>
      <c r="BP116" s="57">
        <f t="shared" si="22"/>
        <v>0.309</v>
      </c>
      <c r="BQ116" s="57">
        <f t="shared" si="23"/>
        <v>0.61899999999999999</v>
      </c>
      <c r="BR116" s="2"/>
      <c r="BS116" s="38"/>
      <c r="BT116" s="8"/>
      <c r="BV116" s="16" t="s">
        <v>233</v>
      </c>
      <c r="BW116" s="16" t="s">
        <v>233</v>
      </c>
      <c r="BX116" s="3">
        <f t="shared" si="24"/>
        <v>-1.6</v>
      </c>
      <c r="BY116" s="16" t="s">
        <v>233</v>
      </c>
      <c r="BZ116" s="16" t="s">
        <v>233</v>
      </c>
      <c r="CA116" s="16" t="s">
        <v>233</v>
      </c>
      <c r="CB116" s="16" t="s">
        <v>233</v>
      </c>
      <c r="CC116" s="16" t="s">
        <v>233</v>
      </c>
      <c r="CD116" s="16" t="s">
        <v>233</v>
      </c>
      <c r="CE116" s="16" t="s">
        <v>233</v>
      </c>
      <c r="CF116" s="1">
        <f t="shared" si="25"/>
        <v>5.9</v>
      </c>
      <c r="CG116" s="16" t="s">
        <v>233</v>
      </c>
      <c r="CH116" s="16" t="s">
        <v>233</v>
      </c>
      <c r="CI116" s="16" t="s">
        <v>233</v>
      </c>
      <c r="CJ116" s="16" t="s">
        <v>233</v>
      </c>
      <c r="CK116" s="16" t="s">
        <v>233</v>
      </c>
      <c r="CL116" s="16" t="s">
        <v>233</v>
      </c>
      <c r="CM116" s="16" t="s">
        <v>233</v>
      </c>
      <c r="CN116" s="1">
        <f t="shared" si="26"/>
        <v>-9</v>
      </c>
      <c r="CO116" s="16" t="s">
        <v>233</v>
      </c>
      <c r="CP116" s="16" t="s">
        <v>233</v>
      </c>
      <c r="CQ116" s="16" t="s">
        <v>233</v>
      </c>
      <c r="CR116" s="16" t="s">
        <v>233</v>
      </c>
      <c r="CS116" s="16" t="s">
        <v>233</v>
      </c>
      <c r="CT116" s="16" t="s">
        <v>233</v>
      </c>
      <c r="CU116" s="16" t="s">
        <v>233</v>
      </c>
      <c r="CV116" s="18" t="s">
        <v>233</v>
      </c>
      <c r="CW116" s="1">
        <f>ROUND(PPTest!K116,1)</f>
        <v>0.1</v>
      </c>
      <c r="CX116" s="16" t="s">
        <v>233</v>
      </c>
      <c r="CY116" s="16" t="s">
        <v>233</v>
      </c>
      <c r="CZ116" s="20">
        <f t="shared" si="27"/>
        <v>0.309</v>
      </c>
      <c r="DA116" s="20">
        <f t="shared" si="28"/>
        <v>0.61899999999999999</v>
      </c>
      <c r="DB116" s="16" t="s">
        <v>233</v>
      </c>
      <c r="DZ116" s="1">
        <v>-1.2</v>
      </c>
      <c r="EA116" s="1">
        <v>5.9</v>
      </c>
      <c r="EB116" s="1">
        <v>-7.8</v>
      </c>
      <c r="EC116" s="1">
        <v>0.1</v>
      </c>
    </row>
    <row r="117" spans="1:133" x14ac:dyDescent="0.2">
      <c r="A117" s="40">
        <v>35175</v>
      </c>
      <c r="B117" s="34">
        <v>111</v>
      </c>
      <c r="C117" s="34"/>
      <c r="D117" s="34"/>
      <c r="E117" s="55">
        <f t="shared" si="29"/>
        <v>-0.5</v>
      </c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41"/>
      <c r="Q117" s="34"/>
      <c r="R117" s="55">
        <f t="shared" si="30"/>
        <v>8</v>
      </c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41"/>
      <c r="AE117" s="34"/>
      <c r="AF117" s="55">
        <f t="shared" si="31"/>
        <v>-8.6999999999999993</v>
      </c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"/>
      <c r="BE117" s="3"/>
      <c r="BF117" s="3"/>
      <c r="BH117" s="16">
        <v>26.04</v>
      </c>
      <c r="BI117" s="16">
        <f t="shared" si="21"/>
        <v>52.6008</v>
      </c>
      <c r="BJ117" s="17"/>
      <c r="BK117" s="17"/>
      <c r="BP117" s="57">
        <f t="shared" si="22"/>
        <v>0.316</v>
      </c>
      <c r="BQ117" s="57">
        <f t="shared" si="23"/>
        <v>0.75600000000000001</v>
      </c>
      <c r="BR117" s="2"/>
      <c r="BS117" s="38"/>
      <c r="BT117" s="8"/>
      <c r="BV117" s="16" t="s">
        <v>233</v>
      </c>
      <c r="BW117" s="16" t="s">
        <v>233</v>
      </c>
      <c r="BX117" s="3">
        <f t="shared" si="24"/>
        <v>-0.5</v>
      </c>
      <c r="BY117" s="16" t="s">
        <v>233</v>
      </c>
      <c r="BZ117" s="16" t="s">
        <v>233</v>
      </c>
      <c r="CA117" s="16" t="s">
        <v>233</v>
      </c>
      <c r="CB117" s="16" t="s">
        <v>233</v>
      </c>
      <c r="CC117" s="16" t="s">
        <v>233</v>
      </c>
      <c r="CD117" s="16" t="s">
        <v>233</v>
      </c>
      <c r="CE117" s="16" t="s">
        <v>233</v>
      </c>
      <c r="CF117" s="1">
        <f t="shared" si="25"/>
        <v>8</v>
      </c>
      <c r="CG117" s="16" t="s">
        <v>233</v>
      </c>
      <c r="CH117" s="16" t="s">
        <v>233</v>
      </c>
      <c r="CI117" s="16" t="s">
        <v>233</v>
      </c>
      <c r="CJ117" s="16" t="s">
        <v>233</v>
      </c>
      <c r="CK117" s="16" t="s">
        <v>233</v>
      </c>
      <c r="CL117" s="16" t="s">
        <v>233</v>
      </c>
      <c r="CM117" s="16" t="s">
        <v>233</v>
      </c>
      <c r="CN117" s="1">
        <f t="shared" si="26"/>
        <v>-8.6999999999999993</v>
      </c>
      <c r="CO117" s="16" t="s">
        <v>233</v>
      </c>
      <c r="CP117" s="16" t="s">
        <v>233</v>
      </c>
      <c r="CQ117" s="16" t="s">
        <v>233</v>
      </c>
      <c r="CR117" s="16" t="s">
        <v>233</v>
      </c>
      <c r="CS117" s="16" t="s">
        <v>233</v>
      </c>
      <c r="CT117" s="16" t="s">
        <v>233</v>
      </c>
      <c r="CU117" s="16" t="s">
        <v>233</v>
      </c>
      <c r="CV117" s="18" t="s">
        <v>233</v>
      </c>
      <c r="CW117" s="1">
        <f>ROUND(PPTest!K117,1)</f>
        <v>0</v>
      </c>
      <c r="CX117" s="16" t="s">
        <v>233</v>
      </c>
      <c r="CY117" s="16" t="s">
        <v>233</v>
      </c>
      <c r="CZ117" s="20">
        <f t="shared" si="27"/>
        <v>0.316</v>
      </c>
      <c r="DA117" s="20">
        <f t="shared" si="28"/>
        <v>0.75600000000000001</v>
      </c>
      <c r="DB117" s="16" t="s">
        <v>233</v>
      </c>
      <c r="DZ117" s="1">
        <v>-0.1</v>
      </c>
      <c r="EA117" s="1">
        <v>8.1</v>
      </c>
      <c r="EB117" s="1">
        <v>-7.5</v>
      </c>
      <c r="EC117" s="1">
        <v>0</v>
      </c>
    </row>
    <row r="118" spans="1:133" x14ac:dyDescent="0.2">
      <c r="A118" s="40">
        <v>35176</v>
      </c>
      <c r="B118" s="34">
        <v>112</v>
      </c>
      <c r="C118" s="34"/>
      <c r="D118" s="34"/>
      <c r="E118" s="55">
        <f t="shared" si="29"/>
        <v>0.6</v>
      </c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41"/>
      <c r="Q118" s="34"/>
      <c r="R118" s="55">
        <f t="shared" si="30"/>
        <v>7.6</v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41"/>
      <c r="AE118" s="34"/>
      <c r="AF118" s="55">
        <f t="shared" si="31"/>
        <v>-5.9</v>
      </c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"/>
      <c r="BE118" s="3"/>
      <c r="BF118" s="3"/>
      <c r="BH118" s="16">
        <v>26.27</v>
      </c>
      <c r="BI118" s="16">
        <f t="shared" si="21"/>
        <v>53.065399999999997</v>
      </c>
      <c r="BJ118" s="17"/>
      <c r="BK118" s="17"/>
      <c r="BP118" s="57">
        <f t="shared" si="22"/>
        <v>0.39300000000000002</v>
      </c>
      <c r="BQ118" s="57">
        <f t="shared" si="23"/>
        <v>0.65</v>
      </c>
      <c r="BR118" s="2"/>
      <c r="BS118" s="38"/>
      <c r="BT118" s="8"/>
      <c r="BV118" s="16" t="s">
        <v>233</v>
      </c>
      <c r="BW118" s="16" t="s">
        <v>233</v>
      </c>
      <c r="BX118" s="3">
        <f t="shared" si="24"/>
        <v>0.6</v>
      </c>
      <c r="BY118" s="16" t="s">
        <v>233</v>
      </c>
      <c r="BZ118" s="16" t="s">
        <v>233</v>
      </c>
      <c r="CA118" s="16" t="s">
        <v>233</v>
      </c>
      <c r="CB118" s="16" t="s">
        <v>233</v>
      </c>
      <c r="CC118" s="16" t="s">
        <v>233</v>
      </c>
      <c r="CD118" s="16" t="s">
        <v>233</v>
      </c>
      <c r="CE118" s="16" t="s">
        <v>233</v>
      </c>
      <c r="CF118" s="1">
        <f t="shared" si="25"/>
        <v>7.6</v>
      </c>
      <c r="CG118" s="16" t="s">
        <v>233</v>
      </c>
      <c r="CH118" s="16" t="s">
        <v>233</v>
      </c>
      <c r="CI118" s="16" t="s">
        <v>233</v>
      </c>
      <c r="CJ118" s="16" t="s">
        <v>233</v>
      </c>
      <c r="CK118" s="16" t="s">
        <v>233</v>
      </c>
      <c r="CL118" s="16" t="s">
        <v>233</v>
      </c>
      <c r="CM118" s="16" t="s">
        <v>233</v>
      </c>
      <c r="CN118" s="1">
        <f t="shared" si="26"/>
        <v>-5.9</v>
      </c>
      <c r="CO118" s="16" t="s">
        <v>233</v>
      </c>
      <c r="CP118" s="16" t="s">
        <v>233</v>
      </c>
      <c r="CQ118" s="16" t="s">
        <v>233</v>
      </c>
      <c r="CR118" s="16" t="s">
        <v>233</v>
      </c>
      <c r="CS118" s="16" t="s">
        <v>233</v>
      </c>
      <c r="CT118" s="16" t="s">
        <v>233</v>
      </c>
      <c r="CU118" s="16" t="s">
        <v>233</v>
      </c>
      <c r="CV118" s="18" t="s">
        <v>233</v>
      </c>
      <c r="CW118" s="1">
        <f>ROUND(PPTest!K118,1)</f>
        <v>0</v>
      </c>
      <c r="CX118" s="16" t="s">
        <v>233</v>
      </c>
      <c r="CY118" s="16" t="s">
        <v>233</v>
      </c>
      <c r="CZ118" s="20">
        <f t="shared" si="27"/>
        <v>0.39300000000000002</v>
      </c>
      <c r="DA118" s="20">
        <f t="shared" si="28"/>
        <v>0.65</v>
      </c>
      <c r="DB118" s="16" t="s">
        <v>233</v>
      </c>
      <c r="DZ118" s="1">
        <v>1</v>
      </c>
      <c r="EA118" s="1">
        <v>7.7</v>
      </c>
      <c r="EB118" s="1">
        <v>-5</v>
      </c>
      <c r="EC118" s="1">
        <v>0</v>
      </c>
    </row>
    <row r="119" spans="1:133" x14ac:dyDescent="0.2">
      <c r="A119" s="40">
        <v>35177</v>
      </c>
      <c r="B119" s="34">
        <v>113</v>
      </c>
      <c r="C119" s="34"/>
      <c r="D119" s="34"/>
      <c r="E119" s="55">
        <f t="shared" si="29"/>
        <v>0</v>
      </c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41"/>
      <c r="Q119" s="34"/>
      <c r="R119" s="55">
        <f t="shared" si="30"/>
        <v>3.8</v>
      </c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41"/>
      <c r="AE119" s="34"/>
      <c r="AF119" s="55">
        <f t="shared" si="31"/>
        <v>-5.2</v>
      </c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"/>
      <c r="BE119" s="3"/>
      <c r="BF119" s="3"/>
      <c r="BH119" s="16">
        <v>26.5</v>
      </c>
      <c r="BI119" s="16">
        <f t="shared" si="21"/>
        <v>53.53</v>
      </c>
      <c r="BJ119" s="17"/>
      <c r="BK119" s="17"/>
      <c r="BP119" s="57">
        <f t="shared" si="22"/>
        <v>0.41499999999999998</v>
      </c>
      <c r="BQ119" s="57">
        <f t="shared" si="23"/>
        <v>0.38700000000000001</v>
      </c>
      <c r="BR119" s="2"/>
      <c r="BS119" s="38"/>
      <c r="BT119" s="8"/>
      <c r="BV119" s="16" t="s">
        <v>233</v>
      </c>
      <c r="BW119" s="16" t="s">
        <v>233</v>
      </c>
      <c r="BX119" s="3">
        <f t="shared" si="24"/>
        <v>0</v>
      </c>
      <c r="BY119" s="16" t="s">
        <v>233</v>
      </c>
      <c r="BZ119" s="16" t="s">
        <v>233</v>
      </c>
      <c r="CA119" s="16" t="s">
        <v>233</v>
      </c>
      <c r="CB119" s="16" t="s">
        <v>233</v>
      </c>
      <c r="CC119" s="16" t="s">
        <v>233</v>
      </c>
      <c r="CD119" s="16" t="s">
        <v>233</v>
      </c>
      <c r="CE119" s="16" t="s">
        <v>233</v>
      </c>
      <c r="CF119" s="1">
        <f t="shared" si="25"/>
        <v>3.8</v>
      </c>
      <c r="CG119" s="16" t="s">
        <v>233</v>
      </c>
      <c r="CH119" s="16" t="s">
        <v>233</v>
      </c>
      <c r="CI119" s="16" t="s">
        <v>233</v>
      </c>
      <c r="CJ119" s="16" t="s">
        <v>233</v>
      </c>
      <c r="CK119" s="16" t="s">
        <v>233</v>
      </c>
      <c r="CL119" s="16" t="s">
        <v>233</v>
      </c>
      <c r="CM119" s="16" t="s">
        <v>233</v>
      </c>
      <c r="CN119" s="1">
        <f t="shared" si="26"/>
        <v>-5.2</v>
      </c>
      <c r="CO119" s="16" t="s">
        <v>233</v>
      </c>
      <c r="CP119" s="16" t="s">
        <v>233</v>
      </c>
      <c r="CQ119" s="16" t="s">
        <v>233</v>
      </c>
      <c r="CR119" s="16" t="s">
        <v>233</v>
      </c>
      <c r="CS119" s="16" t="s">
        <v>233</v>
      </c>
      <c r="CT119" s="16" t="s">
        <v>233</v>
      </c>
      <c r="CU119" s="16" t="s">
        <v>233</v>
      </c>
      <c r="CV119" s="18" t="s">
        <v>233</v>
      </c>
      <c r="CW119" s="1">
        <f>ROUND(PPTest!K119,1)</f>
        <v>0.7</v>
      </c>
      <c r="CX119" s="16" t="s">
        <v>233</v>
      </c>
      <c r="CY119" s="16" t="s">
        <v>233</v>
      </c>
      <c r="CZ119" s="20">
        <f t="shared" si="27"/>
        <v>0.41499999999999998</v>
      </c>
      <c r="DA119" s="20">
        <f t="shared" si="28"/>
        <v>0.38700000000000001</v>
      </c>
      <c r="DB119" s="16" t="s">
        <v>233</v>
      </c>
      <c r="DZ119" s="1">
        <v>0.4</v>
      </c>
      <c r="EA119" s="1">
        <v>3.7</v>
      </c>
      <c r="EB119" s="1">
        <v>-4.4000000000000004</v>
      </c>
      <c r="EC119" s="1">
        <v>0.7</v>
      </c>
    </row>
    <row r="120" spans="1:133" x14ac:dyDescent="0.2">
      <c r="A120" s="40">
        <v>35178</v>
      </c>
      <c r="B120" s="34">
        <v>114</v>
      </c>
      <c r="C120" s="34"/>
      <c r="D120" s="34"/>
      <c r="E120" s="55">
        <f t="shared" si="29"/>
        <v>2.8</v>
      </c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41"/>
      <c r="Q120" s="34"/>
      <c r="R120" s="55">
        <f t="shared" si="30"/>
        <v>5.0999999999999996</v>
      </c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41"/>
      <c r="AE120" s="34"/>
      <c r="AF120" s="55">
        <f t="shared" si="31"/>
        <v>-0.2</v>
      </c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"/>
      <c r="BE120" s="3"/>
      <c r="BF120" s="3"/>
      <c r="BH120" s="16">
        <v>26.73</v>
      </c>
      <c r="BI120" s="16">
        <f t="shared" si="21"/>
        <v>53.994599999999998</v>
      </c>
      <c r="BJ120" s="17"/>
      <c r="BK120" s="17"/>
      <c r="BP120" s="57">
        <f t="shared" si="22"/>
        <v>0.60199999999999998</v>
      </c>
      <c r="BQ120" s="57">
        <f t="shared" si="23"/>
        <v>0.27600000000000002</v>
      </c>
      <c r="BR120" s="2"/>
      <c r="BS120" s="38"/>
      <c r="BT120" s="8"/>
      <c r="BV120" s="16" t="s">
        <v>233</v>
      </c>
      <c r="BW120" s="16" t="s">
        <v>233</v>
      </c>
      <c r="BX120" s="3">
        <f t="shared" si="24"/>
        <v>2.8</v>
      </c>
      <c r="BY120" s="16" t="s">
        <v>233</v>
      </c>
      <c r="BZ120" s="16" t="s">
        <v>233</v>
      </c>
      <c r="CA120" s="16" t="s">
        <v>233</v>
      </c>
      <c r="CB120" s="16" t="s">
        <v>233</v>
      </c>
      <c r="CC120" s="16" t="s">
        <v>233</v>
      </c>
      <c r="CD120" s="16" t="s">
        <v>233</v>
      </c>
      <c r="CE120" s="16" t="s">
        <v>233</v>
      </c>
      <c r="CF120" s="1">
        <f t="shared" si="25"/>
        <v>5.0999999999999996</v>
      </c>
      <c r="CG120" s="16" t="s">
        <v>233</v>
      </c>
      <c r="CH120" s="16" t="s">
        <v>233</v>
      </c>
      <c r="CI120" s="16" t="s">
        <v>233</v>
      </c>
      <c r="CJ120" s="16" t="s">
        <v>233</v>
      </c>
      <c r="CK120" s="16" t="s">
        <v>233</v>
      </c>
      <c r="CL120" s="16" t="s">
        <v>233</v>
      </c>
      <c r="CM120" s="16" t="s">
        <v>233</v>
      </c>
      <c r="CN120" s="1">
        <f t="shared" si="26"/>
        <v>-0.2</v>
      </c>
      <c r="CO120" s="16" t="s">
        <v>233</v>
      </c>
      <c r="CP120" s="16" t="s">
        <v>233</v>
      </c>
      <c r="CQ120" s="16" t="s">
        <v>233</v>
      </c>
      <c r="CR120" s="16" t="s">
        <v>233</v>
      </c>
      <c r="CS120" s="16" t="s">
        <v>233</v>
      </c>
      <c r="CT120" s="16" t="s">
        <v>233</v>
      </c>
      <c r="CU120" s="16" t="s">
        <v>233</v>
      </c>
      <c r="CV120" s="18" t="s">
        <v>233</v>
      </c>
      <c r="CW120" s="1">
        <f>ROUND(PPTest!K120,1)</f>
        <v>2.1</v>
      </c>
      <c r="CX120" s="16" t="s">
        <v>233</v>
      </c>
      <c r="CY120" s="16" t="s">
        <v>233</v>
      </c>
      <c r="CZ120" s="20">
        <f t="shared" si="27"/>
        <v>0.60199999999999998</v>
      </c>
      <c r="DA120" s="20">
        <f t="shared" si="28"/>
        <v>0.27600000000000002</v>
      </c>
      <c r="DB120" s="16" t="s">
        <v>233</v>
      </c>
      <c r="DZ120" s="1">
        <v>3.1</v>
      </c>
      <c r="EA120" s="1">
        <v>5.0999999999999996</v>
      </c>
      <c r="EB120" s="1">
        <v>0.2</v>
      </c>
      <c r="EC120" s="1">
        <v>2.1</v>
      </c>
    </row>
    <row r="121" spans="1:133" x14ac:dyDescent="0.2">
      <c r="A121" s="40">
        <v>35179</v>
      </c>
      <c r="B121" s="34">
        <v>115</v>
      </c>
      <c r="C121" s="34"/>
      <c r="D121" s="34"/>
      <c r="E121" s="55">
        <f t="shared" si="29"/>
        <v>-0.5</v>
      </c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41"/>
      <c r="Q121" s="34"/>
      <c r="R121" s="55">
        <f t="shared" si="30"/>
        <v>3.1</v>
      </c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41"/>
      <c r="AE121" s="34"/>
      <c r="AF121" s="55">
        <f t="shared" si="31"/>
        <v>-3.4</v>
      </c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"/>
      <c r="BE121" s="3"/>
      <c r="BF121" s="3"/>
      <c r="BH121" s="16">
        <v>26.95</v>
      </c>
      <c r="BI121" s="16">
        <f t="shared" si="21"/>
        <v>54.439</v>
      </c>
      <c r="BJ121" s="17"/>
      <c r="BK121" s="17"/>
      <c r="BP121" s="57">
        <f t="shared" si="22"/>
        <v>0.47499999999999998</v>
      </c>
      <c r="BQ121" s="57">
        <f t="shared" si="23"/>
        <v>0.28799999999999998</v>
      </c>
      <c r="BR121" s="2"/>
      <c r="BS121" s="38"/>
      <c r="BT121" s="8"/>
      <c r="BV121" s="16" t="s">
        <v>233</v>
      </c>
      <c r="BW121" s="16" t="s">
        <v>233</v>
      </c>
      <c r="BX121" s="3">
        <f t="shared" si="24"/>
        <v>-0.5</v>
      </c>
      <c r="BY121" s="16" t="s">
        <v>233</v>
      </c>
      <c r="BZ121" s="16" t="s">
        <v>233</v>
      </c>
      <c r="CA121" s="16" t="s">
        <v>233</v>
      </c>
      <c r="CB121" s="16" t="s">
        <v>233</v>
      </c>
      <c r="CC121" s="16" t="s">
        <v>233</v>
      </c>
      <c r="CD121" s="16" t="s">
        <v>233</v>
      </c>
      <c r="CE121" s="16" t="s">
        <v>233</v>
      </c>
      <c r="CF121" s="1">
        <f t="shared" si="25"/>
        <v>3.1</v>
      </c>
      <c r="CG121" s="16" t="s">
        <v>233</v>
      </c>
      <c r="CH121" s="16" t="s">
        <v>233</v>
      </c>
      <c r="CI121" s="16" t="s">
        <v>233</v>
      </c>
      <c r="CJ121" s="16" t="s">
        <v>233</v>
      </c>
      <c r="CK121" s="16" t="s">
        <v>233</v>
      </c>
      <c r="CL121" s="16" t="s">
        <v>233</v>
      </c>
      <c r="CM121" s="16" t="s">
        <v>233</v>
      </c>
      <c r="CN121" s="1">
        <f t="shared" si="26"/>
        <v>-3.4</v>
      </c>
      <c r="CO121" s="16" t="s">
        <v>233</v>
      </c>
      <c r="CP121" s="16" t="s">
        <v>233</v>
      </c>
      <c r="CQ121" s="16" t="s">
        <v>233</v>
      </c>
      <c r="CR121" s="16" t="s">
        <v>233</v>
      </c>
      <c r="CS121" s="16" t="s">
        <v>233</v>
      </c>
      <c r="CT121" s="16" t="s">
        <v>233</v>
      </c>
      <c r="CU121" s="16" t="s">
        <v>233</v>
      </c>
      <c r="CV121" s="18" t="s">
        <v>233</v>
      </c>
      <c r="CW121" s="1">
        <f>ROUND(PPTest!K121,1)</f>
        <v>2.1</v>
      </c>
      <c r="CX121" s="16" t="s">
        <v>233</v>
      </c>
      <c r="CY121" s="16" t="s">
        <v>233</v>
      </c>
      <c r="CZ121" s="20">
        <f t="shared" si="27"/>
        <v>0.47499999999999998</v>
      </c>
      <c r="DA121" s="20">
        <f t="shared" si="28"/>
        <v>0.28799999999999998</v>
      </c>
      <c r="DB121" s="16" t="s">
        <v>233</v>
      </c>
      <c r="DZ121" s="1">
        <v>-0.1</v>
      </c>
      <c r="EA121" s="1">
        <v>3</v>
      </c>
      <c r="EB121" s="1">
        <v>-2.7</v>
      </c>
      <c r="EC121" s="1">
        <v>2.1</v>
      </c>
    </row>
    <row r="122" spans="1:133" x14ac:dyDescent="0.2">
      <c r="A122" s="40">
        <v>35180</v>
      </c>
      <c r="B122" s="34">
        <v>116</v>
      </c>
      <c r="C122" s="34"/>
      <c r="D122" s="34"/>
      <c r="E122" s="55">
        <f t="shared" si="29"/>
        <v>-1.7</v>
      </c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41"/>
      <c r="Q122" s="34"/>
      <c r="R122" s="55">
        <f t="shared" si="30"/>
        <v>1.9</v>
      </c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41"/>
      <c r="AE122" s="34"/>
      <c r="AF122" s="55">
        <f t="shared" si="31"/>
        <v>-4.5999999999999996</v>
      </c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"/>
      <c r="BE122" s="3"/>
      <c r="BF122" s="3"/>
      <c r="BH122" s="16">
        <v>27.17</v>
      </c>
      <c r="BI122" s="16">
        <f t="shared" si="21"/>
        <v>54.883400000000002</v>
      </c>
      <c r="BJ122" s="17"/>
      <c r="BK122" s="17"/>
      <c r="BP122" s="57">
        <f t="shared" si="22"/>
        <v>0.434</v>
      </c>
      <c r="BQ122" s="57">
        <f t="shared" si="23"/>
        <v>0.26600000000000001</v>
      </c>
      <c r="BR122" s="2"/>
      <c r="BS122" s="38"/>
      <c r="BT122" s="8"/>
      <c r="BV122" s="16" t="s">
        <v>233</v>
      </c>
      <c r="BW122" s="16" t="s">
        <v>233</v>
      </c>
      <c r="BX122" s="3">
        <f t="shared" si="24"/>
        <v>-1.7</v>
      </c>
      <c r="BY122" s="16" t="s">
        <v>233</v>
      </c>
      <c r="BZ122" s="16" t="s">
        <v>233</v>
      </c>
      <c r="CA122" s="16" t="s">
        <v>233</v>
      </c>
      <c r="CB122" s="16" t="s">
        <v>233</v>
      </c>
      <c r="CC122" s="16" t="s">
        <v>233</v>
      </c>
      <c r="CD122" s="16" t="s">
        <v>233</v>
      </c>
      <c r="CE122" s="16" t="s">
        <v>233</v>
      </c>
      <c r="CF122" s="1">
        <f t="shared" si="25"/>
        <v>1.9</v>
      </c>
      <c r="CG122" s="16" t="s">
        <v>233</v>
      </c>
      <c r="CH122" s="16" t="s">
        <v>233</v>
      </c>
      <c r="CI122" s="16" t="s">
        <v>233</v>
      </c>
      <c r="CJ122" s="16" t="s">
        <v>233</v>
      </c>
      <c r="CK122" s="16" t="s">
        <v>233</v>
      </c>
      <c r="CL122" s="16" t="s">
        <v>233</v>
      </c>
      <c r="CM122" s="16" t="s">
        <v>233</v>
      </c>
      <c r="CN122" s="1">
        <f t="shared" si="26"/>
        <v>-4.5999999999999996</v>
      </c>
      <c r="CO122" s="16" t="s">
        <v>233</v>
      </c>
      <c r="CP122" s="16" t="s">
        <v>233</v>
      </c>
      <c r="CQ122" s="16" t="s">
        <v>233</v>
      </c>
      <c r="CR122" s="16" t="s">
        <v>233</v>
      </c>
      <c r="CS122" s="16" t="s">
        <v>233</v>
      </c>
      <c r="CT122" s="16" t="s">
        <v>233</v>
      </c>
      <c r="CU122" s="16" t="s">
        <v>233</v>
      </c>
      <c r="CV122" s="18" t="s">
        <v>233</v>
      </c>
      <c r="CW122" s="1">
        <f>ROUND(PPTest!K122,1)</f>
        <v>1.2</v>
      </c>
      <c r="CX122" s="16" t="s">
        <v>233</v>
      </c>
      <c r="CY122" s="16" t="s">
        <v>233</v>
      </c>
      <c r="CZ122" s="20">
        <f t="shared" si="27"/>
        <v>0.434</v>
      </c>
      <c r="DA122" s="20">
        <f t="shared" si="28"/>
        <v>0.26600000000000001</v>
      </c>
      <c r="DB122" s="16" t="s">
        <v>233</v>
      </c>
      <c r="DZ122" s="1">
        <v>-1.3</v>
      </c>
      <c r="EA122" s="1">
        <v>1.8</v>
      </c>
      <c r="EB122" s="1">
        <v>-3.8</v>
      </c>
      <c r="EC122" s="1">
        <v>1.2</v>
      </c>
    </row>
    <row r="123" spans="1:133" x14ac:dyDescent="0.2">
      <c r="A123" s="40">
        <v>35181</v>
      </c>
      <c r="B123" s="34">
        <v>117</v>
      </c>
      <c r="C123" s="34"/>
      <c r="D123" s="34"/>
      <c r="E123" s="55">
        <f t="shared" si="29"/>
        <v>-1.6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41"/>
      <c r="Q123" s="34"/>
      <c r="R123" s="55">
        <f t="shared" si="30"/>
        <v>1.9</v>
      </c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41"/>
      <c r="AE123" s="34"/>
      <c r="AF123" s="55">
        <f t="shared" si="31"/>
        <v>-5.9</v>
      </c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"/>
      <c r="BE123" s="3"/>
      <c r="BF123" s="3"/>
      <c r="BH123" s="16">
        <v>27.38</v>
      </c>
      <c r="BI123" s="16">
        <f t="shared" si="21"/>
        <v>55.307600000000001</v>
      </c>
      <c r="BJ123" s="17"/>
      <c r="BK123" s="17"/>
      <c r="BP123" s="57">
        <f t="shared" si="22"/>
        <v>0.39300000000000002</v>
      </c>
      <c r="BQ123" s="57">
        <f t="shared" si="23"/>
        <v>0.307</v>
      </c>
      <c r="BR123" s="2"/>
      <c r="BS123" s="38"/>
      <c r="BT123" s="8"/>
      <c r="BV123" s="16" t="s">
        <v>233</v>
      </c>
      <c r="BW123" s="16" t="s">
        <v>233</v>
      </c>
      <c r="BX123" s="3">
        <f t="shared" si="24"/>
        <v>-1.6</v>
      </c>
      <c r="BY123" s="16" t="s">
        <v>233</v>
      </c>
      <c r="BZ123" s="16" t="s">
        <v>233</v>
      </c>
      <c r="CA123" s="16" t="s">
        <v>233</v>
      </c>
      <c r="CB123" s="16" t="s">
        <v>233</v>
      </c>
      <c r="CC123" s="16" t="s">
        <v>233</v>
      </c>
      <c r="CD123" s="16" t="s">
        <v>233</v>
      </c>
      <c r="CE123" s="16" t="s">
        <v>233</v>
      </c>
      <c r="CF123" s="1">
        <f t="shared" si="25"/>
        <v>1.9</v>
      </c>
      <c r="CG123" s="16" t="s">
        <v>233</v>
      </c>
      <c r="CH123" s="16" t="s">
        <v>233</v>
      </c>
      <c r="CI123" s="16" t="s">
        <v>233</v>
      </c>
      <c r="CJ123" s="16" t="s">
        <v>233</v>
      </c>
      <c r="CK123" s="16" t="s">
        <v>233</v>
      </c>
      <c r="CL123" s="16" t="s">
        <v>233</v>
      </c>
      <c r="CM123" s="16" t="s">
        <v>233</v>
      </c>
      <c r="CN123" s="1">
        <f t="shared" si="26"/>
        <v>-5.9</v>
      </c>
      <c r="CO123" s="16" t="s">
        <v>233</v>
      </c>
      <c r="CP123" s="16" t="s">
        <v>233</v>
      </c>
      <c r="CQ123" s="16" t="s">
        <v>233</v>
      </c>
      <c r="CR123" s="16" t="s">
        <v>233</v>
      </c>
      <c r="CS123" s="16" t="s">
        <v>233</v>
      </c>
      <c r="CT123" s="16" t="s">
        <v>233</v>
      </c>
      <c r="CU123" s="16" t="s">
        <v>233</v>
      </c>
      <c r="CV123" s="18" t="s">
        <v>233</v>
      </c>
      <c r="CW123" s="1">
        <f>ROUND(PPTest!K123,1)</f>
        <v>0</v>
      </c>
      <c r="CX123" s="16" t="s">
        <v>233</v>
      </c>
      <c r="CY123" s="16" t="s">
        <v>233</v>
      </c>
      <c r="CZ123" s="20">
        <f t="shared" si="27"/>
        <v>0.39300000000000002</v>
      </c>
      <c r="DA123" s="20">
        <f t="shared" si="28"/>
        <v>0.307</v>
      </c>
      <c r="DB123" s="16" t="s">
        <v>233</v>
      </c>
      <c r="DZ123" s="1">
        <v>-1.2</v>
      </c>
      <c r="EA123" s="1">
        <v>1.8</v>
      </c>
      <c r="EB123" s="1">
        <v>-5</v>
      </c>
      <c r="EC123" s="1">
        <v>0</v>
      </c>
    </row>
    <row r="124" spans="1:133" x14ac:dyDescent="0.2">
      <c r="A124" s="40">
        <v>35182</v>
      </c>
      <c r="B124" s="34">
        <v>118</v>
      </c>
      <c r="C124" s="34"/>
      <c r="D124" s="34"/>
      <c r="E124" s="55">
        <f t="shared" si="29"/>
        <v>-1.3</v>
      </c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41"/>
      <c r="Q124" s="34"/>
      <c r="R124" s="55">
        <f t="shared" si="30"/>
        <v>3.9</v>
      </c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41"/>
      <c r="AE124" s="34"/>
      <c r="AF124" s="55">
        <f t="shared" si="31"/>
        <v>-7</v>
      </c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"/>
      <c r="BE124" s="3"/>
      <c r="BF124" s="3"/>
      <c r="BH124" s="16">
        <v>27.6</v>
      </c>
      <c r="BI124" s="16">
        <f t="shared" si="21"/>
        <v>55.752000000000002</v>
      </c>
      <c r="BJ124" s="17"/>
      <c r="BK124" s="17"/>
      <c r="BP124" s="57">
        <f t="shared" si="22"/>
        <v>0.36099999999999999</v>
      </c>
      <c r="BQ124" s="57">
        <f t="shared" si="23"/>
        <v>0.44600000000000001</v>
      </c>
      <c r="BR124" s="2"/>
      <c r="BS124" s="38"/>
      <c r="BT124" s="8"/>
      <c r="BV124" s="16" t="s">
        <v>233</v>
      </c>
      <c r="BW124" s="16" t="s">
        <v>233</v>
      </c>
      <c r="BX124" s="3">
        <f t="shared" si="24"/>
        <v>-1.3</v>
      </c>
      <c r="BY124" s="16" t="s">
        <v>233</v>
      </c>
      <c r="BZ124" s="16" t="s">
        <v>233</v>
      </c>
      <c r="CA124" s="16" t="s">
        <v>233</v>
      </c>
      <c r="CB124" s="16" t="s">
        <v>233</v>
      </c>
      <c r="CC124" s="16" t="s">
        <v>233</v>
      </c>
      <c r="CD124" s="16" t="s">
        <v>233</v>
      </c>
      <c r="CE124" s="16" t="s">
        <v>233</v>
      </c>
      <c r="CF124" s="1">
        <f t="shared" si="25"/>
        <v>3.9</v>
      </c>
      <c r="CG124" s="16" t="s">
        <v>233</v>
      </c>
      <c r="CH124" s="16" t="s">
        <v>233</v>
      </c>
      <c r="CI124" s="16" t="s">
        <v>233</v>
      </c>
      <c r="CJ124" s="16" t="s">
        <v>233</v>
      </c>
      <c r="CK124" s="16" t="s">
        <v>233</v>
      </c>
      <c r="CL124" s="16" t="s">
        <v>233</v>
      </c>
      <c r="CM124" s="16" t="s">
        <v>233</v>
      </c>
      <c r="CN124" s="1">
        <f t="shared" si="26"/>
        <v>-7</v>
      </c>
      <c r="CO124" s="16" t="s">
        <v>233</v>
      </c>
      <c r="CP124" s="16" t="s">
        <v>233</v>
      </c>
      <c r="CQ124" s="16" t="s">
        <v>233</v>
      </c>
      <c r="CR124" s="16" t="s">
        <v>233</v>
      </c>
      <c r="CS124" s="16" t="s">
        <v>233</v>
      </c>
      <c r="CT124" s="16" t="s">
        <v>233</v>
      </c>
      <c r="CU124" s="16" t="s">
        <v>233</v>
      </c>
      <c r="CV124" s="18" t="s">
        <v>233</v>
      </c>
      <c r="CW124" s="1">
        <f>ROUND(PPTest!K124,1)</f>
        <v>0</v>
      </c>
      <c r="CX124" s="16" t="s">
        <v>233</v>
      </c>
      <c r="CY124" s="16" t="s">
        <v>233</v>
      </c>
      <c r="CZ124" s="20">
        <f t="shared" si="27"/>
        <v>0.36099999999999999</v>
      </c>
      <c r="DA124" s="20">
        <f t="shared" si="28"/>
        <v>0.44600000000000001</v>
      </c>
      <c r="DB124" s="16" t="s">
        <v>233</v>
      </c>
      <c r="DZ124" s="1">
        <v>-0.9</v>
      </c>
      <c r="EA124" s="1">
        <v>3.9</v>
      </c>
      <c r="EB124" s="1">
        <v>-6</v>
      </c>
      <c r="EC124" s="1">
        <v>0</v>
      </c>
    </row>
    <row r="125" spans="1:133" x14ac:dyDescent="0.2">
      <c r="A125" s="40">
        <v>35183</v>
      </c>
      <c r="B125" s="34">
        <v>119</v>
      </c>
      <c r="C125" s="34"/>
      <c r="D125" s="34"/>
      <c r="E125" s="55">
        <f t="shared" si="29"/>
        <v>-1</v>
      </c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41"/>
      <c r="Q125" s="34"/>
      <c r="R125" s="55">
        <f t="shared" si="30"/>
        <v>4.5999999999999996</v>
      </c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41"/>
      <c r="AE125" s="34"/>
      <c r="AF125" s="55">
        <f t="shared" si="31"/>
        <v>-8.9</v>
      </c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"/>
      <c r="BE125" s="3"/>
      <c r="BF125" s="3"/>
      <c r="BH125" s="16">
        <v>27.81</v>
      </c>
      <c r="BI125" s="16">
        <f t="shared" si="21"/>
        <v>56.176199999999994</v>
      </c>
      <c r="BJ125" s="17"/>
      <c r="BK125" s="17"/>
      <c r="BP125" s="57">
        <f t="shared" si="22"/>
        <v>0.311</v>
      </c>
      <c r="BQ125" s="57">
        <f t="shared" si="23"/>
        <v>0.53700000000000003</v>
      </c>
      <c r="BR125" s="2"/>
      <c r="BS125" s="38"/>
      <c r="BT125" s="8"/>
      <c r="BV125" s="16" t="s">
        <v>233</v>
      </c>
      <c r="BW125" s="16" t="s">
        <v>233</v>
      </c>
      <c r="BX125" s="3">
        <f t="shared" si="24"/>
        <v>-1</v>
      </c>
      <c r="BY125" s="16" t="s">
        <v>233</v>
      </c>
      <c r="BZ125" s="16" t="s">
        <v>233</v>
      </c>
      <c r="CA125" s="16" t="s">
        <v>233</v>
      </c>
      <c r="CB125" s="16" t="s">
        <v>233</v>
      </c>
      <c r="CC125" s="16" t="s">
        <v>233</v>
      </c>
      <c r="CD125" s="16" t="s">
        <v>233</v>
      </c>
      <c r="CE125" s="16" t="s">
        <v>233</v>
      </c>
      <c r="CF125" s="1">
        <f t="shared" si="25"/>
        <v>4.5999999999999996</v>
      </c>
      <c r="CG125" s="16" t="s">
        <v>233</v>
      </c>
      <c r="CH125" s="16" t="s">
        <v>233</v>
      </c>
      <c r="CI125" s="16" t="s">
        <v>233</v>
      </c>
      <c r="CJ125" s="16" t="s">
        <v>233</v>
      </c>
      <c r="CK125" s="16" t="s">
        <v>233</v>
      </c>
      <c r="CL125" s="16" t="s">
        <v>233</v>
      </c>
      <c r="CM125" s="16" t="s">
        <v>233</v>
      </c>
      <c r="CN125" s="1">
        <f t="shared" si="26"/>
        <v>-8.9</v>
      </c>
      <c r="CO125" s="16" t="s">
        <v>233</v>
      </c>
      <c r="CP125" s="16" t="s">
        <v>233</v>
      </c>
      <c r="CQ125" s="16" t="s">
        <v>233</v>
      </c>
      <c r="CR125" s="16" t="s">
        <v>233</v>
      </c>
      <c r="CS125" s="16" t="s">
        <v>233</v>
      </c>
      <c r="CT125" s="16" t="s">
        <v>233</v>
      </c>
      <c r="CU125" s="16" t="s">
        <v>233</v>
      </c>
      <c r="CV125" s="18" t="s">
        <v>233</v>
      </c>
      <c r="CW125" s="1">
        <f>ROUND(PPTest!K125,1)</f>
        <v>0</v>
      </c>
      <c r="CX125" s="16" t="s">
        <v>233</v>
      </c>
      <c r="CY125" s="16" t="s">
        <v>233</v>
      </c>
      <c r="CZ125" s="20">
        <f t="shared" si="27"/>
        <v>0.311</v>
      </c>
      <c r="DA125" s="20">
        <f t="shared" si="28"/>
        <v>0.53700000000000003</v>
      </c>
      <c r="DB125" s="16" t="s">
        <v>233</v>
      </c>
      <c r="DZ125" s="1">
        <v>-0.6</v>
      </c>
      <c r="EA125" s="1">
        <v>4.5999999999999996</v>
      </c>
      <c r="EB125" s="1">
        <v>-7.7</v>
      </c>
      <c r="EC125" s="1">
        <v>0</v>
      </c>
    </row>
    <row r="126" spans="1:133" x14ac:dyDescent="0.2">
      <c r="A126" s="40">
        <v>35184</v>
      </c>
      <c r="B126" s="34">
        <v>120</v>
      </c>
      <c r="C126" s="34"/>
      <c r="D126" s="34"/>
      <c r="E126" s="55">
        <f t="shared" si="29"/>
        <v>1.6</v>
      </c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41"/>
      <c r="Q126" s="34"/>
      <c r="R126" s="55">
        <f t="shared" si="30"/>
        <v>7.8</v>
      </c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41"/>
      <c r="AE126" s="34"/>
      <c r="AF126" s="55">
        <f t="shared" si="31"/>
        <v>-2.6</v>
      </c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"/>
      <c r="BE126" s="3"/>
      <c r="BF126" s="3"/>
      <c r="BH126" s="16">
        <v>28.02</v>
      </c>
      <c r="BI126" s="16">
        <f t="shared" si="21"/>
        <v>56.6004</v>
      </c>
      <c r="BJ126" s="17"/>
      <c r="BK126" s="17"/>
      <c r="BP126" s="57">
        <f t="shared" si="22"/>
        <v>0.504</v>
      </c>
      <c r="BQ126" s="57">
        <f t="shared" si="23"/>
        <v>0.55400000000000005</v>
      </c>
      <c r="BR126" s="2"/>
      <c r="BS126" s="38"/>
      <c r="BT126" s="8"/>
      <c r="BV126" s="16" t="s">
        <v>233</v>
      </c>
      <c r="BW126" s="16" t="s">
        <v>233</v>
      </c>
      <c r="BX126" s="3">
        <f t="shared" si="24"/>
        <v>1.6</v>
      </c>
      <c r="BY126" s="16" t="s">
        <v>233</v>
      </c>
      <c r="BZ126" s="16" t="s">
        <v>233</v>
      </c>
      <c r="CA126" s="16" t="s">
        <v>233</v>
      </c>
      <c r="CB126" s="16" t="s">
        <v>233</v>
      </c>
      <c r="CC126" s="16" t="s">
        <v>233</v>
      </c>
      <c r="CD126" s="16" t="s">
        <v>233</v>
      </c>
      <c r="CE126" s="16" t="s">
        <v>233</v>
      </c>
      <c r="CF126" s="1">
        <f t="shared" si="25"/>
        <v>7.8</v>
      </c>
      <c r="CG126" s="16" t="s">
        <v>233</v>
      </c>
      <c r="CH126" s="16" t="s">
        <v>233</v>
      </c>
      <c r="CI126" s="16" t="s">
        <v>233</v>
      </c>
      <c r="CJ126" s="16" t="s">
        <v>233</v>
      </c>
      <c r="CK126" s="16" t="s">
        <v>233</v>
      </c>
      <c r="CL126" s="16" t="s">
        <v>233</v>
      </c>
      <c r="CM126" s="16" t="s">
        <v>233</v>
      </c>
      <c r="CN126" s="1">
        <f t="shared" si="26"/>
        <v>-2.6</v>
      </c>
      <c r="CO126" s="16" t="s">
        <v>233</v>
      </c>
      <c r="CP126" s="16" t="s">
        <v>233</v>
      </c>
      <c r="CQ126" s="16" t="s">
        <v>233</v>
      </c>
      <c r="CR126" s="16" t="s">
        <v>233</v>
      </c>
      <c r="CS126" s="16" t="s">
        <v>233</v>
      </c>
      <c r="CT126" s="16" t="s">
        <v>233</v>
      </c>
      <c r="CU126" s="16" t="s">
        <v>233</v>
      </c>
      <c r="CV126" s="18" t="s">
        <v>233</v>
      </c>
      <c r="CW126" s="1">
        <f>ROUND(PPTest!K126,1)</f>
        <v>0</v>
      </c>
      <c r="CX126" s="16" t="s">
        <v>233</v>
      </c>
      <c r="CY126" s="16" t="s">
        <v>233</v>
      </c>
      <c r="CZ126" s="20">
        <f t="shared" si="27"/>
        <v>0.504</v>
      </c>
      <c r="DA126" s="20">
        <f t="shared" si="28"/>
        <v>0.55400000000000005</v>
      </c>
      <c r="DB126" s="16" t="s">
        <v>233</v>
      </c>
      <c r="DZ126" s="1">
        <v>2</v>
      </c>
      <c r="EA126" s="1">
        <v>7.9</v>
      </c>
      <c r="EB126" s="1">
        <v>-2</v>
      </c>
      <c r="EC126" s="1">
        <v>0</v>
      </c>
    </row>
    <row r="127" spans="1:133" x14ac:dyDescent="0.2">
      <c r="A127" s="40">
        <v>35185</v>
      </c>
      <c r="B127" s="34">
        <v>121</v>
      </c>
      <c r="C127" s="34"/>
      <c r="D127" s="34"/>
      <c r="E127" s="55">
        <f t="shared" si="29"/>
        <v>0.6</v>
      </c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41"/>
      <c r="Q127" s="34"/>
      <c r="R127" s="55">
        <f t="shared" si="30"/>
        <v>6.1</v>
      </c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41"/>
      <c r="AE127" s="34"/>
      <c r="AF127" s="55">
        <f t="shared" si="31"/>
        <v>-6.5</v>
      </c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"/>
      <c r="BE127" s="3"/>
      <c r="BF127" s="3"/>
      <c r="BH127" s="16">
        <v>28.22</v>
      </c>
      <c r="BI127" s="16">
        <f t="shared" si="21"/>
        <v>57.004399999999997</v>
      </c>
      <c r="BJ127" s="17"/>
      <c r="BK127" s="17"/>
      <c r="BP127" s="57">
        <f t="shared" si="22"/>
        <v>0.375</v>
      </c>
      <c r="BQ127" s="57">
        <f t="shared" si="23"/>
        <v>0.56599999999999995</v>
      </c>
      <c r="BR127" s="2"/>
      <c r="BS127" s="38"/>
      <c r="BT127" s="21"/>
      <c r="BV127" s="16" t="s">
        <v>233</v>
      </c>
      <c r="BW127" s="16" t="s">
        <v>233</v>
      </c>
      <c r="BX127" s="3">
        <f t="shared" si="24"/>
        <v>0.6</v>
      </c>
      <c r="BY127" s="16" t="s">
        <v>233</v>
      </c>
      <c r="BZ127" s="16" t="s">
        <v>233</v>
      </c>
      <c r="CA127" s="16" t="s">
        <v>233</v>
      </c>
      <c r="CB127" s="16" t="s">
        <v>233</v>
      </c>
      <c r="CC127" s="16" t="s">
        <v>233</v>
      </c>
      <c r="CD127" s="16" t="s">
        <v>233</v>
      </c>
      <c r="CE127" s="16" t="s">
        <v>233</v>
      </c>
      <c r="CF127" s="1">
        <f t="shared" si="25"/>
        <v>6.1</v>
      </c>
      <c r="CG127" s="16" t="s">
        <v>233</v>
      </c>
      <c r="CH127" s="16" t="s">
        <v>233</v>
      </c>
      <c r="CI127" s="16" t="s">
        <v>233</v>
      </c>
      <c r="CJ127" s="16" t="s">
        <v>233</v>
      </c>
      <c r="CK127" s="16" t="s">
        <v>233</v>
      </c>
      <c r="CL127" s="16" t="s">
        <v>233</v>
      </c>
      <c r="CM127" s="16" t="s">
        <v>233</v>
      </c>
      <c r="CN127" s="1">
        <f t="shared" si="26"/>
        <v>-6.5</v>
      </c>
      <c r="CO127" s="16" t="s">
        <v>233</v>
      </c>
      <c r="CP127" s="16" t="s">
        <v>233</v>
      </c>
      <c r="CQ127" s="16" t="s">
        <v>233</v>
      </c>
      <c r="CR127" s="16" t="s">
        <v>233</v>
      </c>
      <c r="CS127" s="16" t="s">
        <v>233</v>
      </c>
      <c r="CT127" s="16" t="s">
        <v>233</v>
      </c>
      <c r="CU127" s="16" t="s">
        <v>233</v>
      </c>
      <c r="CV127" s="18" t="s">
        <v>233</v>
      </c>
      <c r="CW127" s="1">
        <f>ROUND(PPTest!K127,1)</f>
        <v>0</v>
      </c>
      <c r="CX127" s="16" t="s">
        <v>233</v>
      </c>
      <c r="CY127" s="16" t="s">
        <v>233</v>
      </c>
      <c r="CZ127" s="20">
        <f t="shared" si="27"/>
        <v>0.375</v>
      </c>
      <c r="DA127" s="20">
        <f t="shared" si="28"/>
        <v>0.56599999999999995</v>
      </c>
      <c r="DB127" s="16" t="s">
        <v>233</v>
      </c>
      <c r="DZ127" s="1">
        <v>1</v>
      </c>
      <c r="EA127" s="1">
        <v>6.1</v>
      </c>
      <c r="EB127" s="1">
        <v>-5.5</v>
      </c>
      <c r="EC127" s="1">
        <v>0</v>
      </c>
    </row>
    <row r="128" spans="1:133" x14ac:dyDescent="0.2">
      <c r="A128" s="40">
        <v>35186</v>
      </c>
      <c r="B128" s="34">
        <v>122</v>
      </c>
      <c r="C128" s="34"/>
      <c r="D128" s="34"/>
      <c r="E128" s="55">
        <f t="shared" si="29"/>
        <v>-1.5</v>
      </c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41"/>
      <c r="Q128" s="34"/>
      <c r="R128" s="55">
        <f t="shared" si="30"/>
        <v>3.8</v>
      </c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41"/>
      <c r="AE128" s="34"/>
      <c r="AF128" s="55">
        <f t="shared" si="31"/>
        <v>-6.3</v>
      </c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"/>
      <c r="BE128" s="3"/>
      <c r="BF128" s="3"/>
      <c r="BH128" s="16">
        <v>28.42</v>
      </c>
      <c r="BI128" s="16">
        <f t="shared" si="21"/>
        <v>57.408400000000007</v>
      </c>
      <c r="BJ128" s="17"/>
      <c r="BK128" s="17"/>
      <c r="BP128" s="57">
        <f t="shared" si="22"/>
        <v>0.38100000000000001</v>
      </c>
      <c r="BQ128" s="57">
        <f t="shared" si="23"/>
        <v>0.42099999999999999</v>
      </c>
      <c r="BS128" s="33"/>
      <c r="BT128" s="8"/>
      <c r="BV128" s="16" t="s">
        <v>233</v>
      </c>
      <c r="BW128" s="16" t="s">
        <v>233</v>
      </c>
      <c r="BX128" s="3">
        <f t="shared" si="24"/>
        <v>-1.5</v>
      </c>
      <c r="BY128" s="16" t="s">
        <v>233</v>
      </c>
      <c r="BZ128" s="16" t="s">
        <v>233</v>
      </c>
      <c r="CA128" s="16" t="s">
        <v>233</v>
      </c>
      <c r="CB128" s="16" t="s">
        <v>233</v>
      </c>
      <c r="CC128" s="16" t="s">
        <v>233</v>
      </c>
      <c r="CD128" s="16" t="s">
        <v>233</v>
      </c>
      <c r="CE128" s="16" t="s">
        <v>233</v>
      </c>
      <c r="CF128" s="1">
        <f t="shared" si="25"/>
        <v>3.8</v>
      </c>
      <c r="CG128" s="16" t="s">
        <v>233</v>
      </c>
      <c r="CH128" s="16" t="s">
        <v>233</v>
      </c>
      <c r="CI128" s="16" t="s">
        <v>233</v>
      </c>
      <c r="CJ128" s="16" t="s">
        <v>233</v>
      </c>
      <c r="CK128" s="16" t="s">
        <v>233</v>
      </c>
      <c r="CL128" s="16" t="s">
        <v>233</v>
      </c>
      <c r="CM128" s="16" t="s">
        <v>233</v>
      </c>
      <c r="CN128" s="1">
        <f t="shared" si="26"/>
        <v>-6.3</v>
      </c>
      <c r="CO128" s="16" t="s">
        <v>233</v>
      </c>
      <c r="CP128" s="16" t="s">
        <v>233</v>
      </c>
      <c r="CQ128" s="16" t="s">
        <v>233</v>
      </c>
      <c r="CR128" s="16" t="s">
        <v>233</v>
      </c>
      <c r="CS128" s="16" t="s">
        <v>233</v>
      </c>
      <c r="CT128" s="16" t="s">
        <v>233</v>
      </c>
      <c r="CU128" s="16" t="s">
        <v>233</v>
      </c>
      <c r="CV128" s="18" t="s">
        <v>233</v>
      </c>
      <c r="CW128" s="1">
        <f>ROUND(PPTest!K128,1)</f>
        <v>2.2999999999999998</v>
      </c>
      <c r="CX128" s="16" t="s">
        <v>233</v>
      </c>
      <c r="CY128" s="16" t="s">
        <v>233</v>
      </c>
      <c r="CZ128" s="20">
        <f t="shared" si="27"/>
        <v>0.38100000000000001</v>
      </c>
      <c r="DA128" s="20">
        <f t="shared" si="28"/>
        <v>0.42099999999999999</v>
      </c>
      <c r="DB128" s="16" t="s">
        <v>233</v>
      </c>
      <c r="DZ128" s="1">
        <v>-1.1000000000000001</v>
      </c>
      <c r="EA128" s="1">
        <v>3.7</v>
      </c>
      <c r="EB128" s="1">
        <v>-5.4</v>
      </c>
      <c r="EC128" s="1">
        <v>2.2999999999999998</v>
      </c>
    </row>
    <row r="129" spans="1:133" x14ac:dyDescent="0.2">
      <c r="A129" s="40">
        <v>35187</v>
      </c>
      <c r="B129" s="34">
        <v>123</v>
      </c>
      <c r="C129" s="34"/>
      <c r="D129" s="34"/>
      <c r="E129" s="55">
        <f t="shared" si="29"/>
        <v>-3.1</v>
      </c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41"/>
      <c r="Q129" s="34"/>
      <c r="R129" s="55">
        <f t="shared" si="30"/>
        <v>2.7</v>
      </c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41"/>
      <c r="AE129" s="34"/>
      <c r="AF129" s="55">
        <f t="shared" si="31"/>
        <v>-8.8000000000000007</v>
      </c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"/>
      <c r="BE129" s="3"/>
      <c r="BF129" s="3"/>
      <c r="BH129" s="16">
        <v>28.61</v>
      </c>
      <c r="BI129" s="16">
        <f t="shared" si="21"/>
        <v>57.792200000000001</v>
      </c>
      <c r="BJ129" s="17"/>
      <c r="BK129" s="17"/>
      <c r="BP129" s="57">
        <f t="shared" si="22"/>
        <v>0.314</v>
      </c>
      <c r="BQ129" s="57">
        <f t="shared" si="23"/>
        <v>0.42699999999999999</v>
      </c>
      <c r="BS129" s="33"/>
      <c r="BT129" s="8"/>
      <c r="BV129" s="16" t="s">
        <v>233</v>
      </c>
      <c r="BW129" s="16" t="s">
        <v>233</v>
      </c>
      <c r="BX129" s="3">
        <f t="shared" si="24"/>
        <v>-3.1</v>
      </c>
      <c r="BY129" s="16" t="s">
        <v>233</v>
      </c>
      <c r="BZ129" s="16" t="s">
        <v>233</v>
      </c>
      <c r="CA129" s="16" t="s">
        <v>233</v>
      </c>
      <c r="CB129" s="16" t="s">
        <v>233</v>
      </c>
      <c r="CC129" s="16" t="s">
        <v>233</v>
      </c>
      <c r="CD129" s="16" t="s">
        <v>233</v>
      </c>
      <c r="CE129" s="16" t="s">
        <v>233</v>
      </c>
      <c r="CF129" s="1">
        <f t="shared" si="25"/>
        <v>2.7</v>
      </c>
      <c r="CG129" s="16" t="s">
        <v>233</v>
      </c>
      <c r="CH129" s="16" t="s">
        <v>233</v>
      </c>
      <c r="CI129" s="16" t="s">
        <v>233</v>
      </c>
      <c r="CJ129" s="16" t="s">
        <v>233</v>
      </c>
      <c r="CK129" s="16" t="s">
        <v>233</v>
      </c>
      <c r="CL129" s="16" t="s">
        <v>233</v>
      </c>
      <c r="CM129" s="16" t="s">
        <v>233</v>
      </c>
      <c r="CN129" s="1">
        <f t="shared" si="26"/>
        <v>-8.8000000000000007</v>
      </c>
      <c r="CO129" s="16" t="s">
        <v>233</v>
      </c>
      <c r="CP129" s="16" t="s">
        <v>233</v>
      </c>
      <c r="CQ129" s="16" t="s">
        <v>233</v>
      </c>
      <c r="CR129" s="16" t="s">
        <v>233</v>
      </c>
      <c r="CS129" s="16" t="s">
        <v>233</v>
      </c>
      <c r="CT129" s="16" t="s">
        <v>233</v>
      </c>
      <c r="CU129" s="16" t="s">
        <v>233</v>
      </c>
      <c r="CV129" s="18" t="s">
        <v>233</v>
      </c>
      <c r="CW129" s="1">
        <f>ROUND(PPTest!K129,1)</f>
        <v>0.1</v>
      </c>
      <c r="CX129" s="16" t="s">
        <v>233</v>
      </c>
      <c r="CY129" s="16" t="s">
        <v>233</v>
      </c>
      <c r="CZ129" s="20">
        <f t="shared" si="27"/>
        <v>0.314</v>
      </c>
      <c r="DA129" s="20">
        <f t="shared" si="28"/>
        <v>0.42699999999999999</v>
      </c>
      <c r="DB129" s="16" t="s">
        <v>233</v>
      </c>
      <c r="DZ129" s="1">
        <v>-2.6</v>
      </c>
      <c r="EA129" s="1">
        <v>2.6</v>
      </c>
      <c r="EB129" s="1">
        <v>-7.6</v>
      </c>
      <c r="EC129" s="1">
        <v>0.1</v>
      </c>
    </row>
    <row r="130" spans="1:133" x14ac:dyDescent="0.2">
      <c r="A130" s="40">
        <v>35188</v>
      </c>
      <c r="B130" s="34">
        <v>124</v>
      </c>
      <c r="C130" s="34"/>
      <c r="D130" s="34"/>
      <c r="E130" s="55">
        <f t="shared" si="29"/>
        <v>-2</v>
      </c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41"/>
      <c r="Q130" s="34"/>
      <c r="R130" s="55">
        <f t="shared" si="30"/>
        <v>3.4</v>
      </c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41"/>
      <c r="AE130" s="34"/>
      <c r="AF130" s="55">
        <f t="shared" si="31"/>
        <v>-8.4</v>
      </c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"/>
      <c r="BE130" s="3"/>
      <c r="BF130" s="3"/>
      <c r="BH130" s="16">
        <v>28.8</v>
      </c>
      <c r="BI130" s="16">
        <f t="shared" si="21"/>
        <v>58.176000000000002</v>
      </c>
      <c r="BJ130" s="17"/>
      <c r="BK130" s="17"/>
      <c r="BP130" s="57">
        <f t="shared" si="22"/>
        <v>0.32400000000000001</v>
      </c>
      <c r="BQ130" s="57">
        <f t="shared" si="23"/>
        <v>0.45500000000000002</v>
      </c>
      <c r="BT130" s="8"/>
      <c r="BV130" s="16" t="s">
        <v>233</v>
      </c>
      <c r="BW130" s="16" t="s">
        <v>233</v>
      </c>
      <c r="BX130" s="3">
        <f t="shared" si="24"/>
        <v>-2</v>
      </c>
      <c r="BY130" s="16" t="s">
        <v>233</v>
      </c>
      <c r="BZ130" s="16" t="s">
        <v>233</v>
      </c>
      <c r="CA130" s="16" t="s">
        <v>233</v>
      </c>
      <c r="CB130" s="16" t="s">
        <v>233</v>
      </c>
      <c r="CC130" s="16" t="s">
        <v>233</v>
      </c>
      <c r="CD130" s="16" t="s">
        <v>233</v>
      </c>
      <c r="CE130" s="16" t="s">
        <v>233</v>
      </c>
      <c r="CF130" s="1">
        <f t="shared" si="25"/>
        <v>3.4</v>
      </c>
      <c r="CG130" s="16" t="s">
        <v>233</v>
      </c>
      <c r="CH130" s="16" t="s">
        <v>233</v>
      </c>
      <c r="CI130" s="16" t="s">
        <v>233</v>
      </c>
      <c r="CJ130" s="16" t="s">
        <v>233</v>
      </c>
      <c r="CK130" s="16" t="s">
        <v>233</v>
      </c>
      <c r="CL130" s="16" t="s">
        <v>233</v>
      </c>
      <c r="CM130" s="16" t="s">
        <v>233</v>
      </c>
      <c r="CN130" s="1">
        <f t="shared" si="26"/>
        <v>-8.4</v>
      </c>
      <c r="CO130" s="16" t="s">
        <v>233</v>
      </c>
      <c r="CP130" s="16" t="s">
        <v>233</v>
      </c>
      <c r="CQ130" s="16" t="s">
        <v>233</v>
      </c>
      <c r="CR130" s="16" t="s">
        <v>233</v>
      </c>
      <c r="CS130" s="16" t="s">
        <v>233</v>
      </c>
      <c r="CT130" s="16" t="s">
        <v>233</v>
      </c>
      <c r="CU130" s="16" t="s">
        <v>233</v>
      </c>
      <c r="CV130" s="18" t="s">
        <v>233</v>
      </c>
      <c r="CW130" s="1">
        <f>ROUND(PPTest!K130,1)</f>
        <v>0</v>
      </c>
      <c r="CX130" s="16" t="s">
        <v>233</v>
      </c>
      <c r="CY130" s="16" t="s">
        <v>233</v>
      </c>
      <c r="CZ130" s="20">
        <f t="shared" si="27"/>
        <v>0.32400000000000001</v>
      </c>
      <c r="DA130" s="20">
        <f t="shared" si="28"/>
        <v>0.45500000000000002</v>
      </c>
      <c r="DB130" s="16" t="s">
        <v>233</v>
      </c>
      <c r="DZ130" s="1">
        <v>-1.6</v>
      </c>
      <c r="EA130" s="1">
        <v>3.3</v>
      </c>
      <c r="EB130" s="1">
        <v>-7.3</v>
      </c>
      <c r="EC130" s="1">
        <v>0</v>
      </c>
    </row>
    <row r="131" spans="1:133" x14ac:dyDescent="0.2">
      <c r="A131" s="40">
        <v>35189</v>
      </c>
      <c r="B131" s="34">
        <v>125</v>
      </c>
      <c r="C131" s="34"/>
      <c r="D131" s="34"/>
      <c r="E131" s="55">
        <f t="shared" si="29"/>
        <v>-0.4</v>
      </c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41"/>
      <c r="Q131" s="34"/>
      <c r="R131" s="55">
        <f t="shared" si="30"/>
        <v>3.8</v>
      </c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41"/>
      <c r="AE131" s="34"/>
      <c r="AF131" s="55">
        <f t="shared" si="31"/>
        <v>-2.9</v>
      </c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"/>
      <c r="BE131" s="3"/>
      <c r="BF131" s="3"/>
      <c r="BH131" s="16">
        <v>28.99</v>
      </c>
      <c r="BI131" s="16">
        <f t="shared" si="21"/>
        <v>58.559799999999996</v>
      </c>
      <c r="BJ131" s="17"/>
      <c r="BK131" s="17"/>
      <c r="BP131" s="57">
        <f t="shared" si="22"/>
        <v>0.49299999999999999</v>
      </c>
      <c r="BQ131" s="57">
        <f t="shared" si="23"/>
        <v>0.309</v>
      </c>
      <c r="BT131" s="8"/>
      <c r="BV131" s="16" t="s">
        <v>233</v>
      </c>
      <c r="BW131" s="16" t="s">
        <v>233</v>
      </c>
      <c r="BX131" s="3">
        <f t="shared" si="24"/>
        <v>-0.4</v>
      </c>
      <c r="BY131" s="16" t="s">
        <v>233</v>
      </c>
      <c r="BZ131" s="16" t="s">
        <v>233</v>
      </c>
      <c r="CA131" s="16" t="s">
        <v>233</v>
      </c>
      <c r="CB131" s="16" t="s">
        <v>233</v>
      </c>
      <c r="CC131" s="16" t="s">
        <v>233</v>
      </c>
      <c r="CD131" s="16" t="s">
        <v>233</v>
      </c>
      <c r="CE131" s="16" t="s">
        <v>233</v>
      </c>
      <c r="CF131" s="1">
        <f t="shared" si="25"/>
        <v>3.8</v>
      </c>
      <c r="CG131" s="16" t="s">
        <v>233</v>
      </c>
      <c r="CH131" s="16" t="s">
        <v>233</v>
      </c>
      <c r="CI131" s="16" t="s">
        <v>233</v>
      </c>
      <c r="CJ131" s="16" t="s">
        <v>233</v>
      </c>
      <c r="CK131" s="16" t="s">
        <v>233</v>
      </c>
      <c r="CL131" s="16" t="s">
        <v>233</v>
      </c>
      <c r="CM131" s="16" t="s">
        <v>233</v>
      </c>
      <c r="CN131" s="1">
        <f t="shared" si="26"/>
        <v>-2.9</v>
      </c>
      <c r="CO131" s="16" t="s">
        <v>233</v>
      </c>
      <c r="CP131" s="16" t="s">
        <v>233</v>
      </c>
      <c r="CQ131" s="16" t="s">
        <v>233</v>
      </c>
      <c r="CR131" s="16" t="s">
        <v>233</v>
      </c>
      <c r="CS131" s="16" t="s">
        <v>233</v>
      </c>
      <c r="CT131" s="16" t="s">
        <v>233</v>
      </c>
      <c r="CU131" s="16" t="s">
        <v>233</v>
      </c>
      <c r="CV131" s="18" t="s">
        <v>233</v>
      </c>
      <c r="CW131" s="1">
        <f>ROUND(PPTest!K131,1)</f>
        <v>2.4</v>
      </c>
      <c r="CX131" s="16" t="s">
        <v>233</v>
      </c>
      <c r="CY131" s="16" t="s">
        <v>233</v>
      </c>
      <c r="CZ131" s="20">
        <f t="shared" si="27"/>
        <v>0.49299999999999999</v>
      </c>
      <c r="DA131" s="20">
        <f t="shared" si="28"/>
        <v>0.309</v>
      </c>
      <c r="DB131" s="16" t="s">
        <v>233</v>
      </c>
      <c r="DZ131" s="1">
        <v>0</v>
      </c>
      <c r="EA131" s="1">
        <v>3.8</v>
      </c>
      <c r="EB131" s="1">
        <v>-2.2999999999999998</v>
      </c>
      <c r="EC131" s="1">
        <v>2.4</v>
      </c>
    </row>
    <row r="132" spans="1:133" x14ac:dyDescent="0.2">
      <c r="A132" s="40">
        <v>35190</v>
      </c>
      <c r="B132" s="34">
        <v>126</v>
      </c>
      <c r="C132" s="34"/>
      <c r="D132" s="34"/>
      <c r="E132" s="55">
        <f t="shared" ref="E132:E137" si="32">ROUND(1.02*DZ132-0.4,1)</f>
        <v>1</v>
      </c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41"/>
      <c r="Q132" s="34"/>
      <c r="R132" s="55">
        <f t="shared" ref="R132:R137" si="33">ROUND(0.96*EA132+0.2,1)</f>
        <v>8.1999999999999993</v>
      </c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41"/>
      <c r="AE132" s="34"/>
      <c r="AF132" s="55">
        <f t="shared" ref="AF132:AF137" si="34">ROUND(1.1*EB132-0.4,1)</f>
        <v>-4.3</v>
      </c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"/>
      <c r="BE132" s="3"/>
      <c r="BF132" s="3"/>
      <c r="BH132" s="16">
        <v>29.17</v>
      </c>
      <c r="BI132" s="16">
        <f t="shared" si="21"/>
        <v>58.923400000000001</v>
      </c>
      <c r="BJ132" s="17"/>
      <c r="BK132" s="17"/>
      <c r="BP132" s="57">
        <f t="shared" si="22"/>
        <v>0.44400000000000001</v>
      </c>
      <c r="BQ132" s="57">
        <f t="shared" si="23"/>
        <v>0.64300000000000002</v>
      </c>
      <c r="BT132" s="8"/>
      <c r="BV132" s="16" t="s">
        <v>233</v>
      </c>
      <c r="BW132" s="16" t="s">
        <v>233</v>
      </c>
      <c r="BX132" s="3">
        <f t="shared" si="24"/>
        <v>1</v>
      </c>
      <c r="BY132" s="16" t="s">
        <v>233</v>
      </c>
      <c r="BZ132" s="16" t="s">
        <v>233</v>
      </c>
      <c r="CA132" s="16" t="s">
        <v>233</v>
      </c>
      <c r="CB132" s="16" t="s">
        <v>233</v>
      </c>
      <c r="CC132" s="16" t="s">
        <v>233</v>
      </c>
      <c r="CD132" s="16" t="s">
        <v>233</v>
      </c>
      <c r="CE132" s="16" t="s">
        <v>233</v>
      </c>
      <c r="CF132" s="1">
        <f t="shared" si="25"/>
        <v>8.1999999999999993</v>
      </c>
      <c r="CG132" s="16" t="s">
        <v>233</v>
      </c>
      <c r="CH132" s="16" t="s">
        <v>233</v>
      </c>
      <c r="CI132" s="16" t="s">
        <v>233</v>
      </c>
      <c r="CJ132" s="16" t="s">
        <v>233</v>
      </c>
      <c r="CK132" s="16" t="s">
        <v>233</v>
      </c>
      <c r="CL132" s="16" t="s">
        <v>233</v>
      </c>
      <c r="CM132" s="16" t="s">
        <v>233</v>
      </c>
      <c r="CN132" s="1">
        <f t="shared" si="26"/>
        <v>-4.3</v>
      </c>
      <c r="CO132" s="16" t="s">
        <v>233</v>
      </c>
      <c r="CP132" s="16" t="s">
        <v>233</v>
      </c>
      <c r="CQ132" s="16" t="s">
        <v>233</v>
      </c>
      <c r="CR132" s="16" t="s">
        <v>233</v>
      </c>
      <c r="CS132" s="16" t="s">
        <v>233</v>
      </c>
      <c r="CT132" s="16" t="s">
        <v>233</v>
      </c>
      <c r="CU132" s="16" t="s">
        <v>233</v>
      </c>
      <c r="CV132" s="18" t="s">
        <v>233</v>
      </c>
      <c r="CW132" s="1">
        <f>ROUND(PPTest!K132,1)</f>
        <v>1.7</v>
      </c>
      <c r="CX132" s="16" t="s">
        <v>233</v>
      </c>
      <c r="CY132" s="16" t="s">
        <v>233</v>
      </c>
      <c r="CZ132" s="20">
        <f t="shared" si="27"/>
        <v>0.44400000000000001</v>
      </c>
      <c r="DA132" s="20">
        <f t="shared" si="28"/>
        <v>0.64300000000000002</v>
      </c>
      <c r="DB132" s="16" t="s">
        <v>233</v>
      </c>
      <c r="DZ132" s="1">
        <v>1.4</v>
      </c>
      <c r="EA132" s="1">
        <v>8.3000000000000007</v>
      </c>
      <c r="EB132" s="1">
        <v>-3.5</v>
      </c>
      <c r="EC132" s="1">
        <v>1.7</v>
      </c>
    </row>
    <row r="133" spans="1:133" x14ac:dyDescent="0.2">
      <c r="A133" s="40">
        <v>35191</v>
      </c>
      <c r="B133" s="34">
        <v>127</v>
      </c>
      <c r="C133" s="34"/>
      <c r="D133" s="34"/>
      <c r="E133" s="55">
        <f t="shared" si="32"/>
        <v>0.4</v>
      </c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41"/>
      <c r="Q133" s="34"/>
      <c r="R133" s="55">
        <f t="shared" si="33"/>
        <v>5.0999999999999996</v>
      </c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41"/>
      <c r="AE133" s="34"/>
      <c r="AF133" s="55">
        <f t="shared" si="34"/>
        <v>-5.7</v>
      </c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"/>
      <c r="BE133" s="3"/>
      <c r="BF133" s="3"/>
      <c r="BH133" s="16">
        <v>29.35</v>
      </c>
      <c r="BI133" s="16">
        <f t="shared" si="21"/>
        <v>59.287000000000006</v>
      </c>
      <c r="BJ133" s="17"/>
      <c r="BK133" s="17"/>
      <c r="BP133" s="57">
        <f t="shared" si="22"/>
        <v>0.39900000000000002</v>
      </c>
      <c r="BQ133" s="57">
        <f t="shared" si="23"/>
        <v>0.47899999999999998</v>
      </c>
      <c r="BT133" s="8"/>
      <c r="BV133" s="16" t="s">
        <v>233</v>
      </c>
      <c r="BW133" s="16" t="s">
        <v>233</v>
      </c>
      <c r="BX133" s="3">
        <f t="shared" si="24"/>
        <v>0.4</v>
      </c>
      <c r="BY133" s="16" t="s">
        <v>233</v>
      </c>
      <c r="BZ133" s="16" t="s">
        <v>233</v>
      </c>
      <c r="CA133" s="16" t="s">
        <v>233</v>
      </c>
      <c r="CB133" s="16" t="s">
        <v>233</v>
      </c>
      <c r="CC133" s="16" t="s">
        <v>233</v>
      </c>
      <c r="CD133" s="16" t="s">
        <v>233</v>
      </c>
      <c r="CE133" s="16" t="s">
        <v>233</v>
      </c>
      <c r="CF133" s="1">
        <f t="shared" si="25"/>
        <v>5.0999999999999996</v>
      </c>
      <c r="CG133" s="16" t="s">
        <v>233</v>
      </c>
      <c r="CH133" s="16" t="s">
        <v>233</v>
      </c>
      <c r="CI133" s="16" t="s">
        <v>233</v>
      </c>
      <c r="CJ133" s="16" t="s">
        <v>233</v>
      </c>
      <c r="CK133" s="16" t="s">
        <v>233</v>
      </c>
      <c r="CL133" s="16" t="s">
        <v>233</v>
      </c>
      <c r="CM133" s="16" t="s">
        <v>233</v>
      </c>
      <c r="CN133" s="1">
        <f t="shared" si="26"/>
        <v>-5.7</v>
      </c>
      <c r="CO133" s="16" t="s">
        <v>233</v>
      </c>
      <c r="CP133" s="16" t="s">
        <v>233</v>
      </c>
      <c r="CQ133" s="16" t="s">
        <v>233</v>
      </c>
      <c r="CR133" s="16" t="s">
        <v>233</v>
      </c>
      <c r="CS133" s="16" t="s">
        <v>233</v>
      </c>
      <c r="CT133" s="16" t="s">
        <v>233</v>
      </c>
      <c r="CU133" s="16" t="s">
        <v>233</v>
      </c>
      <c r="CV133" s="18" t="s">
        <v>233</v>
      </c>
      <c r="CW133" s="1">
        <f>ROUND(PPTest!K133,1)</f>
        <v>0.3</v>
      </c>
      <c r="CX133" s="16" t="s">
        <v>233</v>
      </c>
      <c r="CY133" s="16" t="s">
        <v>233</v>
      </c>
      <c r="CZ133" s="20">
        <f t="shared" si="27"/>
        <v>0.39900000000000002</v>
      </c>
      <c r="DA133" s="20">
        <f t="shared" si="28"/>
        <v>0.47899999999999998</v>
      </c>
      <c r="DB133" s="16" t="s">
        <v>233</v>
      </c>
      <c r="DZ133" s="1">
        <v>0.8</v>
      </c>
      <c r="EA133" s="1">
        <v>5.0999999999999996</v>
      </c>
      <c r="EB133" s="1">
        <v>-4.8</v>
      </c>
      <c r="EC133" s="1">
        <v>0.3</v>
      </c>
    </row>
    <row r="134" spans="1:133" x14ac:dyDescent="0.2">
      <c r="A134" s="40">
        <v>35192</v>
      </c>
      <c r="B134" s="34">
        <v>128</v>
      </c>
      <c r="C134" s="34"/>
      <c r="D134" s="34"/>
      <c r="E134" s="55">
        <f t="shared" si="32"/>
        <v>-3.1</v>
      </c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41"/>
      <c r="Q134" s="34"/>
      <c r="R134" s="55">
        <f t="shared" si="33"/>
        <v>2.5</v>
      </c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41"/>
      <c r="AE134" s="34"/>
      <c r="AF134" s="55">
        <f t="shared" si="34"/>
        <v>-6</v>
      </c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"/>
      <c r="BE134" s="3"/>
      <c r="BF134" s="3"/>
      <c r="BH134" s="16">
        <v>29.53</v>
      </c>
      <c r="BI134" s="16">
        <f t="shared" si="21"/>
        <v>59.650600000000004</v>
      </c>
      <c r="BJ134" s="17"/>
      <c r="BK134" s="17"/>
      <c r="BP134" s="57">
        <f t="shared" si="22"/>
        <v>0.39</v>
      </c>
      <c r="BQ134" s="57">
        <f t="shared" si="23"/>
        <v>0.34100000000000003</v>
      </c>
      <c r="BT134" s="8"/>
      <c r="BV134" s="16" t="s">
        <v>233</v>
      </c>
      <c r="BW134" s="16" t="s">
        <v>233</v>
      </c>
      <c r="BX134" s="3">
        <f t="shared" si="24"/>
        <v>-3.1</v>
      </c>
      <c r="BY134" s="16" t="s">
        <v>233</v>
      </c>
      <c r="BZ134" s="16" t="s">
        <v>233</v>
      </c>
      <c r="CA134" s="16" t="s">
        <v>233</v>
      </c>
      <c r="CB134" s="16" t="s">
        <v>233</v>
      </c>
      <c r="CC134" s="16" t="s">
        <v>233</v>
      </c>
      <c r="CD134" s="16" t="s">
        <v>233</v>
      </c>
      <c r="CE134" s="16" t="s">
        <v>233</v>
      </c>
      <c r="CF134" s="1">
        <f t="shared" si="25"/>
        <v>2.5</v>
      </c>
      <c r="CG134" s="16" t="s">
        <v>233</v>
      </c>
      <c r="CH134" s="16" t="s">
        <v>233</v>
      </c>
      <c r="CI134" s="16" t="s">
        <v>233</v>
      </c>
      <c r="CJ134" s="16" t="s">
        <v>233</v>
      </c>
      <c r="CK134" s="16" t="s">
        <v>233</v>
      </c>
      <c r="CL134" s="16" t="s">
        <v>233</v>
      </c>
      <c r="CM134" s="16" t="s">
        <v>233</v>
      </c>
      <c r="CN134" s="1">
        <f t="shared" si="26"/>
        <v>-6</v>
      </c>
      <c r="CO134" s="16" t="s">
        <v>233</v>
      </c>
      <c r="CP134" s="16" t="s">
        <v>233</v>
      </c>
      <c r="CQ134" s="16" t="s">
        <v>233</v>
      </c>
      <c r="CR134" s="16" t="s">
        <v>233</v>
      </c>
      <c r="CS134" s="16" t="s">
        <v>233</v>
      </c>
      <c r="CT134" s="16" t="s">
        <v>233</v>
      </c>
      <c r="CU134" s="16" t="s">
        <v>233</v>
      </c>
      <c r="CV134" s="18" t="s">
        <v>233</v>
      </c>
      <c r="CW134" s="1">
        <f>ROUND(PPTest!K134,1)</f>
        <v>12.3</v>
      </c>
      <c r="CX134" s="16" t="s">
        <v>233</v>
      </c>
      <c r="CY134" s="16" t="s">
        <v>233</v>
      </c>
      <c r="CZ134" s="20">
        <f t="shared" si="27"/>
        <v>0.39</v>
      </c>
      <c r="DA134" s="20">
        <f t="shared" si="28"/>
        <v>0.34100000000000003</v>
      </c>
      <c r="DB134" s="16" t="s">
        <v>233</v>
      </c>
      <c r="DZ134" s="1">
        <v>-2.6</v>
      </c>
      <c r="EA134" s="1">
        <v>2.4</v>
      </c>
      <c r="EB134" s="1">
        <v>-5.0999999999999996</v>
      </c>
      <c r="EC134" s="1">
        <v>12.3</v>
      </c>
    </row>
    <row r="135" spans="1:133" x14ac:dyDescent="0.2">
      <c r="A135" s="40">
        <v>35193</v>
      </c>
      <c r="B135" s="34">
        <v>129</v>
      </c>
      <c r="C135" s="34"/>
      <c r="D135" s="34"/>
      <c r="E135" s="55">
        <f t="shared" si="32"/>
        <v>-4.3</v>
      </c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41"/>
      <c r="Q135" s="34"/>
      <c r="R135" s="55">
        <f t="shared" si="33"/>
        <v>2.8</v>
      </c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41"/>
      <c r="AE135" s="34"/>
      <c r="AF135" s="55">
        <f t="shared" si="34"/>
        <v>-11.5</v>
      </c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"/>
      <c r="BE135" s="3"/>
      <c r="BF135" s="3"/>
      <c r="BH135" s="16">
        <v>29.69</v>
      </c>
      <c r="BI135" s="16">
        <f t="shared" ref="BI135:BI198" si="35">BH135*$BI$1</f>
        <v>59.973800000000004</v>
      </c>
      <c r="BJ135" s="17"/>
      <c r="BK135" s="17"/>
      <c r="BP135" s="57">
        <f t="shared" ref="BP135:BP136" si="36">ROUND(0.6105*(EXP((17.273*AF135)/(AF135+237.3))), 3)</f>
        <v>0.253</v>
      </c>
      <c r="BQ135" s="57">
        <f t="shared" si="23"/>
        <v>0.49399999999999999</v>
      </c>
      <c r="BT135" s="8"/>
      <c r="BV135" s="16" t="s">
        <v>233</v>
      </c>
      <c r="BW135" s="16" t="s">
        <v>233</v>
      </c>
      <c r="BX135" s="3">
        <f t="shared" si="24"/>
        <v>-4.3</v>
      </c>
      <c r="BY135" s="16" t="s">
        <v>233</v>
      </c>
      <c r="BZ135" s="16" t="s">
        <v>233</v>
      </c>
      <c r="CA135" s="16" t="s">
        <v>233</v>
      </c>
      <c r="CB135" s="16" t="s">
        <v>233</v>
      </c>
      <c r="CC135" s="16" t="s">
        <v>233</v>
      </c>
      <c r="CD135" s="16" t="s">
        <v>233</v>
      </c>
      <c r="CE135" s="16" t="s">
        <v>233</v>
      </c>
      <c r="CF135" s="1">
        <f t="shared" si="25"/>
        <v>2.8</v>
      </c>
      <c r="CG135" s="16" t="s">
        <v>233</v>
      </c>
      <c r="CH135" s="16" t="s">
        <v>233</v>
      </c>
      <c r="CI135" s="16" t="s">
        <v>233</v>
      </c>
      <c r="CJ135" s="16" t="s">
        <v>233</v>
      </c>
      <c r="CK135" s="16" t="s">
        <v>233</v>
      </c>
      <c r="CL135" s="16" t="s">
        <v>233</v>
      </c>
      <c r="CM135" s="16" t="s">
        <v>233</v>
      </c>
      <c r="CN135" s="1">
        <f t="shared" si="26"/>
        <v>-11.5</v>
      </c>
      <c r="CO135" s="16" t="s">
        <v>233</v>
      </c>
      <c r="CP135" s="16" t="s">
        <v>233</v>
      </c>
      <c r="CQ135" s="16" t="s">
        <v>233</v>
      </c>
      <c r="CR135" s="16" t="s">
        <v>233</v>
      </c>
      <c r="CS135" s="16" t="s">
        <v>233</v>
      </c>
      <c r="CT135" s="16" t="s">
        <v>233</v>
      </c>
      <c r="CU135" s="16" t="s">
        <v>233</v>
      </c>
      <c r="CV135" s="18" t="s">
        <v>233</v>
      </c>
      <c r="CW135" s="1">
        <f>ROUND(PPTest!K135,1)</f>
        <v>12.3</v>
      </c>
      <c r="CX135" s="16" t="s">
        <v>233</v>
      </c>
      <c r="CY135" s="16" t="s">
        <v>233</v>
      </c>
      <c r="CZ135" s="20">
        <f t="shared" si="27"/>
        <v>0.253</v>
      </c>
      <c r="DA135" s="20">
        <f t="shared" si="28"/>
        <v>0.49399999999999999</v>
      </c>
      <c r="DB135" s="16" t="s">
        <v>233</v>
      </c>
      <c r="DZ135" s="1">
        <v>-3.8</v>
      </c>
      <c r="EA135" s="1">
        <v>2.7</v>
      </c>
      <c r="EB135" s="1">
        <v>-10.1</v>
      </c>
      <c r="EC135" s="1">
        <v>12.3</v>
      </c>
    </row>
    <row r="136" spans="1:133" x14ac:dyDescent="0.2">
      <c r="A136" s="40">
        <v>35194</v>
      </c>
      <c r="B136" s="34">
        <v>130</v>
      </c>
      <c r="C136" s="34"/>
      <c r="D136" s="34"/>
      <c r="E136" s="55">
        <f t="shared" si="32"/>
        <v>-2.4</v>
      </c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41"/>
      <c r="Q136" s="34"/>
      <c r="R136" s="55">
        <f t="shared" si="33"/>
        <v>5.5</v>
      </c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41"/>
      <c r="AE136" s="34"/>
      <c r="AF136" s="55">
        <f t="shared" si="34"/>
        <v>-9.6</v>
      </c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"/>
      <c r="BE136" s="3"/>
      <c r="BF136" s="3"/>
      <c r="BH136" s="16">
        <v>29.87</v>
      </c>
      <c r="BI136" s="16">
        <f t="shared" si="35"/>
        <v>60.337400000000002</v>
      </c>
      <c r="BJ136" s="17"/>
      <c r="BK136" s="17"/>
      <c r="BP136" s="57">
        <f t="shared" si="36"/>
        <v>0.29499999999999998</v>
      </c>
      <c r="BQ136" s="57">
        <f t="shared" ref="BQ136:BQ137" si="37">ROUND(0.6105*(EXP((17.273*R136)/(R136+237.3)))-BP136, 3)</f>
        <v>0.60799999999999998</v>
      </c>
      <c r="BT136" s="8"/>
      <c r="BV136" s="16" t="s">
        <v>233</v>
      </c>
      <c r="BW136" s="16" t="s">
        <v>233</v>
      </c>
      <c r="BX136" s="3">
        <f t="shared" ref="BX136:BX199" si="38">ROUND(E136,1)</f>
        <v>-2.4</v>
      </c>
      <c r="BY136" s="16" t="s">
        <v>233</v>
      </c>
      <c r="BZ136" s="16" t="s">
        <v>233</v>
      </c>
      <c r="CA136" s="16" t="s">
        <v>233</v>
      </c>
      <c r="CB136" s="16" t="s">
        <v>233</v>
      </c>
      <c r="CC136" s="16" t="s">
        <v>233</v>
      </c>
      <c r="CD136" s="16" t="s">
        <v>233</v>
      </c>
      <c r="CE136" s="16" t="s">
        <v>233</v>
      </c>
      <c r="CF136" s="1">
        <f t="shared" ref="CF136:CF199" si="39">ROUND(R136,1)</f>
        <v>5.5</v>
      </c>
      <c r="CG136" s="16" t="s">
        <v>233</v>
      </c>
      <c r="CH136" s="16" t="s">
        <v>233</v>
      </c>
      <c r="CI136" s="16" t="s">
        <v>233</v>
      </c>
      <c r="CJ136" s="16" t="s">
        <v>233</v>
      </c>
      <c r="CK136" s="16" t="s">
        <v>233</v>
      </c>
      <c r="CL136" s="16" t="s">
        <v>233</v>
      </c>
      <c r="CM136" s="16" t="s">
        <v>233</v>
      </c>
      <c r="CN136" s="1">
        <f t="shared" ref="CN136:CN199" si="40">ROUND(AF136,1)</f>
        <v>-9.6</v>
      </c>
      <c r="CO136" s="16" t="s">
        <v>233</v>
      </c>
      <c r="CP136" s="16" t="s">
        <v>233</v>
      </c>
      <c r="CQ136" s="16" t="s">
        <v>233</v>
      </c>
      <c r="CR136" s="16" t="s">
        <v>233</v>
      </c>
      <c r="CS136" s="16" t="s">
        <v>233</v>
      </c>
      <c r="CT136" s="16" t="s">
        <v>233</v>
      </c>
      <c r="CU136" s="16" t="s">
        <v>233</v>
      </c>
      <c r="CV136" s="18" t="s">
        <v>233</v>
      </c>
      <c r="CW136" s="1">
        <f>ROUND(PPTest!K136,1)</f>
        <v>0</v>
      </c>
      <c r="CX136" s="16" t="s">
        <v>233</v>
      </c>
      <c r="CY136" s="16" t="s">
        <v>233</v>
      </c>
      <c r="CZ136" s="20">
        <f t="shared" ref="CZ136:CZ199" si="41">BP136</f>
        <v>0.29499999999999998</v>
      </c>
      <c r="DA136" s="20">
        <f t="shared" ref="DA136:DA199" si="42">BQ136</f>
        <v>0.60799999999999998</v>
      </c>
      <c r="DB136" s="16" t="s">
        <v>233</v>
      </c>
      <c r="DZ136" s="1">
        <v>-2</v>
      </c>
      <c r="EA136" s="1">
        <v>5.5</v>
      </c>
      <c r="EB136" s="1">
        <v>-8.4</v>
      </c>
      <c r="EC136" s="1">
        <v>0</v>
      </c>
    </row>
    <row r="137" spans="1:133" x14ac:dyDescent="0.2">
      <c r="A137" s="40">
        <v>35195</v>
      </c>
      <c r="B137" s="34">
        <v>131</v>
      </c>
      <c r="C137" s="34"/>
      <c r="D137" s="34"/>
      <c r="E137" s="55">
        <f t="shared" si="32"/>
        <v>-0.9</v>
      </c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41"/>
      <c r="Q137" s="34"/>
      <c r="R137" s="55">
        <f t="shared" si="33"/>
        <v>4.3</v>
      </c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41"/>
      <c r="AE137" s="34"/>
      <c r="AF137" s="55">
        <f t="shared" si="34"/>
        <v>-4.9000000000000004</v>
      </c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"/>
      <c r="BE137" s="3"/>
      <c r="BF137" s="3"/>
      <c r="BH137" s="16">
        <v>30.03</v>
      </c>
      <c r="BI137" s="16">
        <f t="shared" si="35"/>
        <v>60.660600000000002</v>
      </c>
      <c r="BJ137" s="17"/>
      <c r="BK137" s="17"/>
      <c r="BP137" s="57">
        <f>ROUND(0.6105*(EXP((17.273*AF137)/(AF137+237.3))), 3)</f>
        <v>0.42399999999999999</v>
      </c>
      <c r="BQ137" s="57">
        <f t="shared" si="37"/>
        <v>0.40600000000000003</v>
      </c>
      <c r="BS137" s="1">
        <v>0.5</v>
      </c>
      <c r="BT137" s="8"/>
      <c r="BV137" s="16" t="s">
        <v>233</v>
      </c>
      <c r="BW137" s="16" t="s">
        <v>233</v>
      </c>
      <c r="BX137" s="3">
        <f t="shared" si="38"/>
        <v>-0.9</v>
      </c>
      <c r="BY137" s="16" t="s">
        <v>233</v>
      </c>
      <c r="BZ137" s="16" t="s">
        <v>233</v>
      </c>
      <c r="CA137" s="16" t="s">
        <v>233</v>
      </c>
      <c r="CB137" s="16" t="s">
        <v>233</v>
      </c>
      <c r="CC137" s="16" t="s">
        <v>233</v>
      </c>
      <c r="CD137" s="16" t="s">
        <v>233</v>
      </c>
      <c r="CE137" s="16" t="s">
        <v>233</v>
      </c>
      <c r="CF137" s="1">
        <f t="shared" si="39"/>
        <v>4.3</v>
      </c>
      <c r="CG137" s="16" t="s">
        <v>233</v>
      </c>
      <c r="CH137" s="16" t="s">
        <v>233</v>
      </c>
      <c r="CI137" s="16" t="s">
        <v>233</v>
      </c>
      <c r="CJ137" s="16" t="s">
        <v>233</v>
      </c>
      <c r="CK137" s="16" t="s">
        <v>233</v>
      </c>
      <c r="CL137" s="16" t="s">
        <v>233</v>
      </c>
      <c r="CM137" s="16" t="s">
        <v>233</v>
      </c>
      <c r="CN137" s="1">
        <f t="shared" si="40"/>
        <v>-4.9000000000000004</v>
      </c>
      <c r="CO137" s="16" t="s">
        <v>233</v>
      </c>
      <c r="CP137" s="16" t="s">
        <v>233</v>
      </c>
      <c r="CQ137" s="16" t="s">
        <v>233</v>
      </c>
      <c r="CR137" s="16" t="s">
        <v>233</v>
      </c>
      <c r="CS137" s="16" t="s">
        <v>233</v>
      </c>
      <c r="CT137" s="16" t="s">
        <v>233</v>
      </c>
      <c r="CU137" s="16" t="s">
        <v>233</v>
      </c>
      <c r="CV137" s="18" t="s">
        <v>233</v>
      </c>
      <c r="CW137" s="1">
        <f>ROUND(PPTest!K137,1)</f>
        <v>0.5</v>
      </c>
      <c r="CX137" s="16" t="s">
        <v>233</v>
      </c>
      <c r="CY137" s="16" t="s">
        <v>233</v>
      </c>
      <c r="CZ137" s="20">
        <f t="shared" si="41"/>
        <v>0.42399999999999999</v>
      </c>
      <c r="DA137" s="20">
        <f t="shared" si="42"/>
        <v>0.40600000000000003</v>
      </c>
      <c r="DB137" s="16" t="s">
        <v>233</v>
      </c>
      <c r="DZ137" s="1">
        <v>-0.5</v>
      </c>
      <c r="EA137" s="1">
        <v>4.3</v>
      </c>
      <c r="EB137" s="1">
        <v>-4.0999999999999996</v>
      </c>
      <c r="EC137" s="1">
        <v>0</v>
      </c>
    </row>
    <row r="138" spans="1:133" x14ac:dyDescent="0.2">
      <c r="A138" s="40">
        <v>35196</v>
      </c>
      <c r="B138" s="34">
        <v>132</v>
      </c>
      <c r="C138" s="34"/>
      <c r="D138" s="34"/>
      <c r="E138" s="49">
        <f>ROUND(DD138*0.75-0.6,1)</f>
        <v>1.3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6"/>
      <c r="Q138" s="3"/>
      <c r="R138" s="49">
        <f>ROUND(DE138*0.95-1.2,1)</f>
        <v>5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16"/>
      <c r="AE138" s="3"/>
      <c r="AF138" s="49">
        <f>ROUND(DF138*0.76-3.6,1)</f>
        <v>-4.4000000000000004</v>
      </c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"/>
      <c r="BE138" s="3"/>
      <c r="BF138" s="3"/>
      <c r="BH138" s="16">
        <v>30.19</v>
      </c>
      <c r="BI138" s="16">
        <f t="shared" si="35"/>
        <v>60.983800000000002</v>
      </c>
      <c r="BJ138" s="17"/>
      <c r="BK138" s="17"/>
      <c r="BO138" s="50">
        <f t="shared" ref="BO138:BO142" si="43">ROUND(DH138*0.85+1,0)</f>
        <v>57</v>
      </c>
      <c r="BP138" s="56">
        <f>ROUND(0.6105*(EXP((17.273*R138)/(R138+237.3)))*BO138/100, 3)</f>
        <v>0.497</v>
      </c>
      <c r="BQ138" s="56">
        <f>ROUND((100-BO138)*BP138/BO138,3)</f>
        <v>0.375</v>
      </c>
      <c r="BS138" s="1">
        <v>1.8</v>
      </c>
      <c r="BT138" s="8"/>
      <c r="BV138" s="16" t="s">
        <v>233</v>
      </c>
      <c r="BW138" s="16" t="s">
        <v>233</v>
      </c>
      <c r="BX138" s="3">
        <f t="shared" si="38"/>
        <v>1.3</v>
      </c>
      <c r="BY138" s="16" t="s">
        <v>233</v>
      </c>
      <c r="BZ138" s="16" t="s">
        <v>233</v>
      </c>
      <c r="CA138" s="16" t="s">
        <v>233</v>
      </c>
      <c r="CB138" s="16" t="s">
        <v>233</v>
      </c>
      <c r="CC138" s="16" t="s">
        <v>233</v>
      </c>
      <c r="CD138" s="16" t="s">
        <v>233</v>
      </c>
      <c r="CE138" s="16" t="s">
        <v>233</v>
      </c>
      <c r="CF138" s="1">
        <f t="shared" si="39"/>
        <v>5</v>
      </c>
      <c r="CG138" s="16" t="s">
        <v>233</v>
      </c>
      <c r="CH138" s="16" t="s">
        <v>233</v>
      </c>
      <c r="CI138" s="16" t="s">
        <v>233</v>
      </c>
      <c r="CJ138" s="16" t="s">
        <v>233</v>
      </c>
      <c r="CK138" s="16" t="s">
        <v>233</v>
      </c>
      <c r="CL138" s="16" t="s">
        <v>233</v>
      </c>
      <c r="CM138" s="16" t="s">
        <v>233</v>
      </c>
      <c r="CN138" s="1">
        <f t="shared" si="40"/>
        <v>-4.4000000000000004</v>
      </c>
      <c r="CO138" s="16" t="s">
        <v>233</v>
      </c>
      <c r="CP138" s="16" t="s">
        <v>233</v>
      </c>
      <c r="CQ138" s="16" t="s">
        <v>233</v>
      </c>
      <c r="CR138" s="16" t="s">
        <v>233</v>
      </c>
      <c r="CS138" s="16" t="s">
        <v>233</v>
      </c>
      <c r="CT138" s="16" t="s">
        <v>233</v>
      </c>
      <c r="CU138" s="2">
        <f t="shared" ref="CU138:CU169" si="44">ROUND(BO138,1)</f>
        <v>57</v>
      </c>
      <c r="CV138" s="18" t="s">
        <v>233</v>
      </c>
      <c r="CW138" s="1">
        <f>ROUND(PPTest!K138,1)</f>
        <v>1.9</v>
      </c>
      <c r="CX138" s="16" t="s">
        <v>233</v>
      </c>
      <c r="CY138" s="16" t="s">
        <v>233</v>
      </c>
      <c r="CZ138" s="20">
        <f t="shared" si="41"/>
        <v>0.497</v>
      </c>
      <c r="DA138" s="20">
        <f t="shared" si="42"/>
        <v>0.375</v>
      </c>
      <c r="DB138" s="16" t="s">
        <v>233</v>
      </c>
      <c r="DD138" s="1">
        <v>2.5291666666666663</v>
      </c>
      <c r="DE138" s="1">
        <v>6.5</v>
      </c>
      <c r="DF138" s="1">
        <v>-1</v>
      </c>
      <c r="DG138" s="1">
        <v>86.791666666666671</v>
      </c>
      <c r="DH138" s="1">
        <v>66</v>
      </c>
      <c r="DZ138" s="1">
        <v>0.1</v>
      </c>
      <c r="EA138" s="1">
        <v>3.8</v>
      </c>
      <c r="EB138" s="1">
        <v>-4.9000000000000004</v>
      </c>
      <c r="EC138" s="1">
        <v>1.3</v>
      </c>
    </row>
    <row r="139" spans="1:133" x14ac:dyDescent="0.2">
      <c r="A139" s="40">
        <v>35197</v>
      </c>
      <c r="B139" s="34">
        <v>133</v>
      </c>
      <c r="C139" s="34"/>
      <c r="D139" s="34"/>
      <c r="E139" s="49">
        <f t="shared" ref="E139:E142" si="45">ROUND(DD139*0.75-0.6,1)</f>
        <v>3.6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6"/>
      <c r="Q139" s="3"/>
      <c r="R139" s="49">
        <f t="shared" ref="R139:R142" si="46">ROUND(DE139*0.95-1.2,1)</f>
        <v>7.3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16"/>
      <c r="AE139" s="3"/>
      <c r="AF139" s="49">
        <f t="shared" ref="AF139:AF142" si="47">ROUND(DF139*0.76-3.6,1)</f>
        <v>-2.2000000000000002</v>
      </c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"/>
      <c r="BE139" s="3"/>
      <c r="BF139" s="3"/>
      <c r="BH139" s="16">
        <v>30.35</v>
      </c>
      <c r="BI139" s="16">
        <f t="shared" si="35"/>
        <v>61.307000000000002</v>
      </c>
      <c r="BJ139" s="17"/>
      <c r="BK139" s="17"/>
      <c r="BO139" s="50">
        <f t="shared" si="43"/>
        <v>70</v>
      </c>
      <c r="BP139" s="56">
        <f t="shared" ref="BP139:BP142" si="48">ROUND(0.6105*(EXP((17.273*R139)/(R139+237.3)))*BO139/100, 3)</f>
        <v>0.71599999999999997</v>
      </c>
      <c r="BQ139" s="56">
        <f t="shared" ref="BQ139:BQ142" si="49">ROUND((100-BO139)*BP139/BO139,3)</f>
        <v>0.307</v>
      </c>
      <c r="BS139" s="1">
        <v>2.5</v>
      </c>
      <c r="BT139" s="8"/>
      <c r="BV139" s="16" t="s">
        <v>233</v>
      </c>
      <c r="BW139" s="16" t="s">
        <v>233</v>
      </c>
      <c r="BX139" s="3">
        <f t="shared" si="38"/>
        <v>3.6</v>
      </c>
      <c r="BY139" s="16" t="s">
        <v>233</v>
      </c>
      <c r="BZ139" s="16" t="s">
        <v>233</v>
      </c>
      <c r="CA139" s="16" t="s">
        <v>233</v>
      </c>
      <c r="CB139" s="16" t="s">
        <v>233</v>
      </c>
      <c r="CC139" s="16" t="s">
        <v>233</v>
      </c>
      <c r="CD139" s="16" t="s">
        <v>233</v>
      </c>
      <c r="CE139" s="16" t="s">
        <v>233</v>
      </c>
      <c r="CF139" s="1">
        <f t="shared" si="39"/>
        <v>7.3</v>
      </c>
      <c r="CG139" s="16" t="s">
        <v>233</v>
      </c>
      <c r="CH139" s="16" t="s">
        <v>233</v>
      </c>
      <c r="CI139" s="16" t="s">
        <v>233</v>
      </c>
      <c r="CJ139" s="16" t="s">
        <v>233</v>
      </c>
      <c r="CK139" s="16" t="s">
        <v>233</v>
      </c>
      <c r="CL139" s="16" t="s">
        <v>233</v>
      </c>
      <c r="CM139" s="16" t="s">
        <v>233</v>
      </c>
      <c r="CN139" s="1">
        <f t="shared" si="40"/>
        <v>-2.2000000000000002</v>
      </c>
      <c r="CO139" s="16" t="s">
        <v>233</v>
      </c>
      <c r="CP139" s="16" t="s">
        <v>233</v>
      </c>
      <c r="CQ139" s="16" t="s">
        <v>233</v>
      </c>
      <c r="CR139" s="16" t="s">
        <v>233</v>
      </c>
      <c r="CS139" s="16" t="s">
        <v>233</v>
      </c>
      <c r="CT139" s="16" t="s">
        <v>233</v>
      </c>
      <c r="CU139" s="2">
        <f t="shared" si="44"/>
        <v>70</v>
      </c>
      <c r="CV139" s="18" t="s">
        <v>233</v>
      </c>
      <c r="CW139" s="1">
        <f>ROUND(PPTest!K139,1)</f>
        <v>2.6</v>
      </c>
      <c r="CX139" s="16" t="s">
        <v>233</v>
      </c>
      <c r="CY139" s="16" t="s">
        <v>233</v>
      </c>
      <c r="CZ139" s="20">
        <f t="shared" si="41"/>
        <v>0.71599999999999997</v>
      </c>
      <c r="DA139" s="20">
        <f t="shared" si="42"/>
        <v>0.307</v>
      </c>
      <c r="DB139" s="16" t="s">
        <v>233</v>
      </c>
      <c r="DD139" s="1">
        <v>5.6541666666666659</v>
      </c>
      <c r="DE139" s="1">
        <v>8.9</v>
      </c>
      <c r="DF139" s="1">
        <v>1.8</v>
      </c>
      <c r="DG139" s="1">
        <v>91.958333333333329</v>
      </c>
      <c r="DH139" s="1">
        <v>81</v>
      </c>
      <c r="DZ139" s="1">
        <v>3.7</v>
      </c>
      <c r="EA139" s="1">
        <v>9.6</v>
      </c>
      <c r="EB139" s="1">
        <v>-0.7</v>
      </c>
      <c r="EC139" s="1">
        <v>5.3</v>
      </c>
    </row>
    <row r="140" spans="1:133" x14ac:dyDescent="0.2">
      <c r="A140" s="40">
        <v>35198</v>
      </c>
      <c r="B140" s="34">
        <v>134</v>
      </c>
      <c r="C140" s="34"/>
      <c r="D140" s="34"/>
      <c r="E140" s="49">
        <f t="shared" si="45"/>
        <v>4.9000000000000004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6"/>
      <c r="Q140" s="3"/>
      <c r="R140" s="49">
        <f t="shared" si="46"/>
        <v>9.1999999999999993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16"/>
      <c r="AE140" s="3"/>
      <c r="AF140" s="49">
        <f t="shared" si="47"/>
        <v>0.4</v>
      </c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"/>
      <c r="BE140" s="3"/>
      <c r="BF140" s="3"/>
      <c r="BH140" s="16">
        <v>30.5</v>
      </c>
      <c r="BI140" s="16">
        <f t="shared" si="35"/>
        <v>61.61</v>
      </c>
      <c r="BJ140" s="17"/>
      <c r="BK140" s="17"/>
      <c r="BO140" s="50">
        <f t="shared" si="43"/>
        <v>73</v>
      </c>
      <c r="BP140" s="56">
        <f t="shared" si="48"/>
        <v>0.84899999999999998</v>
      </c>
      <c r="BQ140" s="56">
        <f t="shared" si="49"/>
        <v>0.314</v>
      </c>
      <c r="BS140" s="1">
        <v>8.4</v>
      </c>
      <c r="BT140" s="8"/>
      <c r="BV140" s="16" t="s">
        <v>233</v>
      </c>
      <c r="BW140" s="16" t="s">
        <v>233</v>
      </c>
      <c r="BX140" s="3">
        <f t="shared" si="38"/>
        <v>4.9000000000000004</v>
      </c>
      <c r="BY140" s="16" t="s">
        <v>233</v>
      </c>
      <c r="BZ140" s="16" t="s">
        <v>233</v>
      </c>
      <c r="CA140" s="16" t="s">
        <v>233</v>
      </c>
      <c r="CB140" s="16" t="s">
        <v>233</v>
      </c>
      <c r="CC140" s="16" t="s">
        <v>233</v>
      </c>
      <c r="CD140" s="16" t="s">
        <v>233</v>
      </c>
      <c r="CE140" s="16" t="s">
        <v>233</v>
      </c>
      <c r="CF140" s="1">
        <f t="shared" si="39"/>
        <v>9.1999999999999993</v>
      </c>
      <c r="CG140" s="16" t="s">
        <v>233</v>
      </c>
      <c r="CH140" s="16" t="s">
        <v>233</v>
      </c>
      <c r="CI140" s="16" t="s">
        <v>233</v>
      </c>
      <c r="CJ140" s="16" t="s">
        <v>233</v>
      </c>
      <c r="CK140" s="16" t="s">
        <v>233</v>
      </c>
      <c r="CL140" s="16" t="s">
        <v>233</v>
      </c>
      <c r="CM140" s="16" t="s">
        <v>233</v>
      </c>
      <c r="CN140" s="1">
        <f t="shared" si="40"/>
        <v>0.4</v>
      </c>
      <c r="CO140" s="16" t="s">
        <v>233</v>
      </c>
      <c r="CP140" s="16" t="s">
        <v>233</v>
      </c>
      <c r="CQ140" s="16" t="s">
        <v>233</v>
      </c>
      <c r="CR140" s="16" t="s">
        <v>233</v>
      </c>
      <c r="CS140" s="16" t="s">
        <v>233</v>
      </c>
      <c r="CT140" s="16" t="s">
        <v>233</v>
      </c>
      <c r="CU140" s="2">
        <f t="shared" si="44"/>
        <v>73</v>
      </c>
      <c r="CV140" s="18" t="s">
        <v>233</v>
      </c>
      <c r="CW140" s="1">
        <f>ROUND(PPTest!K140,1)</f>
        <v>8.8000000000000007</v>
      </c>
      <c r="CX140" s="16" t="s">
        <v>233</v>
      </c>
      <c r="CY140" s="16" t="s">
        <v>233</v>
      </c>
      <c r="CZ140" s="20">
        <f t="shared" si="41"/>
        <v>0.84899999999999998</v>
      </c>
      <c r="DA140" s="20">
        <f t="shared" si="42"/>
        <v>0.314</v>
      </c>
      <c r="DB140" s="16" t="s">
        <v>233</v>
      </c>
      <c r="DD140" s="1">
        <v>7.3833333333333337</v>
      </c>
      <c r="DE140" s="1">
        <v>10.9</v>
      </c>
      <c r="DF140" s="1">
        <v>5.2</v>
      </c>
      <c r="DG140" s="1">
        <v>94.25</v>
      </c>
      <c r="DH140" s="1">
        <v>85</v>
      </c>
      <c r="DZ140" s="1">
        <v>5.6</v>
      </c>
      <c r="EA140" s="1">
        <v>11</v>
      </c>
      <c r="EB140" s="1">
        <v>1.3</v>
      </c>
      <c r="EC140" s="1">
        <v>5.4</v>
      </c>
    </row>
    <row r="141" spans="1:133" x14ac:dyDescent="0.2">
      <c r="A141" s="40">
        <v>35199</v>
      </c>
      <c r="B141" s="34">
        <v>135</v>
      </c>
      <c r="C141" s="34"/>
      <c r="D141" s="34"/>
      <c r="E141" s="49">
        <f t="shared" si="45"/>
        <v>5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6"/>
      <c r="Q141" s="3"/>
      <c r="R141" s="49">
        <f t="shared" si="46"/>
        <v>9.8000000000000007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16"/>
      <c r="AE141" s="3"/>
      <c r="AF141" s="49">
        <f t="shared" si="47"/>
        <v>-0.2</v>
      </c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"/>
      <c r="BE141" s="3"/>
      <c r="BF141" s="3"/>
      <c r="BH141" s="16">
        <v>30.66</v>
      </c>
      <c r="BI141" s="16">
        <f t="shared" si="35"/>
        <v>61.933199999999999</v>
      </c>
      <c r="BJ141" s="17"/>
      <c r="BK141" s="17"/>
      <c r="BO141" s="50">
        <f t="shared" si="43"/>
        <v>55</v>
      </c>
      <c r="BP141" s="56">
        <f t="shared" si="48"/>
        <v>0.66600000000000004</v>
      </c>
      <c r="BQ141" s="56">
        <f t="shared" si="49"/>
        <v>0.54500000000000004</v>
      </c>
      <c r="BS141" s="1">
        <v>1.8</v>
      </c>
      <c r="BT141" s="8"/>
      <c r="BV141" s="16" t="s">
        <v>233</v>
      </c>
      <c r="BW141" s="16" t="s">
        <v>233</v>
      </c>
      <c r="BX141" s="3">
        <f t="shared" si="38"/>
        <v>5</v>
      </c>
      <c r="BY141" s="16" t="s">
        <v>233</v>
      </c>
      <c r="BZ141" s="16" t="s">
        <v>233</v>
      </c>
      <c r="CA141" s="16" t="s">
        <v>233</v>
      </c>
      <c r="CB141" s="16" t="s">
        <v>233</v>
      </c>
      <c r="CC141" s="16" t="s">
        <v>233</v>
      </c>
      <c r="CD141" s="16" t="s">
        <v>233</v>
      </c>
      <c r="CE141" s="16" t="s">
        <v>233</v>
      </c>
      <c r="CF141" s="1">
        <f t="shared" si="39"/>
        <v>9.8000000000000007</v>
      </c>
      <c r="CG141" s="16" t="s">
        <v>233</v>
      </c>
      <c r="CH141" s="16" t="s">
        <v>233</v>
      </c>
      <c r="CI141" s="16" t="s">
        <v>233</v>
      </c>
      <c r="CJ141" s="16" t="s">
        <v>233</v>
      </c>
      <c r="CK141" s="16" t="s">
        <v>233</v>
      </c>
      <c r="CL141" s="16" t="s">
        <v>233</v>
      </c>
      <c r="CM141" s="16" t="s">
        <v>233</v>
      </c>
      <c r="CN141" s="1">
        <f t="shared" si="40"/>
        <v>-0.2</v>
      </c>
      <c r="CO141" s="16" t="s">
        <v>233</v>
      </c>
      <c r="CP141" s="16" t="s">
        <v>233</v>
      </c>
      <c r="CQ141" s="16" t="s">
        <v>233</v>
      </c>
      <c r="CR141" s="16" t="s">
        <v>233</v>
      </c>
      <c r="CS141" s="16" t="s">
        <v>233</v>
      </c>
      <c r="CT141" s="16" t="s">
        <v>233</v>
      </c>
      <c r="CU141" s="2">
        <f t="shared" si="44"/>
        <v>55</v>
      </c>
      <c r="CV141" s="18" t="s">
        <v>233</v>
      </c>
      <c r="CW141" s="1">
        <f>ROUND(PPTest!K141,1)</f>
        <v>1.9</v>
      </c>
      <c r="CX141" s="16" t="s">
        <v>233</v>
      </c>
      <c r="CY141" s="16" t="s">
        <v>233</v>
      </c>
      <c r="CZ141" s="20">
        <f t="shared" si="41"/>
        <v>0.66600000000000004</v>
      </c>
      <c r="DA141" s="20">
        <f t="shared" si="42"/>
        <v>0.54500000000000004</v>
      </c>
      <c r="DB141" s="16" t="s">
        <v>233</v>
      </c>
      <c r="DD141" s="1">
        <v>7.458333333333333</v>
      </c>
      <c r="DE141" s="1">
        <v>11.6</v>
      </c>
      <c r="DF141" s="1">
        <v>4.5</v>
      </c>
      <c r="DG141" s="1">
        <v>82.208333333333329</v>
      </c>
      <c r="DH141" s="1">
        <v>64</v>
      </c>
      <c r="DZ141" s="1">
        <v>4</v>
      </c>
      <c r="EA141" s="1">
        <v>9.6</v>
      </c>
      <c r="EB141" s="1">
        <v>-0.9</v>
      </c>
      <c r="EC141" s="1">
        <v>2.8</v>
      </c>
    </row>
    <row r="142" spans="1:133" x14ac:dyDescent="0.2">
      <c r="A142" s="40">
        <v>35200</v>
      </c>
      <c r="B142" s="34">
        <v>136</v>
      </c>
      <c r="C142" s="34"/>
      <c r="D142" s="34"/>
      <c r="E142" s="49">
        <f t="shared" si="45"/>
        <v>4.9000000000000004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6"/>
      <c r="Q142" s="3"/>
      <c r="R142" s="49">
        <f t="shared" si="46"/>
        <v>8.6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16"/>
      <c r="AE142" s="3"/>
      <c r="AF142" s="49">
        <f t="shared" si="47"/>
        <v>-0.7</v>
      </c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"/>
      <c r="BE142" s="3"/>
      <c r="BF142" s="3"/>
      <c r="BH142" s="16">
        <v>30.8</v>
      </c>
      <c r="BI142" s="16">
        <f t="shared" si="35"/>
        <v>62.216000000000001</v>
      </c>
      <c r="BJ142" s="17"/>
      <c r="BK142" s="17"/>
      <c r="BO142" s="50">
        <f t="shared" si="43"/>
        <v>55</v>
      </c>
      <c r="BP142" s="56">
        <f t="shared" si="48"/>
        <v>0.61399999999999999</v>
      </c>
      <c r="BQ142" s="56">
        <f t="shared" si="49"/>
        <v>0.502</v>
      </c>
      <c r="BS142" s="1">
        <v>2</v>
      </c>
      <c r="BT142" s="8"/>
      <c r="BV142" s="16" t="s">
        <v>233</v>
      </c>
      <c r="BW142" s="16" t="s">
        <v>233</v>
      </c>
      <c r="BX142" s="3">
        <f t="shared" si="38"/>
        <v>4.9000000000000004</v>
      </c>
      <c r="BY142" s="16" t="s">
        <v>233</v>
      </c>
      <c r="BZ142" s="16" t="s">
        <v>233</v>
      </c>
      <c r="CA142" s="16" t="s">
        <v>233</v>
      </c>
      <c r="CB142" s="16" t="s">
        <v>233</v>
      </c>
      <c r="CC142" s="16" t="s">
        <v>233</v>
      </c>
      <c r="CD142" s="16" t="s">
        <v>233</v>
      </c>
      <c r="CE142" s="16" t="s">
        <v>233</v>
      </c>
      <c r="CF142" s="1">
        <f t="shared" si="39"/>
        <v>8.6</v>
      </c>
      <c r="CG142" s="16" t="s">
        <v>233</v>
      </c>
      <c r="CH142" s="16" t="s">
        <v>233</v>
      </c>
      <c r="CI142" s="16" t="s">
        <v>233</v>
      </c>
      <c r="CJ142" s="16" t="s">
        <v>233</v>
      </c>
      <c r="CK142" s="16" t="s">
        <v>233</v>
      </c>
      <c r="CL142" s="16" t="s">
        <v>233</v>
      </c>
      <c r="CM142" s="16" t="s">
        <v>233</v>
      </c>
      <c r="CN142" s="1">
        <f t="shared" si="40"/>
        <v>-0.7</v>
      </c>
      <c r="CO142" s="16" t="s">
        <v>233</v>
      </c>
      <c r="CP142" s="16" t="s">
        <v>233</v>
      </c>
      <c r="CQ142" s="16" t="s">
        <v>233</v>
      </c>
      <c r="CR142" s="16" t="s">
        <v>233</v>
      </c>
      <c r="CS142" s="16" t="s">
        <v>233</v>
      </c>
      <c r="CT142" s="16" t="s">
        <v>233</v>
      </c>
      <c r="CU142" s="2">
        <f t="shared" si="44"/>
        <v>55</v>
      </c>
      <c r="CV142" s="18" t="s">
        <v>233</v>
      </c>
      <c r="CW142" s="1">
        <f>ROUND(PPTest!K142,1)</f>
        <v>2.1</v>
      </c>
      <c r="CX142" s="16" t="s">
        <v>233</v>
      </c>
      <c r="CY142" s="16" t="s">
        <v>233</v>
      </c>
      <c r="CZ142" s="20">
        <f t="shared" si="41"/>
        <v>0.61399999999999999</v>
      </c>
      <c r="DA142" s="20">
        <f t="shared" si="42"/>
        <v>0.502</v>
      </c>
      <c r="DB142" s="16" t="s">
        <v>233</v>
      </c>
      <c r="DD142" s="1">
        <v>7.3</v>
      </c>
      <c r="DE142" s="1">
        <v>10.3</v>
      </c>
      <c r="DF142" s="1">
        <v>3.8</v>
      </c>
      <c r="DG142" s="1">
        <v>74.625</v>
      </c>
      <c r="DH142" s="1">
        <v>64</v>
      </c>
      <c r="DZ142" s="1">
        <v>3.9</v>
      </c>
      <c r="EA142" s="1">
        <v>9</v>
      </c>
      <c r="EB142" s="1">
        <v>-0.2</v>
      </c>
      <c r="EC142" s="1">
        <v>3.2</v>
      </c>
    </row>
    <row r="143" spans="1:133" x14ac:dyDescent="0.2">
      <c r="A143" s="40">
        <v>35201</v>
      </c>
      <c r="B143" s="34">
        <v>137</v>
      </c>
      <c r="C143" s="34"/>
      <c r="D143" s="34"/>
      <c r="E143" s="55">
        <f t="shared" ref="E143:E144" si="50">ROUND(1.02*DZ143-0.4,1)</f>
        <v>3.5</v>
      </c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41"/>
      <c r="Q143" s="34"/>
      <c r="R143" s="55">
        <f t="shared" ref="R143:R144" si="51">ROUND(0.96*EA143+0.2,1)</f>
        <v>9.1</v>
      </c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41"/>
      <c r="AE143" s="34"/>
      <c r="AF143" s="55">
        <f t="shared" ref="AF143:AF144" si="52">ROUND(1.1*EB143-0.4,1)</f>
        <v>-0.6</v>
      </c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"/>
      <c r="BE143" s="3"/>
      <c r="BF143" s="3"/>
      <c r="BH143" s="16">
        <v>30.94</v>
      </c>
      <c r="BI143" s="16">
        <f t="shared" si="35"/>
        <v>62.498800000000003</v>
      </c>
      <c r="BJ143" s="17"/>
      <c r="BK143" s="17"/>
      <c r="BP143" s="57">
        <f t="shared" ref="BP143:BP144" si="53">ROUND(0.6105*(EXP((17.273*AF143)/(AF143+237.3))), 3)</f>
        <v>0.58399999999999996</v>
      </c>
      <c r="BQ143" s="57">
        <f t="shared" ref="BQ143:BQ144" si="54">ROUND(0.6105*(EXP((17.273*R143)/(R143+237.3)))-BP143, 3)</f>
        <v>0.57099999999999995</v>
      </c>
      <c r="BS143" s="1">
        <v>4.3</v>
      </c>
      <c r="BT143" s="8"/>
      <c r="BV143" s="16" t="s">
        <v>233</v>
      </c>
      <c r="BW143" s="16" t="s">
        <v>233</v>
      </c>
      <c r="BX143" s="3">
        <f t="shared" si="38"/>
        <v>3.5</v>
      </c>
      <c r="BY143" s="16" t="s">
        <v>233</v>
      </c>
      <c r="BZ143" s="16" t="s">
        <v>233</v>
      </c>
      <c r="CA143" s="16" t="s">
        <v>233</v>
      </c>
      <c r="CB143" s="16" t="s">
        <v>233</v>
      </c>
      <c r="CC143" s="16" t="s">
        <v>233</v>
      </c>
      <c r="CD143" s="16" t="s">
        <v>233</v>
      </c>
      <c r="CE143" s="16" t="s">
        <v>233</v>
      </c>
      <c r="CF143" s="1">
        <f t="shared" si="39"/>
        <v>9.1</v>
      </c>
      <c r="CG143" s="16" t="s">
        <v>233</v>
      </c>
      <c r="CH143" s="16" t="s">
        <v>233</v>
      </c>
      <c r="CI143" s="16" t="s">
        <v>233</v>
      </c>
      <c r="CJ143" s="16" t="s">
        <v>233</v>
      </c>
      <c r="CK143" s="16" t="s">
        <v>233</v>
      </c>
      <c r="CL143" s="16" t="s">
        <v>233</v>
      </c>
      <c r="CM143" s="16" t="s">
        <v>233</v>
      </c>
      <c r="CN143" s="1">
        <f t="shared" si="40"/>
        <v>-0.6</v>
      </c>
      <c r="CO143" s="16" t="s">
        <v>233</v>
      </c>
      <c r="CP143" s="16" t="s">
        <v>233</v>
      </c>
      <c r="CQ143" s="16" t="s">
        <v>233</v>
      </c>
      <c r="CR143" s="16" t="s">
        <v>233</v>
      </c>
      <c r="CS143" s="16" t="s">
        <v>233</v>
      </c>
      <c r="CT143" s="16" t="s">
        <v>233</v>
      </c>
      <c r="CU143" s="18" t="s">
        <v>233</v>
      </c>
      <c r="CV143" s="18" t="s">
        <v>233</v>
      </c>
      <c r="CW143" s="1">
        <f>ROUND(PPTest!K143,1)</f>
        <v>4.5</v>
      </c>
      <c r="CX143" s="16" t="s">
        <v>233</v>
      </c>
      <c r="CY143" s="16" t="s">
        <v>233</v>
      </c>
      <c r="CZ143" s="20">
        <f t="shared" si="41"/>
        <v>0.58399999999999996</v>
      </c>
      <c r="DA143" s="20">
        <f t="shared" si="42"/>
        <v>0.57099999999999995</v>
      </c>
      <c r="DB143" s="16" t="s">
        <v>233</v>
      </c>
      <c r="DZ143" s="1">
        <v>3.8</v>
      </c>
      <c r="EA143" s="1">
        <v>9.3000000000000007</v>
      </c>
      <c r="EB143" s="1">
        <v>-0.2</v>
      </c>
      <c r="EC143" s="1">
        <v>1.9</v>
      </c>
    </row>
    <row r="144" spans="1:133" x14ac:dyDescent="0.2">
      <c r="A144" s="40">
        <v>35202</v>
      </c>
      <c r="B144" s="34">
        <v>138</v>
      </c>
      <c r="C144" s="34"/>
      <c r="D144" s="34"/>
      <c r="E144" s="55">
        <f t="shared" si="50"/>
        <v>4.2</v>
      </c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41"/>
      <c r="Q144" s="34"/>
      <c r="R144" s="55">
        <f t="shared" si="51"/>
        <v>6.4</v>
      </c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41"/>
      <c r="AE144" s="34"/>
      <c r="AF144" s="55">
        <f t="shared" si="52"/>
        <v>1.3</v>
      </c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"/>
      <c r="BE144" s="3"/>
      <c r="BF144" s="3"/>
      <c r="BH144" s="16">
        <v>31.08</v>
      </c>
      <c r="BI144" s="16">
        <f t="shared" si="35"/>
        <v>62.781599999999997</v>
      </c>
      <c r="BJ144" s="17"/>
      <c r="BK144" s="17"/>
      <c r="BP144" s="57">
        <f t="shared" si="53"/>
        <v>0.67100000000000004</v>
      </c>
      <c r="BQ144" s="57">
        <f t="shared" si="54"/>
        <v>0.28999999999999998</v>
      </c>
      <c r="BS144" s="1">
        <v>12.2</v>
      </c>
      <c r="BT144" s="8"/>
      <c r="BV144" s="16" t="s">
        <v>233</v>
      </c>
      <c r="BW144" s="16" t="s">
        <v>233</v>
      </c>
      <c r="BX144" s="3">
        <f t="shared" si="38"/>
        <v>4.2</v>
      </c>
      <c r="BY144" s="16" t="s">
        <v>233</v>
      </c>
      <c r="BZ144" s="16" t="s">
        <v>233</v>
      </c>
      <c r="CA144" s="16" t="s">
        <v>233</v>
      </c>
      <c r="CB144" s="16" t="s">
        <v>233</v>
      </c>
      <c r="CC144" s="16" t="s">
        <v>233</v>
      </c>
      <c r="CD144" s="16" t="s">
        <v>233</v>
      </c>
      <c r="CE144" s="16" t="s">
        <v>233</v>
      </c>
      <c r="CF144" s="1">
        <f t="shared" si="39"/>
        <v>6.4</v>
      </c>
      <c r="CG144" s="16" t="s">
        <v>233</v>
      </c>
      <c r="CH144" s="16" t="s">
        <v>233</v>
      </c>
      <c r="CI144" s="16" t="s">
        <v>233</v>
      </c>
      <c r="CJ144" s="16" t="s">
        <v>233</v>
      </c>
      <c r="CK144" s="16" t="s">
        <v>233</v>
      </c>
      <c r="CL144" s="16" t="s">
        <v>233</v>
      </c>
      <c r="CM144" s="16" t="s">
        <v>233</v>
      </c>
      <c r="CN144" s="1">
        <f t="shared" si="40"/>
        <v>1.3</v>
      </c>
      <c r="CO144" s="16" t="s">
        <v>233</v>
      </c>
      <c r="CP144" s="16" t="s">
        <v>233</v>
      </c>
      <c r="CQ144" s="16" t="s">
        <v>233</v>
      </c>
      <c r="CR144" s="16" t="s">
        <v>233</v>
      </c>
      <c r="CS144" s="16" t="s">
        <v>233</v>
      </c>
      <c r="CT144" s="16" t="s">
        <v>233</v>
      </c>
      <c r="CU144" s="18" t="s">
        <v>233</v>
      </c>
      <c r="CV144" s="18" t="s">
        <v>233</v>
      </c>
      <c r="CW144" s="1">
        <f>ROUND(PPTest!K144,1)</f>
        <v>12.8</v>
      </c>
      <c r="CX144" s="16" t="s">
        <v>233</v>
      </c>
      <c r="CY144" s="16" t="s">
        <v>233</v>
      </c>
      <c r="CZ144" s="20">
        <f t="shared" si="41"/>
        <v>0.67100000000000004</v>
      </c>
      <c r="DA144" s="20">
        <f t="shared" si="42"/>
        <v>0.28999999999999998</v>
      </c>
      <c r="DB144" s="16" t="s">
        <v>233</v>
      </c>
      <c r="DZ144" s="1">
        <v>4.5</v>
      </c>
      <c r="EA144" s="1">
        <v>6.5</v>
      </c>
      <c r="EB144" s="1">
        <v>1.5</v>
      </c>
      <c r="EC144" s="1">
        <v>3.7</v>
      </c>
    </row>
    <row r="145" spans="1:133" x14ac:dyDescent="0.2">
      <c r="A145" s="40">
        <v>35203</v>
      </c>
      <c r="B145" s="34">
        <v>139</v>
      </c>
      <c r="C145" s="34"/>
      <c r="D145" s="34"/>
      <c r="E145" s="49">
        <f t="shared" ref="E145:E150" si="55">ROUND(DD145*0.75-0.6,1)</f>
        <v>3.3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6"/>
      <c r="Q145" s="3"/>
      <c r="R145" s="49">
        <f t="shared" ref="R145:R150" si="56">ROUND(DE145*0.95-1.2,1)</f>
        <v>7.3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16"/>
      <c r="AE145" s="3"/>
      <c r="AF145" s="49">
        <f t="shared" ref="AF145:AF150" si="57">ROUND(DF145*0.76-3.6,1)</f>
        <v>-1.5</v>
      </c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"/>
      <c r="BE145" s="3"/>
      <c r="BF145" s="3"/>
      <c r="BH145" s="16">
        <v>31.21</v>
      </c>
      <c r="BI145" s="16">
        <f t="shared" si="35"/>
        <v>63.044200000000004</v>
      </c>
      <c r="BJ145" s="17"/>
      <c r="BK145" s="17"/>
      <c r="BO145" s="50">
        <f t="shared" ref="BO145:BO150" si="58">ROUND(DH145*0.85+1,0)</f>
        <v>59</v>
      </c>
      <c r="BP145" s="56">
        <f t="shared" ref="BP145:BP158" si="59">ROUND(0.6105*(EXP((17.273*R145)/(R145+237.3)))*BO145/100, 3)</f>
        <v>0.60299999999999998</v>
      </c>
      <c r="BQ145" s="56">
        <f t="shared" ref="BQ145:BQ158" si="60">ROUND((100-BO145)*BP145/BO145,3)</f>
        <v>0.41899999999999998</v>
      </c>
      <c r="BS145" s="1">
        <v>3.6</v>
      </c>
      <c r="BT145" s="8"/>
      <c r="BV145" s="16" t="s">
        <v>233</v>
      </c>
      <c r="BW145" s="16" t="s">
        <v>233</v>
      </c>
      <c r="BX145" s="3">
        <f t="shared" si="38"/>
        <v>3.3</v>
      </c>
      <c r="BY145" s="16" t="s">
        <v>233</v>
      </c>
      <c r="BZ145" s="16" t="s">
        <v>233</v>
      </c>
      <c r="CA145" s="16" t="s">
        <v>233</v>
      </c>
      <c r="CB145" s="16" t="s">
        <v>233</v>
      </c>
      <c r="CC145" s="16" t="s">
        <v>233</v>
      </c>
      <c r="CD145" s="16" t="s">
        <v>233</v>
      </c>
      <c r="CE145" s="16" t="s">
        <v>233</v>
      </c>
      <c r="CF145" s="1">
        <f t="shared" si="39"/>
        <v>7.3</v>
      </c>
      <c r="CG145" s="16" t="s">
        <v>233</v>
      </c>
      <c r="CH145" s="16" t="s">
        <v>233</v>
      </c>
      <c r="CI145" s="16" t="s">
        <v>233</v>
      </c>
      <c r="CJ145" s="16" t="s">
        <v>233</v>
      </c>
      <c r="CK145" s="16" t="s">
        <v>233</v>
      </c>
      <c r="CL145" s="16" t="s">
        <v>233</v>
      </c>
      <c r="CM145" s="16" t="s">
        <v>233</v>
      </c>
      <c r="CN145" s="1">
        <f t="shared" si="40"/>
        <v>-1.5</v>
      </c>
      <c r="CO145" s="16" t="s">
        <v>233</v>
      </c>
      <c r="CP145" s="16" t="s">
        <v>233</v>
      </c>
      <c r="CQ145" s="16" t="s">
        <v>233</v>
      </c>
      <c r="CR145" s="16" t="s">
        <v>233</v>
      </c>
      <c r="CS145" s="16" t="s">
        <v>233</v>
      </c>
      <c r="CT145" s="16" t="s">
        <v>233</v>
      </c>
      <c r="CU145" s="2">
        <f t="shared" si="44"/>
        <v>59</v>
      </c>
      <c r="CV145" s="18" t="s">
        <v>233</v>
      </c>
      <c r="CW145" s="1">
        <f>ROUND(PPTest!K145,1)</f>
        <v>3.8</v>
      </c>
      <c r="CX145" s="16" t="s">
        <v>233</v>
      </c>
      <c r="CY145" s="16" t="s">
        <v>233</v>
      </c>
      <c r="CZ145" s="20">
        <f t="shared" si="41"/>
        <v>0.60299999999999998</v>
      </c>
      <c r="DA145" s="20">
        <f t="shared" si="42"/>
        <v>0.41899999999999998</v>
      </c>
      <c r="DB145" s="16" t="s">
        <v>233</v>
      </c>
      <c r="DD145" s="1">
        <v>5.2541666666666673</v>
      </c>
      <c r="DE145" s="1">
        <v>8.9</v>
      </c>
      <c r="DF145" s="1">
        <v>2.7</v>
      </c>
      <c r="DG145" s="1">
        <v>92.041666666666671</v>
      </c>
      <c r="DH145" s="1">
        <v>68</v>
      </c>
      <c r="DZ145" s="1">
        <v>3.4</v>
      </c>
      <c r="EA145" s="1">
        <v>8.6999999999999993</v>
      </c>
      <c r="EB145" s="1">
        <v>-0.4</v>
      </c>
      <c r="EC145" s="1">
        <v>6.5</v>
      </c>
    </row>
    <row r="146" spans="1:133" x14ac:dyDescent="0.2">
      <c r="A146" s="40">
        <v>35204</v>
      </c>
      <c r="B146" s="34">
        <v>140</v>
      </c>
      <c r="C146" s="34"/>
      <c r="D146" s="34"/>
      <c r="E146" s="49">
        <f t="shared" si="55"/>
        <v>3.4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6"/>
      <c r="Q146" s="3"/>
      <c r="R146" s="49">
        <f t="shared" si="56"/>
        <v>8.6999999999999993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16"/>
      <c r="AE146" s="3"/>
      <c r="AF146" s="49">
        <f t="shared" si="57"/>
        <v>-1.4</v>
      </c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"/>
      <c r="BE146" s="3"/>
      <c r="BF146" s="3"/>
      <c r="BH146" s="16">
        <v>31.34</v>
      </c>
      <c r="BI146" s="16">
        <f t="shared" si="35"/>
        <v>63.306800000000003</v>
      </c>
      <c r="BJ146" s="17"/>
      <c r="BK146" s="17"/>
      <c r="BO146" s="50">
        <f t="shared" si="58"/>
        <v>47</v>
      </c>
      <c r="BP146" s="56">
        <f t="shared" si="59"/>
        <v>0.52900000000000003</v>
      </c>
      <c r="BQ146" s="56">
        <f t="shared" si="60"/>
        <v>0.59699999999999998</v>
      </c>
      <c r="BS146" s="1">
        <v>4.0999999999999996</v>
      </c>
      <c r="BT146" s="8"/>
      <c r="BV146" s="16" t="s">
        <v>233</v>
      </c>
      <c r="BW146" s="16" t="s">
        <v>233</v>
      </c>
      <c r="BX146" s="3">
        <f t="shared" si="38"/>
        <v>3.4</v>
      </c>
      <c r="BY146" s="16" t="s">
        <v>233</v>
      </c>
      <c r="BZ146" s="16" t="s">
        <v>233</v>
      </c>
      <c r="CA146" s="16" t="s">
        <v>233</v>
      </c>
      <c r="CB146" s="16" t="s">
        <v>233</v>
      </c>
      <c r="CC146" s="16" t="s">
        <v>233</v>
      </c>
      <c r="CD146" s="16" t="s">
        <v>233</v>
      </c>
      <c r="CE146" s="16" t="s">
        <v>233</v>
      </c>
      <c r="CF146" s="1">
        <f t="shared" si="39"/>
        <v>8.6999999999999993</v>
      </c>
      <c r="CG146" s="16" t="s">
        <v>233</v>
      </c>
      <c r="CH146" s="16" t="s">
        <v>233</v>
      </c>
      <c r="CI146" s="16" t="s">
        <v>233</v>
      </c>
      <c r="CJ146" s="16" t="s">
        <v>233</v>
      </c>
      <c r="CK146" s="16" t="s">
        <v>233</v>
      </c>
      <c r="CL146" s="16" t="s">
        <v>233</v>
      </c>
      <c r="CM146" s="16" t="s">
        <v>233</v>
      </c>
      <c r="CN146" s="1">
        <f t="shared" si="40"/>
        <v>-1.4</v>
      </c>
      <c r="CO146" s="16" t="s">
        <v>233</v>
      </c>
      <c r="CP146" s="16" t="s">
        <v>233</v>
      </c>
      <c r="CQ146" s="16" t="s">
        <v>233</v>
      </c>
      <c r="CR146" s="16" t="s">
        <v>233</v>
      </c>
      <c r="CS146" s="16" t="s">
        <v>233</v>
      </c>
      <c r="CT146" s="16" t="s">
        <v>233</v>
      </c>
      <c r="CU146" s="2">
        <f t="shared" si="44"/>
        <v>47</v>
      </c>
      <c r="CV146" s="18" t="s">
        <v>233</v>
      </c>
      <c r="CW146" s="1">
        <f>ROUND(PPTest!K146,1)</f>
        <v>4.3</v>
      </c>
      <c r="CX146" s="16" t="s">
        <v>233</v>
      </c>
      <c r="CY146" s="16" t="s">
        <v>233</v>
      </c>
      <c r="CZ146" s="20">
        <f t="shared" si="41"/>
        <v>0.52900000000000003</v>
      </c>
      <c r="DA146" s="20">
        <f t="shared" si="42"/>
        <v>0.59699999999999998</v>
      </c>
      <c r="DB146" s="16" t="s">
        <v>233</v>
      </c>
      <c r="DD146" s="1">
        <v>5.3</v>
      </c>
      <c r="DE146" s="1">
        <v>10.4</v>
      </c>
      <c r="DF146" s="1">
        <v>2.9</v>
      </c>
      <c r="DG146" s="1">
        <v>88.125</v>
      </c>
      <c r="DH146" s="1">
        <v>54</v>
      </c>
      <c r="DZ146" s="1">
        <v>2.5</v>
      </c>
      <c r="EA146" s="1">
        <v>7.4</v>
      </c>
      <c r="EB146" s="1">
        <v>-1.9</v>
      </c>
      <c r="EC146" s="1">
        <v>1.3</v>
      </c>
    </row>
    <row r="147" spans="1:133" x14ac:dyDescent="0.2">
      <c r="A147" s="40">
        <v>35205</v>
      </c>
      <c r="B147" s="34">
        <v>141</v>
      </c>
      <c r="C147" s="34"/>
      <c r="D147" s="34"/>
      <c r="E147" s="49">
        <f t="shared" si="55"/>
        <v>3.7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6"/>
      <c r="Q147" s="3"/>
      <c r="R147" s="49">
        <f t="shared" si="56"/>
        <v>8.3000000000000007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16"/>
      <c r="AE147" s="3"/>
      <c r="AF147" s="49">
        <f t="shared" si="57"/>
        <v>-1.9</v>
      </c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"/>
      <c r="BE147" s="3"/>
      <c r="BF147" s="3"/>
      <c r="BH147" s="16">
        <v>31.47</v>
      </c>
      <c r="BI147" s="16">
        <f t="shared" si="35"/>
        <v>63.569400000000002</v>
      </c>
      <c r="BJ147" s="17"/>
      <c r="BK147" s="17"/>
      <c r="BO147" s="50">
        <f t="shared" si="58"/>
        <v>45</v>
      </c>
      <c r="BP147" s="56">
        <f t="shared" si="59"/>
        <v>0.49299999999999999</v>
      </c>
      <c r="BQ147" s="56">
        <f t="shared" si="60"/>
        <v>0.60299999999999998</v>
      </c>
      <c r="BS147" s="1">
        <v>0.3</v>
      </c>
      <c r="BT147" s="8"/>
      <c r="BV147" s="16" t="s">
        <v>233</v>
      </c>
      <c r="BW147" s="16" t="s">
        <v>233</v>
      </c>
      <c r="BX147" s="3">
        <f t="shared" si="38"/>
        <v>3.7</v>
      </c>
      <c r="BY147" s="16" t="s">
        <v>233</v>
      </c>
      <c r="BZ147" s="16" t="s">
        <v>233</v>
      </c>
      <c r="CA147" s="16" t="s">
        <v>233</v>
      </c>
      <c r="CB147" s="16" t="s">
        <v>233</v>
      </c>
      <c r="CC147" s="16" t="s">
        <v>233</v>
      </c>
      <c r="CD147" s="16" t="s">
        <v>233</v>
      </c>
      <c r="CE147" s="16" t="s">
        <v>233</v>
      </c>
      <c r="CF147" s="1">
        <f t="shared" si="39"/>
        <v>8.3000000000000007</v>
      </c>
      <c r="CG147" s="16" t="s">
        <v>233</v>
      </c>
      <c r="CH147" s="16" t="s">
        <v>233</v>
      </c>
      <c r="CI147" s="16" t="s">
        <v>233</v>
      </c>
      <c r="CJ147" s="16" t="s">
        <v>233</v>
      </c>
      <c r="CK147" s="16" t="s">
        <v>233</v>
      </c>
      <c r="CL147" s="16" t="s">
        <v>233</v>
      </c>
      <c r="CM147" s="16" t="s">
        <v>233</v>
      </c>
      <c r="CN147" s="1">
        <f t="shared" si="40"/>
        <v>-1.9</v>
      </c>
      <c r="CO147" s="16" t="s">
        <v>233</v>
      </c>
      <c r="CP147" s="16" t="s">
        <v>233</v>
      </c>
      <c r="CQ147" s="16" t="s">
        <v>233</v>
      </c>
      <c r="CR147" s="16" t="s">
        <v>233</v>
      </c>
      <c r="CS147" s="16" t="s">
        <v>233</v>
      </c>
      <c r="CT147" s="16" t="s">
        <v>233</v>
      </c>
      <c r="CU147" s="2">
        <f t="shared" si="44"/>
        <v>45</v>
      </c>
      <c r="CV147" s="18" t="s">
        <v>233</v>
      </c>
      <c r="CW147" s="1">
        <f>ROUND(PPTest!K147,1)</f>
        <v>0.3</v>
      </c>
      <c r="CX147" s="16" t="s">
        <v>233</v>
      </c>
      <c r="CY147" s="16" t="s">
        <v>233</v>
      </c>
      <c r="CZ147" s="20">
        <f t="shared" si="41"/>
        <v>0.49299999999999999</v>
      </c>
      <c r="DA147" s="20">
        <f t="shared" si="42"/>
        <v>0.60299999999999998</v>
      </c>
      <c r="DB147" s="16" t="s">
        <v>233</v>
      </c>
      <c r="DD147" s="1">
        <v>5.666666666666667</v>
      </c>
      <c r="DE147" s="1">
        <v>10</v>
      </c>
      <c r="DF147" s="1">
        <v>2.2999999999999998</v>
      </c>
      <c r="DG147" s="1">
        <v>77.541666666666671</v>
      </c>
      <c r="DH147" s="1">
        <v>52</v>
      </c>
      <c r="DZ147" s="1">
        <v>2.2000000000000002</v>
      </c>
      <c r="EA147" s="1">
        <v>7.4</v>
      </c>
      <c r="EB147" s="1">
        <v>-3.4</v>
      </c>
      <c r="EC147" s="1">
        <v>0</v>
      </c>
    </row>
    <row r="148" spans="1:133" x14ac:dyDescent="0.2">
      <c r="A148" s="40">
        <v>35206</v>
      </c>
      <c r="B148" s="34">
        <v>142</v>
      </c>
      <c r="C148" s="34"/>
      <c r="D148" s="34"/>
      <c r="E148" s="49">
        <f t="shared" si="55"/>
        <v>4.7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6"/>
      <c r="Q148" s="3"/>
      <c r="R148" s="49">
        <f t="shared" si="56"/>
        <v>10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16"/>
      <c r="AE148" s="3"/>
      <c r="AF148" s="49">
        <f t="shared" si="57"/>
        <v>-2.2999999999999998</v>
      </c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"/>
      <c r="BE148" s="3"/>
      <c r="BF148" s="3"/>
      <c r="BH148" s="16">
        <v>31.59</v>
      </c>
      <c r="BI148" s="16">
        <f t="shared" si="35"/>
        <v>63.811799999999998</v>
      </c>
      <c r="BJ148" s="17"/>
      <c r="BK148" s="17"/>
      <c r="BO148" s="50">
        <f t="shared" si="58"/>
        <v>39</v>
      </c>
      <c r="BP148" s="56">
        <f t="shared" si="59"/>
        <v>0.47899999999999998</v>
      </c>
      <c r="BQ148" s="56">
        <f t="shared" si="60"/>
        <v>0.749</v>
      </c>
      <c r="BS148" s="1">
        <v>0</v>
      </c>
      <c r="BT148" s="8"/>
      <c r="BV148" s="16" t="s">
        <v>233</v>
      </c>
      <c r="BW148" s="16" t="s">
        <v>233</v>
      </c>
      <c r="BX148" s="3">
        <f t="shared" si="38"/>
        <v>4.7</v>
      </c>
      <c r="BY148" s="16" t="s">
        <v>233</v>
      </c>
      <c r="BZ148" s="16" t="s">
        <v>233</v>
      </c>
      <c r="CA148" s="16" t="s">
        <v>233</v>
      </c>
      <c r="CB148" s="16" t="s">
        <v>233</v>
      </c>
      <c r="CC148" s="16" t="s">
        <v>233</v>
      </c>
      <c r="CD148" s="16" t="s">
        <v>233</v>
      </c>
      <c r="CE148" s="16" t="s">
        <v>233</v>
      </c>
      <c r="CF148" s="1">
        <f t="shared" si="39"/>
        <v>10</v>
      </c>
      <c r="CG148" s="16" t="s">
        <v>233</v>
      </c>
      <c r="CH148" s="16" t="s">
        <v>233</v>
      </c>
      <c r="CI148" s="16" t="s">
        <v>233</v>
      </c>
      <c r="CJ148" s="16" t="s">
        <v>233</v>
      </c>
      <c r="CK148" s="16" t="s">
        <v>233</v>
      </c>
      <c r="CL148" s="16" t="s">
        <v>233</v>
      </c>
      <c r="CM148" s="16" t="s">
        <v>233</v>
      </c>
      <c r="CN148" s="1">
        <f t="shared" si="40"/>
        <v>-2.2999999999999998</v>
      </c>
      <c r="CO148" s="16" t="s">
        <v>233</v>
      </c>
      <c r="CP148" s="16" t="s">
        <v>233</v>
      </c>
      <c r="CQ148" s="16" t="s">
        <v>233</v>
      </c>
      <c r="CR148" s="16" t="s">
        <v>233</v>
      </c>
      <c r="CS148" s="16" t="s">
        <v>233</v>
      </c>
      <c r="CT148" s="16" t="s">
        <v>233</v>
      </c>
      <c r="CU148" s="2">
        <f t="shared" si="44"/>
        <v>39</v>
      </c>
      <c r="CV148" s="18" t="s">
        <v>233</v>
      </c>
      <c r="CW148" s="1">
        <f>ROUND(PPTest!K148,1)</f>
        <v>0</v>
      </c>
      <c r="CX148" s="16" t="s">
        <v>233</v>
      </c>
      <c r="CY148" s="16" t="s">
        <v>233</v>
      </c>
      <c r="CZ148" s="20">
        <f t="shared" si="41"/>
        <v>0.47899999999999998</v>
      </c>
      <c r="DA148" s="20">
        <f t="shared" si="42"/>
        <v>0.749</v>
      </c>
      <c r="DB148" s="16" t="s">
        <v>233</v>
      </c>
      <c r="DD148" s="1">
        <v>7.0333333333333323</v>
      </c>
      <c r="DE148" s="1">
        <v>11.8</v>
      </c>
      <c r="DF148" s="1">
        <v>1.7</v>
      </c>
      <c r="DG148" s="1">
        <v>66.25</v>
      </c>
      <c r="DH148" s="1">
        <v>45</v>
      </c>
      <c r="DZ148" s="1">
        <v>2.1</v>
      </c>
      <c r="EA148" s="1">
        <v>6.4</v>
      </c>
      <c r="EB148" s="1">
        <v>-2.2999999999999998</v>
      </c>
      <c r="EC148" s="1">
        <v>6</v>
      </c>
    </row>
    <row r="149" spans="1:133" x14ac:dyDescent="0.2">
      <c r="A149" s="40">
        <v>35207</v>
      </c>
      <c r="B149" s="34">
        <v>143</v>
      </c>
      <c r="C149" s="34"/>
      <c r="D149" s="34"/>
      <c r="E149" s="49">
        <f t="shared" si="55"/>
        <v>3.1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6"/>
      <c r="Q149" s="3"/>
      <c r="R149" s="49">
        <f t="shared" si="56"/>
        <v>5.3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16"/>
      <c r="AE149" s="3"/>
      <c r="AF149" s="49">
        <f t="shared" si="57"/>
        <v>-1.1000000000000001</v>
      </c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"/>
      <c r="BE149" s="3"/>
      <c r="BF149" s="3"/>
      <c r="BH149" s="16">
        <v>31.71</v>
      </c>
      <c r="BI149" s="16">
        <f t="shared" si="35"/>
        <v>64.054200000000009</v>
      </c>
      <c r="BJ149" s="17"/>
      <c r="BK149" s="17"/>
      <c r="BO149" s="50">
        <f t="shared" si="58"/>
        <v>56</v>
      </c>
      <c r="BP149" s="56">
        <f t="shared" si="59"/>
        <v>0.499</v>
      </c>
      <c r="BQ149" s="56">
        <f t="shared" si="60"/>
        <v>0.39200000000000002</v>
      </c>
      <c r="BS149" s="1">
        <v>5.3</v>
      </c>
      <c r="BT149" s="8"/>
      <c r="BV149" s="16" t="s">
        <v>233</v>
      </c>
      <c r="BW149" s="16" t="s">
        <v>233</v>
      </c>
      <c r="BX149" s="3">
        <f t="shared" si="38"/>
        <v>3.1</v>
      </c>
      <c r="BY149" s="16" t="s">
        <v>233</v>
      </c>
      <c r="BZ149" s="16" t="s">
        <v>233</v>
      </c>
      <c r="CA149" s="16" t="s">
        <v>233</v>
      </c>
      <c r="CB149" s="16" t="s">
        <v>233</v>
      </c>
      <c r="CC149" s="16" t="s">
        <v>233</v>
      </c>
      <c r="CD149" s="16" t="s">
        <v>233</v>
      </c>
      <c r="CE149" s="16" t="s">
        <v>233</v>
      </c>
      <c r="CF149" s="1">
        <f t="shared" si="39"/>
        <v>5.3</v>
      </c>
      <c r="CG149" s="16" t="s">
        <v>233</v>
      </c>
      <c r="CH149" s="16" t="s">
        <v>233</v>
      </c>
      <c r="CI149" s="16" t="s">
        <v>233</v>
      </c>
      <c r="CJ149" s="16" t="s">
        <v>233</v>
      </c>
      <c r="CK149" s="16" t="s">
        <v>233</v>
      </c>
      <c r="CL149" s="16" t="s">
        <v>233</v>
      </c>
      <c r="CM149" s="16" t="s">
        <v>233</v>
      </c>
      <c r="CN149" s="1">
        <f t="shared" si="40"/>
        <v>-1.1000000000000001</v>
      </c>
      <c r="CO149" s="16" t="s">
        <v>233</v>
      </c>
      <c r="CP149" s="16" t="s">
        <v>233</v>
      </c>
      <c r="CQ149" s="16" t="s">
        <v>233</v>
      </c>
      <c r="CR149" s="16" t="s">
        <v>233</v>
      </c>
      <c r="CS149" s="16" t="s">
        <v>233</v>
      </c>
      <c r="CT149" s="16" t="s">
        <v>233</v>
      </c>
      <c r="CU149" s="2">
        <f t="shared" si="44"/>
        <v>56</v>
      </c>
      <c r="CV149" s="18" t="s">
        <v>233</v>
      </c>
      <c r="CW149" s="1">
        <f>ROUND(PPTest!K149,1)</f>
        <v>5.6</v>
      </c>
      <c r="CX149" s="16" t="s">
        <v>233</v>
      </c>
      <c r="CY149" s="16" t="s">
        <v>233</v>
      </c>
      <c r="CZ149" s="20">
        <f t="shared" si="41"/>
        <v>0.499</v>
      </c>
      <c r="DA149" s="20">
        <f t="shared" si="42"/>
        <v>0.39200000000000002</v>
      </c>
      <c r="DB149" s="16" t="s">
        <v>233</v>
      </c>
      <c r="DD149" s="1">
        <v>4.8875000000000002</v>
      </c>
      <c r="DE149" s="1">
        <v>6.8</v>
      </c>
      <c r="DF149" s="1">
        <v>3.3</v>
      </c>
      <c r="DG149" s="1">
        <v>91.875</v>
      </c>
      <c r="DH149" s="1">
        <v>65</v>
      </c>
      <c r="DZ149" s="1">
        <v>0.7</v>
      </c>
      <c r="EA149" s="1">
        <v>1.8</v>
      </c>
      <c r="EB149" s="1">
        <v>-0.3</v>
      </c>
      <c r="EC149" s="1">
        <v>18.2</v>
      </c>
    </row>
    <row r="150" spans="1:133" x14ac:dyDescent="0.2">
      <c r="A150" s="40">
        <v>35208</v>
      </c>
      <c r="B150" s="34">
        <v>144</v>
      </c>
      <c r="C150" s="34"/>
      <c r="D150" s="34"/>
      <c r="E150" s="49">
        <f t="shared" si="55"/>
        <v>5.5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6"/>
      <c r="Q150" s="3"/>
      <c r="R150" s="49">
        <f t="shared" si="56"/>
        <v>12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16"/>
      <c r="AE150" s="3"/>
      <c r="AF150" s="49">
        <f t="shared" si="57"/>
        <v>-1.1000000000000001</v>
      </c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"/>
      <c r="BE150" s="3"/>
      <c r="BF150" s="3"/>
      <c r="BH150" s="16">
        <v>31.82</v>
      </c>
      <c r="BI150" s="16">
        <f t="shared" si="35"/>
        <v>64.276399999999995</v>
      </c>
      <c r="BJ150" s="17"/>
      <c r="BK150" s="17"/>
      <c r="BO150" s="50">
        <f t="shared" si="58"/>
        <v>49</v>
      </c>
      <c r="BP150" s="56">
        <f t="shared" si="59"/>
        <v>0.68700000000000006</v>
      </c>
      <c r="BQ150" s="56">
        <f t="shared" si="60"/>
        <v>0.71499999999999997</v>
      </c>
      <c r="BS150" s="1">
        <v>0.3</v>
      </c>
      <c r="BT150" s="8"/>
      <c r="BV150" s="16" t="s">
        <v>233</v>
      </c>
      <c r="BW150" s="16" t="s">
        <v>233</v>
      </c>
      <c r="BX150" s="3">
        <f t="shared" si="38"/>
        <v>5.5</v>
      </c>
      <c r="BY150" s="16" t="s">
        <v>233</v>
      </c>
      <c r="BZ150" s="16" t="s">
        <v>233</v>
      </c>
      <c r="CA150" s="16" t="s">
        <v>233</v>
      </c>
      <c r="CB150" s="16" t="s">
        <v>233</v>
      </c>
      <c r="CC150" s="16" t="s">
        <v>233</v>
      </c>
      <c r="CD150" s="16" t="s">
        <v>233</v>
      </c>
      <c r="CE150" s="16" t="s">
        <v>233</v>
      </c>
      <c r="CF150" s="1">
        <f t="shared" si="39"/>
        <v>12</v>
      </c>
      <c r="CG150" s="16" t="s">
        <v>233</v>
      </c>
      <c r="CH150" s="16" t="s">
        <v>233</v>
      </c>
      <c r="CI150" s="16" t="s">
        <v>233</v>
      </c>
      <c r="CJ150" s="16" t="s">
        <v>233</v>
      </c>
      <c r="CK150" s="16" t="s">
        <v>233</v>
      </c>
      <c r="CL150" s="16" t="s">
        <v>233</v>
      </c>
      <c r="CM150" s="16" t="s">
        <v>233</v>
      </c>
      <c r="CN150" s="1">
        <f t="shared" si="40"/>
        <v>-1.1000000000000001</v>
      </c>
      <c r="CO150" s="16" t="s">
        <v>233</v>
      </c>
      <c r="CP150" s="16" t="s">
        <v>233</v>
      </c>
      <c r="CQ150" s="16" t="s">
        <v>233</v>
      </c>
      <c r="CR150" s="16" t="s">
        <v>233</v>
      </c>
      <c r="CS150" s="16" t="s">
        <v>233</v>
      </c>
      <c r="CT150" s="16" t="s">
        <v>233</v>
      </c>
      <c r="CU150" s="2">
        <f t="shared" si="44"/>
        <v>49</v>
      </c>
      <c r="CV150" s="18" t="s">
        <v>233</v>
      </c>
      <c r="CW150" s="1">
        <f>ROUND(PPTest!K150,1)</f>
        <v>0.3</v>
      </c>
      <c r="CX150" s="16" t="s">
        <v>233</v>
      </c>
      <c r="CY150" s="16" t="s">
        <v>233</v>
      </c>
      <c r="CZ150" s="20">
        <f t="shared" si="41"/>
        <v>0.68700000000000006</v>
      </c>
      <c r="DA150" s="20">
        <f t="shared" si="42"/>
        <v>0.71499999999999997</v>
      </c>
      <c r="DB150" s="16" t="s">
        <v>233</v>
      </c>
      <c r="DD150" s="1">
        <v>8.1958333333333311</v>
      </c>
      <c r="DE150" s="1">
        <v>13.9</v>
      </c>
      <c r="DF150" s="1">
        <v>3.3</v>
      </c>
      <c r="DG150" s="1">
        <v>82.25</v>
      </c>
      <c r="DH150" s="1">
        <v>57</v>
      </c>
      <c r="DZ150" s="1">
        <v>3.2</v>
      </c>
      <c r="EA150" s="1">
        <v>11.1</v>
      </c>
      <c r="EB150" s="1">
        <v>-0.9</v>
      </c>
      <c r="EC150" s="1">
        <v>2.4</v>
      </c>
    </row>
    <row r="151" spans="1:133" x14ac:dyDescent="0.2">
      <c r="A151" s="40">
        <v>35209</v>
      </c>
      <c r="B151" s="34">
        <v>145</v>
      </c>
      <c r="C151" s="34"/>
      <c r="D151" s="34"/>
      <c r="E151" s="49">
        <f>ROUND(DD151*0.75-0.6,1)</f>
        <v>8.6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6"/>
      <c r="Q151" s="3"/>
      <c r="R151" s="49">
        <f>ROUND(DE151*0.95-1.2,1)</f>
        <v>16.3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16"/>
      <c r="AE151" s="3"/>
      <c r="AF151" s="49">
        <f>ROUND(DF151*0.76-3.6,1)</f>
        <v>0.6</v>
      </c>
      <c r="AG151" s="3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"/>
      <c r="BE151" s="3"/>
      <c r="BF151" s="3"/>
      <c r="BH151" s="16">
        <v>31.94</v>
      </c>
      <c r="BI151" s="16">
        <f t="shared" si="35"/>
        <v>64.518799999999999</v>
      </c>
      <c r="BJ151" s="17"/>
      <c r="BK151" s="17"/>
      <c r="BO151" s="50">
        <f>ROUND(DH151*0.85+1,0)</f>
        <v>30</v>
      </c>
      <c r="BP151" s="56">
        <f t="shared" si="59"/>
        <v>0.55600000000000005</v>
      </c>
      <c r="BQ151" s="56">
        <f t="shared" si="60"/>
        <v>1.2969999999999999</v>
      </c>
      <c r="BS151" s="1">
        <v>0</v>
      </c>
      <c r="BT151" s="8"/>
      <c r="BV151" s="16" t="s">
        <v>233</v>
      </c>
      <c r="BW151" s="16" t="s">
        <v>233</v>
      </c>
      <c r="BX151" s="3">
        <f t="shared" si="38"/>
        <v>8.6</v>
      </c>
      <c r="BY151" s="16" t="s">
        <v>233</v>
      </c>
      <c r="BZ151" s="16" t="s">
        <v>233</v>
      </c>
      <c r="CA151" s="16" t="s">
        <v>233</v>
      </c>
      <c r="CB151" s="16" t="s">
        <v>233</v>
      </c>
      <c r="CC151" s="16" t="s">
        <v>233</v>
      </c>
      <c r="CD151" s="16" t="s">
        <v>233</v>
      </c>
      <c r="CE151" s="16" t="s">
        <v>233</v>
      </c>
      <c r="CF151" s="1">
        <f t="shared" si="39"/>
        <v>16.3</v>
      </c>
      <c r="CG151" s="16" t="s">
        <v>233</v>
      </c>
      <c r="CH151" s="16" t="s">
        <v>233</v>
      </c>
      <c r="CI151" s="16" t="s">
        <v>233</v>
      </c>
      <c r="CJ151" s="16" t="s">
        <v>233</v>
      </c>
      <c r="CK151" s="16" t="s">
        <v>233</v>
      </c>
      <c r="CL151" s="16" t="s">
        <v>233</v>
      </c>
      <c r="CM151" s="16" t="s">
        <v>233</v>
      </c>
      <c r="CN151" s="1">
        <f t="shared" si="40"/>
        <v>0.6</v>
      </c>
      <c r="CO151" s="16" t="s">
        <v>233</v>
      </c>
      <c r="CP151" s="16" t="s">
        <v>233</v>
      </c>
      <c r="CQ151" s="16" t="s">
        <v>233</v>
      </c>
      <c r="CR151" s="16" t="s">
        <v>233</v>
      </c>
      <c r="CS151" s="16" t="s">
        <v>233</v>
      </c>
      <c r="CT151" s="16" t="s">
        <v>233</v>
      </c>
      <c r="CU151" s="2">
        <f t="shared" si="44"/>
        <v>30</v>
      </c>
      <c r="CV151" s="18" t="s">
        <v>233</v>
      </c>
      <c r="CW151" s="1">
        <f>ROUND(PPTest!K151,1)</f>
        <v>0</v>
      </c>
      <c r="CX151" s="16" t="s">
        <v>233</v>
      </c>
      <c r="CY151" s="16" t="s">
        <v>233</v>
      </c>
      <c r="CZ151" s="20">
        <f t="shared" si="41"/>
        <v>0.55600000000000005</v>
      </c>
      <c r="DA151" s="20">
        <f t="shared" si="42"/>
        <v>1.2969999999999999</v>
      </c>
      <c r="DB151" s="16" t="s">
        <v>233</v>
      </c>
      <c r="DD151" s="1">
        <v>12.225</v>
      </c>
      <c r="DE151" s="1">
        <v>18.399999999999999</v>
      </c>
      <c r="DF151" s="1">
        <v>5.5</v>
      </c>
      <c r="DG151" s="1">
        <v>58.666666666666664</v>
      </c>
      <c r="DH151" s="1">
        <v>34</v>
      </c>
      <c r="DZ151" s="1">
        <v>7.2</v>
      </c>
      <c r="EA151" s="1">
        <v>15.4</v>
      </c>
      <c r="EB151" s="1">
        <v>-1.1000000000000001</v>
      </c>
      <c r="EC151" s="1">
        <v>0</v>
      </c>
    </row>
    <row r="152" spans="1:133" x14ac:dyDescent="0.2">
      <c r="A152" s="40">
        <v>35210</v>
      </c>
      <c r="B152" s="34">
        <v>146</v>
      </c>
      <c r="C152" s="34"/>
      <c r="D152" s="34"/>
      <c r="E152" s="49">
        <f t="shared" ref="E152:E171" si="61">ROUND(DD152*0.75-0.6,1)</f>
        <v>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6"/>
      <c r="Q152" s="3"/>
      <c r="R152" s="49">
        <f t="shared" ref="R152:R171" si="62">ROUND(DE152*0.95-1.2,1)</f>
        <v>14.8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16"/>
      <c r="AE152" s="3"/>
      <c r="AF152" s="49">
        <f t="shared" ref="AF152:AF171" si="63">ROUND(DF152*0.76-3.6,1)</f>
        <v>3.3</v>
      </c>
      <c r="AG152" s="3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"/>
      <c r="BE152" s="3"/>
      <c r="BF152" s="3"/>
      <c r="BH152" s="16">
        <v>32.04</v>
      </c>
      <c r="BI152" s="16">
        <f t="shared" si="35"/>
        <v>64.720799999999997</v>
      </c>
      <c r="BJ152" s="17"/>
      <c r="BK152" s="17"/>
      <c r="BO152" s="50">
        <f t="shared" ref="BO152:BO158" si="64">ROUND(DH152*0.85+1,0)</f>
        <v>42</v>
      </c>
      <c r="BP152" s="56">
        <f t="shared" si="59"/>
        <v>0.70699999999999996</v>
      </c>
      <c r="BQ152" s="56">
        <f t="shared" si="60"/>
        <v>0.97599999999999998</v>
      </c>
      <c r="BS152" s="1">
        <v>0</v>
      </c>
      <c r="BT152" s="8"/>
      <c r="BV152" s="16" t="s">
        <v>233</v>
      </c>
      <c r="BW152" s="16" t="s">
        <v>233</v>
      </c>
      <c r="BX152" s="3">
        <f t="shared" si="38"/>
        <v>9</v>
      </c>
      <c r="BY152" s="16" t="s">
        <v>233</v>
      </c>
      <c r="BZ152" s="16" t="s">
        <v>233</v>
      </c>
      <c r="CA152" s="16" t="s">
        <v>233</v>
      </c>
      <c r="CB152" s="16" t="s">
        <v>233</v>
      </c>
      <c r="CC152" s="16" t="s">
        <v>233</v>
      </c>
      <c r="CD152" s="16" t="s">
        <v>233</v>
      </c>
      <c r="CE152" s="16" t="s">
        <v>233</v>
      </c>
      <c r="CF152" s="1">
        <f t="shared" si="39"/>
        <v>14.8</v>
      </c>
      <c r="CG152" s="16" t="s">
        <v>233</v>
      </c>
      <c r="CH152" s="16" t="s">
        <v>233</v>
      </c>
      <c r="CI152" s="16" t="s">
        <v>233</v>
      </c>
      <c r="CJ152" s="16" t="s">
        <v>233</v>
      </c>
      <c r="CK152" s="16" t="s">
        <v>233</v>
      </c>
      <c r="CL152" s="16" t="s">
        <v>233</v>
      </c>
      <c r="CM152" s="16" t="s">
        <v>233</v>
      </c>
      <c r="CN152" s="1">
        <f t="shared" si="40"/>
        <v>3.3</v>
      </c>
      <c r="CO152" s="16" t="s">
        <v>233</v>
      </c>
      <c r="CP152" s="16" t="s">
        <v>233</v>
      </c>
      <c r="CQ152" s="16" t="s">
        <v>233</v>
      </c>
      <c r="CR152" s="16" t="s">
        <v>233</v>
      </c>
      <c r="CS152" s="16" t="s">
        <v>233</v>
      </c>
      <c r="CT152" s="16" t="s">
        <v>233</v>
      </c>
      <c r="CU152" s="2">
        <f t="shared" si="44"/>
        <v>42</v>
      </c>
      <c r="CV152" s="18" t="s">
        <v>233</v>
      </c>
      <c r="CW152" s="1">
        <f>ROUND(PPTest!K152,1)</f>
        <v>0</v>
      </c>
      <c r="CX152" s="16" t="s">
        <v>233</v>
      </c>
      <c r="CY152" s="16" t="s">
        <v>233</v>
      </c>
      <c r="CZ152" s="20">
        <f t="shared" si="41"/>
        <v>0.70699999999999996</v>
      </c>
      <c r="DA152" s="20">
        <f t="shared" si="42"/>
        <v>0.97599999999999998</v>
      </c>
      <c r="DB152" s="16" t="s">
        <v>233</v>
      </c>
      <c r="DD152" s="1">
        <v>12.808333333333335</v>
      </c>
      <c r="DE152" s="1">
        <v>16.8</v>
      </c>
      <c r="DF152" s="1">
        <v>9.1</v>
      </c>
      <c r="DG152" s="1">
        <v>53.75</v>
      </c>
      <c r="DH152" s="1">
        <v>48</v>
      </c>
      <c r="DZ152" s="1">
        <v>8.4</v>
      </c>
      <c r="EA152" s="1">
        <v>15.3</v>
      </c>
      <c r="EB152" s="1">
        <v>-0.5</v>
      </c>
      <c r="EC152" s="1">
        <v>0</v>
      </c>
    </row>
    <row r="153" spans="1:133" x14ac:dyDescent="0.2">
      <c r="A153" s="40">
        <v>35211</v>
      </c>
      <c r="B153" s="34">
        <v>147</v>
      </c>
      <c r="C153" s="34"/>
      <c r="D153" s="34"/>
      <c r="E153" s="49">
        <f t="shared" si="61"/>
        <v>7.4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6"/>
      <c r="Q153" s="3"/>
      <c r="R153" s="49">
        <f t="shared" si="62"/>
        <v>13.1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16"/>
      <c r="AE153" s="3"/>
      <c r="AF153" s="49">
        <f t="shared" si="63"/>
        <v>1.3</v>
      </c>
      <c r="AG153" s="3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"/>
      <c r="BE153" s="3"/>
      <c r="BF153" s="3"/>
      <c r="BH153" s="16">
        <v>32.14</v>
      </c>
      <c r="BI153" s="16">
        <f t="shared" si="35"/>
        <v>64.922799999999995</v>
      </c>
      <c r="BJ153" s="17"/>
      <c r="BK153" s="17"/>
      <c r="BO153" s="50">
        <f t="shared" si="64"/>
        <v>32</v>
      </c>
      <c r="BP153" s="56">
        <f t="shared" si="59"/>
        <v>0.48199999999999998</v>
      </c>
      <c r="BQ153" s="56">
        <f t="shared" si="60"/>
        <v>1.024</v>
      </c>
      <c r="BS153" s="1">
        <v>0</v>
      </c>
      <c r="BT153" s="8"/>
      <c r="BV153" s="16" t="s">
        <v>233</v>
      </c>
      <c r="BW153" s="16" t="s">
        <v>233</v>
      </c>
      <c r="BX153" s="3">
        <f t="shared" si="38"/>
        <v>7.4</v>
      </c>
      <c r="BY153" s="16" t="s">
        <v>233</v>
      </c>
      <c r="BZ153" s="16" t="s">
        <v>233</v>
      </c>
      <c r="CA153" s="16" t="s">
        <v>233</v>
      </c>
      <c r="CB153" s="16" t="s">
        <v>233</v>
      </c>
      <c r="CC153" s="16" t="s">
        <v>233</v>
      </c>
      <c r="CD153" s="16" t="s">
        <v>233</v>
      </c>
      <c r="CE153" s="16" t="s">
        <v>233</v>
      </c>
      <c r="CF153" s="1">
        <f t="shared" si="39"/>
        <v>13.1</v>
      </c>
      <c r="CG153" s="16" t="s">
        <v>233</v>
      </c>
      <c r="CH153" s="16" t="s">
        <v>233</v>
      </c>
      <c r="CI153" s="16" t="s">
        <v>233</v>
      </c>
      <c r="CJ153" s="16" t="s">
        <v>233</v>
      </c>
      <c r="CK153" s="16" t="s">
        <v>233</v>
      </c>
      <c r="CL153" s="16" t="s">
        <v>233</v>
      </c>
      <c r="CM153" s="16" t="s">
        <v>233</v>
      </c>
      <c r="CN153" s="1">
        <f t="shared" si="40"/>
        <v>1.3</v>
      </c>
      <c r="CO153" s="16" t="s">
        <v>233</v>
      </c>
      <c r="CP153" s="16" t="s">
        <v>233</v>
      </c>
      <c r="CQ153" s="16" t="s">
        <v>233</v>
      </c>
      <c r="CR153" s="16" t="s">
        <v>233</v>
      </c>
      <c r="CS153" s="16" t="s">
        <v>233</v>
      </c>
      <c r="CT153" s="16" t="s">
        <v>233</v>
      </c>
      <c r="CU153" s="2">
        <f t="shared" si="44"/>
        <v>32</v>
      </c>
      <c r="CV153" s="18" t="s">
        <v>233</v>
      </c>
      <c r="CW153" s="1">
        <f>ROUND(PPTest!K153,1)</f>
        <v>0</v>
      </c>
      <c r="CX153" s="16" t="s">
        <v>233</v>
      </c>
      <c r="CY153" s="16" t="s">
        <v>233</v>
      </c>
      <c r="CZ153" s="20">
        <f t="shared" si="41"/>
        <v>0.48199999999999998</v>
      </c>
      <c r="DA153" s="20">
        <f t="shared" si="42"/>
        <v>1.024</v>
      </c>
      <c r="DB153" s="16" t="s">
        <v>233</v>
      </c>
      <c r="DD153" s="1">
        <v>10.679166666666667</v>
      </c>
      <c r="DE153" s="1">
        <v>15</v>
      </c>
      <c r="DF153" s="1">
        <v>6.5</v>
      </c>
      <c r="DG153" s="1">
        <v>59.416666666666664</v>
      </c>
      <c r="DH153" s="1">
        <v>37</v>
      </c>
      <c r="DZ153" s="1">
        <v>6.3</v>
      </c>
      <c r="EA153" s="1">
        <v>13.6</v>
      </c>
      <c r="EB153" s="1">
        <v>-1.2</v>
      </c>
      <c r="EC153" s="1">
        <v>0</v>
      </c>
    </row>
    <row r="154" spans="1:133" x14ac:dyDescent="0.2">
      <c r="A154" s="40">
        <v>35212</v>
      </c>
      <c r="B154" s="34">
        <v>148</v>
      </c>
      <c r="C154" s="34"/>
      <c r="D154" s="34"/>
      <c r="E154" s="49">
        <f t="shared" si="61"/>
        <v>6.1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6"/>
      <c r="Q154" s="3"/>
      <c r="R154" s="49">
        <f t="shared" si="62"/>
        <v>12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16"/>
      <c r="AE154" s="3"/>
      <c r="AF154" s="49">
        <f t="shared" si="63"/>
        <v>0.4</v>
      </c>
      <c r="AG154" s="3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"/>
      <c r="BE154" s="3"/>
      <c r="BF154" s="3"/>
      <c r="BH154" s="16">
        <v>32.24</v>
      </c>
      <c r="BI154" s="16">
        <f t="shared" si="35"/>
        <v>65.124800000000008</v>
      </c>
      <c r="BJ154" s="17"/>
      <c r="BK154" s="17"/>
      <c r="BO154" s="50">
        <f t="shared" si="64"/>
        <v>37</v>
      </c>
      <c r="BP154" s="56">
        <f t="shared" si="59"/>
        <v>0.51900000000000002</v>
      </c>
      <c r="BQ154" s="56">
        <f t="shared" si="60"/>
        <v>0.88400000000000001</v>
      </c>
      <c r="BS154" s="1">
        <v>0.3</v>
      </c>
      <c r="BT154" s="8"/>
      <c r="BV154" s="16" t="s">
        <v>233</v>
      </c>
      <c r="BW154" s="16" t="s">
        <v>233</v>
      </c>
      <c r="BX154" s="3">
        <f t="shared" si="38"/>
        <v>6.1</v>
      </c>
      <c r="BY154" s="16" t="s">
        <v>233</v>
      </c>
      <c r="BZ154" s="16" t="s">
        <v>233</v>
      </c>
      <c r="CA154" s="16" t="s">
        <v>233</v>
      </c>
      <c r="CB154" s="16" t="s">
        <v>233</v>
      </c>
      <c r="CC154" s="16" t="s">
        <v>233</v>
      </c>
      <c r="CD154" s="16" t="s">
        <v>233</v>
      </c>
      <c r="CE154" s="16" t="s">
        <v>233</v>
      </c>
      <c r="CF154" s="1">
        <f t="shared" si="39"/>
        <v>12</v>
      </c>
      <c r="CG154" s="16" t="s">
        <v>233</v>
      </c>
      <c r="CH154" s="16" t="s">
        <v>233</v>
      </c>
      <c r="CI154" s="16" t="s">
        <v>233</v>
      </c>
      <c r="CJ154" s="16" t="s">
        <v>233</v>
      </c>
      <c r="CK154" s="16" t="s">
        <v>233</v>
      </c>
      <c r="CL154" s="16" t="s">
        <v>233</v>
      </c>
      <c r="CM154" s="16" t="s">
        <v>233</v>
      </c>
      <c r="CN154" s="1">
        <f t="shared" si="40"/>
        <v>0.4</v>
      </c>
      <c r="CO154" s="16" t="s">
        <v>233</v>
      </c>
      <c r="CP154" s="16" t="s">
        <v>233</v>
      </c>
      <c r="CQ154" s="16" t="s">
        <v>233</v>
      </c>
      <c r="CR154" s="16" t="s">
        <v>233</v>
      </c>
      <c r="CS154" s="16" t="s">
        <v>233</v>
      </c>
      <c r="CT154" s="16" t="s">
        <v>233</v>
      </c>
      <c r="CU154" s="2">
        <f t="shared" si="44"/>
        <v>37</v>
      </c>
      <c r="CV154" s="18" t="s">
        <v>233</v>
      </c>
      <c r="CW154" s="1">
        <f>ROUND(PPTest!K154,1)</f>
        <v>0.3</v>
      </c>
      <c r="CX154" s="16" t="s">
        <v>233</v>
      </c>
      <c r="CY154" s="16" t="s">
        <v>233</v>
      </c>
      <c r="CZ154" s="20">
        <f t="shared" si="41"/>
        <v>0.51900000000000002</v>
      </c>
      <c r="DA154" s="20">
        <f t="shared" si="42"/>
        <v>0.88400000000000001</v>
      </c>
      <c r="DB154" s="16" t="s">
        <v>233</v>
      </c>
      <c r="DD154" s="1">
        <v>8.9250000000000007</v>
      </c>
      <c r="DE154" s="1">
        <v>13.9</v>
      </c>
      <c r="DF154" s="1">
        <v>5.2</v>
      </c>
      <c r="DG154" s="1">
        <v>55.25</v>
      </c>
      <c r="DH154" s="1">
        <v>42</v>
      </c>
      <c r="DZ154" s="1">
        <v>4.0999999999999996</v>
      </c>
      <c r="EA154" s="1">
        <v>10.4</v>
      </c>
      <c r="EB154" s="1">
        <v>-2</v>
      </c>
      <c r="EC154" s="1">
        <v>0</v>
      </c>
    </row>
    <row r="155" spans="1:133" x14ac:dyDescent="0.2">
      <c r="A155" s="40">
        <v>35213</v>
      </c>
      <c r="B155" s="34">
        <v>149</v>
      </c>
      <c r="C155" s="34"/>
      <c r="D155" s="34"/>
      <c r="E155" s="49">
        <f t="shared" si="61"/>
        <v>4.2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6"/>
      <c r="Q155" s="3"/>
      <c r="R155" s="49">
        <f t="shared" si="62"/>
        <v>8.1999999999999993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16"/>
      <c r="AE155" s="3"/>
      <c r="AF155" s="49">
        <f t="shared" si="63"/>
        <v>-0.6</v>
      </c>
      <c r="AG155" s="3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"/>
      <c r="BE155" s="3"/>
      <c r="BF155" s="3"/>
      <c r="BH155" s="16">
        <v>32.340000000000003</v>
      </c>
      <c r="BI155" s="16">
        <f t="shared" si="35"/>
        <v>65.326800000000006</v>
      </c>
      <c r="BJ155" s="17"/>
      <c r="BK155" s="17"/>
      <c r="BO155" s="50">
        <f t="shared" si="64"/>
        <v>65</v>
      </c>
      <c r="BP155" s="56">
        <f t="shared" si="59"/>
        <v>0.70699999999999996</v>
      </c>
      <c r="BQ155" s="56">
        <f t="shared" si="60"/>
        <v>0.38100000000000001</v>
      </c>
      <c r="BS155" s="1">
        <v>1.5</v>
      </c>
      <c r="BT155" s="8"/>
      <c r="BV155" s="16" t="s">
        <v>233</v>
      </c>
      <c r="BW155" s="16" t="s">
        <v>233</v>
      </c>
      <c r="BX155" s="3">
        <f t="shared" si="38"/>
        <v>4.2</v>
      </c>
      <c r="BY155" s="16" t="s">
        <v>233</v>
      </c>
      <c r="BZ155" s="16" t="s">
        <v>233</v>
      </c>
      <c r="CA155" s="16" t="s">
        <v>233</v>
      </c>
      <c r="CB155" s="16" t="s">
        <v>233</v>
      </c>
      <c r="CC155" s="16" t="s">
        <v>233</v>
      </c>
      <c r="CD155" s="16" t="s">
        <v>233</v>
      </c>
      <c r="CE155" s="16" t="s">
        <v>233</v>
      </c>
      <c r="CF155" s="1">
        <f t="shared" si="39"/>
        <v>8.1999999999999993</v>
      </c>
      <c r="CG155" s="16" t="s">
        <v>233</v>
      </c>
      <c r="CH155" s="16" t="s">
        <v>233</v>
      </c>
      <c r="CI155" s="16" t="s">
        <v>233</v>
      </c>
      <c r="CJ155" s="16" t="s">
        <v>233</v>
      </c>
      <c r="CK155" s="16" t="s">
        <v>233</v>
      </c>
      <c r="CL155" s="16" t="s">
        <v>233</v>
      </c>
      <c r="CM155" s="16" t="s">
        <v>233</v>
      </c>
      <c r="CN155" s="1">
        <f t="shared" si="40"/>
        <v>-0.6</v>
      </c>
      <c r="CO155" s="16" t="s">
        <v>233</v>
      </c>
      <c r="CP155" s="16" t="s">
        <v>233</v>
      </c>
      <c r="CQ155" s="16" t="s">
        <v>233</v>
      </c>
      <c r="CR155" s="16" t="s">
        <v>233</v>
      </c>
      <c r="CS155" s="16" t="s">
        <v>233</v>
      </c>
      <c r="CT155" s="16" t="s">
        <v>233</v>
      </c>
      <c r="CU155" s="2">
        <f t="shared" si="44"/>
        <v>65</v>
      </c>
      <c r="CV155" s="18" t="s">
        <v>233</v>
      </c>
      <c r="CW155" s="1">
        <f>ROUND(PPTest!K155,1)</f>
        <v>1.6</v>
      </c>
      <c r="CX155" s="16" t="s">
        <v>233</v>
      </c>
      <c r="CY155" s="16" t="s">
        <v>233</v>
      </c>
      <c r="CZ155" s="20">
        <f t="shared" si="41"/>
        <v>0.70699999999999996</v>
      </c>
      <c r="DA155" s="20">
        <f t="shared" si="42"/>
        <v>0.38100000000000001</v>
      </c>
      <c r="DB155" s="16" t="s">
        <v>233</v>
      </c>
      <c r="DD155" s="1">
        <v>6.4124999999999996</v>
      </c>
      <c r="DE155" s="1">
        <v>9.9</v>
      </c>
      <c r="DF155" s="1">
        <v>3.9</v>
      </c>
      <c r="DG155" s="1">
        <v>88.625</v>
      </c>
      <c r="DH155" s="1">
        <v>75</v>
      </c>
      <c r="DZ155" s="1">
        <v>3.3</v>
      </c>
      <c r="EA155" s="1">
        <v>8.1999999999999993</v>
      </c>
      <c r="EB155" s="1">
        <v>0.2</v>
      </c>
      <c r="EC155" s="1">
        <v>0</v>
      </c>
    </row>
    <row r="156" spans="1:133" x14ac:dyDescent="0.2">
      <c r="A156" s="40">
        <v>35214</v>
      </c>
      <c r="B156" s="34">
        <v>150</v>
      </c>
      <c r="C156" s="34"/>
      <c r="D156" s="34"/>
      <c r="E156" s="49">
        <f t="shared" si="61"/>
        <v>3.1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6"/>
      <c r="Q156" s="3"/>
      <c r="R156" s="49">
        <f t="shared" si="62"/>
        <v>5.5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16"/>
      <c r="AE156" s="3"/>
      <c r="AF156" s="49">
        <f t="shared" si="63"/>
        <v>-1.9</v>
      </c>
      <c r="AG156" s="3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"/>
      <c r="BE156" s="3"/>
      <c r="BF156" s="3"/>
      <c r="BH156" s="16">
        <v>32.42</v>
      </c>
      <c r="BI156" s="16">
        <f t="shared" si="35"/>
        <v>65.488399999999999</v>
      </c>
      <c r="BJ156" s="17"/>
      <c r="BK156" s="17"/>
      <c r="BO156" s="50">
        <f t="shared" si="64"/>
        <v>80</v>
      </c>
      <c r="BP156" s="56">
        <f t="shared" si="59"/>
        <v>0.72199999999999998</v>
      </c>
      <c r="BQ156" s="56">
        <f t="shared" si="60"/>
        <v>0.18099999999999999</v>
      </c>
      <c r="BS156" s="1">
        <v>12.4</v>
      </c>
      <c r="BT156" s="8"/>
      <c r="BV156" s="16" t="s">
        <v>233</v>
      </c>
      <c r="BW156" s="16" t="s">
        <v>233</v>
      </c>
      <c r="BX156" s="3">
        <f t="shared" si="38"/>
        <v>3.1</v>
      </c>
      <c r="BY156" s="16" t="s">
        <v>233</v>
      </c>
      <c r="BZ156" s="16" t="s">
        <v>233</v>
      </c>
      <c r="CA156" s="16" t="s">
        <v>233</v>
      </c>
      <c r="CB156" s="16" t="s">
        <v>233</v>
      </c>
      <c r="CC156" s="16" t="s">
        <v>233</v>
      </c>
      <c r="CD156" s="16" t="s">
        <v>233</v>
      </c>
      <c r="CE156" s="16" t="s">
        <v>233</v>
      </c>
      <c r="CF156" s="1">
        <f t="shared" si="39"/>
        <v>5.5</v>
      </c>
      <c r="CG156" s="16" t="s">
        <v>233</v>
      </c>
      <c r="CH156" s="16" t="s">
        <v>233</v>
      </c>
      <c r="CI156" s="16" t="s">
        <v>233</v>
      </c>
      <c r="CJ156" s="16" t="s">
        <v>233</v>
      </c>
      <c r="CK156" s="16" t="s">
        <v>233</v>
      </c>
      <c r="CL156" s="16" t="s">
        <v>233</v>
      </c>
      <c r="CM156" s="16" t="s">
        <v>233</v>
      </c>
      <c r="CN156" s="1">
        <f t="shared" si="40"/>
        <v>-1.9</v>
      </c>
      <c r="CO156" s="16" t="s">
        <v>233</v>
      </c>
      <c r="CP156" s="16" t="s">
        <v>233</v>
      </c>
      <c r="CQ156" s="16" t="s">
        <v>233</v>
      </c>
      <c r="CR156" s="16" t="s">
        <v>233</v>
      </c>
      <c r="CS156" s="16" t="s">
        <v>233</v>
      </c>
      <c r="CT156" s="16" t="s">
        <v>233</v>
      </c>
      <c r="CU156" s="2">
        <f t="shared" si="44"/>
        <v>80</v>
      </c>
      <c r="CV156" s="18" t="s">
        <v>233</v>
      </c>
      <c r="CW156" s="1">
        <f>ROUND(PPTest!K156,1)</f>
        <v>13</v>
      </c>
      <c r="CX156" s="16" t="s">
        <v>233</v>
      </c>
      <c r="CY156" s="16" t="s">
        <v>233</v>
      </c>
      <c r="CZ156" s="20">
        <f t="shared" si="41"/>
        <v>0.72199999999999998</v>
      </c>
      <c r="DA156" s="20">
        <f t="shared" si="42"/>
        <v>0.18099999999999999</v>
      </c>
      <c r="DB156" s="16" t="s">
        <v>233</v>
      </c>
      <c r="DD156" s="1">
        <v>4.9375</v>
      </c>
      <c r="DE156" s="1">
        <v>7.1</v>
      </c>
      <c r="DF156" s="1">
        <v>2.2999999999999998</v>
      </c>
      <c r="DG156" s="1">
        <v>98.333333333333329</v>
      </c>
      <c r="DH156" s="1">
        <v>93</v>
      </c>
      <c r="DZ156" s="1">
        <v>1</v>
      </c>
      <c r="EA156" s="1">
        <v>4.0999999999999996</v>
      </c>
      <c r="EB156" s="1">
        <v>-0.3</v>
      </c>
      <c r="EC156" s="1">
        <v>8.9</v>
      </c>
    </row>
    <row r="157" spans="1:133" x14ac:dyDescent="0.2">
      <c r="A157" s="40">
        <v>35215</v>
      </c>
      <c r="B157" s="34">
        <v>151</v>
      </c>
      <c r="C157" s="34"/>
      <c r="D157" s="34"/>
      <c r="E157" s="49">
        <f t="shared" si="61"/>
        <v>0.5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6"/>
      <c r="Q157" s="3"/>
      <c r="R157" s="49">
        <f t="shared" si="62"/>
        <v>1.8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16"/>
      <c r="AE157" s="3"/>
      <c r="AF157" s="49">
        <f t="shared" si="63"/>
        <v>-3.4</v>
      </c>
      <c r="AG157" s="3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"/>
      <c r="BE157" s="3"/>
      <c r="BF157" s="3"/>
      <c r="BH157" s="16">
        <v>32.51</v>
      </c>
      <c r="BI157" s="16">
        <f t="shared" si="35"/>
        <v>65.670199999999994</v>
      </c>
      <c r="BJ157" s="17"/>
      <c r="BK157" s="17"/>
      <c r="BO157" s="50">
        <f t="shared" si="64"/>
        <v>86</v>
      </c>
      <c r="BP157" s="56">
        <f t="shared" si="59"/>
        <v>0.59799999999999998</v>
      </c>
      <c r="BQ157" s="56">
        <f t="shared" si="60"/>
        <v>9.7000000000000003E-2</v>
      </c>
      <c r="BS157" s="1">
        <v>34.5</v>
      </c>
      <c r="BT157" s="8"/>
      <c r="BV157" s="16" t="s">
        <v>233</v>
      </c>
      <c r="BW157" s="16" t="s">
        <v>233</v>
      </c>
      <c r="BX157" s="3">
        <f t="shared" si="38"/>
        <v>0.5</v>
      </c>
      <c r="BY157" s="16" t="s">
        <v>233</v>
      </c>
      <c r="BZ157" s="16" t="s">
        <v>233</v>
      </c>
      <c r="CA157" s="16" t="s">
        <v>233</v>
      </c>
      <c r="CB157" s="16" t="s">
        <v>233</v>
      </c>
      <c r="CC157" s="16" t="s">
        <v>233</v>
      </c>
      <c r="CD157" s="16" t="s">
        <v>233</v>
      </c>
      <c r="CE157" s="16" t="s">
        <v>233</v>
      </c>
      <c r="CF157" s="1">
        <f t="shared" si="39"/>
        <v>1.8</v>
      </c>
      <c r="CG157" s="16" t="s">
        <v>233</v>
      </c>
      <c r="CH157" s="16" t="s">
        <v>233</v>
      </c>
      <c r="CI157" s="16" t="s">
        <v>233</v>
      </c>
      <c r="CJ157" s="16" t="s">
        <v>233</v>
      </c>
      <c r="CK157" s="16" t="s">
        <v>233</v>
      </c>
      <c r="CL157" s="16" t="s">
        <v>233</v>
      </c>
      <c r="CM157" s="16" t="s">
        <v>233</v>
      </c>
      <c r="CN157" s="1">
        <f t="shared" si="40"/>
        <v>-3.4</v>
      </c>
      <c r="CO157" s="16" t="s">
        <v>233</v>
      </c>
      <c r="CP157" s="16" t="s">
        <v>233</v>
      </c>
      <c r="CQ157" s="16" t="s">
        <v>233</v>
      </c>
      <c r="CR157" s="16" t="s">
        <v>233</v>
      </c>
      <c r="CS157" s="16" t="s">
        <v>233</v>
      </c>
      <c r="CT157" s="16" t="s">
        <v>233</v>
      </c>
      <c r="CU157" s="2">
        <f t="shared" si="44"/>
        <v>86</v>
      </c>
      <c r="CV157" s="18" t="s">
        <v>233</v>
      </c>
      <c r="CW157" s="1">
        <f>ROUND(PPTest!K157,1)</f>
        <v>36.200000000000003</v>
      </c>
      <c r="CX157" s="16" t="s">
        <v>233</v>
      </c>
      <c r="CY157" s="16" t="s">
        <v>233</v>
      </c>
      <c r="CZ157" s="20">
        <f t="shared" si="41"/>
        <v>0.59799999999999998</v>
      </c>
      <c r="DA157" s="20">
        <f t="shared" si="42"/>
        <v>9.7000000000000003E-2</v>
      </c>
      <c r="DB157" s="16" t="s">
        <v>233</v>
      </c>
      <c r="DD157" s="1">
        <v>1.4708333333333332</v>
      </c>
      <c r="DE157" s="1">
        <v>3.2</v>
      </c>
      <c r="DF157" s="1">
        <v>0.3</v>
      </c>
      <c r="DG157" s="1">
        <v>100</v>
      </c>
      <c r="DH157" s="1">
        <v>100</v>
      </c>
      <c r="DZ157" s="1">
        <v>1.1000000000000001</v>
      </c>
      <c r="EA157" s="1">
        <v>3.1</v>
      </c>
      <c r="EB157" s="1">
        <v>-0.7</v>
      </c>
      <c r="EC157" s="1">
        <v>23</v>
      </c>
    </row>
    <row r="158" spans="1:133" x14ac:dyDescent="0.2">
      <c r="A158" s="40">
        <v>35216</v>
      </c>
      <c r="B158" s="34">
        <v>152</v>
      </c>
      <c r="C158" s="34"/>
      <c r="D158" s="34"/>
      <c r="E158" s="49">
        <f t="shared" si="61"/>
        <v>3.4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6"/>
      <c r="Q158" s="3"/>
      <c r="R158" s="49">
        <f t="shared" si="62"/>
        <v>6.3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16"/>
      <c r="AE158" s="3"/>
      <c r="AF158" s="49">
        <f t="shared" si="63"/>
        <v>-1.5</v>
      </c>
      <c r="AG158" s="3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"/>
      <c r="BE158" s="3"/>
      <c r="BF158" s="3"/>
      <c r="BH158" s="16">
        <v>32.590000000000003</v>
      </c>
      <c r="BI158" s="16">
        <f t="shared" si="35"/>
        <v>65.831800000000001</v>
      </c>
      <c r="BJ158" s="17"/>
      <c r="BK158" s="17"/>
      <c r="BO158" s="50">
        <f t="shared" si="64"/>
        <v>86</v>
      </c>
      <c r="BP158" s="56">
        <f t="shared" si="59"/>
        <v>0.82099999999999995</v>
      </c>
      <c r="BQ158" s="56">
        <f t="shared" si="60"/>
        <v>0.13400000000000001</v>
      </c>
      <c r="BS158" s="1">
        <v>10.4</v>
      </c>
      <c r="BT158" s="8"/>
      <c r="BV158" s="16" t="s">
        <v>233</v>
      </c>
      <c r="BW158" s="16" t="s">
        <v>233</v>
      </c>
      <c r="BX158" s="3">
        <f t="shared" si="38"/>
        <v>3.4</v>
      </c>
      <c r="BY158" s="16" t="s">
        <v>233</v>
      </c>
      <c r="BZ158" s="16" t="s">
        <v>233</v>
      </c>
      <c r="CA158" s="16" t="s">
        <v>233</v>
      </c>
      <c r="CB158" s="16" t="s">
        <v>233</v>
      </c>
      <c r="CC158" s="16" t="s">
        <v>233</v>
      </c>
      <c r="CD158" s="16" t="s">
        <v>233</v>
      </c>
      <c r="CE158" s="16" t="s">
        <v>233</v>
      </c>
      <c r="CF158" s="1">
        <f t="shared" si="39"/>
        <v>6.3</v>
      </c>
      <c r="CG158" s="16" t="s">
        <v>233</v>
      </c>
      <c r="CH158" s="16" t="s">
        <v>233</v>
      </c>
      <c r="CI158" s="16" t="s">
        <v>233</v>
      </c>
      <c r="CJ158" s="16" t="s">
        <v>233</v>
      </c>
      <c r="CK158" s="16" t="s">
        <v>233</v>
      </c>
      <c r="CL158" s="16" t="s">
        <v>233</v>
      </c>
      <c r="CM158" s="16" t="s">
        <v>233</v>
      </c>
      <c r="CN158" s="1">
        <f t="shared" si="40"/>
        <v>-1.5</v>
      </c>
      <c r="CO158" s="16" t="s">
        <v>233</v>
      </c>
      <c r="CP158" s="16" t="s">
        <v>233</v>
      </c>
      <c r="CQ158" s="16" t="s">
        <v>233</v>
      </c>
      <c r="CR158" s="16" t="s">
        <v>233</v>
      </c>
      <c r="CS158" s="16" t="s">
        <v>233</v>
      </c>
      <c r="CT158" s="16" t="s">
        <v>233</v>
      </c>
      <c r="CU158" s="2">
        <f t="shared" si="44"/>
        <v>86</v>
      </c>
      <c r="CV158" s="18" t="s">
        <v>233</v>
      </c>
      <c r="CW158" s="1">
        <f>ROUND(PPTest!K158,1)</f>
        <v>10.9</v>
      </c>
      <c r="CX158" s="16" t="s">
        <v>233</v>
      </c>
      <c r="CY158" s="16" t="s">
        <v>233</v>
      </c>
      <c r="CZ158" s="20">
        <f t="shared" si="41"/>
        <v>0.82099999999999995</v>
      </c>
      <c r="DA158" s="20">
        <f t="shared" si="42"/>
        <v>0.13400000000000001</v>
      </c>
      <c r="DB158" s="16" t="s">
        <v>233</v>
      </c>
      <c r="DD158" s="1">
        <v>5.2666666666666666</v>
      </c>
      <c r="DE158" s="1">
        <v>7.9</v>
      </c>
      <c r="DF158" s="1">
        <v>2.7</v>
      </c>
      <c r="DG158" s="1">
        <v>100</v>
      </c>
      <c r="DH158" s="1">
        <v>100</v>
      </c>
      <c r="DZ158" s="1">
        <v>3.6</v>
      </c>
      <c r="EA158" s="1">
        <v>10.199999999999999</v>
      </c>
      <c r="EB158" s="1">
        <v>-0.7</v>
      </c>
      <c r="EC158" s="1">
        <v>11.5</v>
      </c>
    </row>
    <row r="159" spans="1:133" x14ac:dyDescent="0.2">
      <c r="A159" s="40">
        <v>35217</v>
      </c>
      <c r="B159" s="34">
        <v>153</v>
      </c>
      <c r="C159" s="34"/>
      <c r="D159" s="34"/>
      <c r="E159" s="55">
        <f t="shared" ref="E159:E162" si="65">ROUND(1.02*DZ159-0.4,1)</f>
        <v>6.6</v>
      </c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41"/>
      <c r="Q159" s="34"/>
      <c r="R159" s="55">
        <f t="shared" ref="R159:R162" si="66">ROUND(0.96*EA159+0.2,1)</f>
        <v>14.9</v>
      </c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41"/>
      <c r="AE159" s="34"/>
      <c r="AF159" s="55">
        <f t="shared" ref="AF159:AF162" si="67">ROUND(1.1*EB159-0.4,1)</f>
        <v>-2.9</v>
      </c>
      <c r="AG159" s="3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"/>
      <c r="BE159" s="3"/>
      <c r="BF159" s="3"/>
      <c r="BH159" s="16">
        <v>32.659999999999997</v>
      </c>
      <c r="BI159" s="16">
        <f t="shared" si="35"/>
        <v>65.973199999999991</v>
      </c>
      <c r="BJ159" s="17"/>
      <c r="BK159" s="17"/>
      <c r="BP159" s="57">
        <f t="shared" ref="BP159:BP162" si="68">ROUND(0.6105*(EXP((17.273*AF159)/(AF159+237.3))), 3)</f>
        <v>0.49299999999999999</v>
      </c>
      <c r="BQ159" s="57">
        <f t="shared" ref="BQ159:BQ162" si="69">ROUND(0.6105*(EXP((17.273*R159)/(R159+237.3)))-BP159, 3)</f>
        <v>1.2010000000000001</v>
      </c>
      <c r="BS159" s="1">
        <v>0.3</v>
      </c>
      <c r="BT159" s="8"/>
      <c r="BV159" s="16" t="s">
        <v>233</v>
      </c>
      <c r="BW159" s="16" t="s">
        <v>233</v>
      </c>
      <c r="BX159" s="3">
        <f t="shared" si="38"/>
        <v>6.6</v>
      </c>
      <c r="BY159" s="16" t="s">
        <v>233</v>
      </c>
      <c r="BZ159" s="16" t="s">
        <v>233</v>
      </c>
      <c r="CA159" s="16" t="s">
        <v>233</v>
      </c>
      <c r="CB159" s="16" t="s">
        <v>233</v>
      </c>
      <c r="CC159" s="16" t="s">
        <v>233</v>
      </c>
      <c r="CD159" s="16" t="s">
        <v>233</v>
      </c>
      <c r="CE159" s="16" t="s">
        <v>233</v>
      </c>
      <c r="CF159" s="1">
        <f t="shared" si="39"/>
        <v>14.9</v>
      </c>
      <c r="CG159" s="16" t="s">
        <v>233</v>
      </c>
      <c r="CH159" s="16" t="s">
        <v>233</v>
      </c>
      <c r="CI159" s="16" t="s">
        <v>233</v>
      </c>
      <c r="CJ159" s="16" t="s">
        <v>233</v>
      </c>
      <c r="CK159" s="16" t="s">
        <v>233</v>
      </c>
      <c r="CL159" s="16" t="s">
        <v>233</v>
      </c>
      <c r="CM159" s="16" t="s">
        <v>233</v>
      </c>
      <c r="CN159" s="1">
        <f t="shared" si="40"/>
        <v>-2.9</v>
      </c>
      <c r="CO159" s="16" t="s">
        <v>233</v>
      </c>
      <c r="CP159" s="16" t="s">
        <v>233</v>
      </c>
      <c r="CQ159" s="16" t="s">
        <v>233</v>
      </c>
      <c r="CR159" s="16" t="s">
        <v>233</v>
      </c>
      <c r="CS159" s="16" t="s">
        <v>233</v>
      </c>
      <c r="CT159" s="16" t="s">
        <v>233</v>
      </c>
      <c r="CU159" s="18" t="s">
        <v>233</v>
      </c>
      <c r="CV159" s="18" t="s">
        <v>233</v>
      </c>
      <c r="CW159" s="1">
        <f>ROUND(PPTest!K159,1)</f>
        <v>0.3</v>
      </c>
      <c r="CX159" s="16" t="s">
        <v>233</v>
      </c>
      <c r="CY159" s="16" t="s">
        <v>233</v>
      </c>
      <c r="CZ159" s="20">
        <f t="shared" si="41"/>
        <v>0.49299999999999999</v>
      </c>
      <c r="DA159" s="20">
        <f t="shared" si="42"/>
        <v>1.2010000000000001</v>
      </c>
      <c r="DB159" s="16" t="s">
        <v>233</v>
      </c>
      <c r="DZ159" s="1">
        <v>6.9</v>
      </c>
      <c r="EA159" s="1">
        <v>15.3</v>
      </c>
      <c r="EB159" s="1">
        <v>-2.2999999999999998</v>
      </c>
      <c r="EC159" s="1">
        <v>0</v>
      </c>
    </row>
    <row r="160" spans="1:133" x14ac:dyDescent="0.2">
      <c r="A160" s="40">
        <v>35218</v>
      </c>
      <c r="B160" s="34">
        <v>154</v>
      </c>
      <c r="C160" s="34"/>
      <c r="D160" s="34"/>
      <c r="E160" s="55">
        <f t="shared" si="65"/>
        <v>9.6</v>
      </c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41"/>
      <c r="Q160" s="34"/>
      <c r="R160" s="55">
        <f t="shared" si="66"/>
        <v>17.8</v>
      </c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41"/>
      <c r="AE160" s="34"/>
      <c r="AF160" s="55">
        <f t="shared" si="67"/>
        <v>3.1</v>
      </c>
      <c r="AG160" s="3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"/>
      <c r="BE160" s="3"/>
      <c r="BF160" s="3"/>
      <c r="BH160" s="16">
        <v>32.74</v>
      </c>
      <c r="BI160" s="16">
        <f t="shared" si="35"/>
        <v>66.134799999999998</v>
      </c>
      <c r="BJ160" s="17"/>
      <c r="BK160" s="17"/>
      <c r="BP160" s="57">
        <f t="shared" si="68"/>
        <v>0.76300000000000001</v>
      </c>
      <c r="BQ160" s="57">
        <f t="shared" si="69"/>
        <v>1.2749999999999999</v>
      </c>
      <c r="BS160" s="1">
        <v>2</v>
      </c>
      <c r="BT160" s="8"/>
      <c r="BV160" s="16" t="s">
        <v>233</v>
      </c>
      <c r="BW160" s="16" t="s">
        <v>233</v>
      </c>
      <c r="BX160" s="3">
        <f t="shared" si="38"/>
        <v>9.6</v>
      </c>
      <c r="BY160" s="16" t="s">
        <v>233</v>
      </c>
      <c r="BZ160" s="16" t="s">
        <v>233</v>
      </c>
      <c r="CA160" s="16" t="s">
        <v>233</v>
      </c>
      <c r="CB160" s="16" t="s">
        <v>233</v>
      </c>
      <c r="CC160" s="16" t="s">
        <v>233</v>
      </c>
      <c r="CD160" s="16" t="s">
        <v>233</v>
      </c>
      <c r="CE160" s="16" t="s">
        <v>233</v>
      </c>
      <c r="CF160" s="1">
        <f t="shared" si="39"/>
        <v>17.8</v>
      </c>
      <c r="CG160" s="16" t="s">
        <v>233</v>
      </c>
      <c r="CH160" s="16" t="s">
        <v>233</v>
      </c>
      <c r="CI160" s="16" t="s">
        <v>233</v>
      </c>
      <c r="CJ160" s="16" t="s">
        <v>233</v>
      </c>
      <c r="CK160" s="16" t="s">
        <v>233</v>
      </c>
      <c r="CL160" s="16" t="s">
        <v>233</v>
      </c>
      <c r="CM160" s="16" t="s">
        <v>233</v>
      </c>
      <c r="CN160" s="1">
        <f t="shared" si="40"/>
        <v>3.1</v>
      </c>
      <c r="CO160" s="16" t="s">
        <v>233</v>
      </c>
      <c r="CP160" s="16" t="s">
        <v>233</v>
      </c>
      <c r="CQ160" s="16" t="s">
        <v>233</v>
      </c>
      <c r="CR160" s="16" t="s">
        <v>233</v>
      </c>
      <c r="CS160" s="16" t="s">
        <v>233</v>
      </c>
      <c r="CT160" s="16" t="s">
        <v>233</v>
      </c>
      <c r="CU160" s="18" t="s">
        <v>233</v>
      </c>
      <c r="CV160" s="18" t="s">
        <v>233</v>
      </c>
      <c r="CW160" s="1">
        <f>ROUND(PPTest!K160,1)</f>
        <v>2.1</v>
      </c>
      <c r="CX160" s="16" t="s">
        <v>233</v>
      </c>
      <c r="CY160" s="16" t="s">
        <v>233</v>
      </c>
      <c r="CZ160" s="20">
        <f t="shared" si="41"/>
        <v>0.76300000000000001</v>
      </c>
      <c r="DA160" s="20">
        <f t="shared" si="42"/>
        <v>1.2749999999999999</v>
      </c>
      <c r="DB160" s="16" t="s">
        <v>233</v>
      </c>
      <c r="DL160" s="1" t="s">
        <v>135</v>
      </c>
      <c r="DR160" s="1" t="s">
        <v>137</v>
      </c>
      <c r="DZ160" s="1">
        <v>9.8000000000000007</v>
      </c>
      <c r="EA160" s="1">
        <v>18.3</v>
      </c>
      <c r="EB160" s="1">
        <v>3.2</v>
      </c>
      <c r="EC160" s="1">
        <v>0</v>
      </c>
    </row>
    <row r="161" spans="1:133" x14ac:dyDescent="0.2">
      <c r="A161" s="40">
        <v>35219</v>
      </c>
      <c r="B161" s="34">
        <v>155</v>
      </c>
      <c r="C161" s="34"/>
      <c r="D161" s="34"/>
      <c r="E161" s="55">
        <f t="shared" si="65"/>
        <v>10.8</v>
      </c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41"/>
      <c r="Q161" s="34"/>
      <c r="R161" s="55">
        <f t="shared" si="66"/>
        <v>17.5</v>
      </c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41"/>
      <c r="AE161" s="34"/>
      <c r="AF161" s="55">
        <f t="shared" si="67"/>
        <v>3</v>
      </c>
      <c r="AG161" s="3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"/>
      <c r="BE161" s="3"/>
      <c r="BF161" s="3"/>
      <c r="BH161" s="16">
        <v>32.799999999999997</v>
      </c>
      <c r="BI161" s="16">
        <f t="shared" si="35"/>
        <v>66.256</v>
      </c>
      <c r="BJ161" s="17"/>
      <c r="BK161" s="17"/>
      <c r="BP161" s="57">
        <f t="shared" si="68"/>
        <v>0.75700000000000001</v>
      </c>
      <c r="BQ161" s="57">
        <f t="shared" si="69"/>
        <v>1.242</v>
      </c>
      <c r="BS161" s="1">
        <v>0.5</v>
      </c>
      <c r="BT161" s="8"/>
      <c r="BV161" s="16" t="s">
        <v>233</v>
      </c>
      <c r="BW161" s="16" t="s">
        <v>233</v>
      </c>
      <c r="BX161" s="3">
        <f t="shared" si="38"/>
        <v>10.8</v>
      </c>
      <c r="BY161" s="16" t="s">
        <v>233</v>
      </c>
      <c r="BZ161" s="16" t="s">
        <v>233</v>
      </c>
      <c r="CA161" s="16" t="s">
        <v>233</v>
      </c>
      <c r="CB161" s="16" t="s">
        <v>233</v>
      </c>
      <c r="CC161" s="16" t="s">
        <v>233</v>
      </c>
      <c r="CD161" s="16" t="s">
        <v>233</v>
      </c>
      <c r="CE161" s="16" t="s">
        <v>233</v>
      </c>
      <c r="CF161" s="1">
        <f t="shared" si="39"/>
        <v>17.5</v>
      </c>
      <c r="CG161" s="16" t="s">
        <v>233</v>
      </c>
      <c r="CH161" s="16" t="s">
        <v>233</v>
      </c>
      <c r="CI161" s="16" t="s">
        <v>233</v>
      </c>
      <c r="CJ161" s="16" t="s">
        <v>233</v>
      </c>
      <c r="CK161" s="16" t="s">
        <v>233</v>
      </c>
      <c r="CL161" s="16" t="s">
        <v>233</v>
      </c>
      <c r="CM161" s="16" t="s">
        <v>233</v>
      </c>
      <c r="CN161" s="1">
        <f t="shared" si="40"/>
        <v>3</v>
      </c>
      <c r="CO161" s="16" t="s">
        <v>233</v>
      </c>
      <c r="CP161" s="16" t="s">
        <v>233</v>
      </c>
      <c r="CQ161" s="16" t="s">
        <v>233</v>
      </c>
      <c r="CR161" s="16" t="s">
        <v>233</v>
      </c>
      <c r="CS161" s="16" t="s">
        <v>233</v>
      </c>
      <c r="CT161" s="16" t="s">
        <v>233</v>
      </c>
      <c r="CU161" s="18" t="s">
        <v>233</v>
      </c>
      <c r="CV161" s="18" t="s">
        <v>233</v>
      </c>
      <c r="CW161" s="1">
        <f>ROUND(PPTest!K161,1)</f>
        <v>0.5</v>
      </c>
      <c r="CX161" s="16" t="s">
        <v>233</v>
      </c>
      <c r="CY161" s="16" t="s">
        <v>233</v>
      </c>
      <c r="CZ161" s="20">
        <f t="shared" si="41"/>
        <v>0.75700000000000001</v>
      </c>
      <c r="DA161" s="20">
        <f t="shared" si="42"/>
        <v>1.242</v>
      </c>
      <c r="DB161" s="16" t="s">
        <v>233</v>
      </c>
      <c r="DL161" s="1" t="s">
        <v>136</v>
      </c>
      <c r="DR161" s="1" t="s">
        <v>138</v>
      </c>
      <c r="DZ161" s="1">
        <v>11</v>
      </c>
      <c r="EA161" s="1">
        <v>18</v>
      </c>
      <c r="EB161" s="1">
        <v>3.1</v>
      </c>
      <c r="EC161" s="1">
        <v>0</v>
      </c>
    </row>
    <row r="162" spans="1:133" x14ac:dyDescent="0.2">
      <c r="A162" s="40">
        <v>35220</v>
      </c>
      <c r="B162" s="34">
        <v>156</v>
      </c>
      <c r="C162" s="34"/>
      <c r="D162" s="34"/>
      <c r="E162" s="55">
        <f t="shared" si="65"/>
        <v>7.4</v>
      </c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41"/>
      <c r="Q162" s="34"/>
      <c r="R162" s="55">
        <f t="shared" si="66"/>
        <v>11.1</v>
      </c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41"/>
      <c r="AE162" s="34"/>
      <c r="AF162" s="55">
        <f t="shared" si="67"/>
        <v>0.9</v>
      </c>
      <c r="AG162" s="3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"/>
      <c r="BE162" s="3"/>
      <c r="BF162" s="3"/>
      <c r="BH162" s="16">
        <v>32.86</v>
      </c>
      <c r="BI162" s="16">
        <f t="shared" si="35"/>
        <v>66.377200000000002</v>
      </c>
      <c r="BJ162" s="17"/>
      <c r="BK162" s="17"/>
      <c r="BP162" s="57">
        <f t="shared" si="68"/>
        <v>0.65200000000000002</v>
      </c>
      <c r="BQ162" s="57">
        <f t="shared" si="69"/>
        <v>0.66900000000000004</v>
      </c>
      <c r="BS162" s="1">
        <v>1.2999999523162842</v>
      </c>
      <c r="BT162" s="8"/>
      <c r="BV162" s="16" t="s">
        <v>233</v>
      </c>
      <c r="BW162" s="16" t="s">
        <v>233</v>
      </c>
      <c r="BX162" s="3">
        <f t="shared" si="38"/>
        <v>7.4</v>
      </c>
      <c r="BY162" s="16" t="s">
        <v>233</v>
      </c>
      <c r="BZ162" s="16" t="s">
        <v>233</v>
      </c>
      <c r="CA162" s="16" t="s">
        <v>233</v>
      </c>
      <c r="CB162" s="16" t="s">
        <v>233</v>
      </c>
      <c r="CC162" s="16" t="s">
        <v>233</v>
      </c>
      <c r="CD162" s="16" t="s">
        <v>233</v>
      </c>
      <c r="CE162" s="16" t="s">
        <v>233</v>
      </c>
      <c r="CF162" s="1">
        <f t="shared" si="39"/>
        <v>11.1</v>
      </c>
      <c r="CG162" s="16" t="s">
        <v>233</v>
      </c>
      <c r="CH162" s="16" t="s">
        <v>233</v>
      </c>
      <c r="CI162" s="16" t="s">
        <v>233</v>
      </c>
      <c r="CJ162" s="16" t="s">
        <v>233</v>
      </c>
      <c r="CK162" s="16" t="s">
        <v>233</v>
      </c>
      <c r="CL162" s="16" t="s">
        <v>233</v>
      </c>
      <c r="CM162" s="16" t="s">
        <v>233</v>
      </c>
      <c r="CN162" s="1">
        <f t="shared" si="40"/>
        <v>0.9</v>
      </c>
      <c r="CO162" s="16" t="s">
        <v>233</v>
      </c>
      <c r="CP162" s="16" t="s">
        <v>233</v>
      </c>
      <c r="CQ162" s="16" t="s">
        <v>233</v>
      </c>
      <c r="CR162" s="16" t="s">
        <v>233</v>
      </c>
      <c r="CS162" s="16" t="s">
        <v>233</v>
      </c>
      <c r="CT162" s="16" t="s">
        <v>233</v>
      </c>
      <c r="CU162" s="18" t="s">
        <v>233</v>
      </c>
      <c r="CV162" s="18" t="s">
        <v>233</v>
      </c>
      <c r="CW162" s="1">
        <f>ROUND(PPTest!K162,1)</f>
        <v>1.4</v>
      </c>
      <c r="CX162" s="16" t="s">
        <v>233</v>
      </c>
      <c r="CY162" s="16" t="s">
        <v>233</v>
      </c>
      <c r="CZ162" s="20">
        <f t="shared" si="41"/>
        <v>0.65200000000000002</v>
      </c>
      <c r="DA162" s="20">
        <f t="shared" si="42"/>
        <v>0.66900000000000004</v>
      </c>
      <c r="DB162" s="16" t="s">
        <v>233</v>
      </c>
      <c r="DZ162" s="1">
        <v>7.6</v>
      </c>
      <c r="EA162" s="1">
        <v>11.4</v>
      </c>
      <c r="EB162" s="1">
        <v>1.2</v>
      </c>
      <c r="EC162" s="1">
        <v>0</v>
      </c>
    </row>
    <row r="163" spans="1:133" x14ac:dyDescent="0.2">
      <c r="A163" s="40">
        <v>35221</v>
      </c>
      <c r="B163" s="34">
        <v>157</v>
      </c>
      <c r="C163" s="34"/>
      <c r="D163" s="34"/>
      <c r="E163" s="49">
        <f t="shared" si="61"/>
        <v>7.4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/>
      <c r="Q163" s="3"/>
      <c r="R163" s="49">
        <f t="shared" si="62"/>
        <v>12.6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16"/>
      <c r="AE163" s="3"/>
      <c r="AF163" s="49">
        <f t="shared" si="63"/>
        <v>0.7</v>
      </c>
      <c r="AG163" s="3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"/>
      <c r="BE163" s="3"/>
      <c r="BF163" s="3"/>
      <c r="BH163" s="16">
        <v>32.92</v>
      </c>
      <c r="BI163" s="16">
        <f t="shared" si="35"/>
        <v>66.498400000000004</v>
      </c>
      <c r="BJ163" s="17"/>
      <c r="BK163" s="17"/>
      <c r="BO163" s="50">
        <f t="shared" ref="BO163:BO171" si="70">ROUND(DH163*0.85+1,0)</f>
        <v>43</v>
      </c>
      <c r="BP163" s="56">
        <f t="shared" ref="BP163:BP205" si="71">ROUND(0.6105*(EXP((17.273*R163)/(R163+237.3)))*BO163/100, 3)</f>
        <v>0.627</v>
      </c>
      <c r="BQ163" s="56">
        <f t="shared" ref="BQ163:BQ205" si="72">ROUND((100-BO163)*BP163/BO163,3)</f>
        <v>0.83099999999999996</v>
      </c>
      <c r="BS163" s="1">
        <v>6.0999999046325684</v>
      </c>
      <c r="BT163" s="8"/>
      <c r="BV163" s="16" t="s">
        <v>233</v>
      </c>
      <c r="BW163" s="16" t="s">
        <v>233</v>
      </c>
      <c r="BX163" s="3">
        <f t="shared" si="38"/>
        <v>7.4</v>
      </c>
      <c r="BY163" s="16" t="s">
        <v>233</v>
      </c>
      <c r="BZ163" s="16" t="s">
        <v>233</v>
      </c>
      <c r="CA163" s="16" t="s">
        <v>233</v>
      </c>
      <c r="CB163" s="16" t="s">
        <v>233</v>
      </c>
      <c r="CC163" s="16" t="s">
        <v>233</v>
      </c>
      <c r="CD163" s="16" t="s">
        <v>233</v>
      </c>
      <c r="CE163" s="16" t="s">
        <v>233</v>
      </c>
      <c r="CF163" s="1">
        <f t="shared" si="39"/>
        <v>12.6</v>
      </c>
      <c r="CG163" s="16" t="s">
        <v>233</v>
      </c>
      <c r="CH163" s="16" t="s">
        <v>233</v>
      </c>
      <c r="CI163" s="16" t="s">
        <v>233</v>
      </c>
      <c r="CJ163" s="16" t="s">
        <v>233</v>
      </c>
      <c r="CK163" s="16" t="s">
        <v>233</v>
      </c>
      <c r="CL163" s="16" t="s">
        <v>233</v>
      </c>
      <c r="CM163" s="16" t="s">
        <v>233</v>
      </c>
      <c r="CN163" s="1">
        <f t="shared" si="40"/>
        <v>0.7</v>
      </c>
      <c r="CO163" s="16" t="s">
        <v>233</v>
      </c>
      <c r="CP163" s="16" t="s">
        <v>233</v>
      </c>
      <c r="CQ163" s="16" t="s">
        <v>233</v>
      </c>
      <c r="CR163" s="16" t="s">
        <v>233</v>
      </c>
      <c r="CS163" s="16" t="s">
        <v>233</v>
      </c>
      <c r="CT163" s="16" t="s">
        <v>233</v>
      </c>
      <c r="CU163" s="2">
        <f t="shared" si="44"/>
        <v>43</v>
      </c>
      <c r="CV163" s="18" t="s">
        <v>233</v>
      </c>
      <c r="CW163" s="1">
        <f>ROUND(PPTest!K163,1)</f>
        <v>6.4</v>
      </c>
      <c r="CX163" s="16" t="s">
        <v>233</v>
      </c>
      <c r="CY163" s="16" t="s">
        <v>233</v>
      </c>
      <c r="CZ163" s="20">
        <f t="shared" si="41"/>
        <v>0.627</v>
      </c>
      <c r="DA163" s="20">
        <f t="shared" si="42"/>
        <v>0.83099999999999996</v>
      </c>
      <c r="DB163" s="16" t="s">
        <v>233</v>
      </c>
      <c r="DD163" s="1">
        <v>10.6</v>
      </c>
      <c r="DE163" s="1">
        <v>14.5</v>
      </c>
      <c r="DF163" s="1">
        <v>5.6</v>
      </c>
      <c r="DG163" s="1">
        <v>68.7</v>
      </c>
      <c r="DH163" s="1">
        <v>49</v>
      </c>
      <c r="DZ163" s="1">
        <v>6</v>
      </c>
      <c r="EA163" s="1">
        <v>13.9</v>
      </c>
      <c r="EB163" s="1">
        <v>0.5</v>
      </c>
      <c r="EC163" s="1">
        <v>0</v>
      </c>
    </row>
    <row r="164" spans="1:133" x14ac:dyDescent="0.2">
      <c r="A164" s="40">
        <v>35222</v>
      </c>
      <c r="B164" s="34">
        <v>158</v>
      </c>
      <c r="C164" s="34"/>
      <c r="D164" s="34"/>
      <c r="E164" s="49">
        <f t="shared" si="61"/>
        <v>9.5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/>
      <c r="Q164" s="3"/>
      <c r="R164" s="49">
        <f t="shared" si="62"/>
        <v>14.8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16"/>
      <c r="AE164" s="3"/>
      <c r="AF164" s="49">
        <f t="shared" si="63"/>
        <v>3.7</v>
      </c>
      <c r="AG164" s="3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"/>
      <c r="BE164" s="3"/>
      <c r="BF164" s="3"/>
      <c r="BH164" s="16">
        <v>32.97</v>
      </c>
      <c r="BI164" s="16">
        <f t="shared" si="35"/>
        <v>66.599400000000003</v>
      </c>
      <c r="BJ164" s="17"/>
      <c r="BK164" s="17"/>
      <c r="BO164" s="50">
        <f t="shared" si="70"/>
        <v>44</v>
      </c>
      <c r="BP164" s="56">
        <f t="shared" si="71"/>
        <v>0.74099999999999999</v>
      </c>
      <c r="BQ164" s="56">
        <f t="shared" si="72"/>
        <v>0.94299999999999995</v>
      </c>
      <c r="BS164" s="1">
        <v>0</v>
      </c>
      <c r="BT164" s="8"/>
      <c r="BV164" s="16" t="s">
        <v>233</v>
      </c>
      <c r="BW164" s="16" t="s">
        <v>233</v>
      </c>
      <c r="BX164" s="3">
        <f t="shared" si="38"/>
        <v>9.5</v>
      </c>
      <c r="BY164" s="16" t="s">
        <v>233</v>
      </c>
      <c r="BZ164" s="16" t="s">
        <v>233</v>
      </c>
      <c r="CA164" s="16" t="s">
        <v>233</v>
      </c>
      <c r="CB164" s="16" t="s">
        <v>233</v>
      </c>
      <c r="CC164" s="16" t="s">
        <v>233</v>
      </c>
      <c r="CD164" s="16" t="s">
        <v>233</v>
      </c>
      <c r="CE164" s="16" t="s">
        <v>233</v>
      </c>
      <c r="CF164" s="1">
        <f t="shared" si="39"/>
        <v>14.8</v>
      </c>
      <c r="CG164" s="16" t="s">
        <v>233</v>
      </c>
      <c r="CH164" s="16" t="s">
        <v>233</v>
      </c>
      <c r="CI164" s="16" t="s">
        <v>233</v>
      </c>
      <c r="CJ164" s="16" t="s">
        <v>233</v>
      </c>
      <c r="CK164" s="16" t="s">
        <v>233</v>
      </c>
      <c r="CL164" s="16" t="s">
        <v>233</v>
      </c>
      <c r="CM164" s="16" t="s">
        <v>233</v>
      </c>
      <c r="CN164" s="1">
        <f t="shared" si="40"/>
        <v>3.7</v>
      </c>
      <c r="CO164" s="16" t="s">
        <v>233</v>
      </c>
      <c r="CP164" s="16" t="s">
        <v>233</v>
      </c>
      <c r="CQ164" s="16" t="s">
        <v>233</v>
      </c>
      <c r="CR164" s="16" t="s">
        <v>233</v>
      </c>
      <c r="CS164" s="16" t="s">
        <v>233</v>
      </c>
      <c r="CT164" s="16" t="s">
        <v>233</v>
      </c>
      <c r="CU164" s="2">
        <f t="shared" si="44"/>
        <v>44</v>
      </c>
      <c r="CV164" s="18" t="s">
        <v>233</v>
      </c>
      <c r="CW164" s="1">
        <f>ROUND(PPTest!K164,1)</f>
        <v>0</v>
      </c>
      <c r="CX164" s="16" t="s">
        <v>233</v>
      </c>
      <c r="CY164" s="16" t="s">
        <v>233</v>
      </c>
      <c r="CZ164" s="20">
        <f t="shared" si="41"/>
        <v>0.74099999999999999</v>
      </c>
      <c r="DA164" s="20">
        <f t="shared" si="42"/>
        <v>0.94299999999999995</v>
      </c>
      <c r="DB164" s="16" t="s">
        <v>233</v>
      </c>
      <c r="DD164" s="1">
        <v>13.4</v>
      </c>
      <c r="DE164" s="1">
        <v>16.8</v>
      </c>
      <c r="DF164" s="1">
        <v>9.6</v>
      </c>
      <c r="DG164" s="1">
        <v>57.8</v>
      </c>
      <c r="DH164" s="1">
        <v>51</v>
      </c>
      <c r="DZ164" s="1">
        <v>10.1</v>
      </c>
      <c r="EA164" s="1">
        <v>17.600000000000001</v>
      </c>
      <c r="EB164" s="1">
        <v>0.6</v>
      </c>
      <c r="EC164" s="1">
        <v>0</v>
      </c>
    </row>
    <row r="165" spans="1:133" x14ac:dyDescent="0.2">
      <c r="A165" s="40">
        <v>35223</v>
      </c>
      <c r="B165" s="34">
        <v>159</v>
      </c>
      <c r="C165" s="34"/>
      <c r="D165" s="34"/>
      <c r="E165" s="49">
        <f t="shared" si="61"/>
        <v>11.1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/>
      <c r="Q165" s="3"/>
      <c r="R165" s="49">
        <f t="shared" si="62"/>
        <v>18.899999999999999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16"/>
      <c r="AE165" s="3"/>
      <c r="AF165" s="49">
        <f t="shared" si="63"/>
        <v>3.8</v>
      </c>
      <c r="AG165" s="3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"/>
      <c r="BE165" s="3"/>
      <c r="BF165" s="3"/>
      <c r="BH165" s="16">
        <v>33.01</v>
      </c>
      <c r="BI165" s="16">
        <f t="shared" si="35"/>
        <v>66.680199999999999</v>
      </c>
      <c r="BJ165" s="17"/>
      <c r="BK165" s="17"/>
      <c r="BO165" s="50">
        <f t="shared" si="70"/>
        <v>30</v>
      </c>
      <c r="BP165" s="56">
        <f t="shared" si="71"/>
        <v>0.65500000000000003</v>
      </c>
      <c r="BQ165" s="56">
        <f t="shared" si="72"/>
        <v>1.528</v>
      </c>
      <c r="BS165" s="1">
        <v>0</v>
      </c>
      <c r="BT165" s="8"/>
      <c r="BV165" s="16" t="s">
        <v>233</v>
      </c>
      <c r="BW165" s="16" t="s">
        <v>233</v>
      </c>
      <c r="BX165" s="3">
        <f t="shared" si="38"/>
        <v>11.1</v>
      </c>
      <c r="BY165" s="16" t="s">
        <v>233</v>
      </c>
      <c r="BZ165" s="16" t="s">
        <v>233</v>
      </c>
      <c r="CA165" s="16" t="s">
        <v>233</v>
      </c>
      <c r="CB165" s="16" t="s">
        <v>233</v>
      </c>
      <c r="CC165" s="16" t="s">
        <v>233</v>
      </c>
      <c r="CD165" s="16" t="s">
        <v>233</v>
      </c>
      <c r="CE165" s="16" t="s">
        <v>233</v>
      </c>
      <c r="CF165" s="1">
        <f t="shared" si="39"/>
        <v>18.899999999999999</v>
      </c>
      <c r="CG165" s="16" t="s">
        <v>233</v>
      </c>
      <c r="CH165" s="16" t="s">
        <v>233</v>
      </c>
      <c r="CI165" s="16" t="s">
        <v>233</v>
      </c>
      <c r="CJ165" s="16" t="s">
        <v>233</v>
      </c>
      <c r="CK165" s="16" t="s">
        <v>233</v>
      </c>
      <c r="CL165" s="16" t="s">
        <v>233</v>
      </c>
      <c r="CM165" s="16" t="s">
        <v>233</v>
      </c>
      <c r="CN165" s="1">
        <f t="shared" si="40"/>
        <v>3.8</v>
      </c>
      <c r="CO165" s="16" t="s">
        <v>233</v>
      </c>
      <c r="CP165" s="16" t="s">
        <v>233</v>
      </c>
      <c r="CQ165" s="16" t="s">
        <v>233</v>
      </c>
      <c r="CR165" s="16" t="s">
        <v>233</v>
      </c>
      <c r="CS165" s="16" t="s">
        <v>233</v>
      </c>
      <c r="CT165" s="16" t="s">
        <v>233</v>
      </c>
      <c r="CU165" s="2">
        <f t="shared" si="44"/>
        <v>30</v>
      </c>
      <c r="CV165" s="18" t="s">
        <v>233</v>
      </c>
      <c r="CW165" s="1">
        <f>ROUND(PPTest!K165,1)</f>
        <v>0</v>
      </c>
      <c r="CX165" s="16" t="s">
        <v>233</v>
      </c>
      <c r="CY165" s="16" t="s">
        <v>233</v>
      </c>
      <c r="CZ165" s="20">
        <f t="shared" si="41"/>
        <v>0.65500000000000003</v>
      </c>
      <c r="DA165" s="20">
        <f t="shared" si="42"/>
        <v>1.528</v>
      </c>
      <c r="DB165" s="16" t="s">
        <v>233</v>
      </c>
      <c r="DD165" s="1">
        <v>15.6</v>
      </c>
      <c r="DE165" s="1">
        <v>21.2</v>
      </c>
      <c r="DF165" s="1">
        <v>9.8000000000000007</v>
      </c>
      <c r="DG165" s="1">
        <v>50.4</v>
      </c>
      <c r="DH165" s="1">
        <v>34</v>
      </c>
      <c r="DZ165" s="1">
        <v>12.9</v>
      </c>
      <c r="EA165" s="1">
        <v>20.6</v>
      </c>
      <c r="EB165" s="1">
        <v>4.3</v>
      </c>
      <c r="EC165" s="1">
        <v>0</v>
      </c>
    </row>
    <row r="166" spans="1:133" x14ac:dyDescent="0.2">
      <c r="A166" s="40">
        <v>35224</v>
      </c>
      <c r="B166" s="34">
        <v>160</v>
      </c>
      <c r="C166" s="34"/>
      <c r="D166" s="34"/>
      <c r="E166" s="49">
        <f t="shared" si="61"/>
        <v>8.6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6"/>
      <c r="Q166" s="3"/>
      <c r="R166" s="49">
        <f t="shared" si="62"/>
        <v>16.3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16"/>
      <c r="AE166" s="3"/>
      <c r="AF166" s="49">
        <f t="shared" si="63"/>
        <v>1</v>
      </c>
      <c r="AG166" s="3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"/>
      <c r="BE166" s="3"/>
      <c r="BF166" s="3"/>
      <c r="BH166" s="16">
        <v>33.06</v>
      </c>
      <c r="BI166" s="16">
        <f t="shared" si="35"/>
        <v>66.781199999999998</v>
      </c>
      <c r="BJ166" s="17"/>
      <c r="BK166" s="17"/>
      <c r="BO166" s="50">
        <f t="shared" si="70"/>
        <v>27</v>
      </c>
      <c r="BP166" s="56">
        <f t="shared" si="71"/>
        <v>0.5</v>
      </c>
      <c r="BQ166" s="56">
        <f t="shared" si="72"/>
        <v>1.3520000000000001</v>
      </c>
      <c r="BS166" s="1">
        <v>0</v>
      </c>
      <c r="BT166" s="8"/>
      <c r="BV166" s="16" t="s">
        <v>233</v>
      </c>
      <c r="BW166" s="16" t="s">
        <v>233</v>
      </c>
      <c r="BX166" s="3">
        <f t="shared" si="38"/>
        <v>8.6</v>
      </c>
      <c r="BY166" s="16" t="s">
        <v>233</v>
      </c>
      <c r="BZ166" s="16" t="s">
        <v>233</v>
      </c>
      <c r="CA166" s="16" t="s">
        <v>233</v>
      </c>
      <c r="CB166" s="16" t="s">
        <v>233</v>
      </c>
      <c r="CC166" s="16" t="s">
        <v>233</v>
      </c>
      <c r="CD166" s="16" t="s">
        <v>233</v>
      </c>
      <c r="CE166" s="16" t="s">
        <v>233</v>
      </c>
      <c r="CF166" s="1">
        <f t="shared" si="39"/>
        <v>16.3</v>
      </c>
      <c r="CG166" s="16" t="s">
        <v>233</v>
      </c>
      <c r="CH166" s="16" t="s">
        <v>233</v>
      </c>
      <c r="CI166" s="16" t="s">
        <v>233</v>
      </c>
      <c r="CJ166" s="16" t="s">
        <v>233</v>
      </c>
      <c r="CK166" s="16" t="s">
        <v>233</v>
      </c>
      <c r="CL166" s="16" t="s">
        <v>233</v>
      </c>
      <c r="CM166" s="16" t="s">
        <v>233</v>
      </c>
      <c r="CN166" s="1">
        <f t="shared" si="40"/>
        <v>1</v>
      </c>
      <c r="CO166" s="16" t="s">
        <v>233</v>
      </c>
      <c r="CP166" s="16" t="s">
        <v>233</v>
      </c>
      <c r="CQ166" s="16" t="s">
        <v>233</v>
      </c>
      <c r="CR166" s="16" t="s">
        <v>233</v>
      </c>
      <c r="CS166" s="16" t="s">
        <v>233</v>
      </c>
      <c r="CT166" s="16" t="s">
        <v>233</v>
      </c>
      <c r="CU166" s="2">
        <f t="shared" si="44"/>
        <v>27</v>
      </c>
      <c r="CV166" s="18" t="s">
        <v>233</v>
      </c>
      <c r="CW166" s="1">
        <f>ROUND(PPTest!K166,1)</f>
        <v>0</v>
      </c>
      <c r="CX166" s="16" t="s">
        <v>233</v>
      </c>
      <c r="CY166" s="16" t="s">
        <v>233</v>
      </c>
      <c r="CZ166" s="20">
        <f t="shared" si="41"/>
        <v>0.5</v>
      </c>
      <c r="DA166" s="20">
        <f t="shared" si="42"/>
        <v>1.3520000000000001</v>
      </c>
      <c r="DB166" s="16" t="s">
        <v>233</v>
      </c>
      <c r="DD166" s="1">
        <v>12.2</v>
      </c>
      <c r="DE166" s="1">
        <v>18.399999999999999</v>
      </c>
      <c r="DF166" s="1">
        <v>6.1</v>
      </c>
      <c r="DG166" s="1">
        <v>40.5</v>
      </c>
      <c r="DH166" s="1">
        <v>30</v>
      </c>
      <c r="DZ166" s="1">
        <v>9.6999999999999993</v>
      </c>
      <c r="EA166" s="1">
        <v>16.8</v>
      </c>
      <c r="EB166" s="1">
        <v>0</v>
      </c>
      <c r="EC166" s="1">
        <v>0</v>
      </c>
    </row>
    <row r="167" spans="1:133" x14ac:dyDescent="0.2">
      <c r="A167" s="40">
        <v>35225</v>
      </c>
      <c r="B167" s="34">
        <v>161</v>
      </c>
      <c r="C167" s="34"/>
      <c r="D167" s="34"/>
      <c r="E167" s="49">
        <f t="shared" si="61"/>
        <v>6.5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6"/>
      <c r="Q167" s="3"/>
      <c r="R167" s="49">
        <f t="shared" si="62"/>
        <v>12.4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16"/>
      <c r="AE167" s="3"/>
      <c r="AF167" s="49">
        <f t="shared" si="63"/>
        <v>-0.2</v>
      </c>
      <c r="AG167" s="3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"/>
      <c r="BE167" s="3"/>
      <c r="BF167" s="3"/>
      <c r="BH167" s="16">
        <v>33.1</v>
      </c>
      <c r="BI167" s="16">
        <f t="shared" si="35"/>
        <v>66.862000000000009</v>
      </c>
      <c r="BJ167" s="17"/>
      <c r="BK167" s="17"/>
      <c r="BO167" s="50">
        <f t="shared" si="70"/>
        <v>37</v>
      </c>
      <c r="BP167" s="56">
        <f t="shared" si="71"/>
        <v>0.53300000000000003</v>
      </c>
      <c r="BQ167" s="56">
        <f t="shared" si="72"/>
        <v>0.90800000000000003</v>
      </c>
      <c r="BS167" s="1">
        <v>0</v>
      </c>
      <c r="BT167" s="8"/>
      <c r="BV167" s="16" t="s">
        <v>233</v>
      </c>
      <c r="BW167" s="16" t="s">
        <v>233</v>
      </c>
      <c r="BX167" s="3">
        <f t="shared" si="38"/>
        <v>6.5</v>
      </c>
      <c r="BY167" s="16" t="s">
        <v>233</v>
      </c>
      <c r="BZ167" s="16" t="s">
        <v>233</v>
      </c>
      <c r="CA167" s="16" t="s">
        <v>233</v>
      </c>
      <c r="CB167" s="16" t="s">
        <v>233</v>
      </c>
      <c r="CC167" s="16" t="s">
        <v>233</v>
      </c>
      <c r="CD167" s="16" t="s">
        <v>233</v>
      </c>
      <c r="CE167" s="16" t="s">
        <v>233</v>
      </c>
      <c r="CF167" s="1">
        <f t="shared" si="39"/>
        <v>12.4</v>
      </c>
      <c r="CG167" s="16" t="s">
        <v>233</v>
      </c>
      <c r="CH167" s="16" t="s">
        <v>233</v>
      </c>
      <c r="CI167" s="16" t="s">
        <v>233</v>
      </c>
      <c r="CJ167" s="16" t="s">
        <v>233</v>
      </c>
      <c r="CK167" s="16" t="s">
        <v>233</v>
      </c>
      <c r="CL167" s="16" t="s">
        <v>233</v>
      </c>
      <c r="CM167" s="16" t="s">
        <v>233</v>
      </c>
      <c r="CN167" s="1">
        <f t="shared" si="40"/>
        <v>-0.2</v>
      </c>
      <c r="CO167" s="16" t="s">
        <v>233</v>
      </c>
      <c r="CP167" s="16" t="s">
        <v>233</v>
      </c>
      <c r="CQ167" s="16" t="s">
        <v>233</v>
      </c>
      <c r="CR167" s="16" t="s">
        <v>233</v>
      </c>
      <c r="CS167" s="16" t="s">
        <v>233</v>
      </c>
      <c r="CT167" s="16" t="s">
        <v>233</v>
      </c>
      <c r="CU167" s="2">
        <f t="shared" si="44"/>
        <v>37</v>
      </c>
      <c r="CV167" s="18" t="s">
        <v>233</v>
      </c>
      <c r="CW167" s="1">
        <f>ROUND(PPTest!K167,1)</f>
        <v>0</v>
      </c>
      <c r="CX167" s="16" t="s">
        <v>233</v>
      </c>
      <c r="CY167" s="16" t="s">
        <v>233</v>
      </c>
      <c r="CZ167" s="20">
        <f t="shared" si="41"/>
        <v>0.53300000000000003</v>
      </c>
      <c r="DA167" s="20">
        <f t="shared" si="42"/>
        <v>0.90800000000000003</v>
      </c>
      <c r="DB167" s="16" t="s">
        <v>233</v>
      </c>
      <c r="DD167" s="1">
        <v>9.5</v>
      </c>
      <c r="DE167" s="1">
        <v>14.3</v>
      </c>
      <c r="DF167" s="1">
        <v>4.5</v>
      </c>
      <c r="DG167" s="1">
        <v>52.4</v>
      </c>
      <c r="DH167" s="1">
        <v>42</v>
      </c>
      <c r="DZ167" s="1">
        <v>6.2</v>
      </c>
      <c r="EA167" s="1">
        <v>12.2</v>
      </c>
      <c r="EB167" s="1">
        <v>0.7</v>
      </c>
      <c r="EC167" s="1">
        <v>0</v>
      </c>
    </row>
    <row r="168" spans="1:133" x14ac:dyDescent="0.2">
      <c r="A168" s="40">
        <v>35226</v>
      </c>
      <c r="B168" s="34">
        <v>162</v>
      </c>
      <c r="C168" s="34"/>
      <c r="D168" s="34"/>
      <c r="E168" s="49">
        <f t="shared" si="61"/>
        <v>6.2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6"/>
      <c r="Q168" s="3"/>
      <c r="R168" s="49">
        <f t="shared" si="62"/>
        <v>12.1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16"/>
      <c r="AE168" s="3"/>
      <c r="AF168" s="49">
        <f t="shared" si="63"/>
        <v>0.1</v>
      </c>
      <c r="AG168" s="3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"/>
      <c r="BE168" s="3"/>
      <c r="BF168" s="3"/>
      <c r="BH168" s="16">
        <v>33.130000000000003</v>
      </c>
      <c r="BI168" s="16">
        <f t="shared" si="35"/>
        <v>66.922600000000003</v>
      </c>
      <c r="BJ168" s="17"/>
      <c r="BK168" s="17"/>
      <c r="BO168" s="50">
        <f t="shared" si="70"/>
        <v>44</v>
      </c>
      <c r="BP168" s="56">
        <f t="shared" si="71"/>
        <v>0.621</v>
      </c>
      <c r="BQ168" s="56">
        <f t="shared" si="72"/>
        <v>0.79</v>
      </c>
      <c r="BS168" s="1">
        <v>1.5</v>
      </c>
      <c r="BT168" s="8"/>
      <c r="BV168" s="16" t="s">
        <v>233</v>
      </c>
      <c r="BW168" s="16" t="s">
        <v>233</v>
      </c>
      <c r="BX168" s="3">
        <f t="shared" si="38"/>
        <v>6.2</v>
      </c>
      <c r="BY168" s="16" t="s">
        <v>233</v>
      </c>
      <c r="BZ168" s="16" t="s">
        <v>233</v>
      </c>
      <c r="CA168" s="16" t="s">
        <v>233</v>
      </c>
      <c r="CB168" s="16" t="s">
        <v>233</v>
      </c>
      <c r="CC168" s="16" t="s">
        <v>233</v>
      </c>
      <c r="CD168" s="16" t="s">
        <v>233</v>
      </c>
      <c r="CE168" s="16" t="s">
        <v>233</v>
      </c>
      <c r="CF168" s="1">
        <f t="shared" si="39"/>
        <v>12.1</v>
      </c>
      <c r="CG168" s="16" t="s">
        <v>233</v>
      </c>
      <c r="CH168" s="16" t="s">
        <v>233</v>
      </c>
      <c r="CI168" s="16" t="s">
        <v>233</v>
      </c>
      <c r="CJ168" s="16" t="s">
        <v>233</v>
      </c>
      <c r="CK168" s="16" t="s">
        <v>233</v>
      </c>
      <c r="CL168" s="16" t="s">
        <v>233</v>
      </c>
      <c r="CM168" s="16" t="s">
        <v>233</v>
      </c>
      <c r="CN168" s="1">
        <f t="shared" si="40"/>
        <v>0.1</v>
      </c>
      <c r="CO168" s="16" t="s">
        <v>233</v>
      </c>
      <c r="CP168" s="16" t="s">
        <v>233</v>
      </c>
      <c r="CQ168" s="16" t="s">
        <v>233</v>
      </c>
      <c r="CR168" s="16" t="s">
        <v>233</v>
      </c>
      <c r="CS168" s="16" t="s">
        <v>233</v>
      </c>
      <c r="CT168" s="16" t="s">
        <v>233</v>
      </c>
      <c r="CU168" s="2">
        <f t="shared" si="44"/>
        <v>44</v>
      </c>
      <c r="CV168" s="18" t="s">
        <v>233</v>
      </c>
      <c r="CW168" s="1">
        <f>ROUND(PPTest!K168,1)</f>
        <v>1.6</v>
      </c>
      <c r="CX168" s="16" t="s">
        <v>233</v>
      </c>
      <c r="CY168" s="16" t="s">
        <v>233</v>
      </c>
      <c r="CZ168" s="20">
        <f t="shared" si="41"/>
        <v>0.621</v>
      </c>
      <c r="DA168" s="20">
        <f t="shared" si="42"/>
        <v>0.79</v>
      </c>
      <c r="DB168" s="16" t="s">
        <v>233</v>
      </c>
      <c r="DD168" s="1">
        <v>9.1</v>
      </c>
      <c r="DE168" s="1">
        <v>14</v>
      </c>
      <c r="DF168" s="1">
        <v>4.9000000000000004</v>
      </c>
      <c r="DG168" s="1">
        <v>63.4</v>
      </c>
      <c r="DH168" s="1">
        <v>50</v>
      </c>
      <c r="DZ168" s="1">
        <v>6.1</v>
      </c>
      <c r="EA168" s="1">
        <v>11.8</v>
      </c>
      <c r="EB168" s="1">
        <v>-1.3</v>
      </c>
      <c r="EC168" s="1">
        <v>2.2999999999999998</v>
      </c>
    </row>
    <row r="169" spans="1:133" x14ac:dyDescent="0.2">
      <c r="A169" s="40">
        <v>35227</v>
      </c>
      <c r="B169" s="34">
        <v>163</v>
      </c>
      <c r="C169" s="34"/>
      <c r="D169" s="34"/>
      <c r="E169" s="49">
        <f t="shared" si="61"/>
        <v>5.9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6"/>
      <c r="Q169" s="3"/>
      <c r="R169" s="49">
        <f t="shared" si="62"/>
        <v>10.4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16"/>
      <c r="AE169" s="3"/>
      <c r="AF169" s="49">
        <f t="shared" si="63"/>
        <v>-0.3</v>
      </c>
      <c r="AG169" s="3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"/>
      <c r="BE169" s="3"/>
      <c r="BF169" s="3"/>
      <c r="BH169" s="16">
        <v>33.159999999999997</v>
      </c>
      <c r="BI169" s="16">
        <f t="shared" si="35"/>
        <v>66.983199999999997</v>
      </c>
      <c r="BJ169" s="17"/>
      <c r="BK169" s="17"/>
      <c r="BO169" s="50">
        <f t="shared" si="70"/>
        <v>47</v>
      </c>
      <c r="BP169" s="56">
        <f t="shared" si="71"/>
        <v>0.59299999999999997</v>
      </c>
      <c r="BQ169" s="56">
        <f t="shared" si="72"/>
        <v>0.66900000000000004</v>
      </c>
      <c r="BS169" s="1">
        <v>0</v>
      </c>
      <c r="BT169" s="8"/>
      <c r="BV169" s="16" t="s">
        <v>233</v>
      </c>
      <c r="BW169" s="16" t="s">
        <v>233</v>
      </c>
      <c r="BX169" s="3">
        <f t="shared" si="38"/>
        <v>5.9</v>
      </c>
      <c r="BY169" s="16" t="s">
        <v>233</v>
      </c>
      <c r="BZ169" s="16" t="s">
        <v>233</v>
      </c>
      <c r="CA169" s="16" t="s">
        <v>233</v>
      </c>
      <c r="CB169" s="16" t="s">
        <v>233</v>
      </c>
      <c r="CC169" s="16" t="s">
        <v>233</v>
      </c>
      <c r="CD169" s="16" t="s">
        <v>233</v>
      </c>
      <c r="CE169" s="16" t="s">
        <v>233</v>
      </c>
      <c r="CF169" s="1">
        <f t="shared" si="39"/>
        <v>10.4</v>
      </c>
      <c r="CG169" s="16" t="s">
        <v>233</v>
      </c>
      <c r="CH169" s="16" t="s">
        <v>233</v>
      </c>
      <c r="CI169" s="16" t="s">
        <v>233</v>
      </c>
      <c r="CJ169" s="16" t="s">
        <v>233</v>
      </c>
      <c r="CK169" s="16" t="s">
        <v>233</v>
      </c>
      <c r="CL169" s="16" t="s">
        <v>233</v>
      </c>
      <c r="CM169" s="16" t="s">
        <v>233</v>
      </c>
      <c r="CN169" s="1">
        <f t="shared" si="40"/>
        <v>-0.3</v>
      </c>
      <c r="CO169" s="16" t="s">
        <v>233</v>
      </c>
      <c r="CP169" s="16" t="s">
        <v>233</v>
      </c>
      <c r="CQ169" s="16" t="s">
        <v>233</v>
      </c>
      <c r="CR169" s="16" t="s">
        <v>233</v>
      </c>
      <c r="CS169" s="16" t="s">
        <v>233</v>
      </c>
      <c r="CT169" s="16" t="s">
        <v>233</v>
      </c>
      <c r="CU169" s="2">
        <f t="shared" si="44"/>
        <v>47</v>
      </c>
      <c r="CV169" s="18" t="s">
        <v>233</v>
      </c>
      <c r="CW169" s="1">
        <f>ROUND(PPTest!K169,1)</f>
        <v>0</v>
      </c>
      <c r="CX169" s="16" t="s">
        <v>233</v>
      </c>
      <c r="CY169" s="16" t="s">
        <v>233</v>
      </c>
      <c r="CZ169" s="20">
        <f t="shared" si="41"/>
        <v>0.59299999999999997</v>
      </c>
      <c r="DA169" s="20">
        <f t="shared" si="42"/>
        <v>0.66900000000000004</v>
      </c>
      <c r="DB169" s="16" t="s">
        <v>233</v>
      </c>
      <c r="DD169" s="1">
        <v>8.6</v>
      </c>
      <c r="DE169" s="1">
        <v>12.2</v>
      </c>
      <c r="DF169" s="1">
        <v>4.4000000000000004</v>
      </c>
      <c r="DG169" s="1">
        <v>67.900000000000006</v>
      </c>
      <c r="DH169" s="1">
        <v>54</v>
      </c>
      <c r="DZ169" s="1">
        <v>6</v>
      </c>
      <c r="EA169" s="1">
        <v>12.3</v>
      </c>
      <c r="EB169" s="1">
        <v>0</v>
      </c>
      <c r="EC169" s="1">
        <v>0</v>
      </c>
    </row>
    <row r="170" spans="1:133" x14ac:dyDescent="0.2">
      <c r="A170" s="40">
        <v>35228</v>
      </c>
      <c r="B170" s="34">
        <v>164</v>
      </c>
      <c r="C170" s="34"/>
      <c r="D170" s="34"/>
      <c r="E170" s="49">
        <f t="shared" si="61"/>
        <v>8.6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6"/>
      <c r="Q170" s="3"/>
      <c r="R170" s="49">
        <f t="shared" si="62"/>
        <v>16.2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16"/>
      <c r="AE170" s="3"/>
      <c r="AF170" s="49">
        <f t="shared" si="63"/>
        <v>0.7</v>
      </c>
      <c r="AG170" s="3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"/>
      <c r="BE170" s="3"/>
      <c r="BF170" s="3"/>
      <c r="BH170" s="16">
        <v>33.19</v>
      </c>
      <c r="BI170" s="16">
        <f t="shared" si="35"/>
        <v>67.04379999999999</v>
      </c>
      <c r="BJ170" s="17"/>
      <c r="BK170" s="17"/>
      <c r="BO170" s="50">
        <f t="shared" si="70"/>
        <v>29</v>
      </c>
      <c r="BP170" s="56">
        <f t="shared" si="71"/>
        <v>0.53400000000000003</v>
      </c>
      <c r="BQ170" s="56">
        <f t="shared" si="72"/>
        <v>1.3069999999999999</v>
      </c>
      <c r="BS170" s="1">
        <v>0</v>
      </c>
      <c r="BT170" s="8"/>
      <c r="BV170" s="16" t="s">
        <v>233</v>
      </c>
      <c r="BW170" s="16" t="s">
        <v>233</v>
      </c>
      <c r="BX170" s="3">
        <f t="shared" si="38"/>
        <v>8.6</v>
      </c>
      <c r="BY170" s="16" t="s">
        <v>233</v>
      </c>
      <c r="BZ170" s="16" t="s">
        <v>233</v>
      </c>
      <c r="CA170" s="16" t="s">
        <v>233</v>
      </c>
      <c r="CB170" s="16" t="s">
        <v>233</v>
      </c>
      <c r="CC170" s="16" t="s">
        <v>233</v>
      </c>
      <c r="CD170" s="16" t="s">
        <v>233</v>
      </c>
      <c r="CE170" s="16" t="s">
        <v>233</v>
      </c>
      <c r="CF170" s="1">
        <f t="shared" si="39"/>
        <v>16.2</v>
      </c>
      <c r="CG170" s="16" t="s">
        <v>233</v>
      </c>
      <c r="CH170" s="16" t="s">
        <v>233</v>
      </c>
      <c r="CI170" s="16" t="s">
        <v>233</v>
      </c>
      <c r="CJ170" s="16" t="s">
        <v>233</v>
      </c>
      <c r="CK170" s="16" t="s">
        <v>233</v>
      </c>
      <c r="CL170" s="16" t="s">
        <v>233</v>
      </c>
      <c r="CM170" s="16" t="s">
        <v>233</v>
      </c>
      <c r="CN170" s="1">
        <f t="shared" si="40"/>
        <v>0.7</v>
      </c>
      <c r="CO170" s="16" t="s">
        <v>233</v>
      </c>
      <c r="CP170" s="16" t="s">
        <v>233</v>
      </c>
      <c r="CQ170" s="16" t="s">
        <v>233</v>
      </c>
      <c r="CR170" s="16" t="s">
        <v>233</v>
      </c>
      <c r="CS170" s="16" t="s">
        <v>233</v>
      </c>
      <c r="CT170" s="16" t="s">
        <v>233</v>
      </c>
      <c r="CU170" s="2">
        <f t="shared" ref="CU170:CU205" si="73">ROUND(BO170,1)</f>
        <v>29</v>
      </c>
      <c r="CV170" s="18" t="s">
        <v>233</v>
      </c>
      <c r="CW170" s="1">
        <f>ROUND(PPTest!K170,1)</f>
        <v>0</v>
      </c>
      <c r="CX170" s="16" t="s">
        <v>233</v>
      </c>
      <c r="CY170" s="16" t="s">
        <v>233</v>
      </c>
      <c r="CZ170" s="20">
        <f t="shared" si="41"/>
        <v>0.53400000000000003</v>
      </c>
      <c r="DA170" s="20">
        <f t="shared" si="42"/>
        <v>1.3069999999999999</v>
      </c>
      <c r="DB170" s="16" t="s">
        <v>233</v>
      </c>
      <c r="DD170" s="1">
        <v>12.3</v>
      </c>
      <c r="DE170" s="1">
        <v>18.3</v>
      </c>
      <c r="DF170" s="1">
        <v>5.6</v>
      </c>
      <c r="DG170" s="1">
        <v>52.3</v>
      </c>
      <c r="DH170" s="1">
        <v>33</v>
      </c>
      <c r="DZ170" s="1">
        <v>9.1</v>
      </c>
      <c r="EA170" s="1">
        <v>17.7</v>
      </c>
      <c r="EB170" s="1">
        <v>-1.3</v>
      </c>
      <c r="EC170" s="1">
        <v>0</v>
      </c>
    </row>
    <row r="171" spans="1:133" x14ac:dyDescent="0.2">
      <c r="A171" s="40">
        <v>35229</v>
      </c>
      <c r="B171" s="34">
        <v>165</v>
      </c>
      <c r="C171" s="34"/>
      <c r="D171" s="34"/>
      <c r="E171" s="49">
        <f t="shared" si="61"/>
        <v>9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6"/>
      <c r="Q171" s="3"/>
      <c r="R171" s="49">
        <f t="shared" si="62"/>
        <v>13.4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16"/>
      <c r="AE171" s="3"/>
      <c r="AF171" s="49">
        <f t="shared" si="63"/>
        <v>3.3</v>
      </c>
      <c r="AG171" s="3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"/>
      <c r="BE171" s="3"/>
      <c r="BF171" s="3"/>
      <c r="BH171" s="16">
        <v>33.21</v>
      </c>
      <c r="BI171" s="16">
        <f t="shared" si="35"/>
        <v>67.084199999999996</v>
      </c>
      <c r="BJ171" s="17"/>
      <c r="BK171" s="17"/>
      <c r="BO171" s="50">
        <f t="shared" si="70"/>
        <v>35</v>
      </c>
      <c r="BP171" s="56">
        <f t="shared" si="71"/>
        <v>0.53800000000000003</v>
      </c>
      <c r="BQ171" s="56">
        <f t="shared" si="72"/>
        <v>0.999</v>
      </c>
      <c r="BS171" s="1">
        <v>0</v>
      </c>
      <c r="BT171" s="8"/>
      <c r="BV171" s="16" t="s">
        <v>233</v>
      </c>
      <c r="BW171" s="16" t="s">
        <v>233</v>
      </c>
      <c r="BX171" s="3">
        <f t="shared" si="38"/>
        <v>9</v>
      </c>
      <c r="BY171" s="16" t="s">
        <v>233</v>
      </c>
      <c r="BZ171" s="16" t="s">
        <v>233</v>
      </c>
      <c r="CA171" s="16" t="s">
        <v>233</v>
      </c>
      <c r="CB171" s="16" t="s">
        <v>233</v>
      </c>
      <c r="CC171" s="16" t="s">
        <v>233</v>
      </c>
      <c r="CD171" s="16" t="s">
        <v>233</v>
      </c>
      <c r="CE171" s="16" t="s">
        <v>233</v>
      </c>
      <c r="CF171" s="1">
        <f t="shared" si="39"/>
        <v>13.4</v>
      </c>
      <c r="CG171" s="16" t="s">
        <v>233</v>
      </c>
      <c r="CH171" s="16" t="s">
        <v>233</v>
      </c>
      <c r="CI171" s="16" t="s">
        <v>233</v>
      </c>
      <c r="CJ171" s="16" t="s">
        <v>233</v>
      </c>
      <c r="CK171" s="16" t="s">
        <v>233</v>
      </c>
      <c r="CL171" s="16" t="s">
        <v>233</v>
      </c>
      <c r="CM171" s="16" t="s">
        <v>233</v>
      </c>
      <c r="CN171" s="1">
        <f t="shared" si="40"/>
        <v>3.3</v>
      </c>
      <c r="CO171" s="16" t="s">
        <v>233</v>
      </c>
      <c r="CP171" s="16" t="s">
        <v>233</v>
      </c>
      <c r="CQ171" s="16" t="s">
        <v>233</v>
      </c>
      <c r="CR171" s="16" t="s">
        <v>233</v>
      </c>
      <c r="CS171" s="16" t="s">
        <v>233</v>
      </c>
      <c r="CT171" s="16" t="s">
        <v>233</v>
      </c>
      <c r="CU171" s="2">
        <f t="shared" si="73"/>
        <v>35</v>
      </c>
      <c r="CV171" s="18" t="s">
        <v>233</v>
      </c>
      <c r="CW171" s="1">
        <f>ROUND(PPTest!K171,1)</f>
        <v>0</v>
      </c>
      <c r="CX171" s="16" t="s">
        <v>233</v>
      </c>
      <c r="CY171" s="16" t="s">
        <v>233</v>
      </c>
      <c r="CZ171" s="20">
        <f t="shared" si="41"/>
        <v>0.53800000000000003</v>
      </c>
      <c r="DA171" s="20">
        <f t="shared" si="42"/>
        <v>0.999</v>
      </c>
      <c r="DB171" s="16" t="s">
        <v>233</v>
      </c>
      <c r="DD171" s="1">
        <v>12.8</v>
      </c>
      <c r="DE171" s="1">
        <v>15.4</v>
      </c>
      <c r="DF171" s="1">
        <v>9.1</v>
      </c>
      <c r="DG171" s="1">
        <v>48.4</v>
      </c>
      <c r="DH171" s="1">
        <v>40</v>
      </c>
      <c r="DZ171" s="1">
        <v>9.6</v>
      </c>
      <c r="EA171" s="1">
        <v>15</v>
      </c>
      <c r="EB171" s="1">
        <v>1.8</v>
      </c>
      <c r="EC171" s="1">
        <v>0</v>
      </c>
    </row>
    <row r="172" spans="1:133" x14ac:dyDescent="0.2">
      <c r="A172" s="40">
        <v>35230</v>
      </c>
      <c r="B172" s="34">
        <v>166</v>
      </c>
      <c r="C172" s="34">
        <v>29.93</v>
      </c>
      <c r="D172" s="34">
        <v>54.35</v>
      </c>
      <c r="E172" s="34">
        <v>8.36</v>
      </c>
      <c r="F172" s="34">
        <v>63.66</v>
      </c>
      <c r="G172" s="34">
        <v>8.7200000000000006</v>
      </c>
      <c r="H172" s="34">
        <v>8.19</v>
      </c>
      <c r="I172" s="34">
        <v>9.84</v>
      </c>
      <c r="J172" s="34">
        <v>9.73</v>
      </c>
      <c r="K172" s="34">
        <v>9.89</v>
      </c>
      <c r="L172" s="34">
        <v>8.67</v>
      </c>
      <c r="M172" s="34">
        <v>7.1</v>
      </c>
      <c r="N172" s="34">
        <v>5.5579999999999998</v>
      </c>
      <c r="O172" s="34">
        <v>0</v>
      </c>
      <c r="P172" s="41">
        <v>1.9991666666666668</v>
      </c>
      <c r="Q172" s="34">
        <v>0</v>
      </c>
      <c r="R172" s="34">
        <v>16.77</v>
      </c>
      <c r="S172" s="34">
        <v>1644</v>
      </c>
      <c r="T172" s="34">
        <v>100.6</v>
      </c>
      <c r="U172" s="34">
        <v>337</v>
      </c>
      <c r="V172" s="34">
        <v>17.48</v>
      </c>
      <c r="W172" s="34">
        <v>20.46</v>
      </c>
      <c r="X172" s="34">
        <v>25.23</v>
      </c>
      <c r="Y172" s="34">
        <v>21.09</v>
      </c>
      <c r="Z172" s="34">
        <v>20.46</v>
      </c>
      <c r="AA172" s="34">
        <v>13.07</v>
      </c>
      <c r="AB172" s="34">
        <v>7.82</v>
      </c>
      <c r="AC172" s="34">
        <v>5.8440000000000003</v>
      </c>
      <c r="AD172" s="41">
        <v>5.6074999999999999</v>
      </c>
      <c r="AE172" s="34">
        <v>1052</v>
      </c>
      <c r="AF172" s="34">
        <v>-1.6839999999999999</v>
      </c>
      <c r="AG172" s="34">
        <v>336</v>
      </c>
      <c r="AH172" s="34">
        <v>23.11</v>
      </c>
      <c r="AI172" s="34">
        <v>1645</v>
      </c>
      <c r="AJ172" s="34">
        <v>-2.3679999999999999</v>
      </c>
      <c r="AK172" s="34">
        <v>-2.6349999999999998</v>
      </c>
      <c r="AL172" s="34">
        <v>-2.8140000000000001</v>
      </c>
      <c r="AM172" s="34">
        <v>-1.4710000000000001</v>
      </c>
      <c r="AN172" s="34">
        <v>-1.2789999999999999</v>
      </c>
      <c r="AO172" s="34">
        <v>4.5330000000000004</v>
      </c>
      <c r="AP172" s="34">
        <v>6.6360000000000001</v>
      </c>
      <c r="AQ172" s="34">
        <v>5.1959999999999997</v>
      </c>
      <c r="AR172" s="34">
        <v>3.5000000000000003E-2</v>
      </c>
      <c r="AS172" s="34">
        <v>0.23699999999999999</v>
      </c>
      <c r="AT172" s="34">
        <v>0.19800000000000001</v>
      </c>
      <c r="AU172" s="34">
        <v>8.9999999999999993E-3</v>
      </c>
      <c r="AV172" s="34">
        <v>7.8E-2</v>
      </c>
      <c r="AW172" s="34">
        <v>0.24</v>
      </c>
      <c r="AX172" s="34">
        <v>0.14399999999999999</v>
      </c>
      <c r="AY172" s="34">
        <v>5.8999999999999997E-2</v>
      </c>
      <c r="AZ172" s="34">
        <v>9.32</v>
      </c>
      <c r="BA172" s="34">
        <v>3474</v>
      </c>
      <c r="BB172" s="34">
        <v>12.86</v>
      </c>
      <c r="BC172" s="34">
        <v>2876</v>
      </c>
      <c r="BD172" s="3"/>
      <c r="BE172" s="3"/>
      <c r="BF172" s="3"/>
      <c r="BH172" s="16">
        <v>33.229999999999997</v>
      </c>
      <c r="BI172" s="16">
        <f t="shared" si="35"/>
        <v>67.124600000000001</v>
      </c>
      <c r="BJ172" s="17">
        <f t="shared" ref="BJ172:BJ205" si="74">ROUND(C172*BJ$2,2)</f>
        <v>29.93</v>
      </c>
      <c r="BK172" s="17">
        <f t="shared" ref="BK172:BK205" si="75">ROUND(D172*BK$2,2)</f>
        <v>57.04</v>
      </c>
      <c r="BM172" s="1">
        <f t="shared" ref="BM172:BM205" si="76">ROUND(T172*BM$3+BM$4,1)</f>
        <v>94</v>
      </c>
      <c r="BN172" s="1">
        <f t="shared" ref="BN172:BN205" si="77">ROUND(F172*BM$3+BM$4,1)</f>
        <v>59.8</v>
      </c>
      <c r="BO172" s="1">
        <f t="shared" ref="BO172:BO205" si="78">ROUND(AH172*BM$3+BM$4,1)</f>
        <v>22.4</v>
      </c>
      <c r="BP172" s="56">
        <f t="shared" si="71"/>
        <v>0.42799999999999999</v>
      </c>
      <c r="BQ172" s="56">
        <f t="shared" si="72"/>
        <v>1.4830000000000001</v>
      </c>
      <c r="BS172" s="1">
        <v>0</v>
      </c>
      <c r="BT172" s="8"/>
      <c r="BV172" s="16">
        <f t="shared" ref="BV172:BV199" si="79">BJ172</f>
        <v>29.93</v>
      </c>
      <c r="BW172" s="16">
        <f t="shared" ref="BW172:BW199" si="80">BK172</f>
        <v>57.04</v>
      </c>
      <c r="BX172" s="3">
        <f t="shared" si="38"/>
        <v>8.4</v>
      </c>
      <c r="BY172" s="3">
        <f t="shared" ref="BY172:BY205" si="81">ROUND(G172,1)</f>
        <v>8.6999999999999993</v>
      </c>
      <c r="BZ172" s="3">
        <f t="shared" ref="BZ172:BZ205" si="82">ROUND(H172,1)</f>
        <v>8.1999999999999993</v>
      </c>
      <c r="CA172" s="3">
        <f t="shared" ref="CA172:CA205" si="83">ROUND(I172,1)</f>
        <v>9.8000000000000007</v>
      </c>
      <c r="CB172" s="3">
        <f t="shared" ref="CB172:CB205" si="84">ROUND(L172,1)</f>
        <v>8.6999999999999993</v>
      </c>
      <c r="CC172" s="3">
        <f t="shared" ref="CC172:CC205" si="85">ROUND(M172,1)</f>
        <v>7.1</v>
      </c>
      <c r="CD172" s="3">
        <f t="shared" ref="CD172:CD205" si="86">ROUND(N172,1)</f>
        <v>5.6</v>
      </c>
      <c r="CE172" s="23">
        <f t="shared" ref="CE172:CE205" si="87">ROUND(BN172,1)</f>
        <v>59.8</v>
      </c>
      <c r="CF172" s="1">
        <f t="shared" si="39"/>
        <v>16.8</v>
      </c>
      <c r="CG172" s="1">
        <f t="shared" ref="CG172:CG205" si="88">ROUND(V172,1)</f>
        <v>17.5</v>
      </c>
      <c r="CH172" s="1">
        <f t="shared" ref="CH172:CH205" si="89">ROUND(W172,1)</f>
        <v>20.5</v>
      </c>
      <c r="CI172" s="1">
        <f t="shared" ref="CI172:CI205" si="90">ROUND(X172,1)</f>
        <v>25.2</v>
      </c>
      <c r="CJ172" s="1">
        <f t="shared" ref="CJ172:CJ205" si="91">ROUND(AA172,1)</f>
        <v>13.1</v>
      </c>
      <c r="CK172" s="1">
        <f t="shared" ref="CK172:CK205" si="92">ROUND(AB172,1)</f>
        <v>7.8</v>
      </c>
      <c r="CL172" s="1">
        <f t="shared" ref="CL172:CL205" si="93">ROUND(AC172,1)</f>
        <v>5.8</v>
      </c>
      <c r="CM172" s="2">
        <f t="shared" ref="CM172:CM205" si="94">ROUND(BM172,1)</f>
        <v>94</v>
      </c>
      <c r="CN172" s="1">
        <f t="shared" si="40"/>
        <v>-1.7</v>
      </c>
      <c r="CO172" s="1">
        <f t="shared" ref="CO172:CO205" si="95">ROUND(AJ172,1)</f>
        <v>-2.4</v>
      </c>
      <c r="CP172" s="1">
        <f t="shared" ref="CP172:CP205" si="96">ROUND(AK172,1)</f>
        <v>-2.6</v>
      </c>
      <c r="CQ172" s="1">
        <f t="shared" ref="CQ172:CQ205" si="97">ROUND(AL172,1)</f>
        <v>-2.8</v>
      </c>
      <c r="CR172" s="1">
        <f t="shared" ref="CR172:CR205" si="98">ROUND(AO172,1)</f>
        <v>4.5</v>
      </c>
      <c r="CS172" s="1">
        <f t="shared" ref="CS172:CS205" si="99">ROUND(AP172,1)</f>
        <v>6.6</v>
      </c>
      <c r="CT172" s="1">
        <f t="shared" ref="CT172:CT205" si="100">ROUND(AQ172,1)</f>
        <v>5.2</v>
      </c>
      <c r="CU172" s="2">
        <f t="shared" si="73"/>
        <v>22.4</v>
      </c>
      <c r="CV172" s="18" t="s">
        <v>233</v>
      </c>
      <c r="CW172" s="1">
        <f>ROUND(PPTest!K172,1)</f>
        <v>0</v>
      </c>
      <c r="CX172" s="17">
        <f t="shared" ref="CX172:CX205" si="101">ROUND(P172,2)</f>
        <v>2</v>
      </c>
      <c r="CY172" s="17">
        <f t="shared" ref="CY172:CY205" si="102">ROUND(AD172,2)</f>
        <v>5.61</v>
      </c>
      <c r="CZ172" s="20">
        <f t="shared" si="41"/>
        <v>0.42799999999999999</v>
      </c>
      <c r="DA172" s="20">
        <f t="shared" si="42"/>
        <v>1.4830000000000001</v>
      </c>
      <c r="DB172" s="16">
        <f t="shared" ref="DB172:DB205" si="103">BB172</f>
        <v>12.86</v>
      </c>
      <c r="DD172" s="1">
        <v>13</v>
      </c>
      <c r="DE172" s="1">
        <v>18.100000000000001</v>
      </c>
      <c r="DF172" s="1">
        <v>7.5</v>
      </c>
      <c r="DG172" s="1">
        <v>50.7</v>
      </c>
      <c r="DH172" s="1">
        <v>37</v>
      </c>
      <c r="DZ172" s="1">
        <v>10.4</v>
      </c>
      <c r="EA172" s="1">
        <v>18.100000000000001</v>
      </c>
      <c r="EB172" s="1">
        <v>-1</v>
      </c>
      <c r="EC172" s="1">
        <v>0</v>
      </c>
    </row>
    <row r="173" spans="1:133" x14ac:dyDescent="0.2">
      <c r="A173" s="40">
        <v>35231</v>
      </c>
      <c r="B173" s="34">
        <v>167</v>
      </c>
      <c r="C173" s="34">
        <v>20.56</v>
      </c>
      <c r="D173" s="34">
        <v>37.630000000000003</v>
      </c>
      <c r="E173" s="34">
        <v>7.39</v>
      </c>
      <c r="F173" s="34">
        <v>70</v>
      </c>
      <c r="G173" s="34">
        <v>7.65</v>
      </c>
      <c r="H173" s="34">
        <v>7.05</v>
      </c>
      <c r="I173" s="34">
        <v>7.99</v>
      </c>
      <c r="J173" s="34">
        <v>7.86</v>
      </c>
      <c r="K173" s="34">
        <v>8.17</v>
      </c>
      <c r="L173" s="34">
        <v>8.33</v>
      </c>
      <c r="M173" s="34">
        <v>7.44</v>
      </c>
      <c r="N173" s="34">
        <v>5.718</v>
      </c>
      <c r="O173" s="34">
        <v>0</v>
      </c>
      <c r="P173" s="41">
        <v>2.1691666666666665</v>
      </c>
      <c r="Q173" s="34">
        <v>1</v>
      </c>
      <c r="R173" s="34">
        <v>15.55</v>
      </c>
      <c r="S173" s="34">
        <v>1220</v>
      </c>
      <c r="T173" s="34">
        <v>100</v>
      </c>
      <c r="U173" s="34">
        <v>2037</v>
      </c>
      <c r="V173" s="34">
        <v>18.059999999999999</v>
      </c>
      <c r="W173" s="34">
        <v>19.84</v>
      </c>
      <c r="X173" s="34">
        <v>25.48</v>
      </c>
      <c r="Y173" s="34">
        <v>19.68</v>
      </c>
      <c r="Z173" s="34">
        <v>19.75</v>
      </c>
      <c r="AA173" s="34">
        <v>12.03</v>
      </c>
      <c r="AB173" s="34">
        <v>7.73</v>
      </c>
      <c r="AC173" s="34">
        <v>5.9610000000000003</v>
      </c>
      <c r="AD173" s="41">
        <v>5.2874999999999996</v>
      </c>
      <c r="AE173" s="34">
        <v>2214</v>
      </c>
      <c r="AF173" s="34">
        <v>-0.92700000000000005</v>
      </c>
      <c r="AG173" s="34">
        <v>412</v>
      </c>
      <c r="AH173" s="34">
        <v>41.05</v>
      </c>
      <c r="AI173" s="34">
        <v>1131</v>
      </c>
      <c r="AJ173" s="34">
        <v>-1.5329999999999999</v>
      </c>
      <c r="AK173" s="34">
        <v>-1.821</v>
      </c>
      <c r="AL173" s="34">
        <v>-1.954</v>
      </c>
      <c r="AM173" s="34">
        <v>-1.3919999999999999</v>
      </c>
      <c r="AN173" s="34">
        <v>-1.407</v>
      </c>
      <c r="AO173" s="34">
        <v>5.5110000000000001</v>
      </c>
      <c r="AP173" s="34">
        <v>7.12</v>
      </c>
      <c r="AQ173" s="34">
        <v>5.3840000000000003</v>
      </c>
      <c r="AR173" s="34">
        <v>3.1E-2</v>
      </c>
      <c r="AS173" s="34">
        <v>0.22700000000000001</v>
      </c>
      <c r="AT173" s="34">
        <v>0.18099999999999999</v>
      </c>
      <c r="AU173" s="34">
        <v>1.7999999999999999E-2</v>
      </c>
      <c r="AV173" s="34">
        <v>0.14799999999999999</v>
      </c>
      <c r="AW173" s="34">
        <v>0.313</v>
      </c>
      <c r="AX173" s="34">
        <v>6.0999999999999999E-2</v>
      </c>
      <c r="AY173" s="34">
        <v>2.1999999999999999E-2</v>
      </c>
      <c r="AZ173" s="34">
        <v>7.63</v>
      </c>
      <c r="BA173" s="34">
        <v>3474</v>
      </c>
      <c r="BB173" s="34">
        <v>12.91</v>
      </c>
      <c r="BC173" s="34">
        <v>2876</v>
      </c>
      <c r="BD173" s="3"/>
      <c r="BE173" s="3"/>
      <c r="BF173" s="3"/>
      <c r="BH173" s="16">
        <v>33.24</v>
      </c>
      <c r="BI173" s="16">
        <f t="shared" si="35"/>
        <v>67.144800000000004</v>
      </c>
      <c r="BJ173" s="17">
        <f t="shared" si="74"/>
        <v>20.56</v>
      </c>
      <c r="BK173" s="17">
        <f t="shared" si="75"/>
        <v>39.49</v>
      </c>
      <c r="BM173" s="1">
        <f t="shared" si="76"/>
        <v>93.4</v>
      </c>
      <c r="BN173" s="1">
        <f t="shared" si="77"/>
        <v>65.7</v>
      </c>
      <c r="BO173" s="1">
        <f t="shared" si="78"/>
        <v>38.9</v>
      </c>
      <c r="BP173" s="56">
        <f t="shared" si="71"/>
        <v>0.68700000000000006</v>
      </c>
      <c r="BQ173" s="56">
        <f t="shared" si="72"/>
        <v>1.079</v>
      </c>
      <c r="BS173" s="1">
        <v>0.3</v>
      </c>
      <c r="BT173" s="8"/>
      <c r="BV173" s="16">
        <f t="shared" si="79"/>
        <v>20.56</v>
      </c>
      <c r="BW173" s="16">
        <f t="shared" si="80"/>
        <v>39.49</v>
      </c>
      <c r="BX173" s="3">
        <f t="shared" si="38"/>
        <v>7.4</v>
      </c>
      <c r="BY173" s="3">
        <f t="shared" si="81"/>
        <v>7.7</v>
      </c>
      <c r="BZ173" s="3">
        <f t="shared" si="82"/>
        <v>7.1</v>
      </c>
      <c r="CA173" s="3">
        <f t="shared" si="83"/>
        <v>8</v>
      </c>
      <c r="CB173" s="3">
        <f t="shared" si="84"/>
        <v>8.3000000000000007</v>
      </c>
      <c r="CC173" s="3">
        <f t="shared" si="85"/>
        <v>7.4</v>
      </c>
      <c r="CD173" s="3">
        <f t="shared" si="86"/>
        <v>5.7</v>
      </c>
      <c r="CE173" s="23">
        <f t="shared" si="87"/>
        <v>65.7</v>
      </c>
      <c r="CF173" s="1">
        <f t="shared" si="39"/>
        <v>15.6</v>
      </c>
      <c r="CG173" s="1">
        <f t="shared" si="88"/>
        <v>18.100000000000001</v>
      </c>
      <c r="CH173" s="1">
        <f t="shared" si="89"/>
        <v>19.8</v>
      </c>
      <c r="CI173" s="1">
        <f t="shared" si="90"/>
        <v>25.5</v>
      </c>
      <c r="CJ173" s="1">
        <f t="shared" si="91"/>
        <v>12</v>
      </c>
      <c r="CK173" s="1">
        <f t="shared" si="92"/>
        <v>7.7</v>
      </c>
      <c r="CL173" s="1">
        <f t="shared" si="93"/>
        <v>6</v>
      </c>
      <c r="CM173" s="2">
        <f t="shared" si="94"/>
        <v>93.4</v>
      </c>
      <c r="CN173" s="1">
        <f t="shared" si="40"/>
        <v>-0.9</v>
      </c>
      <c r="CO173" s="1">
        <f t="shared" si="95"/>
        <v>-1.5</v>
      </c>
      <c r="CP173" s="1">
        <f t="shared" si="96"/>
        <v>-1.8</v>
      </c>
      <c r="CQ173" s="1">
        <f t="shared" si="97"/>
        <v>-2</v>
      </c>
      <c r="CR173" s="1">
        <f t="shared" si="98"/>
        <v>5.5</v>
      </c>
      <c r="CS173" s="1">
        <f t="shared" si="99"/>
        <v>7.1</v>
      </c>
      <c r="CT173" s="1">
        <f t="shared" si="100"/>
        <v>5.4</v>
      </c>
      <c r="CU173" s="2">
        <f t="shared" si="73"/>
        <v>38.9</v>
      </c>
      <c r="CV173" s="18" t="s">
        <v>233</v>
      </c>
      <c r="CW173" s="1">
        <f>ROUND(PPTest!K173,1)</f>
        <v>1</v>
      </c>
      <c r="CX173" s="17">
        <f t="shared" si="101"/>
        <v>2.17</v>
      </c>
      <c r="CY173" s="17">
        <f t="shared" si="102"/>
        <v>5.29</v>
      </c>
      <c r="CZ173" s="20">
        <f t="shared" si="41"/>
        <v>0.68700000000000006</v>
      </c>
      <c r="DA173" s="20">
        <f t="shared" si="42"/>
        <v>1.079</v>
      </c>
      <c r="DB173" s="16">
        <f t="shared" si="103"/>
        <v>12.91</v>
      </c>
      <c r="DD173" s="1">
        <v>11.4</v>
      </c>
      <c r="DE173" s="1">
        <v>16.3</v>
      </c>
      <c r="DF173" s="1">
        <v>7.2</v>
      </c>
      <c r="DG173" s="1">
        <v>52.7</v>
      </c>
      <c r="DH173" s="1">
        <v>47</v>
      </c>
      <c r="DZ173" s="1">
        <v>9.3000000000000007</v>
      </c>
      <c r="EA173" s="1">
        <v>16.7</v>
      </c>
      <c r="EB173" s="1">
        <v>0.4</v>
      </c>
      <c r="EC173" s="1">
        <v>0</v>
      </c>
    </row>
    <row r="174" spans="1:133" x14ac:dyDescent="0.2">
      <c r="A174" s="40">
        <v>35232</v>
      </c>
      <c r="B174" s="34">
        <v>168</v>
      </c>
      <c r="C174" s="34">
        <v>26.84</v>
      </c>
      <c r="D174" s="34">
        <v>48.54</v>
      </c>
      <c r="E174" s="34">
        <v>7.03</v>
      </c>
      <c r="F174" s="34">
        <v>59.99</v>
      </c>
      <c r="G174" s="34">
        <v>7.52</v>
      </c>
      <c r="H174" s="34">
        <v>6.8010000000000002</v>
      </c>
      <c r="I174" s="34">
        <v>8.4</v>
      </c>
      <c r="J174" s="34">
        <v>8.17</v>
      </c>
      <c r="K174" s="34">
        <v>8.4700000000000006</v>
      </c>
      <c r="L174" s="34">
        <v>8.07</v>
      </c>
      <c r="M174" s="34">
        <v>7.21</v>
      </c>
      <c r="N174" s="34">
        <v>5.9050000000000002</v>
      </c>
      <c r="O174" s="34">
        <v>0</v>
      </c>
      <c r="P174" s="41">
        <v>1.7558333333333336</v>
      </c>
      <c r="Q174" s="34">
        <v>0</v>
      </c>
      <c r="R174" s="34">
        <v>13.16</v>
      </c>
      <c r="S174" s="34">
        <v>1336</v>
      </c>
      <c r="T174" s="34">
        <v>98.1</v>
      </c>
      <c r="U174" s="34">
        <v>417</v>
      </c>
      <c r="V174" s="34">
        <v>14.83</v>
      </c>
      <c r="W174" s="34">
        <v>16.52</v>
      </c>
      <c r="X174" s="34">
        <v>22.61</v>
      </c>
      <c r="Y174" s="34">
        <v>16.8</v>
      </c>
      <c r="Z174" s="34">
        <v>17.100000000000001</v>
      </c>
      <c r="AA174" s="34">
        <v>11.68</v>
      </c>
      <c r="AB174" s="34">
        <v>7.62</v>
      </c>
      <c r="AC174" s="34">
        <v>6.125</v>
      </c>
      <c r="AD174" s="41">
        <v>4.1808333333333332</v>
      </c>
      <c r="AE174" s="34">
        <v>1251</v>
      </c>
      <c r="AF174" s="34">
        <v>-2.202</v>
      </c>
      <c r="AG174" s="34">
        <v>417</v>
      </c>
      <c r="AH174" s="34">
        <v>26.18</v>
      </c>
      <c r="AI174" s="34">
        <v>1822</v>
      </c>
      <c r="AJ174" s="34">
        <v>-2.9159999999999999</v>
      </c>
      <c r="AK174" s="34">
        <v>-3.2509999999999999</v>
      </c>
      <c r="AL174" s="34">
        <v>-3.5739999999999998</v>
      </c>
      <c r="AM174" s="34">
        <v>-1.65</v>
      </c>
      <c r="AN174" s="34">
        <v>-1.0369999999999999</v>
      </c>
      <c r="AO174" s="34">
        <v>4.7249999999999996</v>
      </c>
      <c r="AP174" s="34">
        <v>6.8460000000000001</v>
      </c>
      <c r="AQ174" s="34">
        <v>5.5439999999999996</v>
      </c>
      <c r="AR174" s="34">
        <v>8.3000000000000004E-2</v>
      </c>
      <c r="AS174" s="34">
        <v>0.248</v>
      </c>
      <c r="AT174" s="34">
        <v>0.17899999999999999</v>
      </c>
      <c r="AU174" s="34">
        <v>3.5999999999999997E-2</v>
      </c>
      <c r="AV174" s="34">
        <v>0.122</v>
      </c>
      <c r="AW174" s="34">
        <v>0.20799999999999999</v>
      </c>
      <c r="AX174" s="34">
        <v>6.5000000000000002E-2</v>
      </c>
      <c r="AY174" s="34">
        <v>0.06</v>
      </c>
      <c r="AZ174" s="34">
        <v>7.62</v>
      </c>
      <c r="BA174" s="34">
        <v>3474</v>
      </c>
      <c r="BB174" s="34">
        <v>12.92</v>
      </c>
      <c r="BC174" s="34">
        <v>2876</v>
      </c>
      <c r="BD174" s="3"/>
      <c r="BE174" s="3"/>
      <c r="BF174" s="3"/>
      <c r="BH174" s="16">
        <v>33.24</v>
      </c>
      <c r="BI174" s="16">
        <f t="shared" si="35"/>
        <v>67.144800000000004</v>
      </c>
      <c r="BJ174" s="17">
        <f t="shared" si="74"/>
        <v>26.84</v>
      </c>
      <c r="BK174" s="17">
        <f t="shared" si="75"/>
        <v>50.94</v>
      </c>
      <c r="BM174" s="1">
        <f t="shared" si="76"/>
        <v>91.6</v>
      </c>
      <c r="BN174" s="1">
        <f t="shared" si="77"/>
        <v>56.4</v>
      </c>
      <c r="BO174" s="1">
        <f t="shared" si="78"/>
        <v>25.2</v>
      </c>
      <c r="BP174" s="56">
        <f t="shared" si="71"/>
        <v>0.38100000000000001</v>
      </c>
      <c r="BQ174" s="56">
        <f t="shared" si="72"/>
        <v>1.131</v>
      </c>
      <c r="BS174" s="1">
        <v>0</v>
      </c>
      <c r="BT174" s="8"/>
      <c r="BV174" s="16">
        <f t="shared" si="79"/>
        <v>26.84</v>
      </c>
      <c r="BW174" s="16">
        <f t="shared" si="80"/>
        <v>50.94</v>
      </c>
      <c r="BX174" s="3">
        <f t="shared" si="38"/>
        <v>7</v>
      </c>
      <c r="BY174" s="3">
        <f t="shared" si="81"/>
        <v>7.5</v>
      </c>
      <c r="BZ174" s="3">
        <f t="shared" si="82"/>
        <v>6.8</v>
      </c>
      <c r="CA174" s="3">
        <f t="shared" si="83"/>
        <v>8.4</v>
      </c>
      <c r="CB174" s="3">
        <f t="shared" si="84"/>
        <v>8.1</v>
      </c>
      <c r="CC174" s="3">
        <f t="shared" si="85"/>
        <v>7.2</v>
      </c>
      <c r="CD174" s="3">
        <f t="shared" si="86"/>
        <v>5.9</v>
      </c>
      <c r="CE174" s="23">
        <f t="shared" si="87"/>
        <v>56.4</v>
      </c>
      <c r="CF174" s="1">
        <f t="shared" si="39"/>
        <v>13.2</v>
      </c>
      <c r="CG174" s="1">
        <f t="shared" si="88"/>
        <v>14.8</v>
      </c>
      <c r="CH174" s="1">
        <f t="shared" si="89"/>
        <v>16.5</v>
      </c>
      <c r="CI174" s="1">
        <f t="shared" si="90"/>
        <v>22.6</v>
      </c>
      <c r="CJ174" s="1">
        <f t="shared" si="91"/>
        <v>11.7</v>
      </c>
      <c r="CK174" s="1">
        <f t="shared" si="92"/>
        <v>7.6</v>
      </c>
      <c r="CL174" s="1">
        <f t="shared" si="93"/>
        <v>6.1</v>
      </c>
      <c r="CM174" s="2">
        <f t="shared" si="94"/>
        <v>91.6</v>
      </c>
      <c r="CN174" s="1">
        <f t="shared" si="40"/>
        <v>-2.2000000000000002</v>
      </c>
      <c r="CO174" s="1">
        <f t="shared" si="95"/>
        <v>-2.9</v>
      </c>
      <c r="CP174" s="1">
        <f t="shared" si="96"/>
        <v>-3.3</v>
      </c>
      <c r="CQ174" s="1">
        <f t="shared" si="97"/>
        <v>-3.6</v>
      </c>
      <c r="CR174" s="1">
        <f t="shared" si="98"/>
        <v>4.7</v>
      </c>
      <c r="CS174" s="1">
        <f t="shared" si="99"/>
        <v>6.8</v>
      </c>
      <c r="CT174" s="1">
        <f t="shared" si="100"/>
        <v>5.5</v>
      </c>
      <c r="CU174" s="2">
        <f t="shared" si="73"/>
        <v>25.2</v>
      </c>
      <c r="CV174" s="18" t="s">
        <v>233</v>
      </c>
      <c r="CW174" s="1">
        <f>ROUND(PPTest!K174,1)</f>
        <v>0</v>
      </c>
      <c r="CX174" s="17">
        <f t="shared" si="101"/>
        <v>1.76</v>
      </c>
      <c r="CY174" s="17">
        <f t="shared" si="102"/>
        <v>4.18</v>
      </c>
      <c r="CZ174" s="20">
        <f t="shared" si="41"/>
        <v>0.38100000000000001</v>
      </c>
      <c r="DA174" s="20">
        <f t="shared" si="42"/>
        <v>1.131</v>
      </c>
      <c r="DB174" s="16">
        <f t="shared" si="103"/>
        <v>12.92</v>
      </c>
      <c r="DD174" s="1">
        <v>10.5</v>
      </c>
      <c r="DE174" s="1">
        <v>15.7</v>
      </c>
      <c r="DF174" s="1">
        <v>4.0999999999999996</v>
      </c>
      <c r="DG174" s="1">
        <v>49.3</v>
      </c>
      <c r="DH174" s="1">
        <v>39</v>
      </c>
      <c r="DZ174" s="1">
        <v>8.3000000000000007</v>
      </c>
      <c r="EA174" s="1">
        <v>14.8</v>
      </c>
      <c r="EB174" s="1">
        <v>-2.2999999999999998</v>
      </c>
      <c r="EC174" s="1">
        <v>0</v>
      </c>
    </row>
    <row r="175" spans="1:133" x14ac:dyDescent="0.2">
      <c r="A175" s="40">
        <v>35233</v>
      </c>
      <c r="B175" s="34">
        <v>169</v>
      </c>
      <c r="C175" s="34">
        <v>13.81</v>
      </c>
      <c r="D175" s="34">
        <v>26.05</v>
      </c>
      <c r="E175" s="34">
        <v>4.3460000000000001</v>
      </c>
      <c r="F175" s="34">
        <v>88.9</v>
      </c>
      <c r="G175" s="34">
        <v>4.2640000000000002</v>
      </c>
      <c r="H175" s="34">
        <v>4.1219999999999999</v>
      </c>
      <c r="I175" s="34">
        <v>5.35</v>
      </c>
      <c r="J175" s="34">
        <v>4.4859999999999998</v>
      </c>
      <c r="K175" s="34">
        <v>4.7720000000000002</v>
      </c>
      <c r="L175" s="34">
        <v>7.83</v>
      </c>
      <c r="M175" s="34">
        <v>7.26</v>
      </c>
      <c r="N175" s="34">
        <v>6.0049999999999999</v>
      </c>
      <c r="O175" s="34">
        <v>0</v>
      </c>
      <c r="P175" s="41">
        <v>1.8274999999999999</v>
      </c>
      <c r="Q175" s="34">
        <v>6</v>
      </c>
      <c r="R175" s="34">
        <v>7.77</v>
      </c>
      <c r="S175" s="34">
        <v>1523</v>
      </c>
      <c r="T175" s="34">
        <v>104.7</v>
      </c>
      <c r="U175" s="34">
        <v>2227</v>
      </c>
      <c r="V175" s="34">
        <v>8.5299999999999994</v>
      </c>
      <c r="W175" s="34">
        <v>9.4700000000000006</v>
      </c>
      <c r="X175" s="34">
        <v>12.38</v>
      </c>
      <c r="Y175" s="34">
        <v>10.85</v>
      </c>
      <c r="Z175" s="34">
        <v>10.19</v>
      </c>
      <c r="AA175" s="34">
        <v>9.6199999999999992</v>
      </c>
      <c r="AB175" s="34">
        <v>7.57</v>
      </c>
      <c r="AC175" s="34">
        <v>6.1840000000000002</v>
      </c>
      <c r="AD175" s="41">
        <v>3.8875000000000002</v>
      </c>
      <c r="AE175" s="34">
        <v>1603</v>
      </c>
      <c r="AF175" s="34">
        <v>1.909</v>
      </c>
      <c r="AG175" s="34">
        <v>2334</v>
      </c>
      <c r="AH175" s="34">
        <v>59.76</v>
      </c>
      <c r="AI175" s="34">
        <v>1515</v>
      </c>
      <c r="AJ175" s="34">
        <v>1.3380000000000001</v>
      </c>
      <c r="AK175" s="34">
        <v>1.21</v>
      </c>
      <c r="AL175" s="34">
        <v>1.1639999999999999</v>
      </c>
      <c r="AM175" s="34">
        <v>1.4450000000000001</v>
      </c>
      <c r="AN175" s="34">
        <v>1.399</v>
      </c>
      <c r="AO175" s="34">
        <v>6.399</v>
      </c>
      <c r="AP175" s="34">
        <v>7.05</v>
      </c>
      <c r="AQ175" s="34">
        <v>5.8719999999999999</v>
      </c>
      <c r="AR175" s="34">
        <v>7.5999999999999998E-2</v>
      </c>
      <c r="AS175" s="34">
        <v>5.3999999999999999E-2</v>
      </c>
      <c r="AT175" s="34">
        <v>3.5000000000000003E-2</v>
      </c>
      <c r="AU175" s="34">
        <v>3.9E-2</v>
      </c>
      <c r="AV175" s="34">
        <v>0.16500000000000001</v>
      </c>
      <c r="AW175" s="34">
        <v>0.44400000000000001</v>
      </c>
      <c r="AX175" s="34">
        <v>0.128</v>
      </c>
      <c r="AY175" s="34">
        <v>5.8000000000000003E-2</v>
      </c>
      <c r="AZ175" s="34">
        <v>5.1390000000000002</v>
      </c>
      <c r="BA175" s="34">
        <v>3474</v>
      </c>
      <c r="BB175" s="34">
        <v>13.04</v>
      </c>
      <c r="BC175" s="34">
        <v>2876</v>
      </c>
      <c r="BD175" s="3"/>
      <c r="BE175" s="3"/>
      <c r="BF175" s="3"/>
      <c r="BH175" s="16">
        <v>33.25</v>
      </c>
      <c r="BI175" s="16">
        <f t="shared" si="35"/>
        <v>67.165000000000006</v>
      </c>
      <c r="BJ175" s="17">
        <f t="shared" si="74"/>
        <v>13.81</v>
      </c>
      <c r="BK175" s="17">
        <f t="shared" si="75"/>
        <v>27.34</v>
      </c>
      <c r="BM175" s="1">
        <f t="shared" si="76"/>
        <v>97.7</v>
      </c>
      <c r="BN175" s="1">
        <f t="shared" si="77"/>
        <v>83.1</v>
      </c>
      <c r="BO175" s="1">
        <f t="shared" si="78"/>
        <v>56.2</v>
      </c>
      <c r="BP175" s="56">
        <f t="shared" si="71"/>
        <v>0.59299999999999997</v>
      </c>
      <c r="BQ175" s="56">
        <f t="shared" si="72"/>
        <v>0.46200000000000002</v>
      </c>
      <c r="BS175" s="3">
        <v>9.6999999999999993</v>
      </c>
      <c r="BT175" s="8"/>
      <c r="BV175" s="16">
        <f t="shared" si="79"/>
        <v>13.81</v>
      </c>
      <c r="BW175" s="16">
        <f t="shared" si="80"/>
        <v>27.34</v>
      </c>
      <c r="BX175" s="3">
        <f t="shared" si="38"/>
        <v>4.3</v>
      </c>
      <c r="BY175" s="3">
        <f t="shared" si="81"/>
        <v>4.3</v>
      </c>
      <c r="BZ175" s="3">
        <f t="shared" si="82"/>
        <v>4.0999999999999996</v>
      </c>
      <c r="CA175" s="3">
        <f t="shared" si="83"/>
        <v>5.4</v>
      </c>
      <c r="CB175" s="3">
        <f t="shared" si="84"/>
        <v>7.8</v>
      </c>
      <c r="CC175" s="3">
        <f t="shared" si="85"/>
        <v>7.3</v>
      </c>
      <c r="CD175" s="3">
        <f t="shared" si="86"/>
        <v>6</v>
      </c>
      <c r="CE175" s="23">
        <f t="shared" si="87"/>
        <v>83.1</v>
      </c>
      <c r="CF175" s="1">
        <f t="shared" si="39"/>
        <v>7.8</v>
      </c>
      <c r="CG175" s="1">
        <f t="shared" si="88"/>
        <v>8.5</v>
      </c>
      <c r="CH175" s="1">
        <f t="shared" si="89"/>
        <v>9.5</v>
      </c>
      <c r="CI175" s="1">
        <f t="shared" si="90"/>
        <v>12.4</v>
      </c>
      <c r="CJ175" s="1">
        <f t="shared" si="91"/>
        <v>9.6</v>
      </c>
      <c r="CK175" s="1">
        <f t="shared" si="92"/>
        <v>7.6</v>
      </c>
      <c r="CL175" s="1">
        <f t="shared" si="93"/>
        <v>6.2</v>
      </c>
      <c r="CM175" s="2">
        <f t="shared" si="94"/>
        <v>97.7</v>
      </c>
      <c r="CN175" s="1">
        <f t="shared" si="40"/>
        <v>1.9</v>
      </c>
      <c r="CO175" s="1">
        <f t="shared" si="95"/>
        <v>1.3</v>
      </c>
      <c r="CP175" s="1">
        <f t="shared" si="96"/>
        <v>1.2</v>
      </c>
      <c r="CQ175" s="1">
        <f t="shared" si="97"/>
        <v>1.2</v>
      </c>
      <c r="CR175" s="1">
        <f t="shared" si="98"/>
        <v>6.4</v>
      </c>
      <c r="CS175" s="1">
        <f t="shared" si="99"/>
        <v>7.1</v>
      </c>
      <c r="CT175" s="1">
        <f t="shared" si="100"/>
        <v>5.9</v>
      </c>
      <c r="CU175" s="2">
        <f t="shared" si="73"/>
        <v>56.2</v>
      </c>
      <c r="CV175" s="18" t="s">
        <v>233</v>
      </c>
      <c r="CW175" s="1">
        <f>ROUND(PPTest!K175,1)</f>
        <v>6</v>
      </c>
      <c r="CX175" s="17">
        <f t="shared" si="101"/>
        <v>1.83</v>
      </c>
      <c r="CY175" s="17">
        <f t="shared" si="102"/>
        <v>3.89</v>
      </c>
      <c r="CZ175" s="20">
        <f t="shared" si="41"/>
        <v>0.59299999999999997</v>
      </c>
      <c r="DA175" s="20">
        <f t="shared" si="42"/>
        <v>0.46200000000000002</v>
      </c>
      <c r="DB175" s="16">
        <f t="shared" si="103"/>
        <v>13.04</v>
      </c>
      <c r="DD175" s="1">
        <v>6.5</v>
      </c>
      <c r="DE175" s="1">
        <v>9.6999999999999993</v>
      </c>
      <c r="DF175" s="1">
        <v>3.7</v>
      </c>
      <c r="DG175" s="1">
        <v>89</v>
      </c>
      <c r="DH175" s="1">
        <v>48</v>
      </c>
      <c r="DZ175" s="1">
        <v>4.7</v>
      </c>
      <c r="EA175" s="1">
        <v>9.9</v>
      </c>
      <c r="EB175" s="1">
        <v>0.6</v>
      </c>
      <c r="EC175" s="1">
        <v>0</v>
      </c>
    </row>
    <row r="176" spans="1:133" x14ac:dyDescent="0.2">
      <c r="A176" s="40">
        <v>35234</v>
      </c>
      <c r="B176" s="34">
        <v>170</v>
      </c>
      <c r="C176" s="34">
        <v>4.0910000000000002</v>
      </c>
      <c r="D176" s="34">
        <v>8.2200000000000006</v>
      </c>
      <c r="E176" s="34">
        <v>2.077</v>
      </c>
      <c r="F176" s="34">
        <v>102.4</v>
      </c>
      <c r="G176" s="34">
        <v>1.8009999999999999</v>
      </c>
      <c r="H176" s="34">
        <v>1.7270000000000001</v>
      </c>
      <c r="I176" s="34">
        <v>2.4</v>
      </c>
      <c r="J176" s="34">
        <v>1.8169999999999999</v>
      </c>
      <c r="K176" s="34">
        <v>1.843</v>
      </c>
      <c r="L176" s="34">
        <v>5.7389999999999999</v>
      </c>
      <c r="M176" s="34">
        <v>6.6740000000000004</v>
      </c>
      <c r="N176" s="34">
        <v>6.032</v>
      </c>
      <c r="O176" s="34">
        <v>0</v>
      </c>
      <c r="P176" s="41">
        <v>2.9108333333333336</v>
      </c>
      <c r="Q176" s="34">
        <v>9</v>
      </c>
      <c r="R176" s="34">
        <v>4.5209999999999999</v>
      </c>
      <c r="S176" s="34">
        <v>1551</v>
      </c>
      <c r="T176" s="34">
        <v>106.6</v>
      </c>
      <c r="U176" s="34">
        <v>2042</v>
      </c>
      <c r="V176" s="34">
        <v>4.4130000000000003</v>
      </c>
      <c r="W176" s="34">
        <v>4.7089999999999996</v>
      </c>
      <c r="X176" s="34">
        <v>5.8289999999999997</v>
      </c>
      <c r="Y176" s="34">
        <v>4.0579999999999998</v>
      </c>
      <c r="Z176" s="34">
        <v>4.2519999999999998</v>
      </c>
      <c r="AA176" s="34">
        <v>6.9059999999999997</v>
      </c>
      <c r="AB176" s="34">
        <v>7.21</v>
      </c>
      <c r="AC176" s="34">
        <v>6.1379999999999999</v>
      </c>
      <c r="AD176" s="41">
        <v>6.7275</v>
      </c>
      <c r="AE176" s="34">
        <v>1605</v>
      </c>
      <c r="AF176" s="34">
        <v>0.65600000000000003</v>
      </c>
      <c r="AG176" s="34">
        <v>618</v>
      </c>
      <c r="AH176" s="34">
        <v>89.8</v>
      </c>
      <c r="AI176" s="34">
        <v>1548</v>
      </c>
      <c r="AJ176" s="34">
        <v>0.35</v>
      </c>
      <c r="AK176" s="34">
        <v>-0.114</v>
      </c>
      <c r="AL176" s="34">
        <v>0.754</v>
      </c>
      <c r="AM176" s="34">
        <v>0.5</v>
      </c>
      <c r="AN176" s="34">
        <v>0.48899999999999999</v>
      </c>
      <c r="AO176" s="34">
        <v>4.9210000000000003</v>
      </c>
      <c r="AP176" s="34">
        <v>6.1890000000000001</v>
      </c>
      <c r="AQ176" s="34">
        <v>5.9560000000000004</v>
      </c>
      <c r="AR176" s="34">
        <v>0</v>
      </c>
      <c r="AS176" s="34">
        <v>0</v>
      </c>
      <c r="AT176" s="34">
        <v>0</v>
      </c>
      <c r="AU176" s="34">
        <v>0</v>
      </c>
      <c r="AV176" s="34">
        <v>0.14199999999999999</v>
      </c>
      <c r="AW176" s="34">
        <v>0.72</v>
      </c>
      <c r="AX176" s="34">
        <v>0.13300000000000001</v>
      </c>
      <c r="AY176" s="34">
        <v>3.0000000000000001E-3</v>
      </c>
      <c r="AZ176" s="34">
        <v>2.036</v>
      </c>
      <c r="BA176" s="34">
        <v>3474</v>
      </c>
      <c r="BB176" s="34">
        <v>13.08</v>
      </c>
      <c r="BC176" s="34">
        <v>2876</v>
      </c>
      <c r="BD176" s="3"/>
      <c r="BE176" s="3"/>
      <c r="BF176" s="3"/>
      <c r="BH176" s="16">
        <v>33.25</v>
      </c>
      <c r="BI176" s="16">
        <f t="shared" si="35"/>
        <v>67.165000000000006</v>
      </c>
      <c r="BJ176" s="17">
        <f t="shared" si="74"/>
        <v>4.09</v>
      </c>
      <c r="BK176" s="17">
        <f t="shared" si="75"/>
        <v>8.6300000000000008</v>
      </c>
      <c r="BM176" s="1">
        <f t="shared" si="76"/>
        <v>99.5</v>
      </c>
      <c r="BN176" s="1">
        <f t="shared" si="77"/>
        <v>95.6</v>
      </c>
      <c r="BO176" s="1">
        <f t="shared" si="78"/>
        <v>84</v>
      </c>
      <c r="BP176" s="56">
        <f t="shared" si="71"/>
        <v>0.70799999999999996</v>
      </c>
      <c r="BQ176" s="56">
        <f t="shared" si="72"/>
        <v>0.13500000000000001</v>
      </c>
      <c r="BS176" s="3">
        <v>1</v>
      </c>
      <c r="BT176" s="8"/>
      <c r="BV176" s="16">
        <f t="shared" si="79"/>
        <v>4.09</v>
      </c>
      <c r="BW176" s="16">
        <f t="shared" si="80"/>
        <v>8.6300000000000008</v>
      </c>
      <c r="BX176" s="3">
        <f t="shared" si="38"/>
        <v>2.1</v>
      </c>
      <c r="BY176" s="3">
        <f t="shared" si="81"/>
        <v>1.8</v>
      </c>
      <c r="BZ176" s="3">
        <f t="shared" si="82"/>
        <v>1.7</v>
      </c>
      <c r="CA176" s="3">
        <f t="shared" si="83"/>
        <v>2.4</v>
      </c>
      <c r="CB176" s="3">
        <f t="shared" si="84"/>
        <v>5.7</v>
      </c>
      <c r="CC176" s="3">
        <f t="shared" si="85"/>
        <v>6.7</v>
      </c>
      <c r="CD176" s="3">
        <f t="shared" si="86"/>
        <v>6</v>
      </c>
      <c r="CE176" s="23">
        <f t="shared" si="87"/>
        <v>95.6</v>
      </c>
      <c r="CF176" s="1">
        <f t="shared" si="39"/>
        <v>4.5</v>
      </c>
      <c r="CG176" s="1">
        <f t="shared" si="88"/>
        <v>4.4000000000000004</v>
      </c>
      <c r="CH176" s="1">
        <f t="shared" si="89"/>
        <v>4.7</v>
      </c>
      <c r="CI176" s="1">
        <f t="shared" si="90"/>
        <v>5.8</v>
      </c>
      <c r="CJ176" s="1">
        <f t="shared" si="91"/>
        <v>6.9</v>
      </c>
      <c r="CK176" s="1">
        <f t="shared" si="92"/>
        <v>7.2</v>
      </c>
      <c r="CL176" s="1">
        <f t="shared" si="93"/>
        <v>6.1</v>
      </c>
      <c r="CM176" s="2">
        <f t="shared" si="94"/>
        <v>99.5</v>
      </c>
      <c r="CN176" s="1">
        <f t="shared" si="40"/>
        <v>0.7</v>
      </c>
      <c r="CO176" s="1">
        <f t="shared" si="95"/>
        <v>0.4</v>
      </c>
      <c r="CP176" s="1">
        <f t="shared" si="96"/>
        <v>-0.1</v>
      </c>
      <c r="CQ176" s="1">
        <f t="shared" si="97"/>
        <v>0.8</v>
      </c>
      <c r="CR176" s="1">
        <f t="shared" si="98"/>
        <v>4.9000000000000004</v>
      </c>
      <c r="CS176" s="1">
        <f t="shared" si="99"/>
        <v>6.2</v>
      </c>
      <c r="CT176" s="1">
        <f t="shared" si="100"/>
        <v>6</v>
      </c>
      <c r="CU176" s="2">
        <f t="shared" si="73"/>
        <v>84</v>
      </c>
      <c r="CV176" s="18" t="s">
        <v>233</v>
      </c>
      <c r="CW176" s="1">
        <f>ROUND(PPTest!K176,1)</f>
        <v>9</v>
      </c>
      <c r="CX176" s="17">
        <f t="shared" si="101"/>
        <v>2.91</v>
      </c>
      <c r="CY176" s="17">
        <f t="shared" si="102"/>
        <v>6.73</v>
      </c>
      <c r="CZ176" s="20">
        <f t="shared" si="41"/>
        <v>0.70799999999999996</v>
      </c>
      <c r="DA176" s="20">
        <f t="shared" si="42"/>
        <v>0.13500000000000001</v>
      </c>
      <c r="DB176" s="16">
        <f t="shared" si="103"/>
        <v>13.08</v>
      </c>
      <c r="DD176" s="1">
        <v>5</v>
      </c>
      <c r="DE176" s="1">
        <v>6.8</v>
      </c>
      <c r="DF176" s="1">
        <v>3.1</v>
      </c>
      <c r="DG176" s="1">
        <v>92.9</v>
      </c>
      <c r="DH176" s="1">
        <v>86</v>
      </c>
      <c r="DZ176" s="1">
        <v>1.7</v>
      </c>
      <c r="EA176" s="1">
        <v>6.8</v>
      </c>
      <c r="EB176" s="1">
        <v>-1.1000000000000001</v>
      </c>
      <c r="EC176" s="1">
        <v>6.1</v>
      </c>
    </row>
    <row r="177" spans="1:133" x14ac:dyDescent="0.2">
      <c r="A177" s="40">
        <v>35235</v>
      </c>
      <c r="B177" s="34">
        <v>171</v>
      </c>
      <c r="C177" s="34">
        <v>11.2</v>
      </c>
      <c r="D177" s="34">
        <v>21.17</v>
      </c>
      <c r="E177" s="34">
        <v>4.1239999999999997</v>
      </c>
      <c r="F177" s="34">
        <v>96.3</v>
      </c>
      <c r="G177" s="34">
        <v>3.9409999999999998</v>
      </c>
      <c r="H177" s="34">
        <v>3.8780000000000001</v>
      </c>
      <c r="I177" s="34">
        <v>4.6449999999999996</v>
      </c>
      <c r="J177" s="34">
        <v>4.1900000000000004</v>
      </c>
      <c r="K177" s="34">
        <v>4.3869999999999996</v>
      </c>
      <c r="L177" s="34">
        <v>6.0229999999999997</v>
      </c>
      <c r="M177" s="34">
        <v>5.98</v>
      </c>
      <c r="N177" s="34">
        <v>6.1109999999999998</v>
      </c>
      <c r="O177" s="34">
        <v>0</v>
      </c>
      <c r="P177" s="41">
        <v>2.5608333333333335</v>
      </c>
      <c r="Q177" s="34">
        <v>2</v>
      </c>
      <c r="R177" s="34">
        <v>10.27</v>
      </c>
      <c r="S177" s="34">
        <v>1655</v>
      </c>
      <c r="T177" s="34">
        <v>106.9</v>
      </c>
      <c r="U177" s="34">
        <v>327</v>
      </c>
      <c r="V177" s="34">
        <v>11.14</v>
      </c>
      <c r="W177" s="34">
        <v>12.88</v>
      </c>
      <c r="X177" s="34">
        <v>14.23</v>
      </c>
      <c r="Y177" s="34">
        <v>12.2</v>
      </c>
      <c r="Z177" s="34">
        <v>13.76</v>
      </c>
      <c r="AA177" s="34">
        <v>8.92</v>
      </c>
      <c r="AB177" s="34">
        <v>6.2</v>
      </c>
      <c r="AC177" s="34">
        <v>6.33</v>
      </c>
      <c r="AD177" s="41">
        <v>5.6608333333333336</v>
      </c>
      <c r="AE177" s="34">
        <v>1636</v>
      </c>
      <c r="AF177" s="34">
        <v>-0.86099999999999999</v>
      </c>
      <c r="AG177" s="34">
        <v>2359</v>
      </c>
      <c r="AH177" s="34">
        <v>57.98</v>
      </c>
      <c r="AI177" s="34">
        <v>1800</v>
      </c>
      <c r="AJ177" s="34">
        <v>-1.375</v>
      </c>
      <c r="AK177" s="34">
        <v>-1.5820000000000001</v>
      </c>
      <c r="AL177" s="34">
        <v>-1.571</v>
      </c>
      <c r="AM177" s="34">
        <v>-1.0840000000000001</v>
      </c>
      <c r="AN177" s="34">
        <v>-1.3180000000000001</v>
      </c>
      <c r="AO177" s="34">
        <v>4.62</v>
      </c>
      <c r="AP177" s="34">
        <v>5.7729999999999997</v>
      </c>
      <c r="AQ177" s="34">
        <v>5.9290000000000003</v>
      </c>
      <c r="AR177" s="34">
        <v>2.4E-2</v>
      </c>
      <c r="AS177" s="34">
        <v>0.11799999999999999</v>
      </c>
      <c r="AT177" s="34">
        <v>6.3E-2</v>
      </c>
      <c r="AU177" s="34">
        <v>6.0000000000000001E-3</v>
      </c>
      <c r="AV177" s="34">
        <v>0.10199999999999999</v>
      </c>
      <c r="AW177" s="34">
        <v>0.52300000000000002</v>
      </c>
      <c r="AX177" s="34">
        <v>0.13400000000000001</v>
      </c>
      <c r="AY177" s="34">
        <v>0.03</v>
      </c>
      <c r="AZ177" s="34">
        <v>4.665</v>
      </c>
      <c r="BA177" s="34">
        <v>3474</v>
      </c>
      <c r="BB177" s="34">
        <v>13.04</v>
      </c>
      <c r="BC177" s="34">
        <v>2876</v>
      </c>
      <c r="BD177" s="3"/>
      <c r="BE177" s="3"/>
      <c r="BF177" s="3"/>
      <c r="BH177" s="16">
        <v>33.24</v>
      </c>
      <c r="BI177" s="16">
        <f t="shared" si="35"/>
        <v>67.144800000000004</v>
      </c>
      <c r="BJ177" s="17">
        <f t="shared" si="74"/>
        <v>11.2</v>
      </c>
      <c r="BK177" s="17">
        <f t="shared" si="75"/>
        <v>22.22</v>
      </c>
      <c r="BM177" s="1">
        <f t="shared" si="76"/>
        <v>99.8</v>
      </c>
      <c r="BN177" s="1">
        <f t="shared" si="77"/>
        <v>90</v>
      </c>
      <c r="BO177" s="1">
        <f t="shared" si="78"/>
        <v>54.6</v>
      </c>
      <c r="BP177" s="56">
        <f t="shared" si="71"/>
        <v>0.68200000000000005</v>
      </c>
      <c r="BQ177" s="56">
        <f t="shared" si="72"/>
        <v>0.56699999999999995</v>
      </c>
      <c r="BS177" s="3">
        <v>1.3</v>
      </c>
      <c r="BT177" s="8"/>
      <c r="BV177" s="16">
        <f t="shared" si="79"/>
        <v>11.2</v>
      </c>
      <c r="BW177" s="16">
        <f t="shared" si="80"/>
        <v>22.22</v>
      </c>
      <c r="BX177" s="3">
        <f t="shared" si="38"/>
        <v>4.0999999999999996</v>
      </c>
      <c r="BY177" s="3">
        <f t="shared" si="81"/>
        <v>3.9</v>
      </c>
      <c r="BZ177" s="3">
        <f t="shared" si="82"/>
        <v>3.9</v>
      </c>
      <c r="CA177" s="3">
        <f t="shared" si="83"/>
        <v>4.5999999999999996</v>
      </c>
      <c r="CB177" s="3">
        <f t="shared" si="84"/>
        <v>6</v>
      </c>
      <c r="CC177" s="3">
        <f t="shared" si="85"/>
        <v>6</v>
      </c>
      <c r="CD177" s="3">
        <f t="shared" si="86"/>
        <v>6.1</v>
      </c>
      <c r="CE177" s="23">
        <f t="shared" si="87"/>
        <v>90</v>
      </c>
      <c r="CF177" s="1">
        <f t="shared" si="39"/>
        <v>10.3</v>
      </c>
      <c r="CG177" s="1">
        <f t="shared" si="88"/>
        <v>11.1</v>
      </c>
      <c r="CH177" s="1">
        <f t="shared" si="89"/>
        <v>12.9</v>
      </c>
      <c r="CI177" s="1">
        <f t="shared" si="90"/>
        <v>14.2</v>
      </c>
      <c r="CJ177" s="1">
        <f t="shared" si="91"/>
        <v>8.9</v>
      </c>
      <c r="CK177" s="1">
        <f t="shared" si="92"/>
        <v>6.2</v>
      </c>
      <c r="CL177" s="1">
        <f t="shared" si="93"/>
        <v>6.3</v>
      </c>
      <c r="CM177" s="2">
        <f t="shared" si="94"/>
        <v>99.8</v>
      </c>
      <c r="CN177" s="1">
        <f t="shared" si="40"/>
        <v>-0.9</v>
      </c>
      <c r="CO177" s="1">
        <f t="shared" si="95"/>
        <v>-1.4</v>
      </c>
      <c r="CP177" s="1">
        <f t="shared" si="96"/>
        <v>-1.6</v>
      </c>
      <c r="CQ177" s="1">
        <f t="shared" si="97"/>
        <v>-1.6</v>
      </c>
      <c r="CR177" s="1">
        <f t="shared" si="98"/>
        <v>4.5999999999999996</v>
      </c>
      <c r="CS177" s="1">
        <f t="shared" si="99"/>
        <v>5.8</v>
      </c>
      <c r="CT177" s="1">
        <f t="shared" si="100"/>
        <v>5.9</v>
      </c>
      <c r="CU177" s="2">
        <f t="shared" si="73"/>
        <v>54.6</v>
      </c>
      <c r="CV177" s="18" t="s">
        <v>233</v>
      </c>
      <c r="CW177" s="1">
        <f>ROUND(PPTest!K177,1)</f>
        <v>2</v>
      </c>
      <c r="CX177" s="17">
        <f t="shared" si="101"/>
        <v>2.56</v>
      </c>
      <c r="CY177" s="17">
        <f t="shared" si="102"/>
        <v>5.66</v>
      </c>
      <c r="CZ177" s="20">
        <f t="shared" si="41"/>
        <v>0.68200000000000005</v>
      </c>
      <c r="DA177" s="20">
        <f t="shared" si="42"/>
        <v>0.56699999999999995</v>
      </c>
      <c r="DB177" s="16">
        <f t="shared" si="103"/>
        <v>13.04</v>
      </c>
      <c r="DD177" s="1">
        <v>7</v>
      </c>
      <c r="DE177" s="1">
        <v>13</v>
      </c>
      <c r="DF177" s="1">
        <v>4.4000000000000004</v>
      </c>
      <c r="DG177" s="1">
        <v>88.8</v>
      </c>
      <c r="DH177" s="1">
        <v>65</v>
      </c>
      <c r="DZ177" s="1">
        <v>5.6</v>
      </c>
      <c r="EA177" s="1">
        <v>13.1</v>
      </c>
      <c r="EB177" s="1">
        <v>0.5</v>
      </c>
      <c r="EC177" s="1">
        <v>0</v>
      </c>
    </row>
    <row r="178" spans="1:133" x14ac:dyDescent="0.2">
      <c r="A178" s="40">
        <v>35236</v>
      </c>
      <c r="B178" s="34">
        <v>172</v>
      </c>
      <c r="C178" s="34">
        <v>32.58</v>
      </c>
      <c r="D178" s="34">
        <v>59.61</v>
      </c>
      <c r="E178" s="34">
        <v>6.6340000000000003</v>
      </c>
      <c r="F178" s="34">
        <v>75.7</v>
      </c>
      <c r="G178" s="34">
        <v>7.16</v>
      </c>
      <c r="H178" s="34">
        <v>6.5780000000000003</v>
      </c>
      <c r="I178" s="34">
        <v>8.43</v>
      </c>
      <c r="J178" s="34">
        <v>8.1199999999999992</v>
      </c>
      <c r="K178" s="34">
        <v>8.24</v>
      </c>
      <c r="L178" s="34">
        <v>7.98</v>
      </c>
      <c r="M178" s="34">
        <v>6.3170000000000002</v>
      </c>
      <c r="N178" s="34">
        <v>6.0090000000000003</v>
      </c>
      <c r="O178" s="34">
        <v>0</v>
      </c>
      <c r="P178" s="41">
        <v>2.0741666666666667</v>
      </c>
      <c r="Q178" s="34">
        <v>0</v>
      </c>
      <c r="R178" s="34">
        <v>14.42</v>
      </c>
      <c r="S178" s="34">
        <v>1440</v>
      </c>
      <c r="T178" s="34">
        <v>105.5</v>
      </c>
      <c r="U178" s="34">
        <v>53</v>
      </c>
      <c r="V178" s="34">
        <v>15.68</v>
      </c>
      <c r="W178" s="34">
        <v>18.989999999999998</v>
      </c>
      <c r="X178" s="34">
        <v>24.22</v>
      </c>
      <c r="Y178" s="34">
        <v>21.2</v>
      </c>
      <c r="Z178" s="34">
        <v>19.25</v>
      </c>
      <c r="AA178" s="34">
        <v>13.12</v>
      </c>
      <c r="AB178" s="34">
        <v>7.2</v>
      </c>
      <c r="AC178" s="34">
        <v>6.2270000000000003</v>
      </c>
      <c r="AD178" s="41">
        <v>4.9408333333333339</v>
      </c>
      <c r="AE178" s="34">
        <v>1508</v>
      </c>
      <c r="AF178" s="34">
        <v>-1.8580000000000001</v>
      </c>
      <c r="AG178" s="34">
        <v>355</v>
      </c>
      <c r="AH178" s="34">
        <v>33.86</v>
      </c>
      <c r="AI178" s="34">
        <v>1522</v>
      </c>
      <c r="AJ178" s="34">
        <v>-2.411</v>
      </c>
      <c r="AK178" s="34">
        <v>-2.714</v>
      </c>
      <c r="AL178" s="34">
        <v>-2.7690000000000001</v>
      </c>
      <c r="AM178" s="34">
        <v>-1.9790000000000001</v>
      </c>
      <c r="AN178" s="34">
        <v>-1.8049999999999999</v>
      </c>
      <c r="AO178" s="34">
        <v>3.86</v>
      </c>
      <c r="AP178" s="34">
        <v>5.8129999999999997</v>
      </c>
      <c r="AQ178" s="34">
        <v>5.7590000000000003</v>
      </c>
      <c r="AR178" s="34">
        <v>3.3000000000000002E-2</v>
      </c>
      <c r="AS178" s="34">
        <v>0.27300000000000002</v>
      </c>
      <c r="AT178" s="34">
        <v>0.16700000000000001</v>
      </c>
      <c r="AU178" s="34">
        <v>1.4999999999999999E-2</v>
      </c>
      <c r="AV178" s="34">
        <v>8.5999999999999993E-2</v>
      </c>
      <c r="AW178" s="34">
        <v>0.255</v>
      </c>
      <c r="AX178" s="34">
        <v>0.122</v>
      </c>
      <c r="AY178" s="34">
        <v>4.9000000000000002E-2</v>
      </c>
      <c r="AZ178" s="34">
        <v>7.83</v>
      </c>
      <c r="BA178" s="34">
        <v>3474</v>
      </c>
      <c r="BB178" s="34">
        <v>12.89</v>
      </c>
      <c r="BC178" s="34">
        <v>2876</v>
      </c>
      <c r="BD178" s="3"/>
      <c r="BE178" s="3"/>
      <c r="BF178" s="3"/>
      <c r="BH178" s="16">
        <v>33.24</v>
      </c>
      <c r="BI178" s="16">
        <f t="shared" si="35"/>
        <v>67.144800000000004</v>
      </c>
      <c r="BJ178" s="17">
        <f t="shared" si="74"/>
        <v>32.58</v>
      </c>
      <c r="BK178" s="17">
        <f t="shared" si="75"/>
        <v>62.56</v>
      </c>
      <c r="BM178" s="1">
        <f t="shared" si="76"/>
        <v>98.5</v>
      </c>
      <c r="BN178" s="1">
        <f t="shared" si="77"/>
        <v>70.900000000000006</v>
      </c>
      <c r="BO178" s="1">
        <f t="shared" si="78"/>
        <v>32.299999999999997</v>
      </c>
      <c r="BP178" s="56">
        <f t="shared" si="71"/>
        <v>0.53</v>
      </c>
      <c r="BQ178" s="56">
        <f t="shared" si="72"/>
        <v>1.111</v>
      </c>
      <c r="BS178" s="3">
        <v>0</v>
      </c>
      <c r="BT178" s="8"/>
      <c r="BV178" s="16">
        <f t="shared" si="79"/>
        <v>32.58</v>
      </c>
      <c r="BW178" s="16">
        <f t="shared" si="80"/>
        <v>62.56</v>
      </c>
      <c r="BX178" s="3">
        <f t="shared" si="38"/>
        <v>6.6</v>
      </c>
      <c r="BY178" s="3">
        <f t="shared" si="81"/>
        <v>7.2</v>
      </c>
      <c r="BZ178" s="3">
        <f t="shared" si="82"/>
        <v>6.6</v>
      </c>
      <c r="CA178" s="3">
        <f t="shared" si="83"/>
        <v>8.4</v>
      </c>
      <c r="CB178" s="3">
        <f t="shared" si="84"/>
        <v>8</v>
      </c>
      <c r="CC178" s="3">
        <f t="shared" si="85"/>
        <v>6.3</v>
      </c>
      <c r="CD178" s="3">
        <f t="shared" si="86"/>
        <v>6</v>
      </c>
      <c r="CE178" s="23">
        <f t="shared" si="87"/>
        <v>70.900000000000006</v>
      </c>
      <c r="CF178" s="1">
        <f t="shared" si="39"/>
        <v>14.4</v>
      </c>
      <c r="CG178" s="1">
        <f t="shared" si="88"/>
        <v>15.7</v>
      </c>
      <c r="CH178" s="1">
        <f t="shared" si="89"/>
        <v>19</v>
      </c>
      <c r="CI178" s="1">
        <f t="shared" si="90"/>
        <v>24.2</v>
      </c>
      <c r="CJ178" s="1">
        <f t="shared" si="91"/>
        <v>13.1</v>
      </c>
      <c r="CK178" s="1">
        <f t="shared" si="92"/>
        <v>7.2</v>
      </c>
      <c r="CL178" s="1">
        <f t="shared" si="93"/>
        <v>6.2</v>
      </c>
      <c r="CM178" s="2">
        <f t="shared" si="94"/>
        <v>98.5</v>
      </c>
      <c r="CN178" s="1">
        <f t="shared" si="40"/>
        <v>-1.9</v>
      </c>
      <c r="CO178" s="1">
        <f t="shared" si="95"/>
        <v>-2.4</v>
      </c>
      <c r="CP178" s="1">
        <f t="shared" si="96"/>
        <v>-2.7</v>
      </c>
      <c r="CQ178" s="1">
        <f t="shared" si="97"/>
        <v>-2.8</v>
      </c>
      <c r="CR178" s="1">
        <f t="shared" si="98"/>
        <v>3.9</v>
      </c>
      <c r="CS178" s="1">
        <f t="shared" si="99"/>
        <v>5.8</v>
      </c>
      <c r="CT178" s="1">
        <f t="shared" si="100"/>
        <v>5.8</v>
      </c>
      <c r="CU178" s="2">
        <f t="shared" si="73"/>
        <v>32.299999999999997</v>
      </c>
      <c r="CV178" s="18" t="s">
        <v>233</v>
      </c>
      <c r="CW178" s="1">
        <f>ROUND(PPTest!K178,1)</f>
        <v>0</v>
      </c>
      <c r="CX178" s="17">
        <f t="shared" si="101"/>
        <v>2.0699999999999998</v>
      </c>
      <c r="CY178" s="17">
        <f t="shared" si="102"/>
        <v>4.9400000000000004</v>
      </c>
      <c r="CZ178" s="20">
        <f t="shared" si="41"/>
        <v>0.53</v>
      </c>
      <c r="DA178" s="20">
        <f t="shared" si="42"/>
        <v>1.111</v>
      </c>
      <c r="DB178" s="16">
        <f t="shared" si="103"/>
        <v>12.89</v>
      </c>
      <c r="DD178" s="1">
        <v>10.199999999999999</v>
      </c>
      <c r="DE178" s="1">
        <v>15.7</v>
      </c>
      <c r="DF178" s="1">
        <v>4.5999999999999996</v>
      </c>
      <c r="DG178" s="1">
        <v>72.8</v>
      </c>
      <c r="DH178" s="1">
        <v>49</v>
      </c>
      <c r="DZ178" s="1">
        <v>7.5</v>
      </c>
      <c r="EA178" s="1">
        <v>13.8</v>
      </c>
      <c r="EB178" s="1">
        <v>-1.1000000000000001</v>
      </c>
      <c r="EC178" s="1">
        <v>1.3</v>
      </c>
    </row>
    <row r="179" spans="1:133" x14ac:dyDescent="0.2">
      <c r="A179" s="40">
        <v>35237</v>
      </c>
      <c r="B179" s="34">
        <v>173</v>
      </c>
      <c r="C179" s="34">
        <v>19.57</v>
      </c>
      <c r="D179" s="34">
        <v>35.94</v>
      </c>
      <c r="E179" s="34">
        <v>7.64</v>
      </c>
      <c r="F179" s="34">
        <v>80.099999999999994</v>
      </c>
      <c r="G179" s="34">
        <v>7.83</v>
      </c>
      <c r="H179" s="34">
        <v>7.49</v>
      </c>
      <c r="I179" s="34">
        <v>8.76</v>
      </c>
      <c r="J179" s="34">
        <v>8.52</v>
      </c>
      <c r="K179" s="34">
        <v>8.8800000000000008</v>
      </c>
      <c r="L179" s="34">
        <v>8.39</v>
      </c>
      <c r="M179" s="34">
        <v>7.05</v>
      </c>
      <c r="N179" s="34">
        <v>5.9390000000000001</v>
      </c>
      <c r="O179" s="34">
        <v>0</v>
      </c>
      <c r="P179" s="41">
        <v>1.7358333333333333</v>
      </c>
      <c r="Q179" s="34">
        <v>1</v>
      </c>
      <c r="R179" s="34">
        <v>13.73</v>
      </c>
      <c r="S179" s="34">
        <v>1517</v>
      </c>
      <c r="T179" s="34">
        <v>102.7</v>
      </c>
      <c r="U179" s="34">
        <v>335</v>
      </c>
      <c r="V179" s="34">
        <v>15.95</v>
      </c>
      <c r="W179" s="34">
        <v>15.98</v>
      </c>
      <c r="X179" s="34">
        <v>20.51</v>
      </c>
      <c r="Y179" s="34">
        <v>17.47</v>
      </c>
      <c r="Z179" s="34">
        <v>17.260000000000002</v>
      </c>
      <c r="AA179" s="34">
        <v>11.24</v>
      </c>
      <c r="AB179" s="34">
        <v>7.42</v>
      </c>
      <c r="AC179" s="34">
        <v>6.11</v>
      </c>
      <c r="AD179" s="41">
        <v>3.8608333333333333</v>
      </c>
      <c r="AE179" s="34">
        <v>2143</v>
      </c>
      <c r="AF179" s="34">
        <v>-1.3640000000000001</v>
      </c>
      <c r="AG179" s="34">
        <v>330</v>
      </c>
      <c r="AH179" s="34">
        <v>47.28</v>
      </c>
      <c r="AI179" s="34">
        <v>1517</v>
      </c>
      <c r="AJ179" s="34">
        <v>-1.919</v>
      </c>
      <c r="AK179" s="34">
        <v>-2.0590000000000002</v>
      </c>
      <c r="AL179" s="34">
        <v>-2.105</v>
      </c>
      <c r="AM179" s="34">
        <v>-1.151</v>
      </c>
      <c r="AN179" s="34">
        <v>-1.419</v>
      </c>
      <c r="AO179" s="34">
        <v>5.2619999999999996</v>
      </c>
      <c r="AP179" s="34">
        <v>6.7489999999999997</v>
      </c>
      <c r="AQ179" s="34">
        <v>5.617</v>
      </c>
      <c r="AR179" s="34">
        <v>6.0999999999999999E-2</v>
      </c>
      <c r="AS179" s="34">
        <v>0.253</v>
      </c>
      <c r="AT179" s="34">
        <v>0.183</v>
      </c>
      <c r="AU179" s="34">
        <v>4.2999999999999997E-2</v>
      </c>
      <c r="AV179" s="34">
        <v>0.10299999999999999</v>
      </c>
      <c r="AW179" s="34">
        <v>0.23300000000000001</v>
      </c>
      <c r="AX179" s="34">
        <v>6.5000000000000002E-2</v>
      </c>
      <c r="AY179" s="34">
        <v>5.8999999999999997E-2</v>
      </c>
      <c r="AZ179" s="34">
        <v>8.18</v>
      </c>
      <c r="BA179" s="34">
        <v>3474</v>
      </c>
      <c r="BB179" s="34">
        <v>12.95</v>
      </c>
      <c r="BC179" s="34">
        <v>2876</v>
      </c>
      <c r="BD179" s="3"/>
      <c r="BE179" s="3"/>
      <c r="BF179" s="3"/>
      <c r="BH179" s="16">
        <v>33.22</v>
      </c>
      <c r="BI179" s="16">
        <f t="shared" si="35"/>
        <v>67.104399999999998</v>
      </c>
      <c r="BJ179" s="17">
        <f t="shared" si="74"/>
        <v>19.57</v>
      </c>
      <c r="BK179" s="17">
        <f t="shared" si="75"/>
        <v>37.72</v>
      </c>
      <c r="BM179" s="1">
        <f t="shared" si="76"/>
        <v>95.9</v>
      </c>
      <c r="BN179" s="1">
        <f t="shared" si="77"/>
        <v>75</v>
      </c>
      <c r="BO179" s="1">
        <f t="shared" si="78"/>
        <v>44.7</v>
      </c>
      <c r="BP179" s="56">
        <f t="shared" si="71"/>
        <v>0.70199999999999996</v>
      </c>
      <c r="BQ179" s="56">
        <f t="shared" si="72"/>
        <v>0.86799999999999999</v>
      </c>
      <c r="BS179" s="3">
        <v>2</v>
      </c>
      <c r="BT179" s="8"/>
      <c r="BV179" s="16">
        <f t="shared" si="79"/>
        <v>19.57</v>
      </c>
      <c r="BW179" s="16">
        <f t="shared" si="80"/>
        <v>37.72</v>
      </c>
      <c r="BX179" s="3">
        <f t="shared" si="38"/>
        <v>7.6</v>
      </c>
      <c r="BY179" s="3">
        <f t="shared" si="81"/>
        <v>7.8</v>
      </c>
      <c r="BZ179" s="3">
        <f t="shared" si="82"/>
        <v>7.5</v>
      </c>
      <c r="CA179" s="3">
        <f t="shared" si="83"/>
        <v>8.8000000000000007</v>
      </c>
      <c r="CB179" s="3">
        <f t="shared" si="84"/>
        <v>8.4</v>
      </c>
      <c r="CC179" s="3">
        <f t="shared" si="85"/>
        <v>7.1</v>
      </c>
      <c r="CD179" s="3">
        <f t="shared" si="86"/>
        <v>5.9</v>
      </c>
      <c r="CE179" s="23">
        <f t="shared" si="87"/>
        <v>75</v>
      </c>
      <c r="CF179" s="1">
        <f t="shared" si="39"/>
        <v>13.7</v>
      </c>
      <c r="CG179" s="1">
        <f t="shared" si="88"/>
        <v>16</v>
      </c>
      <c r="CH179" s="1">
        <f t="shared" si="89"/>
        <v>16</v>
      </c>
      <c r="CI179" s="1">
        <f t="shared" si="90"/>
        <v>20.5</v>
      </c>
      <c r="CJ179" s="1">
        <f t="shared" si="91"/>
        <v>11.2</v>
      </c>
      <c r="CK179" s="1">
        <f t="shared" si="92"/>
        <v>7.4</v>
      </c>
      <c r="CL179" s="1">
        <f t="shared" si="93"/>
        <v>6.1</v>
      </c>
      <c r="CM179" s="2">
        <f t="shared" si="94"/>
        <v>95.9</v>
      </c>
      <c r="CN179" s="1">
        <f t="shared" si="40"/>
        <v>-1.4</v>
      </c>
      <c r="CO179" s="1">
        <f t="shared" si="95"/>
        <v>-1.9</v>
      </c>
      <c r="CP179" s="1">
        <f t="shared" si="96"/>
        <v>-2.1</v>
      </c>
      <c r="CQ179" s="1">
        <f t="shared" si="97"/>
        <v>-2.1</v>
      </c>
      <c r="CR179" s="1">
        <f t="shared" si="98"/>
        <v>5.3</v>
      </c>
      <c r="CS179" s="1">
        <f t="shared" si="99"/>
        <v>6.7</v>
      </c>
      <c r="CT179" s="1">
        <f t="shared" si="100"/>
        <v>5.6</v>
      </c>
      <c r="CU179" s="2">
        <f t="shared" si="73"/>
        <v>44.7</v>
      </c>
      <c r="CV179" s="18" t="s">
        <v>233</v>
      </c>
      <c r="CW179" s="1">
        <f>ROUND(PPTest!K179,1)</f>
        <v>1</v>
      </c>
      <c r="CX179" s="17">
        <f t="shared" si="101"/>
        <v>1.74</v>
      </c>
      <c r="CY179" s="17">
        <f t="shared" si="102"/>
        <v>3.86</v>
      </c>
      <c r="CZ179" s="20">
        <f t="shared" si="41"/>
        <v>0.70199999999999996</v>
      </c>
      <c r="DA179" s="20">
        <f t="shared" si="42"/>
        <v>0.86799999999999999</v>
      </c>
      <c r="DB179" s="16">
        <f t="shared" si="103"/>
        <v>12.95</v>
      </c>
      <c r="DD179" s="1">
        <v>10.9</v>
      </c>
      <c r="DE179" s="1">
        <v>16</v>
      </c>
      <c r="DF179" s="1">
        <v>6</v>
      </c>
      <c r="DG179" s="1">
        <v>73.3</v>
      </c>
      <c r="DH179" s="1">
        <v>56</v>
      </c>
      <c r="DZ179" s="1">
        <v>7.2</v>
      </c>
      <c r="EA179" s="1">
        <v>12.4</v>
      </c>
      <c r="EB179" s="1">
        <v>3.1</v>
      </c>
      <c r="EC179" s="1">
        <v>3.8</v>
      </c>
    </row>
    <row r="180" spans="1:133" x14ac:dyDescent="0.2">
      <c r="A180" s="40">
        <v>35238</v>
      </c>
      <c r="B180" s="34">
        <v>174</v>
      </c>
      <c r="C180" s="34">
        <v>11.24</v>
      </c>
      <c r="D180" s="34">
        <v>21.12</v>
      </c>
      <c r="E180" s="34">
        <v>7.07</v>
      </c>
      <c r="F180" s="34">
        <v>98.4</v>
      </c>
      <c r="G180" s="34">
        <v>6.9980000000000002</v>
      </c>
      <c r="H180" s="34">
        <v>6.8239999999999998</v>
      </c>
      <c r="I180" s="34">
        <v>7.87</v>
      </c>
      <c r="J180" s="34">
        <v>6.9660000000000002</v>
      </c>
      <c r="K180" s="34">
        <v>7.33</v>
      </c>
      <c r="L180" s="34">
        <v>8.6</v>
      </c>
      <c r="M180" s="34">
        <v>7.25</v>
      </c>
      <c r="N180" s="34">
        <v>5.9870000000000001</v>
      </c>
      <c r="O180" s="34">
        <v>0</v>
      </c>
      <c r="P180" s="41">
        <v>1.4401666666666666</v>
      </c>
      <c r="Q180" s="34">
        <v>6</v>
      </c>
      <c r="R180" s="34">
        <v>11.81</v>
      </c>
      <c r="S180" s="34">
        <v>1755</v>
      </c>
      <c r="T180" s="34">
        <v>105.1</v>
      </c>
      <c r="U180" s="34">
        <v>442</v>
      </c>
      <c r="V180" s="34">
        <v>11.82</v>
      </c>
      <c r="W180" s="34">
        <v>13.79</v>
      </c>
      <c r="X180" s="34">
        <v>13.17</v>
      </c>
      <c r="Y180" s="34">
        <v>11.21</v>
      </c>
      <c r="Z180" s="34">
        <v>14.32</v>
      </c>
      <c r="AA180" s="34">
        <v>10.3</v>
      </c>
      <c r="AB180" s="34">
        <v>7.44</v>
      </c>
      <c r="AC180" s="34">
        <v>6.1449999999999996</v>
      </c>
      <c r="AD180" s="41">
        <v>3.0208333333333335</v>
      </c>
      <c r="AE180" s="34">
        <v>1011</v>
      </c>
      <c r="AF180" s="34">
        <v>2.5760000000000001</v>
      </c>
      <c r="AG180" s="34">
        <v>409</v>
      </c>
      <c r="AH180" s="34">
        <v>68.81</v>
      </c>
      <c r="AI180" s="34">
        <v>1755</v>
      </c>
      <c r="AJ180" s="34">
        <v>2.0680000000000001</v>
      </c>
      <c r="AK180" s="34">
        <v>1.843</v>
      </c>
      <c r="AL180" s="34">
        <v>1.9179999999999999</v>
      </c>
      <c r="AM180" s="34">
        <v>1.8779999999999999</v>
      </c>
      <c r="AN180" s="34">
        <v>1.893</v>
      </c>
      <c r="AO180" s="34">
        <v>6.7430000000000003</v>
      </c>
      <c r="AP180" s="34">
        <v>7.1</v>
      </c>
      <c r="AQ180" s="34">
        <v>5.8070000000000004</v>
      </c>
      <c r="AR180" s="34">
        <v>8.5999999999999993E-2</v>
      </c>
      <c r="AS180" s="34">
        <v>0.36699999999999999</v>
      </c>
      <c r="AT180" s="34">
        <v>0.105</v>
      </c>
      <c r="AU180" s="34">
        <v>1.2E-2</v>
      </c>
      <c r="AV180" s="34">
        <v>8.5000000000000006E-2</v>
      </c>
      <c r="AW180" s="34">
        <v>0.27600000000000002</v>
      </c>
      <c r="AX180" s="34">
        <v>5.0999999999999997E-2</v>
      </c>
      <c r="AY180" s="34">
        <v>1.7000000000000001E-2</v>
      </c>
      <c r="AZ180" s="34">
        <v>7.6</v>
      </c>
      <c r="BA180" s="34">
        <v>3474</v>
      </c>
      <c r="BB180" s="34">
        <v>13.03</v>
      </c>
      <c r="BC180" s="34">
        <v>2876</v>
      </c>
      <c r="BD180" s="3"/>
      <c r="BE180" s="3"/>
      <c r="BF180" s="3"/>
      <c r="BH180" s="16">
        <v>33.200000000000003</v>
      </c>
      <c r="BI180" s="16">
        <f t="shared" si="35"/>
        <v>67.064000000000007</v>
      </c>
      <c r="BJ180" s="17">
        <f t="shared" si="74"/>
        <v>11.24</v>
      </c>
      <c r="BK180" s="17">
        <f t="shared" si="75"/>
        <v>22.16</v>
      </c>
      <c r="BM180" s="1">
        <f t="shared" si="76"/>
        <v>98.1</v>
      </c>
      <c r="BN180" s="1">
        <f t="shared" si="77"/>
        <v>91.9</v>
      </c>
      <c r="BO180" s="1">
        <f t="shared" si="78"/>
        <v>64.599999999999994</v>
      </c>
      <c r="BP180" s="56">
        <f t="shared" si="71"/>
        <v>0.89400000000000002</v>
      </c>
      <c r="BQ180" s="56">
        <f t="shared" si="72"/>
        <v>0.49</v>
      </c>
      <c r="BS180" s="3">
        <v>2.5</v>
      </c>
      <c r="BT180" s="8"/>
      <c r="BV180" s="16">
        <f t="shared" si="79"/>
        <v>11.24</v>
      </c>
      <c r="BW180" s="16">
        <f t="shared" si="80"/>
        <v>22.16</v>
      </c>
      <c r="BX180" s="3">
        <f t="shared" si="38"/>
        <v>7.1</v>
      </c>
      <c r="BY180" s="3">
        <f t="shared" si="81"/>
        <v>7</v>
      </c>
      <c r="BZ180" s="3">
        <f t="shared" si="82"/>
        <v>6.8</v>
      </c>
      <c r="CA180" s="3">
        <f t="shared" si="83"/>
        <v>7.9</v>
      </c>
      <c r="CB180" s="3">
        <f t="shared" si="84"/>
        <v>8.6</v>
      </c>
      <c r="CC180" s="3">
        <f t="shared" si="85"/>
        <v>7.3</v>
      </c>
      <c r="CD180" s="3">
        <f t="shared" si="86"/>
        <v>6</v>
      </c>
      <c r="CE180" s="23">
        <f t="shared" si="87"/>
        <v>91.9</v>
      </c>
      <c r="CF180" s="1">
        <f t="shared" si="39"/>
        <v>11.8</v>
      </c>
      <c r="CG180" s="1">
        <f t="shared" si="88"/>
        <v>11.8</v>
      </c>
      <c r="CH180" s="1">
        <f t="shared" si="89"/>
        <v>13.8</v>
      </c>
      <c r="CI180" s="1">
        <f t="shared" si="90"/>
        <v>13.2</v>
      </c>
      <c r="CJ180" s="1">
        <f t="shared" si="91"/>
        <v>10.3</v>
      </c>
      <c r="CK180" s="1">
        <f t="shared" si="92"/>
        <v>7.4</v>
      </c>
      <c r="CL180" s="1">
        <f t="shared" si="93"/>
        <v>6.1</v>
      </c>
      <c r="CM180" s="2">
        <f t="shared" si="94"/>
        <v>98.1</v>
      </c>
      <c r="CN180" s="1">
        <f t="shared" si="40"/>
        <v>2.6</v>
      </c>
      <c r="CO180" s="1">
        <f t="shared" si="95"/>
        <v>2.1</v>
      </c>
      <c r="CP180" s="1">
        <f t="shared" si="96"/>
        <v>1.8</v>
      </c>
      <c r="CQ180" s="1">
        <f t="shared" si="97"/>
        <v>1.9</v>
      </c>
      <c r="CR180" s="1">
        <f t="shared" si="98"/>
        <v>6.7</v>
      </c>
      <c r="CS180" s="1">
        <f t="shared" si="99"/>
        <v>7.1</v>
      </c>
      <c r="CT180" s="1">
        <f t="shared" si="100"/>
        <v>5.8</v>
      </c>
      <c r="CU180" s="2">
        <f t="shared" si="73"/>
        <v>64.599999999999994</v>
      </c>
      <c r="CV180" s="18" t="s">
        <v>233</v>
      </c>
      <c r="CW180" s="1">
        <f>ROUND(PPTest!K180,1)</f>
        <v>6</v>
      </c>
      <c r="CX180" s="17">
        <f t="shared" si="101"/>
        <v>1.44</v>
      </c>
      <c r="CY180" s="17">
        <f t="shared" si="102"/>
        <v>3.02</v>
      </c>
      <c r="CZ180" s="20">
        <f t="shared" si="41"/>
        <v>0.89400000000000002</v>
      </c>
      <c r="DA180" s="20">
        <f t="shared" si="42"/>
        <v>0.49</v>
      </c>
      <c r="DB180" s="16">
        <f t="shared" si="103"/>
        <v>13.03</v>
      </c>
      <c r="DD180" s="1">
        <v>9.4</v>
      </c>
      <c r="DE180" s="1">
        <v>12.2</v>
      </c>
      <c r="DF180" s="1">
        <v>6.6</v>
      </c>
      <c r="DG180" s="1">
        <v>96</v>
      </c>
      <c r="DH180" s="1">
        <v>83</v>
      </c>
      <c r="DZ180" s="1">
        <v>6.9</v>
      </c>
      <c r="EA180" s="1">
        <v>11.4</v>
      </c>
      <c r="EB180" s="1">
        <v>3.1</v>
      </c>
      <c r="EC180" s="1">
        <v>2</v>
      </c>
    </row>
    <row r="181" spans="1:133" x14ac:dyDescent="0.2">
      <c r="A181" s="40">
        <v>35239</v>
      </c>
      <c r="B181" s="34">
        <v>175</v>
      </c>
      <c r="C181" s="34">
        <v>10.6</v>
      </c>
      <c r="D181" s="34">
        <v>20.260000000000002</v>
      </c>
      <c r="E181" s="34">
        <v>6.9349999999999996</v>
      </c>
      <c r="F181" s="34">
        <v>97.9</v>
      </c>
      <c r="G181" s="34">
        <v>6.8869999999999996</v>
      </c>
      <c r="H181" s="34">
        <v>6.6829999999999998</v>
      </c>
      <c r="I181" s="34">
        <v>7.79</v>
      </c>
      <c r="J181" s="34">
        <v>6.9729999999999999</v>
      </c>
      <c r="K181" s="34">
        <v>7.06</v>
      </c>
      <c r="L181" s="34">
        <v>8.7200000000000006</v>
      </c>
      <c r="M181" s="34">
        <v>7.45</v>
      </c>
      <c r="N181" s="34">
        <v>6.1029999999999998</v>
      </c>
      <c r="O181" s="34">
        <v>0</v>
      </c>
      <c r="P181" s="41">
        <v>1.3871666666666667</v>
      </c>
      <c r="Q181" s="34">
        <v>10</v>
      </c>
      <c r="R181" s="34">
        <v>11.31</v>
      </c>
      <c r="S181" s="34">
        <v>1218</v>
      </c>
      <c r="T181" s="34">
        <v>104.9</v>
      </c>
      <c r="U181" s="34">
        <v>2351</v>
      </c>
      <c r="V181" s="34">
        <v>12.87</v>
      </c>
      <c r="W181" s="34">
        <v>14.1</v>
      </c>
      <c r="X181" s="34">
        <v>17.579999999999998</v>
      </c>
      <c r="Y181" s="34">
        <v>13.76</v>
      </c>
      <c r="Z181" s="34">
        <v>13.7</v>
      </c>
      <c r="AA181" s="34">
        <v>10.6</v>
      </c>
      <c r="AB181" s="34">
        <v>7.62</v>
      </c>
      <c r="AC181" s="34">
        <v>6.2590000000000003</v>
      </c>
      <c r="AD181" s="41">
        <v>4.1941666666666668</v>
      </c>
      <c r="AE181" s="34">
        <v>1711</v>
      </c>
      <c r="AF181" s="34">
        <v>4.84</v>
      </c>
      <c r="AG181" s="34">
        <v>325</v>
      </c>
      <c r="AH181" s="34">
        <v>77.3</v>
      </c>
      <c r="AI181" s="34">
        <v>1153</v>
      </c>
      <c r="AJ181" s="34">
        <v>4.415</v>
      </c>
      <c r="AK181" s="34">
        <v>4.3239999999999998</v>
      </c>
      <c r="AL181" s="34">
        <v>4.4039999999999999</v>
      </c>
      <c r="AM181" s="34">
        <v>4.3719999999999999</v>
      </c>
      <c r="AN181" s="34">
        <v>4.3419999999999996</v>
      </c>
      <c r="AO181" s="34">
        <v>7.47</v>
      </c>
      <c r="AP181" s="34">
        <v>7.29</v>
      </c>
      <c r="AQ181" s="34">
        <v>5.9710000000000001</v>
      </c>
      <c r="AR181" s="34">
        <v>0.17100000000000001</v>
      </c>
      <c r="AS181" s="34">
        <v>0.32600000000000001</v>
      </c>
      <c r="AT181" s="34">
        <v>0.121</v>
      </c>
      <c r="AU181" s="34">
        <v>4.7E-2</v>
      </c>
      <c r="AV181" s="34">
        <v>6.5000000000000002E-2</v>
      </c>
      <c r="AW181" s="34">
        <v>0.127</v>
      </c>
      <c r="AX181" s="34">
        <v>6.7000000000000004E-2</v>
      </c>
      <c r="AY181" s="34">
        <v>7.5999999999999998E-2</v>
      </c>
      <c r="AZ181" s="34">
        <v>7.41</v>
      </c>
      <c r="BA181" s="34">
        <v>3474</v>
      </c>
      <c r="BB181" s="34">
        <v>13</v>
      </c>
      <c r="BC181" s="34">
        <v>2876</v>
      </c>
      <c r="BD181" s="3"/>
      <c r="BE181" s="3"/>
      <c r="BF181" s="3"/>
      <c r="BH181" s="16">
        <v>33.18</v>
      </c>
      <c r="BI181" s="16">
        <f t="shared" si="35"/>
        <v>67.023600000000002</v>
      </c>
      <c r="BJ181" s="17">
        <f t="shared" si="74"/>
        <v>10.6</v>
      </c>
      <c r="BK181" s="17">
        <f t="shared" si="75"/>
        <v>21.26</v>
      </c>
      <c r="BM181" s="1">
        <f t="shared" si="76"/>
        <v>97.9</v>
      </c>
      <c r="BN181" s="1">
        <f t="shared" si="77"/>
        <v>91.5</v>
      </c>
      <c r="BO181" s="1">
        <f t="shared" si="78"/>
        <v>72.400000000000006</v>
      </c>
      <c r="BP181" s="56">
        <f t="shared" si="71"/>
        <v>0.97</v>
      </c>
      <c r="BQ181" s="56">
        <f t="shared" si="72"/>
        <v>0.37</v>
      </c>
      <c r="BS181" s="3">
        <v>10.9</v>
      </c>
      <c r="BT181" s="8"/>
      <c r="BV181" s="16">
        <f t="shared" si="79"/>
        <v>10.6</v>
      </c>
      <c r="BW181" s="16">
        <f t="shared" si="80"/>
        <v>21.26</v>
      </c>
      <c r="BX181" s="3">
        <f t="shared" si="38"/>
        <v>6.9</v>
      </c>
      <c r="BY181" s="3">
        <f t="shared" si="81"/>
        <v>6.9</v>
      </c>
      <c r="BZ181" s="3">
        <f t="shared" si="82"/>
        <v>6.7</v>
      </c>
      <c r="CA181" s="3">
        <f t="shared" si="83"/>
        <v>7.8</v>
      </c>
      <c r="CB181" s="3">
        <f t="shared" si="84"/>
        <v>8.6999999999999993</v>
      </c>
      <c r="CC181" s="3">
        <f t="shared" si="85"/>
        <v>7.5</v>
      </c>
      <c r="CD181" s="3">
        <f t="shared" si="86"/>
        <v>6.1</v>
      </c>
      <c r="CE181" s="23">
        <f t="shared" si="87"/>
        <v>91.5</v>
      </c>
      <c r="CF181" s="1">
        <f t="shared" si="39"/>
        <v>11.3</v>
      </c>
      <c r="CG181" s="1">
        <f t="shared" si="88"/>
        <v>12.9</v>
      </c>
      <c r="CH181" s="1">
        <f t="shared" si="89"/>
        <v>14.1</v>
      </c>
      <c r="CI181" s="1">
        <f t="shared" si="90"/>
        <v>17.600000000000001</v>
      </c>
      <c r="CJ181" s="1">
        <f t="shared" si="91"/>
        <v>10.6</v>
      </c>
      <c r="CK181" s="1">
        <f t="shared" si="92"/>
        <v>7.6</v>
      </c>
      <c r="CL181" s="1">
        <f t="shared" si="93"/>
        <v>6.3</v>
      </c>
      <c r="CM181" s="2">
        <f t="shared" si="94"/>
        <v>97.9</v>
      </c>
      <c r="CN181" s="1">
        <f t="shared" si="40"/>
        <v>4.8</v>
      </c>
      <c r="CO181" s="1">
        <f t="shared" si="95"/>
        <v>4.4000000000000004</v>
      </c>
      <c r="CP181" s="1">
        <f t="shared" si="96"/>
        <v>4.3</v>
      </c>
      <c r="CQ181" s="1">
        <f t="shared" si="97"/>
        <v>4.4000000000000004</v>
      </c>
      <c r="CR181" s="1">
        <f t="shared" si="98"/>
        <v>7.5</v>
      </c>
      <c r="CS181" s="1">
        <f t="shared" si="99"/>
        <v>7.3</v>
      </c>
      <c r="CT181" s="1">
        <f t="shared" si="100"/>
        <v>6</v>
      </c>
      <c r="CU181" s="2">
        <f t="shared" si="73"/>
        <v>72.400000000000006</v>
      </c>
      <c r="CV181" s="18" t="s">
        <v>233</v>
      </c>
      <c r="CW181" s="1">
        <f>ROUND(PPTest!K181,1)</f>
        <v>10</v>
      </c>
      <c r="CX181" s="17">
        <f t="shared" si="101"/>
        <v>1.39</v>
      </c>
      <c r="CY181" s="17">
        <f t="shared" si="102"/>
        <v>4.1900000000000004</v>
      </c>
      <c r="CZ181" s="20">
        <f t="shared" si="41"/>
        <v>0.97</v>
      </c>
      <c r="DA181" s="20">
        <f t="shared" si="42"/>
        <v>0.37</v>
      </c>
      <c r="DB181" s="16">
        <f t="shared" si="103"/>
        <v>13</v>
      </c>
      <c r="DD181" s="1">
        <v>8.6</v>
      </c>
      <c r="DE181" s="1">
        <v>11.7</v>
      </c>
      <c r="DF181" s="1">
        <v>6.6</v>
      </c>
      <c r="DG181" s="1">
        <v>98.6</v>
      </c>
      <c r="DH181" s="1">
        <v>93</v>
      </c>
      <c r="DZ181" s="1">
        <v>5.8</v>
      </c>
      <c r="EA181" s="1">
        <v>10.1</v>
      </c>
      <c r="EB181" s="1">
        <v>2.4</v>
      </c>
      <c r="EC181" s="1">
        <v>3.6</v>
      </c>
    </row>
    <row r="182" spans="1:133" x14ac:dyDescent="0.2">
      <c r="A182" s="40">
        <v>35240</v>
      </c>
      <c r="B182" s="34">
        <v>176</v>
      </c>
      <c r="C182" s="34">
        <v>12.51</v>
      </c>
      <c r="D182" s="34">
        <v>23.39</v>
      </c>
      <c r="E182" s="34">
        <v>6.1459999999999999</v>
      </c>
      <c r="F182" s="34">
        <v>99.9</v>
      </c>
      <c r="G182" s="34">
        <v>6.3079999999999998</v>
      </c>
      <c r="H182" s="34">
        <v>5.976</v>
      </c>
      <c r="I182" s="34">
        <v>7.18</v>
      </c>
      <c r="J182" s="34">
        <v>6.24</v>
      </c>
      <c r="K182" s="34">
        <v>6.4089999999999998</v>
      </c>
      <c r="L182" s="34">
        <v>8.35</v>
      </c>
      <c r="M182" s="34">
        <v>7.42</v>
      </c>
      <c r="N182" s="34">
        <v>6.2939999999999996</v>
      </c>
      <c r="O182" s="34">
        <v>0</v>
      </c>
      <c r="P182" s="41">
        <v>1.248</v>
      </c>
      <c r="Q182" s="34">
        <v>14</v>
      </c>
      <c r="R182" s="34">
        <v>9.23</v>
      </c>
      <c r="S182" s="34">
        <v>1541</v>
      </c>
      <c r="T182" s="34">
        <v>105.8</v>
      </c>
      <c r="U182" s="34">
        <v>154</v>
      </c>
      <c r="V182" s="34">
        <v>15.02</v>
      </c>
      <c r="W182" s="34">
        <v>11.4</v>
      </c>
      <c r="X182" s="34">
        <v>14.69</v>
      </c>
      <c r="Y182" s="34">
        <v>10.62</v>
      </c>
      <c r="Z182" s="34">
        <v>10.39</v>
      </c>
      <c r="AA182" s="34">
        <v>10.31</v>
      </c>
      <c r="AB182" s="34">
        <v>7.65</v>
      </c>
      <c r="AC182" s="34">
        <v>6.4969999999999999</v>
      </c>
      <c r="AD182" s="41">
        <v>3.2741666666666669</v>
      </c>
      <c r="AE182" s="34">
        <v>1234</v>
      </c>
      <c r="AF182" s="34">
        <v>2.859</v>
      </c>
      <c r="AG182" s="34">
        <v>425</v>
      </c>
      <c r="AH182" s="34">
        <v>78.8</v>
      </c>
      <c r="AI182" s="34">
        <v>1140</v>
      </c>
      <c r="AJ182" s="34">
        <v>2.4830000000000001</v>
      </c>
      <c r="AK182" s="34">
        <v>2.4700000000000002</v>
      </c>
      <c r="AL182" s="34">
        <v>2.706</v>
      </c>
      <c r="AM182" s="34">
        <v>2.4380000000000002</v>
      </c>
      <c r="AN182" s="34">
        <v>2.4279999999999999</v>
      </c>
      <c r="AO182" s="34">
        <v>6.75</v>
      </c>
      <c r="AP182" s="34">
        <v>7.21</v>
      </c>
      <c r="AQ182" s="34">
        <v>6.1020000000000003</v>
      </c>
      <c r="AR182" s="34">
        <v>0.126</v>
      </c>
      <c r="AS182" s="34">
        <v>0.308</v>
      </c>
      <c r="AT182" s="34">
        <v>0.14000000000000001</v>
      </c>
      <c r="AU182" s="34">
        <v>0.06</v>
      </c>
      <c r="AV182" s="34">
        <v>5.8999999999999997E-2</v>
      </c>
      <c r="AW182" s="34">
        <v>0.17399999999999999</v>
      </c>
      <c r="AX182" s="34">
        <v>6.7000000000000004E-2</v>
      </c>
      <c r="AY182" s="34">
        <v>6.7000000000000004E-2</v>
      </c>
      <c r="AZ182" s="34">
        <v>6.8109999999999999</v>
      </c>
      <c r="BA182" s="34">
        <v>3474</v>
      </c>
      <c r="BB182" s="34">
        <v>13.04</v>
      </c>
      <c r="BC182" s="34">
        <v>2876</v>
      </c>
      <c r="BD182" s="3"/>
      <c r="BE182" s="3"/>
      <c r="BF182" s="3"/>
      <c r="BH182" s="16">
        <v>33.15</v>
      </c>
      <c r="BI182" s="16">
        <f t="shared" si="35"/>
        <v>66.962999999999994</v>
      </c>
      <c r="BJ182" s="17">
        <f t="shared" si="74"/>
        <v>12.51</v>
      </c>
      <c r="BK182" s="17">
        <f t="shared" si="75"/>
        <v>24.55</v>
      </c>
      <c r="BM182" s="1">
        <f t="shared" si="76"/>
        <v>98.8</v>
      </c>
      <c r="BN182" s="1">
        <f t="shared" si="77"/>
        <v>93.3</v>
      </c>
      <c r="BO182" s="1">
        <f t="shared" si="78"/>
        <v>73.8</v>
      </c>
      <c r="BP182" s="56">
        <f t="shared" si="71"/>
        <v>0.86</v>
      </c>
      <c r="BQ182" s="56">
        <f t="shared" si="72"/>
        <v>0.30499999999999999</v>
      </c>
      <c r="BS182" s="3">
        <v>8.1</v>
      </c>
      <c r="BT182" s="8"/>
      <c r="BV182" s="16">
        <f t="shared" si="79"/>
        <v>12.51</v>
      </c>
      <c r="BW182" s="16">
        <f t="shared" si="80"/>
        <v>24.55</v>
      </c>
      <c r="BX182" s="3">
        <f t="shared" si="38"/>
        <v>6.1</v>
      </c>
      <c r="BY182" s="3">
        <f t="shared" si="81"/>
        <v>6.3</v>
      </c>
      <c r="BZ182" s="3">
        <f t="shared" si="82"/>
        <v>6</v>
      </c>
      <c r="CA182" s="3">
        <f t="shared" si="83"/>
        <v>7.2</v>
      </c>
      <c r="CB182" s="3">
        <f t="shared" si="84"/>
        <v>8.4</v>
      </c>
      <c r="CC182" s="3">
        <f t="shared" si="85"/>
        <v>7.4</v>
      </c>
      <c r="CD182" s="3">
        <f t="shared" si="86"/>
        <v>6.3</v>
      </c>
      <c r="CE182" s="23">
        <f t="shared" si="87"/>
        <v>93.3</v>
      </c>
      <c r="CF182" s="1">
        <f t="shared" si="39"/>
        <v>9.1999999999999993</v>
      </c>
      <c r="CG182" s="1">
        <f t="shared" si="88"/>
        <v>15</v>
      </c>
      <c r="CH182" s="1">
        <f t="shared" si="89"/>
        <v>11.4</v>
      </c>
      <c r="CI182" s="1">
        <f t="shared" si="90"/>
        <v>14.7</v>
      </c>
      <c r="CJ182" s="1">
        <f t="shared" si="91"/>
        <v>10.3</v>
      </c>
      <c r="CK182" s="1">
        <f t="shared" si="92"/>
        <v>7.7</v>
      </c>
      <c r="CL182" s="1">
        <f t="shared" si="93"/>
        <v>6.5</v>
      </c>
      <c r="CM182" s="2">
        <f t="shared" si="94"/>
        <v>98.8</v>
      </c>
      <c r="CN182" s="1">
        <f t="shared" si="40"/>
        <v>2.9</v>
      </c>
      <c r="CO182" s="1">
        <f t="shared" si="95"/>
        <v>2.5</v>
      </c>
      <c r="CP182" s="1">
        <f t="shared" si="96"/>
        <v>2.5</v>
      </c>
      <c r="CQ182" s="1">
        <f t="shared" si="97"/>
        <v>2.7</v>
      </c>
      <c r="CR182" s="1">
        <f t="shared" si="98"/>
        <v>6.8</v>
      </c>
      <c r="CS182" s="1">
        <f t="shared" si="99"/>
        <v>7.2</v>
      </c>
      <c r="CT182" s="1">
        <f t="shared" si="100"/>
        <v>6.1</v>
      </c>
      <c r="CU182" s="2">
        <f t="shared" si="73"/>
        <v>73.8</v>
      </c>
      <c r="CV182" s="18" t="s">
        <v>233</v>
      </c>
      <c r="CW182" s="1">
        <f>ROUND(PPTest!K182,1)</f>
        <v>14</v>
      </c>
      <c r="CX182" s="17">
        <f t="shared" si="101"/>
        <v>1.25</v>
      </c>
      <c r="CY182" s="17">
        <f t="shared" si="102"/>
        <v>3.27</v>
      </c>
      <c r="CZ182" s="20">
        <f t="shared" si="41"/>
        <v>0.86</v>
      </c>
      <c r="DA182" s="20">
        <f t="shared" si="42"/>
        <v>0.30499999999999999</v>
      </c>
      <c r="DB182" s="16">
        <f t="shared" si="103"/>
        <v>13.04</v>
      </c>
      <c r="DD182" s="1">
        <v>8.6</v>
      </c>
      <c r="DE182" s="1">
        <v>11</v>
      </c>
      <c r="DF182" s="1">
        <v>6</v>
      </c>
      <c r="DG182" s="1">
        <v>96.8</v>
      </c>
      <c r="DH182" s="1">
        <v>89</v>
      </c>
      <c r="DZ182" s="1">
        <v>5</v>
      </c>
      <c r="EA182" s="1">
        <v>9.1</v>
      </c>
      <c r="EB182" s="1">
        <v>0.9</v>
      </c>
      <c r="EC182" s="1">
        <v>7.6</v>
      </c>
    </row>
    <row r="183" spans="1:133" x14ac:dyDescent="0.2">
      <c r="A183" s="40">
        <v>35241</v>
      </c>
      <c r="B183" s="34">
        <v>177</v>
      </c>
      <c r="C183" s="34">
        <v>14.32</v>
      </c>
      <c r="D183" s="34">
        <v>27.08</v>
      </c>
      <c r="E183" s="34">
        <v>7.07</v>
      </c>
      <c r="F183" s="34">
        <v>91.8</v>
      </c>
      <c r="G183" s="34">
        <v>7.02</v>
      </c>
      <c r="H183" s="34">
        <v>6.95</v>
      </c>
      <c r="I183" s="34">
        <v>8.02</v>
      </c>
      <c r="J183" s="34">
        <v>7.44</v>
      </c>
      <c r="K183" s="34">
        <v>7.65</v>
      </c>
      <c r="L183" s="34">
        <v>8.9600000000000009</v>
      </c>
      <c r="M183" s="34">
        <v>7.64</v>
      </c>
      <c r="N183" s="34">
        <v>6.53</v>
      </c>
      <c r="O183" s="34">
        <v>0</v>
      </c>
      <c r="P183" s="41">
        <v>1.4936666666666667</v>
      </c>
      <c r="Q183" s="34">
        <v>1</v>
      </c>
      <c r="R183" s="34">
        <v>11.65</v>
      </c>
      <c r="S183" s="34">
        <v>1343</v>
      </c>
      <c r="T183" s="34">
        <v>105.7</v>
      </c>
      <c r="U183" s="34">
        <v>331</v>
      </c>
      <c r="V183" s="34">
        <v>13.32</v>
      </c>
      <c r="W183" s="34">
        <v>14.57</v>
      </c>
      <c r="X183" s="34">
        <v>17.8</v>
      </c>
      <c r="Y183" s="34">
        <v>15</v>
      </c>
      <c r="Z183" s="34">
        <v>15.3</v>
      </c>
      <c r="AA183" s="34">
        <v>11.8</v>
      </c>
      <c r="AB183" s="34">
        <v>7.96</v>
      </c>
      <c r="AC183" s="34">
        <v>6.7329999999999997</v>
      </c>
      <c r="AD183" s="41">
        <v>5.2874999999999996</v>
      </c>
      <c r="AE183" s="34">
        <v>1613</v>
      </c>
      <c r="AF183" s="34">
        <v>3.99</v>
      </c>
      <c r="AG183" s="34">
        <v>416</v>
      </c>
      <c r="AH183" s="34">
        <v>65.010000000000005</v>
      </c>
      <c r="AI183" s="34">
        <v>1317</v>
      </c>
      <c r="AJ183" s="34">
        <v>3.2959999999999998</v>
      </c>
      <c r="AK183" s="34">
        <v>2.88</v>
      </c>
      <c r="AL183" s="34">
        <v>3.0870000000000002</v>
      </c>
      <c r="AM183" s="34">
        <v>3.4449999999999998</v>
      </c>
      <c r="AN183" s="34">
        <v>3.536</v>
      </c>
      <c r="AO183" s="34">
        <v>7.1</v>
      </c>
      <c r="AP183" s="34">
        <v>7.36</v>
      </c>
      <c r="AQ183" s="34">
        <v>6.3490000000000002</v>
      </c>
      <c r="AR183" s="34">
        <v>6.8000000000000005E-2</v>
      </c>
      <c r="AS183" s="34">
        <v>0.24199999999999999</v>
      </c>
      <c r="AT183" s="34">
        <v>0.20599999999999999</v>
      </c>
      <c r="AU183" s="34">
        <v>6.8000000000000005E-2</v>
      </c>
      <c r="AV183" s="34">
        <v>0.08</v>
      </c>
      <c r="AW183" s="34">
        <v>0.193</v>
      </c>
      <c r="AX183" s="34">
        <v>0.10299999999999999</v>
      </c>
      <c r="AY183" s="34">
        <v>0.04</v>
      </c>
      <c r="AZ183" s="34">
        <v>7.67</v>
      </c>
      <c r="BA183" s="34">
        <v>3474</v>
      </c>
      <c r="BB183" s="34">
        <v>13.02</v>
      </c>
      <c r="BC183" s="34">
        <v>2876</v>
      </c>
      <c r="BD183" s="3"/>
      <c r="BE183" s="3"/>
      <c r="BF183" s="3"/>
      <c r="BH183" s="16">
        <v>33.119999999999997</v>
      </c>
      <c r="BI183" s="16">
        <f t="shared" si="35"/>
        <v>66.9024</v>
      </c>
      <c r="BJ183" s="17">
        <f t="shared" si="74"/>
        <v>14.32</v>
      </c>
      <c r="BK183" s="17">
        <f t="shared" si="75"/>
        <v>28.42</v>
      </c>
      <c r="BM183" s="1">
        <f t="shared" si="76"/>
        <v>98.7</v>
      </c>
      <c r="BN183" s="1">
        <f t="shared" si="77"/>
        <v>85.8</v>
      </c>
      <c r="BO183" s="1">
        <f t="shared" si="78"/>
        <v>61.1</v>
      </c>
      <c r="BP183" s="56">
        <f t="shared" si="71"/>
        <v>0.83699999999999997</v>
      </c>
      <c r="BQ183" s="56">
        <f t="shared" si="72"/>
        <v>0.53300000000000003</v>
      </c>
      <c r="BS183" s="3">
        <v>2.5</v>
      </c>
      <c r="BT183" s="8"/>
      <c r="BV183" s="16">
        <f t="shared" si="79"/>
        <v>14.32</v>
      </c>
      <c r="BW183" s="16">
        <f t="shared" si="80"/>
        <v>28.42</v>
      </c>
      <c r="BX183" s="3">
        <f t="shared" si="38"/>
        <v>7.1</v>
      </c>
      <c r="BY183" s="3">
        <f t="shared" si="81"/>
        <v>7</v>
      </c>
      <c r="BZ183" s="3">
        <f t="shared" si="82"/>
        <v>7</v>
      </c>
      <c r="CA183" s="3">
        <f t="shared" si="83"/>
        <v>8</v>
      </c>
      <c r="CB183" s="3">
        <f t="shared" si="84"/>
        <v>9</v>
      </c>
      <c r="CC183" s="3">
        <f t="shared" si="85"/>
        <v>7.6</v>
      </c>
      <c r="CD183" s="3">
        <f t="shared" si="86"/>
        <v>6.5</v>
      </c>
      <c r="CE183" s="23">
        <f t="shared" si="87"/>
        <v>85.8</v>
      </c>
      <c r="CF183" s="1">
        <f t="shared" si="39"/>
        <v>11.7</v>
      </c>
      <c r="CG183" s="1">
        <f t="shared" si="88"/>
        <v>13.3</v>
      </c>
      <c r="CH183" s="1">
        <f t="shared" si="89"/>
        <v>14.6</v>
      </c>
      <c r="CI183" s="1">
        <f t="shared" si="90"/>
        <v>17.8</v>
      </c>
      <c r="CJ183" s="1">
        <f t="shared" si="91"/>
        <v>11.8</v>
      </c>
      <c r="CK183" s="1">
        <f t="shared" si="92"/>
        <v>8</v>
      </c>
      <c r="CL183" s="1">
        <f t="shared" si="93"/>
        <v>6.7</v>
      </c>
      <c r="CM183" s="2">
        <f t="shared" si="94"/>
        <v>98.7</v>
      </c>
      <c r="CN183" s="1">
        <f t="shared" si="40"/>
        <v>4</v>
      </c>
      <c r="CO183" s="1">
        <f t="shared" si="95"/>
        <v>3.3</v>
      </c>
      <c r="CP183" s="1">
        <f t="shared" si="96"/>
        <v>2.9</v>
      </c>
      <c r="CQ183" s="1">
        <f t="shared" si="97"/>
        <v>3.1</v>
      </c>
      <c r="CR183" s="1">
        <f t="shared" si="98"/>
        <v>7.1</v>
      </c>
      <c r="CS183" s="1">
        <f t="shared" si="99"/>
        <v>7.4</v>
      </c>
      <c r="CT183" s="1">
        <f t="shared" si="100"/>
        <v>6.3</v>
      </c>
      <c r="CU183" s="2">
        <f t="shared" si="73"/>
        <v>61.1</v>
      </c>
      <c r="CV183" s="18" t="s">
        <v>233</v>
      </c>
      <c r="CW183" s="1">
        <f>ROUND(PPTest!K183,1)</f>
        <v>1</v>
      </c>
      <c r="CX183" s="17">
        <f t="shared" si="101"/>
        <v>1.49</v>
      </c>
      <c r="CY183" s="17">
        <f t="shared" si="102"/>
        <v>5.29</v>
      </c>
      <c r="CZ183" s="20">
        <f t="shared" si="41"/>
        <v>0.83699999999999997</v>
      </c>
      <c r="DA183" s="20">
        <f t="shared" si="42"/>
        <v>0.53300000000000003</v>
      </c>
      <c r="DB183" s="16">
        <f t="shared" si="103"/>
        <v>13.02</v>
      </c>
      <c r="DD183" s="1">
        <v>9.4</v>
      </c>
      <c r="DE183" s="1">
        <v>13.8</v>
      </c>
      <c r="DF183" s="1">
        <v>7.4</v>
      </c>
      <c r="DG183" s="1">
        <v>92.5</v>
      </c>
      <c r="DH183" s="1">
        <v>73</v>
      </c>
      <c r="DZ183" s="1">
        <v>5.8</v>
      </c>
      <c r="EA183" s="1">
        <v>10.1</v>
      </c>
      <c r="EB183" s="1">
        <v>1.1000000000000001</v>
      </c>
      <c r="EC183" s="1">
        <v>3</v>
      </c>
    </row>
    <row r="184" spans="1:133" x14ac:dyDescent="0.2">
      <c r="A184" s="40">
        <v>35242</v>
      </c>
      <c r="B184" s="34">
        <v>178</v>
      </c>
      <c r="C184" s="34">
        <v>17.63</v>
      </c>
      <c r="D184" s="34">
        <v>32.799999999999997</v>
      </c>
      <c r="E184" s="34">
        <v>7.85</v>
      </c>
      <c r="F184" s="34">
        <v>83.5</v>
      </c>
      <c r="G184" s="34">
        <v>7.91</v>
      </c>
      <c r="H184" s="34">
        <v>7.45</v>
      </c>
      <c r="I184" s="34">
        <v>8.0299999999999994</v>
      </c>
      <c r="J184" s="34">
        <v>8.26</v>
      </c>
      <c r="K184" s="34">
        <v>8.7100000000000009</v>
      </c>
      <c r="L184" s="34">
        <v>8.76</v>
      </c>
      <c r="M184" s="34">
        <v>7.72</v>
      </c>
      <c r="N184" s="34">
        <v>6.6390000000000002</v>
      </c>
      <c r="O184" s="34">
        <v>0</v>
      </c>
      <c r="P184" s="41">
        <v>1.7691666666666668</v>
      </c>
      <c r="Q184" s="34">
        <v>1</v>
      </c>
      <c r="R184" s="34">
        <v>14.45</v>
      </c>
      <c r="S184" s="34">
        <v>1450</v>
      </c>
      <c r="T184" s="34">
        <v>104.1</v>
      </c>
      <c r="U184" s="34">
        <v>351</v>
      </c>
      <c r="V184" s="34">
        <v>16.82</v>
      </c>
      <c r="W184" s="34">
        <v>17</v>
      </c>
      <c r="X184" s="34">
        <v>20.67</v>
      </c>
      <c r="Y184" s="34">
        <v>16.190000000000001</v>
      </c>
      <c r="Z184" s="34">
        <v>16.63</v>
      </c>
      <c r="AA184" s="34">
        <v>11.56</v>
      </c>
      <c r="AB184" s="34">
        <v>8</v>
      </c>
      <c r="AC184" s="34">
        <v>6.8419999999999996</v>
      </c>
      <c r="AD184" s="41">
        <v>4.7141666666666673</v>
      </c>
      <c r="AE184" s="34">
        <v>1027</v>
      </c>
      <c r="AF184" s="34">
        <v>2.093</v>
      </c>
      <c r="AG184" s="34">
        <v>0</v>
      </c>
      <c r="AH184" s="34">
        <v>48.03</v>
      </c>
      <c r="AI184" s="34">
        <v>1436</v>
      </c>
      <c r="AJ184" s="34">
        <v>1.2729999999999999</v>
      </c>
      <c r="AK184" s="34">
        <v>0.95299999999999996</v>
      </c>
      <c r="AL184" s="34">
        <v>0.81100000000000005</v>
      </c>
      <c r="AM184" s="34">
        <v>1.0569999999999999</v>
      </c>
      <c r="AN184" s="34">
        <v>1.08</v>
      </c>
      <c r="AO184" s="34">
        <v>6.3929999999999998</v>
      </c>
      <c r="AP184" s="34">
        <v>7.48</v>
      </c>
      <c r="AQ184" s="34">
        <v>6.3659999999999997</v>
      </c>
      <c r="AR184" s="34">
        <v>7.5999999999999998E-2</v>
      </c>
      <c r="AS184" s="34">
        <v>0.40400000000000003</v>
      </c>
      <c r="AT184" s="34">
        <v>0.16900000000000001</v>
      </c>
      <c r="AU184" s="34">
        <v>3.7999999999999999E-2</v>
      </c>
      <c r="AV184" s="34">
        <v>6.6000000000000003E-2</v>
      </c>
      <c r="AW184" s="34">
        <v>0.11700000000000001</v>
      </c>
      <c r="AX184" s="34">
        <v>8.3000000000000004E-2</v>
      </c>
      <c r="AY184" s="34">
        <v>4.7E-2</v>
      </c>
      <c r="AZ184" s="34">
        <v>8.06</v>
      </c>
      <c r="BA184" s="34">
        <v>3474</v>
      </c>
      <c r="BB184" s="34">
        <v>12.99</v>
      </c>
      <c r="BC184" s="34">
        <v>2876</v>
      </c>
      <c r="BD184" s="3"/>
      <c r="BE184" s="3"/>
      <c r="BF184" s="3"/>
      <c r="BH184" s="16">
        <v>33.08</v>
      </c>
      <c r="BI184" s="16">
        <f t="shared" si="35"/>
        <v>66.821600000000004</v>
      </c>
      <c r="BJ184" s="17">
        <f t="shared" si="74"/>
        <v>17.63</v>
      </c>
      <c r="BK184" s="17">
        <f t="shared" si="75"/>
        <v>34.42</v>
      </c>
      <c r="BM184" s="1">
        <f t="shared" si="76"/>
        <v>97.2</v>
      </c>
      <c r="BN184" s="1">
        <f t="shared" si="77"/>
        <v>78.2</v>
      </c>
      <c r="BO184" s="1">
        <f t="shared" si="78"/>
        <v>45.4</v>
      </c>
      <c r="BP184" s="56">
        <f t="shared" si="71"/>
        <v>0.747</v>
      </c>
      <c r="BQ184" s="56">
        <f t="shared" si="72"/>
        <v>0.89800000000000002</v>
      </c>
      <c r="BS184" s="3">
        <v>0</v>
      </c>
      <c r="BT184" s="8"/>
      <c r="BV184" s="16">
        <f t="shared" si="79"/>
        <v>17.63</v>
      </c>
      <c r="BW184" s="16">
        <f t="shared" si="80"/>
        <v>34.42</v>
      </c>
      <c r="BX184" s="3">
        <f t="shared" si="38"/>
        <v>7.9</v>
      </c>
      <c r="BY184" s="3">
        <f t="shared" si="81"/>
        <v>7.9</v>
      </c>
      <c r="BZ184" s="3">
        <f t="shared" si="82"/>
        <v>7.5</v>
      </c>
      <c r="CA184" s="3">
        <f t="shared" si="83"/>
        <v>8</v>
      </c>
      <c r="CB184" s="3">
        <f t="shared" si="84"/>
        <v>8.8000000000000007</v>
      </c>
      <c r="CC184" s="3">
        <f t="shared" si="85"/>
        <v>7.7</v>
      </c>
      <c r="CD184" s="3">
        <f t="shared" si="86"/>
        <v>6.6</v>
      </c>
      <c r="CE184" s="23">
        <f t="shared" si="87"/>
        <v>78.2</v>
      </c>
      <c r="CF184" s="1">
        <f t="shared" si="39"/>
        <v>14.5</v>
      </c>
      <c r="CG184" s="1">
        <f t="shared" si="88"/>
        <v>16.8</v>
      </c>
      <c r="CH184" s="1">
        <f t="shared" si="89"/>
        <v>17</v>
      </c>
      <c r="CI184" s="1">
        <f t="shared" si="90"/>
        <v>20.7</v>
      </c>
      <c r="CJ184" s="1">
        <f t="shared" si="91"/>
        <v>11.6</v>
      </c>
      <c r="CK184" s="1">
        <f t="shared" si="92"/>
        <v>8</v>
      </c>
      <c r="CL184" s="1">
        <f t="shared" si="93"/>
        <v>6.8</v>
      </c>
      <c r="CM184" s="2">
        <f t="shared" si="94"/>
        <v>97.2</v>
      </c>
      <c r="CN184" s="1">
        <f t="shared" si="40"/>
        <v>2.1</v>
      </c>
      <c r="CO184" s="1">
        <f t="shared" si="95"/>
        <v>1.3</v>
      </c>
      <c r="CP184" s="1">
        <f t="shared" si="96"/>
        <v>1</v>
      </c>
      <c r="CQ184" s="1">
        <f t="shared" si="97"/>
        <v>0.8</v>
      </c>
      <c r="CR184" s="1">
        <f t="shared" si="98"/>
        <v>6.4</v>
      </c>
      <c r="CS184" s="1">
        <f t="shared" si="99"/>
        <v>7.5</v>
      </c>
      <c r="CT184" s="1">
        <f t="shared" si="100"/>
        <v>6.4</v>
      </c>
      <c r="CU184" s="2">
        <f t="shared" si="73"/>
        <v>45.4</v>
      </c>
      <c r="CV184" s="18" t="s">
        <v>233</v>
      </c>
      <c r="CW184" s="1">
        <f>ROUND(PPTest!K184,1)</f>
        <v>1</v>
      </c>
      <c r="CX184" s="17">
        <f t="shared" si="101"/>
        <v>1.77</v>
      </c>
      <c r="CY184" s="17">
        <f t="shared" si="102"/>
        <v>4.71</v>
      </c>
      <c r="CZ184" s="20">
        <f t="shared" si="41"/>
        <v>0.747</v>
      </c>
      <c r="DA184" s="20">
        <f t="shared" si="42"/>
        <v>0.89800000000000002</v>
      </c>
      <c r="DB184" s="16">
        <f t="shared" si="103"/>
        <v>12.99</v>
      </c>
      <c r="DD184" s="1">
        <v>12</v>
      </c>
      <c r="DE184" s="1">
        <v>16.8</v>
      </c>
      <c r="DF184" s="1">
        <v>6.7</v>
      </c>
      <c r="DG184" s="1">
        <v>73.599999999999994</v>
      </c>
      <c r="DH184" s="1">
        <v>53</v>
      </c>
      <c r="DZ184" s="1">
        <v>8.6</v>
      </c>
      <c r="EA184" s="1">
        <v>15.7</v>
      </c>
      <c r="EB184" s="1">
        <v>0.2</v>
      </c>
      <c r="EC184" s="1">
        <v>0</v>
      </c>
    </row>
    <row r="185" spans="1:133" x14ac:dyDescent="0.2">
      <c r="A185" s="40">
        <v>35243</v>
      </c>
      <c r="B185" s="34">
        <v>179</v>
      </c>
      <c r="C185" s="34">
        <v>21.64</v>
      </c>
      <c r="D185" s="34">
        <v>40.270000000000003</v>
      </c>
      <c r="E185" s="34">
        <v>8.44</v>
      </c>
      <c r="F185" s="34">
        <v>81.2</v>
      </c>
      <c r="G185" s="34">
        <v>8.3800000000000008</v>
      </c>
      <c r="H185" s="34">
        <v>8.3000000000000007</v>
      </c>
      <c r="I185" s="34">
        <v>10.029999999999999</v>
      </c>
      <c r="J185" s="34">
        <v>9.14</v>
      </c>
      <c r="K185" s="34">
        <v>9.31</v>
      </c>
      <c r="L185" s="34">
        <v>9.24</v>
      </c>
      <c r="M185" s="34">
        <v>7.82</v>
      </c>
      <c r="N185" s="34">
        <v>6.7060000000000004</v>
      </c>
      <c r="O185" s="34">
        <v>0</v>
      </c>
      <c r="P185" s="41">
        <v>2.1758333333333333</v>
      </c>
      <c r="Q185" s="34">
        <v>0</v>
      </c>
      <c r="R185" s="34">
        <v>14.99</v>
      </c>
      <c r="S185" s="34">
        <v>1603</v>
      </c>
      <c r="T185" s="34">
        <v>103.5</v>
      </c>
      <c r="U185" s="34">
        <v>307</v>
      </c>
      <c r="V185" s="34">
        <v>15.93</v>
      </c>
      <c r="W185" s="34">
        <v>18.38</v>
      </c>
      <c r="X185" s="34">
        <v>25.82</v>
      </c>
      <c r="Y185" s="34">
        <v>18.68</v>
      </c>
      <c r="Z185" s="34">
        <v>18.7</v>
      </c>
      <c r="AA185" s="34">
        <v>12.97</v>
      </c>
      <c r="AB185" s="34">
        <v>8.34</v>
      </c>
      <c r="AC185" s="34">
        <v>6.9260000000000002</v>
      </c>
      <c r="AD185" s="41">
        <v>6.0875000000000004</v>
      </c>
      <c r="AE185" s="34">
        <v>1647</v>
      </c>
      <c r="AF185" s="34">
        <v>0.54800000000000004</v>
      </c>
      <c r="AG185" s="34">
        <v>406</v>
      </c>
      <c r="AH185" s="34">
        <v>50.52</v>
      </c>
      <c r="AI185" s="34">
        <v>1149</v>
      </c>
      <c r="AJ185" s="34">
        <v>-0.127</v>
      </c>
      <c r="AK185" s="34">
        <v>-0.44900000000000001</v>
      </c>
      <c r="AL185" s="34">
        <v>-0.35499999999999998</v>
      </c>
      <c r="AM185" s="34">
        <v>-0.42199999999999999</v>
      </c>
      <c r="AN185" s="34">
        <v>-0.42899999999999999</v>
      </c>
      <c r="AO185" s="34">
        <v>6.0919999999999996</v>
      </c>
      <c r="AP185" s="34">
        <v>7.51</v>
      </c>
      <c r="AQ185" s="34">
        <v>6.4669999999999996</v>
      </c>
      <c r="AR185" s="34">
        <v>2.1000000000000001E-2</v>
      </c>
      <c r="AS185" s="34">
        <v>0.21299999999999999</v>
      </c>
      <c r="AT185" s="34">
        <v>0.11</v>
      </c>
      <c r="AU185" s="34">
        <v>2.4E-2</v>
      </c>
      <c r="AV185" s="34">
        <v>0.106</v>
      </c>
      <c r="AW185" s="34">
        <v>0.371</v>
      </c>
      <c r="AX185" s="34">
        <v>0.13200000000000001</v>
      </c>
      <c r="AY185" s="34">
        <v>2.4E-2</v>
      </c>
      <c r="AZ185" s="34">
        <v>8.8800000000000008</v>
      </c>
      <c r="BA185" s="34">
        <v>3474</v>
      </c>
      <c r="BB185" s="34">
        <v>12.94</v>
      </c>
      <c r="BC185" s="34">
        <v>2876</v>
      </c>
      <c r="BD185" s="3"/>
      <c r="BE185" s="3"/>
      <c r="BF185" s="3"/>
      <c r="BH185" s="16">
        <v>33.04</v>
      </c>
      <c r="BI185" s="16">
        <f t="shared" si="35"/>
        <v>66.740799999999993</v>
      </c>
      <c r="BJ185" s="17">
        <f t="shared" si="74"/>
        <v>21.64</v>
      </c>
      <c r="BK185" s="17">
        <f t="shared" si="75"/>
        <v>42.26</v>
      </c>
      <c r="BM185" s="1">
        <f t="shared" si="76"/>
        <v>96.6</v>
      </c>
      <c r="BN185" s="1">
        <f t="shared" si="77"/>
        <v>76</v>
      </c>
      <c r="BO185" s="1">
        <f t="shared" si="78"/>
        <v>47.7</v>
      </c>
      <c r="BP185" s="56">
        <f t="shared" si="71"/>
        <v>0.81299999999999994</v>
      </c>
      <c r="BQ185" s="56">
        <f t="shared" si="72"/>
        <v>0.89100000000000001</v>
      </c>
      <c r="BS185" s="3">
        <v>6.4</v>
      </c>
      <c r="BT185" s="8"/>
      <c r="BV185" s="16">
        <f t="shared" si="79"/>
        <v>21.64</v>
      </c>
      <c r="BW185" s="16">
        <f t="shared" si="80"/>
        <v>42.26</v>
      </c>
      <c r="BX185" s="3">
        <f t="shared" si="38"/>
        <v>8.4</v>
      </c>
      <c r="BY185" s="3">
        <f t="shared" si="81"/>
        <v>8.4</v>
      </c>
      <c r="BZ185" s="3">
        <f t="shared" si="82"/>
        <v>8.3000000000000007</v>
      </c>
      <c r="CA185" s="3">
        <f t="shared" si="83"/>
        <v>10</v>
      </c>
      <c r="CB185" s="3">
        <f t="shared" si="84"/>
        <v>9.1999999999999993</v>
      </c>
      <c r="CC185" s="3">
        <f t="shared" si="85"/>
        <v>7.8</v>
      </c>
      <c r="CD185" s="3">
        <f t="shared" si="86"/>
        <v>6.7</v>
      </c>
      <c r="CE185" s="23">
        <f t="shared" si="87"/>
        <v>76</v>
      </c>
      <c r="CF185" s="1">
        <f t="shared" si="39"/>
        <v>15</v>
      </c>
      <c r="CG185" s="1">
        <f t="shared" si="88"/>
        <v>15.9</v>
      </c>
      <c r="CH185" s="1">
        <f t="shared" si="89"/>
        <v>18.399999999999999</v>
      </c>
      <c r="CI185" s="1">
        <f t="shared" si="90"/>
        <v>25.8</v>
      </c>
      <c r="CJ185" s="1">
        <f t="shared" si="91"/>
        <v>13</v>
      </c>
      <c r="CK185" s="1">
        <f t="shared" si="92"/>
        <v>8.3000000000000007</v>
      </c>
      <c r="CL185" s="1">
        <f t="shared" si="93"/>
        <v>6.9</v>
      </c>
      <c r="CM185" s="2">
        <f t="shared" si="94"/>
        <v>96.6</v>
      </c>
      <c r="CN185" s="1">
        <f t="shared" si="40"/>
        <v>0.5</v>
      </c>
      <c r="CO185" s="1">
        <f t="shared" si="95"/>
        <v>-0.1</v>
      </c>
      <c r="CP185" s="1">
        <f t="shared" si="96"/>
        <v>-0.4</v>
      </c>
      <c r="CQ185" s="1">
        <f t="shared" si="97"/>
        <v>-0.4</v>
      </c>
      <c r="CR185" s="1">
        <f t="shared" si="98"/>
        <v>6.1</v>
      </c>
      <c r="CS185" s="1">
        <f t="shared" si="99"/>
        <v>7.5</v>
      </c>
      <c r="CT185" s="1">
        <f t="shared" si="100"/>
        <v>6.5</v>
      </c>
      <c r="CU185" s="2">
        <f t="shared" si="73"/>
        <v>47.7</v>
      </c>
      <c r="CV185" s="18" t="s">
        <v>233</v>
      </c>
      <c r="CW185" s="1">
        <f>ROUND(PPTest!K185,1)</f>
        <v>0</v>
      </c>
      <c r="CX185" s="17">
        <f t="shared" si="101"/>
        <v>2.1800000000000002</v>
      </c>
      <c r="CY185" s="17">
        <f t="shared" si="102"/>
        <v>6.09</v>
      </c>
      <c r="CZ185" s="20">
        <f t="shared" si="41"/>
        <v>0.81299999999999994</v>
      </c>
      <c r="DA185" s="20">
        <f t="shared" si="42"/>
        <v>0.89100000000000001</v>
      </c>
      <c r="DB185" s="16">
        <f t="shared" si="103"/>
        <v>12.94</v>
      </c>
      <c r="DD185" s="1">
        <v>12.1</v>
      </c>
      <c r="DE185" s="1">
        <v>17.100000000000001</v>
      </c>
      <c r="DF185" s="1">
        <v>8.5</v>
      </c>
      <c r="DG185" s="1">
        <v>72.3</v>
      </c>
      <c r="DH185" s="1">
        <v>54</v>
      </c>
      <c r="DZ185" s="1">
        <v>8.3000000000000007</v>
      </c>
      <c r="EA185" s="1">
        <v>13.7</v>
      </c>
      <c r="EB185" s="1">
        <v>2.5</v>
      </c>
      <c r="EC185" s="1">
        <v>0</v>
      </c>
    </row>
    <row r="186" spans="1:133" x14ac:dyDescent="0.2">
      <c r="A186" s="40">
        <v>35244</v>
      </c>
      <c r="B186" s="34">
        <v>180</v>
      </c>
      <c r="C186" s="34">
        <v>17.91</v>
      </c>
      <c r="D186" s="34">
        <v>33.1</v>
      </c>
      <c r="E186" s="34">
        <v>7.95</v>
      </c>
      <c r="F186" s="34">
        <v>75</v>
      </c>
      <c r="G186" s="34">
        <v>7.75</v>
      </c>
      <c r="H186" s="34">
        <v>7.7</v>
      </c>
      <c r="I186" s="34">
        <v>8.9</v>
      </c>
      <c r="J186" s="34">
        <v>8.32</v>
      </c>
      <c r="K186" s="34">
        <v>8.75</v>
      </c>
      <c r="L186" s="34">
        <v>9.35</v>
      </c>
      <c r="M186" s="34">
        <v>8.16</v>
      </c>
      <c r="N186" s="34">
        <v>6.7939999999999996</v>
      </c>
      <c r="O186" s="34">
        <v>0</v>
      </c>
      <c r="P186" s="41">
        <v>2.3424999999999998</v>
      </c>
      <c r="Q186" s="34">
        <v>0</v>
      </c>
      <c r="R186" s="34">
        <v>12.79</v>
      </c>
      <c r="S186" s="34">
        <v>1554</v>
      </c>
      <c r="T186" s="34">
        <v>99</v>
      </c>
      <c r="U186" s="34">
        <v>455</v>
      </c>
      <c r="V186" s="34">
        <v>13.87</v>
      </c>
      <c r="W186" s="34">
        <v>16.809999999999999</v>
      </c>
      <c r="X186" s="34">
        <v>19.78</v>
      </c>
      <c r="Y186" s="34">
        <v>15.83</v>
      </c>
      <c r="Z186" s="34">
        <v>16.07</v>
      </c>
      <c r="AA186" s="34">
        <v>11.99</v>
      </c>
      <c r="AB186" s="34">
        <v>8.35</v>
      </c>
      <c r="AC186" s="34">
        <v>6.9880000000000004</v>
      </c>
      <c r="AD186" s="41">
        <v>6.8075000000000001</v>
      </c>
      <c r="AE186" s="34">
        <v>1524</v>
      </c>
      <c r="AF186" s="34">
        <v>4.0940000000000003</v>
      </c>
      <c r="AG186" s="34">
        <v>353</v>
      </c>
      <c r="AH186" s="34">
        <v>39.78</v>
      </c>
      <c r="AI186" s="34">
        <v>1820</v>
      </c>
      <c r="AJ186" s="34">
        <v>3.3719999999999999</v>
      </c>
      <c r="AK186" s="34">
        <v>2.7770000000000001</v>
      </c>
      <c r="AL186" s="34">
        <v>1.9039999999999999</v>
      </c>
      <c r="AM186" s="34">
        <v>3.2029999999999998</v>
      </c>
      <c r="AN186" s="34">
        <v>3.3740000000000001</v>
      </c>
      <c r="AO186" s="34">
        <v>7.76</v>
      </c>
      <c r="AP186" s="34">
        <v>7.98</v>
      </c>
      <c r="AQ186" s="34">
        <v>6.6189999999999998</v>
      </c>
      <c r="AR186" s="34">
        <v>2.9000000000000001E-2</v>
      </c>
      <c r="AS186" s="34">
        <v>0.13600000000000001</v>
      </c>
      <c r="AT186" s="34">
        <v>8.2000000000000003E-2</v>
      </c>
      <c r="AU186" s="34">
        <v>1.9E-2</v>
      </c>
      <c r="AV186" s="34">
        <v>0.11600000000000001</v>
      </c>
      <c r="AW186" s="34">
        <v>0.43</v>
      </c>
      <c r="AX186" s="34">
        <v>0.156</v>
      </c>
      <c r="AY186" s="34">
        <v>3.1E-2</v>
      </c>
      <c r="AZ186" s="34">
        <v>8.44</v>
      </c>
      <c r="BA186" s="34">
        <v>3474</v>
      </c>
      <c r="BB186" s="34">
        <v>12.98</v>
      </c>
      <c r="BC186" s="34">
        <v>2876</v>
      </c>
      <c r="BD186" s="3"/>
      <c r="BE186" s="3"/>
      <c r="BF186" s="3"/>
      <c r="BH186" s="16">
        <v>33</v>
      </c>
      <c r="BI186" s="16">
        <f t="shared" si="35"/>
        <v>66.66</v>
      </c>
      <c r="BJ186" s="17">
        <f t="shared" si="74"/>
        <v>17.91</v>
      </c>
      <c r="BK186" s="17">
        <f t="shared" si="75"/>
        <v>34.74</v>
      </c>
      <c r="BM186" s="1">
        <f t="shared" si="76"/>
        <v>92.5</v>
      </c>
      <c r="BN186" s="1">
        <f t="shared" si="77"/>
        <v>70.3</v>
      </c>
      <c r="BO186" s="1">
        <f t="shared" si="78"/>
        <v>37.799999999999997</v>
      </c>
      <c r="BP186" s="56">
        <f t="shared" si="71"/>
        <v>0.55800000000000005</v>
      </c>
      <c r="BQ186" s="56">
        <f t="shared" si="72"/>
        <v>0.91800000000000004</v>
      </c>
      <c r="BS186" s="3">
        <v>0</v>
      </c>
      <c r="BT186" s="8"/>
      <c r="BV186" s="16">
        <f t="shared" si="79"/>
        <v>17.91</v>
      </c>
      <c r="BW186" s="16">
        <f t="shared" si="80"/>
        <v>34.74</v>
      </c>
      <c r="BX186" s="3">
        <f t="shared" si="38"/>
        <v>8</v>
      </c>
      <c r="BY186" s="3">
        <f t="shared" si="81"/>
        <v>7.8</v>
      </c>
      <c r="BZ186" s="3">
        <f t="shared" si="82"/>
        <v>7.7</v>
      </c>
      <c r="CA186" s="3">
        <f t="shared" si="83"/>
        <v>8.9</v>
      </c>
      <c r="CB186" s="3">
        <f t="shared" si="84"/>
        <v>9.4</v>
      </c>
      <c r="CC186" s="3">
        <f t="shared" si="85"/>
        <v>8.1999999999999993</v>
      </c>
      <c r="CD186" s="3">
        <f t="shared" si="86"/>
        <v>6.8</v>
      </c>
      <c r="CE186" s="23">
        <f t="shared" si="87"/>
        <v>70.3</v>
      </c>
      <c r="CF186" s="1">
        <f t="shared" si="39"/>
        <v>12.8</v>
      </c>
      <c r="CG186" s="1">
        <f t="shared" si="88"/>
        <v>13.9</v>
      </c>
      <c r="CH186" s="1">
        <f t="shared" si="89"/>
        <v>16.8</v>
      </c>
      <c r="CI186" s="1">
        <f t="shared" si="90"/>
        <v>19.8</v>
      </c>
      <c r="CJ186" s="1">
        <f t="shared" si="91"/>
        <v>12</v>
      </c>
      <c r="CK186" s="1">
        <f t="shared" si="92"/>
        <v>8.4</v>
      </c>
      <c r="CL186" s="1">
        <f t="shared" si="93"/>
        <v>7</v>
      </c>
      <c r="CM186" s="2">
        <f t="shared" si="94"/>
        <v>92.5</v>
      </c>
      <c r="CN186" s="1">
        <f t="shared" si="40"/>
        <v>4.0999999999999996</v>
      </c>
      <c r="CO186" s="1">
        <f t="shared" si="95"/>
        <v>3.4</v>
      </c>
      <c r="CP186" s="1">
        <f t="shared" si="96"/>
        <v>2.8</v>
      </c>
      <c r="CQ186" s="1">
        <f t="shared" si="97"/>
        <v>1.9</v>
      </c>
      <c r="CR186" s="1">
        <f t="shared" si="98"/>
        <v>7.8</v>
      </c>
      <c r="CS186" s="1">
        <f t="shared" si="99"/>
        <v>8</v>
      </c>
      <c r="CT186" s="1">
        <f t="shared" si="100"/>
        <v>6.6</v>
      </c>
      <c r="CU186" s="2">
        <f t="shared" si="73"/>
        <v>37.799999999999997</v>
      </c>
      <c r="CV186" s="18" t="s">
        <v>233</v>
      </c>
      <c r="CW186" s="1">
        <f>ROUND(PPTest!K186,1)</f>
        <v>0</v>
      </c>
      <c r="CX186" s="17">
        <f t="shared" si="101"/>
        <v>2.34</v>
      </c>
      <c r="CY186" s="17">
        <f t="shared" si="102"/>
        <v>6.81</v>
      </c>
      <c r="CZ186" s="20">
        <f t="shared" si="41"/>
        <v>0.55800000000000005</v>
      </c>
      <c r="DA186" s="20">
        <f t="shared" si="42"/>
        <v>0.91800000000000004</v>
      </c>
      <c r="DB186" s="16">
        <f t="shared" si="103"/>
        <v>12.98</v>
      </c>
      <c r="DD186" s="1">
        <v>10.7</v>
      </c>
      <c r="DE186" s="1">
        <v>14.8</v>
      </c>
      <c r="DF186" s="1">
        <v>7.6</v>
      </c>
      <c r="DG186" s="1">
        <v>75.900000000000006</v>
      </c>
      <c r="DH186" s="1">
        <v>52</v>
      </c>
      <c r="DZ186" s="1">
        <v>6.6</v>
      </c>
      <c r="EA186" s="1">
        <v>12.9</v>
      </c>
      <c r="EB186" s="1">
        <v>-0.4</v>
      </c>
      <c r="EC186" s="1">
        <v>2</v>
      </c>
    </row>
    <row r="187" spans="1:133" x14ac:dyDescent="0.2">
      <c r="A187" s="40">
        <v>35245</v>
      </c>
      <c r="B187" s="34">
        <v>181</v>
      </c>
      <c r="C187" s="34">
        <v>24.01</v>
      </c>
      <c r="D187" s="34">
        <v>44.15</v>
      </c>
      <c r="E187" s="34">
        <v>8.34</v>
      </c>
      <c r="F187" s="34">
        <v>73.8</v>
      </c>
      <c r="G187" s="34">
        <v>8.52</v>
      </c>
      <c r="H187" s="34">
        <v>8.1199999999999992</v>
      </c>
      <c r="I187" s="34">
        <v>10.39</v>
      </c>
      <c r="J187" s="34">
        <v>9.33</v>
      </c>
      <c r="K187" s="34">
        <v>9.5500000000000007</v>
      </c>
      <c r="L187" s="34">
        <v>9.36</v>
      </c>
      <c r="M187" s="34">
        <v>8.0500000000000007</v>
      </c>
      <c r="N187" s="34">
        <v>6.8780000000000001</v>
      </c>
      <c r="O187" s="34">
        <v>0</v>
      </c>
      <c r="P187" s="41">
        <v>1.7608333333333335</v>
      </c>
      <c r="Q187" s="34">
        <v>0</v>
      </c>
      <c r="R187" s="34">
        <v>14.1</v>
      </c>
      <c r="S187" s="34">
        <v>1528</v>
      </c>
      <c r="T187" s="34">
        <v>101.5</v>
      </c>
      <c r="U187" s="34">
        <v>405</v>
      </c>
      <c r="V187" s="34">
        <v>15.21</v>
      </c>
      <c r="W187" s="34">
        <v>17.66</v>
      </c>
      <c r="X187" s="34">
        <v>26.02</v>
      </c>
      <c r="Y187" s="34">
        <v>18.010000000000002</v>
      </c>
      <c r="Z187" s="34">
        <v>17.47</v>
      </c>
      <c r="AA187" s="34">
        <v>12.66</v>
      </c>
      <c r="AB187" s="34">
        <v>8.49</v>
      </c>
      <c r="AC187" s="34">
        <v>7.05</v>
      </c>
      <c r="AD187" s="41">
        <v>4.7675000000000001</v>
      </c>
      <c r="AE187" s="34">
        <v>1227</v>
      </c>
      <c r="AF187" s="34">
        <v>0.32200000000000001</v>
      </c>
      <c r="AG187" s="34">
        <v>404</v>
      </c>
      <c r="AH187" s="34">
        <v>37.119999999999997</v>
      </c>
      <c r="AI187" s="34">
        <v>1529</v>
      </c>
      <c r="AJ187" s="34">
        <v>-0.41699999999999998</v>
      </c>
      <c r="AK187" s="34">
        <v>-0.91400000000000003</v>
      </c>
      <c r="AL187" s="34">
        <v>-0.82299999999999995</v>
      </c>
      <c r="AM187" s="34">
        <v>-0.77400000000000002</v>
      </c>
      <c r="AN187" s="34">
        <v>-0.74399999999999999</v>
      </c>
      <c r="AO187" s="34">
        <v>6.4329999999999998</v>
      </c>
      <c r="AP187" s="34">
        <v>7.73</v>
      </c>
      <c r="AQ187" s="34">
        <v>6.5880000000000001</v>
      </c>
      <c r="AR187" s="34">
        <v>2.4E-2</v>
      </c>
      <c r="AS187" s="34">
        <v>0.27</v>
      </c>
      <c r="AT187" s="34">
        <v>0.124</v>
      </c>
      <c r="AU187" s="34">
        <v>1.4999999999999999E-2</v>
      </c>
      <c r="AV187" s="34">
        <v>0.13300000000000001</v>
      </c>
      <c r="AW187" s="34">
        <v>0.30299999999999999</v>
      </c>
      <c r="AX187" s="34">
        <v>0.112</v>
      </c>
      <c r="AY187" s="34">
        <v>2.1000000000000001E-2</v>
      </c>
      <c r="AZ187" s="34">
        <v>9.01</v>
      </c>
      <c r="BA187" s="34">
        <v>3474</v>
      </c>
      <c r="BB187" s="34">
        <v>12.93</v>
      </c>
      <c r="BC187" s="34">
        <v>2876</v>
      </c>
      <c r="BD187" s="3"/>
      <c r="BE187" s="3"/>
      <c r="BF187" s="3"/>
      <c r="BH187" s="16">
        <v>32.950000000000003</v>
      </c>
      <c r="BI187" s="16">
        <f t="shared" si="35"/>
        <v>66.559000000000012</v>
      </c>
      <c r="BJ187" s="17">
        <f t="shared" si="74"/>
        <v>24.01</v>
      </c>
      <c r="BK187" s="17">
        <f t="shared" si="75"/>
        <v>46.33</v>
      </c>
      <c r="BM187" s="1">
        <f t="shared" si="76"/>
        <v>94.8</v>
      </c>
      <c r="BN187" s="1">
        <f t="shared" si="77"/>
        <v>69.2</v>
      </c>
      <c r="BO187" s="1">
        <f t="shared" si="78"/>
        <v>35.299999999999997</v>
      </c>
      <c r="BP187" s="56">
        <f t="shared" si="71"/>
        <v>0.56799999999999995</v>
      </c>
      <c r="BQ187" s="56">
        <f t="shared" si="72"/>
        <v>1.0409999999999999</v>
      </c>
      <c r="BS187" s="3">
        <v>0</v>
      </c>
      <c r="BT187" s="8"/>
      <c r="BV187" s="16">
        <f t="shared" si="79"/>
        <v>24.01</v>
      </c>
      <c r="BW187" s="16">
        <f t="shared" si="80"/>
        <v>46.33</v>
      </c>
      <c r="BX187" s="3">
        <f t="shared" si="38"/>
        <v>8.3000000000000007</v>
      </c>
      <c r="BY187" s="3">
        <f t="shared" si="81"/>
        <v>8.5</v>
      </c>
      <c r="BZ187" s="3">
        <f t="shared" si="82"/>
        <v>8.1</v>
      </c>
      <c r="CA187" s="3">
        <f t="shared" si="83"/>
        <v>10.4</v>
      </c>
      <c r="CB187" s="3">
        <f t="shared" si="84"/>
        <v>9.4</v>
      </c>
      <c r="CC187" s="3">
        <f t="shared" si="85"/>
        <v>8.1</v>
      </c>
      <c r="CD187" s="3">
        <f t="shared" si="86"/>
        <v>6.9</v>
      </c>
      <c r="CE187" s="23">
        <f t="shared" si="87"/>
        <v>69.2</v>
      </c>
      <c r="CF187" s="1">
        <f t="shared" si="39"/>
        <v>14.1</v>
      </c>
      <c r="CG187" s="1">
        <f t="shared" si="88"/>
        <v>15.2</v>
      </c>
      <c r="CH187" s="1">
        <f t="shared" si="89"/>
        <v>17.7</v>
      </c>
      <c r="CI187" s="1">
        <f t="shared" si="90"/>
        <v>26</v>
      </c>
      <c r="CJ187" s="1">
        <f t="shared" si="91"/>
        <v>12.7</v>
      </c>
      <c r="CK187" s="1">
        <f t="shared" si="92"/>
        <v>8.5</v>
      </c>
      <c r="CL187" s="1">
        <f t="shared" si="93"/>
        <v>7.1</v>
      </c>
      <c r="CM187" s="2">
        <f t="shared" si="94"/>
        <v>94.8</v>
      </c>
      <c r="CN187" s="1">
        <f t="shared" si="40"/>
        <v>0.3</v>
      </c>
      <c r="CO187" s="1">
        <f t="shared" si="95"/>
        <v>-0.4</v>
      </c>
      <c r="CP187" s="1">
        <f t="shared" si="96"/>
        <v>-0.9</v>
      </c>
      <c r="CQ187" s="1">
        <f t="shared" si="97"/>
        <v>-0.8</v>
      </c>
      <c r="CR187" s="1">
        <f t="shared" si="98"/>
        <v>6.4</v>
      </c>
      <c r="CS187" s="1">
        <f t="shared" si="99"/>
        <v>7.7</v>
      </c>
      <c r="CT187" s="1">
        <f t="shared" si="100"/>
        <v>6.6</v>
      </c>
      <c r="CU187" s="2">
        <f t="shared" si="73"/>
        <v>35.299999999999997</v>
      </c>
      <c r="CV187" s="18" t="s">
        <v>233</v>
      </c>
      <c r="CW187" s="1">
        <f>ROUND(PPTest!K187,1)</f>
        <v>0</v>
      </c>
      <c r="CX187" s="17">
        <f t="shared" si="101"/>
        <v>1.76</v>
      </c>
      <c r="CY187" s="17">
        <f t="shared" si="102"/>
        <v>4.7699999999999996</v>
      </c>
      <c r="CZ187" s="20">
        <f t="shared" si="41"/>
        <v>0.56799999999999995</v>
      </c>
      <c r="DA187" s="20">
        <f t="shared" si="42"/>
        <v>1.0409999999999999</v>
      </c>
      <c r="DB187" s="16">
        <f t="shared" si="103"/>
        <v>12.93</v>
      </c>
      <c r="DD187" s="1">
        <v>11.2</v>
      </c>
      <c r="DE187" s="1">
        <v>15.8</v>
      </c>
      <c r="DF187" s="1">
        <v>4.2</v>
      </c>
      <c r="DG187" s="1">
        <v>66.400000000000006</v>
      </c>
      <c r="DH187" s="1">
        <v>43</v>
      </c>
      <c r="DZ187" s="1">
        <v>7.2</v>
      </c>
      <c r="EA187" s="1">
        <v>14.3</v>
      </c>
      <c r="EB187" s="1">
        <v>-2.6</v>
      </c>
      <c r="EC187" s="1">
        <v>0</v>
      </c>
    </row>
    <row r="188" spans="1:133" x14ac:dyDescent="0.2">
      <c r="A188" s="40">
        <v>35246</v>
      </c>
      <c r="B188" s="34">
        <v>182</v>
      </c>
      <c r="C188" s="34">
        <v>19.68</v>
      </c>
      <c r="D188" s="34">
        <v>36.49</v>
      </c>
      <c r="E188" s="34">
        <v>10.23</v>
      </c>
      <c r="F188" s="34">
        <v>69.790000000000006</v>
      </c>
      <c r="G188" s="34">
        <v>10.1</v>
      </c>
      <c r="H188" s="34">
        <v>9.82</v>
      </c>
      <c r="I188" s="34">
        <v>11.37</v>
      </c>
      <c r="J188" s="34">
        <v>10.69</v>
      </c>
      <c r="K188" s="34">
        <v>10.96</v>
      </c>
      <c r="L188" s="34">
        <v>10.01</v>
      </c>
      <c r="M188" s="34">
        <v>8.31</v>
      </c>
      <c r="N188" s="34">
        <v>6.9480000000000004</v>
      </c>
      <c r="O188" s="34">
        <v>0</v>
      </c>
      <c r="P188" s="41">
        <v>1.5525</v>
      </c>
      <c r="Q188" s="34">
        <v>1</v>
      </c>
      <c r="R188" s="34">
        <v>17.25</v>
      </c>
      <c r="S188" s="34">
        <v>1342</v>
      </c>
      <c r="T188" s="34">
        <v>98.4</v>
      </c>
      <c r="U188" s="34">
        <v>414</v>
      </c>
      <c r="V188" s="34">
        <v>18.89</v>
      </c>
      <c r="W188" s="34">
        <v>21.25</v>
      </c>
      <c r="X188" s="34">
        <v>29.14</v>
      </c>
      <c r="Y188" s="34">
        <v>22.07</v>
      </c>
      <c r="Z188" s="34">
        <v>21.48</v>
      </c>
      <c r="AA188" s="34">
        <v>13.41</v>
      </c>
      <c r="AB188" s="34">
        <v>8.7799999999999994</v>
      </c>
      <c r="AC188" s="34">
        <v>7.1</v>
      </c>
      <c r="AD188" s="41">
        <v>5.3141666666666669</v>
      </c>
      <c r="AE188" s="34">
        <v>1347</v>
      </c>
      <c r="AF188" s="34">
        <v>0.91</v>
      </c>
      <c r="AG188" s="34">
        <v>413</v>
      </c>
      <c r="AH188" s="34">
        <v>31.83</v>
      </c>
      <c r="AI188" s="34">
        <v>1334</v>
      </c>
      <c r="AJ188" s="34">
        <v>0.187</v>
      </c>
      <c r="AK188" s="34">
        <v>-0.23899999999999999</v>
      </c>
      <c r="AL188" s="34">
        <v>-0.307</v>
      </c>
      <c r="AM188" s="34">
        <v>-0.191</v>
      </c>
      <c r="AN188" s="34">
        <v>-0.157</v>
      </c>
      <c r="AO188" s="34">
        <v>6.9080000000000004</v>
      </c>
      <c r="AP188" s="34">
        <v>7.96</v>
      </c>
      <c r="AQ188" s="34">
        <v>6.625</v>
      </c>
      <c r="AR188" s="34">
        <v>7.8E-2</v>
      </c>
      <c r="AS188" s="34">
        <v>0.251</v>
      </c>
      <c r="AT188" s="34">
        <v>0.128</v>
      </c>
      <c r="AU188" s="34">
        <v>3.9E-2</v>
      </c>
      <c r="AV188" s="34">
        <v>0.109</v>
      </c>
      <c r="AW188" s="34">
        <v>0.23100000000000001</v>
      </c>
      <c r="AX188" s="34">
        <v>0.104</v>
      </c>
      <c r="AY188" s="34">
        <v>0.06</v>
      </c>
      <c r="AZ188" s="34">
        <v>10.38</v>
      </c>
      <c r="BA188" s="34">
        <v>3474</v>
      </c>
      <c r="BB188" s="34">
        <v>12.91</v>
      </c>
      <c r="BC188" s="34">
        <v>2876</v>
      </c>
      <c r="BD188" s="3"/>
      <c r="BE188" s="3"/>
      <c r="BF188" s="3"/>
      <c r="BH188" s="16">
        <v>32.89</v>
      </c>
      <c r="BI188" s="16">
        <f t="shared" si="35"/>
        <v>66.437799999999996</v>
      </c>
      <c r="BJ188" s="17">
        <f t="shared" si="74"/>
        <v>19.68</v>
      </c>
      <c r="BK188" s="17">
        <f t="shared" si="75"/>
        <v>38.29</v>
      </c>
      <c r="BM188" s="1">
        <f t="shared" si="76"/>
        <v>91.9</v>
      </c>
      <c r="BN188" s="1">
        <f t="shared" si="77"/>
        <v>65.5</v>
      </c>
      <c r="BO188" s="1">
        <f t="shared" si="78"/>
        <v>30.4</v>
      </c>
      <c r="BP188" s="56">
        <f t="shared" si="71"/>
        <v>0.59799999999999998</v>
      </c>
      <c r="BQ188" s="56">
        <f t="shared" si="72"/>
        <v>1.369</v>
      </c>
      <c r="BS188" s="3">
        <v>0.3</v>
      </c>
      <c r="BT188" s="8"/>
      <c r="BV188" s="16">
        <f t="shared" si="79"/>
        <v>19.68</v>
      </c>
      <c r="BW188" s="16">
        <f t="shared" si="80"/>
        <v>38.29</v>
      </c>
      <c r="BX188" s="3">
        <f t="shared" si="38"/>
        <v>10.199999999999999</v>
      </c>
      <c r="BY188" s="3">
        <f t="shared" si="81"/>
        <v>10.1</v>
      </c>
      <c r="BZ188" s="3">
        <f t="shared" si="82"/>
        <v>9.8000000000000007</v>
      </c>
      <c r="CA188" s="3">
        <f t="shared" si="83"/>
        <v>11.4</v>
      </c>
      <c r="CB188" s="3">
        <f t="shared" si="84"/>
        <v>10</v>
      </c>
      <c r="CC188" s="3">
        <f t="shared" si="85"/>
        <v>8.3000000000000007</v>
      </c>
      <c r="CD188" s="3">
        <f t="shared" si="86"/>
        <v>6.9</v>
      </c>
      <c r="CE188" s="23">
        <f t="shared" si="87"/>
        <v>65.5</v>
      </c>
      <c r="CF188" s="1">
        <f t="shared" si="39"/>
        <v>17.3</v>
      </c>
      <c r="CG188" s="1">
        <f t="shared" si="88"/>
        <v>18.899999999999999</v>
      </c>
      <c r="CH188" s="1">
        <f t="shared" si="89"/>
        <v>21.3</v>
      </c>
      <c r="CI188" s="1">
        <f t="shared" si="90"/>
        <v>29.1</v>
      </c>
      <c r="CJ188" s="1">
        <f t="shared" si="91"/>
        <v>13.4</v>
      </c>
      <c r="CK188" s="1">
        <f t="shared" si="92"/>
        <v>8.8000000000000007</v>
      </c>
      <c r="CL188" s="1">
        <f t="shared" si="93"/>
        <v>7.1</v>
      </c>
      <c r="CM188" s="2">
        <f t="shared" si="94"/>
        <v>91.9</v>
      </c>
      <c r="CN188" s="1">
        <f t="shared" si="40"/>
        <v>0.9</v>
      </c>
      <c r="CO188" s="1">
        <f t="shared" si="95"/>
        <v>0.2</v>
      </c>
      <c r="CP188" s="1">
        <f t="shared" si="96"/>
        <v>-0.2</v>
      </c>
      <c r="CQ188" s="1">
        <f t="shared" si="97"/>
        <v>-0.3</v>
      </c>
      <c r="CR188" s="1">
        <f t="shared" si="98"/>
        <v>6.9</v>
      </c>
      <c r="CS188" s="1">
        <f t="shared" si="99"/>
        <v>8</v>
      </c>
      <c r="CT188" s="1">
        <f t="shared" si="100"/>
        <v>6.6</v>
      </c>
      <c r="CU188" s="2">
        <f t="shared" si="73"/>
        <v>30.4</v>
      </c>
      <c r="CV188" s="18" t="s">
        <v>233</v>
      </c>
      <c r="CW188" s="1">
        <f>ROUND(PPTest!K188,1)</f>
        <v>1</v>
      </c>
      <c r="CX188" s="17">
        <f t="shared" si="101"/>
        <v>1.55</v>
      </c>
      <c r="CY188" s="17">
        <f t="shared" si="102"/>
        <v>5.31</v>
      </c>
      <c r="CZ188" s="20">
        <f t="shared" si="41"/>
        <v>0.59799999999999998</v>
      </c>
      <c r="DA188" s="20">
        <f t="shared" si="42"/>
        <v>1.369</v>
      </c>
      <c r="DB188" s="16">
        <f t="shared" si="103"/>
        <v>12.91</v>
      </c>
      <c r="DD188" s="1">
        <v>13.2</v>
      </c>
      <c r="DE188" s="1">
        <v>17.8</v>
      </c>
      <c r="DF188" s="1">
        <v>8.4</v>
      </c>
      <c r="DG188" s="1">
        <v>58.8</v>
      </c>
      <c r="DH188" s="1">
        <v>42</v>
      </c>
      <c r="DZ188" s="1">
        <v>11.5</v>
      </c>
      <c r="EA188" s="1">
        <v>19.7</v>
      </c>
      <c r="EB188" s="1">
        <v>2.1</v>
      </c>
      <c r="EC188" s="1">
        <v>0</v>
      </c>
    </row>
    <row r="189" spans="1:133" x14ac:dyDescent="0.2">
      <c r="A189" s="40">
        <v>35247</v>
      </c>
      <c r="B189" s="34">
        <v>183</v>
      </c>
      <c r="C189" s="34">
        <v>24.24</v>
      </c>
      <c r="D189" s="34">
        <v>44.86</v>
      </c>
      <c r="E189" s="34">
        <v>11.41</v>
      </c>
      <c r="F189" s="34">
        <v>71.599999999999994</v>
      </c>
      <c r="G189" s="34">
        <v>11.55</v>
      </c>
      <c r="H189" s="34">
        <v>11.02</v>
      </c>
      <c r="I189" s="34">
        <v>11.8</v>
      </c>
      <c r="J189" s="34">
        <v>12.41</v>
      </c>
      <c r="K189" s="34">
        <v>12.81</v>
      </c>
      <c r="L189" s="34">
        <v>10.7</v>
      </c>
      <c r="M189" s="34">
        <v>8.61</v>
      </c>
      <c r="N189" s="34">
        <v>7.03</v>
      </c>
      <c r="O189" s="34">
        <v>0</v>
      </c>
      <c r="P189" s="41">
        <v>2.019166666666667</v>
      </c>
      <c r="Q189" s="34">
        <v>0</v>
      </c>
      <c r="R189" s="34">
        <v>19.12</v>
      </c>
      <c r="S189" s="34">
        <v>1718</v>
      </c>
      <c r="T189" s="34">
        <v>101.9</v>
      </c>
      <c r="U189" s="34">
        <v>235</v>
      </c>
      <c r="V189" s="34">
        <v>19.329999999999998</v>
      </c>
      <c r="W189" s="34">
        <v>20.66</v>
      </c>
      <c r="X189" s="34">
        <v>27.17</v>
      </c>
      <c r="Y189" s="34">
        <v>22.44</v>
      </c>
      <c r="Z189" s="34">
        <v>23.25</v>
      </c>
      <c r="AA189" s="34">
        <v>14.18</v>
      </c>
      <c r="AB189" s="34">
        <v>9.1300000000000008</v>
      </c>
      <c r="AC189" s="34">
        <v>7.24</v>
      </c>
      <c r="AD189" s="41">
        <v>4.8341666666666665</v>
      </c>
      <c r="AE189" s="34">
        <v>1420</v>
      </c>
      <c r="AF189" s="34">
        <v>3.8740000000000001</v>
      </c>
      <c r="AG189" s="34">
        <v>413</v>
      </c>
      <c r="AH189" s="34">
        <v>30.47</v>
      </c>
      <c r="AI189" s="34">
        <v>1652</v>
      </c>
      <c r="AJ189" s="34">
        <v>3.1389999999999998</v>
      </c>
      <c r="AK189" s="34">
        <v>2.8380000000000001</v>
      </c>
      <c r="AL189" s="34">
        <v>2.5270000000000001</v>
      </c>
      <c r="AM189" s="34">
        <v>2.899</v>
      </c>
      <c r="AN189" s="34">
        <v>2.944</v>
      </c>
      <c r="AO189" s="34">
        <v>7.72</v>
      </c>
      <c r="AP189" s="34">
        <v>8.2799999999999994</v>
      </c>
      <c r="AQ189" s="34">
        <v>6.7670000000000003</v>
      </c>
      <c r="AR189" s="34">
        <v>2.8000000000000001E-2</v>
      </c>
      <c r="AS189" s="34">
        <v>0.28499999999999998</v>
      </c>
      <c r="AT189" s="34">
        <v>0.151</v>
      </c>
      <c r="AU189" s="34">
        <v>1.4999999999999999E-2</v>
      </c>
      <c r="AV189" s="34">
        <v>9.1999999999999998E-2</v>
      </c>
      <c r="AW189" s="34">
        <v>0.26200000000000001</v>
      </c>
      <c r="AX189" s="34">
        <v>0.13500000000000001</v>
      </c>
      <c r="AY189" s="34">
        <v>3.3000000000000002E-2</v>
      </c>
      <c r="AZ189" s="34">
        <v>12.12</v>
      </c>
      <c r="BA189" s="34">
        <v>3474</v>
      </c>
      <c r="BB189" s="34">
        <v>12.87</v>
      </c>
      <c r="BC189" s="34">
        <v>2876</v>
      </c>
      <c r="BD189" s="3"/>
      <c r="BE189" s="3"/>
      <c r="BF189" s="3"/>
      <c r="BH189" s="16">
        <v>32.840000000000003</v>
      </c>
      <c r="BI189" s="16">
        <f t="shared" si="35"/>
        <v>66.336800000000011</v>
      </c>
      <c r="BJ189" s="17">
        <f t="shared" si="74"/>
        <v>24.24</v>
      </c>
      <c r="BK189" s="17">
        <f t="shared" si="75"/>
        <v>47.08</v>
      </c>
      <c r="BM189" s="1">
        <f t="shared" si="76"/>
        <v>95.2</v>
      </c>
      <c r="BN189" s="1">
        <f t="shared" si="77"/>
        <v>67.2</v>
      </c>
      <c r="BO189" s="1">
        <f t="shared" si="78"/>
        <v>29.2</v>
      </c>
      <c r="BP189" s="56">
        <f t="shared" si="71"/>
        <v>0.64600000000000002</v>
      </c>
      <c r="BQ189" s="56">
        <f t="shared" si="72"/>
        <v>1.5660000000000001</v>
      </c>
      <c r="BS189" s="3">
        <v>0</v>
      </c>
      <c r="BT189" s="8"/>
      <c r="BV189" s="16">
        <f t="shared" si="79"/>
        <v>24.24</v>
      </c>
      <c r="BW189" s="16">
        <f t="shared" si="80"/>
        <v>47.08</v>
      </c>
      <c r="BX189" s="3">
        <f t="shared" si="38"/>
        <v>11.4</v>
      </c>
      <c r="BY189" s="3">
        <f t="shared" si="81"/>
        <v>11.6</v>
      </c>
      <c r="BZ189" s="3">
        <f t="shared" si="82"/>
        <v>11</v>
      </c>
      <c r="CA189" s="3">
        <f t="shared" si="83"/>
        <v>11.8</v>
      </c>
      <c r="CB189" s="3">
        <f t="shared" si="84"/>
        <v>10.7</v>
      </c>
      <c r="CC189" s="3">
        <f t="shared" si="85"/>
        <v>8.6</v>
      </c>
      <c r="CD189" s="3">
        <f t="shared" si="86"/>
        <v>7</v>
      </c>
      <c r="CE189" s="23">
        <f t="shared" si="87"/>
        <v>67.2</v>
      </c>
      <c r="CF189" s="1">
        <f t="shared" si="39"/>
        <v>19.100000000000001</v>
      </c>
      <c r="CG189" s="1">
        <f t="shared" si="88"/>
        <v>19.3</v>
      </c>
      <c r="CH189" s="1">
        <f t="shared" si="89"/>
        <v>20.7</v>
      </c>
      <c r="CI189" s="1">
        <f t="shared" si="90"/>
        <v>27.2</v>
      </c>
      <c r="CJ189" s="1">
        <f t="shared" si="91"/>
        <v>14.2</v>
      </c>
      <c r="CK189" s="1">
        <f t="shared" si="92"/>
        <v>9.1</v>
      </c>
      <c r="CL189" s="1">
        <f t="shared" si="93"/>
        <v>7.2</v>
      </c>
      <c r="CM189" s="2">
        <f t="shared" si="94"/>
        <v>95.2</v>
      </c>
      <c r="CN189" s="1">
        <f t="shared" si="40"/>
        <v>3.9</v>
      </c>
      <c r="CO189" s="1">
        <f t="shared" si="95"/>
        <v>3.1</v>
      </c>
      <c r="CP189" s="1">
        <f t="shared" si="96"/>
        <v>2.8</v>
      </c>
      <c r="CQ189" s="1">
        <f t="shared" si="97"/>
        <v>2.5</v>
      </c>
      <c r="CR189" s="1">
        <f t="shared" si="98"/>
        <v>7.7</v>
      </c>
      <c r="CS189" s="1">
        <f t="shared" si="99"/>
        <v>8.3000000000000007</v>
      </c>
      <c r="CT189" s="1">
        <f t="shared" si="100"/>
        <v>6.8</v>
      </c>
      <c r="CU189" s="2">
        <f t="shared" si="73"/>
        <v>29.2</v>
      </c>
      <c r="CV189" s="18" t="s">
        <v>233</v>
      </c>
      <c r="CW189" s="1">
        <f>ROUND(PPTest!K189,1)</f>
        <v>0</v>
      </c>
      <c r="CX189" s="17">
        <f t="shared" si="101"/>
        <v>2.02</v>
      </c>
      <c r="CY189" s="17">
        <f t="shared" si="102"/>
        <v>4.83</v>
      </c>
      <c r="CZ189" s="20">
        <f t="shared" si="41"/>
        <v>0.64600000000000002</v>
      </c>
      <c r="DA189" s="20">
        <f t="shared" si="42"/>
        <v>1.5660000000000001</v>
      </c>
      <c r="DB189" s="16">
        <f t="shared" si="103"/>
        <v>12.87</v>
      </c>
      <c r="DD189" s="1">
        <v>15.7</v>
      </c>
      <c r="DE189" s="1">
        <v>20.9</v>
      </c>
      <c r="DF189" s="1">
        <v>9.6</v>
      </c>
      <c r="DG189" s="1">
        <v>60.5</v>
      </c>
      <c r="DH189" s="1">
        <v>43</v>
      </c>
      <c r="DZ189" s="1">
        <v>14.1</v>
      </c>
      <c r="EA189" s="1">
        <v>20.7</v>
      </c>
      <c r="EB189" s="1">
        <v>6.7</v>
      </c>
      <c r="EC189" s="1">
        <v>0</v>
      </c>
    </row>
    <row r="190" spans="1:133" x14ac:dyDescent="0.2">
      <c r="A190" s="40">
        <v>35248</v>
      </c>
      <c r="B190" s="34">
        <v>184</v>
      </c>
      <c r="C190" s="34">
        <v>19.88</v>
      </c>
      <c r="D190" s="34">
        <v>37.119999999999997</v>
      </c>
      <c r="E190" s="34">
        <v>13.86</v>
      </c>
      <c r="F190" s="34">
        <v>66.989999999999995</v>
      </c>
      <c r="G190" s="34">
        <v>13.57</v>
      </c>
      <c r="H190" s="34">
        <v>13.49</v>
      </c>
      <c r="I190" s="34">
        <v>13.93</v>
      </c>
      <c r="J190" s="34">
        <v>14</v>
      </c>
      <c r="K190" s="34">
        <v>14.25</v>
      </c>
      <c r="L190" s="34">
        <v>11.03</v>
      </c>
      <c r="M190" s="34">
        <v>8.92</v>
      </c>
      <c r="N190" s="34">
        <v>7.1</v>
      </c>
      <c r="O190" s="34">
        <v>0</v>
      </c>
      <c r="P190" s="41">
        <v>2.2324999999999999</v>
      </c>
      <c r="Q190" s="34">
        <v>0</v>
      </c>
      <c r="R190" s="34">
        <v>21.77</v>
      </c>
      <c r="S190" s="34">
        <v>1411</v>
      </c>
      <c r="T190" s="34">
        <v>97.4</v>
      </c>
      <c r="U190" s="34">
        <v>436</v>
      </c>
      <c r="V190" s="34">
        <v>23.08</v>
      </c>
      <c r="W190" s="34">
        <v>25.98</v>
      </c>
      <c r="X190" s="34">
        <v>31.58</v>
      </c>
      <c r="Y190" s="34">
        <v>25.8</v>
      </c>
      <c r="Z190" s="34">
        <v>25.17</v>
      </c>
      <c r="AA190" s="34">
        <v>14.19</v>
      </c>
      <c r="AB190" s="34">
        <v>9.44</v>
      </c>
      <c r="AC190" s="34">
        <v>7.29</v>
      </c>
      <c r="AD190" s="41">
        <v>6.5408333333333326</v>
      </c>
      <c r="AE190" s="34">
        <v>1158</v>
      </c>
      <c r="AF190" s="34">
        <v>3.609</v>
      </c>
      <c r="AG190" s="34">
        <v>351</v>
      </c>
      <c r="AH190" s="34">
        <v>41.55</v>
      </c>
      <c r="AI190" s="34">
        <v>1138</v>
      </c>
      <c r="AJ190" s="34">
        <v>2.6720000000000002</v>
      </c>
      <c r="AK190" s="34">
        <v>2.1779999999999999</v>
      </c>
      <c r="AL190" s="34">
        <v>1.9730000000000001</v>
      </c>
      <c r="AM190" s="34">
        <v>2.2280000000000002</v>
      </c>
      <c r="AN190" s="34">
        <v>2.2970000000000002</v>
      </c>
      <c r="AO190" s="34">
        <v>7.98</v>
      </c>
      <c r="AP190" s="34">
        <v>8.51</v>
      </c>
      <c r="AQ190" s="34">
        <v>6.8869999999999996</v>
      </c>
      <c r="AR190" s="34">
        <v>5.1999999999999998E-2</v>
      </c>
      <c r="AS190" s="34">
        <v>0.22700000000000001</v>
      </c>
      <c r="AT190" s="34">
        <v>0.26200000000000001</v>
      </c>
      <c r="AU190" s="34">
        <v>0.112</v>
      </c>
      <c r="AV190" s="34">
        <v>0.108</v>
      </c>
      <c r="AW190" s="34">
        <v>0.14399999999999999</v>
      </c>
      <c r="AX190" s="34">
        <v>5.6000000000000001E-2</v>
      </c>
      <c r="AY190" s="34">
        <v>3.6999999999999998E-2</v>
      </c>
      <c r="AZ190" s="34">
        <v>13.37</v>
      </c>
      <c r="BA190" s="34">
        <v>3474</v>
      </c>
      <c r="BB190" s="34">
        <v>12.87</v>
      </c>
      <c r="BC190" s="34">
        <v>2876</v>
      </c>
      <c r="BD190" s="3"/>
      <c r="BE190" s="3"/>
      <c r="BF190" s="3"/>
      <c r="BH190" s="16">
        <v>32.79</v>
      </c>
      <c r="BI190" s="16">
        <f t="shared" si="35"/>
        <v>66.235799999999998</v>
      </c>
      <c r="BJ190" s="17">
        <f t="shared" si="74"/>
        <v>19.88</v>
      </c>
      <c r="BK190" s="17">
        <f t="shared" si="75"/>
        <v>38.950000000000003</v>
      </c>
      <c r="BM190" s="1">
        <f t="shared" si="76"/>
        <v>91</v>
      </c>
      <c r="BN190" s="1">
        <f t="shared" si="77"/>
        <v>62.9</v>
      </c>
      <c r="BO190" s="1">
        <f t="shared" si="78"/>
        <v>39.4</v>
      </c>
      <c r="BP190" s="56">
        <f t="shared" si="71"/>
        <v>1.0269999999999999</v>
      </c>
      <c r="BQ190" s="56">
        <f t="shared" si="72"/>
        <v>1.58</v>
      </c>
      <c r="BS190" s="3">
        <v>0.8</v>
      </c>
      <c r="BT190" s="8"/>
      <c r="BV190" s="16">
        <f t="shared" si="79"/>
        <v>19.88</v>
      </c>
      <c r="BW190" s="16">
        <f t="shared" si="80"/>
        <v>38.950000000000003</v>
      </c>
      <c r="BX190" s="3">
        <f t="shared" si="38"/>
        <v>13.9</v>
      </c>
      <c r="BY190" s="3">
        <f t="shared" si="81"/>
        <v>13.6</v>
      </c>
      <c r="BZ190" s="3">
        <f t="shared" si="82"/>
        <v>13.5</v>
      </c>
      <c r="CA190" s="3">
        <f t="shared" si="83"/>
        <v>13.9</v>
      </c>
      <c r="CB190" s="3">
        <f t="shared" si="84"/>
        <v>11</v>
      </c>
      <c r="CC190" s="3">
        <f t="shared" si="85"/>
        <v>8.9</v>
      </c>
      <c r="CD190" s="3">
        <f t="shared" si="86"/>
        <v>7.1</v>
      </c>
      <c r="CE190" s="23">
        <f t="shared" si="87"/>
        <v>62.9</v>
      </c>
      <c r="CF190" s="1">
        <f t="shared" si="39"/>
        <v>21.8</v>
      </c>
      <c r="CG190" s="1">
        <f t="shared" si="88"/>
        <v>23.1</v>
      </c>
      <c r="CH190" s="1">
        <f t="shared" si="89"/>
        <v>26</v>
      </c>
      <c r="CI190" s="1">
        <f t="shared" si="90"/>
        <v>31.6</v>
      </c>
      <c r="CJ190" s="1">
        <f t="shared" si="91"/>
        <v>14.2</v>
      </c>
      <c r="CK190" s="1">
        <f t="shared" si="92"/>
        <v>9.4</v>
      </c>
      <c r="CL190" s="1">
        <f t="shared" si="93"/>
        <v>7.3</v>
      </c>
      <c r="CM190" s="2">
        <f t="shared" si="94"/>
        <v>91</v>
      </c>
      <c r="CN190" s="1">
        <f t="shared" si="40"/>
        <v>3.6</v>
      </c>
      <c r="CO190" s="1">
        <f t="shared" si="95"/>
        <v>2.7</v>
      </c>
      <c r="CP190" s="1">
        <f t="shared" si="96"/>
        <v>2.2000000000000002</v>
      </c>
      <c r="CQ190" s="1">
        <f t="shared" si="97"/>
        <v>2</v>
      </c>
      <c r="CR190" s="1">
        <f t="shared" si="98"/>
        <v>8</v>
      </c>
      <c r="CS190" s="1">
        <f t="shared" si="99"/>
        <v>8.5</v>
      </c>
      <c r="CT190" s="1">
        <f t="shared" si="100"/>
        <v>6.9</v>
      </c>
      <c r="CU190" s="2">
        <f t="shared" si="73"/>
        <v>39.4</v>
      </c>
      <c r="CV190" s="18" t="s">
        <v>233</v>
      </c>
      <c r="CW190" s="1">
        <f>ROUND(PPTest!K190,1)</f>
        <v>0</v>
      </c>
      <c r="CX190" s="17">
        <f t="shared" si="101"/>
        <v>2.23</v>
      </c>
      <c r="CY190" s="17">
        <f t="shared" si="102"/>
        <v>6.54</v>
      </c>
      <c r="CZ190" s="20">
        <f t="shared" si="41"/>
        <v>1.0269999999999999</v>
      </c>
      <c r="DA190" s="20">
        <f t="shared" si="42"/>
        <v>1.58</v>
      </c>
      <c r="DB190" s="16">
        <f t="shared" si="103"/>
        <v>12.87</v>
      </c>
      <c r="DD190" s="1">
        <v>16.5</v>
      </c>
      <c r="DE190" s="1">
        <v>22.1</v>
      </c>
      <c r="DF190" s="1">
        <v>11.9</v>
      </c>
      <c r="DG190" s="1">
        <v>60.8</v>
      </c>
      <c r="DH190" s="1">
        <v>51</v>
      </c>
      <c r="DZ190" s="1">
        <v>13.8</v>
      </c>
      <c r="EA190" s="1">
        <v>20.100000000000001</v>
      </c>
      <c r="EB190" s="1">
        <v>6.4</v>
      </c>
      <c r="EC190" s="1">
        <v>2</v>
      </c>
    </row>
    <row r="191" spans="1:133" x14ac:dyDescent="0.2">
      <c r="A191" s="40">
        <v>35249</v>
      </c>
      <c r="B191" s="34">
        <v>185</v>
      </c>
      <c r="C191" s="34">
        <v>21.77</v>
      </c>
      <c r="D191" s="34">
        <v>40.299999999999997</v>
      </c>
      <c r="E191" s="34">
        <v>13.6</v>
      </c>
      <c r="F191" s="34">
        <v>72.7</v>
      </c>
      <c r="G191" s="34">
        <v>13.6</v>
      </c>
      <c r="H191" s="34">
        <v>13.13</v>
      </c>
      <c r="I191" s="34">
        <v>14.58</v>
      </c>
      <c r="J191" s="34">
        <v>14.33</v>
      </c>
      <c r="K191" s="34">
        <v>14.42</v>
      </c>
      <c r="L191" s="34">
        <v>11.37</v>
      </c>
      <c r="M191" s="34">
        <v>9.23</v>
      </c>
      <c r="N191" s="34">
        <v>7.26</v>
      </c>
      <c r="O191" s="34">
        <v>0</v>
      </c>
      <c r="P191" s="41">
        <v>1.9308333333333334</v>
      </c>
      <c r="Q191" s="34">
        <v>1</v>
      </c>
      <c r="R191" s="34">
        <v>20.100000000000001</v>
      </c>
      <c r="S191" s="34">
        <v>1436</v>
      </c>
      <c r="T191" s="34">
        <v>103.2</v>
      </c>
      <c r="U191" s="34">
        <v>2252</v>
      </c>
      <c r="V191" s="34">
        <v>21.21</v>
      </c>
      <c r="W191" s="34">
        <v>25.02</v>
      </c>
      <c r="X191" s="34">
        <v>30.62</v>
      </c>
      <c r="Y191" s="34">
        <v>23.79</v>
      </c>
      <c r="Z191" s="34">
        <v>23.5</v>
      </c>
      <c r="AA191" s="34">
        <v>13.82</v>
      </c>
      <c r="AB191" s="34">
        <v>9.6</v>
      </c>
      <c r="AC191" s="34">
        <v>7.4</v>
      </c>
      <c r="AD191" s="41">
        <v>5.6875</v>
      </c>
      <c r="AE191" s="34">
        <v>1525</v>
      </c>
      <c r="AF191" s="34">
        <v>5.7039999999999997</v>
      </c>
      <c r="AG191" s="34">
        <v>429</v>
      </c>
      <c r="AH191" s="34">
        <v>43.18</v>
      </c>
      <c r="AI191" s="34">
        <v>1204</v>
      </c>
      <c r="AJ191" s="34">
        <v>4.7729999999999997</v>
      </c>
      <c r="AK191" s="34">
        <v>4.1440000000000001</v>
      </c>
      <c r="AL191" s="34">
        <v>3.2549999999999999</v>
      </c>
      <c r="AM191" s="34">
        <v>4.1360000000000001</v>
      </c>
      <c r="AN191" s="34">
        <v>4.3010000000000002</v>
      </c>
      <c r="AO191" s="34">
        <v>8.82</v>
      </c>
      <c r="AP191" s="34">
        <v>8.9</v>
      </c>
      <c r="AQ191" s="34">
        <v>7.04</v>
      </c>
      <c r="AR191" s="34">
        <v>6.3E-2</v>
      </c>
      <c r="AS191" s="34">
        <v>0.21099999999999999</v>
      </c>
      <c r="AT191" s="34">
        <v>0.121</v>
      </c>
      <c r="AU191" s="34">
        <v>2.8000000000000001E-2</v>
      </c>
      <c r="AV191" s="34">
        <v>8.7999999999999995E-2</v>
      </c>
      <c r="AW191" s="34">
        <v>0.307</v>
      </c>
      <c r="AX191" s="34">
        <v>0.128</v>
      </c>
      <c r="AY191" s="34">
        <v>5.3999999999999999E-2</v>
      </c>
      <c r="AZ191" s="34">
        <v>13.86</v>
      </c>
      <c r="BA191" s="34">
        <v>3474</v>
      </c>
      <c r="BB191" s="34">
        <v>12.86</v>
      </c>
      <c r="BC191" s="34">
        <v>2876</v>
      </c>
      <c r="BD191" s="3"/>
      <c r="BE191" s="3"/>
      <c r="BF191" s="3"/>
      <c r="BH191" s="16">
        <v>32.729999999999997</v>
      </c>
      <c r="BI191" s="16">
        <f t="shared" si="35"/>
        <v>66.114599999999996</v>
      </c>
      <c r="BJ191" s="17">
        <f t="shared" si="74"/>
        <v>21.77</v>
      </c>
      <c r="BK191" s="17">
        <f t="shared" si="75"/>
        <v>42.29</v>
      </c>
      <c r="BM191" s="1">
        <f t="shared" si="76"/>
        <v>96.4</v>
      </c>
      <c r="BN191" s="1">
        <f t="shared" si="77"/>
        <v>68.2</v>
      </c>
      <c r="BO191" s="1">
        <f t="shared" si="78"/>
        <v>40.9</v>
      </c>
      <c r="BP191" s="56">
        <f t="shared" si="71"/>
        <v>0.96199999999999997</v>
      </c>
      <c r="BQ191" s="56">
        <f t="shared" si="72"/>
        <v>1.39</v>
      </c>
      <c r="BS191" s="3">
        <v>1</v>
      </c>
      <c r="BT191" s="8"/>
      <c r="BV191" s="16">
        <f t="shared" si="79"/>
        <v>21.77</v>
      </c>
      <c r="BW191" s="16">
        <f t="shared" si="80"/>
        <v>42.29</v>
      </c>
      <c r="BX191" s="3">
        <f t="shared" si="38"/>
        <v>13.6</v>
      </c>
      <c r="BY191" s="3">
        <f t="shared" si="81"/>
        <v>13.6</v>
      </c>
      <c r="BZ191" s="3">
        <f t="shared" si="82"/>
        <v>13.1</v>
      </c>
      <c r="CA191" s="3">
        <f t="shared" si="83"/>
        <v>14.6</v>
      </c>
      <c r="CB191" s="3">
        <f t="shared" si="84"/>
        <v>11.4</v>
      </c>
      <c r="CC191" s="3">
        <f t="shared" si="85"/>
        <v>9.1999999999999993</v>
      </c>
      <c r="CD191" s="3">
        <f t="shared" si="86"/>
        <v>7.3</v>
      </c>
      <c r="CE191" s="23">
        <f t="shared" si="87"/>
        <v>68.2</v>
      </c>
      <c r="CF191" s="1">
        <f t="shared" si="39"/>
        <v>20.100000000000001</v>
      </c>
      <c r="CG191" s="1">
        <f t="shared" si="88"/>
        <v>21.2</v>
      </c>
      <c r="CH191" s="1">
        <f t="shared" si="89"/>
        <v>25</v>
      </c>
      <c r="CI191" s="1">
        <f t="shared" si="90"/>
        <v>30.6</v>
      </c>
      <c r="CJ191" s="1">
        <f t="shared" si="91"/>
        <v>13.8</v>
      </c>
      <c r="CK191" s="1">
        <f t="shared" si="92"/>
        <v>9.6</v>
      </c>
      <c r="CL191" s="1">
        <f t="shared" si="93"/>
        <v>7.4</v>
      </c>
      <c r="CM191" s="2">
        <f t="shared" si="94"/>
        <v>96.4</v>
      </c>
      <c r="CN191" s="1">
        <f t="shared" si="40"/>
        <v>5.7</v>
      </c>
      <c r="CO191" s="1">
        <f t="shared" si="95"/>
        <v>4.8</v>
      </c>
      <c r="CP191" s="1">
        <f t="shared" si="96"/>
        <v>4.0999999999999996</v>
      </c>
      <c r="CQ191" s="1">
        <f t="shared" si="97"/>
        <v>3.3</v>
      </c>
      <c r="CR191" s="1">
        <f t="shared" si="98"/>
        <v>8.8000000000000007</v>
      </c>
      <c r="CS191" s="1">
        <f t="shared" si="99"/>
        <v>8.9</v>
      </c>
      <c r="CT191" s="1">
        <f t="shared" si="100"/>
        <v>7</v>
      </c>
      <c r="CU191" s="2">
        <f t="shared" si="73"/>
        <v>40.9</v>
      </c>
      <c r="CV191" s="18" t="s">
        <v>233</v>
      </c>
      <c r="CW191" s="1">
        <f>ROUND(PPTest!K191,1)</f>
        <v>1</v>
      </c>
      <c r="CX191" s="17">
        <f t="shared" si="101"/>
        <v>1.93</v>
      </c>
      <c r="CY191" s="17">
        <f t="shared" si="102"/>
        <v>5.69</v>
      </c>
      <c r="CZ191" s="20">
        <f t="shared" si="41"/>
        <v>0.96199999999999997</v>
      </c>
      <c r="DA191" s="20">
        <f t="shared" si="42"/>
        <v>1.39</v>
      </c>
      <c r="DB191" s="16">
        <f t="shared" si="103"/>
        <v>12.86</v>
      </c>
      <c r="DD191" s="1">
        <v>16.100000000000001</v>
      </c>
      <c r="DE191" s="1">
        <v>22.5</v>
      </c>
      <c r="DF191" s="1">
        <v>10.7</v>
      </c>
      <c r="DG191" s="1">
        <v>68.900000000000006</v>
      </c>
      <c r="DH191" s="1">
        <v>48</v>
      </c>
      <c r="DZ191" s="1">
        <v>13.8</v>
      </c>
      <c r="EA191" s="1">
        <v>20.7</v>
      </c>
      <c r="EB191" s="1">
        <v>5.7</v>
      </c>
      <c r="EC191" s="1">
        <v>0</v>
      </c>
    </row>
    <row r="192" spans="1:133" x14ac:dyDescent="0.2">
      <c r="A192" s="40">
        <v>35250</v>
      </c>
      <c r="B192" s="34">
        <v>186</v>
      </c>
      <c r="C192" s="34">
        <v>22.41</v>
      </c>
      <c r="D192" s="34">
        <v>40.81</v>
      </c>
      <c r="E192" s="34">
        <v>9.35</v>
      </c>
      <c r="F192" s="34">
        <v>71.2</v>
      </c>
      <c r="G192" s="34">
        <v>9.2200000000000006</v>
      </c>
      <c r="H192" s="34">
        <v>9.1999999999999993</v>
      </c>
      <c r="I192" s="34">
        <v>10.33</v>
      </c>
      <c r="J192" s="34">
        <v>9.75</v>
      </c>
      <c r="K192" s="34">
        <v>10.17</v>
      </c>
      <c r="L192" s="34">
        <v>10.88</v>
      </c>
      <c r="M192" s="34">
        <v>9.33</v>
      </c>
      <c r="N192" s="34">
        <v>7.4</v>
      </c>
      <c r="O192" s="34">
        <v>0</v>
      </c>
      <c r="P192" s="41">
        <v>2.5708333333333333</v>
      </c>
      <c r="Q192" s="34">
        <v>2</v>
      </c>
      <c r="R192" s="34">
        <v>13.82</v>
      </c>
      <c r="S192" s="34">
        <v>1536</v>
      </c>
      <c r="T192" s="34">
        <v>104.7</v>
      </c>
      <c r="U192" s="34">
        <v>355</v>
      </c>
      <c r="V192" s="34">
        <v>14.81</v>
      </c>
      <c r="W192" s="34">
        <v>17.03</v>
      </c>
      <c r="X192" s="34">
        <v>21.34</v>
      </c>
      <c r="Y192" s="34">
        <v>18.21</v>
      </c>
      <c r="Z192" s="34">
        <v>17.37</v>
      </c>
      <c r="AA192" s="34">
        <v>13.56</v>
      </c>
      <c r="AB192" s="34">
        <v>9.56</v>
      </c>
      <c r="AC192" s="34">
        <v>7.59</v>
      </c>
      <c r="AD192" s="41">
        <v>6.6608333333333327</v>
      </c>
      <c r="AE192" s="34">
        <v>1448</v>
      </c>
      <c r="AF192" s="34">
        <v>5.37</v>
      </c>
      <c r="AG192" s="34">
        <v>2210</v>
      </c>
      <c r="AH192" s="34">
        <v>29.62</v>
      </c>
      <c r="AI192" s="34">
        <v>1904</v>
      </c>
      <c r="AJ192" s="34">
        <v>3.8940000000000001</v>
      </c>
      <c r="AK192" s="34">
        <v>3.3029999999999999</v>
      </c>
      <c r="AL192" s="34">
        <v>1.3420000000000001</v>
      </c>
      <c r="AM192" s="34">
        <v>3.8940000000000001</v>
      </c>
      <c r="AN192" s="34">
        <v>4.0990000000000002</v>
      </c>
      <c r="AO192" s="34">
        <v>9.3000000000000007</v>
      </c>
      <c r="AP192" s="34">
        <v>9.1199999999999992</v>
      </c>
      <c r="AQ192" s="34">
        <v>7.28</v>
      </c>
      <c r="AR192" s="34">
        <v>3.9E-2</v>
      </c>
      <c r="AS192" s="34">
        <v>3.9E-2</v>
      </c>
      <c r="AT192" s="34">
        <v>5.5E-2</v>
      </c>
      <c r="AU192" s="34">
        <v>3.5000000000000003E-2</v>
      </c>
      <c r="AV192" s="34">
        <v>0.14799999999999999</v>
      </c>
      <c r="AW192" s="34">
        <v>0.52600000000000002</v>
      </c>
      <c r="AX192" s="34">
        <v>0.122</v>
      </c>
      <c r="AY192" s="34">
        <v>3.5999999999999997E-2</v>
      </c>
      <c r="AZ192" s="34">
        <v>9.98</v>
      </c>
      <c r="BA192" s="34">
        <v>3474</v>
      </c>
      <c r="BB192" s="34">
        <v>12.96</v>
      </c>
      <c r="BC192" s="34">
        <v>2876</v>
      </c>
      <c r="BD192" s="3"/>
      <c r="BE192" s="3"/>
      <c r="BF192" s="3"/>
      <c r="BH192" s="16">
        <v>32.659999999999997</v>
      </c>
      <c r="BI192" s="16">
        <f t="shared" si="35"/>
        <v>65.973199999999991</v>
      </c>
      <c r="BJ192" s="17">
        <f t="shared" si="74"/>
        <v>22.41</v>
      </c>
      <c r="BK192" s="17">
        <f t="shared" si="75"/>
        <v>42.83</v>
      </c>
      <c r="BM192" s="1">
        <f t="shared" si="76"/>
        <v>97.7</v>
      </c>
      <c r="BN192" s="1">
        <f t="shared" si="77"/>
        <v>66.8</v>
      </c>
      <c r="BO192" s="1">
        <f t="shared" si="78"/>
        <v>28.4</v>
      </c>
      <c r="BP192" s="56">
        <f t="shared" si="71"/>
        <v>0.44900000000000001</v>
      </c>
      <c r="BQ192" s="56">
        <f t="shared" si="72"/>
        <v>1.1319999999999999</v>
      </c>
      <c r="BS192" s="3">
        <v>0.8</v>
      </c>
      <c r="BT192" s="8"/>
      <c r="BV192" s="16">
        <f t="shared" si="79"/>
        <v>22.41</v>
      </c>
      <c r="BW192" s="16">
        <f t="shared" si="80"/>
        <v>42.83</v>
      </c>
      <c r="BX192" s="3">
        <f t="shared" si="38"/>
        <v>9.4</v>
      </c>
      <c r="BY192" s="3">
        <f t="shared" si="81"/>
        <v>9.1999999999999993</v>
      </c>
      <c r="BZ192" s="3">
        <f t="shared" si="82"/>
        <v>9.1999999999999993</v>
      </c>
      <c r="CA192" s="3">
        <f t="shared" si="83"/>
        <v>10.3</v>
      </c>
      <c r="CB192" s="3">
        <f t="shared" si="84"/>
        <v>10.9</v>
      </c>
      <c r="CC192" s="3">
        <f t="shared" si="85"/>
        <v>9.3000000000000007</v>
      </c>
      <c r="CD192" s="3">
        <f t="shared" si="86"/>
        <v>7.4</v>
      </c>
      <c r="CE192" s="23">
        <f t="shared" si="87"/>
        <v>66.8</v>
      </c>
      <c r="CF192" s="1">
        <f t="shared" si="39"/>
        <v>13.8</v>
      </c>
      <c r="CG192" s="1">
        <f t="shared" si="88"/>
        <v>14.8</v>
      </c>
      <c r="CH192" s="1">
        <f t="shared" si="89"/>
        <v>17</v>
      </c>
      <c r="CI192" s="1">
        <f t="shared" si="90"/>
        <v>21.3</v>
      </c>
      <c r="CJ192" s="1">
        <f t="shared" si="91"/>
        <v>13.6</v>
      </c>
      <c r="CK192" s="1">
        <f t="shared" si="92"/>
        <v>9.6</v>
      </c>
      <c r="CL192" s="1">
        <f t="shared" si="93"/>
        <v>7.6</v>
      </c>
      <c r="CM192" s="2">
        <f t="shared" si="94"/>
        <v>97.7</v>
      </c>
      <c r="CN192" s="1">
        <f t="shared" si="40"/>
        <v>5.4</v>
      </c>
      <c r="CO192" s="1">
        <f t="shared" si="95"/>
        <v>3.9</v>
      </c>
      <c r="CP192" s="1">
        <f t="shared" si="96"/>
        <v>3.3</v>
      </c>
      <c r="CQ192" s="1">
        <f t="shared" si="97"/>
        <v>1.3</v>
      </c>
      <c r="CR192" s="1">
        <f t="shared" si="98"/>
        <v>9.3000000000000007</v>
      </c>
      <c r="CS192" s="1">
        <f t="shared" si="99"/>
        <v>9.1</v>
      </c>
      <c r="CT192" s="1">
        <f t="shared" si="100"/>
        <v>7.3</v>
      </c>
      <c r="CU192" s="2">
        <f t="shared" si="73"/>
        <v>28.4</v>
      </c>
      <c r="CV192" s="18" t="s">
        <v>233</v>
      </c>
      <c r="CW192" s="1">
        <f>ROUND(PPTest!K192,1)</f>
        <v>2</v>
      </c>
      <c r="CX192" s="17">
        <f t="shared" si="101"/>
        <v>2.57</v>
      </c>
      <c r="CY192" s="17">
        <f t="shared" si="102"/>
        <v>6.66</v>
      </c>
      <c r="CZ192" s="20">
        <f t="shared" si="41"/>
        <v>0.44900000000000001</v>
      </c>
      <c r="DA192" s="20">
        <f t="shared" si="42"/>
        <v>1.1319999999999999</v>
      </c>
      <c r="DB192" s="16">
        <f t="shared" si="103"/>
        <v>12.96</v>
      </c>
      <c r="DD192" s="1">
        <v>12.3</v>
      </c>
      <c r="DE192" s="1">
        <v>16.3</v>
      </c>
      <c r="DF192" s="1">
        <v>7.3</v>
      </c>
      <c r="DG192" s="1">
        <v>63.6</v>
      </c>
      <c r="DH192" s="1">
        <v>29</v>
      </c>
      <c r="DZ192" s="1">
        <v>8</v>
      </c>
      <c r="EA192" s="1">
        <v>12.7</v>
      </c>
      <c r="EB192" s="1">
        <v>2.1</v>
      </c>
      <c r="EC192" s="1">
        <v>0</v>
      </c>
    </row>
    <row r="193" spans="1:133" x14ac:dyDescent="0.2">
      <c r="A193" s="40">
        <v>35251</v>
      </c>
      <c r="B193" s="34">
        <v>187</v>
      </c>
      <c r="C193" s="34">
        <v>22.82</v>
      </c>
      <c r="D193" s="34">
        <v>42.04</v>
      </c>
      <c r="E193" s="34">
        <v>6.343</v>
      </c>
      <c r="F193" s="34">
        <v>83.2</v>
      </c>
      <c r="G193" s="34">
        <v>6.5</v>
      </c>
      <c r="H193" s="34">
        <v>6.3570000000000002</v>
      </c>
      <c r="I193" s="34">
        <v>9.3000000000000007</v>
      </c>
      <c r="J193" s="34">
        <v>7.4</v>
      </c>
      <c r="K193" s="34">
        <v>7.63</v>
      </c>
      <c r="L193" s="34">
        <v>9.26</v>
      </c>
      <c r="M193" s="34">
        <v>8.7799999999999994</v>
      </c>
      <c r="N193" s="34">
        <v>7.53</v>
      </c>
      <c r="O193" s="34">
        <v>0</v>
      </c>
      <c r="P193" s="41">
        <v>2.1675</v>
      </c>
      <c r="Q193" s="34">
        <v>9</v>
      </c>
      <c r="R193" s="34">
        <v>11.69</v>
      </c>
      <c r="S193" s="34">
        <v>1749</v>
      </c>
      <c r="T193" s="34">
        <v>106.6</v>
      </c>
      <c r="U193" s="34">
        <v>415</v>
      </c>
      <c r="V193" s="34">
        <v>13.15</v>
      </c>
      <c r="W193" s="34">
        <v>15.78</v>
      </c>
      <c r="X193" s="34">
        <v>22.5</v>
      </c>
      <c r="Y193" s="34">
        <v>15.84</v>
      </c>
      <c r="Z193" s="34">
        <v>14.91</v>
      </c>
      <c r="AA193" s="34">
        <v>11.69</v>
      </c>
      <c r="AB193" s="34">
        <v>9.3699999999999992</v>
      </c>
      <c r="AC193" s="34">
        <v>7.74</v>
      </c>
      <c r="AD193" s="41">
        <v>5.7675000000000001</v>
      </c>
      <c r="AE193" s="34">
        <v>118</v>
      </c>
      <c r="AF193" s="34">
        <v>1.129</v>
      </c>
      <c r="AG193" s="34">
        <v>233</v>
      </c>
      <c r="AH193" s="34">
        <v>49.72</v>
      </c>
      <c r="AI193" s="34">
        <v>1535</v>
      </c>
      <c r="AJ193" s="34">
        <v>0.70599999999999996</v>
      </c>
      <c r="AK193" s="34">
        <v>0.46100000000000002</v>
      </c>
      <c r="AL193" s="34">
        <v>0.58599999999999997</v>
      </c>
      <c r="AM193" s="34">
        <v>0.70799999999999996</v>
      </c>
      <c r="AN193" s="34">
        <v>0.71899999999999997</v>
      </c>
      <c r="AO193" s="34">
        <v>6.6559999999999997</v>
      </c>
      <c r="AP193" s="34">
        <v>8.4600000000000009</v>
      </c>
      <c r="AQ193" s="34">
        <v>7.27</v>
      </c>
      <c r="AR193" s="34">
        <v>3.7999999999999999E-2</v>
      </c>
      <c r="AS193" s="34">
        <v>0.13700000000000001</v>
      </c>
      <c r="AT193" s="34">
        <v>4.3999999999999997E-2</v>
      </c>
      <c r="AU193" s="34">
        <v>8.0000000000000002E-3</v>
      </c>
      <c r="AV193" s="34">
        <v>0.128</v>
      </c>
      <c r="AW193" s="34">
        <v>0.44700000000000001</v>
      </c>
      <c r="AX193" s="34">
        <v>0.159</v>
      </c>
      <c r="AY193" s="34">
        <v>3.9E-2</v>
      </c>
      <c r="AZ193" s="34">
        <v>7.61</v>
      </c>
      <c r="BA193" s="34">
        <v>3474</v>
      </c>
      <c r="BB193" s="34">
        <v>12.98</v>
      </c>
      <c r="BC193" s="34">
        <v>2876</v>
      </c>
      <c r="BD193" s="3"/>
      <c r="BE193" s="3"/>
      <c r="BF193" s="3"/>
      <c r="BH193" s="16">
        <v>32.590000000000003</v>
      </c>
      <c r="BI193" s="16">
        <f t="shared" si="35"/>
        <v>65.831800000000001</v>
      </c>
      <c r="BJ193" s="17">
        <f t="shared" si="74"/>
        <v>22.82</v>
      </c>
      <c r="BK193" s="17">
        <f t="shared" si="75"/>
        <v>44.12</v>
      </c>
      <c r="BM193" s="1">
        <f t="shared" si="76"/>
        <v>99.5</v>
      </c>
      <c r="BN193" s="1">
        <f t="shared" si="77"/>
        <v>77.900000000000006</v>
      </c>
      <c r="BO193" s="1">
        <f t="shared" si="78"/>
        <v>46.9</v>
      </c>
      <c r="BP193" s="56">
        <f t="shared" si="71"/>
        <v>0.64400000000000002</v>
      </c>
      <c r="BQ193" s="56">
        <f t="shared" si="72"/>
        <v>0.72899999999999998</v>
      </c>
      <c r="BS193" s="3">
        <v>14.2</v>
      </c>
      <c r="BT193" s="8"/>
      <c r="BV193" s="16">
        <f t="shared" si="79"/>
        <v>22.82</v>
      </c>
      <c r="BW193" s="16">
        <f t="shared" si="80"/>
        <v>44.12</v>
      </c>
      <c r="BX193" s="3">
        <f t="shared" si="38"/>
        <v>6.3</v>
      </c>
      <c r="BY193" s="3">
        <f t="shared" si="81"/>
        <v>6.5</v>
      </c>
      <c r="BZ193" s="3">
        <f t="shared" si="82"/>
        <v>6.4</v>
      </c>
      <c r="CA193" s="3">
        <f t="shared" si="83"/>
        <v>9.3000000000000007</v>
      </c>
      <c r="CB193" s="3">
        <f t="shared" si="84"/>
        <v>9.3000000000000007</v>
      </c>
      <c r="CC193" s="3">
        <f t="shared" si="85"/>
        <v>8.8000000000000007</v>
      </c>
      <c r="CD193" s="3">
        <f t="shared" si="86"/>
        <v>7.5</v>
      </c>
      <c r="CE193" s="23">
        <f t="shared" si="87"/>
        <v>77.900000000000006</v>
      </c>
      <c r="CF193" s="1">
        <f t="shared" si="39"/>
        <v>11.7</v>
      </c>
      <c r="CG193" s="1">
        <f t="shared" si="88"/>
        <v>13.2</v>
      </c>
      <c r="CH193" s="1">
        <f t="shared" si="89"/>
        <v>15.8</v>
      </c>
      <c r="CI193" s="1">
        <f t="shared" si="90"/>
        <v>22.5</v>
      </c>
      <c r="CJ193" s="1">
        <f t="shared" si="91"/>
        <v>11.7</v>
      </c>
      <c r="CK193" s="1">
        <f t="shared" si="92"/>
        <v>9.4</v>
      </c>
      <c r="CL193" s="1">
        <f t="shared" si="93"/>
        <v>7.7</v>
      </c>
      <c r="CM193" s="2">
        <f t="shared" si="94"/>
        <v>99.5</v>
      </c>
      <c r="CN193" s="1">
        <f t="shared" si="40"/>
        <v>1.1000000000000001</v>
      </c>
      <c r="CO193" s="1">
        <f t="shared" si="95"/>
        <v>0.7</v>
      </c>
      <c r="CP193" s="1">
        <f t="shared" si="96"/>
        <v>0.5</v>
      </c>
      <c r="CQ193" s="1">
        <f t="shared" si="97"/>
        <v>0.6</v>
      </c>
      <c r="CR193" s="1">
        <f t="shared" si="98"/>
        <v>6.7</v>
      </c>
      <c r="CS193" s="1">
        <f t="shared" si="99"/>
        <v>8.5</v>
      </c>
      <c r="CT193" s="1">
        <f t="shared" si="100"/>
        <v>7.3</v>
      </c>
      <c r="CU193" s="2">
        <f t="shared" si="73"/>
        <v>46.9</v>
      </c>
      <c r="CV193" s="18" t="s">
        <v>233</v>
      </c>
      <c r="CW193" s="1">
        <f>ROUND(PPTest!K193,1)</f>
        <v>9</v>
      </c>
      <c r="CX193" s="17">
        <f t="shared" si="101"/>
        <v>2.17</v>
      </c>
      <c r="CY193" s="17">
        <f t="shared" si="102"/>
        <v>5.77</v>
      </c>
      <c r="CZ193" s="20">
        <f t="shared" si="41"/>
        <v>0.64400000000000002</v>
      </c>
      <c r="DA193" s="20">
        <f t="shared" si="42"/>
        <v>0.72899999999999998</v>
      </c>
      <c r="DB193" s="16">
        <f t="shared" si="103"/>
        <v>12.98</v>
      </c>
      <c r="DD193" s="1">
        <v>9.3000000000000007</v>
      </c>
      <c r="DE193" s="1">
        <v>14.8</v>
      </c>
      <c r="DF193" s="1">
        <v>4.2</v>
      </c>
      <c r="DG193" s="1">
        <v>77.8</v>
      </c>
      <c r="DH193" s="1">
        <v>53</v>
      </c>
      <c r="DZ193" s="1">
        <v>6.8</v>
      </c>
      <c r="EA193" s="1">
        <v>13.5</v>
      </c>
      <c r="EB193" s="1">
        <v>0.2</v>
      </c>
      <c r="EC193" s="1">
        <v>0</v>
      </c>
    </row>
    <row r="194" spans="1:133" x14ac:dyDescent="0.2">
      <c r="A194" s="40">
        <v>35252</v>
      </c>
      <c r="B194" s="34">
        <v>188</v>
      </c>
      <c r="C194" s="34">
        <v>32.36</v>
      </c>
      <c r="D194" s="34">
        <v>58.65</v>
      </c>
      <c r="E194" s="34">
        <v>8.91</v>
      </c>
      <c r="F194" s="34">
        <v>65.61</v>
      </c>
      <c r="G194" s="34">
        <v>9.16</v>
      </c>
      <c r="H194" s="34">
        <v>8.5500000000000007</v>
      </c>
      <c r="I194" s="34">
        <v>10.84</v>
      </c>
      <c r="J194" s="34">
        <v>10.07</v>
      </c>
      <c r="K194" s="34">
        <v>10.56</v>
      </c>
      <c r="L194" s="34">
        <v>10.14</v>
      </c>
      <c r="M194" s="34">
        <v>8.69</v>
      </c>
      <c r="N194" s="34">
        <v>7.62</v>
      </c>
      <c r="O194" s="34">
        <v>0</v>
      </c>
      <c r="P194" s="41">
        <v>2.2275</v>
      </c>
      <c r="Q194" s="34">
        <v>0</v>
      </c>
      <c r="R194" s="34">
        <v>15.92</v>
      </c>
      <c r="S194" s="34">
        <v>1814</v>
      </c>
      <c r="T194" s="34">
        <v>101.3</v>
      </c>
      <c r="U194" s="34">
        <v>435</v>
      </c>
      <c r="V194" s="34">
        <v>16.3</v>
      </c>
      <c r="W194" s="34">
        <v>18.02</v>
      </c>
      <c r="X194" s="34">
        <v>26.81</v>
      </c>
      <c r="Y194" s="34">
        <v>20.18</v>
      </c>
      <c r="Z194" s="34">
        <v>21.54</v>
      </c>
      <c r="AA194" s="34">
        <v>13.96</v>
      </c>
      <c r="AB194" s="34">
        <v>9.1999999999999993</v>
      </c>
      <c r="AC194" s="34">
        <v>7.86</v>
      </c>
      <c r="AD194" s="41">
        <v>5.8208333333333329</v>
      </c>
      <c r="AE194" s="34">
        <v>1044</v>
      </c>
      <c r="AF194" s="34">
        <v>1.3839999999999999</v>
      </c>
      <c r="AG194" s="34">
        <v>434</v>
      </c>
      <c r="AH194" s="34">
        <v>32.78</v>
      </c>
      <c r="AI194" s="34">
        <v>1637</v>
      </c>
      <c r="AJ194" s="34">
        <v>0.44700000000000001</v>
      </c>
      <c r="AK194" s="34">
        <v>-0.22500000000000001</v>
      </c>
      <c r="AL194" s="34">
        <v>-0.37</v>
      </c>
      <c r="AM194" s="34">
        <v>-6.8000000000000005E-2</v>
      </c>
      <c r="AN194" s="34">
        <v>3.9E-2</v>
      </c>
      <c r="AO194" s="34">
        <v>7</v>
      </c>
      <c r="AP194" s="34">
        <v>8.3800000000000008</v>
      </c>
      <c r="AQ194" s="34">
        <v>7.32</v>
      </c>
      <c r="AR194" s="34">
        <v>2.8000000000000001E-2</v>
      </c>
      <c r="AS194" s="34">
        <v>0.30599999999999999</v>
      </c>
      <c r="AT194" s="34">
        <v>9.9000000000000005E-2</v>
      </c>
      <c r="AU194" s="34">
        <v>1.4999999999999999E-2</v>
      </c>
      <c r="AV194" s="34">
        <v>0.114</v>
      </c>
      <c r="AW194" s="34">
        <v>0.29899999999999999</v>
      </c>
      <c r="AX194" s="34">
        <v>0.11</v>
      </c>
      <c r="AY194" s="34">
        <v>2.8000000000000001E-2</v>
      </c>
      <c r="AZ194" s="34">
        <v>9.7100000000000009</v>
      </c>
      <c r="BA194" s="34">
        <v>3474</v>
      </c>
      <c r="BB194" s="34">
        <v>12.9</v>
      </c>
      <c r="BC194" s="34">
        <v>2876</v>
      </c>
      <c r="BD194" s="3"/>
      <c r="BE194" s="3"/>
      <c r="BF194" s="3"/>
      <c r="BH194" s="16">
        <v>32.520000000000003</v>
      </c>
      <c r="BI194" s="16">
        <f t="shared" si="35"/>
        <v>65.690400000000011</v>
      </c>
      <c r="BJ194" s="17">
        <f t="shared" si="74"/>
        <v>32.36</v>
      </c>
      <c r="BK194" s="17">
        <f t="shared" si="75"/>
        <v>61.55</v>
      </c>
      <c r="BM194" s="1">
        <f t="shared" si="76"/>
        <v>94.6</v>
      </c>
      <c r="BN194" s="1">
        <f t="shared" si="77"/>
        <v>61.6</v>
      </c>
      <c r="BO194" s="1">
        <f t="shared" si="78"/>
        <v>31.3</v>
      </c>
      <c r="BP194" s="56">
        <f t="shared" si="71"/>
        <v>0.56599999999999995</v>
      </c>
      <c r="BQ194" s="56">
        <f t="shared" si="72"/>
        <v>1.242</v>
      </c>
      <c r="BS194" s="3">
        <v>0</v>
      </c>
      <c r="BT194" s="8"/>
      <c r="BV194" s="16">
        <f t="shared" si="79"/>
        <v>32.36</v>
      </c>
      <c r="BW194" s="16">
        <f t="shared" si="80"/>
        <v>61.55</v>
      </c>
      <c r="BX194" s="3">
        <f t="shared" si="38"/>
        <v>8.9</v>
      </c>
      <c r="BY194" s="3">
        <f t="shared" si="81"/>
        <v>9.1999999999999993</v>
      </c>
      <c r="BZ194" s="3">
        <f t="shared" si="82"/>
        <v>8.6</v>
      </c>
      <c r="CA194" s="3">
        <f t="shared" si="83"/>
        <v>10.8</v>
      </c>
      <c r="CB194" s="3">
        <f t="shared" si="84"/>
        <v>10.1</v>
      </c>
      <c r="CC194" s="3">
        <f t="shared" si="85"/>
        <v>8.6999999999999993</v>
      </c>
      <c r="CD194" s="3">
        <f t="shared" si="86"/>
        <v>7.6</v>
      </c>
      <c r="CE194" s="23">
        <f t="shared" si="87"/>
        <v>61.6</v>
      </c>
      <c r="CF194" s="1">
        <f t="shared" si="39"/>
        <v>15.9</v>
      </c>
      <c r="CG194" s="1">
        <f t="shared" si="88"/>
        <v>16.3</v>
      </c>
      <c r="CH194" s="1">
        <f t="shared" si="89"/>
        <v>18</v>
      </c>
      <c r="CI194" s="1">
        <f t="shared" si="90"/>
        <v>26.8</v>
      </c>
      <c r="CJ194" s="1">
        <f t="shared" si="91"/>
        <v>14</v>
      </c>
      <c r="CK194" s="1">
        <f t="shared" si="92"/>
        <v>9.1999999999999993</v>
      </c>
      <c r="CL194" s="1">
        <f t="shared" si="93"/>
        <v>7.9</v>
      </c>
      <c r="CM194" s="2">
        <f t="shared" si="94"/>
        <v>94.6</v>
      </c>
      <c r="CN194" s="1">
        <f t="shared" si="40"/>
        <v>1.4</v>
      </c>
      <c r="CO194" s="1">
        <f t="shared" si="95"/>
        <v>0.4</v>
      </c>
      <c r="CP194" s="1">
        <f t="shared" si="96"/>
        <v>-0.2</v>
      </c>
      <c r="CQ194" s="1">
        <f t="shared" si="97"/>
        <v>-0.4</v>
      </c>
      <c r="CR194" s="1">
        <f t="shared" si="98"/>
        <v>7</v>
      </c>
      <c r="CS194" s="1">
        <f t="shared" si="99"/>
        <v>8.4</v>
      </c>
      <c r="CT194" s="1">
        <f t="shared" si="100"/>
        <v>7.3</v>
      </c>
      <c r="CU194" s="2">
        <f t="shared" si="73"/>
        <v>31.3</v>
      </c>
      <c r="CV194" s="18" t="s">
        <v>233</v>
      </c>
      <c r="CW194" s="1">
        <f>ROUND(PPTest!K194,1)</f>
        <v>0</v>
      </c>
      <c r="CX194" s="17">
        <f t="shared" si="101"/>
        <v>2.23</v>
      </c>
      <c r="CY194" s="17">
        <f t="shared" si="102"/>
        <v>5.82</v>
      </c>
      <c r="CZ194" s="20">
        <f t="shared" si="41"/>
        <v>0.56599999999999995</v>
      </c>
      <c r="DA194" s="20">
        <f t="shared" si="42"/>
        <v>1.242</v>
      </c>
      <c r="DB194" s="16">
        <f t="shared" si="103"/>
        <v>12.9</v>
      </c>
      <c r="DD194" s="1">
        <v>13.4</v>
      </c>
      <c r="DE194" s="1">
        <v>19</v>
      </c>
      <c r="DF194" s="1">
        <v>6.6</v>
      </c>
      <c r="DG194" s="1">
        <v>53.1</v>
      </c>
      <c r="DH194" s="1">
        <v>36</v>
      </c>
      <c r="DZ194" s="1">
        <v>9.6999999999999993</v>
      </c>
      <c r="EA194" s="1">
        <v>19.399999999999999</v>
      </c>
      <c r="EB194" s="1">
        <v>-2</v>
      </c>
      <c r="EC194" s="1">
        <v>0</v>
      </c>
    </row>
    <row r="195" spans="1:133" x14ac:dyDescent="0.2">
      <c r="A195" s="40">
        <v>35253</v>
      </c>
      <c r="B195" s="34">
        <v>189</v>
      </c>
      <c r="C195" s="34">
        <v>32.130000000000003</v>
      </c>
      <c r="D195" s="34">
        <v>58.58</v>
      </c>
      <c r="E195" s="34">
        <v>12.15</v>
      </c>
      <c r="F195" s="34">
        <v>58.03</v>
      </c>
      <c r="G195" s="34">
        <v>12.27</v>
      </c>
      <c r="H195" s="34">
        <v>11.63</v>
      </c>
      <c r="I195" s="34">
        <v>12.66</v>
      </c>
      <c r="J195" s="34">
        <v>13.46</v>
      </c>
      <c r="K195" s="34">
        <v>13.66</v>
      </c>
      <c r="L195" s="34">
        <v>10.78</v>
      </c>
      <c r="M195" s="34">
        <v>8.94</v>
      </c>
      <c r="N195" s="34">
        <v>7.63</v>
      </c>
      <c r="O195" s="34">
        <v>0</v>
      </c>
      <c r="P195" s="41">
        <v>1.9724999999999999</v>
      </c>
      <c r="Q195" s="34">
        <v>0</v>
      </c>
      <c r="R195" s="34">
        <v>21.14</v>
      </c>
      <c r="S195" s="34">
        <v>1731</v>
      </c>
      <c r="T195" s="34">
        <v>97</v>
      </c>
      <c r="U195" s="34">
        <v>419</v>
      </c>
      <c r="V195" s="34">
        <v>21.19</v>
      </c>
      <c r="W195" s="34">
        <v>24.73</v>
      </c>
      <c r="X195" s="34">
        <v>29.07</v>
      </c>
      <c r="Y195" s="34">
        <v>26.57</v>
      </c>
      <c r="Z195" s="34">
        <v>26.18</v>
      </c>
      <c r="AA195" s="34">
        <v>14.94</v>
      </c>
      <c r="AB195" s="34">
        <v>9.6</v>
      </c>
      <c r="AC195" s="34">
        <v>7.89</v>
      </c>
      <c r="AD195" s="41">
        <v>4.4074999999999998</v>
      </c>
      <c r="AE195" s="34">
        <v>1634</v>
      </c>
      <c r="AF195" s="34">
        <v>0.69899999999999995</v>
      </c>
      <c r="AG195" s="34">
        <v>331</v>
      </c>
      <c r="AH195" s="34">
        <v>24.99</v>
      </c>
      <c r="AI195" s="34">
        <v>1644</v>
      </c>
      <c r="AJ195" s="34">
        <v>-0.122</v>
      </c>
      <c r="AK195" s="34">
        <v>-0.55500000000000005</v>
      </c>
      <c r="AL195" s="34">
        <v>-0.30399999999999999</v>
      </c>
      <c r="AM195" s="34">
        <v>-0.61499999999999999</v>
      </c>
      <c r="AN195" s="34">
        <v>-0.57699999999999996</v>
      </c>
      <c r="AO195" s="34">
        <v>7.09</v>
      </c>
      <c r="AP195" s="34">
        <v>8.49</v>
      </c>
      <c r="AQ195" s="34">
        <v>7.33</v>
      </c>
      <c r="AR195" s="34">
        <v>9.9000000000000005E-2</v>
      </c>
      <c r="AS195" s="34">
        <v>0.34399999999999997</v>
      </c>
      <c r="AT195" s="34">
        <v>0.20300000000000001</v>
      </c>
      <c r="AU195" s="34">
        <v>1.7000000000000001E-2</v>
      </c>
      <c r="AV195" s="34">
        <v>6.5000000000000002E-2</v>
      </c>
      <c r="AW195" s="34">
        <v>0.10199999999999999</v>
      </c>
      <c r="AX195" s="34">
        <v>8.1000000000000003E-2</v>
      </c>
      <c r="AY195" s="34">
        <v>8.8999999999999996E-2</v>
      </c>
      <c r="AZ195" s="34">
        <v>12.47</v>
      </c>
      <c r="BA195" s="34">
        <v>3474</v>
      </c>
      <c r="BB195" s="34">
        <v>12.82</v>
      </c>
      <c r="BC195" s="34">
        <v>2876</v>
      </c>
      <c r="BD195" s="3"/>
      <c r="BE195" s="3"/>
      <c r="BF195" s="3"/>
      <c r="BH195" s="16">
        <v>32.43</v>
      </c>
      <c r="BI195" s="16">
        <f t="shared" si="35"/>
        <v>65.508600000000001</v>
      </c>
      <c r="BJ195" s="17">
        <f t="shared" si="74"/>
        <v>32.130000000000003</v>
      </c>
      <c r="BK195" s="17">
        <f t="shared" si="75"/>
        <v>61.47</v>
      </c>
      <c r="BM195" s="1">
        <f t="shared" si="76"/>
        <v>90.6</v>
      </c>
      <c r="BN195" s="1">
        <f t="shared" si="77"/>
        <v>54.6</v>
      </c>
      <c r="BO195" s="1">
        <f t="shared" si="78"/>
        <v>24.1</v>
      </c>
      <c r="BP195" s="56">
        <f t="shared" si="71"/>
        <v>0.60399999999999998</v>
      </c>
      <c r="BQ195" s="56">
        <f t="shared" si="72"/>
        <v>1.9019999999999999</v>
      </c>
      <c r="BS195" s="3">
        <v>0</v>
      </c>
      <c r="BT195" s="8"/>
      <c r="BV195" s="16">
        <f t="shared" si="79"/>
        <v>32.130000000000003</v>
      </c>
      <c r="BW195" s="16">
        <f t="shared" si="80"/>
        <v>61.47</v>
      </c>
      <c r="BX195" s="3">
        <f t="shared" si="38"/>
        <v>12.2</v>
      </c>
      <c r="BY195" s="3">
        <f t="shared" si="81"/>
        <v>12.3</v>
      </c>
      <c r="BZ195" s="3">
        <f t="shared" si="82"/>
        <v>11.6</v>
      </c>
      <c r="CA195" s="3">
        <f t="shared" si="83"/>
        <v>12.7</v>
      </c>
      <c r="CB195" s="3">
        <f t="shared" si="84"/>
        <v>10.8</v>
      </c>
      <c r="CC195" s="3">
        <f t="shared" si="85"/>
        <v>8.9</v>
      </c>
      <c r="CD195" s="3">
        <f t="shared" si="86"/>
        <v>7.6</v>
      </c>
      <c r="CE195" s="23">
        <f t="shared" si="87"/>
        <v>54.6</v>
      </c>
      <c r="CF195" s="1">
        <f t="shared" si="39"/>
        <v>21.1</v>
      </c>
      <c r="CG195" s="1">
        <f t="shared" si="88"/>
        <v>21.2</v>
      </c>
      <c r="CH195" s="1">
        <f t="shared" si="89"/>
        <v>24.7</v>
      </c>
      <c r="CI195" s="1">
        <f t="shared" si="90"/>
        <v>29.1</v>
      </c>
      <c r="CJ195" s="1">
        <f t="shared" si="91"/>
        <v>14.9</v>
      </c>
      <c r="CK195" s="1">
        <f t="shared" si="92"/>
        <v>9.6</v>
      </c>
      <c r="CL195" s="1">
        <f t="shared" si="93"/>
        <v>7.9</v>
      </c>
      <c r="CM195" s="2">
        <f t="shared" si="94"/>
        <v>90.6</v>
      </c>
      <c r="CN195" s="1">
        <f t="shared" si="40"/>
        <v>0.7</v>
      </c>
      <c r="CO195" s="1">
        <f t="shared" si="95"/>
        <v>-0.1</v>
      </c>
      <c r="CP195" s="1">
        <f t="shared" si="96"/>
        <v>-0.6</v>
      </c>
      <c r="CQ195" s="1">
        <f t="shared" si="97"/>
        <v>-0.3</v>
      </c>
      <c r="CR195" s="1">
        <f t="shared" si="98"/>
        <v>7.1</v>
      </c>
      <c r="CS195" s="1">
        <f t="shared" si="99"/>
        <v>8.5</v>
      </c>
      <c r="CT195" s="1">
        <f t="shared" si="100"/>
        <v>7.3</v>
      </c>
      <c r="CU195" s="2">
        <f t="shared" si="73"/>
        <v>24.1</v>
      </c>
      <c r="CV195" s="18" t="s">
        <v>233</v>
      </c>
      <c r="CW195" s="1">
        <f>ROUND(PPTest!K195,1)</f>
        <v>0</v>
      </c>
      <c r="CX195" s="17">
        <f t="shared" si="101"/>
        <v>1.97</v>
      </c>
      <c r="CY195" s="17">
        <f t="shared" si="102"/>
        <v>4.41</v>
      </c>
      <c r="CZ195" s="20">
        <f t="shared" si="41"/>
        <v>0.60399999999999998</v>
      </c>
      <c r="DA195" s="20">
        <f t="shared" si="42"/>
        <v>1.9019999999999999</v>
      </c>
      <c r="DB195" s="16">
        <f t="shared" si="103"/>
        <v>12.82</v>
      </c>
      <c r="DD195" s="1">
        <v>17.399999999999999</v>
      </c>
      <c r="DE195" s="1">
        <v>23.5</v>
      </c>
      <c r="DF195" s="1">
        <v>10.6</v>
      </c>
      <c r="DG195" s="1">
        <v>41.8</v>
      </c>
      <c r="DH195" s="1">
        <v>32</v>
      </c>
      <c r="DZ195" s="1">
        <v>14.1</v>
      </c>
      <c r="EA195" s="1">
        <v>22.6</v>
      </c>
      <c r="EB195" s="1">
        <v>3</v>
      </c>
      <c r="EC195" s="1">
        <v>0</v>
      </c>
    </row>
    <row r="196" spans="1:133" x14ac:dyDescent="0.2">
      <c r="A196" s="40">
        <v>35254</v>
      </c>
      <c r="B196" s="34">
        <v>190</v>
      </c>
      <c r="C196" s="34">
        <v>31.99</v>
      </c>
      <c r="D196" s="34">
        <v>58.39</v>
      </c>
      <c r="E196" s="34">
        <v>16.43</v>
      </c>
      <c r="F196" s="34">
        <v>52.52</v>
      </c>
      <c r="G196" s="34">
        <v>16.27</v>
      </c>
      <c r="H196" s="34">
        <v>15.8</v>
      </c>
      <c r="I196" s="34">
        <v>16.37</v>
      </c>
      <c r="J196" s="34">
        <v>17.27</v>
      </c>
      <c r="K196" s="34">
        <v>17.45</v>
      </c>
      <c r="L196" s="34">
        <v>12.02</v>
      </c>
      <c r="M196" s="34">
        <v>9.4499999999999993</v>
      </c>
      <c r="N196" s="34">
        <v>7.69</v>
      </c>
      <c r="O196" s="34">
        <v>0</v>
      </c>
      <c r="P196" s="41">
        <v>2.0024999999999999</v>
      </c>
      <c r="Q196" s="34">
        <v>0</v>
      </c>
      <c r="R196" s="34">
        <v>24.73</v>
      </c>
      <c r="S196" s="34">
        <v>1648</v>
      </c>
      <c r="T196" s="34">
        <v>94.4</v>
      </c>
      <c r="U196" s="34">
        <v>418</v>
      </c>
      <c r="V196" s="34">
        <v>25.13</v>
      </c>
      <c r="W196" s="34">
        <v>27.71</v>
      </c>
      <c r="X196" s="34">
        <v>33.53</v>
      </c>
      <c r="Y196" s="34">
        <v>29.78</v>
      </c>
      <c r="Z196" s="34">
        <v>29.33</v>
      </c>
      <c r="AA196" s="34">
        <v>16.02</v>
      </c>
      <c r="AB196" s="34">
        <v>10.29</v>
      </c>
      <c r="AC196" s="34">
        <v>7.9</v>
      </c>
      <c r="AD196" s="41">
        <v>5.4874999999999998</v>
      </c>
      <c r="AE196" s="34">
        <v>1151</v>
      </c>
      <c r="AF196" s="34">
        <v>3.5990000000000002</v>
      </c>
      <c r="AG196" s="34">
        <v>346</v>
      </c>
      <c r="AH196" s="34">
        <v>26.39</v>
      </c>
      <c r="AI196" s="34">
        <v>1723</v>
      </c>
      <c r="AJ196" s="34">
        <v>2.758</v>
      </c>
      <c r="AK196" s="34">
        <v>2.1139999999999999</v>
      </c>
      <c r="AL196" s="34">
        <v>2.246</v>
      </c>
      <c r="AM196" s="34">
        <v>2.323</v>
      </c>
      <c r="AN196" s="34">
        <v>2.4380000000000002</v>
      </c>
      <c r="AO196" s="34">
        <v>8.3000000000000007</v>
      </c>
      <c r="AP196" s="34">
        <v>8.99</v>
      </c>
      <c r="AQ196" s="34">
        <v>7.45</v>
      </c>
      <c r="AR196" s="34">
        <v>0.11700000000000001</v>
      </c>
      <c r="AS196" s="34">
        <v>0.36499999999999999</v>
      </c>
      <c r="AT196" s="34">
        <v>0.20100000000000001</v>
      </c>
      <c r="AU196" s="34">
        <v>2.5999999999999999E-2</v>
      </c>
      <c r="AV196" s="34">
        <v>4.5999999999999999E-2</v>
      </c>
      <c r="AW196" s="34">
        <v>8.3000000000000004E-2</v>
      </c>
      <c r="AX196" s="34">
        <v>6.3E-2</v>
      </c>
      <c r="AY196" s="34">
        <v>9.9000000000000005E-2</v>
      </c>
      <c r="AZ196" s="34">
        <v>16.32</v>
      </c>
      <c r="BA196" s="34">
        <v>3474</v>
      </c>
      <c r="BB196" s="34">
        <v>12.77</v>
      </c>
      <c r="BC196" s="34">
        <v>2876</v>
      </c>
      <c r="BD196" s="3"/>
      <c r="BE196" s="3"/>
      <c r="BF196" s="3"/>
      <c r="BH196" s="16">
        <v>32.35</v>
      </c>
      <c r="BI196" s="16">
        <f t="shared" si="35"/>
        <v>65.347000000000008</v>
      </c>
      <c r="BJ196" s="17">
        <f t="shared" si="74"/>
        <v>31.99</v>
      </c>
      <c r="BK196" s="17">
        <f t="shared" si="75"/>
        <v>61.27</v>
      </c>
      <c r="BM196" s="1">
        <f t="shared" si="76"/>
        <v>88.2</v>
      </c>
      <c r="BN196" s="1">
        <f t="shared" si="77"/>
        <v>49.5</v>
      </c>
      <c r="BO196" s="1">
        <f t="shared" si="78"/>
        <v>25.4</v>
      </c>
      <c r="BP196" s="56">
        <f t="shared" si="71"/>
        <v>0.79200000000000004</v>
      </c>
      <c r="BQ196" s="56">
        <f t="shared" si="72"/>
        <v>2.3260000000000001</v>
      </c>
      <c r="BS196" s="3">
        <v>0</v>
      </c>
      <c r="BT196" s="8"/>
      <c r="BV196" s="16">
        <f t="shared" si="79"/>
        <v>31.99</v>
      </c>
      <c r="BW196" s="16">
        <f t="shared" si="80"/>
        <v>61.27</v>
      </c>
      <c r="BX196" s="3">
        <f t="shared" si="38"/>
        <v>16.399999999999999</v>
      </c>
      <c r="BY196" s="3">
        <f t="shared" si="81"/>
        <v>16.3</v>
      </c>
      <c r="BZ196" s="3">
        <f t="shared" si="82"/>
        <v>15.8</v>
      </c>
      <c r="CA196" s="3">
        <f t="shared" si="83"/>
        <v>16.399999999999999</v>
      </c>
      <c r="CB196" s="3">
        <f t="shared" si="84"/>
        <v>12</v>
      </c>
      <c r="CC196" s="3">
        <f t="shared" si="85"/>
        <v>9.5</v>
      </c>
      <c r="CD196" s="3">
        <f t="shared" si="86"/>
        <v>7.7</v>
      </c>
      <c r="CE196" s="23">
        <f t="shared" si="87"/>
        <v>49.5</v>
      </c>
      <c r="CF196" s="1">
        <f t="shared" si="39"/>
        <v>24.7</v>
      </c>
      <c r="CG196" s="1">
        <f t="shared" si="88"/>
        <v>25.1</v>
      </c>
      <c r="CH196" s="1">
        <f t="shared" si="89"/>
        <v>27.7</v>
      </c>
      <c r="CI196" s="1">
        <f t="shared" si="90"/>
        <v>33.5</v>
      </c>
      <c r="CJ196" s="1">
        <f t="shared" si="91"/>
        <v>16</v>
      </c>
      <c r="CK196" s="1">
        <f t="shared" si="92"/>
        <v>10.3</v>
      </c>
      <c r="CL196" s="1">
        <f t="shared" si="93"/>
        <v>7.9</v>
      </c>
      <c r="CM196" s="2">
        <f t="shared" si="94"/>
        <v>88.2</v>
      </c>
      <c r="CN196" s="1">
        <f t="shared" si="40"/>
        <v>3.6</v>
      </c>
      <c r="CO196" s="1">
        <f t="shared" si="95"/>
        <v>2.8</v>
      </c>
      <c r="CP196" s="1">
        <f t="shared" si="96"/>
        <v>2.1</v>
      </c>
      <c r="CQ196" s="1">
        <f t="shared" si="97"/>
        <v>2.2000000000000002</v>
      </c>
      <c r="CR196" s="1">
        <f t="shared" si="98"/>
        <v>8.3000000000000007</v>
      </c>
      <c r="CS196" s="1">
        <f t="shared" si="99"/>
        <v>9</v>
      </c>
      <c r="CT196" s="1">
        <f t="shared" si="100"/>
        <v>7.5</v>
      </c>
      <c r="CU196" s="2">
        <f t="shared" si="73"/>
        <v>25.4</v>
      </c>
      <c r="CV196" s="18" t="s">
        <v>233</v>
      </c>
      <c r="CW196" s="1">
        <f>ROUND(PPTest!K196,1)</f>
        <v>0</v>
      </c>
      <c r="CX196" s="17">
        <f t="shared" si="101"/>
        <v>2</v>
      </c>
      <c r="CY196" s="17">
        <f t="shared" si="102"/>
        <v>5.49</v>
      </c>
      <c r="CZ196" s="20">
        <f t="shared" si="41"/>
        <v>0.79200000000000004</v>
      </c>
      <c r="DA196" s="20">
        <f t="shared" si="42"/>
        <v>2.3260000000000001</v>
      </c>
      <c r="DB196" s="16">
        <f t="shared" si="103"/>
        <v>12.77</v>
      </c>
      <c r="DD196" s="1">
        <v>21.1</v>
      </c>
      <c r="DE196" s="1">
        <v>27.3</v>
      </c>
      <c r="DF196" s="1">
        <v>13.9</v>
      </c>
      <c r="DG196" s="1">
        <v>35.299999999999997</v>
      </c>
      <c r="DH196" s="1">
        <v>24</v>
      </c>
      <c r="DZ196" s="1">
        <v>17.2</v>
      </c>
      <c r="EA196" s="1">
        <v>24.8</v>
      </c>
      <c r="EB196" s="1">
        <v>6.2</v>
      </c>
      <c r="EC196" s="1">
        <v>0</v>
      </c>
    </row>
    <row r="197" spans="1:133" x14ac:dyDescent="0.2">
      <c r="A197" s="40">
        <v>35255</v>
      </c>
      <c r="B197" s="34">
        <v>191</v>
      </c>
      <c r="C197" s="34">
        <v>20.16</v>
      </c>
      <c r="D197" s="34">
        <v>37.880000000000003</v>
      </c>
      <c r="E197" s="34">
        <v>13.73</v>
      </c>
      <c r="F197" s="34">
        <v>63.18</v>
      </c>
      <c r="G197" s="34">
        <v>13.61</v>
      </c>
      <c r="H197" s="34">
        <v>13.07</v>
      </c>
      <c r="I197" s="34">
        <v>13.63</v>
      </c>
      <c r="J197" s="34">
        <v>13.89</v>
      </c>
      <c r="K197" s="34">
        <v>14.39</v>
      </c>
      <c r="L197" s="34">
        <v>11.92</v>
      </c>
      <c r="M197" s="34">
        <v>10.07</v>
      </c>
      <c r="N197" s="34">
        <v>7.86</v>
      </c>
      <c r="O197" s="34">
        <v>1E-3</v>
      </c>
      <c r="P197" s="41">
        <v>2.4658333333333338</v>
      </c>
      <c r="Q197" s="34">
        <v>0</v>
      </c>
      <c r="R197" s="34">
        <v>17.78</v>
      </c>
      <c r="S197" s="34">
        <v>1548</v>
      </c>
      <c r="T197" s="34">
        <v>94.6</v>
      </c>
      <c r="U197" s="34">
        <v>2351</v>
      </c>
      <c r="V197" s="34">
        <v>23.91</v>
      </c>
      <c r="W197" s="34">
        <v>20.91</v>
      </c>
      <c r="X197" s="34">
        <v>25.63</v>
      </c>
      <c r="Y197" s="34">
        <v>20.29</v>
      </c>
      <c r="Z197" s="34">
        <v>21.4</v>
      </c>
      <c r="AA197" s="34">
        <v>13.67</v>
      </c>
      <c r="AB197" s="34">
        <v>10.3</v>
      </c>
      <c r="AC197" s="34">
        <v>8.02</v>
      </c>
      <c r="AD197" s="41">
        <v>6.6475</v>
      </c>
      <c r="AE197" s="34">
        <v>1818</v>
      </c>
      <c r="AF197" s="34">
        <v>4.7510000000000003</v>
      </c>
      <c r="AG197" s="34">
        <v>0</v>
      </c>
      <c r="AH197" s="34">
        <v>37.58</v>
      </c>
      <c r="AI197" s="34">
        <v>1538</v>
      </c>
      <c r="AJ197" s="34">
        <v>3.1</v>
      </c>
      <c r="AK197" s="34">
        <v>2.3069999999999999</v>
      </c>
      <c r="AL197" s="34">
        <v>1.5669999999999999</v>
      </c>
      <c r="AM197" s="34">
        <v>2.5609999999999999</v>
      </c>
      <c r="AN197" s="34">
        <v>2.9860000000000002</v>
      </c>
      <c r="AO197" s="34">
        <v>9.86</v>
      </c>
      <c r="AP197" s="34">
        <v>9.8699999999999992</v>
      </c>
      <c r="AQ197" s="34">
        <v>7.65</v>
      </c>
      <c r="AR197" s="34">
        <v>1.6E-2</v>
      </c>
      <c r="AS197" s="34">
        <v>0.21099999999999999</v>
      </c>
      <c r="AT197" s="34">
        <v>0.105</v>
      </c>
      <c r="AU197" s="34">
        <v>2.4E-2</v>
      </c>
      <c r="AV197" s="34">
        <v>0.09</v>
      </c>
      <c r="AW197" s="34">
        <v>0.36399999999999999</v>
      </c>
      <c r="AX197" s="34">
        <v>0.16400000000000001</v>
      </c>
      <c r="AY197" s="34">
        <v>2.5999999999999999E-2</v>
      </c>
      <c r="AZ197" s="34">
        <v>13.83</v>
      </c>
      <c r="BA197" s="34">
        <v>3474</v>
      </c>
      <c r="BB197" s="34">
        <v>12.89</v>
      </c>
      <c r="BC197" s="34">
        <v>2876</v>
      </c>
      <c r="BD197" s="3"/>
      <c r="BE197" s="3"/>
      <c r="BF197" s="3"/>
      <c r="BH197" s="16">
        <v>32.270000000000003</v>
      </c>
      <c r="BI197" s="16">
        <f t="shared" si="35"/>
        <v>65.185400000000001</v>
      </c>
      <c r="BJ197" s="17">
        <f t="shared" si="74"/>
        <v>20.16</v>
      </c>
      <c r="BK197" s="17">
        <f t="shared" si="75"/>
        <v>39.75</v>
      </c>
      <c r="BM197" s="1">
        <f t="shared" si="76"/>
        <v>88.4</v>
      </c>
      <c r="BN197" s="1">
        <f t="shared" si="77"/>
        <v>59.4</v>
      </c>
      <c r="BO197" s="1">
        <f t="shared" si="78"/>
        <v>35.700000000000003</v>
      </c>
      <c r="BP197" s="56">
        <f t="shared" si="71"/>
        <v>0.72699999999999998</v>
      </c>
      <c r="BQ197" s="56">
        <f t="shared" si="72"/>
        <v>1.3089999999999999</v>
      </c>
      <c r="BS197" s="3">
        <v>0</v>
      </c>
      <c r="BT197" s="8"/>
      <c r="BV197" s="16">
        <f t="shared" si="79"/>
        <v>20.16</v>
      </c>
      <c r="BW197" s="16">
        <f t="shared" si="80"/>
        <v>39.75</v>
      </c>
      <c r="BX197" s="3">
        <f t="shared" si="38"/>
        <v>13.7</v>
      </c>
      <c r="BY197" s="3">
        <f t="shared" si="81"/>
        <v>13.6</v>
      </c>
      <c r="BZ197" s="3">
        <f t="shared" si="82"/>
        <v>13.1</v>
      </c>
      <c r="CA197" s="3">
        <f t="shared" si="83"/>
        <v>13.6</v>
      </c>
      <c r="CB197" s="3">
        <f t="shared" si="84"/>
        <v>11.9</v>
      </c>
      <c r="CC197" s="3">
        <f t="shared" si="85"/>
        <v>10.1</v>
      </c>
      <c r="CD197" s="3">
        <f t="shared" si="86"/>
        <v>7.9</v>
      </c>
      <c r="CE197" s="23">
        <f t="shared" si="87"/>
        <v>59.4</v>
      </c>
      <c r="CF197" s="1">
        <f t="shared" si="39"/>
        <v>17.8</v>
      </c>
      <c r="CG197" s="1">
        <f t="shared" si="88"/>
        <v>23.9</v>
      </c>
      <c r="CH197" s="1">
        <f t="shared" si="89"/>
        <v>20.9</v>
      </c>
      <c r="CI197" s="1">
        <f t="shared" si="90"/>
        <v>25.6</v>
      </c>
      <c r="CJ197" s="1">
        <f t="shared" si="91"/>
        <v>13.7</v>
      </c>
      <c r="CK197" s="1">
        <f t="shared" si="92"/>
        <v>10.3</v>
      </c>
      <c r="CL197" s="1">
        <f t="shared" si="93"/>
        <v>8</v>
      </c>
      <c r="CM197" s="2">
        <f t="shared" si="94"/>
        <v>88.4</v>
      </c>
      <c r="CN197" s="1">
        <f t="shared" si="40"/>
        <v>4.8</v>
      </c>
      <c r="CO197" s="1">
        <f t="shared" si="95"/>
        <v>3.1</v>
      </c>
      <c r="CP197" s="1">
        <f t="shared" si="96"/>
        <v>2.2999999999999998</v>
      </c>
      <c r="CQ197" s="1">
        <f t="shared" si="97"/>
        <v>1.6</v>
      </c>
      <c r="CR197" s="1">
        <f t="shared" si="98"/>
        <v>9.9</v>
      </c>
      <c r="CS197" s="1">
        <f t="shared" si="99"/>
        <v>9.9</v>
      </c>
      <c r="CT197" s="1">
        <f t="shared" si="100"/>
        <v>7.7</v>
      </c>
      <c r="CU197" s="2">
        <f t="shared" si="73"/>
        <v>35.700000000000003</v>
      </c>
      <c r="CV197" s="18" t="s">
        <v>233</v>
      </c>
      <c r="CW197" s="1">
        <f>ROUND(PPTest!K197,1)</f>
        <v>0</v>
      </c>
      <c r="CX197" s="17">
        <f t="shared" si="101"/>
        <v>2.4700000000000002</v>
      </c>
      <c r="CY197" s="17">
        <f t="shared" si="102"/>
        <v>6.65</v>
      </c>
      <c r="CZ197" s="20">
        <f t="shared" si="41"/>
        <v>0.72699999999999998</v>
      </c>
      <c r="DA197" s="20">
        <f t="shared" si="42"/>
        <v>1.3089999999999999</v>
      </c>
      <c r="DB197" s="16">
        <f t="shared" si="103"/>
        <v>12.89</v>
      </c>
      <c r="DD197" s="1">
        <v>16.7</v>
      </c>
      <c r="DE197" s="1">
        <v>20</v>
      </c>
      <c r="DF197" s="1">
        <v>9.1999999999999993</v>
      </c>
      <c r="DG197" s="1">
        <v>54.5</v>
      </c>
      <c r="DH197" s="1">
        <v>38</v>
      </c>
      <c r="DZ197" s="1">
        <v>13.2</v>
      </c>
      <c r="EA197" s="1">
        <v>18.399999999999999</v>
      </c>
      <c r="EB197" s="1">
        <v>7.6</v>
      </c>
      <c r="EC197" s="1">
        <v>0</v>
      </c>
    </row>
    <row r="198" spans="1:133" x14ac:dyDescent="0.2">
      <c r="A198" s="40">
        <v>35256</v>
      </c>
      <c r="B198" s="34">
        <v>192</v>
      </c>
      <c r="C198" s="34">
        <v>25.07</v>
      </c>
      <c r="D198" s="34">
        <v>48</v>
      </c>
      <c r="E198" s="34">
        <v>8.92</v>
      </c>
      <c r="F198" s="34">
        <v>73.7</v>
      </c>
      <c r="G198" s="34">
        <v>8.9499999999999993</v>
      </c>
      <c r="H198" s="34">
        <v>8.5500000000000007</v>
      </c>
      <c r="I198" s="34">
        <v>10.26</v>
      </c>
      <c r="J198" s="34">
        <v>9.58</v>
      </c>
      <c r="K198" s="34">
        <v>10.02</v>
      </c>
      <c r="L198" s="34">
        <v>10.37</v>
      </c>
      <c r="M198" s="34">
        <v>9.56</v>
      </c>
      <c r="N198" s="34">
        <v>7.94</v>
      </c>
      <c r="O198" s="34">
        <v>0</v>
      </c>
      <c r="P198" s="41">
        <v>2.3424999999999998</v>
      </c>
      <c r="Q198" s="34">
        <v>0</v>
      </c>
      <c r="R198" s="34">
        <v>14.48</v>
      </c>
      <c r="S198" s="34">
        <v>1711</v>
      </c>
      <c r="T198" s="34">
        <v>101.5</v>
      </c>
      <c r="U198" s="34">
        <v>538</v>
      </c>
      <c r="V198" s="34">
        <v>15.72</v>
      </c>
      <c r="W198" s="34">
        <v>17.87</v>
      </c>
      <c r="X198" s="34">
        <v>26.62</v>
      </c>
      <c r="Y198" s="34">
        <v>19.54</v>
      </c>
      <c r="Z198" s="34">
        <v>18.899999999999999</v>
      </c>
      <c r="AA198" s="34">
        <v>13.15</v>
      </c>
      <c r="AB198" s="34">
        <v>9.98</v>
      </c>
      <c r="AC198" s="34">
        <v>8.17</v>
      </c>
      <c r="AD198" s="41">
        <v>5.8608333333333329</v>
      </c>
      <c r="AE198" s="34">
        <v>1318</v>
      </c>
      <c r="AF198" s="34">
        <v>1.613</v>
      </c>
      <c r="AG198" s="34">
        <v>257</v>
      </c>
      <c r="AH198" s="34">
        <v>41.64</v>
      </c>
      <c r="AI198" s="34">
        <v>1734</v>
      </c>
      <c r="AJ198" s="34">
        <v>0.75600000000000001</v>
      </c>
      <c r="AK198" s="34">
        <v>-1.7000000000000001E-2</v>
      </c>
      <c r="AL198" s="34">
        <v>0.13800000000000001</v>
      </c>
      <c r="AM198" s="34">
        <v>7.0000000000000007E-2</v>
      </c>
      <c r="AN198" s="34">
        <v>0.19700000000000001</v>
      </c>
      <c r="AO198" s="34">
        <v>8.3000000000000007</v>
      </c>
      <c r="AP198" s="34">
        <v>9.33</v>
      </c>
      <c r="AQ198" s="34">
        <v>7.68</v>
      </c>
      <c r="AR198" s="34">
        <v>4.3999999999999997E-2</v>
      </c>
      <c r="AS198" s="34">
        <v>0.187</v>
      </c>
      <c r="AT198" s="34">
        <v>0.158</v>
      </c>
      <c r="AU198" s="34">
        <v>2.5999999999999999E-2</v>
      </c>
      <c r="AV198" s="34">
        <v>9.2999999999999999E-2</v>
      </c>
      <c r="AW198" s="34">
        <v>0.31</v>
      </c>
      <c r="AX198" s="34">
        <v>0.13400000000000001</v>
      </c>
      <c r="AY198" s="34">
        <v>4.7E-2</v>
      </c>
      <c r="AZ198" s="34">
        <v>9.34</v>
      </c>
      <c r="BA198" s="34">
        <v>3474</v>
      </c>
      <c r="BB198" s="34">
        <v>12.92</v>
      </c>
      <c r="BC198" s="34">
        <v>2876</v>
      </c>
      <c r="BD198" s="3"/>
      <c r="BE198" s="3"/>
      <c r="BF198" s="3"/>
      <c r="BH198" s="16">
        <v>32.17</v>
      </c>
      <c r="BI198" s="16">
        <f t="shared" si="35"/>
        <v>64.983400000000003</v>
      </c>
      <c r="BJ198" s="17">
        <f t="shared" si="74"/>
        <v>25.07</v>
      </c>
      <c r="BK198" s="17">
        <f t="shared" si="75"/>
        <v>50.37</v>
      </c>
      <c r="BM198" s="1">
        <f t="shared" si="76"/>
        <v>94.8</v>
      </c>
      <c r="BN198" s="1">
        <f t="shared" si="77"/>
        <v>69.099999999999994</v>
      </c>
      <c r="BO198" s="1">
        <f t="shared" si="78"/>
        <v>39.5</v>
      </c>
      <c r="BP198" s="56">
        <f t="shared" si="71"/>
        <v>0.65100000000000002</v>
      </c>
      <c r="BQ198" s="56">
        <f t="shared" si="72"/>
        <v>0.997</v>
      </c>
      <c r="BS198" s="3">
        <v>0</v>
      </c>
      <c r="BT198" s="8"/>
      <c r="BV198" s="16">
        <f t="shared" si="79"/>
        <v>25.07</v>
      </c>
      <c r="BW198" s="16">
        <f t="shared" si="80"/>
        <v>50.37</v>
      </c>
      <c r="BX198" s="3">
        <f t="shared" si="38"/>
        <v>8.9</v>
      </c>
      <c r="BY198" s="3">
        <f t="shared" si="81"/>
        <v>9</v>
      </c>
      <c r="BZ198" s="3">
        <f t="shared" si="82"/>
        <v>8.6</v>
      </c>
      <c r="CA198" s="3">
        <f t="shared" si="83"/>
        <v>10.3</v>
      </c>
      <c r="CB198" s="3">
        <f t="shared" si="84"/>
        <v>10.4</v>
      </c>
      <c r="CC198" s="3">
        <f t="shared" si="85"/>
        <v>9.6</v>
      </c>
      <c r="CD198" s="3">
        <f t="shared" si="86"/>
        <v>7.9</v>
      </c>
      <c r="CE198" s="23">
        <f t="shared" si="87"/>
        <v>69.099999999999994</v>
      </c>
      <c r="CF198" s="1">
        <f t="shared" si="39"/>
        <v>14.5</v>
      </c>
      <c r="CG198" s="1">
        <f t="shared" si="88"/>
        <v>15.7</v>
      </c>
      <c r="CH198" s="1">
        <f t="shared" si="89"/>
        <v>17.899999999999999</v>
      </c>
      <c r="CI198" s="1">
        <f t="shared" si="90"/>
        <v>26.6</v>
      </c>
      <c r="CJ198" s="1">
        <f t="shared" si="91"/>
        <v>13.2</v>
      </c>
      <c r="CK198" s="1">
        <f t="shared" si="92"/>
        <v>10</v>
      </c>
      <c r="CL198" s="1">
        <f t="shared" si="93"/>
        <v>8.1999999999999993</v>
      </c>
      <c r="CM198" s="2">
        <f t="shared" si="94"/>
        <v>94.8</v>
      </c>
      <c r="CN198" s="1">
        <f t="shared" si="40"/>
        <v>1.6</v>
      </c>
      <c r="CO198" s="1">
        <f t="shared" si="95"/>
        <v>0.8</v>
      </c>
      <c r="CP198" s="1">
        <f t="shared" si="96"/>
        <v>0</v>
      </c>
      <c r="CQ198" s="1">
        <f t="shared" si="97"/>
        <v>0.1</v>
      </c>
      <c r="CR198" s="1">
        <f t="shared" si="98"/>
        <v>8.3000000000000007</v>
      </c>
      <c r="CS198" s="1">
        <f t="shared" si="99"/>
        <v>9.3000000000000007</v>
      </c>
      <c r="CT198" s="1">
        <f t="shared" si="100"/>
        <v>7.7</v>
      </c>
      <c r="CU198" s="2">
        <f t="shared" si="73"/>
        <v>39.5</v>
      </c>
      <c r="CV198" s="18" t="s">
        <v>233</v>
      </c>
      <c r="CW198" s="1">
        <f>ROUND(PPTest!K198,1)</f>
        <v>0</v>
      </c>
      <c r="CX198" s="17">
        <f t="shared" si="101"/>
        <v>2.34</v>
      </c>
      <c r="CY198" s="17">
        <f t="shared" si="102"/>
        <v>5.86</v>
      </c>
      <c r="CZ198" s="20">
        <f t="shared" si="41"/>
        <v>0.65100000000000002</v>
      </c>
      <c r="DA198" s="20">
        <f t="shared" si="42"/>
        <v>0.997</v>
      </c>
      <c r="DB198" s="16">
        <f t="shared" si="103"/>
        <v>12.92</v>
      </c>
      <c r="DD198" s="1">
        <v>12.8</v>
      </c>
      <c r="DE198" s="1">
        <v>16.8</v>
      </c>
      <c r="DF198" s="1">
        <v>8.6</v>
      </c>
      <c r="DG198" s="1">
        <v>65.5</v>
      </c>
      <c r="DH198" s="1">
        <v>47</v>
      </c>
      <c r="DZ198" s="1">
        <v>10.1</v>
      </c>
      <c r="EA198" s="1">
        <v>16.100000000000001</v>
      </c>
      <c r="EB198" s="1">
        <v>2.8</v>
      </c>
      <c r="EC198" s="1">
        <v>0</v>
      </c>
    </row>
    <row r="199" spans="1:133" x14ac:dyDescent="0.2">
      <c r="A199" s="40">
        <v>35257</v>
      </c>
      <c r="B199" s="34">
        <v>193</v>
      </c>
      <c r="C199" s="34">
        <v>31.21</v>
      </c>
      <c r="D199" s="34">
        <v>59.45</v>
      </c>
      <c r="E199" s="34">
        <v>10.24</v>
      </c>
      <c r="F199" s="34">
        <v>63.9</v>
      </c>
      <c r="G199" s="34">
        <v>10.37</v>
      </c>
      <c r="H199" s="34">
        <v>9.7200000000000006</v>
      </c>
      <c r="I199" s="34">
        <v>11.07</v>
      </c>
      <c r="J199" s="34">
        <v>11.4</v>
      </c>
      <c r="K199" s="34">
        <v>11.65</v>
      </c>
      <c r="L199" s="34">
        <v>10.38</v>
      </c>
      <c r="M199" s="34">
        <v>9.25</v>
      </c>
      <c r="N199" s="34">
        <v>7.95</v>
      </c>
      <c r="O199" s="34">
        <v>0</v>
      </c>
      <c r="P199" s="41">
        <v>1.9308333333333334</v>
      </c>
      <c r="Q199" s="34">
        <v>0</v>
      </c>
      <c r="R199" s="34">
        <v>19.010000000000002</v>
      </c>
      <c r="S199" s="34">
        <v>1747</v>
      </c>
      <c r="T199" s="34">
        <v>98.8</v>
      </c>
      <c r="U199" s="34">
        <v>426</v>
      </c>
      <c r="V199" s="34">
        <v>18.97</v>
      </c>
      <c r="W199" s="34">
        <v>22.35</v>
      </c>
      <c r="X199" s="34">
        <v>26.71</v>
      </c>
      <c r="Y199" s="34">
        <v>23.25</v>
      </c>
      <c r="Z199" s="34">
        <v>24.63</v>
      </c>
      <c r="AA199" s="34">
        <v>14.03</v>
      </c>
      <c r="AB199" s="34">
        <v>9.6999999999999993</v>
      </c>
      <c r="AC199" s="34">
        <v>8.19</v>
      </c>
      <c r="AD199" s="41">
        <v>4.6741666666666664</v>
      </c>
      <c r="AE199" s="34">
        <v>1022</v>
      </c>
      <c r="AF199" s="34">
        <v>-0.20799999999999999</v>
      </c>
      <c r="AG199" s="34">
        <v>443</v>
      </c>
      <c r="AH199" s="34">
        <v>35.68</v>
      </c>
      <c r="AI199" s="34">
        <v>1435</v>
      </c>
      <c r="AJ199" s="34">
        <v>-1.1479999999999999</v>
      </c>
      <c r="AK199" s="34">
        <v>-1.762</v>
      </c>
      <c r="AL199" s="34">
        <v>-1.2849999999999999</v>
      </c>
      <c r="AM199" s="34">
        <v>-0.71699999999999997</v>
      </c>
      <c r="AN199" s="34">
        <v>-0.99299999999999999</v>
      </c>
      <c r="AO199" s="34">
        <v>7.09</v>
      </c>
      <c r="AP199" s="34">
        <v>8.8699999999999992</v>
      </c>
      <c r="AQ199" s="34">
        <v>7.64</v>
      </c>
      <c r="AR199" s="34">
        <v>9.6000000000000002E-2</v>
      </c>
      <c r="AS199" s="34">
        <v>0.313</v>
      </c>
      <c r="AT199" s="34">
        <v>0.191</v>
      </c>
      <c r="AU199" s="34">
        <v>3.3000000000000002E-2</v>
      </c>
      <c r="AV199" s="34">
        <v>5.8999999999999997E-2</v>
      </c>
      <c r="AW199" s="34">
        <v>0.11600000000000001</v>
      </c>
      <c r="AX199" s="34">
        <v>0.11</v>
      </c>
      <c r="AY199" s="34">
        <v>8.1000000000000003E-2</v>
      </c>
      <c r="AZ199" s="34">
        <v>10.57</v>
      </c>
      <c r="BA199" s="34">
        <v>3474</v>
      </c>
      <c r="BB199" s="34">
        <v>12.86</v>
      </c>
      <c r="BC199" s="34">
        <v>2876</v>
      </c>
      <c r="BD199" s="3"/>
      <c r="BE199" s="3"/>
      <c r="BF199" s="3"/>
      <c r="BH199" s="16">
        <v>32.08</v>
      </c>
      <c r="BI199" s="16">
        <f t="shared" ref="BI199:BI262" si="104">BH199*$BI$1</f>
        <v>64.801599999999993</v>
      </c>
      <c r="BJ199" s="17">
        <f t="shared" si="74"/>
        <v>31.21</v>
      </c>
      <c r="BK199" s="17">
        <f t="shared" si="75"/>
        <v>62.39</v>
      </c>
      <c r="BM199" s="1">
        <f t="shared" si="76"/>
        <v>92.3</v>
      </c>
      <c r="BN199" s="1">
        <f t="shared" si="77"/>
        <v>60</v>
      </c>
      <c r="BO199" s="1">
        <f t="shared" si="78"/>
        <v>34</v>
      </c>
      <c r="BP199" s="56">
        <f t="shared" si="71"/>
        <v>0.747</v>
      </c>
      <c r="BQ199" s="56">
        <f t="shared" si="72"/>
        <v>1.45</v>
      </c>
      <c r="BS199" s="3">
        <v>0</v>
      </c>
      <c r="BT199" s="8"/>
      <c r="BV199" s="16">
        <f t="shared" si="79"/>
        <v>31.21</v>
      </c>
      <c r="BW199" s="16">
        <f t="shared" si="80"/>
        <v>62.39</v>
      </c>
      <c r="BX199" s="3">
        <f t="shared" si="38"/>
        <v>10.199999999999999</v>
      </c>
      <c r="BY199" s="3">
        <f t="shared" si="81"/>
        <v>10.4</v>
      </c>
      <c r="BZ199" s="3">
        <f t="shared" si="82"/>
        <v>9.6999999999999993</v>
      </c>
      <c r="CA199" s="3">
        <f t="shared" si="83"/>
        <v>11.1</v>
      </c>
      <c r="CB199" s="3">
        <f t="shared" si="84"/>
        <v>10.4</v>
      </c>
      <c r="CC199" s="3">
        <f t="shared" si="85"/>
        <v>9.3000000000000007</v>
      </c>
      <c r="CD199" s="3">
        <f t="shared" si="86"/>
        <v>8</v>
      </c>
      <c r="CE199" s="23">
        <f t="shared" si="87"/>
        <v>60</v>
      </c>
      <c r="CF199" s="1">
        <f t="shared" si="39"/>
        <v>19</v>
      </c>
      <c r="CG199" s="1">
        <f t="shared" si="88"/>
        <v>19</v>
      </c>
      <c r="CH199" s="1">
        <f t="shared" si="89"/>
        <v>22.4</v>
      </c>
      <c r="CI199" s="1">
        <f t="shared" si="90"/>
        <v>26.7</v>
      </c>
      <c r="CJ199" s="1">
        <f t="shared" si="91"/>
        <v>14</v>
      </c>
      <c r="CK199" s="1">
        <f t="shared" si="92"/>
        <v>9.6999999999999993</v>
      </c>
      <c r="CL199" s="1">
        <f t="shared" si="93"/>
        <v>8.1999999999999993</v>
      </c>
      <c r="CM199" s="2">
        <f t="shared" si="94"/>
        <v>92.3</v>
      </c>
      <c r="CN199" s="1">
        <f t="shared" si="40"/>
        <v>-0.2</v>
      </c>
      <c r="CO199" s="1">
        <f t="shared" si="95"/>
        <v>-1.1000000000000001</v>
      </c>
      <c r="CP199" s="1">
        <f t="shared" si="96"/>
        <v>-1.8</v>
      </c>
      <c r="CQ199" s="1">
        <f t="shared" si="97"/>
        <v>-1.3</v>
      </c>
      <c r="CR199" s="1">
        <f t="shared" si="98"/>
        <v>7.1</v>
      </c>
      <c r="CS199" s="1">
        <f t="shared" si="99"/>
        <v>8.9</v>
      </c>
      <c r="CT199" s="1">
        <f t="shared" si="100"/>
        <v>7.6</v>
      </c>
      <c r="CU199" s="2">
        <f t="shared" si="73"/>
        <v>34</v>
      </c>
      <c r="CV199" s="18" t="s">
        <v>233</v>
      </c>
      <c r="CW199" s="1">
        <f>ROUND(PPTest!K199,1)</f>
        <v>0</v>
      </c>
      <c r="CX199" s="17">
        <f t="shared" si="101"/>
        <v>1.93</v>
      </c>
      <c r="CY199" s="17">
        <f t="shared" si="102"/>
        <v>4.67</v>
      </c>
      <c r="CZ199" s="20">
        <f t="shared" si="41"/>
        <v>0.747</v>
      </c>
      <c r="DA199" s="20">
        <f t="shared" si="42"/>
        <v>1.45</v>
      </c>
      <c r="DB199" s="16">
        <f t="shared" si="103"/>
        <v>12.86</v>
      </c>
      <c r="DD199" s="1">
        <v>15</v>
      </c>
      <c r="DE199" s="1">
        <v>21.1</v>
      </c>
      <c r="DF199" s="1">
        <v>7.4</v>
      </c>
      <c r="DG199" s="1">
        <v>51.3</v>
      </c>
      <c r="DH199" s="1">
        <v>40</v>
      </c>
      <c r="DR199" s="1" t="s">
        <v>166</v>
      </c>
      <c r="DZ199" s="1">
        <v>11.2</v>
      </c>
      <c r="EA199" s="1">
        <v>19.5</v>
      </c>
      <c r="EB199" s="1">
        <v>1.3</v>
      </c>
      <c r="EC199" s="1">
        <v>0</v>
      </c>
    </row>
    <row r="200" spans="1:133" x14ac:dyDescent="0.2">
      <c r="A200" s="40">
        <v>35258</v>
      </c>
      <c r="B200" s="34">
        <v>194</v>
      </c>
      <c r="C200" s="34">
        <v>31.02</v>
      </c>
      <c r="D200" s="34">
        <v>60.49</v>
      </c>
      <c r="E200" s="34">
        <v>13.95</v>
      </c>
      <c r="F200" s="34">
        <v>58.71</v>
      </c>
      <c r="G200" s="34">
        <v>14.03</v>
      </c>
      <c r="H200" s="34">
        <v>13.37</v>
      </c>
      <c r="I200" s="34">
        <v>14.06</v>
      </c>
      <c r="J200" s="34">
        <v>14.59</v>
      </c>
      <c r="K200" s="34">
        <v>15.05</v>
      </c>
      <c r="L200" s="34">
        <v>11.23</v>
      </c>
      <c r="M200" s="34">
        <v>9.41</v>
      </c>
      <c r="N200" s="34">
        <v>7.91</v>
      </c>
      <c r="O200" s="34">
        <v>0</v>
      </c>
      <c r="P200" s="41">
        <v>2.0441666666666665</v>
      </c>
      <c r="Q200" s="34">
        <v>0</v>
      </c>
      <c r="R200" s="34">
        <v>22.49</v>
      </c>
      <c r="S200" s="34">
        <v>1733</v>
      </c>
      <c r="T200" s="34">
        <v>99.3</v>
      </c>
      <c r="U200" s="34">
        <v>457</v>
      </c>
      <c r="V200" s="34">
        <v>23.7</v>
      </c>
      <c r="W200" s="34">
        <v>24.89</v>
      </c>
      <c r="X200" s="34">
        <v>31.37</v>
      </c>
      <c r="Y200" s="34">
        <v>25.83</v>
      </c>
      <c r="Z200" s="34">
        <v>26.39</v>
      </c>
      <c r="AA200" s="34">
        <v>14.91</v>
      </c>
      <c r="AB200" s="34">
        <v>10.029999999999999</v>
      </c>
      <c r="AC200" s="34">
        <v>8.1300000000000008</v>
      </c>
      <c r="AD200" s="41">
        <v>5.2074999999999996</v>
      </c>
      <c r="AE200" s="34">
        <v>1541</v>
      </c>
      <c r="AF200" s="34">
        <v>2.3839999999999999</v>
      </c>
      <c r="AG200" s="34">
        <v>312</v>
      </c>
      <c r="AH200" s="34">
        <v>26.47</v>
      </c>
      <c r="AI200" s="34">
        <v>1402</v>
      </c>
      <c r="AJ200" s="34">
        <v>1.591</v>
      </c>
      <c r="AK200" s="34">
        <v>1.004</v>
      </c>
      <c r="AL200" s="34">
        <v>1.2569999999999999</v>
      </c>
      <c r="AM200" s="34">
        <v>1.079</v>
      </c>
      <c r="AN200" s="34">
        <v>1.1379999999999999</v>
      </c>
      <c r="AO200" s="34">
        <v>7.82</v>
      </c>
      <c r="AP200" s="34">
        <v>9</v>
      </c>
      <c r="AQ200" s="34">
        <v>7.68</v>
      </c>
      <c r="AR200" s="34">
        <v>3.3000000000000002E-2</v>
      </c>
      <c r="AS200" s="34">
        <v>0.22800000000000001</v>
      </c>
      <c r="AT200" s="34">
        <v>0.17699999999999999</v>
      </c>
      <c r="AU200" s="34">
        <v>3.6999999999999998E-2</v>
      </c>
      <c r="AV200" s="34">
        <v>0.11700000000000001</v>
      </c>
      <c r="AW200" s="34">
        <v>0.216</v>
      </c>
      <c r="AX200" s="34">
        <v>0.122</v>
      </c>
      <c r="AY200" s="34">
        <v>6.9000000000000006E-2</v>
      </c>
      <c r="AZ200" s="34">
        <v>13.83</v>
      </c>
      <c r="BA200" s="34">
        <v>3474</v>
      </c>
      <c r="BB200" s="34">
        <v>12.81</v>
      </c>
      <c r="BC200" s="34">
        <v>2876</v>
      </c>
      <c r="BD200" s="3"/>
      <c r="BE200" s="3"/>
      <c r="BF200" s="3"/>
      <c r="BH200" s="16">
        <v>31.97</v>
      </c>
      <c r="BI200" s="16">
        <f t="shared" si="104"/>
        <v>64.579399999999993</v>
      </c>
      <c r="BJ200" s="17">
        <f t="shared" si="74"/>
        <v>31.02</v>
      </c>
      <c r="BK200" s="17">
        <f t="shared" si="75"/>
        <v>63.48</v>
      </c>
      <c r="BM200" s="1">
        <f t="shared" si="76"/>
        <v>92.8</v>
      </c>
      <c r="BN200" s="1">
        <f t="shared" si="77"/>
        <v>55.2</v>
      </c>
      <c r="BO200" s="1">
        <f t="shared" si="78"/>
        <v>25.5</v>
      </c>
      <c r="BP200" s="56">
        <f t="shared" si="71"/>
        <v>0.69399999999999995</v>
      </c>
      <c r="BQ200" s="56">
        <f t="shared" si="72"/>
        <v>2.028</v>
      </c>
      <c r="BS200" s="3">
        <v>0</v>
      </c>
      <c r="BT200" s="8"/>
      <c r="BV200" s="16">
        <f t="shared" ref="BV200:BV251" si="105">BJ200</f>
        <v>31.02</v>
      </c>
      <c r="BW200" s="16">
        <f t="shared" ref="BW200:BW251" si="106">BK200</f>
        <v>63.48</v>
      </c>
      <c r="BX200" s="3">
        <f t="shared" ref="BX200:BX263" si="107">ROUND(E200,1)</f>
        <v>14</v>
      </c>
      <c r="BY200" s="3">
        <f t="shared" si="81"/>
        <v>14</v>
      </c>
      <c r="BZ200" s="3">
        <f t="shared" si="82"/>
        <v>13.4</v>
      </c>
      <c r="CA200" s="3">
        <f t="shared" si="83"/>
        <v>14.1</v>
      </c>
      <c r="CB200" s="3">
        <f t="shared" si="84"/>
        <v>11.2</v>
      </c>
      <c r="CC200" s="3">
        <f t="shared" si="85"/>
        <v>9.4</v>
      </c>
      <c r="CD200" s="3">
        <f t="shared" si="86"/>
        <v>7.9</v>
      </c>
      <c r="CE200" s="23">
        <f t="shared" si="87"/>
        <v>55.2</v>
      </c>
      <c r="CF200" s="1">
        <f t="shared" ref="CF200:CF231" si="108">ROUND(R200,1)</f>
        <v>22.5</v>
      </c>
      <c r="CG200" s="1">
        <f t="shared" si="88"/>
        <v>23.7</v>
      </c>
      <c r="CH200" s="1">
        <f t="shared" si="89"/>
        <v>24.9</v>
      </c>
      <c r="CI200" s="1">
        <f t="shared" si="90"/>
        <v>31.4</v>
      </c>
      <c r="CJ200" s="1">
        <f t="shared" si="91"/>
        <v>14.9</v>
      </c>
      <c r="CK200" s="1">
        <f t="shared" si="92"/>
        <v>10</v>
      </c>
      <c r="CL200" s="1">
        <f t="shared" si="93"/>
        <v>8.1</v>
      </c>
      <c r="CM200" s="2">
        <f t="shared" si="94"/>
        <v>92.8</v>
      </c>
      <c r="CN200" s="1">
        <f t="shared" ref="CN200:CN231" si="109">ROUND(AF200,1)</f>
        <v>2.4</v>
      </c>
      <c r="CO200" s="1">
        <f t="shared" si="95"/>
        <v>1.6</v>
      </c>
      <c r="CP200" s="1">
        <f t="shared" si="96"/>
        <v>1</v>
      </c>
      <c r="CQ200" s="1">
        <f t="shared" si="97"/>
        <v>1.3</v>
      </c>
      <c r="CR200" s="1">
        <f t="shared" si="98"/>
        <v>7.8</v>
      </c>
      <c r="CS200" s="1">
        <f t="shared" si="99"/>
        <v>9</v>
      </c>
      <c r="CT200" s="1">
        <f t="shared" si="100"/>
        <v>7.7</v>
      </c>
      <c r="CU200" s="2">
        <f t="shared" si="73"/>
        <v>25.5</v>
      </c>
      <c r="CV200" s="18" t="s">
        <v>233</v>
      </c>
      <c r="CW200" s="1">
        <f>ROUND(PPTest!K200,1)</f>
        <v>0</v>
      </c>
      <c r="CX200" s="17">
        <f t="shared" si="101"/>
        <v>2.04</v>
      </c>
      <c r="CY200" s="17">
        <f t="shared" si="102"/>
        <v>5.21</v>
      </c>
      <c r="CZ200" s="20">
        <f t="shared" ref="CZ200:CZ263" si="110">BP200</f>
        <v>0.69399999999999995</v>
      </c>
      <c r="DA200" s="20">
        <f t="shared" ref="DA200:DA263" si="111">BQ200</f>
        <v>2.028</v>
      </c>
      <c r="DB200" s="16">
        <f t="shared" si="103"/>
        <v>12.81</v>
      </c>
      <c r="DD200" s="1">
        <v>18.8</v>
      </c>
      <c r="DE200" s="1">
        <v>24.7</v>
      </c>
      <c r="DF200" s="1">
        <v>12.3</v>
      </c>
      <c r="DG200" s="1">
        <v>45.4</v>
      </c>
      <c r="DH200" s="1">
        <v>32</v>
      </c>
      <c r="DZ200" s="1">
        <v>15.3</v>
      </c>
      <c r="EA200" s="1">
        <v>23.8</v>
      </c>
      <c r="EB200" s="1">
        <v>3.6</v>
      </c>
      <c r="EC200" s="1">
        <v>0</v>
      </c>
    </row>
    <row r="201" spans="1:133" x14ac:dyDescent="0.2">
      <c r="A201" s="40">
        <v>35259</v>
      </c>
      <c r="B201" s="34">
        <v>195</v>
      </c>
      <c r="C201" s="34">
        <v>31.59</v>
      </c>
      <c r="D201" s="34">
        <v>61.57</v>
      </c>
      <c r="E201" s="34">
        <v>15.03</v>
      </c>
      <c r="F201" s="34">
        <v>53.32</v>
      </c>
      <c r="G201" s="34">
        <v>15.09</v>
      </c>
      <c r="H201" s="34">
        <v>14.21</v>
      </c>
      <c r="I201" s="34">
        <v>14.31</v>
      </c>
      <c r="J201" s="34">
        <v>15.68</v>
      </c>
      <c r="K201" s="34">
        <v>16.13</v>
      </c>
      <c r="L201" s="34">
        <v>11.76</v>
      </c>
      <c r="M201" s="34">
        <v>9.76</v>
      </c>
      <c r="N201" s="34">
        <v>7.91</v>
      </c>
      <c r="O201" s="34">
        <v>0</v>
      </c>
      <c r="P201" s="41">
        <v>2.0458333333333334</v>
      </c>
      <c r="Q201" s="34">
        <v>0</v>
      </c>
      <c r="R201" s="34">
        <v>22.5</v>
      </c>
      <c r="S201" s="34">
        <v>1647</v>
      </c>
      <c r="T201" s="34">
        <v>89.8</v>
      </c>
      <c r="U201" s="34">
        <v>442</v>
      </c>
      <c r="V201" s="34">
        <v>23.19</v>
      </c>
      <c r="W201" s="34">
        <v>25.3</v>
      </c>
      <c r="X201" s="34">
        <v>30.96</v>
      </c>
      <c r="Y201" s="34">
        <v>26.76</v>
      </c>
      <c r="Z201" s="34">
        <v>27.35</v>
      </c>
      <c r="AA201" s="34">
        <v>15.19</v>
      </c>
      <c r="AB201" s="34">
        <v>10.3</v>
      </c>
      <c r="AC201" s="34">
        <v>8.14</v>
      </c>
      <c r="AD201" s="41">
        <v>4.7941666666666674</v>
      </c>
      <c r="AE201" s="34">
        <v>1537</v>
      </c>
      <c r="AF201" s="34">
        <v>5.0999999999999996</v>
      </c>
      <c r="AG201" s="34">
        <v>442</v>
      </c>
      <c r="AH201" s="34">
        <v>26.06</v>
      </c>
      <c r="AI201" s="34">
        <v>1648</v>
      </c>
      <c r="AJ201" s="34">
        <v>4.0650000000000004</v>
      </c>
      <c r="AK201" s="34">
        <v>3.2149999999999999</v>
      </c>
      <c r="AL201" s="34">
        <v>2.2050000000000001</v>
      </c>
      <c r="AM201" s="34">
        <v>3.4449999999999998</v>
      </c>
      <c r="AN201" s="34">
        <v>3.7320000000000002</v>
      </c>
      <c r="AO201" s="34">
        <v>8.6999999999999993</v>
      </c>
      <c r="AP201" s="34">
        <v>9.35</v>
      </c>
      <c r="AQ201" s="34">
        <v>7.69</v>
      </c>
      <c r="AR201" s="34">
        <v>7.8E-2</v>
      </c>
      <c r="AS201" s="34">
        <v>0.26200000000000001</v>
      </c>
      <c r="AT201" s="34">
        <v>0.14499999999999999</v>
      </c>
      <c r="AU201" s="34">
        <v>2.4E-2</v>
      </c>
      <c r="AV201" s="34">
        <v>0.09</v>
      </c>
      <c r="AW201" s="34">
        <v>0.21199999999999999</v>
      </c>
      <c r="AX201" s="34">
        <v>0.105</v>
      </c>
      <c r="AY201" s="34">
        <v>8.4000000000000005E-2</v>
      </c>
      <c r="AZ201" s="34">
        <v>14.84</v>
      </c>
      <c r="BA201" s="34">
        <v>3474</v>
      </c>
      <c r="BB201" s="34">
        <v>12.8</v>
      </c>
      <c r="BC201" s="34">
        <v>2876</v>
      </c>
      <c r="BD201" s="3"/>
      <c r="BE201" s="3"/>
      <c r="BF201" s="3"/>
      <c r="BH201" s="16">
        <v>31.87</v>
      </c>
      <c r="BI201" s="16">
        <f t="shared" si="104"/>
        <v>64.377400000000009</v>
      </c>
      <c r="BJ201" s="17">
        <f t="shared" si="74"/>
        <v>31.59</v>
      </c>
      <c r="BK201" s="17">
        <f t="shared" si="75"/>
        <v>64.61</v>
      </c>
      <c r="BM201" s="1">
        <f t="shared" si="76"/>
        <v>84</v>
      </c>
      <c r="BN201" s="1">
        <f t="shared" si="77"/>
        <v>50.3</v>
      </c>
      <c r="BO201" s="1">
        <f t="shared" si="78"/>
        <v>25.1</v>
      </c>
      <c r="BP201" s="56">
        <f t="shared" si="71"/>
        <v>0.68400000000000005</v>
      </c>
      <c r="BQ201" s="56">
        <f t="shared" si="72"/>
        <v>2.0409999999999999</v>
      </c>
      <c r="BS201" s="3">
        <v>0</v>
      </c>
      <c r="BT201" s="8"/>
      <c r="BV201" s="16">
        <f t="shared" si="105"/>
        <v>31.59</v>
      </c>
      <c r="BW201" s="16">
        <f t="shared" si="106"/>
        <v>64.61</v>
      </c>
      <c r="BX201" s="3">
        <f t="shared" si="107"/>
        <v>15</v>
      </c>
      <c r="BY201" s="3">
        <f t="shared" si="81"/>
        <v>15.1</v>
      </c>
      <c r="BZ201" s="3">
        <f t="shared" si="82"/>
        <v>14.2</v>
      </c>
      <c r="CA201" s="3">
        <f t="shared" si="83"/>
        <v>14.3</v>
      </c>
      <c r="CB201" s="3">
        <f t="shared" si="84"/>
        <v>11.8</v>
      </c>
      <c r="CC201" s="3">
        <f t="shared" si="85"/>
        <v>9.8000000000000007</v>
      </c>
      <c r="CD201" s="3">
        <f t="shared" si="86"/>
        <v>7.9</v>
      </c>
      <c r="CE201" s="23">
        <f t="shared" si="87"/>
        <v>50.3</v>
      </c>
      <c r="CF201" s="1">
        <f t="shared" si="108"/>
        <v>22.5</v>
      </c>
      <c r="CG201" s="1">
        <f t="shared" si="88"/>
        <v>23.2</v>
      </c>
      <c r="CH201" s="1">
        <f t="shared" si="89"/>
        <v>25.3</v>
      </c>
      <c r="CI201" s="1">
        <f t="shared" si="90"/>
        <v>31</v>
      </c>
      <c r="CJ201" s="1">
        <f t="shared" si="91"/>
        <v>15.2</v>
      </c>
      <c r="CK201" s="1">
        <f t="shared" si="92"/>
        <v>10.3</v>
      </c>
      <c r="CL201" s="1">
        <f t="shared" si="93"/>
        <v>8.1</v>
      </c>
      <c r="CM201" s="2">
        <f t="shared" si="94"/>
        <v>84</v>
      </c>
      <c r="CN201" s="1">
        <f t="shared" si="109"/>
        <v>5.0999999999999996</v>
      </c>
      <c r="CO201" s="1">
        <f t="shared" si="95"/>
        <v>4.0999999999999996</v>
      </c>
      <c r="CP201" s="1">
        <f t="shared" si="96"/>
        <v>3.2</v>
      </c>
      <c r="CQ201" s="1">
        <f t="shared" si="97"/>
        <v>2.2000000000000002</v>
      </c>
      <c r="CR201" s="1">
        <f t="shared" si="98"/>
        <v>8.6999999999999993</v>
      </c>
      <c r="CS201" s="1">
        <f t="shared" si="99"/>
        <v>9.4</v>
      </c>
      <c r="CT201" s="1">
        <f t="shared" si="100"/>
        <v>7.7</v>
      </c>
      <c r="CU201" s="2">
        <f t="shared" si="73"/>
        <v>25.1</v>
      </c>
      <c r="CV201" s="18" t="s">
        <v>233</v>
      </c>
      <c r="CW201" s="1">
        <f>ROUND(PPTest!K201,1)</f>
        <v>0</v>
      </c>
      <c r="CX201" s="17">
        <f t="shared" si="101"/>
        <v>2.0499999999999998</v>
      </c>
      <c r="CY201" s="17">
        <f t="shared" si="102"/>
        <v>4.79</v>
      </c>
      <c r="CZ201" s="20">
        <f t="shared" si="110"/>
        <v>0.68400000000000005</v>
      </c>
      <c r="DA201" s="20">
        <f t="shared" si="111"/>
        <v>2.0409999999999999</v>
      </c>
      <c r="DB201" s="16">
        <f t="shared" si="103"/>
        <v>12.8</v>
      </c>
      <c r="DD201" s="1">
        <v>19.8</v>
      </c>
      <c r="DE201" s="1">
        <v>25.4</v>
      </c>
      <c r="DF201" s="1">
        <v>13.6</v>
      </c>
      <c r="DG201" s="1">
        <v>38.700000000000003</v>
      </c>
      <c r="DH201" s="1">
        <v>28</v>
      </c>
      <c r="DZ201" s="1">
        <v>16.600000000000001</v>
      </c>
      <c r="EA201" s="1">
        <v>24.2</v>
      </c>
      <c r="EB201" s="1">
        <v>7.7</v>
      </c>
      <c r="EC201" s="1">
        <v>0</v>
      </c>
    </row>
    <row r="202" spans="1:133" x14ac:dyDescent="0.2">
      <c r="A202" s="40">
        <v>35260</v>
      </c>
      <c r="B202" s="34">
        <v>196</v>
      </c>
      <c r="C202" s="34">
        <v>31.17</v>
      </c>
      <c r="D202" s="34">
        <v>61.16</v>
      </c>
      <c r="E202" s="34">
        <v>15.76</v>
      </c>
      <c r="F202" s="34">
        <v>56.4</v>
      </c>
      <c r="G202" s="34">
        <v>15.87</v>
      </c>
      <c r="H202" s="34">
        <v>15.13</v>
      </c>
      <c r="I202" s="34">
        <v>15.74</v>
      </c>
      <c r="J202" s="34">
        <v>16.71</v>
      </c>
      <c r="K202" s="34">
        <v>17.03</v>
      </c>
      <c r="L202" s="34">
        <v>12.06</v>
      </c>
      <c r="M202" s="34">
        <v>9.9600000000000009</v>
      </c>
      <c r="N202" s="34">
        <v>7.94</v>
      </c>
      <c r="O202" s="34">
        <v>0</v>
      </c>
      <c r="P202" s="41">
        <v>2.1391666666666667</v>
      </c>
      <c r="Q202" s="34">
        <v>0</v>
      </c>
      <c r="R202" s="34">
        <v>23.71</v>
      </c>
      <c r="S202" s="34">
        <v>1650</v>
      </c>
      <c r="T202" s="34">
        <v>93.6</v>
      </c>
      <c r="U202" s="34">
        <v>439</v>
      </c>
      <c r="V202" s="34">
        <v>24.91</v>
      </c>
      <c r="W202" s="34">
        <v>26.75</v>
      </c>
      <c r="X202" s="34">
        <v>32.43</v>
      </c>
      <c r="Y202" s="34">
        <v>28.15</v>
      </c>
      <c r="Z202" s="34">
        <v>29.14</v>
      </c>
      <c r="AA202" s="34">
        <v>15.51</v>
      </c>
      <c r="AB202" s="34">
        <v>10.53</v>
      </c>
      <c r="AC202" s="34">
        <v>8.16</v>
      </c>
      <c r="AD202" s="41">
        <v>5.2341666666666669</v>
      </c>
      <c r="AE202" s="34">
        <v>1444</v>
      </c>
      <c r="AF202" s="34">
        <v>4.3479999999999999</v>
      </c>
      <c r="AG202" s="34">
        <v>433</v>
      </c>
      <c r="AH202" s="34">
        <v>28.97</v>
      </c>
      <c r="AI202" s="34">
        <v>1248</v>
      </c>
      <c r="AJ202" s="34">
        <v>3.5379999999999998</v>
      </c>
      <c r="AK202" s="34">
        <v>2.964</v>
      </c>
      <c r="AL202" s="34">
        <v>2.9460000000000002</v>
      </c>
      <c r="AM202" s="34">
        <v>3.0230000000000001</v>
      </c>
      <c r="AN202" s="34">
        <v>3.141</v>
      </c>
      <c r="AO202" s="34">
        <v>8.83</v>
      </c>
      <c r="AP202" s="34">
        <v>9.5299999999999994</v>
      </c>
      <c r="AQ202" s="34">
        <v>7.71</v>
      </c>
      <c r="AR202" s="34">
        <v>5.2999999999999999E-2</v>
      </c>
      <c r="AS202" s="34">
        <v>0.315</v>
      </c>
      <c r="AT202" s="34">
        <v>0.20100000000000001</v>
      </c>
      <c r="AU202" s="34">
        <v>1.0999999999999999E-2</v>
      </c>
      <c r="AV202" s="34">
        <v>7.0999999999999994E-2</v>
      </c>
      <c r="AW202" s="34">
        <v>0.14299999999999999</v>
      </c>
      <c r="AX202" s="34">
        <v>0.11700000000000001</v>
      </c>
      <c r="AY202" s="34">
        <v>8.8999999999999996E-2</v>
      </c>
      <c r="AZ202" s="34">
        <v>15.82</v>
      </c>
      <c r="BA202" s="34">
        <v>3474</v>
      </c>
      <c r="BB202" s="34">
        <v>12.78</v>
      </c>
      <c r="BC202" s="34">
        <v>2876</v>
      </c>
      <c r="BD202" s="3"/>
      <c r="BE202" s="3"/>
      <c r="BF202" s="3"/>
      <c r="BH202" s="16">
        <v>31.77</v>
      </c>
      <c r="BI202" s="16">
        <f t="shared" si="104"/>
        <v>64.175399999999996</v>
      </c>
      <c r="BJ202" s="17">
        <f t="shared" si="74"/>
        <v>31.17</v>
      </c>
      <c r="BK202" s="17">
        <f t="shared" si="75"/>
        <v>64.180000000000007</v>
      </c>
      <c r="BM202" s="1">
        <f t="shared" si="76"/>
        <v>87.5</v>
      </c>
      <c r="BN202" s="1">
        <f t="shared" si="77"/>
        <v>53.1</v>
      </c>
      <c r="BO202" s="1">
        <f t="shared" si="78"/>
        <v>27.8</v>
      </c>
      <c r="BP202" s="56">
        <f t="shared" si="71"/>
        <v>0.81499999999999995</v>
      </c>
      <c r="BQ202" s="56">
        <f t="shared" si="72"/>
        <v>2.117</v>
      </c>
      <c r="BS202" s="3">
        <v>0</v>
      </c>
      <c r="BT202" s="8"/>
      <c r="BV202" s="16">
        <f t="shared" si="105"/>
        <v>31.17</v>
      </c>
      <c r="BW202" s="16">
        <f t="shared" si="106"/>
        <v>64.180000000000007</v>
      </c>
      <c r="BX202" s="3">
        <f t="shared" si="107"/>
        <v>15.8</v>
      </c>
      <c r="BY202" s="3">
        <f t="shared" si="81"/>
        <v>15.9</v>
      </c>
      <c r="BZ202" s="3">
        <f t="shared" si="82"/>
        <v>15.1</v>
      </c>
      <c r="CA202" s="3">
        <f t="shared" si="83"/>
        <v>15.7</v>
      </c>
      <c r="CB202" s="3">
        <f t="shared" si="84"/>
        <v>12.1</v>
      </c>
      <c r="CC202" s="3">
        <f t="shared" si="85"/>
        <v>10</v>
      </c>
      <c r="CD202" s="3">
        <f t="shared" si="86"/>
        <v>7.9</v>
      </c>
      <c r="CE202" s="23">
        <f t="shared" si="87"/>
        <v>53.1</v>
      </c>
      <c r="CF202" s="1">
        <f t="shared" si="108"/>
        <v>23.7</v>
      </c>
      <c r="CG202" s="1">
        <f t="shared" si="88"/>
        <v>24.9</v>
      </c>
      <c r="CH202" s="1">
        <f t="shared" si="89"/>
        <v>26.8</v>
      </c>
      <c r="CI202" s="1">
        <f t="shared" si="90"/>
        <v>32.4</v>
      </c>
      <c r="CJ202" s="1">
        <f t="shared" si="91"/>
        <v>15.5</v>
      </c>
      <c r="CK202" s="1">
        <f t="shared" si="92"/>
        <v>10.5</v>
      </c>
      <c r="CL202" s="1">
        <f t="shared" si="93"/>
        <v>8.1999999999999993</v>
      </c>
      <c r="CM202" s="2">
        <f t="shared" si="94"/>
        <v>87.5</v>
      </c>
      <c r="CN202" s="1">
        <f t="shared" si="109"/>
        <v>4.3</v>
      </c>
      <c r="CO202" s="1">
        <f t="shared" si="95"/>
        <v>3.5</v>
      </c>
      <c r="CP202" s="1">
        <f t="shared" si="96"/>
        <v>3</v>
      </c>
      <c r="CQ202" s="1">
        <f t="shared" si="97"/>
        <v>2.9</v>
      </c>
      <c r="CR202" s="1">
        <f t="shared" si="98"/>
        <v>8.8000000000000007</v>
      </c>
      <c r="CS202" s="1">
        <f t="shared" si="99"/>
        <v>9.5</v>
      </c>
      <c r="CT202" s="1">
        <f t="shared" si="100"/>
        <v>7.7</v>
      </c>
      <c r="CU202" s="2">
        <f t="shared" si="73"/>
        <v>27.8</v>
      </c>
      <c r="CV202" s="18" t="s">
        <v>233</v>
      </c>
      <c r="CW202" s="1">
        <f>ROUND(PPTest!K202,1)</f>
        <v>0</v>
      </c>
      <c r="CX202" s="17">
        <f t="shared" si="101"/>
        <v>2.14</v>
      </c>
      <c r="CY202" s="17">
        <f t="shared" si="102"/>
        <v>5.23</v>
      </c>
      <c r="CZ202" s="20">
        <f t="shared" si="110"/>
        <v>0.81499999999999995</v>
      </c>
      <c r="DA202" s="20">
        <f t="shared" si="111"/>
        <v>2.117</v>
      </c>
      <c r="DB202" s="16">
        <f t="shared" si="103"/>
        <v>12.78</v>
      </c>
      <c r="DD202" s="1">
        <v>21.4</v>
      </c>
      <c r="DE202" s="1">
        <v>26.7</v>
      </c>
      <c r="DF202" s="1">
        <v>15.5</v>
      </c>
      <c r="DG202" s="1">
        <v>38.700000000000003</v>
      </c>
      <c r="DH202" s="1">
        <v>33</v>
      </c>
      <c r="DZ202" s="1">
        <v>18.2</v>
      </c>
      <c r="EA202" s="1">
        <v>26.8</v>
      </c>
      <c r="EB202" s="1">
        <v>7.5</v>
      </c>
      <c r="EC202" s="1">
        <v>0</v>
      </c>
    </row>
    <row r="203" spans="1:133" x14ac:dyDescent="0.2">
      <c r="A203" s="40">
        <v>35261</v>
      </c>
      <c r="B203" s="34">
        <v>197</v>
      </c>
      <c r="C203" s="34">
        <v>31.43</v>
      </c>
      <c r="D203" s="34">
        <v>61.68</v>
      </c>
      <c r="E203" s="34">
        <v>16.7</v>
      </c>
      <c r="F203" s="34">
        <v>55.28</v>
      </c>
      <c r="G203" s="34">
        <v>16.89</v>
      </c>
      <c r="H203" s="34">
        <v>16.28</v>
      </c>
      <c r="I203" s="34">
        <v>16.48</v>
      </c>
      <c r="J203" s="34">
        <v>17.600000000000001</v>
      </c>
      <c r="K203" s="34">
        <v>17.87</v>
      </c>
      <c r="L203" s="34">
        <v>12.52</v>
      </c>
      <c r="M203" s="34">
        <v>10.26</v>
      </c>
      <c r="N203" s="34">
        <v>8.0299999999999994</v>
      </c>
      <c r="O203" s="34">
        <v>0</v>
      </c>
      <c r="P203" s="41">
        <v>2.4674999999999998</v>
      </c>
      <c r="Q203" s="34">
        <v>0</v>
      </c>
      <c r="R203" s="34">
        <v>24.19</v>
      </c>
      <c r="S203" s="34">
        <v>1523</v>
      </c>
      <c r="T203" s="34">
        <v>95</v>
      </c>
      <c r="U203" s="34">
        <v>441</v>
      </c>
      <c r="V203" s="34">
        <v>25.08</v>
      </c>
      <c r="W203" s="34">
        <v>27</v>
      </c>
      <c r="X203" s="34">
        <v>32.4</v>
      </c>
      <c r="Y203" s="34">
        <v>28.93</v>
      </c>
      <c r="Z203" s="34">
        <v>27.96</v>
      </c>
      <c r="AA203" s="34">
        <v>15.97</v>
      </c>
      <c r="AB203" s="34">
        <v>10.86</v>
      </c>
      <c r="AC203" s="34">
        <v>8.23</v>
      </c>
      <c r="AD203" s="41">
        <v>5.8475000000000001</v>
      </c>
      <c r="AE203" s="34">
        <v>1413</v>
      </c>
      <c r="AF203" s="34">
        <v>6.3019999999999996</v>
      </c>
      <c r="AG203" s="34">
        <v>440</v>
      </c>
      <c r="AH203" s="34">
        <v>27.22</v>
      </c>
      <c r="AI203" s="34">
        <v>1856</v>
      </c>
      <c r="AJ203" s="34">
        <v>5.4690000000000003</v>
      </c>
      <c r="AK203" s="34">
        <v>4.774</v>
      </c>
      <c r="AL203" s="34">
        <v>4.5720000000000001</v>
      </c>
      <c r="AM203" s="34">
        <v>4.8419999999999996</v>
      </c>
      <c r="AN203" s="34">
        <v>5.0389999999999997</v>
      </c>
      <c r="AO203" s="34">
        <v>9.5299999999999994</v>
      </c>
      <c r="AP203" s="34">
        <v>9.85</v>
      </c>
      <c r="AQ203" s="34">
        <v>7.81</v>
      </c>
      <c r="AR203" s="34">
        <v>1.2E-2</v>
      </c>
      <c r="AS203" s="34">
        <v>0.16600000000000001</v>
      </c>
      <c r="AT203" s="34">
        <v>0.187</v>
      </c>
      <c r="AU203" s="34">
        <v>2.4E-2</v>
      </c>
      <c r="AV203" s="34">
        <v>0.10299999999999999</v>
      </c>
      <c r="AW203" s="34">
        <v>0.318</v>
      </c>
      <c r="AX203" s="34">
        <v>0.16300000000000001</v>
      </c>
      <c r="AY203" s="34">
        <v>2.5999999999999999E-2</v>
      </c>
      <c r="AZ203" s="34">
        <v>16.809999999999999</v>
      </c>
      <c r="BA203" s="34">
        <v>3474</v>
      </c>
      <c r="BB203" s="34">
        <v>12.77</v>
      </c>
      <c r="BC203" s="34">
        <v>2876</v>
      </c>
      <c r="BD203" s="3"/>
      <c r="BE203" s="3"/>
      <c r="BF203" s="3"/>
      <c r="BH203" s="16">
        <v>31.65</v>
      </c>
      <c r="BI203" s="16">
        <f t="shared" si="104"/>
        <v>63.933</v>
      </c>
      <c r="BJ203" s="17">
        <f t="shared" si="74"/>
        <v>31.43</v>
      </c>
      <c r="BK203" s="17">
        <f t="shared" si="75"/>
        <v>64.73</v>
      </c>
      <c r="BM203" s="1">
        <f t="shared" si="76"/>
        <v>88.8</v>
      </c>
      <c r="BN203" s="1">
        <f t="shared" si="77"/>
        <v>52.1</v>
      </c>
      <c r="BO203" s="1">
        <f t="shared" si="78"/>
        <v>26.2</v>
      </c>
      <c r="BP203" s="56">
        <f t="shared" si="71"/>
        <v>0.79100000000000004</v>
      </c>
      <c r="BQ203" s="56">
        <f t="shared" si="72"/>
        <v>2.2280000000000002</v>
      </c>
      <c r="BS203" s="3">
        <v>0</v>
      </c>
      <c r="BT203" s="8"/>
      <c r="BV203" s="16">
        <f t="shared" si="105"/>
        <v>31.43</v>
      </c>
      <c r="BW203" s="16">
        <f t="shared" si="106"/>
        <v>64.73</v>
      </c>
      <c r="BX203" s="3">
        <f t="shared" si="107"/>
        <v>16.7</v>
      </c>
      <c r="BY203" s="3">
        <f t="shared" si="81"/>
        <v>16.899999999999999</v>
      </c>
      <c r="BZ203" s="3">
        <f t="shared" si="82"/>
        <v>16.3</v>
      </c>
      <c r="CA203" s="3">
        <f t="shared" si="83"/>
        <v>16.5</v>
      </c>
      <c r="CB203" s="3">
        <f t="shared" si="84"/>
        <v>12.5</v>
      </c>
      <c r="CC203" s="3">
        <f t="shared" si="85"/>
        <v>10.3</v>
      </c>
      <c r="CD203" s="3">
        <f t="shared" si="86"/>
        <v>8</v>
      </c>
      <c r="CE203" s="23">
        <f t="shared" si="87"/>
        <v>52.1</v>
      </c>
      <c r="CF203" s="1">
        <f t="shared" si="108"/>
        <v>24.2</v>
      </c>
      <c r="CG203" s="1">
        <f t="shared" si="88"/>
        <v>25.1</v>
      </c>
      <c r="CH203" s="1">
        <f t="shared" si="89"/>
        <v>27</v>
      </c>
      <c r="CI203" s="1">
        <f t="shared" si="90"/>
        <v>32.4</v>
      </c>
      <c r="CJ203" s="1">
        <f t="shared" si="91"/>
        <v>16</v>
      </c>
      <c r="CK203" s="1">
        <f t="shared" si="92"/>
        <v>10.9</v>
      </c>
      <c r="CL203" s="1">
        <f t="shared" si="93"/>
        <v>8.1999999999999993</v>
      </c>
      <c r="CM203" s="2">
        <f t="shared" si="94"/>
        <v>88.8</v>
      </c>
      <c r="CN203" s="1">
        <f t="shared" si="109"/>
        <v>6.3</v>
      </c>
      <c r="CO203" s="1">
        <f t="shared" si="95"/>
        <v>5.5</v>
      </c>
      <c r="CP203" s="1">
        <f t="shared" si="96"/>
        <v>4.8</v>
      </c>
      <c r="CQ203" s="1">
        <f t="shared" si="97"/>
        <v>4.5999999999999996</v>
      </c>
      <c r="CR203" s="1">
        <f t="shared" si="98"/>
        <v>9.5</v>
      </c>
      <c r="CS203" s="1">
        <f t="shared" si="99"/>
        <v>9.9</v>
      </c>
      <c r="CT203" s="1">
        <f t="shared" si="100"/>
        <v>7.8</v>
      </c>
      <c r="CU203" s="2">
        <f t="shared" si="73"/>
        <v>26.2</v>
      </c>
      <c r="CV203" s="18" t="s">
        <v>233</v>
      </c>
      <c r="CW203" s="1">
        <f>ROUND(PPTest!K203,1)</f>
        <v>0</v>
      </c>
      <c r="CX203" s="17">
        <f t="shared" si="101"/>
        <v>2.4700000000000002</v>
      </c>
      <c r="CY203" s="17">
        <f t="shared" si="102"/>
        <v>5.85</v>
      </c>
      <c r="CZ203" s="20">
        <f t="shared" si="110"/>
        <v>0.79100000000000004</v>
      </c>
      <c r="DA203" s="20">
        <f t="shared" si="111"/>
        <v>2.2280000000000002</v>
      </c>
      <c r="DB203" s="16">
        <f t="shared" si="103"/>
        <v>12.77</v>
      </c>
      <c r="DD203" s="1">
        <v>21.3</v>
      </c>
      <c r="DE203" s="1">
        <v>26.8</v>
      </c>
      <c r="DF203" s="1">
        <v>16.2</v>
      </c>
      <c r="DG203" s="1">
        <v>41.6</v>
      </c>
      <c r="DH203" s="1">
        <v>33</v>
      </c>
      <c r="DZ203" s="1">
        <v>18.600000000000001</v>
      </c>
      <c r="EA203" s="1">
        <v>25.8</v>
      </c>
      <c r="EB203" s="1">
        <v>10.199999999999999</v>
      </c>
      <c r="EC203" s="1">
        <v>0</v>
      </c>
    </row>
    <row r="204" spans="1:133" x14ac:dyDescent="0.2">
      <c r="A204" s="40">
        <v>35262</v>
      </c>
      <c r="B204" s="34">
        <v>198</v>
      </c>
      <c r="C204" s="34">
        <v>15.45</v>
      </c>
      <c r="D204" s="34">
        <v>31.24</v>
      </c>
      <c r="E204" s="34">
        <v>12.54</v>
      </c>
      <c r="F204" s="34">
        <v>63.97</v>
      </c>
      <c r="G204" s="34">
        <v>12.24</v>
      </c>
      <c r="H204" s="34">
        <v>11.86</v>
      </c>
      <c r="I204" s="34">
        <v>12.65</v>
      </c>
      <c r="J204" s="34">
        <v>12.31</v>
      </c>
      <c r="K204" s="34">
        <v>12.68</v>
      </c>
      <c r="L204" s="34">
        <v>11.36</v>
      </c>
      <c r="M204" s="34">
        <v>10.37</v>
      </c>
      <c r="N204" s="34">
        <v>8.17</v>
      </c>
      <c r="O204" s="34">
        <v>0</v>
      </c>
      <c r="P204" s="41">
        <v>1.9558333333333335</v>
      </c>
      <c r="Q204" s="34">
        <v>0</v>
      </c>
      <c r="R204" s="34">
        <v>16.28</v>
      </c>
      <c r="S204" s="34">
        <v>1621</v>
      </c>
      <c r="T204" s="34">
        <v>86.2</v>
      </c>
      <c r="U204" s="34">
        <v>2355</v>
      </c>
      <c r="V204" s="34">
        <v>16.920000000000002</v>
      </c>
      <c r="W204" s="34">
        <v>18.47</v>
      </c>
      <c r="X204" s="34">
        <v>24.33</v>
      </c>
      <c r="Y204" s="34">
        <v>18.350000000000001</v>
      </c>
      <c r="Z204" s="34">
        <v>18.36</v>
      </c>
      <c r="AA204" s="34">
        <v>12.65</v>
      </c>
      <c r="AB204" s="34">
        <v>10.79</v>
      </c>
      <c r="AC204" s="34">
        <v>8.3000000000000007</v>
      </c>
      <c r="AD204" s="41">
        <v>5.2874999999999996</v>
      </c>
      <c r="AE204" s="34">
        <v>1302</v>
      </c>
      <c r="AF204" s="34">
        <v>7.69</v>
      </c>
      <c r="AG204" s="34">
        <v>435</v>
      </c>
      <c r="AH204" s="34">
        <v>45.63</v>
      </c>
      <c r="AI204" s="34">
        <v>1628</v>
      </c>
      <c r="AJ204" s="34">
        <v>6.4210000000000003</v>
      </c>
      <c r="AK204" s="34">
        <v>5.4249999999999998</v>
      </c>
      <c r="AL204" s="34">
        <v>4.5039999999999996</v>
      </c>
      <c r="AM204" s="34">
        <v>5.91</v>
      </c>
      <c r="AN204" s="34">
        <v>6.3949999999999996</v>
      </c>
      <c r="AO204" s="34">
        <v>10.06</v>
      </c>
      <c r="AP204" s="34">
        <v>10.18</v>
      </c>
      <c r="AQ204" s="34">
        <v>8</v>
      </c>
      <c r="AR204" s="34">
        <v>2.4E-2</v>
      </c>
      <c r="AS204" s="34">
        <v>0.17699999999999999</v>
      </c>
      <c r="AT204" s="34">
        <v>7.9000000000000001E-2</v>
      </c>
      <c r="AU204" s="34">
        <v>1.2E-2</v>
      </c>
      <c r="AV204" s="34">
        <v>9.9000000000000005E-2</v>
      </c>
      <c r="AW204" s="34">
        <v>0.41</v>
      </c>
      <c r="AX204" s="34">
        <v>0.16900000000000001</v>
      </c>
      <c r="AY204" s="34">
        <v>2.8000000000000001E-2</v>
      </c>
      <c r="AZ204" s="34">
        <v>12.02</v>
      </c>
      <c r="BA204" s="34">
        <v>3474</v>
      </c>
      <c r="BB204" s="34">
        <v>12.91</v>
      </c>
      <c r="BC204" s="34">
        <v>2876</v>
      </c>
      <c r="BD204" s="3"/>
      <c r="BE204" s="3"/>
      <c r="BF204" s="3"/>
      <c r="BH204" s="16">
        <v>31.54</v>
      </c>
      <c r="BI204" s="16">
        <f t="shared" si="104"/>
        <v>63.710799999999999</v>
      </c>
      <c r="BJ204" s="17">
        <f t="shared" si="74"/>
        <v>15.45</v>
      </c>
      <c r="BK204" s="17">
        <f t="shared" si="75"/>
        <v>32.78</v>
      </c>
      <c r="BM204" s="1">
        <f t="shared" si="76"/>
        <v>80.599999999999994</v>
      </c>
      <c r="BN204" s="1">
        <f t="shared" si="77"/>
        <v>60.1</v>
      </c>
      <c r="BO204" s="1">
        <f t="shared" si="78"/>
        <v>43.2</v>
      </c>
      <c r="BP204" s="56">
        <f t="shared" si="71"/>
        <v>0.79900000000000004</v>
      </c>
      <c r="BQ204" s="56">
        <f t="shared" si="72"/>
        <v>1.0509999999999999</v>
      </c>
      <c r="BS204" s="3">
        <v>0</v>
      </c>
      <c r="BT204" s="8"/>
      <c r="BV204" s="16">
        <f t="shared" si="105"/>
        <v>15.45</v>
      </c>
      <c r="BW204" s="16">
        <f t="shared" si="106"/>
        <v>32.78</v>
      </c>
      <c r="BX204" s="3">
        <f t="shared" si="107"/>
        <v>12.5</v>
      </c>
      <c r="BY204" s="3">
        <f t="shared" si="81"/>
        <v>12.2</v>
      </c>
      <c r="BZ204" s="3">
        <f t="shared" si="82"/>
        <v>11.9</v>
      </c>
      <c r="CA204" s="3">
        <f t="shared" si="83"/>
        <v>12.7</v>
      </c>
      <c r="CB204" s="3">
        <f t="shared" si="84"/>
        <v>11.4</v>
      </c>
      <c r="CC204" s="3">
        <f t="shared" si="85"/>
        <v>10.4</v>
      </c>
      <c r="CD204" s="3">
        <f t="shared" si="86"/>
        <v>8.1999999999999993</v>
      </c>
      <c r="CE204" s="23">
        <f t="shared" si="87"/>
        <v>60.1</v>
      </c>
      <c r="CF204" s="1">
        <f t="shared" si="108"/>
        <v>16.3</v>
      </c>
      <c r="CG204" s="1">
        <f t="shared" si="88"/>
        <v>16.899999999999999</v>
      </c>
      <c r="CH204" s="1">
        <f t="shared" si="89"/>
        <v>18.5</v>
      </c>
      <c r="CI204" s="1">
        <f t="shared" si="90"/>
        <v>24.3</v>
      </c>
      <c r="CJ204" s="1">
        <f t="shared" si="91"/>
        <v>12.7</v>
      </c>
      <c r="CK204" s="1">
        <f t="shared" si="92"/>
        <v>10.8</v>
      </c>
      <c r="CL204" s="1">
        <f t="shared" si="93"/>
        <v>8.3000000000000007</v>
      </c>
      <c r="CM204" s="2">
        <f t="shared" si="94"/>
        <v>80.599999999999994</v>
      </c>
      <c r="CN204" s="1">
        <f t="shared" si="109"/>
        <v>7.7</v>
      </c>
      <c r="CO204" s="1">
        <f t="shared" si="95"/>
        <v>6.4</v>
      </c>
      <c r="CP204" s="1">
        <f t="shared" si="96"/>
        <v>5.4</v>
      </c>
      <c r="CQ204" s="1">
        <f t="shared" si="97"/>
        <v>4.5</v>
      </c>
      <c r="CR204" s="1">
        <f t="shared" si="98"/>
        <v>10.1</v>
      </c>
      <c r="CS204" s="1">
        <f t="shared" si="99"/>
        <v>10.199999999999999</v>
      </c>
      <c r="CT204" s="1">
        <f t="shared" si="100"/>
        <v>8</v>
      </c>
      <c r="CU204" s="2">
        <f t="shared" si="73"/>
        <v>43.2</v>
      </c>
      <c r="CV204" s="18" t="s">
        <v>233</v>
      </c>
      <c r="CW204" s="1">
        <f>ROUND(PPTest!K204,1)</f>
        <v>0</v>
      </c>
      <c r="CX204" s="17">
        <f t="shared" si="101"/>
        <v>1.96</v>
      </c>
      <c r="CY204" s="17">
        <f t="shared" si="102"/>
        <v>5.29</v>
      </c>
      <c r="CZ204" s="20">
        <f t="shared" si="110"/>
        <v>0.79900000000000004</v>
      </c>
      <c r="DA204" s="20">
        <f t="shared" si="111"/>
        <v>1.0509999999999999</v>
      </c>
      <c r="DB204" s="16">
        <f t="shared" si="103"/>
        <v>12.91</v>
      </c>
      <c r="DD204" s="1">
        <v>15.4</v>
      </c>
      <c r="DE204" s="1">
        <v>19.600000000000001</v>
      </c>
      <c r="DF204" s="1">
        <v>10</v>
      </c>
      <c r="DG204" s="1">
        <v>52.3</v>
      </c>
      <c r="DH204" s="1">
        <v>45</v>
      </c>
      <c r="DZ204" s="1">
        <v>13.4</v>
      </c>
      <c r="EA204" s="1">
        <v>18.8</v>
      </c>
      <c r="EB204" s="1">
        <v>8.1</v>
      </c>
      <c r="EC204" s="1">
        <v>0</v>
      </c>
    </row>
    <row r="205" spans="1:133" x14ac:dyDescent="0.2">
      <c r="A205" s="40">
        <v>35263</v>
      </c>
      <c r="B205" s="34">
        <v>199</v>
      </c>
      <c r="C205" s="34">
        <v>19.41</v>
      </c>
      <c r="D205" s="34">
        <v>38.65</v>
      </c>
      <c r="E205" s="34">
        <v>9.59</v>
      </c>
      <c r="F205" s="34">
        <v>83.3</v>
      </c>
      <c r="G205" s="34">
        <v>9.7799999999999994</v>
      </c>
      <c r="H205" s="34">
        <v>9.42</v>
      </c>
      <c r="I205" s="34">
        <v>11.64</v>
      </c>
      <c r="J205" s="34">
        <v>10.3</v>
      </c>
      <c r="K205" s="34">
        <v>10.48</v>
      </c>
      <c r="L205" s="34">
        <v>10.61</v>
      </c>
      <c r="M205" s="34">
        <v>9.85</v>
      </c>
      <c r="N205" s="34">
        <v>8.2200000000000006</v>
      </c>
      <c r="O205" s="34">
        <v>0</v>
      </c>
      <c r="P205" s="41">
        <v>2.2358333333333333</v>
      </c>
      <c r="Q205" s="34">
        <v>17</v>
      </c>
      <c r="R205" s="34">
        <v>18.760000000000002</v>
      </c>
      <c r="S205" s="34">
        <v>1358</v>
      </c>
      <c r="T205" s="34">
        <v>106.9</v>
      </c>
      <c r="U205" s="34">
        <v>2123</v>
      </c>
      <c r="V205" s="34">
        <v>19.940000000000001</v>
      </c>
      <c r="W205" s="34">
        <v>22.56</v>
      </c>
      <c r="X205" s="34">
        <v>29.2</v>
      </c>
      <c r="Y205" s="34">
        <v>22.1</v>
      </c>
      <c r="Z205" s="34">
        <v>22.34</v>
      </c>
      <c r="AA205" s="34">
        <v>13.21</v>
      </c>
      <c r="AB205" s="34">
        <v>10.199999999999999</v>
      </c>
      <c r="AC205" s="34">
        <v>8.42</v>
      </c>
      <c r="AD205" s="41">
        <v>6.7408333333333328</v>
      </c>
      <c r="AE205" s="34">
        <v>2037</v>
      </c>
      <c r="AF205" s="34">
        <v>3.327</v>
      </c>
      <c r="AG205" s="34">
        <v>2310</v>
      </c>
      <c r="AH205" s="34">
        <v>40.74</v>
      </c>
      <c r="AI205" s="34">
        <v>1402</v>
      </c>
      <c r="AJ205" s="34">
        <v>3.0259999999999998</v>
      </c>
      <c r="AK205" s="34">
        <v>2.3370000000000002</v>
      </c>
      <c r="AL205" s="34">
        <v>2.2120000000000002</v>
      </c>
      <c r="AM205" s="34">
        <v>2.63</v>
      </c>
      <c r="AN205" s="34">
        <v>2.8180000000000001</v>
      </c>
      <c r="AO205" s="34">
        <v>8.7200000000000006</v>
      </c>
      <c r="AP205" s="34">
        <v>9.61</v>
      </c>
      <c r="AQ205" s="34">
        <v>8.0399999999999991</v>
      </c>
      <c r="AR205" s="34">
        <v>0.02</v>
      </c>
      <c r="AS205" s="34">
        <v>0.14599999999999999</v>
      </c>
      <c r="AT205" s="34">
        <v>0.159</v>
      </c>
      <c r="AU205" s="34">
        <v>5.0999999999999997E-2</v>
      </c>
      <c r="AV205" s="34">
        <v>0.193</v>
      </c>
      <c r="AW205" s="34">
        <v>0.32800000000000001</v>
      </c>
      <c r="AX205" s="34">
        <v>6.8000000000000005E-2</v>
      </c>
      <c r="AY205" s="34">
        <v>3.5000000000000003E-2</v>
      </c>
      <c r="AZ205" s="34">
        <v>10.3</v>
      </c>
      <c r="BA205" s="34">
        <v>3474</v>
      </c>
      <c r="BB205" s="34">
        <v>12.91</v>
      </c>
      <c r="BC205" s="34">
        <v>2876</v>
      </c>
      <c r="BD205" s="3"/>
      <c r="BE205" s="3"/>
      <c r="BF205" s="3"/>
      <c r="BH205" s="16">
        <v>31.42</v>
      </c>
      <c r="BI205" s="16">
        <f t="shared" si="104"/>
        <v>63.468400000000003</v>
      </c>
      <c r="BJ205" s="17">
        <f t="shared" si="74"/>
        <v>19.41</v>
      </c>
      <c r="BK205" s="17">
        <f t="shared" si="75"/>
        <v>40.56</v>
      </c>
      <c r="BM205" s="1">
        <f t="shared" si="76"/>
        <v>99.8</v>
      </c>
      <c r="BN205" s="1">
        <f t="shared" si="77"/>
        <v>78</v>
      </c>
      <c r="BO205" s="1">
        <f t="shared" si="78"/>
        <v>38.6</v>
      </c>
      <c r="BP205" s="56">
        <f t="shared" si="71"/>
        <v>0.83499999999999996</v>
      </c>
      <c r="BQ205" s="56">
        <f t="shared" si="72"/>
        <v>1.3280000000000001</v>
      </c>
      <c r="BS205" s="3">
        <v>17</v>
      </c>
      <c r="BT205" s="8"/>
      <c r="BV205" s="16">
        <f t="shared" si="105"/>
        <v>19.41</v>
      </c>
      <c r="BW205" s="16">
        <f t="shared" si="106"/>
        <v>40.56</v>
      </c>
      <c r="BX205" s="3">
        <f t="shared" si="107"/>
        <v>9.6</v>
      </c>
      <c r="BY205" s="3">
        <f t="shared" si="81"/>
        <v>9.8000000000000007</v>
      </c>
      <c r="BZ205" s="3">
        <f t="shared" si="82"/>
        <v>9.4</v>
      </c>
      <c r="CA205" s="3">
        <f t="shared" si="83"/>
        <v>11.6</v>
      </c>
      <c r="CB205" s="3">
        <f t="shared" si="84"/>
        <v>10.6</v>
      </c>
      <c r="CC205" s="3">
        <f t="shared" si="85"/>
        <v>9.9</v>
      </c>
      <c r="CD205" s="3">
        <f t="shared" si="86"/>
        <v>8.1999999999999993</v>
      </c>
      <c r="CE205" s="23">
        <f t="shared" si="87"/>
        <v>78</v>
      </c>
      <c r="CF205" s="1">
        <f t="shared" si="108"/>
        <v>18.8</v>
      </c>
      <c r="CG205" s="1">
        <f t="shared" si="88"/>
        <v>19.899999999999999</v>
      </c>
      <c r="CH205" s="1">
        <f t="shared" si="89"/>
        <v>22.6</v>
      </c>
      <c r="CI205" s="1">
        <f t="shared" si="90"/>
        <v>29.2</v>
      </c>
      <c r="CJ205" s="1">
        <f t="shared" si="91"/>
        <v>13.2</v>
      </c>
      <c r="CK205" s="1">
        <f t="shared" si="92"/>
        <v>10.199999999999999</v>
      </c>
      <c r="CL205" s="1">
        <f t="shared" si="93"/>
        <v>8.4</v>
      </c>
      <c r="CM205" s="2">
        <f t="shared" si="94"/>
        <v>99.8</v>
      </c>
      <c r="CN205" s="1">
        <f t="shared" si="109"/>
        <v>3.3</v>
      </c>
      <c r="CO205" s="1">
        <f t="shared" si="95"/>
        <v>3</v>
      </c>
      <c r="CP205" s="1">
        <f t="shared" si="96"/>
        <v>2.2999999999999998</v>
      </c>
      <c r="CQ205" s="1">
        <f t="shared" si="97"/>
        <v>2.2000000000000002</v>
      </c>
      <c r="CR205" s="1">
        <f t="shared" si="98"/>
        <v>8.6999999999999993</v>
      </c>
      <c r="CS205" s="1">
        <f t="shared" si="99"/>
        <v>9.6</v>
      </c>
      <c r="CT205" s="1">
        <f t="shared" si="100"/>
        <v>8</v>
      </c>
      <c r="CU205" s="2">
        <f t="shared" si="73"/>
        <v>38.6</v>
      </c>
      <c r="CV205" s="18" t="s">
        <v>233</v>
      </c>
      <c r="CW205" s="1">
        <f>ROUND(PPTest!K205,1)</f>
        <v>17</v>
      </c>
      <c r="CX205" s="17">
        <f t="shared" si="101"/>
        <v>2.2400000000000002</v>
      </c>
      <c r="CY205" s="17">
        <f t="shared" si="102"/>
        <v>6.74</v>
      </c>
      <c r="CZ205" s="20">
        <f t="shared" si="110"/>
        <v>0.83499999999999996</v>
      </c>
      <c r="DA205" s="20">
        <f t="shared" si="111"/>
        <v>1.3280000000000001</v>
      </c>
      <c r="DB205" s="16">
        <f t="shared" si="103"/>
        <v>12.91</v>
      </c>
      <c r="DD205" s="1">
        <v>10.4</v>
      </c>
      <c r="DE205" s="1">
        <v>15.8</v>
      </c>
      <c r="DF205" s="1">
        <v>5.5</v>
      </c>
      <c r="DG205" s="1">
        <v>81</v>
      </c>
      <c r="DH205" s="1">
        <v>61</v>
      </c>
      <c r="DZ205" s="1">
        <v>9.1999999999999993</v>
      </c>
      <c r="EA205" s="1">
        <v>16</v>
      </c>
      <c r="EB205" s="1">
        <v>2.4</v>
      </c>
      <c r="EC205" s="1">
        <v>18.3</v>
      </c>
    </row>
    <row r="206" spans="1:133" x14ac:dyDescent="0.2">
      <c r="A206" s="40">
        <v>35264</v>
      </c>
      <c r="B206" s="34">
        <v>200</v>
      </c>
      <c r="C206" s="34"/>
      <c r="D206" s="34"/>
      <c r="E206" s="49">
        <f t="shared" ref="E206:E217" si="112">ROUND(DD206*0.75-0.6,1)</f>
        <v>4.5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6"/>
      <c r="Q206" s="3"/>
      <c r="R206" s="49">
        <f t="shared" ref="R206:R217" si="113">ROUND(DE206*0.95-1.2,1)</f>
        <v>10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16"/>
      <c r="AE206" s="3"/>
      <c r="AF206" s="49">
        <f t="shared" ref="AF206:AF217" si="114">ROUND(DF206*0.76-3.6,1)</f>
        <v>-0.6</v>
      </c>
      <c r="AG206" s="3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"/>
      <c r="BE206" s="3"/>
      <c r="BF206" s="3"/>
      <c r="BH206" s="16">
        <v>31.29</v>
      </c>
      <c r="BI206" s="16">
        <f t="shared" si="104"/>
        <v>63.205799999999996</v>
      </c>
      <c r="BJ206" s="17"/>
      <c r="BK206" s="17"/>
      <c r="BP206" s="57">
        <f t="shared" ref="BP206:BP219" si="115">ROUND(0.6105*(EXP((17.273*AF206)/(AF206+237.3))), 3)</f>
        <v>0.58399999999999996</v>
      </c>
      <c r="BQ206" s="57">
        <f t="shared" ref="BQ206:BQ219" si="116">ROUND(0.6105*(EXP((17.273*R206)/(R206+237.3)))-BP206, 3)</f>
        <v>0.64400000000000002</v>
      </c>
      <c r="BS206" s="3">
        <v>9.1</v>
      </c>
      <c r="BT206" s="8"/>
      <c r="BV206" s="16" t="s">
        <v>233</v>
      </c>
      <c r="BW206" s="16" t="s">
        <v>233</v>
      </c>
      <c r="BX206" s="3">
        <f t="shared" si="107"/>
        <v>4.5</v>
      </c>
      <c r="BY206" s="16" t="s">
        <v>233</v>
      </c>
      <c r="BZ206" s="16" t="s">
        <v>233</v>
      </c>
      <c r="CA206" s="16" t="s">
        <v>233</v>
      </c>
      <c r="CB206" s="16" t="s">
        <v>233</v>
      </c>
      <c r="CC206" s="16" t="s">
        <v>233</v>
      </c>
      <c r="CD206" s="16" t="s">
        <v>233</v>
      </c>
      <c r="CE206" s="16" t="s">
        <v>233</v>
      </c>
      <c r="CF206" s="1">
        <f t="shared" si="108"/>
        <v>10</v>
      </c>
      <c r="CG206" s="16" t="s">
        <v>233</v>
      </c>
      <c r="CH206" s="16" t="s">
        <v>233</v>
      </c>
      <c r="CI206" s="16" t="s">
        <v>233</v>
      </c>
      <c r="CJ206" s="16" t="s">
        <v>233</v>
      </c>
      <c r="CK206" s="16" t="s">
        <v>233</v>
      </c>
      <c r="CL206" s="16" t="s">
        <v>233</v>
      </c>
      <c r="CM206" s="16" t="s">
        <v>233</v>
      </c>
      <c r="CN206" s="1">
        <f t="shared" si="109"/>
        <v>-0.6</v>
      </c>
      <c r="CO206" s="16" t="s">
        <v>233</v>
      </c>
      <c r="CP206" s="16" t="s">
        <v>233</v>
      </c>
      <c r="CQ206" s="16" t="s">
        <v>233</v>
      </c>
      <c r="CR206" s="16" t="s">
        <v>233</v>
      </c>
      <c r="CS206" s="16" t="s">
        <v>233</v>
      </c>
      <c r="CT206" s="16" t="s">
        <v>233</v>
      </c>
      <c r="CU206" s="18" t="s">
        <v>233</v>
      </c>
      <c r="CV206" s="18" t="s">
        <v>233</v>
      </c>
      <c r="CW206" s="1">
        <f>ROUND(PPTest!K206,1)</f>
        <v>9.6</v>
      </c>
      <c r="CX206" s="16" t="s">
        <v>233</v>
      </c>
      <c r="CY206" s="16" t="s">
        <v>233</v>
      </c>
      <c r="CZ206" s="20">
        <f t="shared" si="110"/>
        <v>0.58399999999999996</v>
      </c>
      <c r="DA206" s="20">
        <f t="shared" si="111"/>
        <v>0.64400000000000002</v>
      </c>
      <c r="DB206" s="16" t="s">
        <v>233</v>
      </c>
      <c r="DD206" s="1">
        <v>6.8</v>
      </c>
      <c r="DE206" s="1">
        <v>11.8</v>
      </c>
      <c r="DF206" s="1">
        <v>3.9</v>
      </c>
      <c r="DG206" s="1">
        <v>92.3</v>
      </c>
      <c r="DH206" s="1">
        <v>64</v>
      </c>
      <c r="DZ206" s="1">
        <v>3.6</v>
      </c>
      <c r="EA206" s="1">
        <v>7.9</v>
      </c>
      <c r="EB206" s="1">
        <v>-0.4</v>
      </c>
      <c r="EC206" s="1">
        <v>8.4</v>
      </c>
    </row>
    <row r="207" spans="1:133" x14ac:dyDescent="0.2">
      <c r="A207" s="40">
        <v>35265</v>
      </c>
      <c r="B207" s="34">
        <v>201</v>
      </c>
      <c r="C207" s="34"/>
      <c r="D207" s="34"/>
      <c r="E207" s="49">
        <f t="shared" si="112"/>
        <v>4.8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6"/>
      <c r="Q207" s="3"/>
      <c r="R207" s="49">
        <f t="shared" si="113"/>
        <v>8.5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16"/>
      <c r="AE207" s="3"/>
      <c r="AF207" s="49">
        <f t="shared" si="114"/>
        <v>-0.3</v>
      </c>
      <c r="AG207" s="3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"/>
      <c r="BE207" s="3"/>
      <c r="BF207" s="3"/>
      <c r="BH207" s="16">
        <v>31.17</v>
      </c>
      <c r="BI207" s="16">
        <f t="shared" si="104"/>
        <v>62.963400000000007</v>
      </c>
      <c r="BJ207" s="17"/>
      <c r="BK207" s="17"/>
      <c r="BP207" s="57">
        <f t="shared" si="115"/>
        <v>0.59699999999999998</v>
      </c>
      <c r="BQ207" s="57">
        <f t="shared" si="116"/>
        <v>0.51200000000000001</v>
      </c>
      <c r="BS207" s="3">
        <v>1.5</v>
      </c>
      <c r="BT207" s="8"/>
      <c r="BV207" s="16" t="s">
        <v>233</v>
      </c>
      <c r="BW207" s="16" t="s">
        <v>233</v>
      </c>
      <c r="BX207" s="3">
        <f t="shared" si="107"/>
        <v>4.8</v>
      </c>
      <c r="BY207" s="16" t="s">
        <v>233</v>
      </c>
      <c r="BZ207" s="16" t="s">
        <v>233</v>
      </c>
      <c r="CA207" s="16" t="s">
        <v>233</v>
      </c>
      <c r="CB207" s="16" t="s">
        <v>233</v>
      </c>
      <c r="CC207" s="16" t="s">
        <v>233</v>
      </c>
      <c r="CD207" s="16" t="s">
        <v>233</v>
      </c>
      <c r="CE207" s="16" t="s">
        <v>233</v>
      </c>
      <c r="CF207" s="1">
        <f t="shared" si="108"/>
        <v>8.5</v>
      </c>
      <c r="CG207" s="16" t="s">
        <v>233</v>
      </c>
      <c r="CH207" s="16" t="s">
        <v>233</v>
      </c>
      <c r="CI207" s="16" t="s">
        <v>233</v>
      </c>
      <c r="CJ207" s="16" t="s">
        <v>233</v>
      </c>
      <c r="CK207" s="16" t="s">
        <v>233</v>
      </c>
      <c r="CL207" s="16" t="s">
        <v>233</v>
      </c>
      <c r="CM207" s="16" t="s">
        <v>233</v>
      </c>
      <c r="CN207" s="1">
        <f t="shared" si="109"/>
        <v>-0.3</v>
      </c>
      <c r="CO207" s="16" t="s">
        <v>233</v>
      </c>
      <c r="CP207" s="16" t="s">
        <v>233</v>
      </c>
      <c r="CQ207" s="16" t="s">
        <v>233</v>
      </c>
      <c r="CR207" s="16" t="s">
        <v>233</v>
      </c>
      <c r="CS207" s="16" t="s">
        <v>233</v>
      </c>
      <c r="CT207" s="16" t="s">
        <v>233</v>
      </c>
      <c r="CU207" s="18" t="s">
        <v>233</v>
      </c>
      <c r="CV207" s="18" t="s">
        <v>233</v>
      </c>
      <c r="CW207" s="1">
        <f>ROUND(PPTest!K207,1)</f>
        <v>1.6</v>
      </c>
      <c r="CX207" s="16" t="s">
        <v>233</v>
      </c>
      <c r="CY207" s="16" t="s">
        <v>233</v>
      </c>
      <c r="CZ207" s="20">
        <f t="shared" si="110"/>
        <v>0.59699999999999998</v>
      </c>
      <c r="DA207" s="20">
        <f t="shared" si="111"/>
        <v>0.51200000000000001</v>
      </c>
      <c r="DB207" s="16" t="s">
        <v>233</v>
      </c>
      <c r="DD207" s="1">
        <v>7.2</v>
      </c>
      <c r="DE207" s="1">
        <v>10.199999999999999</v>
      </c>
      <c r="DF207" s="1">
        <v>4.4000000000000004</v>
      </c>
      <c r="DG207" s="1">
        <v>91.2</v>
      </c>
      <c r="DH207" s="1">
        <v>75</v>
      </c>
      <c r="DZ207" s="1">
        <v>3.9</v>
      </c>
      <c r="EA207" s="1">
        <v>7.4</v>
      </c>
      <c r="EB207" s="1">
        <v>-0.2</v>
      </c>
      <c r="EC207" s="1">
        <v>3.8</v>
      </c>
    </row>
    <row r="208" spans="1:133" x14ac:dyDescent="0.2">
      <c r="A208" s="40">
        <v>35266</v>
      </c>
      <c r="B208" s="34">
        <v>202</v>
      </c>
      <c r="C208" s="34"/>
      <c r="D208" s="34"/>
      <c r="E208" s="49">
        <f t="shared" si="112"/>
        <v>6.5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6"/>
      <c r="Q208" s="3"/>
      <c r="R208" s="49">
        <f t="shared" si="113"/>
        <v>10.8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16"/>
      <c r="AE208" s="3"/>
      <c r="AF208" s="49">
        <f t="shared" si="114"/>
        <v>1.6</v>
      </c>
      <c r="AG208" s="3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"/>
      <c r="BE208" s="3"/>
      <c r="BF208" s="3"/>
      <c r="BH208" s="16">
        <v>31.03</v>
      </c>
      <c r="BI208" s="16">
        <f t="shared" si="104"/>
        <v>62.680600000000005</v>
      </c>
      <c r="BJ208" s="17"/>
      <c r="BK208" s="17"/>
      <c r="BP208" s="57">
        <f t="shared" si="115"/>
        <v>0.68500000000000005</v>
      </c>
      <c r="BQ208" s="57">
        <f t="shared" si="116"/>
        <v>0.61</v>
      </c>
      <c r="BS208" s="3">
        <v>0.3</v>
      </c>
      <c r="BT208" s="8"/>
      <c r="BV208" s="16" t="s">
        <v>233</v>
      </c>
      <c r="BW208" s="16" t="s">
        <v>233</v>
      </c>
      <c r="BX208" s="3">
        <f t="shared" si="107"/>
        <v>6.5</v>
      </c>
      <c r="BY208" s="16" t="s">
        <v>233</v>
      </c>
      <c r="BZ208" s="16" t="s">
        <v>233</v>
      </c>
      <c r="CA208" s="16" t="s">
        <v>233</v>
      </c>
      <c r="CB208" s="16" t="s">
        <v>233</v>
      </c>
      <c r="CC208" s="16" t="s">
        <v>233</v>
      </c>
      <c r="CD208" s="16" t="s">
        <v>233</v>
      </c>
      <c r="CE208" s="16" t="s">
        <v>233</v>
      </c>
      <c r="CF208" s="1">
        <f t="shared" si="108"/>
        <v>10.8</v>
      </c>
      <c r="CG208" s="16" t="s">
        <v>233</v>
      </c>
      <c r="CH208" s="16" t="s">
        <v>233</v>
      </c>
      <c r="CI208" s="16" t="s">
        <v>233</v>
      </c>
      <c r="CJ208" s="16" t="s">
        <v>233</v>
      </c>
      <c r="CK208" s="16" t="s">
        <v>233</v>
      </c>
      <c r="CL208" s="16" t="s">
        <v>233</v>
      </c>
      <c r="CM208" s="16" t="s">
        <v>233</v>
      </c>
      <c r="CN208" s="1">
        <f t="shared" si="109"/>
        <v>1.6</v>
      </c>
      <c r="CO208" s="16" t="s">
        <v>233</v>
      </c>
      <c r="CP208" s="16" t="s">
        <v>233</v>
      </c>
      <c r="CQ208" s="16" t="s">
        <v>233</v>
      </c>
      <c r="CR208" s="16" t="s">
        <v>233</v>
      </c>
      <c r="CS208" s="16" t="s">
        <v>233</v>
      </c>
      <c r="CT208" s="16" t="s">
        <v>233</v>
      </c>
      <c r="CU208" s="18" t="s">
        <v>233</v>
      </c>
      <c r="CV208" s="18" t="s">
        <v>233</v>
      </c>
      <c r="CW208" s="1">
        <f>ROUND(PPTest!K208,1)</f>
        <v>0.3</v>
      </c>
      <c r="CX208" s="16" t="s">
        <v>233</v>
      </c>
      <c r="CY208" s="16" t="s">
        <v>233</v>
      </c>
      <c r="CZ208" s="20">
        <f t="shared" si="110"/>
        <v>0.68500000000000005</v>
      </c>
      <c r="DA208" s="20">
        <f t="shared" si="111"/>
        <v>0.61</v>
      </c>
      <c r="DB208" s="16" t="s">
        <v>233</v>
      </c>
      <c r="DD208" s="1">
        <v>9.5</v>
      </c>
      <c r="DE208" s="1">
        <v>12.6</v>
      </c>
      <c r="DF208" s="1">
        <v>6.8</v>
      </c>
      <c r="DG208" s="1">
        <v>86.4</v>
      </c>
      <c r="DH208" s="1">
        <v>77</v>
      </c>
      <c r="DZ208" s="1">
        <v>7.2</v>
      </c>
      <c r="EA208" s="1">
        <v>13.7</v>
      </c>
      <c r="EB208" s="1">
        <v>0.6</v>
      </c>
      <c r="EC208" s="1">
        <v>0</v>
      </c>
    </row>
    <row r="209" spans="1:133" x14ac:dyDescent="0.2">
      <c r="A209" s="40">
        <v>35267</v>
      </c>
      <c r="B209" s="34">
        <v>203</v>
      </c>
      <c r="C209" s="34"/>
      <c r="D209" s="34"/>
      <c r="E209" s="49">
        <f t="shared" si="112"/>
        <v>9.1999999999999993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6"/>
      <c r="Q209" s="3"/>
      <c r="R209" s="49">
        <f t="shared" si="113"/>
        <v>16.600000000000001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16"/>
      <c r="AE209" s="3"/>
      <c r="AF209" s="49">
        <f t="shared" si="114"/>
        <v>2.8</v>
      </c>
      <c r="AG209" s="3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"/>
      <c r="BE209" s="3"/>
      <c r="BF209" s="3"/>
      <c r="BH209" s="16">
        <v>30.9</v>
      </c>
      <c r="BI209" s="16">
        <f t="shared" si="104"/>
        <v>62.417999999999999</v>
      </c>
      <c r="BJ209" s="17"/>
      <c r="BK209" s="17"/>
      <c r="BP209" s="57">
        <f t="shared" si="115"/>
        <v>0.747</v>
      </c>
      <c r="BQ209" s="57">
        <f t="shared" si="116"/>
        <v>1.1419999999999999</v>
      </c>
      <c r="BS209" s="3">
        <v>0</v>
      </c>
      <c r="BT209" s="8"/>
      <c r="BV209" s="16" t="s">
        <v>233</v>
      </c>
      <c r="BW209" s="16" t="s">
        <v>233</v>
      </c>
      <c r="BX209" s="3">
        <f t="shared" si="107"/>
        <v>9.1999999999999993</v>
      </c>
      <c r="BY209" s="16" t="s">
        <v>233</v>
      </c>
      <c r="BZ209" s="16" t="s">
        <v>233</v>
      </c>
      <c r="CA209" s="16" t="s">
        <v>233</v>
      </c>
      <c r="CB209" s="16" t="s">
        <v>233</v>
      </c>
      <c r="CC209" s="16" t="s">
        <v>233</v>
      </c>
      <c r="CD209" s="16" t="s">
        <v>233</v>
      </c>
      <c r="CE209" s="16" t="s">
        <v>233</v>
      </c>
      <c r="CF209" s="1">
        <f t="shared" si="108"/>
        <v>16.600000000000001</v>
      </c>
      <c r="CG209" s="16" t="s">
        <v>233</v>
      </c>
      <c r="CH209" s="16" t="s">
        <v>233</v>
      </c>
      <c r="CI209" s="16" t="s">
        <v>233</v>
      </c>
      <c r="CJ209" s="16" t="s">
        <v>233</v>
      </c>
      <c r="CK209" s="16" t="s">
        <v>233</v>
      </c>
      <c r="CL209" s="16" t="s">
        <v>233</v>
      </c>
      <c r="CM209" s="16" t="s">
        <v>233</v>
      </c>
      <c r="CN209" s="1">
        <f t="shared" si="109"/>
        <v>2.8</v>
      </c>
      <c r="CO209" s="16" t="s">
        <v>233</v>
      </c>
      <c r="CP209" s="16" t="s">
        <v>233</v>
      </c>
      <c r="CQ209" s="16" t="s">
        <v>233</v>
      </c>
      <c r="CR209" s="16" t="s">
        <v>233</v>
      </c>
      <c r="CS209" s="16" t="s">
        <v>233</v>
      </c>
      <c r="CT209" s="16" t="s">
        <v>233</v>
      </c>
      <c r="CU209" s="18" t="s">
        <v>233</v>
      </c>
      <c r="CV209" s="18" t="s">
        <v>233</v>
      </c>
      <c r="CW209" s="1">
        <f>ROUND(PPTest!K209,1)</f>
        <v>0</v>
      </c>
      <c r="CX209" s="16" t="s">
        <v>233</v>
      </c>
      <c r="CY209" s="16" t="s">
        <v>233</v>
      </c>
      <c r="CZ209" s="20">
        <f t="shared" si="110"/>
        <v>0.747</v>
      </c>
      <c r="DA209" s="20">
        <f t="shared" si="111"/>
        <v>1.1419999999999999</v>
      </c>
      <c r="DB209" s="16" t="s">
        <v>233</v>
      </c>
      <c r="DD209" s="1">
        <v>13</v>
      </c>
      <c r="DE209" s="1">
        <v>18.7</v>
      </c>
      <c r="DF209" s="1">
        <v>8.4</v>
      </c>
      <c r="DG209" s="1">
        <v>79.599999999999994</v>
      </c>
      <c r="DH209" s="1">
        <v>57</v>
      </c>
      <c r="DZ209" s="1">
        <v>10</v>
      </c>
      <c r="EA209" s="1">
        <v>18.2</v>
      </c>
      <c r="EB209" s="1">
        <v>0.9</v>
      </c>
      <c r="EC209" s="1">
        <v>0</v>
      </c>
    </row>
    <row r="210" spans="1:133" x14ac:dyDescent="0.2">
      <c r="A210" s="40">
        <v>35268</v>
      </c>
      <c r="B210" s="34">
        <v>204</v>
      </c>
      <c r="C210" s="34"/>
      <c r="D210" s="34"/>
      <c r="E210" s="49">
        <f t="shared" si="112"/>
        <v>12.5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6"/>
      <c r="Q210" s="3"/>
      <c r="R210" s="49">
        <f t="shared" si="113"/>
        <v>21.8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16"/>
      <c r="AE210" s="3"/>
      <c r="AF210" s="49">
        <f t="shared" si="114"/>
        <v>3.7</v>
      </c>
      <c r="AG210" s="3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"/>
      <c r="BE210" s="3"/>
      <c r="BF210" s="3"/>
      <c r="BH210" s="16">
        <v>30.76</v>
      </c>
      <c r="BI210" s="16">
        <f t="shared" si="104"/>
        <v>62.135200000000005</v>
      </c>
      <c r="BJ210" s="17"/>
      <c r="BK210" s="17"/>
      <c r="BP210" s="57">
        <f t="shared" si="115"/>
        <v>0.79600000000000004</v>
      </c>
      <c r="BQ210" s="57">
        <f t="shared" si="116"/>
        <v>1.8149999999999999</v>
      </c>
      <c r="BS210" s="3">
        <v>0</v>
      </c>
      <c r="BT210" s="8"/>
      <c r="BV210" s="16" t="s">
        <v>233</v>
      </c>
      <c r="BW210" s="16" t="s">
        <v>233</v>
      </c>
      <c r="BX210" s="3">
        <f t="shared" si="107"/>
        <v>12.5</v>
      </c>
      <c r="BY210" s="16" t="s">
        <v>233</v>
      </c>
      <c r="BZ210" s="16" t="s">
        <v>233</v>
      </c>
      <c r="CA210" s="16" t="s">
        <v>233</v>
      </c>
      <c r="CB210" s="16" t="s">
        <v>233</v>
      </c>
      <c r="CC210" s="16" t="s">
        <v>233</v>
      </c>
      <c r="CD210" s="16" t="s">
        <v>233</v>
      </c>
      <c r="CE210" s="16" t="s">
        <v>233</v>
      </c>
      <c r="CF210" s="1">
        <f t="shared" si="108"/>
        <v>21.8</v>
      </c>
      <c r="CG210" s="16" t="s">
        <v>233</v>
      </c>
      <c r="CH210" s="16" t="s">
        <v>233</v>
      </c>
      <c r="CI210" s="16" t="s">
        <v>233</v>
      </c>
      <c r="CJ210" s="16" t="s">
        <v>233</v>
      </c>
      <c r="CK210" s="16" t="s">
        <v>233</v>
      </c>
      <c r="CL210" s="16" t="s">
        <v>233</v>
      </c>
      <c r="CM210" s="16" t="s">
        <v>233</v>
      </c>
      <c r="CN210" s="1">
        <f t="shared" si="109"/>
        <v>3.7</v>
      </c>
      <c r="CO210" s="16" t="s">
        <v>233</v>
      </c>
      <c r="CP210" s="16" t="s">
        <v>233</v>
      </c>
      <c r="CQ210" s="16" t="s">
        <v>233</v>
      </c>
      <c r="CR210" s="16" t="s">
        <v>233</v>
      </c>
      <c r="CS210" s="16" t="s">
        <v>233</v>
      </c>
      <c r="CT210" s="16" t="s">
        <v>233</v>
      </c>
      <c r="CU210" s="18" t="s">
        <v>233</v>
      </c>
      <c r="CV210" s="18" t="s">
        <v>233</v>
      </c>
      <c r="CW210" s="1">
        <f>ROUND(PPTest!K210,1)</f>
        <v>0</v>
      </c>
      <c r="CX210" s="16" t="s">
        <v>233</v>
      </c>
      <c r="CY210" s="16" t="s">
        <v>233</v>
      </c>
      <c r="CZ210" s="20">
        <f t="shared" si="110"/>
        <v>0.79600000000000004</v>
      </c>
      <c r="DA210" s="20">
        <f t="shared" si="111"/>
        <v>1.8149999999999999</v>
      </c>
      <c r="DB210" s="16" t="s">
        <v>233</v>
      </c>
      <c r="DD210" s="1">
        <v>17.399999999999999</v>
      </c>
      <c r="DE210" s="1">
        <v>24.2</v>
      </c>
      <c r="DF210" s="1">
        <v>9.6</v>
      </c>
      <c r="DG210" s="1">
        <v>61.6</v>
      </c>
      <c r="DH210" s="1">
        <v>40</v>
      </c>
      <c r="DZ210" s="1">
        <v>14.5</v>
      </c>
      <c r="EA210" s="1">
        <v>23.8</v>
      </c>
      <c r="EB210" s="1">
        <v>4</v>
      </c>
      <c r="EC210" s="1">
        <v>0</v>
      </c>
    </row>
    <row r="211" spans="1:133" x14ac:dyDescent="0.2">
      <c r="A211" s="40">
        <v>35269</v>
      </c>
      <c r="B211" s="34">
        <v>205</v>
      </c>
      <c r="C211" s="34"/>
      <c r="D211" s="34"/>
      <c r="E211" s="49">
        <f t="shared" si="112"/>
        <v>13.7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6"/>
      <c r="Q211" s="3"/>
      <c r="R211" s="49">
        <f t="shared" si="113"/>
        <v>22.5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16"/>
      <c r="AE211" s="3"/>
      <c r="AF211" s="49">
        <f t="shared" si="114"/>
        <v>6.7</v>
      </c>
      <c r="AG211" s="3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"/>
      <c r="BE211" s="3"/>
      <c r="BF211" s="3"/>
      <c r="BH211" s="16">
        <v>30.62</v>
      </c>
      <c r="BI211" s="16">
        <f t="shared" si="104"/>
        <v>61.852400000000003</v>
      </c>
      <c r="BJ211" s="17"/>
      <c r="BK211" s="17"/>
      <c r="BP211" s="57">
        <f t="shared" si="115"/>
        <v>0.98099999999999998</v>
      </c>
      <c r="BQ211" s="57">
        <f t="shared" si="116"/>
        <v>1.744</v>
      </c>
      <c r="BS211" s="3">
        <v>0</v>
      </c>
      <c r="BT211" s="8"/>
      <c r="BV211" s="16" t="s">
        <v>233</v>
      </c>
      <c r="BW211" s="16" t="s">
        <v>233</v>
      </c>
      <c r="BX211" s="3">
        <f t="shared" si="107"/>
        <v>13.7</v>
      </c>
      <c r="BY211" s="16" t="s">
        <v>233</v>
      </c>
      <c r="BZ211" s="16" t="s">
        <v>233</v>
      </c>
      <c r="CA211" s="16" t="s">
        <v>233</v>
      </c>
      <c r="CB211" s="16" t="s">
        <v>233</v>
      </c>
      <c r="CC211" s="16" t="s">
        <v>233</v>
      </c>
      <c r="CD211" s="16" t="s">
        <v>233</v>
      </c>
      <c r="CE211" s="16" t="s">
        <v>233</v>
      </c>
      <c r="CF211" s="1">
        <f t="shared" si="108"/>
        <v>22.5</v>
      </c>
      <c r="CG211" s="16" t="s">
        <v>233</v>
      </c>
      <c r="CH211" s="16" t="s">
        <v>233</v>
      </c>
      <c r="CI211" s="16" t="s">
        <v>233</v>
      </c>
      <c r="CJ211" s="16" t="s">
        <v>233</v>
      </c>
      <c r="CK211" s="16" t="s">
        <v>233</v>
      </c>
      <c r="CL211" s="16" t="s">
        <v>233</v>
      </c>
      <c r="CM211" s="16" t="s">
        <v>233</v>
      </c>
      <c r="CN211" s="1">
        <f t="shared" si="109"/>
        <v>6.7</v>
      </c>
      <c r="CO211" s="16" t="s">
        <v>233</v>
      </c>
      <c r="CP211" s="16" t="s">
        <v>233</v>
      </c>
      <c r="CQ211" s="16" t="s">
        <v>233</v>
      </c>
      <c r="CR211" s="16" t="s">
        <v>233</v>
      </c>
      <c r="CS211" s="16" t="s">
        <v>233</v>
      </c>
      <c r="CT211" s="16" t="s">
        <v>233</v>
      </c>
      <c r="CU211" s="18" t="s">
        <v>233</v>
      </c>
      <c r="CV211" s="18" t="s">
        <v>233</v>
      </c>
      <c r="CW211" s="1">
        <f>ROUND(PPTest!K211,1)</f>
        <v>0</v>
      </c>
      <c r="CX211" s="16" t="s">
        <v>233</v>
      </c>
      <c r="CY211" s="16" t="s">
        <v>233</v>
      </c>
      <c r="CZ211" s="20">
        <f t="shared" si="110"/>
        <v>0.98099999999999998</v>
      </c>
      <c r="DA211" s="20">
        <f t="shared" si="111"/>
        <v>1.744</v>
      </c>
      <c r="DB211" s="16" t="s">
        <v>233</v>
      </c>
      <c r="DD211" s="1">
        <v>19.100000000000001</v>
      </c>
      <c r="DE211" s="1">
        <v>24.9</v>
      </c>
      <c r="DF211" s="1">
        <v>13.6</v>
      </c>
      <c r="DG211" s="1">
        <v>53.2</v>
      </c>
      <c r="DH211" s="1">
        <v>36</v>
      </c>
      <c r="DZ211" s="1">
        <v>16</v>
      </c>
      <c r="EA211" s="1">
        <v>24</v>
      </c>
      <c r="EB211" s="1">
        <v>6.3</v>
      </c>
      <c r="EC211" s="1">
        <v>0</v>
      </c>
    </row>
    <row r="212" spans="1:133" x14ac:dyDescent="0.2">
      <c r="A212" s="40">
        <v>35270</v>
      </c>
      <c r="B212" s="34">
        <v>206</v>
      </c>
      <c r="C212" s="34"/>
      <c r="D212" s="34"/>
      <c r="E212" s="49">
        <f t="shared" si="112"/>
        <v>14.7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6"/>
      <c r="Q212" s="3"/>
      <c r="R212" s="49">
        <f t="shared" si="113"/>
        <v>23.8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16"/>
      <c r="AE212" s="3"/>
      <c r="AF212" s="49">
        <f t="shared" si="114"/>
        <v>7.3</v>
      </c>
      <c r="AG212" s="3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"/>
      <c r="BE212" s="3"/>
      <c r="BF212" s="3"/>
      <c r="BH212" s="16">
        <v>30.47</v>
      </c>
      <c r="BI212" s="16">
        <f t="shared" si="104"/>
        <v>61.549399999999999</v>
      </c>
      <c r="BJ212" s="17"/>
      <c r="BK212" s="17"/>
      <c r="BP212" s="57">
        <f t="shared" si="115"/>
        <v>1.022</v>
      </c>
      <c r="BQ212" s="57">
        <f t="shared" si="116"/>
        <v>1.9259999999999999</v>
      </c>
      <c r="BS212" s="3">
        <v>0</v>
      </c>
      <c r="BT212" s="8"/>
      <c r="BV212" s="16" t="s">
        <v>233</v>
      </c>
      <c r="BW212" s="16" t="s">
        <v>233</v>
      </c>
      <c r="BX212" s="3">
        <f t="shared" si="107"/>
        <v>14.7</v>
      </c>
      <c r="BY212" s="16" t="s">
        <v>233</v>
      </c>
      <c r="BZ212" s="16" t="s">
        <v>233</v>
      </c>
      <c r="CA212" s="16" t="s">
        <v>233</v>
      </c>
      <c r="CB212" s="16" t="s">
        <v>233</v>
      </c>
      <c r="CC212" s="16" t="s">
        <v>233</v>
      </c>
      <c r="CD212" s="16" t="s">
        <v>233</v>
      </c>
      <c r="CE212" s="16" t="s">
        <v>233</v>
      </c>
      <c r="CF212" s="1">
        <f t="shared" si="108"/>
        <v>23.8</v>
      </c>
      <c r="CG212" s="16" t="s">
        <v>233</v>
      </c>
      <c r="CH212" s="16" t="s">
        <v>233</v>
      </c>
      <c r="CI212" s="16" t="s">
        <v>233</v>
      </c>
      <c r="CJ212" s="16" t="s">
        <v>233</v>
      </c>
      <c r="CK212" s="16" t="s">
        <v>233</v>
      </c>
      <c r="CL212" s="16" t="s">
        <v>233</v>
      </c>
      <c r="CM212" s="16" t="s">
        <v>233</v>
      </c>
      <c r="CN212" s="1">
        <f t="shared" si="109"/>
        <v>7.3</v>
      </c>
      <c r="CO212" s="16" t="s">
        <v>233</v>
      </c>
      <c r="CP212" s="16" t="s">
        <v>233</v>
      </c>
      <c r="CQ212" s="16" t="s">
        <v>233</v>
      </c>
      <c r="CR212" s="16" t="s">
        <v>233</v>
      </c>
      <c r="CS212" s="16" t="s">
        <v>233</v>
      </c>
      <c r="CT212" s="16" t="s">
        <v>233</v>
      </c>
      <c r="CU212" s="18" t="s">
        <v>233</v>
      </c>
      <c r="CV212" s="18" t="s">
        <v>233</v>
      </c>
      <c r="CW212" s="1">
        <f>ROUND(PPTest!K212,1)</f>
        <v>0</v>
      </c>
      <c r="CX212" s="16" t="s">
        <v>233</v>
      </c>
      <c r="CY212" s="16" t="s">
        <v>233</v>
      </c>
      <c r="CZ212" s="20">
        <f t="shared" si="110"/>
        <v>1.022</v>
      </c>
      <c r="DA212" s="20">
        <f t="shared" si="111"/>
        <v>1.9259999999999999</v>
      </c>
      <c r="DB212" s="16" t="s">
        <v>233</v>
      </c>
      <c r="DD212" s="1">
        <v>20.399999999999999</v>
      </c>
      <c r="DE212" s="1">
        <v>26.3</v>
      </c>
      <c r="DF212" s="1">
        <v>14.3</v>
      </c>
      <c r="DG212" s="1">
        <v>44.8</v>
      </c>
      <c r="DH212" s="1">
        <v>31</v>
      </c>
      <c r="DZ212" s="1">
        <v>17.2</v>
      </c>
      <c r="EA212" s="1">
        <v>24.8</v>
      </c>
      <c r="EB212" s="1">
        <v>8.1999999999999993</v>
      </c>
      <c r="EC212" s="1">
        <v>2.8</v>
      </c>
    </row>
    <row r="213" spans="1:133" x14ac:dyDescent="0.2">
      <c r="A213" s="40">
        <v>35271</v>
      </c>
      <c r="B213" s="34">
        <v>207</v>
      </c>
      <c r="C213" s="34"/>
      <c r="D213" s="34"/>
      <c r="E213" s="49">
        <f t="shared" si="112"/>
        <v>13.7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6"/>
      <c r="Q213" s="3"/>
      <c r="R213" s="49">
        <f t="shared" si="113"/>
        <v>21.9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16"/>
      <c r="AE213" s="3"/>
      <c r="AF213" s="49">
        <f t="shared" si="114"/>
        <v>7.1</v>
      </c>
      <c r="AG213" s="3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"/>
      <c r="BE213" s="3"/>
      <c r="BF213" s="3"/>
      <c r="BH213" s="16">
        <v>30.32</v>
      </c>
      <c r="BI213" s="16">
        <f t="shared" si="104"/>
        <v>61.246400000000001</v>
      </c>
      <c r="BJ213" s="17"/>
      <c r="BK213" s="17"/>
      <c r="BP213" s="57">
        <f t="shared" si="115"/>
        <v>1.008</v>
      </c>
      <c r="BQ213" s="57">
        <f t="shared" si="116"/>
        <v>1.619</v>
      </c>
      <c r="BS213" s="3">
        <v>0</v>
      </c>
      <c r="BT213" s="8"/>
      <c r="BV213" s="16" t="s">
        <v>233</v>
      </c>
      <c r="BW213" s="16" t="s">
        <v>233</v>
      </c>
      <c r="BX213" s="3">
        <f t="shared" si="107"/>
        <v>13.7</v>
      </c>
      <c r="BY213" s="16" t="s">
        <v>233</v>
      </c>
      <c r="BZ213" s="16" t="s">
        <v>233</v>
      </c>
      <c r="CA213" s="16" t="s">
        <v>233</v>
      </c>
      <c r="CB213" s="16" t="s">
        <v>233</v>
      </c>
      <c r="CC213" s="16" t="s">
        <v>233</v>
      </c>
      <c r="CD213" s="16" t="s">
        <v>233</v>
      </c>
      <c r="CE213" s="16" t="s">
        <v>233</v>
      </c>
      <c r="CF213" s="1">
        <f t="shared" si="108"/>
        <v>21.9</v>
      </c>
      <c r="CG213" s="16" t="s">
        <v>233</v>
      </c>
      <c r="CH213" s="16" t="s">
        <v>233</v>
      </c>
      <c r="CI213" s="16" t="s">
        <v>233</v>
      </c>
      <c r="CJ213" s="16" t="s">
        <v>233</v>
      </c>
      <c r="CK213" s="16" t="s">
        <v>233</v>
      </c>
      <c r="CL213" s="16" t="s">
        <v>233</v>
      </c>
      <c r="CM213" s="16" t="s">
        <v>233</v>
      </c>
      <c r="CN213" s="1">
        <f t="shared" si="109"/>
        <v>7.1</v>
      </c>
      <c r="CO213" s="16" t="s">
        <v>233</v>
      </c>
      <c r="CP213" s="16" t="s">
        <v>233</v>
      </c>
      <c r="CQ213" s="16" t="s">
        <v>233</v>
      </c>
      <c r="CR213" s="16" t="s">
        <v>233</v>
      </c>
      <c r="CS213" s="16" t="s">
        <v>233</v>
      </c>
      <c r="CT213" s="16" t="s">
        <v>233</v>
      </c>
      <c r="CU213" s="18" t="s">
        <v>233</v>
      </c>
      <c r="CV213" s="18" t="s">
        <v>233</v>
      </c>
      <c r="CW213" s="1">
        <f>ROUND(PPTest!K213,1)</f>
        <v>0</v>
      </c>
      <c r="CX213" s="16" t="s">
        <v>233</v>
      </c>
      <c r="CY213" s="16" t="s">
        <v>233</v>
      </c>
      <c r="CZ213" s="20">
        <f t="shared" si="110"/>
        <v>1.008</v>
      </c>
      <c r="DA213" s="20">
        <f t="shared" si="111"/>
        <v>1.619</v>
      </c>
      <c r="DB213" s="16" t="s">
        <v>233</v>
      </c>
      <c r="DD213" s="1">
        <v>19.100000000000001</v>
      </c>
      <c r="DE213" s="1">
        <v>24.3</v>
      </c>
      <c r="DF213" s="1">
        <v>14.1</v>
      </c>
      <c r="DG213" s="1">
        <v>52.6</v>
      </c>
      <c r="DH213" s="1">
        <v>39</v>
      </c>
      <c r="DZ213" s="1">
        <v>15.2</v>
      </c>
      <c r="EA213" s="1">
        <v>22.3</v>
      </c>
      <c r="EB213" s="1">
        <v>8.4</v>
      </c>
      <c r="EC213" s="1">
        <v>0</v>
      </c>
    </row>
    <row r="214" spans="1:133" x14ac:dyDescent="0.2">
      <c r="A214" s="40">
        <v>35272</v>
      </c>
      <c r="B214" s="34">
        <v>208</v>
      </c>
      <c r="C214" s="34"/>
      <c r="D214" s="34"/>
      <c r="E214" s="49">
        <f t="shared" si="112"/>
        <v>14.3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6"/>
      <c r="Q214" s="3"/>
      <c r="R214" s="49">
        <f t="shared" si="113"/>
        <v>23.1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16"/>
      <c r="AE214" s="3"/>
      <c r="AF214" s="49">
        <f t="shared" si="114"/>
        <v>6.4</v>
      </c>
      <c r="AG214" s="3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"/>
      <c r="BE214" s="3"/>
      <c r="BF214" s="3"/>
      <c r="BH214" s="16">
        <v>30.17</v>
      </c>
      <c r="BI214" s="16">
        <f t="shared" si="104"/>
        <v>60.943400000000004</v>
      </c>
      <c r="BJ214" s="17"/>
      <c r="BK214" s="17"/>
      <c r="BP214" s="57">
        <f t="shared" si="115"/>
        <v>0.96099999999999997</v>
      </c>
      <c r="BQ214" s="57">
        <f t="shared" si="116"/>
        <v>1.865</v>
      </c>
      <c r="BS214" s="3">
        <v>0</v>
      </c>
      <c r="BT214" s="8"/>
      <c r="BV214" s="16" t="s">
        <v>233</v>
      </c>
      <c r="BW214" s="16" t="s">
        <v>233</v>
      </c>
      <c r="BX214" s="3">
        <f t="shared" si="107"/>
        <v>14.3</v>
      </c>
      <c r="BY214" s="16" t="s">
        <v>233</v>
      </c>
      <c r="BZ214" s="16" t="s">
        <v>233</v>
      </c>
      <c r="CA214" s="16" t="s">
        <v>233</v>
      </c>
      <c r="CB214" s="16" t="s">
        <v>233</v>
      </c>
      <c r="CC214" s="16" t="s">
        <v>233</v>
      </c>
      <c r="CD214" s="16" t="s">
        <v>233</v>
      </c>
      <c r="CE214" s="16" t="s">
        <v>233</v>
      </c>
      <c r="CF214" s="1">
        <f t="shared" si="108"/>
        <v>23.1</v>
      </c>
      <c r="CG214" s="16" t="s">
        <v>233</v>
      </c>
      <c r="CH214" s="16" t="s">
        <v>233</v>
      </c>
      <c r="CI214" s="16" t="s">
        <v>233</v>
      </c>
      <c r="CJ214" s="16" t="s">
        <v>233</v>
      </c>
      <c r="CK214" s="16" t="s">
        <v>233</v>
      </c>
      <c r="CL214" s="16" t="s">
        <v>233</v>
      </c>
      <c r="CM214" s="16" t="s">
        <v>233</v>
      </c>
      <c r="CN214" s="1">
        <f t="shared" si="109"/>
        <v>6.4</v>
      </c>
      <c r="CO214" s="16" t="s">
        <v>233</v>
      </c>
      <c r="CP214" s="16" t="s">
        <v>233</v>
      </c>
      <c r="CQ214" s="16" t="s">
        <v>233</v>
      </c>
      <c r="CR214" s="16" t="s">
        <v>233</v>
      </c>
      <c r="CS214" s="16" t="s">
        <v>233</v>
      </c>
      <c r="CT214" s="16" t="s">
        <v>233</v>
      </c>
      <c r="CU214" s="18" t="s">
        <v>233</v>
      </c>
      <c r="CV214" s="18" t="s">
        <v>233</v>
      </c>
      <c r="CW214" s="1">
        <f>ROUND(PPTest!K214,1)</f>
        <v>0</v>
      </c>
      <c r="CX214" s="16" t="s">
        <v>233</v>
      </c>
      <c r="CY214" s="16" t="s">
        <v>233</v>
      </c>
      <c r="CZ214" s="20">
        <f t="shared" si="110"/>
        <v>0.96099999999999997</v>
      </c>
      <c r="DA214" s="20">
        <f t="shared" si="111"/>
        <v>1.865</v>
      </c>
      <c r="DB214" s="16" t="s">
        <v>233</v>
      </c>
      <c r="DD214" s="1">
        <v>19.8</v>
      </c>
      <c r="DE214" s="1">
        <v>25.6</v>
      </c>
      <c r="DF214" s="1">
        <v>13.2</v>
      </c>
      <c r="DG214" s="1">
        <v>42.5</v>
      </c>
      <c r="DH214" s="1">
        <v>27</v>
      </c>
      <c r="DZ214" s="1">
        <v>17.100000000000001</v>
      </c>
      <c r="EA214" s="1">
        <v>25.1</v>
      </c>
      <c r="EB214" s="1">
        <v>6.7</v>
      </c>
      <c r="EC214" s="1">
        <v>0</v>
      </c>
    </row>
    <row r="215" spans="1:133" x14ac:dyDescent="0.2">
      <c r="A215" s="40">
        <v>35273</v>
      </c>
      <c r="B215" s="34">
        <v>209</v>
      </c>
      <c r="C215" s="34"/>
      <c r="D215" s="34"/>
      <c r="E215" s="49">
        <f t="shared" si="112"/>
        <v>15.7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6"/>
      <c r="Q215" s="3"/>
      <c r="R215" s="49">
        <f t="shared" si="113"/>
        <v>24.9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16"/>
      <c r="AE215" s="3"/>
      <c r="AF215" s="49">
        <f t="shared" si="114"/>
        <v>7.2</v>
      </c>
      <c r="AG215" s="3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"/>
      <c r="BE215" s="3"/>
      <c r="BF215" s="3"/>
      <c r="BH215" s="16">
        <v>30</v>
      </c>
      <c r="BI215" s="16">
        <f t="shared" si="104"/>
        <v>60.6</v>
      </c>
      <c r="BJ215" s="17"/>
      <c r="BK215" s="17"/>
      <c r="BP215" s="57">
        <f t="shared" si="115"/>
        <v>1.0149999999999999</v>
      </c>
      <c r="BQ215" s="57">
        <f t="shared" si="116"/>
        <v>2.133</v>
      </c>
      <c r="BS215" s="3">
        <v>0</v>
      </c>
      <c r="BT215" s="8"/>
      <c r="BV215" s="16" t="s">
        <v>233</v>
      </c>
      <c r="BW215" s="16" t="s">
        <v>233</v>
      </c>
      <c r="BX215" s="3">
        <f t="shared" si="107"/>
        <v>15.7</v>
      </c>
      <c r="BY215" s="16" t="s">
        <v>233</v>
      </c>
      <c r="BZ215" s="16" t="s">
        <v>233</v>
      </c>
      <c r="CA215" s="16" t="s">
        <v>233</v>
      </c>
      <c r="CB215" s="16" t="s">
        <v>233</v>
      </c>
      <c r="CC215" s="16" t="s">
        <v>233</v>
      </c>
      <c r="CD215" s="16" t="s">
        <v>233</v>
      </c>
      <c r="CE215" s="16" t="s">
        <v>233</v>
      </c>
      <c r="CF215" s="1">
        <f t="shared" si="108"/>
        <v>24.9</v>
      </c>
      <c r="CG215" s="16" t="s">
        <v>233</v>
      </c>
      <c r="CH215" s="16" t="s">
        <v>233</v>
      </c>
      <c r="CI215" s="16" t="s">
        <v>233</v>
      </c>
      <c r="CJ215" s="16" t="s">
        <v>233</v>
      </c>
      <c r="CK215" s="16" t="s">
        <v>233</v>
      </c>
      <c r="CL215" s="16" t="s">
        <v>233</v>
      </c>
      <c r="CM215" s="16" t="s">
        <v>233</v>
      </c>
      <c r="CN215" s="1">
        <f t="shared" si="109"/>
        <v>7.2</v>
      </c>
      <c r="CO215" s="16" t="s">
        <v>233</v>
      </c>
      <c r="CP215" s="16" t="s">
        <v>233</v>
      </c>
      <c r="CQ215" s="16" t="s">
        <v>233</v>
      </c>
      <c r="CR215" s="16" t="s">
        <v>233</v>
      </c>
      <c r="CS215" s="16" t="s">
        <v>233</v>
      </c>
      <c r="CT215" s="16" t="s">
        <v>233</v>
      </c>
      <c r="CU215" s="18" t="s">
        <v>233</v>
      </c>
      <c r="CV215" s="18" t="s">
        <v>233</v>
      </c>
      <c r="CW215" s="1">
        <f>ROUND(PPTest!K215,1)</f>
        <v>0</v>
      </c>
      <c r="CX215" s="16" t="s">
        <v>233</v>
      </c>
      <c r="CY215" s="16" t="s">
        <v>233</v>
      </c>
      <c r="CZ215" s="20">
        <f t="shared" si="110"/>
        <v>1.0149999999999999</v>
      </c>
      <c r="DA215" s="20">
        <f t="shared" si="111"/>
        <v>2.133</v>
      </c>
      <c r="DB215" s="16" t="s">
        <v>233</v>
      </c>
      <c r="DD215" s="1">
        <v>21.7</v>
      </c>
      <c r="DE215" s="1">
        <v>27.5</v>
      </c>
      <c r="DF215" s="1">
        <v>14.2</v>
      </c>
      <c r="DG215" s="1">
        <v>33.700000000000003</v>
      </c>
      <c r="DH215" s="1">
        <v>21</v>
      </c>
      <c r="DZ215" s="1">
        <v>18.7</v>
      </c>
      <c r="EA215" s="1">
        <v>27.3</v>
      </c>
      <c r="EB215" s="1">
        <v>8.6</v>
      </c>
      <c r="EC215" s="1">
        <v>0</v>
      </c>
    </row>
    <row r="216" spans="1:133" x14ac:dyDescent="0.2">
      <c r="A216" s="40">
        <v>35274</v>
      </c>
      <c r="B216" s="34">
        <v>210</v>
      </c>
      <c r="C216" s="34"/>
      <c r="D216" s="34"/>
      <c r="E216" s="49">
        <f t="shared" si="112"/>
        <v>17.3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6"/>
      <c r="Q216" s="3"/>
      <c r="R216" s="49">
        <f t="shared" si="113"/>
        <v>26.8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16"/>
      <c r="AE216" s="3"/>
      <c r="AF216" s="49">
        <f t="shared" si="114"/>
        <v>9.8000000000000007</v>
      </c>
      <c r="AG216" s="3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"/>
      <c r="BE216" s="3"/>
      <c r="BF216" s="3"/>
      <c r="BH216" s="16">
        <v>29.84</v>
      </c>
      <c r="BI216" s="16">
        <f t="shared" si="104"/>
        <v>60.276800000000001</v>
      </c>
      <c r="BJ216" s="17"/>
      <c r="BK216" s="17"/>
      <c r="BP216" s="57">
        <f t="shared" si="115"/>
        <v>1.2110000000000001</v>
      </c>
      <c r="BQ216" s="57">
        <f t="shared" si="116"/>
        <v>2.3119999999999998</v>
      </c>
      <c r="BS216" s="3">
        <v>0</v>
      </c>
      <c r="BT216" s="8"/>
      <c r="BV216" s="16" t="s">
        <v>233</v>
      </c>
      <c r="BW216" s="16" t="s">
        <v>233</v>
      </c>
      <c r="BX216" s="3">
        <f t="shared" si="107"/>
        <v>17.3</v>
      </c>
      <c r="BY216" s="16" t="s">
        <v>233</v>
      </c>
      <c r="BZ216" s="16" t="s">
        <v>233</v>
      </c>
      <c r="CA216" s="16" t="s">
        <v>233</v>
      </c>
      <c r="CB216" s="16" t="s">
        <v>233</v>
      </c>
      <c r="CC216" s="16" t="s">
        <v>233</v>
      </c>
      <c r="CD216" s="16" t="s">
        <v>233</v>
      </c>
      <c r="CE216" s="16" t="s">
        <v>233</v>
      </c>
      <c r="CF216" s="1">
        <f t="shared" si="108"/>
        <v>26.8</v>
      </c>
      <c r="CG216" s="16" t="s">
        <v>233</v>
      </c>
      <c r="CH216" s="16" t="s">
        <v>233</v>
      </c>
      <c r="CI216" s="16" t="s">
        <v>233</v>
      </c>
      <c r="CJ216" s="16" t="s">
        <v>233</v>
      </c>
      <c r="CK216" s="16" t="s">
        <v>233</v>
      </c>
      <c r="CL216" s="16" t="s">
        <v>233</v>
      </c>
      <c r="CM216" s="16" t="s">
        <v>233</v>
      </c>
      <c r="CN216" s="1">
        <f t="shared" si="109"/>
        <v>9.8000000000000007</v>
      </c>
      <c r="CO216" s="16" t="s">
        <v>233</v>
      </c>
      <c r="CP216" s="16" t="s">
        <v>233</v>
      </c>
      <c r="CQ216" s="16" t="s">
        <v>233</v>
      </c>
      <c r="CR216" s="16" t="s">
        <v>233</v>
      </c>
      <c r="CS216" s="16" t="s">
        <v>233</v>
      </c>
      <c r="CT216" s="16" t="s">
        <v>233</v>
      </c>
      <c r="CU216" s="18" t="s">
        <v>233</v>
      </c>
      <c r="CV216" s="18" t="s">
        <v>233</v>
      </c>
      <c r="CW216" s="1">
        <f>ROUND(PPTest!K216,1)</f>
        <v>0</v>
      </c>
      <c r="CX216" s="16" t="s">
        <v>233</v>
      </c>
      <c r="CY216" s="16" t="s">
        <v>233</v>
      </c>
      <c r="CZ216" s="20">
        <f t="shared" si="110"/>
        <v>1.2110000000000001</v>
      </c>
      <c r="DA216" s="20">
        <f t="shared" si="111"/>
        <v>2.3119999999999998</v>
      </c>
      <c r="DB216" s="16" t="s">
        <v>233</v>
      </c>
      <c r="DD216" s="1">
        <v>23.9</v>
      </c>
      <c r="DE216" s="1">
        <v>29.5</v>
      </c>
      <c r="DF216" s="1">
        <v>17.600000000000001</v>
      </c>
      <c r="DG216" s="1">
        <v>31.4</v>
      </c>
      <c r="DH216" s="1">
        <v>22</v>
      </c>
      <c r="DZ216" s="1">
        <v>20.100000000000001</v>
      </c>
      <c r="EA216" s="1">
        <v>28.5</v>
      </c>
      <c r="EB216" s="1">
        <v>9.4</v>
      </c>
      <c r="EC216" s="1">
        <v>0</v>
      </c>
    </row>
    <row r="217" spans="1:133" x14ac:dyDescent="0.2">
      <c r="A217" s="40">
        <v>35275</v>
      </c>
      <c r="B217" s="34">
        <v>211</v>
      </c>
      <c r="C217" s="34"/>
      <c r="D217" s="34"/>
      <c r="E217" s="49">
        <f t="shared" si="112"/>
        <v>14.7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6"/>
      <c r="Q217" s="3"/>
      <c r="R217" s="49">
        <f t="shared" si="113"/>
        <v>21.2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16"/>
      <c r="AE217" s="3"/>
      <c r="AF217" s="49">
        <f t="shared" si="114"/>
        <v>9.1999999999999993</v>
      </c>
      <c r="AG217" s="3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"/>
      <c r="BE217" s="3"/>
      <c r="BF217" s="3"/>
      <c r="BH217" s="16">
        <v>29.68</v>
      </c>
      <c r="BI217" s="16">
        <f t="shared" si="104"/>
        <v>59.953600000000002</v>
      </c>
      <c r="BJ217" s="17"/>
      <c r="BK217" s="17"/>
      <c r="BP217" s="57">
        <f t="shared" si="115"/>
        <v>1.163</v>
      </c>
      <c r="BQ217" s="57">
        <f t="shared" si="116"/>
        <v>1.3540000000000001</v>
      </c>
      <c r="BS217" s="3">
        <v>0</v>
      </c>
      <c r="BT217" s="8"/>
      <c r="BV217" s="16" t="s">
        <v>233</v>
      </c>
      <c r="BW217" s="16" t="s">
        <v>233</v>
      </c>
      <c r="BX217" s="3">
        <f t="shared" si="107"/>
        <v>14.7</v>
      </c>
      <c r="BY217" s="16" t="s">
        <v>233</v>
      </c>
      <c r="BZ217" s="16" t="s">
        <v>233</v>
      </c>
      <c r="CA217" s="16" t="s">
        <v>233</v>
      </c>
      <c r="CB217" s="16" t="s">
        <v>233</v>
      </c>
      <c r="CC217" s="16" t="s">
        <v>233</v>
      </c>
      <c r="CD217" s="16" t="s">
        <v>233</v>
      </c>
      <c r="CE217" s="16" t="s">
        <v>233</v>
      </c>
      <c r="CF217" s="1">
        <f t="shared" si="108"/>
        <v>21.2</v>
      </c>
      <c r="CG217" s="16" t="s">
        <v>233</v>
      </c>
      <c r="CH217" s="16" t="s">
        <v>233</v>
      </c>
      <c r="CI217" s="16" t="s">
        <v>233</v>
      </c>
      <c r="CJ217" s="16" t="s">
        <v>233</v>
      </c>
      <c r="CK217" s="16" t="s">
        <v>233</v>
      </c>
      <c r="CL217" s="16" t="s">
        <v>233</v>
      </c>
      <c r="CM217" s="16" t="s">
        <v>233</v>
      </c>
      <c r="CN217" s="1">
        <f t="shared" si="109"/>
        <v>9.1999999999999993</v>
      </c>
      <c r="CO217" s="16" t="s">
        <v>233</v>
      </c>
      <c r="CP217" s="16" t="s">
        <v>233</v>
      </c>
      <c r="CQ217" s="16" t="s">
        <v>233</v>
      </c>
      <c r="CR217" s="16" t="s">
        <v>233</v>
      </c>
      <c r="CS217" s="16" t="s">
        <v>233</v>
      </c>
      <c r="CT217" s="16" t="s">
        <v>233</v>
      </c>
      <c r="CU217" s="18" t="s">
        <v>233</v>
      </c>
      <c r="CV217" s="18" t="s">
        <v>233</v>
      </c>
      <c r="CW217" s="1">
        <f>ROUND(PPTest!K217,1)</f>
        <v>0</v>
      </c>
      <c r="CX217" s="16" t="s">
        <v>233</v>
      </c>
      <c r="CY217" s="16" t="s">
        <v>233</v>
      </c>
      <c r="CZ217" s="20">
        <f t="shared" si="110"/>
        <v>1.163</v>
      </c>
      <c r="DA217" s="20">
        <f t="shared" si="111"/>
        <v>1.3540000000000001</v>
      </c>
      <c r="DB217" s="16" t="s">
        <v>233</v>
      </c>
      <c r="DD217" s="1">
        <v>20.399999999999999</v>
      </c>
      <c r="DE217" s="1">
        <v>23.6</v>
      </c>
      <c r="DF217" s="1">
        <v>16.899999999999999</v>
      </c>
      <c r="DG217" s="1">
        <v>56</v>
      </c>
      <c r="DH217" s="1">
        <v>38</v>
      </c>
      <c r="DZ217" s="1">
        <v>16.3</v>
      </c>
      <c r="EA217" s="1">
        <v>20.5</v>
      </c>
      <c r="EB217" s="1">
        <v>11.1</v>
      </c>
      <c r="EC217" s="1">
        <v>0.3</v>
      </c>
    </row>
    <row r="218" spans="1:133" x14ac:dyDescent="0.2">
      <c r="A218" s="40">
        <v>35276</v>
      </c>
      <c r="B218" s="34">
        <v>212</v>
      </c>
      <c r="C218" s="34">
        <v>25.7</v>
      </c>
      <c r="D218" s="34">
        <v>50.61</v>
      </c>
      <c r="E218" s="34">
        <v>15.85</v>
      </c>
      <c r="F218" s="34">
        <v>61.96</v>
      </c>
      <c r="G218" s="34">
        <v>15.55</v>
      </c>
      <c r="H218" s="34">
        <v>15.18</v>
      </c>
      <c r="I218" s="34">
        <v>14.08</v>
      </c>
      <c r="J218" s="34">
        <v>16.39</v>
      </c>
      <c r="K218" s="34">
        <v>16.77</v>
      </c>
      <c r="L218" s="34">
        <v>12.92</v>
      </c>
      <c r="M218" s="34">
        <v>11.16</v>
      </c>
      <c r="N218" s="34">
        <v>8.92</v>
      </c>
      <c r="O218" s="34">
        <v>1E-3</v>
      </c>
      <c r="P218" s="41">
        <v>2.4375</v>
      </c>
      <c r="Q218" s="34">
        <v>0</v>
      </c>
      <c r="R218" s="34">
        <v>22.27</v>
      </c>
      <c r="S218" s="34">
        <v>1619</v>
      </c>
      <c r="T218" s="34">
        <v>100.9</v>
      </c>
      <c r="U218" s="34">
        <v>318</v>
      </c>
      <c r="V218" s="34">
        <v>22.86</v>
      </c>
      <c r="W218" s="34">
        <v>25.39</v>
      </c>
      <c r="X218" s="34">
        <v>28.66</v>
      </c>
      <c r="Y218" s="34">
        <v>26.27</v>
      </c>
      <c r="Z218" s="34">
        <v>25.78</v>
      </c>
      <c r="AA218" s="34">
        <v>15.51</v>
      </c>
      <c r="AB218" s="34">
        <v>11.53</v>
      </c>
      <c r="AC218" s="34">
        <v>9.14</v>
      </c>
      <c r="AD218" s="41">
        <v>6.5808333333333326</v>
      </c>
      <c r="AE218" s="34">
        <v>1534</v>
      </c>
      <c r="AF218" s="34">
        <v>5.7119999999999997</v>
      </c>
      <c r="AG218" s="34">
        <v>0</v>
      </c>
      <c r="AH218" s="34">
        <v>23.68</v>
      </c>
      <c r="AI218" s="34">
        <v>2203</v>
      </c>
      <c r="AJ218" s="34">
        <v>4.4260000000000002</v>
      </c>
      <c r="AK218" s="34">
        <v>2.77</v>
      </c>
      <c r="AL218" s="34">
        <v>-0.84699999999999998</v>
      </c>
      <c r="AM218" s="34">
        <v>3.339</v>
      </c>
      <c r="AN218" s="34">
        <v>3.8769999999999998</v>
      </c>
      <c r="AO218" s="34">
        <v>10.75</v>
      </c>
      <c r="AP218" s="34">
        <v>10.82</v>
      </c>
      <c r="AQ218" s="34">
        <v>8.75</v>
      </c>
      <c r="AR218" s="34">
        <v>1.7999999999999999E-2</v>
      </c>
      <c r="AS218" s="34">
        <v>0.20599999999999999</v>
      </c>
      <c r="AT218" s="34">
        <v>0.108</v>
      </c>
      <c r="AU218" s="34">
        <v>2.7E-2</v>
      </c>
      <c r="AV218" s="34">
        <v>0.13100000000000001</v>
      </c>
      <c r="AW218" s="34">
        <v>0.34</v>
      </c>
      <c r="AX218" s="34">
        <v>0.14499999999999999</v>
      </c>
      <c r="AY218" s="34">
        <v>2.5999999999999999E-2</v>
      </c>
      <c r="AZ218" s="34">
        <v>15.79</v>
      </c>
      <c r="BA218" s="34">
        <v>3474</v>
      </c>
      <c r="BB218" s="34">
        <v>12.86</v>
      </c>
      <c r="BC218" s="34">
        <v>2876</v>
      </c>
      <c r="BD218" s="3"/>
      <c r="BE218" s="3"/>
      <c r="BF218" s="3"/>
      <c r="BH218" s="16">
        <v>29.51</v>
      </c>
      <c r="BI218" s="16">
        <f t="shared" si="104"/>
        <v>59.610200000000006</v>
      </c>
      <c r="BJ218" s="17">
        <f t="shared" ref="BJ218:BJ251" si="117">ROUND(C218*BJ$2,2)</f>
        <v>25.7</v>
      </c>
      <c r="BK218" s="17">
        <f t="shared" ref="BK218:BK251" si="118">ROUND(D218*BK$2,2)</f>
        <v>53.11</v>
      </c>
      <c r="BM218" s="1">
        <f t="shared" ref="BM218:BM251" si="119">ROUND(T218*BM$3+BM$4,1)</f>
        <v>94.2</v>
      </c>
      <c r="BN218" s="1">
        <f t="shared" ref="BN218:BN251" si="120">ROUND(F218*BM$3+BM$4,1)</f>
        <v>58.3</v>
      </c>
      <c r="BO218" s="1">
        <f t="shared" ref="BO218:BO251" si="121">ROUND(AH218*BM$3+BM$4,1)</f>
        <v>22.9</v>
      </c>
      <c r="BP218" s="57">
        <f t="shared" si="115"/>
        <v>0.91600000000000004</v>
      </c>
      <c r="BQ218" s="57">
        <f t="shared" si="116"/>
        <v>1.7709999999999999</v>
      </c>
      <c r="BS218" s="3">
        <v>0</v>
      </c>
      <c r="BT218" s="8"/>
      <c r="BV218" s="16">
        <f t="shared" si="105"/>
        <v>25.7</v>
      </c>
      <c r="BW218" s="16">
        <f t="shared" si="106"/>
        <v>53.11</v>
      </c>
      <c r="BX218" s="3">
        <f t="shared" si="107"/>
        <v>15.9</v>
      </c>
      <c r="BY218" s="3">
        <f t="shared" ref="BY218:BY251" si="122">ROUND(G218,1)</f>
        <v>15.6</v>
      </c>
      <c r="BZ218" s="3">
        <f t="shared" ref="BZ218:BZ251" si="123">ROUND(H218,1)</f>
        <v>15.2</v>
      </c>
      <c r="CA218" s="3">
        <f t="shared" ref="CA218:CA251" si="124">ROUND(I218,1)</f>
        <v>14.1</v>
      </c>
      <c r="CB218" s="3">
        <f t="shared" ref="CB218:CB251" si="125">ROUND(L218,1)</f>
        <v>12.9</v>
      </c>
      <c r="CC218" s="3">
        <f t="shared" ref="CC218:CC251" si="126">ROUND(M218,1)</f>
        <v>11.2</v>
      </c>
      <c r="CD218" s="3">
        <f t="shared" ref="CD218:CD251" si="127">ROUND(N218,1)</f>
        <v>8.9</v>
      </c>
      <c r="CE218" s="23">
        <f t="shared" ref="CE218:CE251" si="128">ROUND(BN218,1)</f>
        <v>58.3</v>
      </c>
      <c r="CF218" s="1">
        <f t="shared" si="108"/>
        <v>22.3</v>
      </c>
      <c r="CG218" s="1">
        <f t="shared" ref="CG218:CG251" si="129">ROUND(V218,1)</f>
        <v>22.9</v>
      </c>
      <c r="CH218" s="1">
        <f t="shared" ref="CH218:CH251" si="130">ROUND(W218,1)</f>
        <v>25.4</v>
      </c>
      <c r="CI218" s="1">
        <f t="shared" ref="CI218:CI251" si="131">ROUND(X218,1)</f>
        <v>28.7</v>
      </c>
      <c r="CJ218" s="1">
        <f t="shared" ref="CJ218:CJ251" si="132">ROUND(AA218,1)</f>
        <v>15.5</v>
      </c>
      <c r="CK218" s="1">
        <f t="shared" ref="CK218:CK251" si="133">ROUND(AB218,1)</f>
        <v>11.5</v>
      </c>
      <c r="CL218" s="1">
        <f t="shared" ref="CL218:CL251" si="134">ROUND(AC218,1)</f>
        <v>9.1</v>
      </c>
      <c r="CM218" s="2">
        <f t="shared" ref="CM218:CM251" si="135">ROUND(BM218,1)</f>
        <v>94.2</v>
      </c>
      <c r="CN218" s="1">
        <f t="shared" si="109"/>
        <v>5.7</v>
      </c>
      <c r="CO218" s="1">
        <f t="shared" ref="CO218:CO251" si="136">ROUND(AJ218,1)</f>
        <v>4.4000000000000004</v>
      </c>
      <c r="CP218" s="1">
        <f t="shared" ref="CP218:CP251" si="137">ROUND(AK218,1)</f>
        <v>2.8</v>
      </c>
      <c r="CQ218" s="1">
        <f t="shared" ref="CQ218:CQ251" si="138">ROUND(AL218,1)</f>
        <v>-0.8</v>
      </c>
      <c r="CR218" s="1">
        <f t="shared" ref="CR218:CR251" si="139">ROUND(AO218,1)</f>
        <v>10.8</v>
      </c>
      <c r="CS218" s="1">
        <f t="shared" ref="CS218:CS251" si="140">ROUND(AP218,1)</f>
        <v>10.8</v>
      </c>
      <c r="CT218" s="1">
        <f t="shared" ref="CT218:CT251" si="141">ROUND(AQ218,1)</f>
        <v>8.8000000000000007</v>
      </c>
      <c r="CU218" s="2">
        <f t="shared" ref="CU218:CU249" si="142">ROUND(BO218,1)</f>
        <v>22.9</v>
      </c>
      <c r="CV218" s="18" t="s">
        <v>233</v>
      </c>
      <c r="CW218" s="1">
        <f>ROUND(PPTest!K218,1)</f>
        <v>0</v>
      </c>
      <c r="CX218" s="17">
        <f t="shared" ref="CX218:CX251" si="143">ROUND(P218,2)</f>
        <v>2.44</v>
      </c>
      <c r="CY218" s="17">
        <f t="shared" ref="CY218:CY251" si="144">ROUND(AD218,2)</f>
        <v>6.58</v>
      </c>
      <c r="CZ218" s="20">
        <f t="shared" si="110"/>
        <v>0.91600000000000004</v>
      </c>
      <c r="DA218" s="20">
        <f t="shared" si="111"/>
        <v>1.7709999999999999</v>
      </c>
      <c r="DB218" s="16">
        <f t="shared" ref="DB218:DB251" si="145">BB218</f>
        <v>12.86</v>
      </c>
      <c r="DD218" s="1">
        <v>19.7</v>
      </c>
      <c r="DE218" s="1">
        <v>25.7</v>
      </c>
      <c r="DF218" s="1">
        <v>13</v>
      </c>
      <c r="DG218" s="1">
        <v>50.8</v>
      </c>
      <c r="DH218" s="1">
        <v>12</v>
      </c>
      <c r="DZ218" s="1">
        <v>15.5</v>
      </c>
      <c r="EA218" s="1">
        <v>22.5</v>
      </c>
      <c r="EB218" s="1">
        <v>8.6999999999999993</v>
      </c>
      <c r="EC218" s="1">
        <v>0</v>
      </c>
    </row>
    <row r="219" spans="1:133" x14ac:dyDescent="0.2">
      <c r="A219" s="40">
        <v>35277</v>
      </c>
      <c r="B219" s="34">
        <v>213</v>
      </c>
      <c r="C219" s="34">
        <v>29.37</v>
      </c>
      <c r="D219" s="34">
        <v>57.63</v>
      </c>
      <c r="E219" s="34">
        <v>10.42</v>
      </c>
      <c r="F219" s="34">
        <v>58.47</v>
      </c>
      <c r="G219" s="34">
        <v>10.19</v>
      </c>
      <c r="H219" s="34">
        <v>9.75</v>
      </c>
      <c r="I219" s="34">
        <v>9.6199999999999992</v>
      </c>
      <c r="J219" s="34">
        <v>11.39</v>
      </c>
      <c r="K219" s="34">
        <v>11.7</v>
      </c>
      <c r="L219" s="34">
        <v>11.33</v>
      </c>
      <c r="M219" s="34">
        <v>10.8</v>
      </c>
      <c r="N219" s="34">
        <v>8.98</v>
      </c>
      <c r="O219" s="34">
        <v>1E-3</v>
      </c>
      <c r="P219" s="41">
        <v>2.1991666666666667</v>
      </c>
      <c r="Q219" s="34">
        <v>0</v>
      </c>
      <c r="R219" s="34">
        <v>17.75</v>
      </c>
      <c r="S219" s="34">
        <v>1621</v>
      </c>
      <c r="T219" s="34">
        <v>93.6</v>
      </c>
      <c r="U219" s="34">
        <v>500</v>
      </c>
      <c r="V219" s="34">
        <v>18.600000000000001</v>
      </c>
      <c r="W219" s="34">
        <v>21.38</v>
      </c>
      <c r="X219" s="34">
        <v>25.22</v>
      </c>
      <c r="Y219" s="34">
        <v>21.76</v>
      </c>
      <c r="Z219" s="34">
        <v>22.71</v>
      </c>
      <c r="AA219" s="34">
        <v>14.21</v>
      </c>
      <c r="AB219" s="34">
        <v>11.35</v>
      </c>
      <c r="AC219" s="34">
        <v>9.27</v>
      </c>
      <c r="AD219" s="41">
        <v>5.6875</v>
      </c>
      <c r="AE219" s="34">
        <v>1501</v>
      </c>
      <c r="AF219" s="34">
        <v>2.0230000000000001</v>
      </c>
      <c r="AG219" s="34">
        <v>500</v>
      </c>
      <c r="AH219" s="34">
        <v>24.93</v>
      </c>
      <c r="AI219" s="34">
        <v>1712</v>
      </c>
      <c r="AJ219" s="34">
        <v>0.98899999999999999</v>
      </c>
      <c r="AK219" s="34">
        <v>-0.19400000000000001</v>
      </c>
      <c r="AL219" s="34">
        <v>-2.4209999999999998</v>
      </c>
      <c r="AM219" s="34">
        <v>9.6000000000000002E-2</v>
      </c>
      <c r="AN219" s="34">
        <v>0.438</v>
      </c>
      <c r="AO219" s="34">
        <v>8.73</v>
      </c>
      <c r="AP219" s="34">
        <v>10.47</v>
      </c>
      <c r="AQ219" s="34">
        <v>8.68</v>
      </c>
      <c r="AR219" s="34">
        <v>1.0999999999999999E-2</v>
      </c>
      <c r="AS219" s="34">
        <v>0.34</v>
      </c>
      <c r="AT219" s="34">
        <v>0.125</v>
      </c>
      <c r="AU219" s="34">
        <v>1.4999999999999999E-2</v>
      </c>
      <c r="AV219" s="34">
        <v>0.109</v>
      </c>
      <c r="AW219" s="34">
        <v>0.26</v>
      </c>
      <c r="AX219" s="34">
        <v>0.114</v>
      </c>
      <c r="AY219" s="34">
        <v>2.5999999999999999E-2</v>
      </c>
      <c r="AZ219" s="34">
        <v>10.81</v>
      </c>
      <c r="BA219" s="34">
        <v>3474</v>
      </c>
      <c r="BB219" s="34">
        <v>12.89</v>
      </c>
      <c r="BC219" s="34">
        <v>2876</v>
      </c>
      <c r="BD219" s="3"/>
      <c r="BE219" s="3"/>
      <c r="BF219" s="3"/>
      <c r="BH219" s="16">
        <v>29.34</v>
      </c>
      <c r="BI219" s="16">
        <f t="shared" si="104"/>
        <v>59.266800000000003</v>
      </c>
      <c r="BJ219" s="17">
        <f t="shared" si="117"/>
        <v>29.37</v>
      </c>
      <c r="BK219" s="17">
        <f t="shared" si="118"/>
        <v>60.48</v>
      </c>
      <c r="BM219" s="1">
        <f t="shared" si="119"/>
        <v>87.5</v>
      </c>
      <c r="BN219" s="1">
        <f t="shared" si="120"/>
        <v>55</v>
      </c>
      <c r="BO219" s="1">
        <f t="shared" si="121"/>
        <v>24</v>
      </c>
      <c r="BP219" s="57">
        <f t="shared" si="115"/>
        <v>0.70599999999999996</v>
      </c>
      <c r="BQ219" s="57">
        <f t="shared" si="116"/>
        <v>1.325</v>
      </c>
      <c r="BS219" s="3">
        <v>0</v>
      </c>
      <c r="BT219" s="8"/>
      <c r="BV219" s="16">
        <f t="shared" si="105"/>
        <v>29.37</v>
      </c>
      <c r="BW219" s="16">
        <f t="shared" si="106"/>
        <v>60.48</v>
      </c>
      <c r="BX219" s="3">
        <f t="shared" si="107"/>
        <v>10.4</v>
      </c>
      <c r="BY219" s="3">
        <f t="shared" si="122"/>
        <v>10.199999999999999</v>
      </c>
      <c r="BZ219" s="3">
        <f t="shared" si="123"/>
        <v>9.8000000000000007</v>
      </c>
      <c r="CA219" s="3">
        <f t="shared" si="124"/>
        <v>9.6</v>
      </c>
      <c r="CB219" s="3">
        <f t="shared" si="125"/>
        <v>11.3</v>
      </c>
      <c r="CC219" s="3">
        <f t="shared" si="126"/>
        <v>10.8</v>
      </c>
      <c r="CD219" s="3">
        <f t="shared" si="127"/>
        <v>9</v>
      </c>
      <c r="CE219" s="23">
        <f t="shared" si="128"/>
        <v>55</v>
      </c>
      <c r="CF219" s="1">
        <f t="shared" si="108"/>
        <v>17.8</v>
      </c>
      <c r="CG219" s="1">
        <f t="shared" si="129"/>
        <v>18.600000000000001</v>
      </c>
      <c r="CH219" s="1">
        <f t="shared" si="130"/>
        <v>21.4</v>
      </c>
      <c r="CI219" s="1">
        <f t="shared" si="131"/>
        <v>25.2</v>
      </c>
      <c r="CJ219" s="1">
        <f t="shared" si="132"/>
        <v>14.2</v>
      </c>
      <c r="CK219" s="1">
        <f t="shared" si="133"/>
        <v>11.4</v>
      </c>
      <c r="CL219" s="1">
        <f t="shared" si="134"/>
        <v>9.3000000000000007</v>
      </c>
      <c r="CM219" s="2">
        <f t="shared" si="135"/>
        <v>87.5</v>
      </c>
      <c r="CN219" s="1">
        <f t="shared" si="109"/>
        <v>2</v>
      </c>
      <c r="CO219" s="1">
        <f t="shared" si="136"/>
        <v>1</v>
      </c>
      <c r="CP219" s="1">
        <f t="shared" si="137"/>
        <v>-0.2</v>
      </c>
      <c r="CQ219" s="1">
        <f t="shared" si="138"/>
        <v>-2.4</v>
      </c>
      <c r="CR219" s="1">
        <f t="shared" si="139"/>
        <v>8.6999999999999993</v>
      </c>
      <c r="CS219" s="1">
        <f t="shared" si="140"/>
        <v>10.5</v>
      </c>
      <c r="CT219" s="1">
        <f t="shared" si="141"/>
        <v>8.6999999999999993</v>
      </c>
      <c r="CU219" s="2">
        <f t="shared" si="142"/>
        <v>24</v>
      </c>
      <c r="CV219" s="18" t="s">
        <v>233</v>
      </c>
      <c r="CW219" s="1">
        <f>ROUND(PPTest!K219,1)</f>
        <v>0</v>
      </c>
      <c r="CX219" s="17">
        <f t="shared" si="143"/>
        <v>2.2000000000000002</v>
      </c>
      <c r="CY219" s="17">
        <f t="shared" si="144"/>
        <v>5.69</v>
      </c>
      <c r="CZ219" s="20">
        <f t="shared" si="110"/>
        <v>0.70599999999999996</v>
      </c>
      <c r="DA219" s="20">
        <f t="shared" si="111"/>
        <v>1.325</v>
      </c>
      <c r="DB219" s="16">
        <f t="shared" si="145"/>
        <v>12.89</v>
      </c>
      <c r="DD219" s="1">
        <v>15.7</v>
      </c>
      <c r="DE219" s="1">
        <v>20.5</v>
      </c>
      <c r="DF219" s="1">
        <v>9.6999999999999993</v>
      </c>
      <c r="DG219" s="1">
        <v>43.8</v>
      </c>
      <c r="DH219" s="1">
        <v>30</v>
      </c>
      <c r="DZ219" s="1">
        <v>12.5</v>
      </c>
      <c r="EA219" s="1">
        <v>21</v>
      </c>
      <c r="EB219" s="1">
        <v>3.3</v>
      </c>
      <c r="EC219" s="1">
        <v>0</v>
      </c>
    </row>
    <row r="220" spans="1:133" x14ac:dyDescent="0.2">
      <c r="A220" s="40">
        <v>35278</v>
      </c>
      <c r="B220" s="34">
        <v>214</v>
      </c>
      <c r="C220" s="34">
        <v>29.26</v>
      </c>
      <c r="D220" s="34">
        <v>57.37</v>
      </c>
      <c r="E220" s="34">
        <v>11.8</v>
      </c>
      <c r="F220" s="34">
        <v>57.72</v>
      </c>
      <c r="G220" s="34">
        <v>11.61</v>
      </c>
      <c r="H220" s="34">
        <v>11.19</v>
      </c>
      <c r="I220" s="34">
        <v>10.8</v>
      </c>
      <c r="J220" s="34">
        <v>12.79</v>
      </c>
      <c r="K220" s="34">
        <v>13.03</v>
      </c>
      <c r="L220" s="34">
        <v>10.97</v>
      </c>
      <c r="M220" s="34">
        <v>10.36</v>
      </c>
      <c r="N220" s="34">
        <v>9</v>
      </c>
      <c r="O220" s="34">
        <v>0</v>
      </c>
      <c r="P220" s="41">
        <v>2.3008333333333333</v>
      </c>
      <c r="Q220" s="34">
        <v>0</v>
      </c>
      <c r="R220" s="34">
        <v>20.5</v>
      </c>
      <c r="S220" s="34">
        <v>1528</v>
      </c>
      <c r="T220" s="34">
        <v>97.1</v>
      </c>
      <c r="U220" s="34">
        <v>442</v>
      </c>
      <c r="V220" s="34">
        <v>21.17</v>
      </c>
      <c r="W220" s="34">
        <v>23.83</v>
      </c>
      <c r="X220" s="34">
        <v>28.13</v>
      </c>
      <c r="Y220" s="34">
        <v>24.87</v>
      </c>
      <c r="Z220" s="34">
        <v>25.07</v>
      </c>
      <c r="AA220" s="34">
        <v>14.13</v>
      </c>
      <c r="AB220" s="34">
        <v>10.74</v>
      </c>
      <c r="AC220" s="34">
        <v>9.2799999999999994</v>
      </c>
      <c r="AD220" s="41">
        <v>5.6741666666666664</v>
      </c>
      <c r="AE220" s="34">
        <v>1648</v>
      </c>
      <c r="AF220" s="34">
        <v>0.89</v>
      </c>
      <c r="AG220" s="34">
        <v>458</v>
      </c>
      <c r="AH220" s="34">
        <v>20.67</v>
      </c>
      <c r="AI220" s="34">
        <v>1431</v>
      </c>
      <c r="AJ220" s="34">
        <v>0.16200000000000001</v>
      </c>
      <c r="AK220" s="34">
        <v>-0.60499999999999998</v>
      </c>
      <c r="AL220" s="34">
        <v>-2.0459999999999998</v>
      </c>
      <c r="AM220" s="34">
        <v>-0.56000000000000005</v>
      </c>
      <c r="AN220" s="34">
        <v>-0.38700000000000001</v>
      </c>
      <c r="AO220" s="34">
        <v>7.95</v>
      </c>
      <c r="AP220" s="34">
        <v>10.01</v>
      </c>
      <c r="AQ220" s="34">
        <v>8.74</v>
      </c>
      <c r="AR220" s="34">
        <v>8.0000000000000002E-3</v>
      </c>
      <c r="AS220" s="34">
        <v>0.25600000000000001</v>
      </c>
      <c r="AT220" s="34">
        <v>0.24399999999999999</v>
      </c>
      <c r="AU220" s="34">
        <v>8.0000000000000002E-3</v>
      </c>
      <c r="AV220" s="34">
        <v>7.2999999999999995E-2</v>
      </c>
      <c r="AW220" s="34">
        <v>0.249</v>
      </c>
      <c r="AX220" s="34">
        <v>0.13500000000000001</v>
      </c>
      <c r="AY220" s="34">
        <v>2.5999999999999999E-2</v>
      </c>
      <c r="AZ220" s="34">
        <v>11.93</v>
      </c>
      <c r="BA220" s="34">
        <v>3474</v>
      </c>
      <c r="BB220" s="34">
        <v>12.86</v>
      </c>
      <c r="BC220" s="34">
        <v>2876</v>
      </c>
      <c r="BD220" s="3"/>
      <c r="BE220" s="3"/>
      <c r="BF220" s="3"/>
      <c r="BH220" s="16">
        <v>29.17</v>
      </c>
      <c r="BI220" s="16">
        <f t="shared" si="104"/>
        <v>58.923400000000001</v>
      </c>
      <c r="BJ220" s="17">
        <f t="shared" si="117"/>
        <v>29.26</v>
      </c>
      <c r="BK220" s="17">
        <f t="shared" si="118"/>
        <v>60.2</v>
      </c>
      <c r="BM220" s="1">
        <f t="shared" si="119"/>
        <v>90.7</v>
      </c>
      <c r="BN220" s="1">
        <f t="shared" si="120"/>
        <v>54.3</v>
      </c>
      <c r="BO220" s="1">
        <f t="shared" si="121"/>
        <v>20.100000000000001</v>
      </c>
      <c r="BP220" s="56">
        <f t="shared" ref="BP220:BP283" si="146">ROUND(0.6105*(EXP((17.273*R220)/(R220+237.3)))*BO220/100, 3)</f>
        <v>0.48499999999999999</v>
      </c>
      <c r="BQ220" s="56">
        <f t="shared" ref="BQ220:BQ283" si="147">ROUND((100-BO220)*BP220/BO220,3)</f>
        <v>1.9279999999999999</v>
      </c>
      <c r="BS220" s="3">
        <v>0</v>
      </c>
      <c r="BT220" s="8"/>
      <c r="BV220" s="16">
        <f t="shared" si="105"/>
        <v>29.26</v>
      </c>
      <c r="BW220" s="16">
        <f t="shared" si="106"/>
        <v>60.2</v>
      </c>
      <c r="BX220" s="3">
        <f t="shared" si="107"/>
        <v>11.8</v>
      </c>
      <c r="BY220" s="3">
        <f t="shared" si="122"/>
        <v>11.6</v>
      </c>
      <c r="BZ220" s="3">
        <f t="shared" si="123"/>
        <v>11.2</v>
      </c>
      <c r="CA220" s="3">
        <f t="shared" si="124"/>
        <v>10.8</v>
      </c>
      <c r="CB220" s="3">
        <f t="shared" si="125"/>
        <v>11</v>
      </c>
      <c r="CC220" s="3">
        <f t="shared" si="126"/>
        <v>10.4</v>
      </c>
      <c r="CD220" s="3">
        <f t="shared" si="127"/>
        <v>9</v>
      </c>
      <c r="CE220" s="23">
        <f t="shared" si="128"/>
        <v>54.3</v>
      </c>
      <c r="CF220" s="1">
        <f t="shared" si="108"/>
        <v>20.5</v>
      </c>
      <c r="CG220" s="1">
        <f t="shared" si="129"/>
        <v>21.2</v>
      </c>
      <c r="CH220" s="1">
        <f t="shared" si="130"/>
        <v>23.8</v>
      </c>
      <c r="CI220" s="1">
        <f t="shared" si="131"/>
        <v>28.1</v>
      </c>
      <c r="CJ220" s="1">
        <f t="shared" si="132"/>
        <v>14.1</v>
      </c>
      <c r="CK220" s="1">
        <f t="shared" si="133"/>
        <v>10.7</v>
      </c>
      <c r="CL220" s="1">
        <f t="shared" si="134"/>
        <v>9.3000000000000007</v>
      </c>
      <c r="CM220" s="2">
        <f t="shared" si="135"/>
        <v>90.7</v>
      </c>
      <c r="CN220" s="1">
        <f t="shared" si="109"/>
        <v>0.9</v>
      </c>
      <c r="CO220" s="1">
        <f t="shared" si="136"/>
        <v>0.2</v>
      </c>
      <c r="CP220" s="1">
        <f t="shared" si="137"/>
        <v>-0.6</v>
      </c>
      <c r="CQ220" s="1">
        <f t="shared" si="138"/>
        <v>-2</v>
      </c>
      <c r="CR220" s="1">
        <f t="shared" si="139"/>
        <v>8</v>
      </c>
      <c r="CS220" s="1">
        <f t="shared" si="140"/>
        <v>10</v>
      </c>
      <c r="CT220" s="1">
        <f t="shared" si="141"/>
        <v>8.6999999999999993</v>
      </c>
      <c r="CU220" s="2">
        <f t="shared" si="142"/>
        <v>20.100000000000001</v>
      </c>
      <c r="CV220" s="18" t="s">
        <v>233</v>
      </c>
      <c r="CW220" s="1">
        <f>ROUND(PPTest!K220,1)</f>
        <v>0</v>
      </c>
      <c r="CX220" s="17">
        <f t="shared" si="143"/>
        <v>2.2999999999999998</v>
      </c>
      <c r="CY220" s="17">
        <f t="shared" si="144"/>
        <v>5.67</v>
      </c>
      <c r="CZ220" s="20">
        <f t="shared" si="110"/>
        <v>0.48499999999999999</v>
      </c>
      <c r="DA220" s="20">
        <f t="shared" si="111"/>
        <v>1.9279999999999999</v>
      </c>
      <c r="DB220" s="16">
        <f t="shared" si="145"/>
        <v>12.86</v>
      </c>
      <c r="DD220" s="1">
        <v>17.3</v>
      </c>
      <c r="DE220" s="1">
        <v>23.5</v>
      </c>
      <c r="DF220" s="1">
        <v>10.9</v>
      </c>
      <c r="DG220" s="1">
        <v>39</v>
      </c>
      <c r="DH220" s="1">
        <v>17</v>
      </c>
      <c r="DZ220" s="1">
        <v>13.6</v>
      </c>
      <c r="EA220" s="1">
        <v>21.3</v>
      </c>
      <c r="EB220" s="1">
        <v>3.7</v>
      </c>
      <c r="EC220" s="1">
        <v>0</v>
      </c>
    </row>
    <row r="221" spans="1:133" x14ac:dyDescent="0.2">
      <c r="A221" s="40">
        <v>35279</v>
      </c>
      <c r="B221" s="34">
        <v>215</v>
      </c>
      <c r="C221" s="34">
        <v>11.93</v>
      </c>
      <c r="D221" s="34">
        <v>24.32</v>
      </c>
      <c r="E221" s="34">
        <v>6.2160000000000002</v>
      </c>
      <c r="F221" s="34">
        <v>91.8</v>
      </c>
      <c r="G221" s="34">
        <v>6.1040000000000001</v>
      </c>
      <c r="H221" s="34">
        <v>5.96</v>
      </c>
      <c r="I221" s="34">
        <v>6.133</v>
      </c>
      <c r="J221" s="34">
        <v>6.1210000000000004</v>
      </c>
      <c r="K221" s="34">
        <v>6.4690000000000003</v>
      </c>
      <c r="L221" s="34">
        <v>9.5</v>
      </c>
      <c r="M221" s="34">
        <v>10.01</v>
      </c>
      <c r="N221" s="34">
        <v>8.9700000000000006</v>
      </c>
      <c r="O221" s="34">
        <v>0</v>
      </c>
      <c r="P221" s="41">
        <v>1.8491666666666668</v>
      </c>
      <c r="Q221" s="34">
        <v>5</v>
      </c>
      <c r="R221" s="34">
        <v>10.68</v>
      </c>
      <c r="S221" s="34">
        <v>1536</v>
      </c>
      <c r="T221" s="34">
        <v>105.4</v>
      </c>
      <c r="U221" s="34">
        <v>2230</v>
      </c>
      <c r="V221" s="34">
        <v>12.06</v>
      </c>
      <c r="W221" s="34">
        <v>14.25</v>
      </c>
      <c r="X221" s="34">
        <v>17.16</v>
      </c>
      <c r="Y221" s="34">
        <v>13.75</v>
      </c>
      <c r="Z221" s="34">
        <v>13.65</v>
      </c>
      <c r="AA221" s="34">
        <v>11.16</v>
      </c>
      <c r="AB221" s="34">
        <v>10.53</v>
      </c>
      <c r="AC221" s="34">
        <v>9.17</v>
      </c>
      <c r="AD221" s="41">
        <v>4.8341666666666665</v>
      </c>
      <c r="AE221" s="34">
        <v>909</v>
      </c>
      <c r="AF221" s="34">
        <v>2.0459999999999998</v>
      </c>
      <c r="AG221" s="34">
        <v>514</v>
      </c>
      <c r="AH221" s="34">
        <v>58.4</v>
      </c>
      <c r="AI221" s="34">
        <v>843</v>
      </c>
      <c r="AJ221" s="34">
        <v>1.228</v>
      </c>
      <c r="AK221" s="34">
        <v>0.35899999999999999</v>
      </c>
      <c r="AL221" s="34">
        <v>-1.879</v>
      </c>
      <c r="AM221" s="34">
        <v>0.51400000000000001</v>
      </c>
      <c r="AN221" s="34">
        <v>0.71</v>
      </c>
      <c r="AO221" s="34">
        <v>8.16</v>
      </c>
      <c r="AP221" s="34">
        <v>9.69</v>
      </c>
      <c r="AQ221" s="34">
        <v>8.7799999999999994</v>
      </c>
      <c r="AR221" s="34">
        <v>2.1000000000000001E-2</v>
      </c>
      <c r="AS221" s="34">
        <v>0.156</v>
      </c>
      <c r="AT221" s="34">
        <v>0.20100000000000001</v>
      </c>
      <c r="AU221" s="34">
        <v>1.4999999999999999E-2</v>
      </c>
      <c r="AV221" s="34">
        <v>6.2E-2</v>
      </c>
      <c r="AW221" s="34">
        <v>0.34300000000000003</v>
      </c>
      <c r="AX221" s="34">
        <v>0.17599999999999999</v>
      </c>
      <c r="AY221" s="34">
        <v>2.5999999999999999E-2</v>
      </c>
      <c r="AZ221" s="34">
        <v>6.2110000000000003</v>
      </c>
      <c r="BA221" s="34">
        <v>3474</v>
      </c>
      <c r="BB221" s="34">
        <v>13.04</v>
      </c>
      <c r="BC221" s="34">
        <v>2876</v>
      </c>
      <c r="BD221" s="3"/>
      <c r="BE221" s="3"/>
      <c r="BF221" s="3"/>
      <c r="BH221" s="16">
        <v>28.99</v>
      </c>
      <c r="BI221" s="16">
        <f t="shared" si="104"/>
        <v>58.559799999999996</v>
      </c>
      <c r="BJ221" s="17">
        <f t="shared" si="117"/>
        <v>11.93</v>
      </c>
      <c r="BK221" s="17">
        <f t="shared" si="118"/>
        <v>25.52</v>
      </c>
      <c r="BM221" s="1">
        <f t="shared" si="119"/>
        <v>98.4</v>
      </c>
      <c r="BN221" s="1">
        <f t="shared" si="120"/>
        <v>85.8</v>
      </c>
      <c r="BO221" s="1">
        <f t="shared" si="121"/>
        <v>55</v>
      </c>
      <c r="BP221" s="56">
        <f t="shared" si="146"/>
        <v>0.70699999999999996</v>
      </c>
      <c r="BQ221" s="56">
        <f t="shared" si="147"/>
        <v>0.57799999999999996</v>
      </c>
      <c r="BS221" s="3">
        <v>4.5999999999999996</v>
      </c>
      <c r="BT221" s="8"/>
      <c r="BV221" s="16">
        <f t="shared" si="105"/>
        <v>11.93</v>
      </c>
      <c r="BW221" s="16">
        <f t="shared" si="106"/>
        <v>25.52</v>
      </c>
      <c r="BX221" s="3">
        <f t="shared" si="107"/>
        <v>6.2</v>
      </c>
      <c r="BY221" s="3">
        <f t="shared" si="122"/>
        <v>6.1</v>
      </c>
      <c r="BZ221" s="3">
        <f t="shared" si="123"/>
        <v>6</v>
      </c>
      <c r="CA221" s="3">
        <f t="shared" si="124"/>
        <v>6.1</v>
      </c>
      <c r="CB221" s="3">
        <f t="shared" si="125"/>
        <v>9.5</v>
      </c>
      <c r="CC221" s="3">
        <f t="shared" si="126"/>
        <v>10</v>
      </c>
      <c r="CD221" s="3">
        <f t="shared" si="127"/>
        <v>9</v>
      </c>
      <c r="CE221" s="23">
        <f t="shared" si="128"/>
        <v>85.8</v>
      </c>
      <c r="CF221" s="1">
        <f t="shared" si="108"/>
        <v>10.7</v>
      </c>
      <c r="CG221" s="1">
        <f t="shared" si="129"/>
        <v>12.1</v>
      </c>
      <c r="CH221" s="1">
        <f t="shared" si="130"/>
        <v>14.3</v>
      </c>
      <c r="CI221" s="1">
        <f t="shared" si="131"/>
        <v>17.2</v>
      </c>
      <c r="CJ221" s="1">
        <f t="shared" si="132"/>
        <v>11.2</v>
      </c>
      <c r="CK221" s="1">
        <f t="shared" si="133"/>
        <v>10.5</v>
      </c>
      <c r="CL221" s="1">
        <f t="shared" si="134"/>
        <v>9.1999999999999993</v>
      </c>
      <c r="CM221" s="2">
        <f t="shared" si="135"/>
        <v>98.4</v>
      </c>
      <c r="CN221" s="1">
        <f t="shared" si="109"/>
        <v>2</v>
      </c>
      <c r="CO221" s="1">
        <f t="shared" si="136"/>
        <v>1.2</v>
      </c>
      <c r="CP221" s="1">
        <f t="shared" si="137"/>
        <v>0.4</v>
      </c>
      <c r="CQ221" s="1">
        <f t="shared" si="138"/>
        <v>-1.9</v>
      </c>
      <c r="CR221" s="1">
        <f t="shared" si="139"/>
        <v>8.1999999999999993</v>
      </c>
      <c r="CS221" s="1">
        <f t="shared" si="140"/>
        <v>9.6999999999999993</v>
      </c>
      <c r="CT221" s="1">
        <f t="shared" si="141"/>
        <v>8.8000000000000007</v>
      </c>
      <c r="CU221" s="2">
        <f t="shared" si="142"/>
        <v>55</v>
      </c>
      <c r="CV221" s="18" t="s">
        <v>233</v>
      </c>
      <c r="CW221" s="1">
        <f>ROUND(PPTest!K221,1)</f>
        <v>5</v>
      </c>
      <c r="CX221" s="17">
        <f t="shared" si="143"/>
        <v>1.85</v>
      </c>
      <c r="CY221" s="17">
        <f t="shared" si="144"/>
        <v>4.83</v>
      </c>
      <c r="CZ221" s="20">
        <f t="shared" si="110"/>
        <v>0.70699999999999996</v>
      </c>
      <c r="DA221" s="20">
        <f t="shared" si="111"/>
        <v>0.57799999999999996</v>
      </c>
      <c r="DB221" s="16">
        <f t="shared" si="145"/>
        <v>13.04</v>
      </c>
      <c r="DD221" s="1">
        <v>10.3</v>
      </c>
      <c r="DE221" s="1">
        <v>14.2</v>
      </c>
      <c r="DF221" s="1">
        <v>7.8</v>
      </c>
      <c r="DG221" s="1">
        <v>80.7</v>
      </c>
      <c r="DH221" s="1">
        <v>41</v>
      </c>
      <c r="DZ221" s="1">
        <v>7.1</v>
      </c>
      <c r="EA221" s="1">
        <v>9.9</v>
      </c>
      <c r="EB221" s="1">
        <v>5.3</v>
      </c>
      <c r="EC221" s="1">
        <v>3.3</v>
      </c>
    </row>
    <row r="222" spans="1:133" x14ac:dyDescent="0.2">
      <c r="A222" s="40">
        <v>35280</v>
      </c>
      <c r="B222" s="34">
        <v>216</v>
      </c>
      <c r="C222" s="34">
        <v>6.08</v>
      </c>
      <c r="D222" s="34">
        <v>12.58</v>
      </c>
      <c r="E222" s="34">
        <v>6.7119999999999997</v>
      </c>
      <c r="F222" s="34">
        <v>101.9</v>
      </c>
      <c r="G222" s="34">
        <v>6.6929999999999996</v>
      </c>
      <c r="H222" s="34">
        <v>6.7309999999999999</v>
      </c>
      <c r="I222" s="34">
        <v>7.39</v>
      </c>
      <c r="J222" s="34">
        <v>6.7249999999999996</v>
      </c>
      <c r="K222" s="34">
        <v>6.9480000000000004</v>
      </c>
      <c r="L222" s="34">
        <v>8.94</v>
      </c>
      <c r="M222" s="34">
        <v>9.35</v>
      </c>
      <c r="N222" s="34">
        <v>8.9499999999999993</v>
      </c>
      <c r="O222" s="34">
        <v>0</v>
      </c>
      <c r="P222" s="41">
        <v>2.394166666666667</v>
      </c>
      <c r="Q222" s="34">
        <v>9</v>
      </c>
      <c r="R222" s="34">
        <v>9.56</v>
      </c>
      <c r="S222" s="34">
        <v>1454</v>
      </c>
      <c r="T222" s="34">
        <v>106.8</v>
      </c>
      <c r="U222" s="34">
        <v>1114</v>
      </c>
      <c r="V222" s="34">
        <v>10.36</v>
      </c>
      <c r="W222" s="34">
        <v>12.41</v>
      </c>
      <c r="X222" s="34">
        <v>14.4</v>
      </c>
      <c r="Y222" s="34">
        <v>10.59</v>
      </c>
      <c r="Z222" s="34">
        <v>11.93</v>
      </c>
      <c r="AA222" s="34">
        <v>10.07</v>
      </c>
      <c r="AB222" s="34">
        <v>9.7100000000000009</v>
      </c>
      <c r="AC222" s="34">
        <v>9.06</v>
      </c>
      <c r="AD222" s="41">
        <v>5.7008333333333336</v>
      </c>
      <c r="AE222" s="34">
        <v>1720</v>
      </c>
      <c r="AF222" s="34">
        <v>5.3449999999999998</v>
      </c>
      <c r="AG222" s="34">
        <v>335</v>
      </c>
      <c r="AH222" s="34">
        <v>88.3</v>
      </c>
      <c r="AI222" s="34">
        <v>1449</v>
      </c>
      <c r="AJ222" s="34">
        <v>5.25</v>
      </c>
      <c r="AK222" s="34">
        <v>5.0890000000000004</v>
      </c>
      <c r="AL222" s="34">
        <v>5.0430000000000001</v>
      </c>
      <c r="AM222" s="34">
        <v>5.0549999999999997</v>
      </c>
      <c r="AN222" s="34">
        <v>5.0659999999999998</v>
      </c>
      <c r="AO222" s="34">
        <v>8.2899999999999991</v>
      </c>
      <c r="AP222" s="34">
        <v>9.18</v>
      </c>
      <c r="AQ222" s="34">
        <v>8.86</v>
      </c>
      <c r="AR222" s="34">
        <v>0</v>
      </c>
      <c r="AS222" s="34">
        <v>0</v>
      </c>
      <c r="AT222" s="34">
        <v>0</v>
      </c>
      <c r="AU222" s="34">
        <v>4.0000000000000001E-3</v>
      </c>
      <c r="AV222" s="34">
        <v>0.14699999999999999</v>
      </c>
      <c r="AW222" s="34">
        <v>0.72299999999999998</v>
      </c>
      <c r="AX222" s="34">
        <v>0.11600000000000001</v>
      </c>
      <c r="AY222" s="34">
        <v>0.01</v>
      </c>
      <c r="AZ222" s="34">
        <v>7.06</v>
      </c>
      <c r="BA222" s="34">
        <v>3474</v>
      </c>
      <c r="BB222" s="34">
        <v>13.06</v>
      </c>
      <c r="BC222" s="34">
        <v>2876</v>
      </c>
      <c r="BD222" s="3"/>
      <c r="BE222" s="3"/>
      <c r="BF222" s="3"/>
      <c r="BH222" s="16">
        <v>28.81</v>
      </c>
      <c r="BI222" s="16">
        <f t="shared" si="104"/>
        <v>58.196199999999997</v>
      </c>
      <c r="BJ222" s="17">
        <f t="shared" si="117"/>
        <v>6.08</v>
      </c>
      <c r="BK222" s="17">
        <f t="shared" si="118"/>
        <v>13.2</v>
      </c>
      <c r="BM222" s="1">
        <f t="shared" si="119"/>
        <v>99.7</v>
      </c>
      <c r="BN222" s="1">
        <f t="shared" si="120"/>
        <v>95.2</v>
      </c>
      <c r="BO222" s="1">
        <f t="shared" si="121"/>
        <v>82.6</v>
      </c>
      <c r="BP222" s="56">
        <f t="shared" si="146"/>
        <v>0.98399999999999999</v>
      </c>
      <c r="BQ222" s="56">
        <f t="shared" si="147"/>
        <v>0.20699999999999999</v>
      </c>
      <c r="BS222" s="3">
        <v>4.8</v>
      </c>
      <c r="BT222" s="8"/>
      <c r="BV222" s="16">
        <f t="shared" si="105"/>
        <v>6.08</v>
      </c>
      <c r="BW222" s="16">
        <f t="shared" si="106"/>
        <v>13.2</v>
      </c>
      <c r="BX222" s="3">
        <f t="shared" si="107"/>
        <v>6.7</v>
      </c>
      <c r="BY222" s="3">
        <f t="shared" si="122"/>
        <v>6.7</v>
      </c>
      <c r="BZ222" s="3">
        <f t="shared" si="123"/>
        <v>6.7</v>
      </c>
      <c r="CA222" s="3">
        <f t="shared" si="124"/>
        <v>7.4</v>
      </c>
      <c r="CB222" s="3">
        <f t="shared" si="125"/>
        <v>8.9</v>
      </c>
      <c r="CC222" s="3">
        <f t="shared" si="126"/>
        <v>9.4</v>
      </c>
      <c r="CD222" s="3">
        <f t="shared" si="127"/>
        <v>9</v>
      </c>
      <c r="CE222" s="23">
        <f t="shared" si="128"/>
        <v>95.2</v>
      </c>
      <c r="CF222" s="1">
        <f t="shared" si="108"/>
        <v>9.6</v>
      </c>
      <c r="CG222" s="1">
        <f t="shared" si="129"/>
        <v>10.4</v>
      </c>
      <c r="CH222" s="1">
        <f t="shared" si="130"/>
        <v>12.4</v>
      </c>
      <c r="CI222" s="1">
        <f t="shared" si="131"/>
        <v>14.4</v>
      </c>
      <c r="CJ222" s="1">
        <f t="shared" si="132"/>
        <v>10.1</v>
      </c>
      <c r="CK222" s="1">
        <f t="shared" si="133"/>
        <v>9.6999999999999993</v>
      </c>
      <c r="CL222" s="1">
        <f t="shared" si="134"/>
        <v>9.1</v>
      </c>
      <c r="CM222" s="2">
        <f t="shared" si="135"/>
        <v>99.7</v>
      </c>
      <c r="CN222" s="1">
        <f t="shared" si="109"/>
        <v>5.3</v>
      </c>
      <c r="CO222" s="1">
        <f t="shared" si="136"/>
        <v>5.3</v>
      </c>
      <c r="CP222" s="1">
        <f t="shared" si="137"/>
        <v>5.0999999999999996</v>
      </c>
      <c r="CQ222" s="1">
        <f t="shared" si="138"/>
        <v>5</v>
      </c>
      <c r="CR222" s="1">
        <f t="shared" si="139"/>
        <v>8.3000000000000007</v>
      </c>
      <c r="CS222" s="1">
        <f t="shared" si="140"/>
        <v>9.1999999999999993</v>
      </c>
      <c r="CT222" s="1">
        <f t="shared" si="141"/>
        <v>8.9</v>
      </c>
      <c r="CU222" s="2">
        <f t="shared" si="142"/>
        <v>82.6</v>
      </c>
      <c r="CV222" s="18" t="s">
        <v>233</v>
      </c>
      <c r="CW222" s="1">
        <f>ROUND(PPTest!K222,1)</f>
        <v>9</v>
      </c>
      <c r="CX222" s="17">
        <f t="shared" si="143"/>
        <v>2.39</v>
      </c>
      <c r="CY222" s="17">
        <f t="shared" si="144"/>
        <v>5.7</v>
      </c>
      <c r="CZ222" s="20">
        <f t="shared" si="110"/>
        <v>0.98399999999999999</v>
      </c>
      <c r="DA222" s="20">
        <f t="shared" si="111"/>
        <v>0.20699999999999999</v>
      </c>
      <c r="DB222" s="16">
        <f t="shared" si="145"/>
        <v>13.06</v>
      </c>
      <c r="DD222" s="1">
        <v>9.6</v>
      </c>
      <c r="DE222" s="1">
        <v>13.6</v>
      </c>
      <c r="DF222" s="1">
        <v>7.4</v>
      </c>
      <c r="DG222" s="1">
        <v>94</v>
      </c>
      <c r="DH222" s="1">
        <v>77</v>
      </c>
      <c r="DZ222" s="1">
        <v>5.8</v>
      </c>
      <c r="EA222" s="1">
        <v>9.8000000000000007</v>
      </c>
      <c r="EB222" s="1">
        <v>4.5</v>
      </c>
      <c r="EC222" s="1">
        <v>9.6999999999999993</v>
      </c>
    </row>
    <row r="223" spans="1:133" x14ac:dyDescent="0.2">
      <c r="A223" s="40">
        <v>35281</v>
      </c>
      <c r="B223" s="34">
        <v>217</v>
      </c>
      <c r="C223" s="34">
        <v>4.1669999999999998</v>
      </c>
      <c r="D223" s="34">
        <v>8.77</v>
      </c>
      <c r="E223" s="34">
        <v>5.1760000000000002</v>
      </c>
      <c r="F223" s="34">
        <v>104.3</v>
      </c>
      <c r="G223" s="34">
        <v>5.1820000000000004</v>
      </c>
      <c r="H223" s="34">
        <v>5.07</v>
      </c>
      <c r="I223" s="34">
        <v>5.7629999999999999</v>
      </c>
      <c r="J223" s="34">
        <v>5.1660000000000004</v>
      </c>
      <c r="K223" s="34">
        <v>5.1980000000000004</v>
      </c>
      <c r="L223" s="34">
        <v>8.06</v>
      </c>
      <c r="M223" s="34">
        <v>8.86</v>
      </c>
      <c r="N223" s="34">
        <v>8.7799999999999994</v>
      </c>
      <c r="O223" s="34">
        <v>0</v>
      </c>
      <c r="P223" s="41">
        <v>2.0408333333333335</v>
      </c>
      <c r="Q223" s="34">
        <v>29</v>
      </c>
      <c r="R223" s="34">
        <v>7.83</v>
      </c>
      <c r="S223" s="34">
        <v>1413</v>
      </c>
      <c r="T223" s="34">
        <v>106.7</v>
      </c>
      <c r="U223" s="34">
        <v>2124</v>
      </c>
      <c r="V223" s="34">
        <v>9.16</v>
      </c>
      <c r="W223" s="34">
        <v>9.67</v>
      </c>
      <c r="X223" s="34">
        <v>12.02</v>
      </c>
      <c r="Y223" s="34">
        <v>8.51</v>
      </c>
      <c r="Z223" s="34">
        <v>8.9</v>
      </c>
      <c r="AA223" s="34">
        <v>8.85</v>
      </c>
      <c r="AB223" s="34">
        <v>9.23</v>
      </c>
      <c r="AC223" s="34">
        <v>8.8800000000000008</v>
      </c>
      <c r="AD223" s="41">
        <v>6.1008333333333322</v>
      </c>
      <c r="AE223" s="34">
        <v>1044</v>
      </c>
      <c r="AF223" s="34">
        <v>3.4830000000000001</v>
      </c>
      <c r="AG223" s="34">
        <v>2049</v>
      </c>
      <c r="AH223" s="34">
        <v>91.3</v>
      </c>
      <c r="AI223" s="34">
        <v>1415</v>
      </c>
      <c r="AJ223" s="34">
        <v>3.2610000000000001</v>
      </c>
      <c r="AK223" s="34">
        <v>3.1480000000000001</v>
      </c>
      <c r="AL223" s="34">
        <v>2.746</v>
      </c>
      <c r="AM223" s="34">
        <v>3.226</v>
      </c>
      <c r="AN223" s="34">
        <v>3.278</v>
      </c>
      <c r="AO223" s="34">
        <v>7.21</v>
      </c>
      <c r="AP223" s="34">
        <v>8.39</v>
      </c>
      <c r="AQ223" s="34">
        <v>8.65</v>
      </c>
      <c r="AR223" s="34">
        <v>2.8000000000000001E-2</v>
      </c>
      <c r="AS223" s="34">
        <v>3.3000000000000002E-2</v>
      </c>
      <c r="AT223" s="34">
        <v>8.9999999999999993E-3</v>
      </c>
      <c r="AU223" s="34">
        <v>0.01</v>
      </c>
      <c r="AV223" s="34">
        <v>0.17899999999999999</v>
      </c>
      <c r="AW223" s="34">
        <v>0.56100000000000005</v>
      </c>
      <c r="AX223" s="34">
        <v>0.13600000000000001</v>
      </c>
      <c r="AY223" s="34">
        <v>4.2999999999999997E-2</v>
      </c>
      <c r="AZ223" s="34">
        <v>5.4660000000000002</v>
      </c>
      <c r="BA223" s="34">
        <v>3474</v>
      </c>
      <c r="BB223" s="34">
        <v>13.1</v>
      </c>
      <c r="BC223" s="34">
        <v>2876</v>
      </c>
      <c r="BD223" s="3"/>
      <c r="BE223" s="3"/>
      <c r="BF223" s="3"/>
      <c r="BH223" s="16">
        <v>28.63</v>
      </c>
      <c r="BI223" s="16">
        <f t="shared" si="104"/>
        <v>57.832599999999999</v>
      </c>
      <c r="BJ223" s="17">
        <f t="shared" si="117"/>
        <v>4.17</v>
      </c>
      <c r="BK223" s="17">
        <f t="shared" si="118"/>
        <v>9.1999999999999993</v>
      </c>
      <c r="BM223" s="1">
        <f t="shared" si="119"/>
        <v>99.6</v>
      </c>
      <c r="BN223" s="1">
        <f t="shared" si="120"/>
        <v>97.4</v>
      </c>
      <c r="BO223" s="1">
        <f t="shared" si="121"/>
        <v>85.4</v>
      </c>
      <c r="BP223" s="56">
        <f t="shared" si="146"/>
        <v>0.90500000000000003</v>
      </c>
      <c r="BQ223" s="56">
        <f t="shared" si="147"/>
        <v>0.155</v>
      </c>
      <c r="BS223" s="3">
        <v>23.1</v>
      </c>
      <c r="BT223" s="8"/>
      <c r="BV223" s="16">
        <f t="shared" si="105"/>
        <v>4.17</v>
      </c>
      <c r="BW223" s="16">
        <f t="shared" si="106"/>
        <v>9.1999999999999993</v>
      </c>
      <c r="BX223" s="3">
        <f t="shared" si="107"/>
        <v>5.2</v>
      </c>
      <c r="BY223" s="3">
        <f t="shared" si="122"/>
        <v>5.2</v>
      </c>
      <c r="BZ223" s="3">
        <f t="shared" si="123"/>
        <v>5.0999999999999996</v>
      </c>
      <c r="CA223" s="3">
        <f t="shared" si="124"/>
        <v>5.8</v>
      </c>
      <c r="CB223" s="3">
        <f t="shared" si="125"/>
        <v>8.1</v>
      </c>
      <c r="CC223" s="3">
        <f t="shared" si="126"/>
        <v>8.9</v>
      </c>
      <c r="CD223" s="3">
        <f t="shared" si="127"/>
        <v>8.8000000000000007</v>
      </c>
      <c r="CE223" s="23">
        <f t="shared" si="128"/>
        <v>97.4</v>
      </c>
      <c r="CF223" s="1">
        <f t="shared" si="108"/>
        <v>7.8</v>
      </c>
      <c r="CG223" s="1">
        <f t="shared" si="129"/>
        <v>9.1999999999999993</v>
      </c>
      <c r="CH223" s="1">
        <f t="shared" si="130"/>
        <v>9.6999999999999993</v>
      </c>
      <c r="CI223" s="1">
        <f t="shared" si="131"/>
        <v>12</v>
      </c>
      <c r="CJ223" s="1">
        <f t="shared" si="132"/>
        <v>8.9</v>
      </c>
      <c r="CK223" s="1">
        <f t="shared" si="133"/>
        <v>9.1999999999999993</v>
      </c>
      <c r="CL223" s="1">
        <f t="shared" si="134"/>
        <v>8.9</v>
      </c>
      <c r="CM223" s="2">
        <f t="shared" si="135"/>
        <v>99.6</v>
      </c>
      <c r="CN223" s="1">
        <f t="shared" si="109"/>
        <v>3.5</v>
      </c>
      <c r="CO223" s="1">
        <f t="shared" si="136"/>
        <v>3.3</v>
      </c>
      <c r="CP223" s="1">
        <f t="shared" si="137"/>
        <v>3.1</v>
      </c>
      <c r="CQ223" s="1">
        <f t="shared" si="138"/>
        <v>2.7</v>
      </c>
      <c r="CR223" s="1">
        <f t="shared" si="139"/>
        <v>7.2</v>
      </c>
      <c r="CS223" s="1">
        <f t="shared" si="140"/>
        <v>8.4</v>
      </c>
      <c r="CT223" s="1">
        <f t="shared" si="141"/>
        <v>8.6999999999999993</v>
      </c>
      <c r="CU223" s="2">
        <f t="shared" si="142"/>
        <v>85.4</v>
      </c>
      <c r="CV223" s="18" t="s">
        <v>233</v>
      </c>
      <c r="CW223" s="1">
        <f>ROUND(PPTest!K223,1)</f>
        <v>29</v>
      </c>
      <c r="CX223" s="17">
        <f t="shared" si="143"/>
        <v>2.04</v>
      </c>
      <c r="CY223" s="17">
        <f t="shared" si="144"/>
        <v>6.1</v>
      </c>
      <c r="CZ223" s="20">
        <f t="shared" si="110"/>
        <v>0.90500000000000003</v>
      </c>
      <c r="DA223" s="20">
        <f t="shared" si="111"/>
        <v>0.155</v>
      </c>
      <c r="DB223" s="16">
        <f t="shared" si="145"/>
        <v>13.1</v>
      </c>
      <c r="DD223" s="1">
        <v>7.2</v>
      </c>
      <c r="DE223" s="1">
        <v>9.6999999999999993</v>
      </c>
      <c r="DF223" s="1">
        <v>5.7</v>
      </c>
      <c r="DG223" s="1">
        <v>99.4</v>
      </c>
      <c r="DH223" s="1">
        <v>96</v>
      </c>
      <c r="DZ223" s="1">
        <v>6.2</v>
      </c>
      <c r="EA223" s="1">
        <v>9.9</v>
      </c>
      <c r="EB223" s="1">
        <v>3.6</v>
      </c>
      <c r="EC223" s="1">
        <v>12.5</v>
      </c>
    </row>
    <row r="224" spans="1:133" x14ac:dyDescent="0.2">
      <c r="A224" s="40">
        <v>35282</v>
      </c>
      <c r="B224" s="34">
        <v>218</v>
      </c>
      <c r="C224" s="34">
        <v>4.3860000000000001</v>
      </c>
      <c r="D224" s="34">
        <v>8.86</v>
      </c>
      <c r="E224" s="34">
        <v>4.9720000000000004</v>
      </c>
      <c r="F224" s="34">
        <v>106.4</v>
      </c>
      <c r="G224" s="34">
        <v>4.9729999999999999</v>
      </c>
      <c r="H224" s="34">
        <v>4.9720000000000004</v>
      </c>
      <c r="I224" s="34">
        <v>5.8869999999999996</v>
      </c>
      <c r="J224" s="34">
        <v>5.1050000000000004</v>
      </c>
      <c r="K224" s="34">
        <v>5.1420000000000003</v>
      </c>
      <c r="L224" s="34">
        <v>7.43</v>
      </c>
      <c r="M224" s="34">
        <v>8.19</v>
      </c>
      <c r="N224" s="34">
        <v>8.6</v>
      </c>
      <c r="O224" s="34">
        <v>0</v>
      </c>
      <c r="P224" s="41">
        <v>2.0175000000000001</v>
      </c>
      <c r="Q224" s="34">
        <v>5</v>
      </c>
      <c r="R224" s="34">
        <v>6.1619999999999999</v>
      </c>
      <c r="S224" s="34">
        <v>1637</v>
      </c>
      <c r="T224" s="34">
        <v>107.1</v>
      </c>
      <c r="U224" s="34">
        <v>513</v>
      </c>
      <c r="V224" s="34">
        <v>6.44</v>
      </c>
      <c r="W224" s="34">
        <v>6.5259999999999998</v>
      </c>
      <c r="X224" s="34">
        <v>8.59</v>
      </c>
      <c r="Y224" s="34">
        <v>6.5279999999999996</v>
      </c>
      <c r="Z224" s="34">
        <v>6.6180000000000003</v>
      </c>
      <c r="AA224" s="34">
        <v>7.92</v>
      </c>
      <c r="AB224" s="34">
        <v>8.4</v>
      </c>
      <c r="AC224" s="34">
        <v>8.68</v>
      </c>
      <c r="AD224" s="41">
        <v>4.8475000000000001</v>
      </c>
      <c r="AE224" s="34">
        <v>1245</v>
      </c>
      <c r="AF224" s="34">
        <v>3.5449999999999999</v>
      </c>
      <c r="AG224" s="34">
        <v>405</v>
      </c>
      <c r="AH224" s="34">
        <v>104.9</v>
      </c>
      <c r="AI224" s="34">
        <v>1646</v>
      </c>
      <c r="AJ224" s="34">
        <v>3.427</v>
      </c>
      <c r="AK224" s="34">
        <v>3.4159999999999999</v>
      </c>
      <c r="AL224" s="34">
        <v>3.726</v>
      </c>
      <c r="AM224" s="34">
        <v>3.556</v>
      </c>
      <c r="AN224" s="34">
        <v>3.5390000000000001</v>
      </c>
      <c r="AO224" s="34">
        <v>6.8840000000000003</v>
      </c>
      <c r="AP224" s="34">
        <v>8.1</v>
      </c>
      <c r="AQ224" s="34">
        <v>8.5</v>
      </c>
      <c r="AR224" s="34">
        <v>5.0000000000000001E-3</v>
      </c>
      <c r="AS224" s="34">
        <v>0</v>
      </c>
      <c r="AT224" s="34">
        <v>0</v>
      </c>
      <c r="AU224" s="34">
        <v>3.0000000000000001E-3</v>
      </c>
      <c r="AV224" s="34">
        <v>0.156</v>
      </c>
      <c r="AW224" s="34">
        <v>0.69399999999999995</v>
      </c>
      <c r="AX224" s="34">
        <v>0.128</v>
      </c>
      <c r="AY224" s="34">
        <v>1.2E-2</v>
      </c>
      <c r="AZ224" s="34">
        <v>5.2850000000000001</v>
      </c>
      <c r="BA224" s="34">
        <v>3474</v>
      </c>
      <c r="BB224" s="34">
        <v>13.12</v>
      </c>
      <c r="BC224" s="34">
        <v>2876</v>
      </c>
      <c r="BD224" s="3"/>
      <c r="BE224" s="3"/>
      <c r="BF224" s="3"/>
      <c r="BH224" s="16">
        <v>28.45</v>
      </c>
      <c r="BI224" s="16">
        <f t="shared" si="104"/>
        <v>57.469000000000001</v>
      </c>
      <c r="BJ224" s="17">
        <f t="shared" si="117"/>
        <v>4.3899999999999997</v>
      </c>
      <c r="BK224" s="17">
        <f t="shared" si="118"/>
        <v>9.3000000000000007</v>
      </c>
      <c r="BM224" s="1">
        <f t="shared" si="119"/>
        <v>100</v>
      </c>
      <c r="BN224" s="1">
        <f t="shared" si="120"/>
        <v>99.3</v>
      </c>
      <c r="BO224" s="1">
        <f t="shared" si="121"/>
        <v>97.9</v>
      </c>
      <c r="BP224" s="56">
        <f t="shared" si="146"/>
        <v>0.92500000000000004</v>
      </c>
      <c r="BQ224" s="56">
        <f t="shared" si="147"/>
        <v>0.02</v>
      </c>
      <c r="BS224" s="3">
        <v>1.8</v>
      </c>
      <c r="BT224" s="8"/>
      <c r="BV224" s="16">
        <f t="shared" si="105"/>
        <v>4.3899999999999997</v>
      </c>
      <c r="BW224" s="16">
        <f t="shared" si="106"/>
        <v>9.3000000000000007</v>
      </c>
      <c r="BX224" s="3">
        <f t="shared" si="107"/>
        <v>5</v>
      </c>
      <c r="BY224" s="3">
        <f t="shared" si="122"/>
        <v>5</v>
      </c>
      <c r="BZ224" s="3">
        <f t="shared" si="123"/>
        <v>5</v>
      </c>
      <c r="CA224" s="3">
        <f t="shared" si="124"/>
        <v>5.9</v>
      </c>
      <c r="CB224" s="3">
        <f t="shared" si="125"/>
        <v>7.4</v>
      </c>
      <c r="CC224" s="3">
        <f t="shared" si="126"/>
        <v>8.1999999999999993</v>
      </c>
      <c r="CD224" s="3">
        <f t="shared" si="127"/>
        <v>8.6</v>
      </c>
      <c r="CE224" s="23">
        <f t="shared" si="128"/>
        <v>99.3</v>
      </c>
      <c r="CF224" s="1">
        <f t="shared" si="108"/>
        <v>6.2</v>
      </c>
      <c r="CG224" s="1">
        <f t="shared" si="129"/>
        <v>6.4</v>
      </c>
      <c r="CH224" s="1">
        <f t="shared" si="130"/>
        <v>6.5</v>
      </c>
      <c r="CI224" s="1">
        <f t="shared" si="131"/>
        <v>8.6</v>
      </c>
      <c r="CJ224" s="1">
        <f t="shared" si="132"/>
        <v>7.9</v>
      </c>
      <c r="CK224" s="1">
        <f t="shared" si="133"/>
        <v>8.4</v>
      </c>
      <c r="CL224" s="1">
        <f t="shared" si="134"/>
        <v>8.6999999999999993</v>
      </c>
      <c r="CM224" s="2">
        <f t="shared" si="135"/>
        <v>100</v>
      </c>
      <c r="CN224" s="1">
        <f t="shared" si="109"/>
        <v>3.5</v>
      </c>
      <c r="CO224" s="1">
        <f t="shared" si="136"/>
        <v>3.4</v>
      </c>
      <c r="CP224" s="1">
        <f t="shared" si="137"/>
        <v>3.4</v>
      </c>
      <c r="CQ224" s="1">
        <f t="shared" si="138"/>
        <v>3.7</v>
      </c>
      <c r="CR224" s="1">
        <f t="shared" si="139"/>
        <v>6.9</v>
      </c>
      <c r="CS224" s="1">
        <f t="shared" si="140"/>
        <v>8.1</v>
      </c>
      <c r="CT224" s="1">
        <f t="shared" si="141"/>
        <v>8.5</v>
      </c>
      <c r="CU224" s="2">
        <f t="shared" si="142"/>
        <v>97.9</v>
      </c>
      <c r="CV224" s="18" t="s">
        <v>233</v>
      </c>
      <c r="CW224" s="1">
        <f>ROUND(PPTest!K224,1)</f>
        <v>5</v>
      </c>
      <c r="CX224" s="17">
        <f t="shared" si="143"/>
        <v>2.02</v>
      </c>
      <c r="CY224" s="17">
        <f t="shared" si="144"/>
        <v>4.8499999999999996</v>
      </c>
      <c r="CZ224" s="20">
        <f t="shared" si="110"/>
        <v>0.92500000000000004</v>
      </c>
      <c r="DA224" s="20">
        <f t="shared" si="111"/>
        <v>0.02</v>
      </c>
      <c r="DB224" s="16">
        <f t="shared" si="145"/>
        <v>13.12</v>
      </c>
      <c r="DD224" s="1">
        <v>7.7</v>
      </c>
      <c r="DE224" s="1">
        <v>9.5</v>
      </c>
      <c r="DF224" s="1">
        <v>5.8</v>
      </c>
      <c r="DG224" s="1">
        <v>96.9</v>
      </c>
      <c r="DH224" s="1">
        <v>90</v>
      </c>
      <c r="DZ224" s="1">
        <v>5.2</v>
      </c>
      <c r="EA224" s="1">
        <v>8.1999999999999993</v>
      </c>
      <c r="EB224" s="1">
        <v>2.4</v>
      </c>
      <c r="EC224" s="1">
        <v>13.7</v>
      </c>
    </row>
    <row r="225" spans="1:133" x14ac:dyDescent="0.2">
      <c r="A225" s="40">
        <v>35283</v>
      </c>
      <c r="B225" s="34">
        <v>219</v>
      </c>
      <c r="C225" s="34">
        <v>20.420000000000002</v>
      </c>
      <c r="D225" s="34">
        <v>39.49</v>
      </c>
      <c r="E225" s="34">
        <v>8.7200000000000006</v>
      </c>
      <c r="F225" s="34">
        <v>92.5</v>
      </c>
      <c r="G225" s="34">
        <v>8.73</v>
      </c>
      <c r="H225" s="34">
        <v>8.64</v>
      </c>
      <c r="I225" s="34">
        <v>9.23</v>
      </c>
      <c r="J225" s="34">
        <v>9.49</v>
      </c>
      <c r="K225" s="34">
        <v>10.18</v>
      </c>
      <c r="L225" s="34">
        <v>9.32</v>
      </c>
      <c r="M225" s="34">
        <v>8.2799999999999994</v>
      </c>
      <c r="N225" s="34">
        <v>8.4499999999999993</v>
      </c>
      <c r="O225" s="34">
        <v>1E-3</v>
      </c>
      <c r="P225" s="41">
        <v>1.8658333333333337</v>
      </c>
      <c r="Q225" s="34">
        <v>0</v>
      </c>
      <c r="R225" s="34">
        <v>15.67</v>
      </c>
      <c r="S225" s="34">
        <v>1653</v>
      </c>
      <c r="T225" s="34">
        <v>106.9</v>
      </c>
      <c r="U225" s="34">
        <v>404</v>
      </c>
      <c r="V225" s="34">
        <v>16.68</v>
      </c>
      <c r="W225" s="34">
        <v>17.55</v>
      </c>
      <c r="X225" s="34">
        <v>20.47</v>
      </c>
      <c r="Y225" s="34">
        <v>19.600000000000001</v>
      </c>
      <c r="Z225" s="34">
        <v>20.74</v>
      </c>
      <c r="AA225" s="34">
        <v>12.3</v>
      </c>
      <c r="AB225" s="34">
        <v>8.81</v>
      </c>
      <c r="AC225" s="34">
        <v>8.61</v>
      </c>
      <c r="AD225" s="41">
        <v>4.6875</v>
      </c>
      <c r="AE225" s="34">
        <v>1542</v>
      </c>
      <c r="AF225" s="34">
        <v>4.149</v>
      </c>
      <c r="AG225" s="34">
        <v>316</v>
      </c>
      <c r="AH225" s="34">
        <v>52.84</v>
      </c>
      <c r="AI225" s="34">
        <v>1624</v>
      </c>
      <c r="AJ225" s="34">
        <v>3.5110000000000001</v>
      </c>
      <c r="AK225" s="34">
        <v>2.8769999999999998</v>
      </c>
      <c r="AL225" s="34">
        <v>1.6080000000000001</v>
      </c>
      <c r="AM225" s="34">
        <v>3.1030000000000002</v>
      </c>
      <c r="AN225" s="34">
        <v>3.2389999999999999</v>
      </c>
      <c r="AO225" s="34">
        <v>7.17</v>
      </c>
      <c r="AP225" s="34">
        <v>8.01</v>
      </c>
      <c r="AQ225" s="34">
        <v>8.25</v>
      </c>
      <c r="AR225" s="34">
        <v>2.4E-2</v>
      </c>
      <c r="AS225" s="34">
        <v>0.27300000000000002</v>
      </c>
      <c r="AT225" s="34">
        <v>0.112</v>
      </c>
      <c r="AU225" s="34">
        <v>2.4E-2</v>
      </c>
      <c r="AV225" s="34">
        <v>0.129</v>
      </c>
      <c r="AW225" s="34">
        <v>0.315</v>
      </c>
      <c r="AX225" s="34">
        <v>0.10299999999999999</v>
      </c>
      <c r="AY225" s="34">
        <v>0.02</v>
      </c>
      <c r="AZ225" s="34">
        <v>9.9600000000000009</v>
      </c>
      <c r="BA225" s="34">
        <v>3474</v>
      </c>
      <c r="BB225" s="34">
        <v>12.99</v>
      </c>
      <c r="BC225" s="34">
        <v>2876</v>
      </c>
      <c r="BD225" s="3"/>
      <c r="BE225" s="3"/>
      <c r="BF225" s="3"/>
      <c r="BH225" s="16">
        <v>28.26</v>
      </c>
      <c r="BI225" s="16">
        <f t="shared" si="104"/>
        <v>57.0852</v>
      </c>
      <c r="BJ225" s="17">
        <f t="shared" si="117"/>
        <v>20.420000000000002</v>
      </c>
      <c r="BK225" s="17">
        <f t="shared" si="118"/>
        <v>41.44</v>
      </c>
      <c r="BM225" s="1">
        <f t="shared" si="119"/>
        <v>99.8</v>
      </c>
      <c r="BN225" s="1">
        <f t="shared" si="120"/>
        <v>86.5</v>
      </c>
      <c r="BO225" s="1">
        <f t="shared" si="121"/>
        <v>49.8</v>
      </c>
      <c r="BP225" s="56">
        <f t="shared" si="146"/>
        <v>0.88600000000000001</v>
      </c>
      <c r="BQ225" s="56">
        <f t="shared" si="147"/>
        <v>0.89300000000000002</v>
      </c>
      <c r="BS225" s="3">
        <v>0</v>
      </c>
      <c r="BT225" s="8"/>
      <c r="BV225" s="16">
        <f t="shared" si="105"/>
        <v>20.420000000000002</v>
      </c>
      <c r="BW225" s="16">
        <f t="shared" si="106"/>
        <v>41.44</v>
      </c>
      <c r="BX225" s="3">
        <f t="shared" si="107"/>
        <v>8.6999999999999993</v>
      </c>
      <c r="BY225" s="3">
        <f t="shared" si="122"/>
        <v>8.6999999999999993</v>
      </c>
      <c r="BZ225" s="3">
        <f t="shared" si="123"/>
        <v>8.6</v>
      </c>
      <c r="CA225" s="3">
        <f t="shared" si="124"/>
        <v>9.1999999999999993</v>
      </c>
      <c r="CB225" s="3">
        <f t="shared" si="125"/>
        <v>9.3000000000000007</v>
      </c>
      <c r="CC225" s="3">
        <f t="shared" si="126"/>
        <v>8.3000000000000007</v>
      </c>
      <c r="CD225" s="3">
        <f t="shared" si="127"/>
        <v>8.5</v>
      </c>
      <c r="CE225" s="23">
        <f t="shared" si="128"/>
        <v>86.5</v>
      </c>
      <c r="CF225" s="1">
        <f t="shared" si="108"/>
        <v>15.7</v>
      </c>
      <c r="CG225" s="1">
        <f t="shared" si="129"/>
        <v>16.7</v>
      </c>
      <c r="CH225" s="1">
        <f t="shared" si="130"/>
        <v>17.600000000000001</v>
      </c>
      <c r="CI225" s="1">
        <f t="shared" si="131"/>
        <v>20.5</v>
      </c>
      <c r="CJ225" s="1">
        <f t="shared" si="132"/>
        <v>12.3</v>
      </c>
      <c r="CK225" s="1">
        <f t="shared" si="133"/>
        <v>8.8000000000000007</v>
      </c>
      <c r="CL225" s="1">
        <f t="shared" si="134"/>
        <v>8.6</v>
      </c>
      <c r="CM225" s="2">
        <f t="shared" si="135"/>
        <v>99.8</v>
      </c>
      <c r="CN225" s="1">
        <f t="shared" si="109"/>
        <v>4.0999999999999996</v>
      </c>
      <c r="CO225" s="1">
        <f t="shared" si="136"/>
        <v>3.5</v>
      </c>
      <c r="CP225" s="1">
        <f t="shared" si="137"/>
        <v>2.9</v>
      </c>
      <c r="CQ225" s="1">
        <f t="shared" si="138"/>
        <v>1.6</v>
      </c>
      <c r="CR225" s="1">
        <f t="shared" si="139"/>
        <v>7.2</v>
      </c>
      <c r="CS225" s="1">
        <f t="shared" si="140"/>
        <v>8</v>
      </c>
      <c r="CT225" s="1">
        <f t="shared" si="141"/>
        <v>8.3000000000000007</v>
      </c>
      <c r="CU225" s="2">
        <f t="shared" si="142"/>
        <v>49.8</v>
      </c>
      <c r="CV225" s="18" t="s">
        <v>233</v>
      </c>
      <c r="CW225" s="1">
        <f>ROUND(PPTest!K225,1)</f>
        <v>0</v>
      </c>
      <c r="CX225" s="17">
        <f t="shared" si="143"/>
        <v>1.87</v>
      </c>
      <c r="CY225" s="17">
        <f t="shared" si="144"/>
        <v>4.6900000000000004</v>
      </c>
      <c r="CZ225" s="20">
        <f t="shared" si="110"/>
        <v>0.88600000000000001</v>
      </c>
      <c r="DA225" s="20">
        <f t="shared" si="111"/>
        <v>0.89300000000000002</v>
      </c>
      <c r="DB225" s="16">
        <f t="shared" si="145"/>
        <v>12.99</v>
      </c>
      <c r="DD225" s="1">
        <v>12.1</v>
      </c>
      <c r="DE225" s="1">
        <v>17.600000000000001</v>
      </c>
      <c r="DF225" s="1">
        <v>7.9</v>
      </c>
      <c r="DG225" s="1">
        <v>84.5</v>
      </c>
      <c r="DH225" s="1">
        <v>63</v>
      </c>
      <c r="DZ225" s="1">
        <v>9.8000000000000007</v>
      </c>
      <c r="EA225" s="1">
        <v>16.899999999999999</v>
      </c>
      <c r="EB225" s="1">
        <v>4.8</v>
      </c>
      <c r="EC225" s="1">
        <v>0</v>
      </c>
    </row>
    <row r="226" spans="1:133" x14ac:dyDescent="0.2">
      <c r="A226" s="40">
        <v>35284</v>
      </c>
      <c r="B226" s="34">
        <v>220</v>
      </c>
      <c r="C226" s="34">
        <v>28.62</v>
      </c>
      <c r="D226" s="34">
        <v>54.75</v>
      </c>
      <c r="E226" s="34">
        <v>11.09</v>
      </c>
      <c r="F226" s="34">
        <v>79.900000000000006</v>
      </c>
      <c r="G226" s="34">
        <v>11.03</v>
      </c>
      <c r="H226" s="34">
        <v>10.77</v>
      </c>
      <c r="I226" s="34">
        <v>10.88</v>
      </c>
      <c r="J226" s="34">
        <v>12.59</v>
      </c>
      <c r="K226" s="34">
        <v>12.93</v>
      </c>
      <c r="L226" s="34">
        <v>10.32</v>
      </c>
      <c r="M226" s="34">
        <v>8.86</v>
      </c>
      <c r="N226" s="34">
        <v>8.33</v>
      </c>
      <c r="O226" s="34">
        <v>0</v>
      </c>
      <c r="P226" s="41">
        <v>1.8991666666666669</v>
      </c>
      <c r="Q226" s="34">
        <v>0</v>
      </c>
      <c r="R226" s="34">
        <v>19.75</v>
      </c>
      <c r="S226" s="34">
        <v>1704</v>
      </c>
      <c r="T226" s="34">
        <v>105.8</v>
      </c>
      <c r="U226" s="34">
        <v>340</v>
      </c>
      <c r="V226" s="34">
        <v>20.73</v>
      </c>
      <c r="W226" s="34">
        <v>23.33</v>
      </c>
      <c r="X226" s="34">
        <v>25.32</v>
      </c>
      <c r="Y226" s="34">
        <v>25.44</v>
      </c>
      <c r="Z226" s="34">
        <v>25.34</v>
      </c>
      <c r="AA226" s="34">
        <v>13.89</v>
      </c>
      <c r="AB226" s="34">
        <v>9.48</v>
      </c>
      <c r="AC226" s="34">
        <v>8.6</v>
      </c>
      <c r="AD226" s="41">
        <v>3.9008333333333338</v>
      </c>
      <c r="AE226" s="34">
        <v>1229</v>
      </c>
      <c r="AF226" s="34">
        <v>2.4260000000000002</v>
      </c>
      <c r="AG226" s="34">
        <v>328</v>
      </c>
      <c r="AH226" s="34">
        <v>40.85</v>
      </c>
      <c r="AI226" s="34">
        <v>1700</v>
      </c>
      <c r="AJ226" s="34">
        <v>1.877</v>
      </c>
      <c r="AK226" s="34">
        <v>1.194</v>
      </c>
      <c r="AL226" s="34">
        <v>-0.5</v>
      </c>
      <c r="AM226" s="34">
        <v>1.4890000000000001</v>
      </c>
      <c r="AN226" s="34">
        <v>1.605</v>
      </c>
      <c r="AO226" s="34">
        <v>7.2</v>
      </c>
      <c r="AP226" s="34">
        <v>8.51</v>
      </c>
      <c r="AQ226" s="34">
        <v>8.1</v>
      </c>
      <c r="AR226" s="34">
        <v>6.7000000000000004E-2</v>
      </c>
      <c r="AS226" s="34">
        <v>0.317</v>
      </c>
      <c r="AT226" s="34">
        <v>0.25700000000000001</v>
      </c>
      <c r="AU226" s="34">
        <v>1.4999999999999999E-2</v>
      </c>
      <c r="AV226" s="34">
        <v>0.112</v>
      </c>
      <c r="AW226" s="34">
        <v>0.112</v>
      </c>
      <c r="AX226" s="34">
        <v>5.0999999999999997E-2</v>
      </c>
      <c r="AY226" s="34">
        <v>6.9000000000000006E-2</v>
      </c>
      <c r="AZ226" s="34">
        <v>11.96</v>
      </c>
      <c r="BA226" s="34">
        <v>3474</v>
      </c>
      <c r="BB226" s="34">
        <v>12.88</v>
      </c>
      <c r="BC226" s="34">
        <v>2876</v>
      </c>
      <c r="BD226" s="3"/>
      <c r="BE226" s="3"/>
      <c r="BF226" s="3"/>
      <c r="BH226" s="16">
        <v>28.06</v>
      </c>
      <c r="BI226" s="16">
        <f t="shared" si="104"/>
        <v>56.681199999999997</v>
      </c>
      <c r="BJ226" s="17">
        <f t="shared" si="117"/>
        <v>28.62</v>
      </c>
      <c r="BK226" s="17">
        <f t="shared" si="118"/>
        <v>57.45</v>
      </c>
      <c r="BM226" s="1">
        <f t="shared" si="119"/>
        <v>98.8</v>
      </c>
      <c r="BN226" s="1">
        <f t="shared" si="120"/>
        <v>74.8</v>
      </c>
      <c r="BO226" s="1">
        <f t="shared" si="121"/>
        <v>38.700000000000003</v>
      </c>
      <c r="BP226" s="56">
        <f t="shared" si="146"/>
        <v>0.89100000000000001</v>
      </c>
      <c r="BQ226" s="56">
        <f t="shared" si="147"/>
        <v>1.411</v>
      </c>
      <c r="BS226" s="3">
        <v>0</v>
      </c>
      <c r="BT226" s="8"/>
      <c r="BV226" s="16">
        <f t="shared" si="105"/>
        <v>28.62</v>
      </c>
      <c r="BW226" s="16">
        <f t="shared" si="106"/>
        <v>57.45</v>
      </c>
      <c r="BX226" s="3">
        <f t="shared" si="107"/>
        <v>11.1</v>
      </c>
      <c r="BY226" s="3">
        <f t="shared" si="122"/>
        <v>11</v>
      </c>
      <c r="BZ226" s="3">
        <f t="shared" si="123"/>
        <v>10.8</v>
      </c>
      <c r="CA226" s="3">
        <f t="shared" si="124"/>
        <v>10.9</v>
      </c>
      <c r="CB226" s="3">
        <f t="shared" si="125"/>
        <v>10.3</v>
      </c>
      <c r="CC226" s="3">
        <f t="shared" si="126"/>
        <v>8.9</v>
      </c>
      <c r="CD226" s="3">
        <f t="shared" si="127"/>
        <v>8.3000000000000007</v>
      </c>
      <c r="CE226" s="23">
        <f t="shared" si="128"/>
        <v>74.8</v>
      </c>
      <c r="CF226" s="1">
        <f t="shared" si="108"/>
        <v>19.8</v>
      </c>
      <c r="CG226" s="1">
        <f t="shared" si="129"/>
        <v>20.7</v>
      </c>
      <c r="CH226" s="1">
        <f t="shared" si="130"/>
        <v>23.3</v>
      </c>
      <c r="CI226" s="1">
        <f t="shared" si="131"/>
        <v>25.3</v>
      </c>
      <c r="CJ226" s="1">
        <f t="shared" si="132"/>
        <v>13.9</v>
      </c>
      <c r="CK226" s="1">
        <f t="shared" si="133"/>
        <v>9.5</v>
      </c>
      <c r="CL226" s="1">
        <f t="shared" si="134"/>
        <v>8.6</v>
      </c>
      <c r="CM226" s="2">
        <f t="shared" si="135"/>
        <v>98.8</v>
      </c>
      <c r="CN226" s="1">
        <f t="shared" si="109"/>
        <v>2.4</v>
      </c>
      <c r="CO226" s="1">
        <f t="shared" si="136"/>
        <v>1.9</v>
      </c>
      <c r="CP226" s="1">
        <f t="shared" si="137"/>
        <v>1.2</v>
      </c>
      <c r="CQ226" s="1">
        <f t="shared" si="138"/>
        <v>-0.5</v>
      </c>
      <c r="CR226" s="1">
        <f t="shared" si="139"/>
        <v>7.2</v>
      </c>
      <c r="CS226" s="1">
        <f t="shared" si="140"/>
        <v>8.5</v>
      </c>
      <c r="CT226" s="1">
        <f t="shared" si="141"/>
        <v>8.1</v>
      </c>
      <c r="CU226" s="2">
        <f t="shared" si="142"/>
        <v>38.700000000000003</v>
      </c>
      <c r="CV226" s="18" t="s">
        <v>233</v>
      </c>
      <c r="CW226" s="1">
        <f>ROUND(PPTest!K226,1)</f>
        <v>0</v>
      </c>
      <c r="CX226" s="17">
        <f t="shared" si="143"/>
        <v>1.9</v>
      </c>
      <c r="CY226" s="17">
        <f t="shared" si="144"/>
        <v>3.9</v>
      </c>
      <c r="CZ226" s="20">
        <f t="shared" si="110"/>
        <v>0.89100000000000001</v>
      </c>
      <c r="DA226" s="20">
        <f t="shared" si="111"/>
        <v>1.411</v>
      </c>
      <c r="DB226" s="16">
        <f t="shared" si="145"/>
        <v>12.88</v>
      </c>
      <c r="DD226" s="1">
        <v>15.9</v>
      </c>
      <c r="DE226" s="1">
        <v>22.4</v>
      </c>
      <c r="DF226" s="1">
        <v>9.1999999999999993</v>
      </c>
      <c r="DG226" s="1">
        <v>68.099999999999994</v>
      </c>
      <c r="DH226" s="1">
        <v>42</v>
      </c>
      <c r="DZ226" s="1">
        <v>12.1</v>
      </c>
      <c r="EA226" s="1">
        <v>20.7</v>
      </c>
      <c r="EB226" s="1">
        <v>2.8</v>
      </c>
      <c r="EC226" s="1">
        <v>0</v>
      </c>
    </row>
    <row r="227" spans="1:133" x14ac:dyDescent="0.2">
      <c r="A227" s="40">
        <v>35285</v>
      </c>
      <c r="B227" s="34">
        <v>221</v>
      </c>
      <c r="C227" s="34">
        <v>27.33</v>
      </c>
      <c r="D227" s="34">
        <v>52.68</v>
      </c>
      <c r="E227" s="34">
        <v>13.49</v>
      </c>
      <c r="F227" s="34">
        <v>67.150000000000006</v>
      </c>
      <c r="G227" s="34">
        <v>13.31</v>
      </c>
      <c r="H227" s="34">
        <v>12.98</v>
      </c>
      <c r="I227" s="34">
        <v>12.26</v>
      </c>
      <c r="J227" s="34">
        <v>14.71</v>
      </c>
      <c r="K227" s="34">
        <v>15.01</v>
      </c>
      <c r="L227" s="34">
        <v>10.98</v>
      </c>
      <c r="M227" s="34">
        <v>9.42</v>
      </c>
      <c r="N227" s="34">
        <v>8.4</v>
      </c>
      <c r="O227" s="34">
        <v>0</v>
      </c>
      <c r="P227" s="41">
        <v>2.2124999999999999</v>
      </c>
      <c r="Q227" s="34">
        <v>0</v>
      </c>
      <c r="R227" s="34">
        <v>23.18</v>
      </c>
      <c r="S227" s="34">
        <v>1722</v>
      </c>
      <c r="T227" s="34">
        <v>105.1</v>
      </c>
      <c r="U227" s="34">
        <v>438</v>
      </c>
      <c r="V227" s="34">
        <v>23.87</v>
      </c>
      <c r="W227" s="34">
        <v>24.94</v>
      </c>
      <c r="X227" s="34">
        <v>27.43</v>
      </c>
      <c r="Y227" s="34">
        <v>27.69</v>
      </c>
      <c r="Z227" s="34">
        <v>27.7</v>
      </c>
      <c r="AA227" s="34">
        <v>14.08</v>
      </c>
      <c r="AB227" s="34">
        <v>9.98</v>
      </c>
      <c r="AC227" s="34">
        <v>8.69</v>
      </c>
      <c r="AD227" s="41">
        <v>4.7408333333333337</v>
      </c>
      <c r="AE227" s="34">
        <v>1130</v>
      </c>
      <c r="AF227" s="34">
        <v>3.198</v>
      </c>
      <c r="AG227" s="34">
        <v>511</v>
      </c>
      <c r="AH227" s="34">
        <v>24.84</v>
      </c>
      <c r="AI227" s="34">
        <v>1723</v>
      </c>
      <c r="AJ227" s="34">
        <v>2.577</v>
      </c>
      <c r="AK227" s="34">
        <v>2.1059999999999999</v>
      </c>
      <c r="AL227" s="34">
        <v>0.97199999999999998</v>
      </c>
      <c r="AM227" s="34">
        <v>2.1669999999999998</v>
      </c>
      <c r="AN227" s="34">
        <v>2.2240000000000002</v>
      </c>
      <c r="AO227" s="34">
        <v>8.01</v>
      </c>
      <c r="AP227" s="34">
        <v>9.08</v>
      </c>
      <c r="AQ227" s="34">
        <v>8.18</v>
      </c>
      <c r="AR227" s="34">
        <v>1.4999999999999999E-2</v>
      </c>
      <c r="AS227" s="34">
        <v>0.253</v>
      </c>
      <c r="AT227" s="34">
        <v>0.29399999999999998</v>
      </c>
      <c r="AU227" s="34">
        <v>1.2E-2</v>
      </c>
      <c r="AV227" s="34">
        <v>7.6999999999999999E-2</v>
      </c>
      <c r="AW227" s="34">
        <v>0.183</v>
      </c>
      <c r="AX227" s="34">
        <v>0.122</v>
      </c>
      <c r="AY227" s="34">
        <v>4.2999999999999997E-2</v>
      </c>
      <c r="AZ227" s="34">
        <v>13.75</v>
      </c>
      <c r="BA227" s="34">
        <v>3474</v>
      </c>
      <c r="BB227" s="34">
        <v>12.86</v>
      </c>
      <c r="BC227" s="34">
        <v>2876</v>
      </c>
      <c r="BD227" s="3"/>
      <c r="BE227" s="3"/>
      <c r="BF227" s="3"/>
      <c r="BH227" s="16">
        <v>27.87</v>
      </c>
      <c r="BI227" s="16">
        <f t="shared" si="104"/>
        <v>56.297400000000003</v>
      </c>
      <c r="BJ227" s="17">
        <f t="shared" si="117"/>
        <v>27.33</v>
      </c>
      <c r="BK227" s="17">
        <f t="shared" si="118"/>
        <v>55.28</v>
      </c>
      <c r="BM227" s="1">
        <f t="shared" si="119"/>
        <v>98.1</v>
      </c>
      <c r="BN227" s="1">
        <f t="shared" si="120"/>
        <v>63</v>
      </c>
      <c r="BO227" s="1">
        <f t="shared" si="121"/>
        <v>24</v>
      </c>
      <c r="BP227" s="56">
        <f t="shared" si="146"/>
        <v>0.68100000000000005</v>
      </c>
      <c r="BQ227" s="56">
        <f t="shared" si="147"/>
        <v>2.157</v>
      </c>
      <c r="BS227" s="3">
        <v>0</v>
      </c>
      <c r="BT227" s="8"/>
      <c r="BV227" s="16">
        <f t="shared" si="105"/>
        <v>27.33</v>
      </c>
      <c r="BW227" s="16">
        <f t="shared" si="106"/>
        <v>55.28</v>
      </c>
      <c r="BX227" s="3">
        <f t="shared" si="107"/>
        <v>13.5</v>
      </c>
      <c r="BY227" s="3">
        <f t="shared" si="122"/>
        <v>13.3</v>
      </c>
      <c r="BZ227" s="3">
        <f t="shared" si="123"/>
        <v>13</v>
      </c>
      <c r="CA227" s="3">
        <f t="shared" si="124"/>
        <v>12.3</v>
      </c>
      <c r="CB227" s="3">
        <f t="shared" si="125"/>
        <v>11</v>
      </c>
      <c r="CC227" s="3">
        <f t="shared" si="126"/>
        <v>9.4</v>
      </c>
      <c r="CD227" s="3">
        <f t="shared" si="127"/>
        <v>8.4</v>
      </c>
      <c r="CE227" s="23">
        <f t="shared" si="128"/>
        <v>63</v>
      </c>
      <c r="CF227" s="1">
        <f t="shared" si="108"/>
        <v>23.2</v>
      </c>
      <c r="CG227" s="1">
        <f t="shared" si="129"/>
        <v>23.9</v>
      </c>
      <c r="CH227" s="1">
        <f t="shared" si="130"/>
        <v>24.9</v>
      </c>
      <c r="CI227" s="1">
        <f t="shared" si="131"/>
        <v>27.4</v>
      </c>
      <c r="CJ227" s="1">
        <f t="shared" si="132"/>
        <v>14.1</v>
      </c>
      <c r="CK227" s="1">
        <f t="shared" si="133"/>
        <v>10</v>
      </c>
      <c r="CL227" s="1">
        <f t="shared" si="134"/>
        <v>8.6999999999999993</v>
      </c>
      <c r="CM227" s="2">
        <f t="shared" si="135"/>
        <v>98.1</v>
      </c>
      <c r="CN227" s="1">
        <f t="shared" si="109"/>
        <v>3.2</v>
      </c>
      <c r="CO227" s="1">
        <f t="shared" si="136"/>
        <v>2.6</v>
      </c>
      <c r="CP227" s="1">
        <f t="shared" si="137"/>
        <v>2.1</v>
      </c>
      <c r="CQ227" s="1">
        <f t="shared" si="138"/>
        <v>1</v>
      </c>
      <c r="CR227" s="1">
        <f t="shared" si="139"/>
        <v>8</v>
      </c>
      <c r="CS227" s="1">
        <f t="shared" si="140"/>
        <v>9.1</v>
      </c>
      <c r="CT227" s="1">
        <f t="shared" si="141"/>
        <v>8.1999999999999993</v>
      </c>
      <c r="CU227" s="2">
        <f t="shared" si="142"/>
        <v>24</v>
      </c>
      <c r="CV227" s="18" t="s">
        <v>233</v>
      </c>
      <c r="CW227" s="1">
        <f>ROUND(PPTest!K227,1)</f>
        <v>0</v>
      </c>
      <c r="CX227" s="17">
        <f t="shared" si="143"/>
        <v>2.21</v>
      </c>
      <c r="CY227" s="17">
        <f t="shared" si="144"/>
        <v>4.74</v>
      </c>
      <c r="CZ227" s="20">
        <f t="shared" si="110"/>
        <v>0.68100000000000005</v>
      </c>
      <c r="DA227" s="20">
        <f t="shared" si="111"/>
        <v>2.157</v>
      </c>
      <c r="DB227" s="16">
        <f t="shared" si="145"/>
        <v>12.86</v>
      </c>
      <c r="DD227" s="1">
        <v>19.5</v>
      </c>
      <c r="DE227" s="1">
        <v>25.6</v>
      </c>
      <c r="DF227" s="1">
        <v>12.6</v>
      </c>
      <c r="DG227" s="1">
        <v>47</v>
      </c>
      <c r="DH227" s="1">
        <v>26</v>
      </c>
      <c r="DZ227" s="1">
        <v>14.6</v>
      </c>
      <c r="EA227" s="1">
        <v>24</v>
      </c>
      <c r="EB227" s="1">
        <v>4.2</v>
      </c>
      <c r="EC227" s="1">
        <v>0</v>
      </c>
    </row>
    <row r="228" spans="1:133" x14ac:dyDescent="0.2">
      <c r="A228" s="40">
        <v>35286</v>
      </c>
      <c r="B228" s="34">
        <v>222</v>
      </c>
      <c r="C228" s="34">
        <v>26.23</v>
      </c>
      <c r="D228" s="34">
        <v>51.03</v>
      </c>
      <c r="E228" s="34">
        <v>13.93</v>
      </c>
      <c r="F228" s="34">
        <v>63.81</v>
      </c>
      <c r="G228" s="34">
        <v>13.76</v>
      </c>
      <c r="H228" s="34">
        <v>13.38</v>
      </c>
      <c r="I228" s="34">
        <v>12.7</v>
      </c>
      <c r="J228" s="34">
        <v>15.1</v>
      </c>
      <c r="K228" s="34">
        <v>15.25</v>
      </c>
      <c r="L228" s="34">
        <v>11.28</v>
      </c>
      <c r="M228" s="34">
        <v>9.7899999999999991</v>
      </c>
      <c r="N228" s="34">
        <v>8.56</v>
      </c>
      <c r="O228" s="34">
        <v>0</v>
      </c>
      <c r="P228" s="41">
        <v>2.1358333333333333</v>
      </c>
      <c r="Q228" s="34">
        <v>0</v>
      </c>
      <c r="R228" s="34">
        <v>22.43</v>
      </c>
      <c r="S228" s="34">
        <v>1718</v>
      </c>
      <c r="T228" s="34">
        <v>99.7</v>
      </c>
      <c r="U228" s="34">
        <v>415</v>
      </c>
      <c r="V228" s="34">
        <v>23.7</v>
      </c>
      <c r="W228" s="34">
        <v>25.46</v>
      </c>
      <c r="X228" s="34">
        <v>28.2</v>
      </c>
      <c r="Y228" s="34">
        <v>27.34</v>
      </c>
      <c r="Z228" s="34">
        <v>26.09</v>
      </c>
      <c r="AA228" s="34">
        <v>14.25</v>
      </c>
      <c r="AB228" s="34">
        <v>10.27</v>
      </c>
      <c r="AC228" s="34">
        <v>8.82</v>
      </c>
      <c r="AD228" s="41">
        <v>4.7275</v>
      </c>
      <c r="AE228" s="34">
        <v>1315</v>
      </c>
      <c r="AF228" s="34">
        <v>3.9329999999999998</v>
      </c>
      <c r="AG228" s="34">
        <v>516</v>
      </c>
      <c r="AH228" s="34">
        <v>26.88</v>
      </c>
      <c r="AI228" s="34">
        <v>1301</v>
      </c>
      <c r="AJ228" s="34">
        <v>3.2360000000000002</v>
      </c>
      <c r="AK228" s="34">
        <v>2.7480000000000002</v>
      </c>
      <c r="AL228" s="34">
        <v>0.94199999999999995</v>
      </c>
      <c r="AM228" s="34">
        <v>2.8540000000000001</v>
      </c>
      <c r="AN228" s="34">
        <v>2.992</v>
      </c>
      <c r="AO228" s="34">
        <v>8.43</v>
      </c>
      <c r="AP228" s="34">
        <v>9.43</v>
      </c>
      <c r="AQ228" s="34">
        <v>8.31</v>
      </c>
      <c r="AR228" s="34">
        <v>1.6E-2</v>
      </c>
      <c r="AS228" s="34">
        <v>0.27800000000000002</v>
      </c>
      <c r="AT228" s="34">
        <v>0.26400000000000001</v>
      </c>
      <c r="AU228" s="34">
        <v>8.0000000000000002E-3</v>
      </c>
      <c r="AV228" s="34">
        <v>8.3000000000000004E-2</v>
      </c>
      <c r="AW228" s="34">
        <v>0.23699999999999999</v>
      </c>
      <c r="AX228" s="34">
        <v>9.5000000000000001E-2</v>
      </c>
      <c r="AY228" s="34">
        <v>1.9E-2</v>
      </c>
      <c r="AZ228" s="34">
        <v>13.95</v>
      </c>
      <c r="BA228" s="34">
        <v>3474</v>
      </c>
      <c r="BB228" s="34">
        <v>12.87</v>
      </c>
      <c r="BC228" s="34">
        <v>2876</v>
      </c>
      <c r="BD228" s="3"/>
      <c r="BE228" s="3"/>
      <c r="BF228" s="3"/>
      <c r="BH228" s="16">
        <v>27.67</v>
      </c>
      <c r="BI228" s="16">
        <f t="shared" si="104"/>
        <v>55.893400000000007</v>
      </c>
      <c r="BJ228" s="17">
        <f t="shared" si="117"/>
        <v>26.23</v>
      </c>
      <c r="BK228" s="17">
        <f t="shared" si="118"/>
        <v>53.55</v>
      </c>
      <c r="BM228" s="1">
        <f t="shared" si="119"/>
        <v>93.1</v>
      </c>
      <c r="BN228" s="1">
        <f t="shared" si="120"/>
        <v>60</v>
      </c>
      <c r="BO228" s="1">
        <f t="shared" si="121"/>
        <v>25.8</v>
      </c>
      <c r="BP228" s="56">
        <f t="shared" si="146"/>
        <v>0.7</v>
      </c>
      <c r="BQ228" s="56">
        <f t="shared" si="147"/>
        <v>2.0129999999999999</v>
      </c>
      <c r="BS228" s="3">
        <v>0</v>
      </c>
      <c r="BT228" s="8"/>
      <c r="BV228" s="16">
        <f t="shared" si="105"/>
        <v>26.23</v>
      </c>
      <c r="BW228" s="16">
        <f t="shared" si="106"/>
        <v>53.55</v>
      </c>
      <c r="BX228" s="3">
        <f t="shared" si="107"/>
        <v>13.9</v>
      </c>
      <c r="BY228" s="3">
        <f t="shared" si="122"/>
        <v>13.8</v>
      </c>
      <c r="BZ228" s="3">
        <f t="shared" si="123"/>
        <v>13.4</v>
      </c>
      <c r="CA228" s="3">
        <f t="shared" si="124"/>
        <v>12.7</v>
      </c>
      <c r="CB228" s="3">
        <f t="shared" si="125"/>
        <v>11.3</v>
      </c>
      <c r="CC228" s="3">
        <f t="shared" si="126"/>
        <v>9.8000000000000007</v>
      </c>
      <c r="CD228" s="3">
        <f t="shared" si="127"/>
        <v>8.6</v>
      </c>
      <c r="CE228" s="23">
        <f t="shared" si="128"/>
        <v>60</v>
      </c>
      <c r="CF228" s="1">
        <f t="shared" si="108"/>
        <v>22.4</v>
      </c>
      <c r="CG228" s="1">
        <f t="shared" si="129"/>
        <v>23.7</v>
      </c>
      <c r="CH228" s="1">
        <f t="shared" si="130"/>
        <v>25.5</v>
      </c>
      <c r="CI228" s="1">
        <f t="shared" si="131"/>
        <v>28.2</v>
      </c>
      <c r="CJ228" s="1">
        <f t="shared" si="132"/>
        <v>14.3</v>
      </c>
      <c r="CK228" s="1">
        <f t="shared" si="133"/>
        <v>10.3</v>
      </c>
      <c r="CL228" s="1">
        <f t="shared" si="134"/>
        <v>8.8000000000000007</v>
      </c>
      <c r="CM228" s="2">
        <f t="shared" si="135"/>
        <v>93.1</v>
      </c>
      <c r="CN228" s="1">
        <f t="shared" si="109"/>
        <v>3.9</v>
      </c>
      <c r="CO228" s="1">
        <f t="shared" si="136"/>
        <v>3.2</v>
      </c>
      <c r="CP228" s="1">
        <f t="shared" si="137"/>
        <v>2.7</v>
      </c>
      <c r="CQ228" s="1">
        <f t="shared" si="138"/>
        <v>0.9</v>
      </c>
      <c r="CR228" s="1">
        <f t="shared" si="139"/>
        <v>8.4</v>
      </c>
      <c r="CS228" s="1">
        <f t="shared" si="140"/>
        <v>9.4</v>
      </c>
      <c r="CT228" s="1">
        <f t="shared" si="141"/>
        <v>8.3000000000000007</v>
      </c>
      <c r="CU228" s="2">
        <f t="shared" si="142"/>
        <v>25.8</v>
      </c>
      <c r="CV228" s="18" t="s">
        <v>233</v>
      </c>
      <c r="CW228" s="1">
        <f>ROUND(PPTest!K228,1)</f>
        <v>0</v>
      </c>
      <c r="CX228" s="17">
        <f t="shared" si="143"/>
        <v>2.14</v>
      </c>
      <c r="CY228" s="17">
        <f t="shared" si="144"/>
        <v>4.7300000000000004</v>
      </c>
      <c r="CZ228" s="20">
        <f t="shared" si="110"/>
        <v>0.7</v>
      </c>
      <c r="DA228" s="20">
        <f t="shared" si="111"/>
        <v>2.0129999999999999</v>
      </c>
      <c r="DB228" s="16">
        <f t="shared" si="145"/>
        <v>12.87</v>
      </c>
      <c r="DD228" s="1">
        <v>19.899999999999999</v>
      </c>
      <c r="DE228" s="1">
        <v>24.7</v>
      </c>
      <c r="DF228" s="1">
        <v>14.8</v>
      </c>
      <c r="DG228" s="1">
        <v>41.4</v>
      </c>
      <c r="DH228" s="1">
        <v>34</v>
      </c>
      <c r="DZ228" s="1">
        <v>15.9</v>
      </c>
      <c r="EA228" s="1">
        <v>24.9</v>
      </c>
      <c r="EB228" s="1">
        <v>5.5</v>
      </c>
      <c r="EC228" s="1">
        <v>0</v>
      </c>
    </row>
    <row r="229" spans="1:133" x14ac:dyDescent="0.2">
      <c r="A229" s="40">
        <v>35287</v>
      </c>
      <c r="B229" s="34">
        <v>223</v>
      </c>
      <c r="C229" s="34">
        <v>26.42</v>
      </c>
      <c r="D229" s="34">
        <v>51.09</v>
      </c>
      <c r="E229" s="34">
        <v>15.32</v>
      </c>
      <c r="F229" s="34">
        <v>60.18</v>
      </c>
      <c r="G229" s="34">
        <v>15.01</v>
      </c>
      <c r="H229" s="34">
        <v>14.51</v>
      </c>
      <c r="I229" s="34">
        <v>12.94</v>
      </c>
      <c r="J229" s="34">
        <v>16.239999999999998</v>
      </c>
      <c r="K229" s="34">
        <v>16.64</v>
      </c>
      <c r="L229" s="34">
        <v>11.46</v>
      </c>
      <c r="M229" s="34">
        <v>10.01</v>
      </c>
      <c r="N229" s="34">
        <v>8.69</v>
      </c>
      <c r="O229" s="34">
        <v>0</v>
      </c>
      <c r="P229" s="41">
        <v>2.1141666666666667</v>
      </c>
      <c r="Q229" s="34">
        <v>0</v>
      </c>
      <c r="R229" s="34">
        <v>25.01</v>
      </c>
      <c r="S229" s="34">
        <v>1639</v>
      </c>
      <c r="T229" s="34">
        <v>99.3</v>
      </c>
      <c r="U229" s="34">
        <v>456</v>
      </c>
      <c r="V229" s="34">
        <v>25.57</v>
      </c>
      <c r="W229" s="34">
        <v>27.73</v>
      </c>
      <c r="X229" s="34">
        <v>29.25</v>
      </c>
      <c r="Y229" s="34">
        <v>28.56</v>
      </c>
      <c r="Z229" s="34">
        <v>29.89</v>
      </c>
      <c r="AA229" s="34">
        <v>14.36</v>
      </c>
      <c r="AB229" s="34">
        <v>10.48</v>
      </c>
      <c r="AC229" s="34">
        <v>8.98</v>
      </c>
      <c r="AD229" s="41">
        <v>4.8341666666666665</v>
      </c>
      <c r="AE229" s="34">
        <v>1230</v>
      </c>
      <c r="AF229" s="34">
        <v>3.9790000000000001</v>
      </c>
      <c r="AG229" s="34">
        <v>451</v>
      </c>
      <c r="AH229" s="34">
        <v>22.14</v>
      </c>
      <c r="AI229" s="34">
        <v>1723</v>
      </c>
      <c r="AJ229" s="34">
        <v>3.206</v>
      </c>
      <c r="AK229" s="34">
        <v>2.4020000000000001</v>
      </c>
      <c r="AL229" s="34">
        <v>0.21</v>
      </c>
      <c r="AM229" s="34">
        <v>2.52</v>
      </c>
      <c r="AN229" s="34">
        <v>2.6640000000000001</v>
      </c>
      <c r="AO229" s="34">
        <v>8.58</v>
      </c>
      <c r="AP229" s="34">
        <v>9.6300000000000008</v>
      </c>
      <c r="AQ229" s="34">
        <v>8.4600000000000009</v>
      </c>
      <c r="AR229" s="34">
        <v>1.7000000000000001E-2</v>
      </c>
      <c r="AS229" s="34">
        <v>0.22600000000000001</v>
      </c>
      <c r="AT229" s="34">
        <v>0.318</v>
      </c>
      <c r="AU229" s="34">
        <v>1.2E-2</v>
      </c>
      <c r="AV229" s="34">
        <v>5.7000000000000002E-2</v>
      </c>
      <c r="AW229" s="34">
        <v>0.193</v>
      </c>
      <c r="AX229" s="34">
        <v>0.13400000000000001</v>
      </c>
      <c r="AY229" s="34">
        <v>4.3999999999999997E-2</v>
      </c>
      <c r="AZ229" s="34">
        <v>15.04</v>
      </c>
      <c r="BA229" s="34">
        <v>3474</v>
      </c>
      <c r="BB229" s="34">
        <v>12.86</v>
      </c>
      <c r="BC229" s="34">
        <v>2876</v>
      </c>
      <c r="BD229" s="3"/>
      <c r="BE229" s="3"/>
      <c r="BF229" s="3"/>
      <c r="BH229" s="16">
        <v>27.47</v>
      </c>
      <c r="BI229" s="16">
        <f t="shared" si="104"/>
        <v>55.489399999999996</v>
      </c>
      <c r="BJ229" s="17">
        <f t="shared" si="117"/>
        <v>26.42</v>
      </c>
      <c r="BK229" s="17">
        <f t="shared" si="118"/>
        <v>53.61</v>
      </c>
      <c r="BM229" s="1">
        <f t="shared" si="119"/>
        <v>92.8</v>
      </c>
      <c r="BN229" s="1">
        <f t="shared" si="120"/>
        <v>56.6</v>
      </c>
      <c r="BO229" s="1">
        <f t="shared" si="121"/>
        <v>21.5</v>
      </c>
      <c r="BP229" s="56">
        <f t="shared" si="146"/>
        <v>0.68100000000000005</v>
      </c>
      <c r="BQ229" s="56">
        <f t="shared" si="147"/>
        <v>2.4860000000000002</v>
      </c>
      <c r="BS229" s="3">
        <v>0</v>
      </c>
      <c r="BT229" s="8"/>
      <c r="BV229" s="16">
        <f t="shared" si="105"/>
        <v>26.42</v>
      </c>
      <c r="BW229" s="16">
        <f t="shared" si="106"/>
        <v>53.61</v>
      </c>
      <c r="BX229" s="3">
        <f t="shared" si="107"/>
        <v>15.3</v>
      </c>
      <c r="BY229" s="3">
        <f t="shared" si="122"/>
        <v>15</v>
      </c>
      <c r="BZ229" s="3">
        <f t="shared" si="123"/>
        <v>14.5</v>
      </c>
      <c r="CA229" s="3">
        <f t="shared" si="124"/>
        <v>12.9</v>
      </c>
      <c r="CB229" s="3">
        <f t="shared" si="125"/>
        <v>11.5</v>
      </c>
      <c r="CC229" s="3">
        <f t="shared" si="126"/>
        <v>10</v>
      </c>
      <c r="CD229" s="3">
        <f t="shared" si="127"/>
        <v>8.6999999999999993</v>
      </c>
      <c r="CE229" s="23">
        <f t="shared" si="128"/>
        <v>56.6</v>
      </c>
      <c r="CF229" s="1">
        <f t="shared" si="108"/>
        <v>25</v>
      </c>
      <c r="CG229" s="1">
        <f t="shared" si="129"/>
        <v>25.6</v>
      </c>
      <c r="CH229" s="1">
        <f t="shared" si="130"/>
        <v>27.7</v>
      </c>
      <c r="CI229" s="1">
        <f t="shared" si="131"/>
        <v>29.3</v>
      </c>
      <c r="CJ229" s="1">
        <f t="shared" si="132"/>
        <v>14.4</v>
      </c>
      <c r="CK229" s="1">
        <f t="shared" si="133"/>
        <v>10.5</v>
      </c>
      <c r="CL229" s="1">
        <f t="shared" si="134"/>
        <v>9</v>
      </c>
      <c r="CM229" s="2">
        <f t="shared" si="135"/>
        <v>92.8</v>
      </c>
      <c r="CN229" s="1">
        <f t="shared" si="109"/>
        <v>4</v>
      </c>
      <c r="CO229" s="1">
        <f t="shared" si="136"/>
        <v>3.2</v>
      </c>
      <c r="CP229" s="1">
        <f t="shared" si="137"/>
        <v>2.4</v>
      </c>
      <c r="CQ229" s="1">
        <f t="shared" si="138"/>
        <v>0.2</v>
      </c>
      <c r="CR229" s="1">
        <f t="shared" si="139"/>
        <v>8.6</v>
      </c>
      <c r="CS229" s="1">
        <f t="shared" si="140"/>
        <v>9.6</v>
      </c>
      <c r="CT229" s="1">
        <f t="shared" si="141"/>
        <v>8.5</v>
      </c>
      <c r="CU229" s="2">
        <f t="shared" si="142"/>
        <v>21.5</v>
      </c>
      <c r="CV229" s="18" t="s">
        <v>233</v>
      </c>
      <c r="CW229" s="1">
        <f>ROUND(PPTest!K229,1)</f>
        <v>0</v>
      </c>
      <c r="CX229" s="17">
        <f t="shared" si="143"/>
        <v>2.11</v>
      </c>
      <c r="CY229" s="17">
        <f t="shared" si="144"/>
        <v>4.83</v>
      </c>
      <c r="CZ229" s="20">
        <f t="shared" si="110"/>
        <v>0.68100000000000005</v>
      </c>
      <c r="DA229" s="20">
        <f t="shared" si="111"/>
        <v>2.4860000000000002</v>
      </c>
      <c r="DB229" s="16">
        <f t="shared" si="145"/>
        <v>12.86</v>
      </c>
      <c r="DD229" s="1">
        <v>21.4</v>
      </c>
      <c r="DE229" s="1">
        <v>27.2</v>
      </c>
      <c r="DF229" s="1">
        <v>14.7</v>
      </c>
      <c r="DG229" s="1">
        <v>38.6</v>
      </c>
      <c r="DH229" s="1">
        <v>32</v>
      </c>
      <c r="DZ229" s="1">
        <v>17.8</v>
      </c>
      <c r="EA229" s="1">
        <v>26.7</v>
      </c>
      <c r="EB229" s="1">
        <v>6.5</v>
      </c>
      <c r="EC229" s="1">
        <v>0</v>
      </c>
    </row>
    <row r="230" spans="1:133" x14ac:dyDescent="0.2">
      <c r="A230" s="40">
        <v>35288</v>
      </c>
      <c r="B230" s="34">
        <v>224</v>
      </c>
      <c r="C230" s="34">
        <v>21.75</v>
      </c>
      <c r="D230" s="34">
        <v>41.84</v>
      </c>
      <c r="E230" s="34">
        <v>14.11</v>
      </c>
      <c r="F230" s="34">
        <v>57.03</v>
      </c>
      <c r="G230" s="34">
        <v>13.75</v>
      </c>
      <c r="H230" s="34">
        <v>13.34</v>
      </c>
      <c r="I230" s="34">
        <v>12.07</v>
      </c>
      <c r="J230" s="34">
        <v>14.42</v>
      </c>
      <c r="K230" s="34">
        <v>14.84</v>
      </c>
      <c r="L230" s="34">
        <v>11.34</v>
      </c>
      <c r="M230" s="34">
        <v>10.199999999999999</v>
      </c>
      <c r="N230" s="34">
        <v>8.82</v>
      </c>
      <c r="O230" s="34">
        <v>1E-3</v>
      </c>
      <c r="P230" s="41">
        <v>2.6475</v>
      </c>
      <c r="Q230" s="34">
        <v>0</v>
      </c>
      <c r="R230" s="34">
        <v>23.44</v>
      </c>
      <c r="S230" s="34">
        <v>1500</v>
      </c>
      <c r="T230" s="34">
        <v>93.2</v>
      </c>
      <c r="U230" s="34">
        <v>510</v>
      </c>
      <c r="V230" s="34">
        <v>23.97</v>
      </c>
      <c r="W230" s="34">
        <v>25.73</v>
      </c>
      <c r="X230" s="34">
        <v>28.1</v>
      </c>
      <c r="Y230" s="34">
        <v>26.99</v>
      </c>
      <c r="Z230" s="34">
        <v>26.72</v>
      </c>
      <c r="AA230" s="34">
        <v>14.09</v>
      </c>
      <c r="AB230" s="34">
        <v>10.56</v>
      </c>
      <c r="AC230" s="34">
        <v>9.08</v>
      </c>
      <c r="AD230" s="41">
        <v>9.4875000000000007</v>
      </c>
      <c r="AE230" s="34">
        <v>1510</v>
      </c>
      <c r="AF230" s="34">
        <v>4.2169999999999996</v>
      </c>
      <c r="AG230" s="34">
        <v>2358</v>
      </c>
      <c r="AH230" s="34">
        <v>28.32</v>
      </c>
      <c r="AI230" s="34">
        <v>1736</v>
      </c>
      <c r="AJ230" s="34">
        <v>2.5419999999999998</v>
      </c>
      <c r="AK230" s="34">
        <v>0.77500000000000002</v>
      </c>
      <c r="AL230" s="34">
        <v>-1.718</v>
      </c>
      <c r="AM230" s="34">
        <v>1.105</v>
      </c>
      <c r="AN230" s="34">
        <v>1.8859999999999999</v>
      </c>
      <c r="AO230" s="34">
        <v>8.94</v>
      </c>
      <c r="AP230" s="34">
        <v>9.8800000000000008</v>
      </c>
      <c r="AQ230" s="34">
        <v>8.61</v>
      </c>
      <c r="AR230" s="34">
        <v>1.6E-2</v>
      </c>
      <c r="AS230" s="34">
        <v>0.16800000000000001</v>
      </c>
      <c r="AT230" s="34">
        <v>0.20899999999999999</v>
      </c>
      <c r="AU230" s="34">
        <v>2.4E-2</v>
      </c>
      <c r="AV230" s="34">
        <v>8.5000000000000006E-2</v>
      </c>
      <c r="AW230" s="34">
        <v>0.32600000000000001</v>
      </c>
      <c r="AX230" s="34">
        <v>0.14799999999999999</v>
      </c>
      <c r="AY230" s="34">
        <v>2.4E-2</v>
      </c>
      <c r="AZ230" s="34">
        <v>13.62</v>
      </c>
      <c r="BA230" s="34">
        <v>3474</v>
      </c>
      <c r="BB230" s="34">
        <v>12.9</v>
      </c>
      <c r="BC230" s="34">
        <v>2876</v>
      </c>
      <c r="BD230" s="3"/>
      <c r="BE230" s="3"/>
      <c r="BF230" s="3"/>
      <c r="BH230" s="16">
        <v>27.27</v>
      </c>
      <c r="BI230" s="16">
        <f t="shared" si="104"/>
        <v>55.0854</v>
      </c>
      <c r="BJ230" s="17">
        <f t="shared" si="117"/>
        <v>21.75</v>
      </c>
      <c r="BK230" s="17">
        <f t="shared" si="118"/>
        <v>43.91</v>
      </c>
      <c r="BM230" s="1">
        <f t="shared" si="119"/>
        <v>87.1</v>
      </c>
      <c r="BN230" s="1">
        <f t="shared" si="120"/>
        <v>53.7</v>
      </c>
      <c r="BO230" s="1">
        <f t="shared" si="121"/>
        <v>27.2</v>
      </c>
      <c r="BP230" s="56">
        <f t="shared" si="146"/>
        <v>0.78500000000000003</v>
      </c>
      <c r="BQ230" s="56">
        <f t="shared" si="147"/>
        <v>2.101</v>
      </c>
      <c r="BS230" s="3">
        <v>0</v>
      </c>
      <c r="BT230" s="8"/>
      <c r="BV230" s="16">
        <f t="shared" si="105"/>
        <v>21.75</v>
      </c>
      <c r="BW230" s="16">
        <f t="shared" si="106"/>
        <v>43.91</v>
      </c>
      <c r="BX230" s="3">
        <f t="shared" si="107"/>
        <v>14.1</v>
      </c>
      <c r="BY230" s="3">
        <f t="shared" si="122"/>
        <v>13.8</v>
      </c>
      <c r="BZ230" s="3">
        <f t="shared" si="123"/>
        <v>13.3</v>
      </c>
      <c r="CA230" s="3">
        <f t="shared" si="124"/>
        <v>12.1</v>
      </c>
      <c r="CB230" s="3">
        <f t="shared" si="125"/>
        <v>11.3</v>
      </c>
      <c r="CC230" s="3">
        <f t="shared" si="126"/>
        <v>10.199999999999999</v>
      </c>
      <c r="CD230" s="3">
        <f t="shared" si="127"/>
        <v>8.8000000000000007</v>
      </c>
      <c r="CE230" s="23">
        <f t="shared" si="128"/>
        <v>53.7</v>
      </c>
      <c r="CF230" s="1">
        <f t="shared" si="108"/>
        <v>23.4</v>
      </c>
      <c r="CG230" s="1">
        <f t="shared" si="129"/>
        <v>24</v>
      </c>
      <c r="CH230" s="1">
        <f t="shared" si="130"/>
        <v>25.7</v>
      </c>
      <c r="CI230" s="1">
        <f t="shared" si="131"/>
        <v>28.1</v>
      </c>
      <c r="CJ230" s="1">
        <f t="shared" si="132"/>
        <v>14.1</v>
      </c>
      <c r="CK230" s="1">
        <f t="shared" si="133"/>
        <v>10.6</v>
      </c>
      <c r="CL230" s="1">
        <f t="shared" si="134"/>
        <v>9.1</v>
      </c>
      <c r="CM230" s="2">
        <f t="shared" si="135"/>
        <v>87.1</v>
      </c>
      <c r="CN230" s="1">
        <f t="shared" si="109"/>
        <v>4.2</v>
      </c>
      <c r="CO230" s="1">
        <f t="shared" si="136"/>
        <v>2.5</v>
      </c>
      <c r="CP230" s="1">
        <f t="shared" si="137"/>
        <v>0.8</v>
      </c>
      <c r="CQ230" s="1">
        <f t="shared" si="138"/>
        <v>-1.7</v>
      </c>
      <c r="CR230" s="1">
        <f t="shared" si="139"/>
        <v>8.9</v>
      </c>
      <c r="CS230" s="1">
        <f t="shared" si="140"/>
        <v>9.9</v>
      </c>
      <c r="CT230" s="1">
        <f t="shared" si="141"/>
        <v>8.6</v>
      </c>
      <c r="CU230" s="2">
        <f t="shared" si="142"/>
        <v>27.2</v>
      </c>
      <c r="CV230" s="18" t="s">
        <v>233</v>
      </c>
      <c r="CW230" s="1">
        <f>ROUND(PPTest!K230,1)</f>
        <v>0</v>
      </c>
      <c r="CX230" s="17">
        <f t="shared" si="143"/>
        <v>2.65</v>
      </c>
      <c r="CY230" s="17">
        <f t="shared" si="144"/>
        <v>9.49</v>
      </c>
      <c r="CZ230" s="20">
        <f t="shared" si="110"/>
        <v>0.78500000000000003</v>
      </c>
      <c r="DA230" s="20">
        <f t="shared" si="111"/>
        <v>2.101</v>
      </c>
      <c r="DB230" s="16">
        <f t="shared" si="145"/>
        <v>12.9</v>
      </c>
      <c r="DD230" s="1">
        <v>18.3</v>
      </c>
      <c r="DE230" s="1">
        <v>24.7</v>
      </c>
      <c r="DF230" s="1">
        <v>8.8000000000000007</v>
      </c>
      <c r="DG230" s="1">
        <v>44.3</v>
      </c>
      <c r="DH230" s="1">
        <v>35</v>
      </c>
      <c r="DZ230" s="1">
        <v>15.3</v>
      </c>
      <c r="EA230" s="1">
        <v>24.5</v>
      </c>
      <c r="EB230" s="1">
        <v>6.2</v>
      </c>
      <c r="EC230" s="1">
        <v>0</v>
      </c>
    </row>
    <row r="231" spans="1:133" x14ac:dyDescent="0.2">
      <c r="A231" s="40">
        <v>35289</v>
      </c>
      <c r="B231" s="34">
        <v>225</v>
      </c>
      <c r="C231" s="34">
        <v>27.08</v>
      </c>
      <c r="D231" s="34">
        <v>53.4</v>
      </c>
      <c r="E231" s="34">
        <v>9.23</v>
      </c>
      <c r="F231" s="34">
        <v>71</v>
      </c>
      <c r="G231" s="34">
        <v>9.01</v>
      </c>
      <c r="H231" s="34">
        <v>8.5500000000000007</v>
      </c>
      <c r="I231" s="34">
        <v>8.2200000000000006</v>
      </c>
      <c r="J231" s="34">
        <v>10.53</v>
      </c>
      <c r="K231" s="34">
        <v>10.62</v>
      </c>
      <c r="L231" s="34">
        <v>10.29</v>
      </c>
      <c r="M231" s="34">
        <v>9.94</v>
      </c>
      <c r="N231" s="34">
        <v>8.8699999999999992</v>
      </c>
      <c r="O231" s="34">
        <v>0</v>
      </c>
      <c r="P231" s="41">
        <v>1.969166666666667</v>
      </c>
      <c r="Q231" s="34">
        <v>0</v>
      </c>
      <c r="R231" s="34">
        <v>17.760000000000002</v>
      </c>
      <c r="S231" s="34">
        <v>1654</v>
      </c>
      <c r="T231" s="34">
        <v>99.7</v>
      </c>
      <c r="U231" s="34">
        <v>507</v>
      </c>
      <c r="V231" s="34">
        <v>18.29</v>
      </c>
      <c r="W231" s="34">
        <v>19.98</v>
      </c>
      <c r="X231" s="34">
        <v>23.21</v>
      </c>
      <c r="Y231" s="34">
        <v>22.39</v>
      </c>
      <c r="Z231" s="34">
        <v>23</v>
      </c>
      <c r="AA231" s="34">
        <v>13.27</v>
      </c>
      <c r="AB231" s="34">
        <v>10.32</v>
      </c>
      <c r="AC231" s="34">
        <v>9.18</v>
      </c>
      <c r="AD231" s="41">
        <v>5.3274999999999997</v>
      </c>
      <c r="AE231" s="34">
        <v>1409</v>
      </c>
      <c r="AF231" s="34">
        <v>2.1999999999999999E-2</v>
      </c>
      <c r="AG231" s="34">
        <v>504</v>
      </c>
      <c r="AH231" s="34">
        <v>37.29</v>
      </c>
      <c r="AI231" s="34">
        <v>1805</v>
      </c>
      <c r="AJ231" s="34">
        <v>-0.70899999999999996</v>
      </c>
      <c r="AK231" s="34">
        <v>-1.4410000000000001</v>
      </c>
      <c r="AL231" s="34">
        <v>-3.3149999999999999</v>
      </c>
      <c r="AM231" s="34">
        <v>-0.72</v>
      </c>
      <c r="AN231" s="34">
        <v>-0.79400000000000004</v>
      </c>
      <c r="AO231" s="34">
        <v>7.52</v>
      </c>
      <c r="AP231" s="34">
        <v>9.6199999999999992</v>
      </c>
      <c r="AQ231" s="34">
        <v>8.57</v>
      </c>
      <c r="AR231" s="34">
        <v>0.04</v>
      </c>
      <c r="AS231" s="34">
        <v>0.31</v>
      </c>
      <c r="AT231" s="34">
        <v>0.21099999999999999</v>
      </c>
      <c r="AU231" s="34">
        <v>1.7999999999999999E-2</v>
      </c>
      <c r="AV231" s="34">
        <v>9.6000000000000002E-2</v>
      </c>
      <c r="AW231" s="34">
        <v>0.16400000000000001</v>
      </c>
      <c r="AX231" s="34">
        <v>8.8999999999999996E-2</v>
      </c>
      <c r="AY231" s="34">
        <v>7.1999999999999995E-2</v>
      </c>
      <c r="AZ231" s="34">
        <v>9.58</v>
      </c>
      <c r="BA231" s="34">
        <v>3474</v>
      </c>
      <c r="BB231" s="34">
        <v>12.91</v>
      </c>
      <c r="BC231" s="34">
        <v>2876</v>
      </c>
      <c r="BD231" s="3"/>
      <c r="BE231" s="3"/>
      <c r="BF231" s="3"/>
      <c r="BH231" s="16">
        <v>27.06</v>
      </c>
      <c r="BI231" s="16">
        <f t="shared" si="104"/>
        <v>54.661200000000001</v>
      </c>
      <c r="BJ231" s="17">
        <f t="shared" si="117"/>
        <v>27.08</v>
      </c>
      <c r="BK231" s="17">
        <f t="shared" si="118"/>
        <v>56.04</v>
      </c>
      <c r="BM231" s="1">
        <f t="shared" si="119"/>
        <v>93.1</v>
      </c>
      <c r="BN231" s="1">
        <f t="shared" si="120"/>
        <v>66.599999999999994</v>
      </c>
      <c r="BO231" s="1">
        <f t="shared" si="121"/>
        <v>35.5</v>
      </c>
      <c r="BP231" s="56">
        <f t="shared" si="146"/>
        <v>0.72199999999999998</v>
      </c>
      <c r="BQ231" s="56">
        <f t="shared" si="147"/>
        <v>1.3120000000000001</v>
      </c>
      <c r="BS231" s="3">
        <v>0</v>
      </c>
      <c r="BT231" s="8"/>
      <c r="BV231" s="16">
        <f t="shared" si="105"/>
        <v>27.08</v>
      </c>
      <c r="BW231" s="16">
        <f t="shared" si="106"/>
        <v>56.04</v>
      </c>
      <c r="BX231" s="3">
        <f t="shared" si="107"/>
        <v>9.1999999999999993</v>
      </c>
      <c r="BY231" s="3">
        <f t="shared" si="122"/>
        <v>9</v>
      </c>
      <c r="BZ231" s="3">
        <f t="shared" si="123"/>
        <v>8.6</v>
      </c>
      <c r="CA231" s="3">
        <f t="shared" si="124"/>
        <v>8.1999999999999993</v>
      </c>
      <c r="CB231" s="3">
        <f t="shared" si="125"/>
        <v>10.3</v>
      </c>
      <c r="CC231" s="3">
        <f t="shared" si="126"/>
        <v>9.9</v>
      </c>
      <c r="CD231" s="3">
        <f t="shared" si="127"/>
        <v>8.9</v>
      </c>
      <c r="CE231" s="23">
        <f t="shared" si="128"/>
        <v>66.599999999999994</v>
      </c>
      <c r="CF231" s="1">
        <f t="shared" si="108"/>
        <v>17.8</v>
      </c>
      <c r="CG231" s="1">
        <f t="shared" si="129"/>
        <v>18.3</v>
      </c>
      <c r="CH231" s="1">
        <f t="shared" si="130"/>
        <v>20</v>
      </c>
      <c r="CI231" s="1">
        <f t="shared" si="131"/>
        <v>23.2</v>
      </c>
      <c r="CJ231" s="1">
        <f t="shared" si="132"/>
        <v>13.3</v>
      </c>
      <c r="CK231" s="1">
        <f t="shared" si="133"/>
        <v>10.3</v>
      </c>
      <c r="CL231" s="1">
        <f t="shared" si="134"/>
        <v>9.1999999999999993</v>
      </c>
      <c r="CM231" s="2">
        <f t="shared" si="135"/>
        <v>93.1</v>
      </c>
      <c r="CN231" s="1">
        <f t="shared" si="109"/>
        <v>0</v>
      </c>
      <c r="CO231" s="1">
        <f t="shared" si="136"/>
        <v>-0.7</v>
      </c>
      <c r="CP231" s="1">
        <f t="shared" si="137"/>
        <v>-1.4</v>
      </c>
      <c r="CQ231" s="1">
        <f t="shared" si="138"/>
        <v>-3.3</v>
      </c>
      <c r="CR231" s="1">
        <f t="shared" si="139"/>
        <v>7.5</v>
      </c>
      <c r="CS231" s="1">
        <f t="shared" si="140"/>
        <v>9.6</v>
      </c>
      <c r="CT231" s="1">
        <f t="shared" si="141"/>
        <v>8.6</v>
      </c>
      <c r="CU231" s="2">
        <f t="shared" si="142"/>
        <v>35.5</v>
      </c>
      <c r="CV231" s="18" t="s">
        <v>233</v>
      </c>
      <c r="CW231" s="1">
        <f>ROUND(PPTest!K231,1)</f>
        <v>0</v>
      </c>
      <c r="CX231" s="17">
        <f t="shared" si="143"/>
        <v>1.97</v>
      </c>
      <c r="CY231" s="17">
        <f t="shared" si="144"/>
        <v>5.33</v>
      </c>
      <c r="CZ231" s="20">
        <f t="shared" si="110"/>
        <v>0.72199999999999998</v>
      </c>
      <c r="DA231" s="20">
        <f t="shared" si="111"/>
        <v>1.3120000000000001</v>
      </c>
      <c r="DB231" s="16">
        <f t="shared" si="145"/>
        <v>12.91</v>
      </c>
      <c r="DD231" s="1">
        <v>14</v>
      </c>
      <c r="DE231" s="1">
        <v>20.6</v>
      </c>
      <c r="DF231" s="1">
        <v>7.3</v>
      </c>
      <c r="DG231" s="1">
        <v>58.5</v>
      </c>
      <c r="DH231" s="1">
        <v>42</v>
      </c>
      <c r="DZ231" s="1">
        <v>11</v>
      </c>
      <c r="EA231" s="1">
        <v>19.7</v>
      </c>
      <c r="EB231" s="1">
        <v>1.7</v>
      </c>
      <c r="EC231" s="1">
        <v>0</v>
      </c>
    </row>
    <row r="232" spans="1:133" x14ac:dyDescent="0.2">
      <c r="A232" s="40">
        <v>35290</v>
      </c>
      <c r="B232" s="34">
        <v>226</v>
      </c>
      <c r="C232" s="34">
        <v>26.5</v>
      </c>
      <c r="D232" s="34">
        <v>52.33</v>
      </c>
      <c r="E232" s="34">
        <v>12.8</v>
      </c>
      <c r="F232" s="34">
        <v>65.67</v>
      </c>
      <c r="G232" s="34">
        <v>12.53</v>
      </c>
      <c r="H232" s="34">
        <v>12.2</v>
      </c>
      <c r="I232" s="34">
        <v>11.52</v>
      </c>
      <c r="J232" s="34">
        <v>13.73</v>
      </c>
      <c r="K232" s="34">
        <v>13.97</v>
      </c>
      <c r="L232" s="34">
        <v>10.71</v>
      </c>
      <c r="M232" s="34">
        <v>9.81</v>
      </c>
      <c r="N232" s="34">
        <v>8.8800000000000008</v>
      </c>
      <c r="O232" s="34">
        <v>0</v>
      </c>
      <c r="P232" s="41">
        <v>2.1691666666666665</v>
      </c>
      <c r="Q232" s="34">
        <v>0</v>
      </c>
      <c r="R232" s="34">
        <v>22.83</v>
      </c>
      <c r="S232" s="34">
        <v>1708</v>
      </c>
      <c r="T232" s="34">
        <v>101.5</v>
      </c>
      <c r="U232" s="34">
        <v>514</v>
      </c>
      <c r="V232" s="34">
        <v>23.59</v>
      </c>
      <c r="W232" s="34">
        <v>26.25</v>
      </c>
      <c r="X232" s="34">
        <v>27.78</v>
      </c>
      <c r="Y232" s="34">
        <v>27.95</v>
      </c>
      <c r="Z232" s="34">
        <v>27.4</v>
      </c>
      <c r="AA232" s="34">
        <v>14.06</v>
      </c>
      <c r="AB232" s="34">
        <v>10.28</v>
      </c>
      <c r="AC232" s="34">
        <v>9.1300000000000008</v>
      </c>
      <c r="AD232" s="41">
        <v>4.5674999999999999</v>
      </c>
      <c r="AE232" s="34">
        <v>1253</v>
      </c>
      <c r="AF232" s="34">
        <v>1.167</v>
      </c>
      <c r="AG232" s="34">
        <v>510</v>
      </c>
      <c r="AH232" s="34">
        <v>32.76</v>
      </c>
      <c r="AI232" s="34">
        <v>1134</v>
      </c>
      <c r="AJ232" s="34">
        <v>0.497</v>
      </c>
      <c r="AK232" s="34">
        <v>-0.217</v>
      </c>
      <c r="AL232" s="34">
        <v>-2.0030000000000001</v>
      </c>
      <c r="AM232" s="34">
        <v>-6.0999999999999999E-2</v>
      </c>
      <c r="AN232" s="34">
        <v>8.9999999999999993E-3</v>
      </c>
      <c r="AO232" s="34">
        <v>7.58</v>
      </c>
      <c r="AP232" s="34">
        <v>9.43</v>
      </c>
      <c r="AQ232" s="34">
        <v>8.66</v>
      </c>
      <c r="AR232" s="34">
        <v>7.8E-2</v>
      </c>
      <c r="AS232" s="34">
        <v>0.33400000000000002</v>
      </c>
      <c r="AT232" s="34">
        <v>0.3</v>
      </c>
      <c r="AU232" s="34">
        <v>8.9999999999999993E-3</v>
      </c>
      <c r="AV232" s="34">
        <v>3.7999999999999999E-2</v>
      </c>
      <c r="AW232" s="34">
        <v>0.128</v>
      </c>
      <c r="AX232" s="34">
        <v>5.1999999999999998E-2</v>
      </c>
      <c r="AY232" s="34">
        <v>0.06</v>
      </c>
      <c r="AZ232" s="34">
        <v>12.73</v>
      </c>
      <c r="BA232" s="34">
        <v>3474</v>
      </c>
      <c r="BB232" s="34">
        <v>12.85</v>
      </c>
      <c r="BC232" s="34">
        <v>2876</v>
      </c>
      <c r="BD232" s="3"/>
      <c r="BE232" s="3"/>
      <c r="BF232" s="3"/>
      <c r="BH232" s="16">
        <v>26.86</v>
      </c>
      <c r="BI232" s="16">
        <f t="shared" si="104"/>
        <v>54.257199999999997</v>
      </c>
      <c r="BJ232" s="17">
        <f t="shared" si="117"/>
        <v>26.5</v>
      </c>
      <c r="BK232" s="17">
        <f t="shared" si="118"/>
        <v>54.92</v>
      </c>
      <c r="BM232" s="1">
        <f t="shared" si="119"/>
        <v>94.8</v>
      </c>
      <c r="BN232" s="1">
        <f t="shared" si="120"/>
        <v>61.7</v>
      </c>
      <c r="BO232" s="1">
        <f t="shared" si="121"/>
        <v>31.3</v>
      </c>
      <c r="BP232" s="56">
        <f t="shared" si="146"/>
        <v>0.87</v>
      </c>
      <c r="BQ232" s="56">
        <f t="shared" si="147"/>
        <v>1.91</v>
      </c>
      <c r="BS232" s="3">
        <v>0</v>
      </c>
      <c r="BT232" s="8"/>
      <c r="BV232" s="16">
        <f t="shared" si="105"/>
        <v>26.5</v>
      </c>
      <c r="BW232" s="16">
        <f t="shared" si="106"/>
        <v>54.92</v>
      </c>
      <c r="BX232" s="3">
        <f t="shared" si="107"/>
        <v>12.8</v>
      </c>
      <c r="BY232" s="3">
        <f t="shared" si="122"/>
        <v>12.5</v>
      </c>
      <c r="BZ232" s="3">
        <f t="shared" si="123"/>
        <v>12.2</v>
      </c>
      <c r="CA232" s="3">
        <f t="shared" si="124"/>
        <v>11.5</v>
      </c>
      <c r="CB232" s="3">
        <f t="shared" si="125"/>
        <v>10.7</v>
      </c>
      <c r="CC232" s="3">
        <f t="shared" si="126"/>
        <v>9.8000000000000007</v>
      </c>
      <c r="CD232" s="3">
        <f t="shared" si="127"/>
        <v>8.9</v>
      </c>
      <c r="CE232" s="23">
        <f t="shared" si="128"/>
        <v>61.7</v>
      </c>
      <c r="CF232" s="1">
        <f t="shared" ref="CF232:CF251" si="148">ROUND(R232,1)</f>
        <v>22.8</v>
      </c>
      <c r="CG232" s="1">
        <f t="shared" si="129"/>
        <v>23.6</v>
      </c>
      <c r="CH232" s="1">
        <f t="shared" si="130"/>
        <v>26.3</v>
      </c>
      <c r="CI232" s="1">
        <f t="shared" si="131"/>
        <v>27.8</v>
      </c>
      <c r="CJ232" s="1">
        <f t="shared" si="132"/>
        <v>14.1</v>
      </c>
      <c r="CK232" s="1">
        <f t="shared" si="133"/>
        <v>10.3</v>
      </c>
      <c r="CL232" s="1">
        <f t="shared" si="134"/>
        <v>9.1</v>
      </c>
      <c r="CM232" s="2">
        <f t="shared" si="135"/>
        <v>94.8</v>
      </c>
      <c r="CN232" s="1">
        <f t="shared" ref="CN232:CN251" si="149">ROUND(AF232,1)</f>
        <v>1.2</v>
      </c>
      <c r="CO232" s="1">
        <f t="shared" si="136"/>
        <v>0.5</v>
      </c>
      <c r="CP232" s="1">
        <f t="shared" si="137"/>
        <v>-0.2</v>
      </c>
      <c r="CQ232" s="1">
        <f t="shared" si="138"/>
        <v>-2</v>
      </c>
      <c r="CR232" s="1">
        <f t="shared" si="139"/>
        <v>7.6</v>
      </c>
      <c r="CS232" s="1">
        <f t="shared" si="140"/>
        <v>9.4</v>
      </c>
      <c r="CT232" s="1">
        <f t="shared" si="141"/>
        <v>8.6999999999999993</v>
      </c>
      <c r="CU232" s="2">
        <f t="shared" si="142"/>
        <v>31.3</v>
      </c>
      <c r="CV232" s="18" t="s">
        <v>233</v>
      </c>
      <c r="CW232" s="1">
        <f>ROUND(PPTest!K232,1)</f>
        <v>0</v>
      </c>
      <c r="CX232" s="17">
        <f t="shared" si="143"/>
        <v>2.17</v>
      </c>
      <c r="CY232" s="17">
        <f t="shared" si="144"/>
        <v>4.57</v>
      </c>
      <c r="CZ232" s="20">
        <f t="shared" si="110"/>
        <v>0.87</v>
      </c>
      <c r="DA232" s="20">
        <f t="shared" si="111"/>
        <v>1.91</v>
      </c>
      <c r="DB232" s="16">
        <f t="shared" si="145"/>
        <v>12.85</v>
      </c>
      <c r="DD232" s="1">
        <v>18.899999999999999</v>
      </c>
      <c r="DE232" s="1">
        <v>26.4</v>
      </c>
      <c r="DF232" s="1">
        <v>12</v>
      </c>
      <c r="DG232" s="1">
        <v>45.4</v>
      </c>
      <c r="DH232" s="1">
        <v>31</v>
      </c>
      <c r="DZ232" s="1">
        <v>14.9</v>
      </c>
      <c r="EA232" s="1">
        <v>24.7</v>
      </c>
      <c r="EB232" s="1">
        <v>4.0999999999999996</v>
      </c>
      <c r="EC232" s="1">
        <v>0</v>
      </c>
    </row>
    <row r="233" spans="1:133" x14ac:dyDescent="0.2">
      <c r="A233" s="40">
        <v>35291</v>
      </c>
      <c r="B233" s="34">
        <v>227</v>
      </c>
      <c r="C233" s="34">
        <v>23.6</v>
      </c>
      <c r="D233" s="34">
        <v>46.49</v>
      </c>
      <c r="E233" s="34">
        <v>15.42</v>
      </c>
      <c r="F233" s="34">
        <v>57.59</v>
      </c>
      <c r="G233" s="34">
        <v>14.93</v>
      </c>
      <c r="H233" s="34">
        <v>14.35</v>
      </c>
      <c r="I233" s="34">
        <v>12.82</v>
      </c>
      <c r="J233" s="34">
        <v>15.59</v>
      </c>
      <c r="K233" s="34">
        <v>16.18</v>
      </c>
      <c r="L233" s="34">
        <v>11.48</v>
      </c>
      <c r="M233" s="34">
        <v>10.119999999999999</v>
      </c>
      <c r="N233" s="34">
        <v>8.89</v>
      </c>
      <c r="O233" s="34">
        <v>1E-3</v>
      </c>
      <c r="P233" s="41">
        <v>2.1974999999999998</v>
      </c>
      <c r="Q233" s="34">
        <v>0</v>
      </c>
      <c r="R233" s="34">
        <v>23.55</v>
      </c>
      <c r="S233" s="34">
        <v>1452</v>
      </c>
      <c r="T233" s="34">
        <v>86.5</v>
      </c>
      <c r="U233" s="34">
        <v>111</v>
      </c>
      <c r="V233" s="34">
        <v>24.61</v>
      </c>
      <c r="W233" s="34">
        <v>27.9</v>
      </c>
      <c r="X233" s="34">
        <v>29.33</v>
      </c>
      <c r="Y233" s="34">
        <v>27.87</v>
      </c>
      <c r="Z233" s="34">
        <v>27.61</v>
      </c>
      <c r="AA233" s="34">
        <v>14.25</v>
      </c>
      <c r="AB233" s="34">
        <v>10.56</v>
      </c>
      <c r="AC233" s="34">
        <v>9.1199999999999992</v>
      </c>
      <c r="AD233" s="41">
        <v>5.5008333333333335</v>
      </c>
      <c r="AE233" s="34">
        <v>1350</v>
      </c>
      <c r="AF233" s="34">
        <v>5.931</v>
      </c>
      <c r="AG233" s="34">
        <v>2346</v>
      </c>
      <c r="AH233" s="34">
        <v>28.28</v>
      </c>
      <c r="AI233" s="34">
        <v>1337</v>
      </c>
      <c r="AJ233" s="34">
        <v>4.7380000000000004</v>
      </c>
      <c r="AK233" s="34">
        <v>3.6160000000000001</v>
      </c>
      <c r="AL233" s="34">
        <v>0.73399999999999999</v>
      </c>
      <c r="AM233" s="34">
        <v>3.823</v>
      </c>
      <c r="AN233" s="34">
        <v>4.165</v>
      </c>
      <c r="AO233" s="34">
        <v>9.2200000000000006</v>
      </c>
      <c r="AP233" s="34">
        <v>9.75</v>
      </c>
      <c r="AQ233" s="34">
        <v>8.77</v>
      </c>
      <c r="AR233" s="34">
        <v>1.7000000000000001E-2</v>
      </c>
      <c r="AS233" s="34">
        <v>0.34399999999999997</v>
      </c>
      <c r="AT233" s="34">
        <v>0.184</v>
      </c>
      <c r="AU233" s="34">
        <v>2.5999999999999999E-2</v>
      </c>
      <c r="AV233" s="34">
        <v>5.1999999999999998E-2</v>
      </c>
      <c r="AW233" s="34">
        <v>0.245</v>
      </c>
      <c r="AX233" s="34">
        <v>0.11</v>
      </c>
      <c r="AY233" s="34">
        <v>2.3E-2</v>
      </c>
      <c r="AZ233" s="34">
        <v>14.81</v>
      </c>
      <c r="BA233" s="34">
        <v>3474</v>
      </c>
      <c r="BB233" s="34">
        <v>12.86</v>
      </c>
      <c r="BC233" s="34">
        <v>2876</v>
      </c>
      <c r="BD233" s="3"/>
      <c r="BE233" s="3"/>
      <c r="BF233" s="3"/>
      <c r="BH233" s="16">
        <v>26.64</v>
      </c>
      <c r="BI233" s="16">
        <f t="shared" si="104"/>
        <v>53.812800000000003</v>
      </c>
      <c r="BJ233" s="17">
        <f t="shared" si="117"/>
        <v>23.6</v>
      </c>
      <c r="BK233" s="17">
        <f t="shared" si="118"/>
        <v>48.79</v>
      </c>
      <c r="BM233" s="1">
        <f t="shared" si="119"/>
        <v>80.900000000000006</v>
      </c>
      <c r="BN233" s="1">
        <f t="shared" si="120"/>
        <v>54.2</v>
      </c>
      <c r="BO233" s="1">
        <f t="shared" si="121"/>
        <v>27.1</v>
      </c>
      <c r="BP233" s="56">
        <f t="shared" si="146"/>
        <v>0.78700000000000003</v>
      </c>
      <c r="BQ233" s="56">
        <f t="shared" si="147"/>
        <v>2.117</v>
      </c>
      <c r="BS233" s="3">
        <v>0</v>
      </c>
      <c r="BT233" s="8"/>
      <c r="BV233" s="16">
        <f t="shared" si="105"/>
        <v>23.6</v>
      </c>
      <c r="BW233" s="16">
        <f t="shared" si="106"/>
        <v>48.79</v>
      </c>
      <c r="BX233" s="3">
        <f t="shared" si="107"/>
        <v>15.4</v>
      </c>
      <c r="BY233" s="3">
        <f t="shared" si="122"/>
        <v>14.9</v>
      </c>
      <c r="BZ233" s="3">
        <f t="shared" si="123"/>
        <v>14.4</v>
      </c>
      <c r="CA233" s="3">
        <f t="shared" si="124"/>
        <v>12.8</v>
      </c>
      <c r="CB233" s="3">
        <f t="shared" si="125"/>
        <v>11.5</v>
      </c>
      <c r="CC233" s="3">
        <f t="shared" si="126"/>
        <v>10.1</v>
      </c>
      <c r="CD233" s="3">
        <f t="shared" si="127"/>
        <v>8.9</v>
      </c>
      <c r="CE233" s="23">
        <f t="shared" si="128"/>
        <v>54.2</v>
      </c>
      <c r="CF233" s="1">
        <f t="shared" si="148"/>
        <v>23.6</v>
      </c>
      <c r="CG233" s="1">
        <f t="shared" si="129"/>
        <v>24.6</v>
      </c>
      <c r="CH233" s="1">
        <f t="shared" si="130"/>
        <v>27.9</v>
      </c>
      <c r="CI233" s="1">
        <f t="shared" si="131"/>
        <v>29.3</v>
      </c>
      <c r="CJ233" s="1">
        <f t="shared" si="132"/>
        <v>14.3</v>
      </c>
      <c r="CK233" s="1">
        <f t="shared" si="133"/>
        <v>10.6</v>
      </c>
      <c r="CL233" s="1">
        <f t="shared" si="134"/>
        <v>9.1</v>
      </c>
      <c r="CM233" s="2">
        <f t="shared" si="135"/>
        <v>80.900000000000006</v>
      </c>
      <c r="CN233" s="1">
        <f t="shared" si="149"/>
        <v>5.9</v>
      </c>
      <c r="CO233" s="1">
        <f t="shared" si="136"/>
        <v>4.7</v>
      </c>
      <c r="CP233" s="1">
        <f t="shared" si="137"/>
        <v>3.6</v>
      </c>
      <c r="CQ233" s="1">
        <f t="shared" si="138"/>
        <v>0.7</v>
      </c>
      <c r="CR233" s="1">
        <f t="shared" si="139"/>
        <v>9.1999999999999993</v>
      </c>
      <c r="CS233" s="1">
        <f t="shared" si="140"/>
        <v>9.8000000000000007</v>
      </c>
      <c r="CT233" s="1">
        <f t="shared" si="141"/>
        <v>8.8000000000000007</v>
      </c>
      <c r="CU233" s="2">
        <f t="shared" si="142"/>
        <v>27.1</v>
      </c>
      <c r="CV233" s="18" t="s">
        <v>233</v>
      </c>
      <c r="CW233" s="1">
        <f>ROUND(PPTest!K233,1)</f>
        <v>0</v>
      </c>
      <c r="CX233" s="17">
        <f t="shared" si="143"/>
        <v>2.2000000000000002</v>
      </c>
      <c r="CY233" s="17">
        <f t="shared" si="144"/>
        <v>5.5</v>
      </c>
      <c r="CZ233" s="20">
        <f t="shared" si="110"/>
        <v>0.78700000000000003</v>
      </c>
      <c r="DA233" s="20">
        <f t="shared" si="111"/>
        <v>2.117</v>
      </c>
      <c r="DB233" s="16">
        <f t="shared" si="145"/>
        <v>12.86</v>
      </c>
      <c r="DD233" s="1">
        <v>20.8</v>
      </c>
      <c r="DE233" s="1">
        <v>25.7</v>
      </c>
      <c r="DF233" s="1">
        <v>16.3</v>
      </c>
      <c r="DG233" s="1">
        <v>39.1</v>
      </c>
      <c r="DH233" s="1">
        <v>34</v>
      </c>
      <c r="DZ233" s="1">
        <v>16.399999999999999</v>
      </c>
      <c r="EA233" s="1">
        <v>24.9</v>
      </c>
      <c r="EB233" s="1">
        <v>6.8</v>
      </c>
      <c r="EC233" s="1">
        <v>0</v>
      </c>
    </row>
    <row r="234" spans="1:133" x14ac:dyDescent="0.2">
      <c r="A234" s="40">
        <v>35292</v>
      </c>
      <c r="B234" s="34">
        <v>228</v>
      </c>
      <c r="C234" s="34">
        <v>24.67</v>
      </c>
      <c r="D234" s="34">
        <v>48.76</v>
      </c>
      <c r="E234" s="34">
        <v>13.57</v>
      </c>
      <c r="F234" s="34">
        <v>56.33</v>
      </c>
      <c r="G234" s="34">
        <v>13.42</v>
      </c>
      <c r="H234" s="34">
        <v>13.06</v>
      </c>
      <c r="I234" s="34">
        <v>12.2</v>
      </c>
      <c r="J234" s="34">
        <v>14.58</v>
      </c>
      <c r="K234" s="34">
        <v>14.74</v>
      </c>
      <c r="L234" s="34">
        <v>11.05</v>
      </c>
      <c r="M234" s="34">
        <v>10.14</v>
      </c>
      <c r="N234" s="34">
        <v>8.89</v>
      </c>
      <c r="O234" s="34">
        <v>0</v>
      </c>
      <c r="P234" s="41">
        <v>2.0375000000000001</v>
      </c>
      <c r="Q234" s="34">
        <v>0</v>
      </c>
      <c r="R234" s="34">
        <v>21.56</v>
      </c>
      <c r="S234" s="34">
        <v>1654</v>
      </c>
      <c r="T234" s="34">
        <v>95.9</v>
      </c>
      <c r="U234" s="34">
        <v>530</v>
      </c>
      <c r="V234" s="34">
        <v>23.16</v>
      </c>
      <c r="W234" s="34">
        <v>24.83</v>
      </c>
      <c r="X234" s="34">
        <v>27.76</v>
      </c>
      <c r="Y234" s="34">
        <v>25.3</v>
      </c>
      <c r="Z234" s="34">
        <v>26.09</v>
      </c>
      <c r="AA234" s="34">
        <v>13.69</v>
      </c>
      <c r="AB234" s="34">
        <v>10.51</v>
      </c>
      <c r="AC234" s="34">
        <v>9.09</v>
      </c>
      <c r="AD234" s="41">
        <v>5.0875000000000004</v>
      </c>
      <c r="AE234" s="34">
        <v>1758</v>
      </c>
      <c r="AF234" s="34">
        <v>2.9630000000000001</v>
      </c>
      <c r="AG234" s="34">
        <v>528</v>
      </c>
      <c r="AH234" s="34">
        <v>24.93</v>
      </c>
      <c r="AI234" s="34">
        <v>1654</v>
      </c>
      <c r="AJ234" s="34">
        <v>2.089</v>
      </c>
      <c r="AK234" s="34">
        <v>1.423</v>
      </c>
      <c r="AL234" s="34">
        <v>-1.1819999999999999</v>
      </c>
      <c r="AM234" s="34">
        <v>1.5429999999999999</v>
      </c>
      <c r="AN234" s="34">
        <v>1.738</v>
      </c>
      <c r="AO234" s="34">
        <v>8.24</v>
      </c>
      <c r="AP234" s="34">
        <v>9.77</v>
      </c>
      <c r="AQ234" s="34">
        <v>8.6300000000000008</v>
      </c>
      <c r="AR234" s="34">
        <v>1.7000000000000001E-2</v>
      </c>
      <c r="AS234" s="34">
        <v>0.16</v>
      </c>
      <c r="AT234" s="34">
        <v>0.24199999999999999</v>
      </c>
      <c r="AU234" s="34">
        <v>2.1999999999999999E-2</v>
      </c>
      <c r="AV234" s="34">
        <v>0.13400000000000001</v>
      </c>
      <c r="AW234" s="34">
        <v>0.29699999999999999</v>
      </c>
      <c r="AX234" s="34">
        <v>9.6000000000000002E-2</v>
      </c>
      <c r="AY234" s="34">
        <v>3.3000000000000002E-2</v>
      </c>
      <c r="AZ234" s="34">
        <v>13.29</v>
      </c>
      <c r="BA234" s="34">
        <v>3474</v>
      </c>
      <c r="BB234" s="34">
        <v>12.89</v>
      </c>
      <c r="BC234" s="34">
        <v>2876</v>
      </c>
      <c r="BD234" s="3"/>
      <c r="BE234" s="3"/>
      <c r="BF234" s="3"/>
      <c r="BH234" s="16">
        <v>26.43</v>
      </c>
      <c r="BI234" s="16">
        <f t="shared" si="104"/>
        <v>53.388599999999997</v>
      </c>
      <c r="BJ234" s="17">
        <f t="shared" si="117"/>
        <v>24.67</v>
      </c>
      <c r="BK234" s="17">
        <f t="shared" si="118"/>
        <v>51.17</v>
      </c>
      <c r="BM234" s="1">
        <f t="shared" si="119"/>
        <v>89.6</v>
      </c>
      <c r="BN234" s="1">
        <f t="shared" si="120"/>
        <v>53</v>
      </c>
      <c r="BO234" s="1">
        <f t="shared" si="121"/>
        <v>24</v>
      </c>
      <c r="BP234" s="56">
        <f t="shared" si="146"/>
        <v>0.61799999999999999</v>
      </c>
      <c r="BQ234" s="56">
        <f t="shared" si="147"/>
        <v>1.9570000000000001</v>
      </c>
      <c r="BS234" s="3">
        <v>0</v>
      </c>
      <c r="BT234" s="8"/>
      <c r="BV234" s="16">
        <f t="shared" si="105"/>
        <v>24.67</v>
      </c>
      <c r="BW234" s="16">
        <f t="shared" si="106"/>
        <v>51.17</v>
      </c>
      <c r="BX234" s="3">
        <f t="shared" si="107"/>
        <v>13.6</v>
      </c>
      <c r="BY234" s="3">
        <f t="shared" si="122"/>
        <v>13.4</v>
      </c>
      <c r="BZ234" s="3">
        <f t="shared" si="123"/>
        <v>13.1</v>
      </c>
      <c r="CA234" s="3">
        <f t="shared" si="124"/>
        <v>12.2</v>
      </c>
      <c r="CB234" s="3">
        <f t="shared" si="125"/>
        <v>11.1</v>
      </c>
      <c r="CC234" s="3">
        <f t="shared" si="126"/>
        <v>10.1</v>
      </c>
      <c r="CD234" s="3">
        <f t="shared" si="127"/>
        <v>8.9</v>
      </c>
      <c r="CE234" s="23">
        <f t="shared" si="128"/>
        <v>53</v>
      </c>
      <c r="CF234" s="1">
        <f t="shared" si="148"/>
        <v>21.6</v>
      </c>
      <c r="CG234" s="1">
        <f t="shared" si="129"/>
        <v>23.2</v>
      </c>
      <c r="CH234" s="1">
        <f t="shared" si="130"/>
        <v>24.8</v>
      </c>
      <c r="CI234" s="1">
        <f t="shared" si="131"/>
        <v>27.8</v>
      </c>
      <c r="CJ234" s="1">
        <f t="shared" si="132"/>
        <v>13.7</v>
      </c>
      <c r="CK234" s="1">
        <f t="shared" si="133"/>
        <v>10.5</v>
      </c>
      <c r="CL234" s="1">
        <f t="shared" si="134"/>
        <v>9.1</v>
      </c>
      <c r="CM234" s="2">
        <f t="shared" si="135"/>
        <v>89.6</v>
      </c>
      <c r="CN234" s="1">
        <f t="shared" si="149"/>
        <v>3</v>
      </c>
      <c r="CO234" s="1">
        <f t="shared" si="136"/>
        <v>2.1</v>
      </c>
      <c r="CP234" s="1">
        <f t="shared" si="137"/>
        <v>1.4</v>
      </c>
      <c r="CQ234" s="1">
        <f t="shared" si="138"/>
        <v>-1.2</v>
      </c>
      <c r="CR234" s="1">
        <f t="shared" si="139"/>
        <v>8.1999999999999993</v>
      </c>
      <c r="CS234" s="1">
        <f t="shared" si="140"/>
        <v>9.8000000000000007</v>
      </c>
      <c r="CT234" s="1">
        <f t="shared" si="141"/>
        <v>8.6</v>
      </c>
      <c r="CU234" s="2">
        <f t="shared" si="142"/>
        <v>24</v>
      </c>
      <c r="CV234" s="18" t="s">
        <v>233</v>
      </c>
      <c r="CW234" s="1">
        <f>ROUND(PPTest!K234,1)</f>
        <v>0</v>
      </c>
      <c r="CX234" s="17">
        <f t="shared" si="143"/>
        <v>2.04</v>
      </c>
      <c r="CY234" s="17">
        <f t="shared" si="144"/>
        <v>5.09</v>
      </c>
      <c r="CZ234" s="20">
        <f t="shared" si="110"/>
        <v>0.61799999999999999</v>
      </c>
      <c r="DA234" s="20">
        <f t="shared" si="111"/>
        <v>1.9570000000000001</v>
      </c>
      <c r="DB234" s="16">
        <f t="shared" si="145"/>
        <v>12.89</v>
      </c>
      <c r="DD234" s="1">
        <v>18.600000000000001</v>
      </c>
      <c r="DE234" s="1">
        <v>26.5</v>
      </c>
      <c r="DF234" s="1">
        <v>13</v>
      </c>
      <c r="DG234" s="1">
        <v>36.9</v>
      </c>
      <c r="DH234" s="1">
        <v>14</v>
      </c>
      <c r="DZ234" s="1">
        <v>14.7</v>
      </c>
      <c r="EA234" s="1">
        <v>22.6</v>
      </c>
      <c r="EB234" s="1">
        <v>4.5</v>
      </c>
      <c r="EC234" s="1">
        <v>0</v>
      </c>
    </row>
    <row r="235" spans="1:133" x14ac:dyDescent="0.2">
      <c r="A235" s="40">
        <v>35293</v>
      </c>
      <c r="B235" s="34">
        <v>229</v>
      </c>
      <c r="C235" s="34">
        <v>9.61</v>
      </c>
      <c r="D235" s="34">
        <v>18.989999999999998</v>
      </c>
      <c r="E235" s="34">
        <v>10.81</v>
      </c>
      <c r="F235" s="34">
        <v>67.5</v>
      </c>
      <c r="G235" s="34">
        <v>10.32</v>
      </c>
      <c r="H235" s="34">
        <v>9.85</v>
      </c>
      <c r="I235" s="34">
        <v>8.4</v>
      </c>
      <c r="J235" s="34">
        <v>10.050000000000001</v>
      </c>
      <c r="K235" s="34">
        <v>10.55</v>
      </c>
      <c r="L235" s="34">
        <v>10.42</v>
      </c>
      <c r="M235" s="34">
        <v>10.17</v>
      </c>
      <c r="N235" s="34">
        <v>8.9700000000000006</v>
      </c>
      <c r="O235" s="34">
        <v>1E-3</v>
      </c>
      <c r="P235" s="41">
        <v>1.8125</v>
      </c>
      <c r="Q235" s="34">
        <v>0</v>
      </c>
      <c r="R235" s="34">
        <v>14.2</v>
      </c>
      <c r="S235" s="34">
        <v>1340</v>
      </c>
      <c r="T235" s="34">
        <v>91</v>
      </c>
      <c r="U235" s="34">
        <v>2353</v>
      </c>
      <c r="V235" s="34">
        <v>15.34</v>
      </c>
      <c r="W235" s="34">
        <v>16.79</v>
      </c>
      <c r="X235" s="34">
        <v>19.440000000000001</v>
      </c>
      <c r="Y235" s="34">
        <v>16.62</v>
      </c>
      <c r="Z235" s="34">
        <v>17.010000000000002</v>
      </c>
      <c r="AA235" s="34">
        <v>11.54</v>
      </c>
      <c r="AB235" s="34">
        <v>10.51</v>
      </c>
      <c r="AC235" s="34">
        <v>9.08</v>
      </c>
      <c r="AD235" s="41">
        <v>5.3008333333333333</v>
      </c>
      <c r="AE235" s="34">
        <v>933</v>
      </c>
      <c r="AF235" s="34">
        <v>2.5179999999999998</v>
      </c>
      <c r="AG235" s="34">
        <v>0</v>
      </c>
      <c r="AH235" s="34">
        <v>50.66</v>
      </c>
      <c r="AI235" s="34">
        <v>1301</v>
      </c>
      <c r="AJ235" s="34">
        <v>1.054</v>
      </c>
      <c r="AK235" s="34">
        <v>-0.71499999999999997</v>
      </c>
      <c r="AL235" s="34">
        <v>-2.6579999999999999</v>
      </c>
      <c r="AM235" s="34">
        <v>-0.17299999999999999</v>
      </c>
      <c r="AN235" s="34">
        <v>0.33900000000000002</v>
      </c>
      <c r="AO235" s="34">
        <v>8.5399999999999991</v>
      </c>
      <c r="AP235" s="34">
        <v>9.83</v>
      </c>
      <c r="AQ235" s="34">
        <v>8.75</v>
      </c>
      <c r="AR235" s="34">
        <v>3.7999999999999999E-2</v>
      </c>
      <c r="AS235" s="34">
        <v>0.114</v>
      </c>
      <c r="AT235" s="34">
        <v>7.9000000000000001E-2</v>
      </c>
      <c r="AU235" s="34">
        <v>0.115</v>
      </c>
      <c r="AV235" s="34">
        <v>0.249</v>
      </c>
      <c r="AW235" s="34">
        <v>0.30099999999999999</v>
      </c>
      <c r="AX235" s="34">
        <v>7.9000000000000001E-2</v>
      </c>
      <c r="AY235" s="34">
        <v>2.4E-2</v>
      </c>
      <c r="AZ235" s="34">
        <v>9.6</v>
      </c>
      <c r="BA235" s="34">
        <v>3474</v>
      </c>
      <c r="BB235" s="34">
        <v>13.02</v>
      </c>
      <c r="BC235" s="34">
        <v>2876</v>
      </c>
      <c r="BD235" s="3"/>
      <c r="BE235" s="3"/>
      <c r="BF235" s="3"/>
      <c r="BH235" s="16">
        <v>26.22</v>
      </c>
      <c r="BI235" s="16">
        <f t="shared" si="104"/>
        <v>52.964399999999998</v>
      </c>
      <c r="BJ235" s="17">
        <f t="shared" si="117"/>
        <v>9.61</v>
      </c>
      <c r="BK235" s="17">
        <f t="shared" si="118"/>
        <v>19.93</v>
      </c>
      <c r="BM235" s="1">
        <f t="shared" si="119"/>
        <v>85.1</v>
      </c>
      <c r="BN235" s="1">
        <f t="shared" si="120"/>
        <v>63.4</v>
      </c>
      <c r="BO235" s="1">
        <f t="shared" si="121"/>
        <v>47.8</v>
      </c>
      <c r="BP235" s="56">
        <f t="shared" si="146"/>
        <v>0.77400000000000002</v>
      </c>
      <c r="BQ235" s="56">
        <f t="shared" si="147"/>
        <v>0.84499999999999997</v>
      </c>
      <c r="BS235" s="3">
        <v>0</v>
      </c>
      <c r="BT235" s="8"/>
      <c r="BV235" s="16">
        <f t="shared" si="105"/>
        <v>9.61</v>
      </c>
      <c r="BW235" s="16">
        <f t="shared" si="106"/>
        <v>19.93</v>
      </c>
      <c r="BX235" s="3">
        <f t="shared" si="107"/>
        <v>10.8</v>
      </c>
      <c r="BY235" s="3">
        <f t="shared" si="122"/>
        <v>10.3</v>
      </c>
      <c r="BZ235" s="3">
        <f t="shared" si="123"/>
        <v>9.9</v>
      </c>
      <c r="CA235" s="3">
        <f t="shared" si="124"/>
        <v>8.4</v>
      </c>
      <c r="CB235" s="3">
        <f t="shared" si="125"/>
        <v>10.4</v>
      </c>
      <c r="CC235" s="3">
        <f t="shared" si="126"/>
        <v>10.199999999999999</v>
      </c>
      <c r="CD235" s="3">
        <f t="shared" si="127"/>
        <v>9</v>
      </c>
      <c r="CE235" s="23">
        <f t="shared" si="128"/>
        <v>63.4</v>
      </c>
      <c r="CF235" s="1">
        <f t="shared" si="148"/>
        <v>14.2</v>
      </c>
      <c r="CG235" s="1">
        <f t="shared" si="129"/>
        <v>15.3</v>
      </c>
      <c r="CH235" s="1">
        <f t="shared" si="130"/>
        <v>16.8</v>
      </c>
      <c r="CI235" s="1">
        <f t="shared" si="131"/>
        <v>19.399999999999999</v>
      </c>
      <c r="CJ235" s="1">
        <f t="shared" si="132"/>
        <v>11.5</v>
      </c>
      <c r="CK235" s="1">
        <f t="shared" si="133"/>
        <v>10.5</v>
      </c>
      <c r="CL235" s="1">
        <f t="shared" si="134"/>
        <v>9.1</v>
      </c>
      <c r="CM235" s="2">
        <f t="shared" si="135"/>
        <v>85.1</v>
      </c>
      <c r="CN235" s="1">
        <f t="shared" si="149"/>
        <v>2.5</v>
      </c>
      <c r="CO235" s="1">
        <f t="shared" si="136"/>
        <v>1.1000000000000001</v>
      </c>
      <c r="CP235" s="1">
        <f t="shared" si="137"/>
        <v>-0.7</v>
      </c>
      <c r="CQ235" s="1">
        <f t="shared" si="138"/>
        <v>-2.7</v>
      </c>
      <c r="CR235" s="1">
        <f t="shared" si="139"/>
        <v>8.5</v>
      </c>
      <c r="CS235" s="1">
        <f t="shared" si="140"/>
        <v>9.8000000000000007</v>
      </c>
      <c r="CT235" s="1">
        <f t="shared" si="141"/>
        <v>8.8000000000000007</v>
      </c>
      <c r="CU235" s="2">
        <f t="shared" si="142"/>
        <v>47.8</v>
      </c>
      <c r="CV235" s="18" t="s">
        <v>233</v>
      </c>
      <c r="CW235" s="1">
        <f>ROUND(PPTest!K235,1)</f>
        <v>0</v>
      </c>
      <c r="CX235" s="17">
        <f t="shared" si="143"/>
        <v>1.81</v>
      </c>
      <c r="CY235" s="17">
        <f t="shared" si="144"/>
        <v>5.3</v>
      </c>
      <c r="CZ235" s="20">
        <f t="shared" si="110"/>
        <v>0.77400000000000002</v>
      </c>
      <c r="DA235" s="20">
        <f t="shared" si="111"/>
        <v>0.84499999999999997</v>
      </c>
      <c r="DB235" s="16">
        <f t="shared" si="145"/>
        <v>13.02</v>
      </c>
      <c r="DD235" s="1">
        <v>13.8</v>
      </c>
      <c r="DE235" s="1">
        <v>16.600000000000001</v>
      </c>
      <c r="DF235" s="1">
        <v>10.3</v>
      </c>
      <c r="DG235" s="1">
        <v>57.1</v>
      </c>
      <c r="DH235" s="1">
        <v>49</v>
      </c>
      <c r="DZ235" s="1">
        <v>11.5</v>
      </c>
      <c r="EA235" s="1">
        <v>14.9</v>
      </c>
      <c r="EB235" s="1">
        <v>6</v>
      </c>
      <c r="EC235" s="1">
        <v>0</v>
      </c>
    </row>
    <row r="236" spans="1:133" x14ac:dyDescent="0.2">
      <c r="A236" s="40">
        <v>35294</v>
      </c>
      <c r="B236" s="34">
        <v>230</v>
      </c>
      <c r="C236" s="34">
        <v>16.68</v>
      </c>
      <c r="D236" s="34">
        <v>33.22</v>
      </c>
      <c r="E236" s="34">
        <v>6.3789999999999996</v>
      </c>
      <c r="F236" s="34">
        <v>85.5</v>
      </c>
      <c r="G236" s="34">
        <v>6.3310000000000004</v>
      </c>
      <c r="H236" s="34">
        <v>6.085</v>
      </c>
      <c r="I236" s="34">
        <v>6.4669999999999996</v>
      </c>
      <c r="J236" s="34">
        <v>6.6989999999999998</v>
      </c>
      <c r="K236" s="34">
        <v>7.16</v>
      </c>
      <c r="L236" s="34">
        <v>9.01</v>
      </c>
      <c r="M236" s="34">
        <v>9.5</v>
      </c>
      <c r="N236" s="34">
        <v>8.9</v>
      </c>
      <c r="O236" s="34">
        <v>0</v>
      </c>
      <c r="P236" s="41">
        <v>1.7441666666666669</v>
      </c>
      <c r="Q236" s="34">
        <v>3</v>
      </c>
      <c r="R236" s="34">
        <v>12.27</v>
      </c>
      <c r="S236" s="34">
        <v>1737</v>
      </c>
      <c r="T236" s="34">
        <v>104</v>
      </c>
      <c r="U236" s="34">
        <v>0</v>
      </c>
      <c r="V236" s="34">
        <v>13.46</v>
      </c>
      <c r="W236" s="34">
        <v>15.28</v>
      </c>
      <c r="X236" s="34">
        <v>20.29</v>
      </c>
      <c r="Y236" s="34">
        <v>16.440000000000001</v>
      </c>
      <c r="Z236" s="34">
        <v>16.309999999999999</v>
      </c>
      <c r="AA236" s="34">
        <v>10.62</v>
      </c>
      <c r="AB236" s="34">
        <v>9.84</v>
      </c>
      <c r="AC236" s="34">
        <v>9.1</v>
      </c>
      <c r="AD236" s="41">
        <v>5.8075000000000001</v>
      </c>
      <c r="AE236" s="34">
        <v>1225</v>
      </c>
      <c r="AF236" s="34">
        <v>0.33200000000000002</v>
      </c>
      <c r="AG236" s="34">
        <v>300</v>
      </c>
      <c r="AH236" s="34">
        <v>53.63</v>
      </c>
      <c r="AI236" s="34">
        <v>1255</v>
      </c>
      <c r="AJ236" s="34">
        <v>-0.53200000000000003</v>
      </c>
      <c r="AK236" s="34">
        <v>-1.3109999999999999</v>
      </c>
      <c r="AL236" s="34">
        <v>-3.073</v>
      </c>
      <c r="AM236" s="34">
        <v>-0.78500000000000003</v>
      </c>
      <c r="AN236" s="34">
        <v>-0.94899999999999995</v>
      </c>
      <c r="AO236" s="34">
        <v>7.49</v>
      </c>
      <c r="AP236" s="34">
        <v>9.2799999999999994</v>
      </c>
      <c r="AQ236" s="34">
        <v>8.6999999999999993</v>
      </c>
      <c r="AR236" s="34">
        <v>4.9000000000000002E-2</v>
      </c>
      <c r="AS236" s="34">
        <v>0.3</v>
      </c>
      <c r="AT236" s="34">
        <v>0.20200000000000001</v>
      </c>
      <c r="AU236" s="34">
        <v>3.5999999999999997E-2</v>
      </c>
      <c r="AV236" s="34">
        <v>6.7000000000000004E-2</v>
      </c>
      <c r="AW236" s="34">
        <v>0.188</v>
      </c>
      <c r="AX236" s="34">
        <v>0.1</v>
      </c>
      <c r="AY236" s="34">
        <v>5.8000000000000003E-2</v>
      </c>
      <c r="AZ236" s="34">
        <v>6.5869999999999997</v>
      </c>
      <c r="BA236" s="34">
        <v>3474</v>
      </c>
      <c r="BB236" s="34">
        <v>13.03</v>
      </c>
      <c r="BC236" s="34">
        <v>2876</v>
      </c>
      <c r="BD236" s="3"/>
      <c r="BE236" s="3"/>
      <c r="BF236" s="3"/>
      <c r="BH236" s="16">
        <v>25.99</v>
      </c>
      <c r="BI236" s="16">
        <f t="shared" si="104"/>
        <v>52.4998</v>
      </c>
      <c r="BJ236" s="17">
        <f t="shared" si="117"/>
        <v>16.68</v>
      </c>
      <c r="BK236" s="17">
        <f t="shared" si="118"/>
        <v>34.86</v>
      </c>
      <c r="BM236" s="1">
        <f t="shared" si="119"/>
        <v>97.1</v>
      </c>
      <c r="BN236" s="1">
        <f t="shared" si="120"/>
        <v>80</v>
      </c>
      <c r="BO236" s="1">
        <f t="shared" si="121"/>
        <v>50.6</v>
      </c>
      <c r="BP236" s="56">
        <f t="shared" si="146"/>
        <v>0.72199999999999998</v>
      </c>
      <c r="BQ236" s="56">
        <f t="shared" si="147"/>
        <v>0.70499999999999996</v>
      </c>
      <c r="BS236" s="3">
        <v>0</v>
      </c>
      <c r="BT236" s="8"/>
      <c r="BV236" s="16">
        <f t="shared" si="105"/>
        <v>16.68</v>
      </c>
      <c r="BW236" s="16">
        <f t="shared" si="106"/>
        <v>34.86</v>
      </c>
      <c r="BX236" s="3">
        <f t="shared" si="107"/>
        <v>6.4</v>
      </c>
      <c r="BY236" s="3">
        <f t="shared" si="122"/>
        <v>6.3</v>
      </c>
      <c r="BZ236" s="3">
        <f t="shared" si="123"/>
        <v>6.1</v>
      </c>
      <c r="CA236" s="3">
        <f t="shared" si="124"/>
        <v>6.5</v>
      </c>
      <c r="CB236" s="3">
        <f t="shared" si="125"/>
        <v>9</v>
      </c>
      <c r="CC236" s="3">
        <f t="shared" si="126"/>
        <v>9.5</v>
      </c>
      <c r="CD236" s="3">
        <f t="shared" si="127"/>
        <v>8.9</v>
      </c>
      <c r="CE236" s="23">
        <f t="shared" si="128"/>
        <v>80</v>
      </c>
      <c r="CF236" s="1">
        <f t="shared" si="148"/>
        <v>12.3</v>
      </c>
      <c r="CG236" s="1">
        <f t="shared" si="129"/>
        <v>13.5</v>
      </c>
      <c r="CH236" s="1">
        <f t="shared" si="130"/>
        <v>15.3</v>
      </c>
      <c r="CI236" s="1">
        <f t="shared" si="131"/>
        <v>20.3</v>
      </c>
      <c r="CJ236" s="1">
        <f t="shared" si="132"/>
        <v>10.6</v>
      </c>
      <c r="CK236" s="1">
        <f t="shared" si="133"/>
        <v>9.8000000000000007</v>
      </c>
      <c r="CL236" s="1">
        <f t="shared" si="134"/>
        <v>9.1</v>
      </c>
      <c r="CM236" s="2">
        <f t="shared" si="135"/>
        <v>97.1</v>
      </c>
      <c r="CN236" s="1">
        <f t="shared" si="149"/>
        <v>0.3</v>
      </c>
      <c r="CO236" s="1">
        <f t="shared" si="136"/>
        <v>-0.5</v>
      </c>
      <c r="CP236" s="1">
        <f t="shared" si="137"/>
        <v>-1.3</v>
      </c>
      <c r="CQ236" s="1">
        <f t="shared" si="138"/>
        <v>-3.1</v>
      </c>
      <c r="CR236" s="1">
        <f t="shared" si="139"/>
        <v>7.5</v>
      </c>
      <c r="CS236" s="1">
        <f t="shared" si="140"/>
        <v>9.3000000000000007</v>
      </c>
      <c r="CT236" s="1">
        <f t="shared" si="141"/>
        <v>8.6999999999999993</v>
      </c>
      <c r="CU236" s="2">
        <f t="shared" si="142"/>
        <v>50.6</v>
      </c>
      <c r="CV236" s="18" t="s">
        <v>233</v>
      </c>
      <c r="CW236" s="1">
        <f>ROUND(PPTest!K236,1)</f>
        <v>3</v>
      </c>
      <c r="CX236" s="17">
        <f t="shared" si="143"/>
        <v>1.74</v>
      </c>
      <c r="CY236" s="17">
        <f t="shared" si="144"/>
        <v>5.81</v>
      </c>
      <c r="CZ236" s="20">
        <f t="shared" si="110"/>
        <v>0.72199999999999998</v>
      </c>
      <c r="DA236" s="20">
        <f t="shared" si="111"/>
        <v>0.70499999999999996</v>
      </c>
      <c r="DB236" s="16">
        <f t="shared" si="145"/>
        <v>13.03</v>
      </c>
      <c r="DD236" s="1">
        <v>10.3</v>
      </c>
      <c r="DE236" s="1">
        <v>14.9</v>
      </c>
      <c r="DF236" s="1">
        <v>6.6</v>
      </c>
      <c r="DG236" s="1">
        <v>73.2</v>
      </c>
      <c r="DH236" s="1">
        <v>55</v>
      </c>
      <c r="DZ236" s="1">
        <v>7.7</v>
      </c>
      <c r="EA236" s="1">
        <v>13.4</v>
      </c>
      <c r="EB236" s="1">
        <v>3</v>
      </c>
      <c r="EC236" s="1">
        <v>0</v>
      </c>
    </row>
    <row r="237" spans="1:133" x14ac:dyDescent="0.2">
      <c r="A237" s="40">
        <v>35295</v>
      </c>
      <c r="B237" s="34">
        <v>231</v>
      </c>
      <c r="C237" s="34">
        <v>17.39</v>
      </c>
      <c r="D237" s="34">
        <v>34.869999999999997</v>
      </c>
      <c r="E237" s="34">
        <v>5.2060000000000004</v>
      </c>
      <c r="F237" s="34">
        <v>89.5</v>
      </c>
      <c r="G237" s="34">
        <v>5.1829999999999998</v>
      </c>
      <c r="H237" s="34">
        <v>5.093</v>
      </c>
      <c r="I237" s="34">
        <v>5.4969999999999999</v>
      </c>
      <c r="J237" s="34">
        <v>6.0229999999999997</v>
      </c>
      <c r="K237" s="34">
        <v>6.3659999999999997</v>
      </c>
      <c r="L237" s="34">
        <v>8.67</v>
      </c>
      <c r="M237" s="34">
        <v>9.01</v>
      </c>
      <c r="N237" s="34">
        <v>8.8000000000000007</v>
      </c>
      <c r="O237" s="34">
        <v>0</v>
      </c>
      <c r="P237" s="41">
        <v>1.8125</v>
      </c>
      <c r="Q237" s="34">
        <v>0</v>
      </c>
      <c r="R237" s="34">
        <v>12.88</v>
      </c>
      <c r="S237" s="34">
        <v>1453</v>
      </c>
      <c r="T237" s="34">
        <v>105.9</v>
      </c>
      <c r="U237" s="34">
        <v>435</v>
      </c>
      <c r="V237" s="34">
        <v>14.18</v>
      </c>
      <c r="W237" s="34">
        <v>16.88</v>
      </c>
      <c r="X237" s="34">
        <v>19.53</v>
      </c>
      <c r="Y237" s="34">
        <v>18.79</v>
      </c>
      <c r="Z237" s="34">
        <v>17.690000000000001</v>
      </c>
      <c r="AA237" s="34">
        <v>11.37</v>
      </c>
      <c r="AB237" s="34">
        <v>9.2899999999999991</v>
      </c>
      <c r="AC237" s="34">
        <v>9.0299999999999994</v>
      </c>
      <c r="AD237" s="41">
        <v>4.6475</v>
      </c>
      <c r="AE237" s="34">
        <v>1331</v>
      </c>
      <c r="AF237" s="34">
        <v>-1.242</v>
      </c>
      <c r="AG237" s="34">
        <v>455</v>
      </c>
      <c r="AH237" s="34">
        <v>55.1</v>
      </c>
      <c r="AI237" s="34">
        <v>1622</v>
      </c>
      <c r="AJ237" s="34">
        <v>-1.675</v>
      </c>
      <c r="AK237" s="34">
        <v>-2.145</v>
      </c>
      <c r="AL237" s="34">
        <v>-2.823</v>
      </c>
      <c r="AM237" s="34">
        <v>-0.89400000000000002</v>
      </c>
      <c r="AN237" s="34">
        <v>-1.046</v>
      </c>
      <c r="AO237" s="34">
        <v>6.532</v>
      </c>
      <c r="AP237" s="34">
        <v>8.83</v>
      </c>
      <c r="AQ237" s="34">
        <v>8.6</v>
      </c>
      <c r="AR237" s="34">
        <v>2.4E-2</v>
      </c>
      <c r="AS237" s="34">
        <v>0.313</v>
      </c>
      <c r="AT237" s="34">
        <v>0.216</v>
      </c>
      <c r="AU237" s="34">
        <v>8.9999999999999993E-3</v>
      </c>
      <c r="AV237" s="34">
        <v>6.5000000000000002E-2</v>
      </c>
      <c r="AW237" s="34">
        <v>0.215</v>
      </c>
      <c r="AX237" s="34">
        <v>0.126</v>
      </c>
      <c r="AY237" s="34">
        <v>3.3000000000000002E-2</v>
      </c>
      <c r="AZ237" s="34">
        <v>5.9790000000000001</v>
      </c>
      <c r="BA237" s="34">
        <v>3474</v>
      </c>
      <c r="BB237" s="34">
        <v>13.02</v>
      </c>
      <c r="BC237" s="34">
        <v>2876</v>
      </c>
      <c r="BD237" s="3"/>
      <c r="BE237" s="3"/>
      <c r="BF237" s="3"/>
      <c r="BH237" s="16">
        <v>25.77</v>
      </c>
      <c r="BI237" s="16">
        <f t="shared" si="104"/>
        <v>52.055399999999999</v>
      </c>
      <c r="BJ237" s="17">
        <f t="shared" si="117"/>
        <v>17.39</v>
      </c>
      <c r="BK237" s="17">
        <f t="shared" si="118"/>
        <v>36.590000000000003</v>
      </c>
      <c r="BM237" s="1">
        <f t="shared" si="119"/>
        <v>98.9</v>
      </c>
      <c r="BN237" s="1">
        <f t="shared" si="120"/>
        <v>83.7</v>
      </c>
      <c r="BO237" s="1">
        <f t="shared" si="121"/>
        <v>51.9</v>
      </c>
      <c r="BP237" s="56">
        <f t="shared" si="146"/>
        <v>0.77100000000000002</v>
      </c>
      <c r="BQ237" s="56">
        <f t="shared" si="147"/>
        <v>0.71499999999999997</v>
      </c>
      <c r="BS237" s="3">
        <v>0</v>
      </c>
      <c r="BT237" s="8"/>
      <c r="BV237" s="16">
        <f t="shared" si="105"/>
        <v>17.39</v>
      </c>
      <c r="BW237" s="16">
        <f t="shared" si="106"/>
        <v>36.590000000000003</v>
      </c>
      <c r="BX237" s="3">
        <f t="shared" si="107"/>
        <v>5.2</v>
      </c>
      <c r="BY237" s="3">
        <f t="shared" si="122"/>
        <v>5.2</v>
      </c>
      <c r="BZ237" s="3">
        <f t="shared" si="123"/>
        <v>5.0999999999999996</v>
      </c>
      <c r="CA237" s="3">
        <f t="shared" si="124"/>
        <v>5.5</v>
      </c>
      <c r="CB237" s="3">
        <f t="shared" si="125"/>
        <v>8.6999999999999993</v>
      </c>
      <c r="CC237" s="3">
        <f t="shared" si="126"/>
        <v>9</v>
      </c>
      <c r="CD237" s="3">
        <f t="shared" si="127"/>
        <v>8.8000000000000007</v>
      </c>
      <c r="CE237" s="23">
        <f t="shared" si="128"/>
        <v>83.7</v>
      </c>
      <c r="CF237" s="1">
        <f t="shared" si="148"/>
        <v>12.9</v>
      </c>
      <c r="CG237" s="1">
        <f t="shared" si="129"/>
        <v>14.2</v>
      </c>
      <c r="CH237" s="1">
        <f t="shared" si="130"/>
        <v>16.899999999999999</v>
      </c>
      <c r="CI237" s="1">
        <f t="shared" si="131"/>
        <v>19.5</v>
      </c>
      <c r="CJ237" s="1">
        <f t="shared" si="132"/>
        <v>11.4</v>
      </c>
      <c r="CK237" s="1">
        <f t="shared" si="133"/>
        <v>9.3000000000000007</v>
      </c>
      <c r="CL237" s="1">
        <f t="shared" si="134"/>
        <v>9</v>
      </c>
      <c r="CM237" s="2">
        <f t="shared" si="135"/>
        <v>98.9</v>
      </c>
      <c r="CN237" s="1">
        <f t="shared" si="149"/>
        <v>-1.2</v>
      </c>
      <c r="CO237" s="1">
        <f t="shared" si="136"/>
        <v>-1.7</v>
      </c>
      <c r="CP237" s="1">
        <f t="shared" si="137"/>
        <v>-2.1</v>
      </c>
      <c r="CQ237" s="1">
        <f t="shared" si="138"/>
        <v>-2.8</v>
      </c>
      <c r="CR237" s="1">
        <f t="shared" si="139"/>
        <v>6.5</v>
      </c>
      <c r="CS237" s="1">
        <f t="shared" si="140"/>
        <v>8.8000000000000007</v>
      </c>
      <c r="CT237" s="1">
        <f t="shared" si="141"/>
        <v>8.6</v>
      </c>
      <c r="CU237" s="2">
        <f t="shared" si="142"/>
        <v>51.9</v>
      </c>
      <c r="CV237" s="18" t="s">
        <v>233</v>
      </c>
      <c r="CW237" s="1">
        <f>ROUND(PPTest!K237,1)</f>
        <v>0</v>
      </c>
      <c r="CX237" s="17">
        <f t="shared" si="143"/>
        <v>1.81</v>
      </c>
      <c r="CY237" s="17">
        <f t="shared" si="144"/>
        <v>4.6500000000000004</v>
      </c>
      <c r="CZ237" s="20">
        <f t="shared" si="110"/>
        <v>0.77100000000000002</v>
      </c>
      <c r="DA237" s="20">
        <f t="shared" si="111"/>
        <v>0.71499999999999997</v>
      </c>
      <c r="DB237" s="16">
        <f t="shared" si="145"/>
        <v>13.02</v>
      </c>
      <c r="DD237" s="1">
        <v>9.6999999999999993</v>
      </c>
      <c r="DE237" s="1">
        <v>15.5</v>
      </c>
      <c r="DF237" s="1">
        <v>5.5</v>
      </c>
      <c r="DG237" s="1">
        <v>81.7</v>
      </c>
      <c r="DH237" s="1">
        <v>61</v>
      </c>
      <c r="DZ237" s="1">
        <v>6.8</v>
      </c>
      <c r="EA237" s="1">
        <v>14.5</v>
      </c>
      <c r="EB237" s="1">
        <v>0.9</v>
      </c>
      <c r="EC237" s="1">
        <v>0</v>
      </c>
    </row>
    <row r="238" spans="1:133" x14ac:dyDescent="0.2">
      <c r="A238" s="40">
        <v>35296</v>
      </c>
      <c r="B238" s="34">
        <v>232</v>
      </c>
      <c r="C238" s="34">
        <v>8.5500000000000007</v>
      </c>
      <c r="D238" s="34">
        <v>17.11</v>
      </c>
      <c r="E238" s="34">
        <v>6.7910000000000004</v>
      </c>
      <c r="F238" s="34">
        <v>85.9</v>
      </c>
      <c r="G238" s="34">
        <v>6.6870000000000003</v>
      </c>
      <c r="H238" s="34">
        <v>6.5839999999999996</v>
      </c>
      <c r="I238" s="34">
        <v>6.2670000000000003</v>
      </c>
      <c r="J238" s="34">
        <v>6.6429999999999998</v>
      </c>
      <c r="K238" s="34">
        <v>7.04</v>
      </c>
      <c r="L238" s="34">
        <v>8.4499999999999993</v>
      </c>
      <c r="M238" s="34">
        <v>8.84</v>
      </c>
      <c r="N238" s="34">
        <v>8.7100000000000009</v>
      </c>
      <c r="O238" s="34">
        <v>0</v>
      </c>
      <c r="P238" s="41">
        <v>1.8774999999999999</v>
      </c>
      <c r="Q238" s="34">
        <v>2</v>
      </c>
      <c r="R238" s="34">
        <v>11.67</v>
      </c>
      <c r="S238" s="34">
        <v>1729</v>
      </c>
      <c r="T238" s="34">
        <v>102.8</v>
      </c>
      <c r="U238" s="34">
        <v>504</v>
      </c>
      <c r="V238" s="34">
        <v>13.02</v>
      </c>
      <c r="W238" s="34">
        <v>12.63</v>
      </c>
      <c r="X238" s="34">
        <v>12.06</v>
      </c>
      <c r="Y238" s="34">
        <v>13.46</v>
      </c>
      <c r="Z238" s="34">
        <v>16.41</v>
      </c>
      <c r="AA238" s="34">
        <v>9.69</v>
      </c>
      <c r="AB238" s="34">
        <v>9.02</v>
      </c>
      <c r="AC238" s="34">
        <v>8.85</v>
      </c>
      <c r="AD238" s="41">
        <v>4.8341666666666665</v>
      </c>
      <c r="AE238" s="34">
        <v>2131</v>
      </c>
      <c r="AF238" s="34">
        <v>3.2679999999999998</v>
      </c>
      <c r="AG238" s="34">
        <v>1</v>
      </c>
      <c r="AH238" s="34">
        <v>63.16</v>
      </c>
      <c r="AI238" s="34">
        <v>928</v>
      </c>
      <c r="AJ238" s="34">
        <v>3.0680000000000001</v>
      </c>
      <c r="AK238" s="34">
        <v>2.8769999999999998</v>
      </c>
      <c r="AL238" s="34">
        <v>2.4500000000000002</v>
      </c>
      <c r="AM238" s="34">
        <v>2.3849999999999998</v>
      </c>
      <c r="AN238" s="34">
        <v>2.4430000000000001</v>
      </c>
      <c r="AO238" s="34">
        <v>7.55</v>
      </c>
      <c r="AP238" s="34">
        <v>8.74</v>
      </c>
      <c r="AQ238" s="34">
        <v>8.61</v>
      </c>
      <c r="AR238" s="34">
        <v>2.4E-2</v>
      </c>
      <c r="AS238" s="34">
        <v>0.154</v>
      </c>
      <c r="AT238" s="34">
        <v>0.1</v>
      </c>
      <c r="AU238" s="34">
        <v>3.6999999999999998E-2</v>
      </c>
      <c r="AV238" s="34">
        <v>0.192</v>
      </c>
      <c r="AW238" s="34">
        <v>0.36499999999999999</v>
      </c>
      <c r="AX238" s="34">
        <v>0.10299999999999999</v>
      </c>
      <c r="AY238" s="34">
        <v>2.5000000000000001E-2</v>
      </c>
      <c r="AZ238" s="34">
        <v>6.4710000000000001</v>
      </c>
      <c r="BA238" s="34">
        <v>3474</v>
      </c>
      <c r="BB238" s="34">
        <v>13.13</v>
      </c>
      <c r="BC238" s="34">
        <v>2876</v>
      </c>
      <c r="BD238" s="3"/>
      <c r="BE238" s="3"/>
      <c r="BF238" s="3"/>
      <c r="BH238" s="16">
        <v>25.55</v>
      </c>
      <c r="BI238" s="16">
        <f t="shared" si="104"/>
        <v>51.611000000000004</v>
      </c>
      <c r="BJ238" s="17">
        <f t="shared" si="117"/>
        <v>8.5500000000000007</v>
      </c>
      <c r="BK238" s="17">
        <f t="shared" si="118"/>
        <v>17.96</v>
      </c>
      <c r="BM238" s="1">
        <f t="shared" si="119"/>
        <v>96</v>
      </c>
      <c r="BN238" s="1">
        <f t="shared" si="120"/>
        <v>80.400000000000006</v>
      </c>
      <c r="BO238" s="1">
        <f t="shared" si="121"/>
        <v>59.4</v>
      </c>
      <c r="BP238" s="56">
        <f t="shared" si="146"/>
        <v>0.81499999999999995</v>
      </c>
      <c r="BQ238" s="56">
        <f t="shared" si="147"/>
        <v>0.55700000000000005</v>
      </c>
      <c r="BS238" s="3">
        <v>1.5</v>
      </c>
      <c r="BT238" s="8"/>
      <c r="BV238" s="16">
        <f t="shared" si="105"/>
        <v>8.5500000000000007</v>
      </c>
      <c r="BW238" s="16">
        <f t="shared" si="106"/>
        <v>17.96</v>
      </c>
      <c r="BX238" s="3">
        <f t="shared" si="107"/>
        <v>6.8</v>
      </c>
      <c r="BY238" s="3">
        <f t="shared" si="122"/>
        <v>6.7</v>
      </c>
      <c r="BZ238" s="3">
        <f t="shared" si="123"/>
        <v>6.6</v>
      </c>
      <c r="CA238" s="3">
        <f t="shared" si="124"/>
        <v>6.3</v>
      </c>
      <c r="CB238" s="3">
        <f t="shared" si="125"/>
        <v>8.5</v>
      </c>
      <c r="CC238" s="3">
        <f t="shared" si="126"/>
        <v>8.8000000000000007</v>
      </c>
      <c r="CD238" s="3">
        <f t="shared" si="127"/>
        <v>8.6999999999999993</v>
      </c>
      <c r="CE238" s="23">
        <f t="shared" si="128"/>
        <v>80.400000000000006</v>
      </c>
      <c r="CF238" s="1">
        <f t="shared" si="148"/>
        <v>11.7</v>
      </c>
      <c r="CG238" s="1">
        <f t="shared" si="129"/>
        <v>13</v>
      </c>
      <c r="CH238" s="1">
        <f t="shared" si="130"/>
        <v>12.6</v>
      </c>
      <c r="CI238" s="1">
        <f t="shared" si="131"/>
        <v>12.1</v>
      </c>
      <c r="CJ238" s="1">
        <f t="shared" si="132"/>
        <v>9.6999999999999993</v>
      </c>
      <c r="CK238" s="1">
        <f t="shared" si="133"/>
        <v>9</v>
      </c>
      <c r="CL238" s="1">
        <f t="shared" si="134"/>
        <v>8.9</v>
      </c>
      <c r="CM238" s="2">
        <f t="shared" si="135"/>
        <v>96</v>
      </c>
      <c r="CN238" s="1">
        <f t="shared" si="149"/>
        <v>3.3</v>
      </c>
      <c r="CO238" s="1">
        <f t="shared" si="136"/>
        <v>3.1</v>
      </c>
      <c r="CP238" s="1">
        <f t="shared" si="137"/>
        <v>2.9</v>
      </c>
      <c r="CQ238" s="1">
        <f t="shared" si="138"/>
        <v>2.5</v>
      </c>
      <c r="CR238" s="1">
        <f t="shared" si="139"/>
        <v>7.6</v>
      </c>
      <c r="CS238" s="1">
        <f t="shared" si="140"/>
        <v>8.6999999999999993</v>
      </c>
      <c r="CT238" s="1">
        <f t="shared" si="141"/>
        <v>8.6</v>
      </c>
      <c r="CU238" s="2">
        <f t="shared" si="142"/>
        <v>59.4</v>
      </c>
      <c r="CV238" s="18" t="s">
        <v>233</v>
      </c>
      <c r="CW238" s="1">
        <f>ROUND(PPTest!K238,1)</f>
        <v>2</v>
      </c>
      <c r="CX238" s="17">
        <f t="shared" si="143"/>
        <v>1.88</v>
      </c>
      <c r="CY238" s="17">
        <f t="shared" si="144"/>
        <v>4.83</v>
      </c>
      <c r="CZ238" s="20">
        <f t="shared" si="110"/>
        <v>0.81499999999999995</v>
      </c>
      <c r="DA238" s="20">
        <f t="shared" si="111"/>
        <v>0.55700000000000005</v>
      </c>
      <c r="DB238" s="16">
        <f t="shared" si="145"/>
        <v>13.13</v>
      </c>
      <c r="DD238" s="1">
        <v>9.1999999999999993</v>
      </c>
      <c r="DE238" s="1">
        <v>10.8</v>
      </c>
      <c r="DF238" s="1">
        <v>7.9</v>
      </c>
      <c r="DG238" s="1">
        <v>82.7</v>
      </c>
      <c r="DH238" s="1">
        <v>75</v>
      </c>
      <c r="DZ238" s="1">
        <v>6.5</v>
      </c>
      <c r="EA238" s="1">
        <v>10.8</v>
      </c>
      <c r="EB238" s="1">
        <v>2</v>
      </c>
      <c r="EC238" s="1">
        <v>0</v>
      </c>
    </row>
    <row r="239" spans="1:133" x14ac:dyDescent="0.2">
      <c r="A239" s="40">
        <v>35297</v>
      </c>
      <c r="B239" s="34">
        <v>233</v>
      </c>
      <c r="C239" s="34">
        <v>22.2</v>
      </c>
      <c r="D239" s="34">
        <v>43.95</v>
      </c>
      <c r="E239" s="34">
        <v>6.3479999999999999</v>
      </c>
      <c r="F239" s="34">
        <v>84.3</v>
      </c>
      <c r="G239" s="34">
        <v>6.3890000000000002</v>
      </c>
      <c r="H239" s="34">
        <v>6.2889999999999997</v>
      </c>
      <c r="I239" s="34">
        <v>7.02</v>
      </c>
      <c r="J239" s="34">
        <v>7.78</v>
      </c>
      <c r="K239" s="34">
        <v>7.9</v>
      </c>
      <c r="L239" s="34">
        <v>9.0500000000000007</v>
      </c>
      <c r="M239" s="34">
        <v>8.74</v>
      </c>
      <c r="N239" s="34">
        <v>8.59</v>
      </c>
      <c r="O239" s="34">
        <v>1E-3</v>
      </c>
      <c r="P239" s="41">
        <v>2.0375000000000001</v>
      </c>
      <c r="Q239" s="34">
        <v>0</v>
      </c>
      <c r="R239" s="34">
        <v>11.87</v>
      </c>
      <c r="S239" s="34">
        <v>1345</v>
      </c>
      <c r="T239" s="34">
        <v>103.4</v>
      </c>
      <c r="U239" s="34">
        <v>611</v>
      </c>
      <c r="V239" s="34">
        <v>13.58</v>
      </c>
      <c r="W239" s="34">
        <v>16.96</v>
      </c>
      <c r="X239" s="34">
        <v>20.59</v>
      </c>
      <c r="Y239" s="34">
        <v>18.03</v>
      </c>
      <c r="Z239" s="34">
        <v>16.329999999999998</v>
      </c>
      <c r="AA239" s="34">
        <v>11.78</v>
      </c>
      <c r="AB239" s="34">
        <v>9.0399999999999991</v>
      </c>
      <c r="AC239" s="34">
        <v>8.7899999999999991</v>
      </c>
      <c r="AD239" s="41">
        <v>5.3408333333333333</v>
      </c>
      <c r="AE239" s="34">
        <v>1143</v>
      </c>
      <c r="AF239" s="34">
        <v>-0.24099999999999999</v>
      </c>
      <c r="AG239" s="34">
        <v>2323</v>
      </c>
      <c r="AH239" s="34">
        <v>53.95</v>
      </c>
      <c r="AI239" s="34">
        <v>1339</v>
      </c>
      <c r="AJ239" s="34">
        <v>-0.755</v>
      </c>
      <c r="AK239" s="34">
        <v>-1.296</v>
      </c>
      <c r="AL239" s="34">
        <v>-3.2269999999999999</v>
      </c>
      <c r="AM239" s="34">
        <v>-1.1519999999999999</v>
      </c>
      <c r="AN239" s="34">
        <v>-1.002</v>
      </c>
      <c r="AO239" s="34">
        <v>7.23</v>
      </c>
      <c r="AP239" s="34">
        <v>8.5</v>
      </c>
      <c r="AQ239" s="34">
        <v>8.32</v>
      </c>
      <c r="AR239" s="34">
        <v>2.1999999999999999E-2</v>
      </c>
      <c r="AS239" s="34">
        <v>0.16600000000000001</v>
      </c>
      <c r="AT239" s="34">
        <v>0.14799999999999999</v>
      </c>
      <c r="AU239" s="34">
        <v>2.5999999999999999E-2</v>
      </c>
      <c r="AV239" s="34">
        <v>9.6000000000000002E-2</v>
      </c>
      <c r="AW239" s="34">
        <v>0.36</v>
      </c>
      <c r="AX239" s="34">
        <v>0.158</v>
      </c>
      <c r="AY239" s="34">
        <v>2.5000000000000001E-2</v>
      </c>
      <c r="AZ239" s="34">
        <v>7.76</v>
      </c>
      <c r="BA239" s="34">
        <v>3474</v>
      </c>
      <c r="BB239" s="34">
        <v>12.99</v>
      </c>
      <c r="BC239" s="34">
        <v>2876</v>
      </c>
      <c r="BD239" s="3"/>
      <c r="BE239" s="3"/>
      <c r="BF239" s="3"/>
      <c r="BH239" s="16">
        <v>25.32</v>
      </c>
      <c r="BI239" s="16">
        <f t="shared" si="104"/>
        <v>51.1464</v>
      </c>
      <c r="BJ239" s="17">
        <f t="shared" si="117"/>
        <v>22.2</v>
      </c>
      <c r="BK239" s="17">
        <f t="shared" si="118"/>
        <v>46.12</v>
      </c>
      <c r="BM239" s="1">
        <f t="shared" si="119"/>
        <v>96.5</v>
      </c>
      <c r="BN239" s="1">
        <f t="shared" si="120"/>
        <v>78.900000000000006</v>
      </c>
      <c r="BO239" s="1">
        <f t="shared" si="121"/>
        <v>50.8</v>
      </c>
      <c r="BP239" s="56">
        <f t="shared" si="146"/>
        <v>0.70599999999999996</v>
      </c>
      <c r="BQ239" s="56">
        <f t="shared" si="147"/>
        <v>0.68400000000000005</v>
      </c>
      <c r="BS239" s="3">
        <v>0.5</v>
      </c>
      <c r="BT239" s="8"/>
      <c r="BV239" s="16">
        <f t="shared" si="105"/>
        <v>22.2</v>
      </c>
      <c r="BW239" s="16">
        <f t="shared" si="106"/>
        <v>46.12</v>
      </c>
      <c r="BX239" s="3">
        <f t="shared" si="107"/>
        <v>6.3</v>
      </c>
      <c r="BY239" s="3">
        <f t="shared" si="122"/>
        <v>6.4</v>
      </c>
      <c r="BZ239" s="3">
        <f t="shared" si="123"/>
        <v>6.3</v>
      </c>
      <c r="CA239" s="3">
        <f t="shared" si="124"/>
        <v>7</v>
      </c>
      <c r="CB239" s="3">
        <f t="shared" si="125"/>
        <v>9.1</v>
      </c>
      <c r="CC239" s="3">
        <f t="shared" si="126"/>
        <v>8.6999999999999993</v>
      </c>
      <c r="CD239" s="3">
        <f t="shared" si="127"/>
        <v>8.6</v>
      </c>
      <c r="CE239" s="23">
        <f t="shared" si="128"/>
        <v>78.900000000000006</v>
      </c>
      <c r="CF239" s="1">
        <f t="shared" si="148"/>
        <v>11.9</v>
      </c>
      <c r="CG239" s="1">
        <f t="shared" si="129"/>
        <v>13.6</v>
      </c>
      <c r="CH239" s="1">
        <f t="shared" si="130"/>
        <v>17</v>
      </c>
      <c r="CI239" s="1">
        <f t="shared" si="131"/>
        <v>20.6</v>
      </c>
      <c r="CJ239" s="1">
        <f t="shared" si="132"/>
        <v>11.8</v>
      </c>
      <c r="CK239" s="1">
        <f t="shared" si="133"/>
        <v>9</v>
      </c>
      <c r="CL239" s="1">
        <f t="shared" si="134"/>
        <v>8.8000000000000007</v>
      </c>
      <c r="CM239" s="2">
        <f t="shared" si="135"/>
        <v>96.5</v>
      </c>
      <c r="CN239" s="1">
        <f t="shared" si="149"/>
        <v>-0.2</v>
      </c>
      <c r="CO239" s="1">
        <f t="shared" si="136"/>
        <v>-0.8</v>
      </c>
      <c r="CP239" s="1">
        <f t="shared" si="137"/>
        <v>-1.3</v>
      </c>
      <c r="CQ239" s="1">
        <f t="shared" si="138"/>
        <v>-3.2</v>
      </c>
      <c r="CR239" s="1">
        <f t="shared" si="139"/>
        <v>7.2</v>
      </c>
      <c r="CS239" s="1">
        <f t="shared" si="140"/>
        <v>8.5</v>
      </c>
      <c r="CT239" s="1">
        <f t="shared" si="141"/>
        <v>8.3000000000000007</v>
      </c>
      <c r="CU239" s="2">
        <f t="shared" si="142"/>
        <v>50.8</v>
      </c>
      <c r="CV239" s="18" t="s">
        <v>233</v>
      </c>
      <c r="CW239" s="1">
        <f>ROUND(PPTest!K239,1)</f>
        <v>0</v>
      </c>
      <c r="CX239" s="17">
        <f t="shared" si="143"/>
        <v>2.04</v>
      </c>
      <c r="CY239" s="17">
        <f t="shared" si="144"/>
        <v>5.34</v>
      </c>
      <c r="CZ239" s="20">
        <f t="shared" si="110"/>
        <v>0.70599999999999996</v>
      </c>
      <c r="DA239" s="20">
        <f t="shared" si="111"/>
        <v>0.68400000000000005</v>
      </c>
      <c r="DB239" s="16">
        <f t="shared" si="145"/>
        <v>12.99</v>
      </c>
      <c r="DD239" s="1">
        <v>9.5</v>
      </c>
      <c r="DE239" s="1">
        <v>13.9</v>
      </c>
      <c r="DF239" s="1">
        <v>5.9</v>
      </c>
      <c r="DG239" s="1">
        <v>84.8</v>
      </c>
      <c r="DH239" s="1">
        <v>63</v>
      </c>
      <c r="DZ239" s="1">
        <v>6.9</v>
      </c>
      <c r="EA239" s="1">
        <v>12.5</v>
      </c>
      <c r="EB239" s="1">
        <v>0.6</v>
      </c>
      <c r="EC239" s="1">
        <v>0</v>
      </c>
    </row>
    <row r="240" spans="1:133" x14ac:dyDescent="0.2">
      <c r="A240" s="40">
        <v>35298</v>
      </c>
      <c r="B240" s="34">
        <v>234</v>
      </c>
      <c r="C240" s="34">
        <v>18.37</v>
      </c>
      <c r="D240" s="34">
        <v>36.119999999999997</v>
      </c>
      <c r="E240" s="34">
        <v>6.3209999999999997</v>
      </c>
      <c r="F240" s="34">
        <v>82.3</v>
      </c>
      <c r="G240" s="34">
        <v>6.1970000000000001</v>
      </c>
      <c r="H240" s="34">
        <v>5.84</v>
      </c>
      <c r="I240" s="34">
        <v>5.6420000000000003</v>
      </c>
      <c r="J240" s="34">
        <v>7.23</v>
      </c>
      <c r="K240" s="34">
        <v>7.28</v>
      </c>
      <c r="L240" s="34">
        <v>8.1999999999999993</v>
      </c>
      <c r="M240" s="34">
        <v>8.56</v>
      </c>
      <c r="N240" s="34">
        <v>8.4499999999999993</v>
      </c>
      <c r="O240" s="34">
        <v>0</v>
      </c>
      <c r="P240" s="41">
        <v>1.7941666666666667</v>
      </c>
      <c r="Q240" s="34">
        <v>0</v>
      </c>
      <c r="R240" s="34">
        <v>13.79</v>
      </c>
      <c r="S240" s="34">
        <v>1159</v>
      </c>
      <c r="T240" s="34">
        <v>105.6</v>
      </c>
      <c r="U240" s="34">
        <v>425</v>
      </c>
      <c r="V240" s="34">
        <v>14.97</v>
      </c>
      <c r="W240" s="34">
        <v>16.87</v>
      </c>
      <c r="X240" s="34">
        <v>21.12</v>
      </c>
      <c r="Y240" s="34">
        <v>18</v>
      </c>
      <c r="Z240" s="34">
        <v>18.32</v>
      </c>
      <c r="AA240" s="34">
        <v>10.65</v>
      </c>
      <c r="AB240" s="34">
        <v>8.83</v>
      </c>
      <c r="AC240" s="34">
        <v>8.66</v>
      </c>
      <c r="AD240" s="41">
        <v>4.8341666666666665</v>
      </c>
      <c r="AE240" s="34">
        <v>1256</v>
      </c>
      <c r="AF240" s="34">
        <v>-1.7829999999999999</v>
      </c>
      <c r="AG240" s="34">
        <v>509</v>
      </c>
      <c r="AH240" s="34">
        <v>46.25</v>
      </c>
      <c r="AI240" s="34">
        <v>1602</v>
      </c>
      <c r="AJ240" s="34">
        <v>-2.3620000000000001</v>
      </c>
      <c r="AK240" s="34">
        <v>-2.9350000000000001</v>
      </c>
      <c r="AL240" s="34">
        <v>-4.6500000000000004</v>
      </c>
      <c r="AM240" s="34">
        <v>-0.79</v>
      </c>
      <c r="AN240" s="34">
        <v>-0.56000000000000005</v>
      </c>
      <c r="AO240" s="34">
        <v>5.8369999999999997</v>
      </c>
      <c r="AP240" s="34">
        <v>8.35</v>
      </c>
      <c r="AQ240" s="34">
        <v>8.1999999999999993</v>
      </c>
      <c r="AR240" s="34">
        <v>1.4E-2</v>
      </c>
      <c r="AS240" s="34">
        <v>0.251</v>
      </c>
      <c r="AT240" s="34">
        <v>0.29199999999999998</v>
      </c>
      <c r="AU240" s="34">
        <v>3.5000000000000003E-2</v>
      </c>
      <c r="AV240" s="34">
        <v>8.2000000000000003E-2</v>
      </c>
      <c r="AW240" s="34">
        <v>0.193</v>
      </c>
      <c r="AX240" s="34">
        <v>9.4E-2</v>
      </c>
      <c r="AY240" s="34">
        <v>3.9E-2</v>
      </c>
      <c r="AZ240" s="34">
        <v>6.2859999999999996</v>
      </c>
      <c r="BA240" s="34">
        <v>3474</v>
      </c>
      <c r="BB240" s="34">
        <v>13</v>
      </c>
      <c r="BC240" s="34">
        <v>2876</v>
      </c>
      <c r="BD240" s="3"/>
      <c r="BE240" s="3"/>
      <c r="BF240" s="3"/>
      <c r="BH240" s="16">
        <v>25.09</v>
      </c>
      <c r="BI240" s="16">
        <f t="shared" si="104"/>
        <v>50.681800000000003</v>
      </c>
      <c r="BJ240" s="17">
        <f t="shared" si="117"/>
        <v>18.37</v>
      </c>
      <c r="BK240" s="17">
        <f t="shared" si="118"/>
        <v>37.9</v>
      </c>
      <c r="BM240" s="1">
        <f t="shared" si="119"/>
        <v>98.6</v>
      </c>
      <c r="BN240" s="1">
        <f t="shared" si="120"/>
        <v>77</v>
      </c>
      <c r="BO240" s="1">
        <f t="shared" si="121"/>
        <v>43.7</v>
      </c>
      <c r="BP240" s="56">
        <f t="shared" si="146"/>
        <v>0.68899999999999995</v>
      </c>
      <c r="BQ240" s="56">
        <f t="shared" si="147"/>
        <v>0.88800000000000001</v>
      </c>
      <c r="BS240" s="3">
        <v>0</v>
      </c>
      <c r="BT240" s="8"/>
      <c r="BV240" s="16">
        <f t="shared" si="105"/>
        <v>18.37</v>
      </c>
      <c r="BW240" s="16">
        <f t="shared" si="106"/>
        <v>37.9</v>
      </c>
      <c r="BX240" s="3">
        <f t="shared" si="107"/>
        <v>6.3</v>
      </c>
      <c r="BY240" s="3">
        <f t="shared" si="122"/>
        <v>6.2</v>
      </c>
      <c r="BZ240" s="3">
        <f t="shared" si="123"/>
        <v>5.8</v>
      </c>
      <c r="CA240" s="3">
        <f t="shared" si="124"/>
        <v>5.6</v>
      </c>
      <c r="CB240" s="3">
        <f t="shared" si="125"/>
        <v>8.1999999999999993</v>
      </c>
      <c r="CC240" s="3">
        <f t="shared" si="126"/>
        <v>8.6</v>
      </c>
      <c r="CD240" s="3">
        <f t="shared" si="127"/>
        <v>8.5</v>
      </c>
      <c r="CE240" s="23">
        <f t="shared" si="128"/>
        <v>77</v>
      </c>
      <c r="CF240" s="1">
        <f t="shared" si="148"/>
        <v>13.8</v>
      </c>
      <c r="CG240" s="1">
        <f t="shared" si="129"/>
        <v>15</v>
      </c>
      <c r="CH240" s="1">
        <f t="shared" si="130"/>
        <v>16.899999999999999</v>
      </c>
      <c r="CI240" s="1">
        <f t="shared" si="131"/>
        <v>21.1</v>
      </c>
      <c r="CJ240" s="1">
        <f t="shared" si="132"/>
        <v>10.7</v>
      </c>
      <c r="CK240" s="1">
        <f t="shared" si="133"/>
        <v>8.8000000000000007</v>
      </c>
      <c r="CL240" s="1">
        <f t="shared" si="134"/>
        <v>8.6999999999999993</v>
      </c>
      <c r="CM240" s="2">
        <f t="shared" si="135"/>
        <v>98.6</v>
      </c>
      <c r="CN240" s="1">
        <f t="shared" si="149"/>
        <v>-1.8</v>
      </c>
      <c r="CO240" s="1">
        <f t="shared" si="136"/>
        <v>-2.4</v>
      </c>
      <c r="CP240" s="1">
        <f t="shared" si="137"/>
        <v>-2.9</v>
      </c>
      <c r="CQ240" s="1">
        <f t="shared" si="138"/>
        <v>-4.7</v>
      </c>
      <c r="CR240" s="1">
        <f t="shared" si="139"/>
        <v>5.8</v>
      </c>
      <c r="CS240" s="1">
        <f t="shared" si="140"/>
        <v>8.4</v>
      </c>
      <c r="CT240" s="1">
        <f t="shared" si="141"/>
        <v>8.1999999999999993</v>
      </c>
      <c r="CU240" s="2">
        <f t="shared" si="142"/>
        <v>43.7</v>
      </c>
      <c r="CV240" s="18" t="s">
        <v>233</v>
      </c>
      <c r="CW240" s="1">
        <f>ROUND(PPTest!K240,1)</f>
        <v>0</v>
      </c>
      <c r="CX240" s="17">
        <f t="shared" si="143"/>
        <v>1.79</v>
      </c>
      <c r="CY240" s="17">
        <f t="shared" si="144"/>
        <v>4.83</v>
      </c>
      <c r="CZ240" s="20">
        <f t="shared" si="110"/>
        <v>0.68899999999999995</v>
      </c>
      <c r="DA240" s="20">
        <f t="shared" si="111"/>
        <v>0.88800000000000001</v>
      </c>
      <c r="DB240" s="16">
        <f t="shared" si="145"/>
        <v>13</v>
      </c>
      <c r="DD240" s="1">
        <v>11.2</v>
      </c>
      <c r="DE240" s="1">
        <v>15.4</v>
      </c>
      <c r="DF240" s="1">
        <v>6.4</v>
      </c>
      <c r="DG240" s="1">
        <v>73.400000000000006</v>
      </c>
      <c r="DH240" s="1">
        <v>56</v>
      </c>
      <c r="DZ240" s="1">
        <v>7.9</v>
      </c>
      <c r="EA240" s="1">
        <v>16</v>
      </c>
      <c r="EB240" s="1">
        <v>-1.9</v>
      </c>
      <c r="EC240" s="1">
        <v>0</v>
      </c>
    </row>
    <row r="241" spans="1:133" x14ac:dyDescent="0.2">
      <c r="A241" s="40">
        <v>35299</v>
      </c>
      <c r="B241" s="34">
        <v>235</v>
      </c>
      <c r="C241" s="34">
        <v>24.78</v>
      </c>
      <c r="D241" s="34">
        <v>49.5</v>
      </c>
      <c r="E241" s="34">
        <v>9.6199999999999992</v>
      </c>
      <c r="F241" s="34">
        <v>70.2</v>
      </c>
      <c r="G241" s="34">
        <v>9.49</v>
      </c>
      <c r="H241" s="34">
        <v>9.16</v>
      </c>
      <c r="I241" s="34">
        <v>8.5399999999999991</v>
      </c>
      <c r="J241" s="34">
        <v>11.02</v>
      </c>
      <c r="K241" s="34">
        <v>11.13</v>
      </c>
      <c r="L241" s="34">
        <v>8.8699999999999992</v>
      </c>
      <c r="M241" s="34">
        <v>8.4600000000000009</v>
      </c>
      <c r="N241" s="34">
        <v>8.36</v>
      </c>
      <c r="O241" s="34">
        <v>0</v>
      </c>
      <c r="P241" s="41">
        <v>1.9091666666666669</v>
      </c>
      <c r="Q241" s="34">
        <v>0</v>
      </c>
      <c r="R241" s="34">
        <v>19.899999999999999</v>
      </c>
      <c r="S241" s="34">
        <v>1601</v>
      </c>
      <c r="T241" s="34">
        <v>104</v>
      </c>
      <c r="U241" s="34">
        <v>512</v>
      </c>
      <c r="V241" s="34">
        <v>21.19</v>
      </c>
      <c r="W241" s="34">
        <v>23.09</v>
      </c>
      <c r="X241" s="34">
        <v>23.87</v>
      </c>
      <c r="Y241" s="34">
        <v>25.33</v>
      </c>
      <c r="Z241" s="34">
        <v>25.66</v>
      </c>
      <c r="AA241" s="34">
        <v>12.26</v>
      </c>
      <c r="AB241" s="34">
        <v>8.92</v>
      </c>
      <c r="AC241" s="34">
        <v>8.61</v>
      </c>
      <c r="AD241" s="41">
        <v>4.3941666666666661</v>
      </c>
      <c r="AE241" s="34">
        <v>1446</v>
      </c>
      <c r="AF241" s="34">
        <v>-0.76200000000000001</v>
      </c>
      <c r="AG241" s="34">
        <v>507</v>
      </c>
      <c r="AH241" s="34">
        <v>36.81</v>
      </c>
      <c r="AI241" s="34">
        <v>1603</v>
      </c>
      <c r="AJ241" s="34">
        <v>-1.363</v>
      </c>
      <c r="AK241" s="34">
        <v>-1.879</v>
      </c>
      <c r="AL241" s="34">
        <v>-3.5449999999999999</v>
      </c>
      <c r="AM241" s="34">
        <v>-1.0409999999999999</v>
      </c>
      <c r="AN241" s="34">
        <v>-1.103</v>
      </c>
      <c r="AO241" s="34">
        <v>5.7910000000000004</v>
      </c>
      <c r="AP241" s="34">
        <v>8.1300000000000008</v>
      </c>
      <c r="AQ241" s="34">
        <v>8.1199999999999992</v>
      </c>
      <c r="AR241" s="34">
        <v>7.0999999999999994E-2</v>
      </c>
      <c r="AS241" s="34">
        <v>0.32700000000000001</v>
      </c>
      <c r="AT241" s="34">
        <v>0.27400000000000002</v>
      </c>
      <c r="AU241" s="34">
        <v>1.9E-2</v>
      </c>
      <c r="AV241" s="34">
        <v>5.8000000000000003E-2</v>
      </c>
      <c r="AW241" s="34">
        <v>0.124</v>
      </c>
      <c r="AX241" s="34">
        <v>6.5000000000000002E-2</v>
      </c>
      <c r="AY241" s="34">
        <v>6.3E-2</v>
      </c>
      <c r="AZ241" s="34">
        <v>9.8699999999999992</v>
      </c>
      <c r="BA241" s="34">
        <v>3474</v>
      </c>
      <c r="BB241" s="34">
        <v>12.92</v>
      </c>
      <c r="BC241" s="34">
        <v>2876</v>
      </c>
      <c r="BD241" s="3"/>
      <c r="BE241" s="3"/>
      <c r="BF241" s="3"/>
      <c r="BH241" s="16">
        <v>24.86</v>
      </c>
      <c r="BI241" s="16">
        <f t="shared" si="104"/>
        <v>50.217199999999998</v>
      </c>
      <c r="BJ241" s="17">
        <f t="shared" si="117"/>
        <v>24.78</v>
      </c>
      <c r="BK241" s="17">
        <f t="shared" si="118"/>
        <v>51.95</v>
      </c>
      <c r="BM241" s="1">
        <f t="shared" si="119"/>
        <v>97.1</v>
      </c>
      <c r="BN241" s="1">
        <f t="shared" si="120"/>
        <v>65.900000000000006</v>
      </c>
      <c r="BO241" s="1">
        <f t="shared" si="121"/>
        <v>35</v>
      </c>
      <c r="BP241" s="56">
        <f t="shared" si="146"/>
        <v>0.81299999999999994</v>
      </c>
      <c r="BQ241" s="56">
        <f t="shared" si="147"/>
        <v>1.51</v>
      </c>
      <c r="BS241" s="3">
        <v>0</v>
      </c>
      <c r="BT241" s="8"/>
      <c r="BV241" s="16">
        <f t="shared" si="105"/>
        <v>24.78</v>
      </c>
      <c r="BW241" s="16">
        <f t="shared" si="106"/>
        <v>51.95</v>
      </c>
      <c r="BX241" s="3">
        <f t="shared" si="107"/>
        <v>9.6</v>
      </c>
      <c r="BY241" s="3">
        <f t="shared" si="122"/>
        <v>9.5</v>
      </c>
      <c r="BZ241" s="3">
        <f t="shared" si="123"/>
        <v>9.1999999999999993</v>
      </c>
      <c r="CA241" s="3">
        <f t="shared" si="124"/>
        <v>8.5</v>
      </c>
      <c r="CB241" s="3">
        <f t="shared" si="125"/>
        <v>8.9</v>
      </c>
      <c r="CC241" s="3">
        <f t="shared" si="126"/>
        <v>8.5</v>
      </c>
      <c r="CD241" s="3">
        <f t="shared" si="127"/>
        <v>8.4</v>
      </c>
      <c r="CE241" s="23">
        <f t="shared" si="128"/>
        <v>65.900000000000006</v>
      </c>
      <c r="CF241" s="1">
        <f t="shared" si="148"/>
        <v>19.899999999999999</v>
      </c>
      <c r="CG241" s="1">
        <f t="shared" si="129"/>
        <v>21.2</v>
      </c>
      <c r="CH241" s="1">
        <f t="shared" si="130"/>
        <v>23.1</v>
      </c>
      <c r="CI241" s="1">
        <f t="shared" si="131"/>
        <v>23.9</v>
      </c>
      <c r="CJ241" s="1">
        <f t="shared" si="132"/>
        <v>12.3</v>
      </c>
      <c r="CK241" s="1">
        <f t="shared" si="133"/>
        <v>8.9</v>
      </c>
      <c r="CL241" s="1">
        <f t="shared" si="134"/>
        <v>8.6</v>
      </c>
      <c r="CM241" s="2">
        <f t="shared" si="135"/>
        <v>97.1</v>
      </c>
      <c r="CN241" s="1">
        <f t="shared" si="149"/>
        <v>-0.8</v>
      </c>
      <c r="CO241" s="1">
        <f t="shared" si="136"/>
        <v>-1.4</v>
      </c>
      <c r="CP241" s="1">
        <f t="shared" si="137"/>
        <v>-1.9</v>
      </c>
      <c r="CQ241" s="1">
        <f t="shared" si="138"/>
        <v>-3.5</v>
      </c>
      <c r="CR241" s="1">
        <f t="shared" si="139"/>
        <v>5.8</v>
      </c>
      <c r="CS241" s="1">
        <f t="shared" si="140"/>
        <v>8.1</v>
      </c>
      <c r="CT241" s="1">
        <f t="shared" si="141"/>
        <v>8.1</v>
      </c>
      <c r="CU241" s="2">
        <f t="shared" si="142"/>
        <v>35</v>
      </c>
      <c r="CV241" s="18" t="s">
        <v>233</v>
      </c>
      <c r="CW241" s="1">
        <f>ROUND(PPTest!K241,1)</f>
        <v>0</v>
      </c>
      <c r="CX241" s="17">
        <f t="shared" si="143"/>
        <v>1.91</v>
      </c>
      <c r="CY241" s="17">
        <f t="shared" si="144"/>
        <v>4.3899999999999997</v>
      </c>
      <c r="CZ241" s="20">
        <f t="shared" si="110"/>
        <v>0.81299999999999994</v>
      </c>
      <c r="DA241" s="20">
        <f t="shared" si="111"/>
        <v>1.51</v>
      </c>
      <c r="DB241" s="16">
        <f t="shared" si="145"/>
        <v>12.92</v>
      </c>
      <c r="DD241" s="1">
        <v>15.3</v>
      </c>
      <c r="DE241" s="1">
        <v>21.6</v>
      </c>
      <c r="DF241" s="1">
        <v>8.1999999999999993</v>
      </c>
      <c r="DG241" s="1">
        <v>53.4</v>
      </c>
      <c r="DH241" s="1">
        <v>36</v>
      </c>
      <c r="DZ241" s="1">
        <v>11.5</v>
      </c>
      <c r="EA241" s="1">
        <v>21.5</v>
      </c>
      <c r="EB241" s="1">
        <v>1.5</v>
      </c>
      <c r="EC241" s="1">
        <v>0</v>
      </c>
    </row>
    <row r="242" spans="1:133" x14ac:dyDescent="0.2">
      <c r="A242" s="40">
        <v>35300</v>
      </c>
      <c r="B242" s="34">
        <v>236</v>
      </c>
      <c r="C242" s="34">
        <v>24.93</v>
      </c>
      <c r="D242" s="34">
        <v>48.41</v>
      </c>
      <c r="E242" s="34">
        <v>13.48</v>
      </c>
      <c r="F242" s="34">
        <v>59.06</v>
      </c>
      <c r="G242" s="34">
        <v>13.18</v>
      </c>
      <c r="H242" s="34">
        <v>12.7</v>
      </c>
      <c r="I242" s="34">
        <v>10.99</v>
      </c>
      <c r="J242" s="34">
        <v>14.45</v>
      </c>
      <c r="K242" s="34">
        <v>14.68</v>
      </c>
      <c r="L242" s="34">
        <v>10.06</v>
      </c>
      <c r="M242" s="34">
        <v>8.89</v>
      </c>
      <c r="N242" s="34">
        <v>8.2899999999999991</v>
      </c>
      <c r="O242" s="34">
        <v>0</v>
      </c>
      <c r="P242" s="41">
        <v>2.1908333333333334</v>
      </c>
      <c r="Q242" s="34">
        <v>0</v>
      </c>
      <c r="R242" s="34">
        <v>23.61</v>
      </c>
      <c r="S242" s="34">
        <v>1658</v>
      </c>
      <c r="T242" s="34">
        <v>98.3</v>
      </c>
      <c r="U242" s="34">
        <v>247</v>
      </c>
      <c r="V242" s="34">
        <v>24.65</v>
      </c>
      <c r="W242" s="34">
        <v>25.72</v>
      </c>
      <c r="X242" s="34">
        <v>27.83</v>
      </c>
      <c r="Y242" s="34">
        <v>29.07</v>
      </c>
      <c r="Z242" s="34">
        <v>28.37</v>
      </c>
      <c r="AA242" s="34">
        <v>13.26</v>
      </c>
      <c r="AB242" s="34">
        <v>9.44</v>
      </c>
      <c r="AC242" s="34">
        <v>8.5299999999999994</v>
      </c>
      <c r="AD242" s="41">
        <v>4.5274999999999999</v>
      </c>
      <c r="AE242" s="34">
        <v>1306</v>
      </c>
      <c r="AF242" s="34">
        <v>3.9239999999999999</v>
      </c>
      <c r="AG242" s="34">
        <v>246</v>
      </c>
      <c r="AH242" s="34">
        <v>18.149999999999999</v>
      </c>
      <c r="AI242" s="34">
        <v>1624</v>
      </c>
      <c r="AJ242" s="34">
        <v>2.9340000000000002</v>
      </c>
      <c r="AK242" s="34">
        <v>2.1680000000000001</v>
      </c>
      <c r="AL242" s="34">
        <v>-1.4E-2</v>
      </c>
      <c r="AM242" s="34">
        <v>2.4039999999999999</v>
      </c>
      <c r="AN242" s="34">
        <v>2.577</v>
      </c>
      <c r="AO242" s="34">
        <v>7.23</v>
      </c>
      <c r="AP242" s="34">
        <v>8.5399999999999991</v>
      </c>
      <c r="AQ242" s="34">
        <v>8.11</v>
      </c>
      <c r="AR242" s="34">
        <v>2.3E-2</v>
      </c>
      <c r="AS242" s="34">
        <v>0.32400000000000001</v>
      </c>
      <c r="AT242" s="34">
        <v>0.21299999999999999</v>
      </c>
      <c r="AU242" s="34">
        <v>8.9999999999999993E-3</v>
      </c>
      <c r="AV242" s="34">
        <v>4.9000000000000002E-2</v>
      </c>
      <c r="AW242" s="34">
        <v>0.193</v>
      </c>
      <c r="AX242" s="34">
        <v>0.151</v>
      </c>
      <c r="AY242" s="34">
        <v>3.7999999999999999E-2</v>
      </c>
      <c r="AZ242" s="34">
        <v>13.14</v>
      </c>
      <c r="BA242" s="34">
        <v>3474</v>
      </c>
      <c r="BB242" s="34">
        <v>12.88</v>
      </c>
      <c r="BC242" s="34">
        <v>2876</v>
      </c>
      <c r="BD242" s="3"/>
      <c r="BE242" s="3"/>
      <c r="BF242" s="3"/>
      <c r="BH242" s="16">
        <v>24.62</v>
      </c>
      <c r="BI242" s="16">
        <f t="shared" si="104"/>
        <v>49.732400000000005</v>
      </c>
      <c r="BJ242" s="17">
        <f t="shared" si="117"/>
        <v>24.93</v>
      </c>
      <c r="BK242" s="17">
        <f t="shared" si="118"/>
        <v>50.8</v>
      </c>
      <c r="BM242" s="1">
        <f t="shared" si="119"/>
        <v>91.8</v>
      </c>
      <c r="BN242" s="1">
        <f t="shared" si="120"/>
        <v>55.6</v>
      </c>
      <c r="BO242" s="1">
        <f t="shared" si="121"/>
        <v>17.8</v>
      </c>
      <c r="BP242" s="56">
        <f t="shared" si="146"/>
        <v>0.51900000000000002</v>
      </c>
      <c r="BQ242" s="56">
        <f t="shared" si="147"/>
        <v>2.3969999999999998</v>
      </c>
      <c r="BS242" s="3">
        <v>0</v>
      </c>
      <c r="BT242" s="8"/>
      <c r="BV242" s="16">
        <f t="shared" si="105"/>
        <v>24.93</v>
      </c>
      <c r="BW242" s="16">
        <f t="shared" si="106"/>
        <v>50.8</v>
      </c>
      <c r="BX242" s="3">
        <f t="shared" si="107"/>
        <v>13.5</v>
      </c>
      <c r="BY242" s="3">
        <f t="shared" si="122"/>
        <v>13.2</v>
      </c>
      <c r="BZ242" s="3">
        <f t="shared" si="123"/>
        <v>12.7</v>
      </c>
      <c r="CA242" s="3">
        <f t="shared" si="124"/>
        <v>11</v>
      </c>
      <c r="CB242" s="3">
        <f t="shared" si="125"/>
        <v>10.1</v>
      </c>
      <c r="CC242" s="3">
        <f t="shared" si="126"/>
        <v>8.9</v>
      </c>
      <c r="CD242" s="3">
        <f t="shared" si="127"/>
        <v>8.3000000000000007</v>
      </c>
      <c r="CE242" s="23">
        <f t="shared" si="128"/>
        <v>55.6</v>
      </c>
      <c r="CF242" s="1">
        <f t="shared" si="148"/>
        <v>23.6</v>
      </c>
      <c r="CG242" s="1">
        <f t="shared" si="129"/>
        <v>24.7</v>
      </c>
      <c r="CH242" s="1">
        <f t="shared" si="130"/>
        <v>25.7</v>
      </c>
      <c r="CI242" s="1">
        <f t="shared" si="131"/>
        <v>27.8</v>
      </c>
      <c r="CJ242" s="1">
        <f t="shared" si="132"/>
        <v>13.3</v>
      </c>
      <c r="CK242" s="1">
        <f t="shared" si="133"/>
        <v>9.4</v>
      </c>
      <c r="CL242" s="1">
        <f t="shared" si="134"/>
        <v>8.5</v>
      </c>
      <c r="CM242" s="2">
        <f t="shared" si="135"/>
        <v>91.8</v>
      </c>
      <c r="CN242" s="1">
        <f t="shared" si="149"/>
        <v>3.9</v>
      </c>
      <c r="CO242" s="1">
        <f t="shared" si="136"/>
        <v>2.9</v>
      </c>
      <c r="CP242" s="1">
        <f t="shared" si="137"/>
        <v>2.2000000000000002</v>
      </c>
      <c r="CQ242" s="1">
        <f t="shared" si="138"/>
        <v>0</v>
      </c>
      <c r="CR242" s="1">
        <f t="shared" si="139"/>
        <v>7.2</v>
      </c>
      <c r="CS242" s="1">
        <f t="shared" si="140"/>
        <v>8.5</v>
      </c>
      <c r="CT242" s="1">
        <f t="shared" si="141"/>
        <v>8.1</v>
      </c>
      <c r="CU242" s="2">
        <f t="shared" si="142"/>
        <v>17.8</v>
      </c>
      <c r="CV242" s="18" t="s">
        <v>233</v>
      </c>
      <c r="CW242" s="1">
        <f>ROUND(PPTest!K242,1)</f>
        <v>0</v>
      </c>
      <c r="CX242" s="17">
        <f t="shared" si="143"/>
        <v>2.19</v>
      </c>
      <c r="CY242" s="17">
        <f t="shared" si="144"/>
        <v>4.53</v>
      </c>
      <c r="CZ242" s="20">
        <f t="shared" si="110"/>
        <v>0.51900000000000002</v>
      </c>
      <c r="DA242" s="20">
        <f t="shared" si="111"/>
        <v>2.3969999999999998</v>
      </c>
      <c r="DB242" s="16">
        <f t="shared" si="145"/>
        <v>12.88</v>
      </c>
      <c r="DD242" s="1">
        <v>20.2</v>
      </c>
      <c r="DE242" s="1">
        <v>26.1</v>
      </c>
      <c r="DF242" s="1">
        <v>13.9</v>
      </c>
      <c r="DG242" s="1">
        <v>35.6</v>
      </c>
      <c r="DH242" s="1">
        <v>20</v>
      </c>
      <c r="DZ242" s="1">
        <v>14.7</v>
      </c>
      <c r="EA242" s="1">
        <v>24.7</v>
      </c>
      <c r="EB242" s="1">
        <v>4.5</v>
      </c>
      <c r="EC242" s="1">
        <v>0</v>
      </c>
    </row>
    <row r="243" spans="1:133" x14ac:dyDescent="0.2">
      <c r="A243" s="40">
        <v>35301</v>
      </c>
      <c r="B243" s="34">
        <v>237</v>
      </c>
      <c r="C243" s="34">
        <v>24.69</v>
      </c>
      <c r="D243" s="34">
        <v>47.88</v>
      </c>
      <c r="E243" s="34">
        <v>14.07</v>
      </c>
      <c r="F243" s="34">
        <v>57.01</v>
      </c>
      <c r="G243" s="34">
        <v>13.72</v>
      </c>
      <c r="H243" s="34">
        <v>13.22</v>
      </c>
      <c r="I243" s="34">
        <v>11.4</v>
      </c>
      <c r="J243" s="34">
        <v>14.95</v>
      </c>
      <c r="K243" s="34">
        <v>15.17</v>
      </c>
      <c r="L243" s="34">
        <v>10.39</v>
      </c>
      <c r="M243" s="34">
        <v>9.2100000000000009</v>
      </c>
      <c r="N243" s="34">
        <v>8.26</v>
      </c>
      <c r="O243" s="34">
        <v>0</v>
      </c>
      <c r="P243" s="41">
        <v>2.3025000000000002</v>
      </c>
      <c r="Q243" s="34">
        <v>0</v>
      </c>
      <c r="R243" s="34">
        <v>24.88</v>
      </c>
      <c r="S243" s="34">
        <v>1648</v>
      </c>
      <c r="T243" s="34">
        <v>93.8</v>
      </c>
      <c r="U243" s="34">
        <v>535</v>
      </c>
      <c r="V243" s="34">
        <v>26.17</v>
      </c>
      <c r="W243" s="34">
        <v>27.74</v>
      </c>
      <c r="X243" s="34">
        <v>29.65</v>
      </c>
      <c r="Y243" s="34">
        <v>30.26</v>
      </c>
      <c r="Z243" s="34">
        <v>29.76</v>
      </c>
      <c r="AA243" s="34">
        <v>13.7</v>
      </c>
      <c r="AB243" s="34">
        <v>9.73</v>
      </c>
      <c r="AC243" s="34">
        <v>8.5500000000000007</v>
      </c>
      <c r="AD243" s="41">
        <v>4.7808333333333337</v>
      </c>
      <c r="AE243" s="34">
        <v>1307</v>
      </c>
      <c r="AF243" s="34">
        <v>3.2490000000000001</v>
      </c>
      <c r="AG243" s="34">
        <v>534</v>
      </c>
      <c r="AH243" s="34">
        <v>17.82</v>
      </c>
      <c r="AI243" s="34">
        <v>1633</v>
      </c>
      <c r="AJ243" s="34">
        <v>2.347</v>
      </c>
      <c r="AK243" s="34">
        <v>1.4790000000000001</v>
      </c>
      <c r="AL243" s="34">
        <v>-0.96799999999999997</v>
      </c>
      <c r="AM243" s="34">
        <v>1.802</v>
      </c>
      <c r="AN243" s="34">
        <v>1.907</v>
      </c>
      <c r="AO243" s="34">
        <v>7.37</v>
      </c>
      <c r="AP243" s="34">
        <v>8.8000000000000007</v>
      </c>
      <c r="AQ243" s="34">
        <v>8.0399999999999991</v>
      </c>
      <c r="AR243" s="34">
        <v>1.2999999999999999E-2</v>
      </c>
      <c r="AS243" s="34">
        <v>0.248</v>
      </c>
      <c r="AT243" s="34">
        <v>0.34</v>
      </c>
      <c r="AU243" s="34">
        <v>1.7999999999999999E-2</v>
      </c>
      <c r="AV243" s="34">
        <v>6.7000000000000004E-2</v>
      </c>
      <c r="AW243" s="34">
        <v>0.17599999999999999</v>
      </c>
      <c r="AX243" s="34">
        <v>0.10100000000000001</v>
      </c>
      <c r="AY243" s="34">
        <v>3.7999999999999999E-2</v>
      </c>
      <c r="AZ243" s="34">
        <v>13.52</v>
      </c>
      <c r="BA243" s="34">
        <v>3474</v>
      </c>
      <c r="BB243" s="34">
        <v>12.87</v>
      </c>
      <c r="BC243" s="34">
        <v>2876</v>
      </c>
      <c r="BD243" s="3"/>
      <c r="BE243" s="3"/>
      <c r="BF243" s="3"/>
      <c r="BH243" s="16">
        <v>24.39</v>
      </c>
      <c r="BI243" s="16">
        <f t="shared" si="104"/>
        <v>49.267800000000001</v>
      </c>
      <c r="BJ243" s="17">
        <f t="shared" si="117"/>
        <v>24.69</v>
      </c>
      <c r="BK243" s="17">
        <f t="shared" si="118"/>
        <v>50.25</v>
      </c>
      <c r="BM243" s="1">
        <f t="shared" si="119"/>
        <v>87.7</v>
      </c>
      <c r="BN243" s="1">
        <f t="shared" si="120"/>
        <v>53.7</v>
      </c>
      <c r="BO243" s="1">
        <f t="shared" si="121"/>
        <v>17.5</v>
      </c>
      <c r="BP243" s="56">
        <f t="shared" si="146"/>
        <v>0.55000000000000004</v>
      </c>
      <c r="BQ243" s="56">
        <f t="shared" si="147"/>
        <v>2.593</v>
      </c>
      <c r="BS243" s="3">
        <v>0</v>
      </c>
      <c r="BT243" s="8"/>
      <c r="BV243" s="16">
        <f t="shared" si="105"/>
        <v>24.69</v>
      </c>
      <c r="BW243" s="16">
        <f t="shared" si="106"/>
        <v>50.25</v>
      </c>
      <c r="BX243" s="3">
        <f t="shared" si="107"/>
        <v>14.1</v>
      </c>
      <c r="BY243" s="3">
        <f t="shared" si="122"/>
        <v>13.7</v>
      </c>
      <c r="BZ243" s="3">
        <f t="shared" si="123"/>
        <v>13.2</v>
      </c>
      <c r="CA243" s="3">
        <f t="shared" si="124"/>
        <v>11.4</v>
      </c>
      <c r="CB243" s="3">
        <f t="shared" si="125"/>
        <v>10.4</v>
      </c>
      <c r="CC243" s="3">
        <f t="shared" si="126"/>
        <v>9.1999999999999993</v>
      </c>
      <c r="CD243" s="3">
        <f t="shared" si="127"/>
        <v>8.3000000000000007</v>
      </c>
      <c r="CE243" s="23">
        <f t="shared" si="128"/>
        <v>53.7</v>
      </c>
      <c r="CF243" s="1">
        <f t="shared" si="148"/>
        <v>24.9</v>
      </c>
      <c r="CG243" s="1">
        <f t="shared" si="129"/>
        <v>26.2</v>
      </c>
      <c r="CH243" s="1">
        <f t="shared" si="130"/>
        <v>27.7</v>
      </c>
      <c r="CI243" s="1">
        <f t="shared" si="131"/>
        <v>29.7</v>
      </c>
      <c r="CJ243" s="1">
        <f t="shared" si="132"/>
        <v>13.7</v>
      </c>
      <c r="CK243" s="1">
        <f t="shared" si="133"/>
        <v>9.6999999999999993</v>
      </c>
      <c r="CL243" s="1">
        <f t="shared" si="134"/>
        <v>8.6</v>
      </c>
      <c r="CM243" s="2">
        <f t="shared" si="135"/>
        <v>87.7</v>
      </c>
      <c r="CN243" s="1">
        <f t="shared" si="149"/>
        <v>3.2</v>
      </c>
      <c r="CO243" s="1">
        <f t="shared" si="136"/>
        <v>2.2999999999999998</v>
      </c>
      <c r="CP243" s="1">
        <f t="shared" si="137"/>
        <v>1.5</v>
      </c>
      <c r="CQ243" s="1">
        <f t="shared" si="138"/>
        <v>-1</v>
      </c>
      <c r="CR243" s="1">
        <f t="shared" si="139"/>
        <v>7.4</v>
      </c>
      <c r="CS243" s="1">
        <f t="shared" si="140"/>
        <v>8.8000000000000007</v>
      </c>
      <c r="CT243" s="1">
        <f t="shared" si="141"/>
        <v>8</v>
      </c>
      <c r="CU243" s="2">
        <f t="shared" si="142"/>
        <v>17.5</v>
      </c>
      <c r="CV243" s="18" t="s">
        <v>233</v>
      </c>
      <c r="CW243" s="1">
        <f>ROUND(PPTest!K243,1)</f>
        <v>0</v>
      </c>
      <c r="CX243" s="17">
        <f t="shared" si="143"/>
        <v>2.2999999999999998</v>
      </c>
      <c r="CY243" s="17">
        <f t="shared" si="144"/>
        <v>4.78</v>
      </c>
      <c r="CZ243" s="20">
        <f t="shared" si="110"/>
        <v>0.55000000000000004</v>
      </c>
      <c r="DA243" s="20">
        <f t="shared" si="111"/>
        <v>2.593</v>
      </c>
      <c r="DB243" s="16">
        <f t="shared" si="145"/>
        <v>12.87</v>
      </c>
      <c r="DD243" s="1">
        <v>21.1</v>
      </c>
      <c r="DE243" s="1">
        <v>27.4</v>
      </c>
      <c r="DF243" s="1">
        <v>14.6</v>
      </c>
      <c r="DG243" s="1">
        <v>30.8</v>
      </c>
      <c r="DH243" s="1">
        <v>20</v>
      </c>
      <c r="DZ243" s="1">
        <v>16.2</v>
      </c>
      <c r="EA243" s="1">
        <v>26.7</v>
      </c>
      <c r="EB243" s="1">
        <v>5.4</v>
      </c>
      <c r="EC243" s="1">
        <v>0</v>
      </c>
    </row>
    <row r="244" spans="1:133" x14ac:dyDescent="0.2">
      <c r="A244" s="40">
        <v>35302</v>
      </c>
      <c r="B244" s="34">
        <v>238</v>
      </c>
      <c r="C244" s="34">
        <v>24.75</v>
      </c>
      <c r="D244" s="34">
        <v>47.48</v>
      </c>
      <c r="E244" s="34">
        <v>14.39</v>
      </c>
      <c r="F244" s="34">
        <v>54.59</v>
      </c>
      <c r="G244" s="34">
        <v>14</v>
      </c>
      <c r="H244" s="34">
        <v>13.48</v>
      </c>
      <c r="I244" s="34">
        <v>11.32</v>
      </c>
      <c r="J244" s="34">
        <v>15.13</v>
      </c>
      <c r="K244" s="34">
        <v>15.52</v>
      </c>
      <c r="L244" s="34">
        <v>10.6</v>
      </c>
      <c r="M244" s="34">
        <v>9.4499999999999993</v>
      </c>
      <c r="N244" s="34">
        <v>8.3000000000000007</v>
      </c>
      <c r="O244" s="34">
        <v>0</v>
      </c>
      <c r="P244" s="41">
        <v>2.2641666666666667</v>
      </c>
      <c r="Q244" s="34">
        <v>0</v>
      </c>
      <c r="R244" s="34">
        <v>25.97</v>
      </c>
      <c r="S244" s="34">
        <v>1716</v>
      </c>
      <c r="T244" s="34">
        <v>94</v>
      </c>
      <c r="U244" s="34">
        <v>538</v>
      </c>
      <c r="V244" s="34">
        <v>26.9</v>
      </c>
      <c r="W244" s="34">
        <v>27.44</v>
      </c>
      <c r="X244" s="34">
        <v>29.49</v>
      </c>
      <c r="Y244" s="34">
        <v>31.49</v>
      </c>
      <c r="Z244" s="34">
        <v>30.91</v>
      </c>
      <c r="AA244" s="34">
        <v>13.86</v>
      </c>
      <c r="AB244" s="34">
        <v>9.94</v>
      </c>
      <c r="AC244" s="34">
        <v>8.59</v>
      </c>
      <c r="AD244" s="41">
        <v>5.0075000000000003</v>
      </c>
      <c r="AE244" s="34">
        <v>1252</v>
      </c>
      <c r="AF244" s="34">
        <v>3.419</v>
      </c>
      <c r="AG244" s="34">
        <v>450</v>
      </c>
      <c r="AH244" s="34">
        <v>12.35</v>
      </c>
      <c r="AI244" s="34">
        <v>1546</v>
      </c>
      <c r="AJ244" s="34">
        <v>2.6230000000000002</v>
      </c>
      <c r="AK244" s="34">
        <v>1.7030000000000001</v>
      </c>
      <c r="AL244" s="34">
        <v>-1.0049999999999999</v>
      </c>
      <c r="AM244" s="34">
        <v>1.9930000000000001</v>
      </c>
      <c r="AN244" s="34">
        <v>2.1669999999999998</v>
      </c>
      <c r="AO244" s="34">
        <v>7.65</v>
      </c>
      <c r="AP244" s="34">
        <v>9.0500000000000007</v>
      </c>
      <c r="AQ244" s="34">
        <v>8.08</v>
      </c>
      <c r="AR244" s="34">
        <v>1.4999999999999999E-2</v>
      </c>
      <c r="AS244" s="34">
        <v>0.26400000000000001</v>
      </c>
      <c r="AT244" s="34">
        <v>0.33100000000000002</v>
      </c>
      <c r="AU244" s="34">
        <v>0.01</v>
      </c>
      <c r="AV244" s="34">
        <v>8.3000000000000004E-2</v>
      </c>
      <c r="AW244" s="34">
        <v>0.215</v>
      </c>
      <c r="AX244" s="34">
        <v>6.8000000000000005E-2</v>
      </c>
      <c r="AY244" s="34">
        <v>1.4999999999999999E-2</v>
      </c>
      <c r="AZ244" s="34">
        <v>13.73</v>
      </c>
      <c r="BA244" s="34">
        <v>3474</v>
      </c>
      <c r="BB244" s="34">
        <v>12.88</v>
      </c>
      <c r="BC244" s="34">
        <v>2876</v>
      </c>
      <c r="BD244" s="3"/>
      <c r="BE244" s="3"/>
      <c r="BF244" s="3"/>
      <c r="BH244" s="16">
        <v>24.16</v>
      </c>
      <c r="BI244" s="16">
        <f t="shared" si="104"/>
        <v>48.803200000000004</v>
      </c>
      <c r="BJ244" s="17">
        <f t="shared" si="117"/>
        <v>24.75</v>
      </c>
      <c r="BK244" s="17">
        <f t="shared" si="118"/>
        <v>49.83</v>
      </c>
      <c r="BM244" s="1">
        <f t="shared" si="119"/>
        <v>87.9</v>
      </c>
      <c r="BN244" s="1">
        <f t="shared" si="120"/>
        <v>51.4</v>
      </c>
      <c r="BO244" s="1">
        <f t="shared" si="121"/>
        <v>12.4</v>
      </c>
      <c r="BP244" s="56">
        <f t="shared" si="146"/>
        <v>0.41599999999999998</v>
      </c>
      <c r="BQ244" s="56">
        <f t="shared" si="147"/>
        <v>2.9390000000000001</v>
      </c>
      <c r="BS244" s="3">
        <v>0</v>
      </c>
      <c r="BT244" s="8"/>
      <c r="BV244" s="16">
        <f t="shared" si="105"/>
        <v>24.75</v>
      </c>
      <c r="BW244" s="16">
        <f t="shared" si="106"/>
        <v>49.83</v>
      </c>
      <c r="BX244" s="3">
        <f t="shared" si="107"/>
        <v>14.4</v>
      </c>
      <c r="BY244" s="3">
        <f t="shared" si="122"/>
        <v>14</v>
      </c>
      <c r="BZ244" s="3">
        <f t="shared" si="123"/>
        <v>13.5</v>
      </c>
      <c r="CA244" s="3">
        <f t="shared" si="124"/>
        <v>11.3</v>
      </c>
      <c r="CB244" s="3">
        <f t="shared" si="125"/>
        <v>10.6</v>
      </c>
      <c r="CC244" s="3">
        <f t="shared" si="126"/>
        <v>9.5</v>
      </c>
      <c r="CD244" s="3">
        <f t="shared" si="127"/>
        <v>8.3000000000000007</v>
      </c>
      <c r="CE244" s="23">
        <f t="shared" si="128"/>
        <v>51.4</v>
      </c>
      <c r="CF244" s="1">
        <f t="shared" si="148"/>
        <v>26</v>
      </c>
      <c r="CG244" s="1">
        <f t="shared" si="129"/>
        <v>26.9</v>
      </c>
      <c r="CH244" s="1">
        <f t="shared" si="130"/>
        <v>27.4</v>
      </c>
      <c r="CI244" s="1">
        <f t="shared" si="131"/>
        <v>29.5</v>
      </c>
      <c r="CJ244" s="1">
        <f t="shared" si="132"/>
        <v>13.9</v>
      </c>
      <c r="CK244" s="1">
        <f t="shared" si="133"/>
        <v>9.9</v>
      </c>
      <c r="CL244" s="1">
        <f t="shared" si="134"/>
        <v>8.6</v>
      </c>
      <c r="CM244" s="2">
        <f t="shared" si="135"/>
        <v>87.9</v>
      </c>
      <c r="CN244" s="1">
        <f t="shared" si="149"/>
        <v>3.4</v>
      </c>
      <c r="CO244" s="1">
        <f t="shared" si="136"/>
        <v>2.6</v>
      </c>
      <c r="CP244" s="1">
        <f t="shared" si="137"/>
        <v>1.7</v>
      </c>
      <c r="CQ244" s="1">
        <f t="shared" si="138"/>
        <v>-1</v>
      </c>
      <c r="CR244" s="1">
        <f t="shared" si="139"/>
        <v>7.7</v>
      </c>
      <c r="CS244" s="1">
        <f t="shared" si="140"/>
        <v>9.1</v>
      </c>
      <c r="CT244" s="1">
        <f t="shared" si="141"/>
        <v>8.1</v>
      </c>
      <c r="CU244" s="2">
        <f t="shared" si="142"/>
        <v>12.4</v>
      </c>
      <c r="CV244" s="18" t="s">
        <v>233</v>
      </c>
      <c r="CW244" s="1">
        <f>ROUND(PPTest!K244,1)</f>
        <v>0</v>
      </c>
      <c r="CX244" s="17">
        <f t="shared" si="143"/>
        <v>2.2599999999999998</v>
      </c>
      <c r="CY244" s="17">
        <f t="shared" si="144"/>
        <v>5.01</v>
      </c>
      <c r="CZ244" s="20">
        <f t="shared" si="110"/>
        <v>0.41599999999999998</v>
      </c>
      <c r="DA244" s="20">
        <f t="shared" si="111"/>
        <v>2.9390000000000001</v>
      </c>
      <c r="DB244" s="16">
        <f t="shared" si="145"/>
        <v>12.88</v>
      </c>
      <c r="DD244" s="1">
        <v>21.6</v>
      </c>
      <c r="DE244" s="1">
        <v>28.5</v>
      </c>
      <c r="DF244" s="1">
        <v>16</v>
      </c>
      <c r="DG244" s="1">
        <v>27.8</v>
      </c>
      <c r="DH244" s="1">
        <v>19</v>
      </c>
      <c r="DZ244" s="1">
        <v>17.399999999999999</v>
      </c>
      <c r="EA244" s="1">
        <v>28</v>
      </c>
      <c r="EB244" s="1">
        <v>6.1</v>
      </c>
      <c r="EC244" s="1">
        <v>0</v>
      </c>
    </row>
    <row r="245" spans="1:133" x14ac:dyDescent="0.2">
      <c r="A245" s="40">
        <v>35303</v>
      </c>
      <c r="B245" s="34">
        <v>239</v>
      </c>
      <c r="C245" s="34">
        <v>22.27</v>
      </c>
      <c r="D245" s="34">
        <v>42.39</v>
      </c>
      <c r="E245" s="34">
        <v>15.77</v>
      </c>
      <c r="F245" s="34">
        <v>52.96</v>
      </c>
      <c r="G245" s="34">
        <v>15.33</v>
      </c>
      <c r="H245" s="34">
        <v>14.76</v>
      </c>
      <c r="I245" s="34">
        <v>12.67</v>
      </c>
      <c r="J245" s="34">
        <v>16.13</v>
      </c>
      <c r="K245" s="34">
        <v>16.510000000000002</v>
      </c>
      <c r="L245" s="34">
        <v>10.91</v>
      </c>
      <c r="M245" s="34">
        <v>9.6300000000000008</v>
      </c>
      <c r="N245" s="34">
        <v>8.3699999999999992</v>
      </c>
      <c r="O245" s="34">
        <v>0</v>
      </c>
      <c r="P245" s="41">
        <v>2.2108333333333334</v>
      </c>
      <c r="Q245" s="34">
        <v>0</v>
      </c>
      <c r="R245" s="34">
        <v>26.98</v>
      </c>
      <c r="S245" s="34">
        <v>1511</v>
      </c>
      <c r="T245" s="34">
        <v>84.7</v>
      </c>
      <c r="U245" s="34">
        <v>520</v>
      </c>
      <c r="V245" s="34">
        <v>27.7</v>
      </c>
      <c r="W245" s="34">
        <v>29.02</v>
      </c>
      <c r="X245" s="34">
        <v>30.19</v>
      </c>
      <c r="Y245" s="34">
        <v>31.59</v>
      </c>
      <c r="Z245" s="34">
        <v>31.83</v>
      </c>
      <c r="AA245" s="34">
        <v>14.11</v>
      </c>
      <c r="AB245" s="34">
        <v>10.130000000000001</v>
      </c>
      <c r="AC245" s="34">
        <v>8.6199999999999992</v>
      </c>
      <c r="AD245" s="41">
        <v>4.2208333333333332</v>
      </c>
      <c r="AE245" s="34">
        <v>1247</v>
      </c>
      <c r="AF245" s="34">
        <v>4.4749999999999996</v>
      </c>
      <c r="AG245" s="34">
        <v>521</v>
      </c>
      <c r="AH245" s="34">
        <v>15.92</v>
      </c>
      <c r="AI245" s="34">
        <v>1559</v>
      </c>
      <c r="AJ245" s="34">
        <v>3.6589999999999998</v>
      </c>
      <c r="AK245" s="34">
        <v>2.7959999999999998</v>
      </c>
      <c r="AL245" s="34">
        <v>0.216</v>
      </c>
      <c r="AM245" s="34">
        <v>2.86</v>
      </c>
      <c r="AN245" s="34">
        <v>3.0430000000000001</v>
      </c>
      <c r="AO245" s="34">
        <v>7.94</v>
      </c>
      <c r="AP245" s="34">
        <v>9.2100000000000009</v>
      </c>
      <c r="AQ245" s="34">
        <v>8.19</v>
      </c>
      <c r="AR245" s="34">
        <v>1.4999999999999999E-2</v>
      </c>
      <c r="AS245" s="34">
        <v>0.24199999999999999</v>
      </c>
      <c r="AT245" s="34">
        <v>0.373</v>
      </c>
      <c r="AU245" s="34">
        <v>1.2E-2</v>
      </c>
      <c r="AV245" s="34">
        <v>8.6999999999999994E-2</v>
      </c>
      <c r="AW245" s="34">
        <v>0.192</v>
      </c>
      <c r="AX245" s="34">
        <v>6.4000000000000001E-2</v>
      </c>
      <c r="AY245" s="34">
        <v>1.4999999999999999E-2</v>
      </c>
      <c r="AZ245" s="34">
        <v>14.87</v>
      </c>
      <c r="BA245" s="34">
        <v>3474</v>
      </c>
      <c r="BB245" s="34">
        <v>12.87</v>
      </c>
      <c r="BC245" s="34">
        <v>2876</v>
      </c>
      <c r="BD245" s="3"/>
      <c r="BE245" s="3"/>
      <c r="BF245" s="3"/>
      <c r="BH245" s="16">
        <v>23.92</v>
      </c>
      <c r="BI245" s="16">
        <f t="shared" si="104"/>
        <v>48.318400000000004</v>
      </c>
      <c r="BJ245" s="17">
        <f t="shared" si="117"/>
        <v>22.27</v>
      </c>
      <c r="BK245" s="17">
        <f t="shared" si="118"/>
        <v>44.48</v>
      </c>
      <c r="BM245" s="1">
        <f t="shared" si="119"/>
        <v>79.3</v>
      </c>
      <c r="BN245" s="1">
        <f t="shared" si="120"/>
        <v>49.9</v>
      </c>
      <c r="BO245" s="1">
        <f t="shared" si="121"/>
        <v>15.7</v>
      </c>
      <c r="BP245" s="56">
        <f t="shared" si="146"/>
        <v>0.55900000000000005</v>
      </c>
      <c r="BQ245" s="56">
        <f t="shared" si="147"/>
        <v>3.0019999999999998</v>
      </c>
      <c r="BS245" s="3">
        <v>0</v>
      </c>
      <c r="BT245" s="8"/>
      <c r="BV245" s="16">
        <f t="shared" si="105"/>
        <v>22.27</v>
      </c>
      <c r="BW245" s="16">
        <f t="shared" si="106"/>
        <v>44.48</v>
      </c>
      <c r="BX245" s="3">
        <f t="shared" si="107"/>
        <v>15.8</v>
      </c>
      <c r="BY245" s="3">
        <f t="shared" si="122"/>
        <v>15.3</v>
      </c>
      <c r="BZ245" s="3">
        <f t="shared" si="123"/>
        <v>14.8</v>
      </c>
      <c r="CA245" s="3">
        <f t="shared" si="124"/>
        <v>12.7</v>
      </c>
      <c r="CB245" s="3">
        <f t="shared" si="125"/>
        <v>10.9</v>
      </c>
      <c r="CC245" s="3">
        <f t="shared" si="126"/>
        <v>9.6</v>
      </c>
      <c r="CD245" s="3">
        <f t="shared" si="127"/>
        <v>8.4</v>
      </c>
      <c r="CE245" s="23">
        <f t="shared" si="128"/>
        <v>49.9</v>
      </c>
      <c r="CF245" s="1">
        <f t="shared" si="148"/>
        <v>27</v>
      </c>
      <c r="CG245" s="1">
        <f t="shared" si="129"/>
        <v>27.7</v>
      </c>
      <c r="CH245" s="1">
        <f t="shared" si="130"/>
        <v>29</v>
      </c>
      <c r="CI245" s="1">
        <f t="shared" si="131"/>
        <v>30.2</v>
      </c>
      <c r="CJ245" s="1">
        <f t="shared" si="132"/>
        <v>14.1</v>
      </c>
      <c r="CK245" s="1">
        <f t="shared" si="133"/>
        <v>10.1</v>
      </c>
      <c r="CL245" s="1">
        <f t="shared" si="134"/>
        <v>8.6</v>
      </c>
      <c r="CM245" s="2">
        <f t="shared" si="135"/>
        <v>79.3</v>
      </c>
      <c r="CN245" s="1">
        <f t="shared" si="149"/>
        <v>4.5</v>
      </c>
      <c r="CO245" s="1">
        <f t="shared" si="136"/>
        <v>3.7</v>
      </c>
      <c r="CP245" s="1">
        <f t="shared" si="137"/>
        <v>2.8</v>
      </c>
      <c r="CQ245" s="1">
        <f t="shared" si="138"/>
        <v>0.2</v>
      </c>
      <c r="CR245" s="1">
        <f t="shared" si="139"/>
        <v>7.9</v>
      </c>
      <c r="CS245" s="1">
        <f t="shared" si="140"/>
        <v>9.1999999999999993</v>
      </c>
      <c r="CT245" s="1">
        <f t="shared" si="141"/>
        <v>8.1999999999999993</v>
      </c>
      <c r="CU245" s="2">
        <f t="shared" si="142"/>
        <v>15.7</v>
      </c>
      <c r="CV245" s="18" t="s">
        <v>233</v>
      </c>
      <c r="CW245" s="1">
        <f>ROUND(PPTest!K245,1)</f>
        <v>0</v>
      </c>
      <c r="CX245" s="17">
        <f t="shared" si="143"/>
        <v>2.21</v>
      </c>
      <c r="CY245" s="17">
        <f t="shared" si="144"/>
        <v>4.22</v>
      </c>
      <c r="CZ245" s="20">
        <f t="shared" si="110"/>
        <v>0.55900000000000005</v>
      </c>
      <c r="DA245" s="20">
        <f t="shared" si="111"/>
        <v>3.0019999999999998</v>
      </c>
      <c r="DB245" s="16">
        <f t="shared" si="145"/>
        <v>12.87</v>
      </c>
      <c r="DD245" s="1">
        <v>22.6</v>
      </c>
      <c r="DE245" s="1">
        <v>30.1</v>
      </c>
      <c r="DF245" s="1">
        <v>16.399999999999999</v>
      </c>
      <c r="DG245" s="1">
        <v>26.2</v>
      </c>
      <c r="DH245" s="1">
        <v>19</v>
      </c>
      <c r="DZ245" s="1">
        <v>18.899999999999999</v>
      </c>
      <c r="EA245" s="1">
        <v>28.9</v>
      </c>
      <c r="EB245" s="1">
        <v>8.5</v>
      </c>
      <c r="EC245" s="1">
        <v>0</v>
      </c>
    </row>
    <row r="246" spans="1:133" x14ac:dyDescent="0.2">
      <c r="A246" s="40">
        <v>35304</v>
      </c>
      <c r="B246" s="34">
        <v>240</v>
      </c>
      <c r="C246" s="34">
        <v>20.170000000000002</v>
      </c>
      <c r="D246" s="34">
        <v>36.94</v>
      </c>
      <c r="E246" s="34">
        <v>17.3</v>
      </c>
      <c r="F246" s="34">
        <v>52.8</v>
      </c>
      <c r="G246" s="34">
        <v>16.670000000000002</v>
      </c>
      <c r="H246" s="34">
        <v>16.14</v>
      </c>
      <c r="I246" s="34">
        <v>13.75</v>
      </c>
      <c r="J246" s="34">
        <v>16.98</v>
      </c>
      <c r="K246" s="34">
        <v>17.47</v>
      </c>
      <c r="L246" s="34">
        <v>11.42</v>
      </c>
      <c r="M246" s="34">
        <v>9.91</v>
      </c>
      <c r="N246" s="34">
        <v>8.4499999999999993</v>
      </c>
      <c r="O246" s="34">
        <v>0</v>
      </c>
      <c r="P246" s="41">
        <v>2.3925000000000001</v>
      </c>
      <c r="Q246" s="34">
        <v>0</v>
      </c>
      <c r="R246" s="34">
        <v>27.84</v>
      </c>
      <c r="S246" s="34">
        <v>1337</v>
      </c>
      <c r="T246" s="34">
        <v>83.7</v>
      </c>
      <c r="U246" s="34">
        <v>443</v>
      </c>
      <c r="V246" s="34">
        <v>27.95</v>
      </c>
      <c r="W246" s="34">
        <v>30.41</v>
      </c>
      <c r="X246" s="34">
        <v>28.61</v>
      </c>
      <c r="Y246" s="34">
        <v>31.05</v>
      </c>
      <c r="Z246" s="34">
        <v>30.96</v>
      </c>
      <c r="AA246" s="34">
        <v>14.25</v>
      </c>
      <c r="AB246" s="34">
        <v>10.4</v>
      </c>
      <c r="AC246" s="34">
        <v>8.68</v>
      </c>
      <c r="AD246" s="41">
        <v>4.9675000000000002</v>
      </c>
      <c r="AE246" s="34">
        <v>1502</v>
      </c>
      <c r="AF246" s="34">
        <v>6.8339999999999996</v>
      </c>
      <c r="AG246" s="34">
        <v>506</v>
      </c>
      <c r="AH246" s="34">
        <v>14.78</v>
      </c>
      <c r="AI246" s="34">
        <v>1334</v>
      </c>
      <c r="AJ246" s="34">
        <v>5.8970000000000002</v>
      </c>
      <c r="AK246" s="34">
        <v>4.9009999999999998</v>
      </c>
      <c r="AL246" s="34">
        <v>1.7789999999999999</v>
      </c>
      <c r="AM246" s="34">
        <v>5.069</v>
      </c>
      <c r="AN246" s="34">
        <v>5.2990000000000004</v>
      </c>
      <c r="AO246" s="34">
        <v>8.75</v>
      </c>
      <c r="AP246" s="34">
        <v>9.51</v>
      </c>
      <c r="AQ246" s="34">
        <v>8.32</v>
      </c>
      <c r="AR246" s="34">
        <v>0.14599999999999999</v>
      </c>
      <c r="AS246" s="34">
        <v>0.498</v>
      </c>
      <c r="AT246" s="34">
        <v>0.32700000000000001</v>
      </c>
      <c r="AU246" s="34">
        <v>6.0000000000000001E-3</v>
      </c>
      <c r="AV246" s="34">
        <v>2E-3</v>
      </c>
      <c r="AW246" s="34">
        <v>1E-3</v>
      </c>
      <c r="AX246" s="34">
        <v>0</v>
      </c>
      <c r="AY246" s="34">
        <v>0.02</v>
      </c>
      <c r="AZ246" s="34">
        <v>15.82</v>
      </c>
      <c r="BA246" s="34">
        <v>3474</v>
      </c>
      <c r="BB246" s="34">
        <v>12.88</v>
      </c>
      <c r="BC246" s="34">
        <v>2876</v>
      </c>
      <c r="BD246" s="3"/>
      <c r="BE246" s="3"/>
      <c r="BF246" s="3"/>
      <c r="BH246" s="16">
        <v>23.67</v>
      </c>
      <c r="BI246" s="16">
        <f t="shared" si="104"/>
        <v>47.813400000000001</v>
      </c>
      <c r="BJ246" s="17">
        <f t="shared" si="117"/>
        <v>20.170000000000002</v>
      </c>
      <c r="BK246" s="17">
        <f t="shared" si="118"/>
        <v>38.770000000000003</v>
      </c>
      <c r="BM246" s="1">
        <f t="shared" si="119"/>
        <v>78.3</v>
      </c>
      <c r="BN246" s="1">
        <f t="shared" si="120"/>
        <v>49.8</v>
      </c>
      <c r="BO246" s="1">
        <f t="shared" si="121"/>
        <v>14.7</v>
      </c>
      <c r="BP246" s="56">
        <f t="shared" si="146"/>
        <v>0.55000000000000004</v>
      </c>
      <c r="BQ246" s="56">
        <f t="shared" si="147"/>
        <v>3.1909999999999998</v>
      </c>
      <c r="BS246" s="3">
        <v>0</v>
      </c>
      <c r="BT246" s="8"/>
      <c r="BV246" s="16">
        <f t="shared" si="105"/>
        <v>20.170000000000002</v>
      </c>
      <c r="BW246" s="16">
        <f t="shared" si="106"/>
        <v>38.770000000000003</v>
      </c>
      <c r="BX246" s="3">
        <f t="shared" si="107"/>
        <v>17.3</v>
      </c>
      <c r="BY246" s="3">
        <f t="shared" si="122"/>
        <v>16.7</v>
      </c>
      <c r="BZ246" s="3">
        <f t="shared" si="123"/>
        <v>16.100000000000001</v>
      </c>
      <c r="CA246" s="3">
        <f t="shared" si="124"/>
        <v>13.8</v>
      </c>
      <c r="CB246" s="3">
        <f t="shared" si="125"/>
        <v>11.4</v>
      </c>
      <c r="CC246" s="3">
        <f t="shared" si="126"/>
        <v>9.9</v>
      </c>
      <c r="CD246" s="3">
        <f t="shared" si="127"/>
        <v>8.5</v>
      </c>
      <c r="CE246" s="23">
        <f t="shared" si="128"/>
        <v>49.8</v>
      </c>
      <c r="CF246" s="1">
        <f t="shared" si="148"/>
        <v>27.8</v>
      </c>
      <c r="CG246" s="1">
        <f t="shared" si="129"/>
        <v>28</v>
      </c>
      <c r="CH246" s="1">
        <f t="shared" si="130"/>
        <v>30.4</v>
      </c>
      <c r="CI246" s="1">
        <f t="shared" si="131"/>
        <v>28.6</v>
      </c>
      <c r="CJ246" s="1">
        <f t="shared" si="132"/>
        <v>14.3</v>
      </c>
      <c r="CK246" s="1">
        <f t="shared" si="133"/>
        <v>10.4</v>
      </c>
      <c r="CL246" s="1">
        <f t="shared" si="134"/>
        <v>8.6999999999999993</v>
      </c>
      <c r="CM246" s="2">
        <f t="shared" si="135"/>
        <v>78.3</v>
      </c>
      <c r="CN246" s="1">
        <f t="shared" si="149"/>
        <v>6.8</v>
      </c>
      <c r="CO246" s="1">
        <f t="shared" si="136"/>
        <v>5.9</v>
      </c>
      <c r="CP246" s="1">
        <f t="shared" si="137"/>
        <v>4.9000000000000004</v>
      </c>
      <c r="CQ246" s="1">
        <f t="shared" si="138"/>
        <v>1.8</v>
      </c>
      <c r="CR246" s="1">
        <f t="shared" si="139"/>
        <v>8.8000000000000007</v>
      </c>
      <c r="CS246" s="1">
        <f t="shared" si="140"/>
        <v>9.5</v>
      </c>
      <c r="CT246" s="1">
        <f t="shared" si="141"/>
        <v>8.3000000000000007</v>
      </c>
      <c r="CU246" s="2">
        <f t="shared" si="142"/>
        <v>14.7</v>
      </c>
      <c r="CV246" s="18" t="s">
        <v>233</v>
      </c>
      <c r="CW246" s="1">
        <f>ROUND(PPTest!K246,1)</f>
        <v>0</v>
      </c>
      <c r="CX246" s="17">
        <f t="shared" si="143"/>
        <v>2.39</v>
      </c>
      <c r="CY246" s="17">
        <f t="shared" si="144"/>
        <v>4.97</v>
      </c>
      <c r="CZ246" s="20">
        <f t="shared" si="110"/>
        <v>0.55000000000000004</v>
      </c>
      <c r="DA246" s="20">
        <f t="shared" si="111"/>
        <v>3.1909999999999998</v>
      </c>
      <c r="DB246" s="16">
        <f t="shared" si="145"/>
        <v>12.88</v>
      </c>
      <c r="DD246" s="1">
        <v>23.8</v>
      </c>
      <c r="DE246" s="1">
        <v>30.1</v>
      </c>
      <c r="DF246" s="1">
        <v>19.2</v>
      </c>
      <c r="DG246" s="1">
        <v>26.9</v>
      </c>
      <c r="DH246" s="1">
        <v>21</v>
      </c>
      <c r="DZ246" s="1">
        <v>19.2</v>
      </c>
      <c r="EA246" s="1">
        <v>27.2</v>
      </c>
      <c r="EB246" s="1">
        <v>11</v>
      </c>
      <c r="EC246" s="1">
        <v>0</v>
      </c>
    </row>
    <row r="247" spans="1:133" x14ac:dyDescent="0.2">
      <c r="A247" s="40">
        <v>35305</v>
      </c>
      <c r="B247" s="34">
        <v>241</v>
      </c>
      <c r="C247" s="34">
        <v>19.79</v>
      </c>
      <c r="D247" s="34">
        <v>38.51</v>
      </c>
      <c r="E247" s="34">
        <v>15.99</v>
      </c>
      <c r="F247" s="34">
        <v>68.099999999999994</v>
      </c>
      <c r="G247" s="34">
        <v>15.76</v>
      </c>
      <c r="H247" s="34">
        <v>15.44</v>
      </c>
      <c r="I247" s="34">
        <v>14.98</v>
      </c>
      <c r="J247" s="34">
        <v>16.63</v>
      </c>
      <c r="K247" s="34">
        <v>16.760000000000002</v>
      </c>
      <c r="L247" s="34">
        <v>11.98</v>
      </c>
      <c r="M247" s="34">
        <v>10.25</v>
      </c>
      <c r="N247" s="34">
        <v>8.57</v>
      </c>
      <c r="O247" s="34">
        <v>1E-3</v>
      </c>
      <c r="P247" s="41">
        <v>1.9308333333333334</v>
      </c>
      <c r="Q247" s="34">
        <v>0</v>
      </c>
      <c r="R247" s="34">
        <v>22.35</v>
      </c>
      <c r="S247" s="34">
        <v>1351</v>
      </c>
      <c r="T247" s="34">
        <v>90.8</v>
      </c>
      <c r="U247" s="34">
        <v>2345</v>
      </c>
      <c r="V247" s="34">
        <v>23.12</v>
      </c>
      <c r="W247" s="34">
        <v>25.32</v>
      </c>
      <c r="X247" s="34">
        <v>27.56</v>
      </c>
      <c r="Y247" s="34">
        <v>27.33</v>
      </c>
      <c r="Z247" s="34">
        <v>26.3</v>
      </c>
      <c r="AA247" s="34">
        <v>14.46</v>
      </c>
      <c r="AB247" s="34">
        <v>10.71</v>
      </c>
      <c r="AC247" s="34">
        <v>8.74</v>
      </c>
      <c r="AD247" s="41">
        <v>4.7275</v>
      </c>
      <c r="AE247" s="34">
        <v>1608</v>
      </c>
      <c r="AF247" s="34">
        <v>7.98</v>
      </c>
      <c r="AG247" s="34">
        <v>530</v>
      </c>
      <c r="AH247" s="34">
        <v>40.89</v>
      </c>
      <c r="AI247" s="34">
        <v>1004</v>
      </c>
      <c r="AJ247" s="34">
        <v>7.18</v>
      </c>
      <c r="AK247" s="34">
        <v>6.5220000000000002</v>
      </c>
      <c r="AL247" s="34">
        <v>3.4569999999999999</v>
      </c>
      <c r="AM247" s="34">
        <v>6.86</v>
      </c>
      <c r="AN247" s="34">
        <v>7.04</v>
      </c>
      <c r="AO247" s="34">
        <v>9.61</v>
      </c>
      <c r="AP247" s="34">
        <v>9.86</v>
      </c>
      <c r="AQ247" s="34">
        <v>8.4600000000000009</v>
      </c>
      <c r="AR247" s="34">
        <v>1.2999999999999999E-2</v>
      </c>
      <c r="AS247" s="34">
        <v>0.27700000000000002</v>
      </c>
      <c r="AT247" s="34">
        <v>0.28100000000000003</v>
      </c>
      <c r="AU247" s="34">
        <v>1.2E-2</v>
      </c>
      <c r="AV247" s="34">
        <v>8.5999999999999993E-2</v>
      </c>
      <c r="AW247" s="34">
        <v>0.21</v>
      </c>
      <c r="AX247" s="34">
        <v>8.5000000000000006E-2</v>
      </c>
      <c r="AY247" s="34">
        <v>3.5000000000000003E-2</v>
      </c>
      <c r="AZ247" s="34">
        <v>15.96</v>
      </c>
      <c r="BA247" s="34">
        <v>3474</v>
      </c>
      <c r="BB247" s="34">
        <v>12.86</v>
      </c>
      <c r="BC247" s="34">
        <v>2876</v>
      </c>
      <c r="BD247" s="3"/>
      <c r="BE247" s="3"/>
      <c r="BF247" s="3"/>
      <c r="BH247" s="16">
        <v>23.43</v>
      </c>
      <c r="BI247" s="16">
        <f t="shared" si="104"/>
        <v>47.328600000000002</v>
      </c>
      <c r="BJ247" s="17">
        <f t="shared" si="117"/>
        <v>19.79</v>
      </c>
      <c r="BK247" s="17">
        <f t="shared" si="118"/>
        <v>40.409999999999997</v>
      </c>
      <c r="BM247" s="1">
        <f t="shared" si="119"/>
        <v>84.9</v>
      </c>
      <c r="BN247" s="1">
        <f t="shared" si="120"/>
        <v>63.9</v>
      </c>
      <c r="BO247" s="1">
        <f t="shared" si="121"/>
        <v>38.799999999999997</v>
      </c>
      <c r="BP247" s="56">
        <f t="shared" si="146"/>
        <v>1.048</v>
      </c>
      <c r="BQ247" s="56">
        <f t="shared" si="147"/>
        <v>1.653</v>
      </c>
      <c r="BS247" s="3">
        <v>0</v>
      </c>
      <c r="BT247" s="8"/>
      <c r="BV247" s="16">
        <f t="shared" si="105"/>
        <v>19.79</v>
      </c>
      <c r="BW247" s="16">
        <f t="shared" si="106"/>
        <v>40.409999999999997</v>
      </c>
      <c r="BX247" s="3">
        <f t="shared" si="107"/>
        <v>16</v>
      </c>
      <c r="BY247" s="3">
        <f t="shared" si="122"/>
        <v>15.8</v>
      </c>
      <c r="BZ247" s="3">
        <f t="shared" si="123"/>
        <v>15.4</v>
      </c>
      <c r="CA247" s="3">
        <f t="shared" si="124"/>
        <v>15</v>
      </c>
      <c r="CB247" s="3">
        <f t="shared" si="125"/>
        <v>12</v>
      </c>
      <c r="CC247" s="3">
        <f t="shared" si="126"/>
        <v>10.3</v>
      </c>
      <c r="CD247" s="3">
        <f t="shared" si="127"/>
        <v>8.6</v>
      </c>
      <c r="CE247" s="23">
        <f t="shared" si="128"/>
        <v>63.9</v>
      </c>
      <c r="CF247" s="1">
        <f t="shared" si="148"/>
        <v>22.4</v>
      </c>
      <c r="CG247" s="1">
        <f t="shared" si="129"/>
        <v>23.1</v>
      </c>
      <c r="CH247" s="1">
        <f t="shared" si="130"/>
        <v>25.3</v>
      </c>
      <c r="CI247" s="1">
        <f t="shared" si="131"/>
        <v>27.6</v>
      </c>
      <c r="CJ247" s="1">
        <f t="shared" si="132"/>
        <v>14.5</v>
      </c>
      <c r="CK247" s="1">
        <f t="shared" si="133"/>
        <v>10.7</v>
      </c>
      <c r="CL247" s="1">
        <f t="shared" si="134"/>
        <v>8.6999999999999993</v>
      </c>
      <c r="CM247" s="2">
        <f t="shared" si="135"/>
        <v>84.9</v>
      </c>
      <c r="CN247" s="1">
        <f t="shared" si="149"/>
        <v>8</v>
      </c>
      <c r="CO247" s="1">
        <f t="shared" si="136"/>
        <v>7.2</v>
      </c>
      <c r="CP247" s="1">
        <f t="shared" si="137"/>
        <v>6.5</v>
      </c>
      <c r="CQ247" s="1">
        <f t="shared" si="138"/>
        <v>3.5</v>
      </c>
      <c r="CR247" s="1">
        <f t="shared" si="139"/>
        <v>9.6</v>
      </c>
      <c r="CS247" s="1">
        <f t="shared" si="140"/>
        <v>9.9</v>
      </c>
      <c r="CT247" s="1">
        <f t="shared" si="141"/>
        <v>8.5</v>
      </c>
      <c r="CU247" s="2">
        <f t="shared" si="142"/>
        <v>38.799999999999997</v>
      </c>
      <c r="CV247" s="18" t="s">
        <v>233</v>
      </c>
      <c r="CW247" s="1">
        <f>ROUND(PPTest!K247,1)</f>
        <v>0</v>
      </c>
      <c r="CX247" s="17">
        <f t="shared" si="143"/>
        <v>1.93</v>
      </c>
      <c r="CY247" s="17">
        <f t="shared" si="144"/>
        <v>4.7300000000000004</v>
      </c>
      <c r="CZ247" s="20">
        <f t="shared" si="110"/>
        <v>1.048</v>
      </c>
      <c r="DA247" s="20">
        <f t="shared" si="111"/>
        <v>1.653</v>
      </c>
      <c r="DB247" s="16">
        <f t="shared" si="145"/>
        <v>12.86</v>
      </c>
      <c r="DD247" s="1">
        <v>21.5</v>
      </c>
      <c r="DE247" s="1">
        <v>25.7</v>
      </c>
      <c r="DF247" s="1">
        <v>17.3</v>
      </c>
      <c r="DG247" s="1">
        <v>43.7</v>
      </c>
      <c r="DH247" s="1">
        <v>34</v>
      </c>
      <c r="DZ247" s="1">
        <v>15.7</v>
      </c>
      <c r="EA247" s="1">
        <v>21.4</v>
      </c>
      <c r="EB247" s="1">
        <v>10</v>
      </c>
      <c r="EC247" s="1">
        <v>0</v>
      </c>
    </row>
    <row r="248" spans="1:133" x14ac:dyDescent="0.2">
      <c r="A248" s="40">
        <v>35306</v>
      </c>
      <c r="B248" s="34">
        <v>242</v>
      </c>
      <c r="C248" s="34">
        <v>20.61</v>
      </c>
      <c r="D248" s="34">
        <v>41.1</v>
      </c>
      <c r="E248" s="34">
        <v>15.23</v>
      </c>
      <c r="F248" s="34">
        <v>73.900000000000006</v>
      </c>
      <c r="G248" s="34">
        <v>15</v>
      </c>
      <c r="H248" s="34">
        <v>14.65</v>
      </c>
      <c r="I248" s="34">
        <v>13.79</v>
      </c>
      <c r="J248" s="34">
        <v>16.02</v>
      </c>
      <c r="K248" s="34">
        <v>16.34</v>
      </c>
      <c r="L248" s="34">
        <v>12.3</v>
      </c>
      <c r="M248" s="34">
        <v>10.54</v>
      </c>
      <c r="N248" s="34">
        <v>8.68</v>
      </c>
      <c r="O248" s="34">
        <v>1E-3</v>
      </c>
      <c r="P248" s="41">
        <v>1.8825000000000001</v>
      </c>
      <c r="Q248" s="34">
        <v>0</v>
      </c>
      <c r="R248" s="34">
        <v>23.46</v>
      </c>
      <c r="S248" s="34">
        <v>1709</v>
      </c>
      <c r="T248" s="34">
        <v>99.5</v>
      </c>
      <c r="U248" s="34">
        <v>554</v>
      </c>
      <c r="V248" s="34">
        <v>24.36</v>
      </c>
      <c r="W248" s="34">
        <v>25.86</v>
      </c>
      <c r="X248" s="34">
        <v>27.54</v>
      </c>
      <c r="Y248" s="34">
        <v>29.14</v>
      </c>
      <c r="Z248" s="34">
        <v>28.76</v>
      </c>
      <c r="AA248" s="34">
        <v>15.04</v>
      </c>
      <c r="AB248" s="34">
        <v>10.96</v>
      </c>
      <c r="AC248" s="34">
        <v>8.89</v>
      </c>
      <c r="AD248" s="41">
        <v>4.2874999999999996</v>
      </c>
      <c r="AE248" s="34">
        <v>1154</v>
      </c>
      <c r="AF248" s="34">
        <v>7.89</v>
      </c>
      <c r="AG248" s="34">
        <v>551</v>
      </c>
      <c r="AH248" s="34">
        <v>40.659999999999997</v>
      </c>
      <c r="AI248" s="34">
        <v>1737</v>
      </c>
      <c r="AJ248" s="34">
        <v>7.2</v>
      </c>
      <c r="AK248" s="34">
        <v>6.6109999999999998</v>
      </c>
      <c r="AL248" s="34">
        <v>3.613</v>
      </c>
      <c r="AM248" s="34">
        <v>6.9720000000000004</v>
      </c>
      <c r="AN248" s="34">
        <v>7.11</v>
      </c>
      <c r="AO248" s="34">
        <v>9.98</v>
      </c>
      <c r="AP248" s="34">
        <v>10.17</v>
      </c>
      <c r="AQ248" s="34">
        <v>8.5299999999999994</v>
      </c>
      <c r="AR248" s="34">
        <v>8.8999999999999996E-2</v>
      </c>
      <c r="AS248" s="34">
        <v>0.35199999999999998</v>
      </c>
      <c r="AT248" s="34">
        <v>0.27600000000000002</v>
      </c>
      <c r="AU248" s="34">
        <v>4.1000000000000002E-2</v>
      </c>
      <c r="AV248" s="34">
        <v>6.5000000000000002E-2</v>
      </c>
      <c r="AW248" s="34">
        <v>8.8999999999999996E-2</v>
      </c>
      <c r="AX248" s="34">
        <v>3.9E-2</v>
      </c>
      <c r="AY248" s="34">
        <v>4.9000000000000002E-2</v>
      </c>
      <c r="AZ248" s="34">
        <v>15.42</v>
      </c>
      <c r="BA248" s="34">
        <v>3474</v>
      </c>
      <c r="BB248" s="34">
        <v>12.88</v>
      </c>
      <c r="BC248" s="34">
        <v>2876</v>
      </c>
      <c r="BD248" s="3"/>
      <c r="BE248" s="3"/>
      <c r="BF248" s="3"/>
      <c r="BH248" s="16">
        <v>23.19</v>
      </c>
      <c r="BI248" s="16">
        <f t="shared" si="104"/>
        <v>46.843800000000002</v>
      </c>
      <c r="BJ248" s="17">
        <f t="shared" si="117"/>
        <v>20.61</v>
      </c>
      <c r="BK248" s="17">
        <f t="shared" si="118"/>
        <v>43.13</v>
      </c>
      <c r="BM248" s="1">
        <f t="shared" si="119"/>
        <v>92.9</v>
      </c>
      <c r="BN248" s="1">
        <f t="shared" si="120"/>
        <v>69.3</v>
      </c>
      <c r="BO248" s="1">
        <f t="shared" si="121"/>
        <v>38.6</v>
      </c>
      <c r="BP248" s="56">
        <f t="shared" si="146"/>
        <v>1.115</v>
      </c>
      <c r="BQ248" s="56">
        <f t="shared" si="147"/>
        <v>1.774</v>
      </c>
      <c r="BS248" s="3">
        <v>0</v>
      </c>
      <c r="BT248" s="8"/>
      <c r="BV248" s="16">
        <f t="shared" si="105"/>
        <v>20.61</v>
      </c>
      <c r="BW248" s="16">
        <f t="shared" si="106"/>
        <v>43.13</v>
      </c>
      <c r="BX248" s="3">
        <f t="shared" si="107"/>
        <v>15.2</v>
      </c>
      <c r="BY248" s="3">
        <f t="shared" si="122"/>
        <v>15</v>
      </c>
      <c r="BZ248" s="3">
        <f t="shared" si="123"/>
        <v>14.7</v>
      </c>
      <c r="CA248" s="3">
        <f t="shared" si="124"/>
        <v>13.8</v>
      </c>
      <c r="CB248" s="3">
        <f t="shared" si="125"/>
        <v>12.3</v>
      </c>
      <c r="CC248" s="3">
        <f t="shared" si="126"/>
        <v>10.5</v>
      </c>
      <c r="CD248" s="3">
        <f t="shared" si="127"/>
        <v>8.6999999999999993</v>
      </c>
      <c r="CE248" s="23">
        <f t="shared" si="128"/>
        <v>69.3</v>
      </c>
      <c r="CF248" s="1">
        <f t="shared" si="148"/>
        <v>23.5</v>
      </c>
      <c r="CG248" s="1">
        <f t="shared" si="129"/>
        <v>24.4</v>
      </c>
      <c r="CH248" s="1">
        <f t="shared" si="130"/>
        <v>25.9</v>
      </c>
      <c r="CI248" s="1">
        <f t="shared" si="131"/>
        <v>27.5</v>
      </c>
      <c r="CJ248" s="1">
        <f t="shared" si="132"/>
        <v>15</v>
      </c>
      <c r="CK248" s="1">
        <f t="shared" si="133"/>
        <v>11</v>
      </c>
      <c r="CL248" s="1">
        <f t="shared" si="134"/>
        <v>8.9</v>
      </c>
      <c r="CM248" s="2">
        <f t="shared" si="135"/>
        <v>92.9</v>
      </c>
      <c r="CN248" s="1">
        <f t="shared" si="149"/>
        <v>7.9</v>
      </c>
      <c r="CO248" s="1">
        <f t="shared" si="136"/>
        <v>7.2</v>
      </c>
      <c r="CP248" s="1">
        <f t="shared" si="137"/>
        <v>6.6</v>
      </c>
      <c r="CQ248" s="1">
        <f t="shared" si="138"/>
        <v>3.6</v>
      </c>
      <c r="CR248" s="1">
        <f t="shared" si="139"/>
        <v>10</v>
      </c>
      <c r="CS248" s="1">
        <f t="shared" si="140"/>
        <v>10.199999999999999</v>
      </c>
      <c r="CT248" s="1">
        <f t="shared" si="141"/>
        <v>8.5</v>
      </c>
      <c r="CU248" s="2">
        <f t="shared" si="142"/>
        <v>38.6</v>
      </c>
      <c r="CV248" s="18" t="s">
        <v>233</v>
      </c>
      <c r="CW248" s="1">
        <f>ROUND(PPTest!K248,1)</f>
        <v>0</v>
      </c>
      <c r="CX248" s="17">
        <f t="shared" si="143"/>
        <v>1.88</v>
      </c>
      <c r="CY248" s="17">
        <f t="shared" si="144"/>
        <v>4.29</v>
      </c>
      <c r="CZ248" s="20">
        <f t="shared" si="110"/>
        <v>1.115</v>
      </c>
      <c r="DA248" s="20">
        <f t="shared" si="111"/>
        <v>1.774</v>
      </c>
      <c r="DB248" s="16">
        <f t="shared" si="145"/>
        <v>12.88</v>
      </c>
      <c r="DD248" s="1">
        <v>20.5</v>
      </c>
      <c r="DE248" s="1">
        <v>25.5</v>
      </c>
      <c r="DF248" s="1">
        <v>15.9</v>
      </c>
      <c r="DG248" s="1">
        <v>52.8</v>
      </c>
      <c r="DH248" s="1">
        <v>37</v>
      </c>
      <c r="DZ248" s="1">
        <v>16.2</v>
      </c>
      <c r="EA248" s="1">
        <v>24.9</v>
      </c>
      <c r="EB248" s="1">
        <v>8</v>
      </c>
      <c r="EC248" s="1">
        <v>0</v>
      </c>
    </row>
    <row r="249" spans="1:133" x14ac:dyDescent="0.2">
      <c r="A249" s="40">
        <v>35307</v>
      </c>
      <c r="B249" s="34">
        <v>243</v>
      </c>
      <c r="C249" s="34">
        <v>11.4</v>
      </c>
      <c r="D249" s="34">
        <v>22.88</v>
      </c>
      <c r="E249" s="34">
        <v>12.88</v>
      </c>
      <c r="F249" s="34">
        <v>79.099999999999994</v>
      </c>
      <c r="G249" s="34">
        <v>12.45</v>
      </c>
      <c r="H249" s="34">
        <v>11.81</v>
      </c>
      <c r="I249" s="34">
        <v>9.74</v>
      </c>
      <c r="J249" s="34">
        <v>11.93</v>
      </c>
      <c r="K249" s="34">
        <v>12.63</v>
      </c>
      <c r="L249" s="34">
        <v>10.93</v>
      </c>
      <c r="M249" s="34">
        <v>10.52</v>
      </c>
      <c r="N249" s="34">
        <v>8.82</v>
      </c>
      <c r="O249" s="34">
        <v>1E-3</v>
      </c>
      <c r="P249" s="41">
        <v>1.9708333333333334</v>
      </c>
      <c r="Q249" s="34">
        <v>13</v>
      </c>
      <c r="R249" s="34">
        <v>23</v>
      </c>
      <c r="S249" s="34">
        <v>1026</v>
      </c>
      <c r="T249" s="34">
        <v>105.4</v>
      </c>
      <c r="U249" s="34">
        <v>2231</v>
      </c>
      <c r="V249" s="34">
        <v>23.39</v>
      </c>
      <c r="W249" s="34">
        <v>25.26</v>
      </c>
      <c r="X249" s="34">
        <v>27.52</v>
      </c>
      <c r="Y249" s="34">
        <v>26.5</v>
      </c>
      <c r="Z249" s="34">
        <v>26.72</v>
      </c>
      <c r="AA249" s="34">
        <v>12.57</v>
      </c>
      <c r="AB249" s="34">
        <v>10.91</v>
      </c>
      <c r="AC249" s="34">
        <v>9.01</v>
      </c>
      <c r="AD249" s="41">
        <v>6.394166666666667</v>
      </c>
      <c r="AE249" s="34">
        <v>1310</v>
      </c>
      <c r="AF249" s="34">
        <v>4.5030000000000001</v>
      </c>
      <c r="AG249" s="34">
        <v>2155</v>
      </c>
      <c r="AH249" s="34">
        <v>36.68</v>
      </c>
      <c r="AI249" s="34">
        <v>1002</v>
      </c>
      <c r="AJ249" s="34">
        <v>3.8420000000000001</v>
      </c>
      <c r="AK249" s="34">
        <v>2.96</v>
      </c>
      <c r="AL249" s="34">
        <v>0.59499999999999997</v>
      </c>
      <c r="AM249" s="34">
        <v>3.387</v>
      </c>
      <c r="AN249" s="34">
        <v>3.605</v>
      </c>
      <c r="AO249" s="34">
        <v>9.31</v>
      </c>
      <c r="AP249" s="34">
        <v>10.19</v>
      </c>
      <c r="AQ249" s="34">
        <v>8.68</v>
      </c>
      <c r="AR249" s="34">
        <v>0.122</v>
      </c>
      <c r="AS249" s="34">
        <v>0.30599999999999999</v>
      </c>
      <c r="AT249" s="34">
        <v>0.20799999999999999</v>
      </c>
      <c r="AU249" s="34">
        <v>6.3E-2</v>
      </c>
      <c r="AV249" s="34">
        <v>6.8000000000000005E-2</v>
      </c>
      <c r="AW249" s="34">
        <v>0.14099999999999999</v>
      </c>
      <c r="AX249" s="34">
        <v>6.0999999999999999E-2</v>
      </c>
      <c r="AY249" s="34">
        <v>3.2000000000000001E-2</v>
      </c>
      <c r="AZ249" s="34">
        <v>11.24</v>
      </c>
      <c r="BA249" s="34">
        <v>3474</v>
      </c>
      <c r="BB249" s="34">
        <v>13.04</v>
      </c>
      <c r="BC249" s="34">
        <v>2876</v>
      </c>
      <c r="BD249" s="3"/>
      <c r="BE249" s="3"/>
      <c r="BF249" s="3"/>
      <c r="BH249" s="16">
        <v>22.94</v>
      </c>
      <c r="BI249" s="16">
        <f t="shared" si="104"/>
        <v>46.338800000000006</v>
      </c>
      <c r="BJ249" s="17">
        <f t="shared" si="117"/>
        <v>11.4</v>
      </c>
      <c r="BK249" s="17">
        <f t="shared" si="118"/>
        <v>24.01</v>
      </c>
      <c r="BM249" s="1">
        <f t="shared" si="119"/>
        <v>98.4</v>
      </c>
      <c r="BN249" s="1">
        <f t="shared" si="120"/>
        <v>74.099999999999994</v>
      </c>
      <c r="BO249" s="1">
        <f t="shared" si="121"/>
        <v>34.9</v>
      </c>
      <c r="BP249" s="56">
        <f t="shared" si="146"/>
        <v>0.98</v>
      </c>
      <c r="BQ249" s="56">
        <f t="shared" si="147"/>
        <v>1.8280000000000001</v>
      </c>
      <c r="BS249" s="3">
        <v>9.9</v>
      </c>
      <c r="BT249" s="8"/>
      <c r="BV249" s="16">
        <f t="shared" si="105"/>
        <v>11.4</v>
      </c>
      <c r="BW249" s="16">
        <f t="shared" si="106"/>
        <v>24.01</v>
      </c>
      <c r="BX249" s="3">
        <f t="shared" si="107"/>
        <v>12.9</v>
      </c>
      <c r="BY249" s="3">
        <f t="shared" si="122"/>
        <v>12.5</v>
      </c>
      <c r="BZ249" s="3">
        <f t="shared" si="123"/>
        <v>11.8</v>
      </c>
      <c r="CA249" s="3">
        <f t="shared" si="124"/>
        <v>9.6999999999999993</v>
      </c>
      <c r="CB249" s="3">
        <f t="shared" si="125"/>
        <v>10.9</v>
      </c>
      <c r="CC249" s="3">
        <f t="shared" si="126"/>
        <v>10.5</v>
      </c>
      <c r="CD249" s="3">
        <f t="shared" si="127"/>
        <v>8.8000000000000007</v>
      </c>
      <c r="CE249" s="23">
        <f t="shared" si="128"/>
        <v>74.099999999999994</v>
      </c>
      <c r="CF249" s="1">
        <f t="shared" si="148"/>
        <v>23</v>
      </c>
      <c r="CG249" s="1">
        <f t="shared" si="129"/>
        <v>23.4</v>
      </c>
      <c r="CH249" s="1">
        <f t="shared" si="130"/>
        <v>25.3</v>
      </c>
      <c r="CI249" s="1">
        <f t="shared" si="131"/>
        <v>27.5</v>
      </c>
      <c r="CJ249" s="1">
        <f t="shared" si="132"/>
        <v>12.6</v>
      </c>
      <c r="CK249" s="1">
        <f t="shared" si="133"/>
        <v>10.9</v>
      </c>
      <c r="CL249" s="1">
        <f t="shared" si="134"/>
        <v>9</v>
      </c>
      <c r="CM249" s="2">
        <f t="shared" si="135"/>
        <v>98.4</v>
      </c>
      <c r="CN249" s="1">
        <f t="shared" si="149"/>
        <v>4.5</v>
      </c>
      <c r="CO249" s="1">
        <f t="shared" si="136"/>
        <v>3.8</v>
      </c>
      <c r="CP249" s="1">
        <f t="shared" si="137"/>
        <v>3</v>
      </c>
      <c r="CQ249" s="1">
        <f t="shared" si="138"/>
        <v>0.6</v>
      </c>
      <c r="CR249" s="1">
        <f t="shared" si="139"/>
        <v>9.3000000000000007</v>
      </c>
      <c r="CS249" s="1">
        <f t="shared" si="140"/>
        <v>10.199999999999999</v>
      </c>
      <c r="CT249" s="1">
        <f t="shared" si="141"/>
        <v>8.6999999999999993</v>
      </c>
      <c r="CU249" s="2">
        <f t="shared" si="142"/>
        <v>34.9</v>
      </c>
      <c r="CV249" s="18" t="s">
        <v>233</v>
      </c>
      <c r="CW249" s="1">
        <f>ROUND(PPTest!K249,1)</f>
        <v>13</v>
      </c>
      <c r="CX249" s="17">
        <f t="shared" si="143"/>
        <v>1.97</v>
      </c>
      <c r="CY249" s="17">
        <f t="shared" si="144"/>
        <v>6.39</v>
      </c>
      <c r="CZ249" s="20">
        <f t="shared" si="110"/>
        <v>0.98</v>
      </c>
      <c r="DA249" s="20">
        <f t="shared" si="111"/>
        <v>1.8280000000000001</v>
      </c>
      <c r="DB249" s="16">
        <f t="shared" si="145"/>
        <v>13.04</v>
      </c>
      <c r="DD249" s="1">
        <v>16.5</v>
      </c>
      <c r="DE249" s="1">
        <v>24.9</v>
      </c>
      <c r="DF249" s="1">
        <v>10.4</v>
      </c>
      <c r="DG249" s="1">
        <v>65.900000000000006</v>
      </c>
      <c r="DH249" s="1">
        <v>39</v>
      </c>
      <c r="DZ249" s="1">
        <v>14.1</v>
      </c>
      <c r="EA249" s="1">
        <v>20.6</v>
      </c>
      <c r="EB249" s="1">
        <v>8.1</v>
      </c>
      <c r="EC249" s="1">
        <v>1</v>
      </c>
    </row>
    <row r="250" spans="1:133" x14ac:dyDescent="0.2">
      <c r="A250" s="40">
        <v>35308</v>
      </c>
      <c r="B250" s="34">
        <v>244</v>
      </c>
      <c r="C250" s="34">
        <v>7.58</v>
      </c>
      <c r="D250" s="34">
        <v>15.61</v>
      </c>
      <c r="E250" s="34">
        <v>5.8120000000000003</v>
      </c>
      <c r="F250" s="34">
        <v>99.4</v>
      </c>
      <c r="G250" s="34">
        <v>5.6760000000000002</v>
      </c>
      <c r="H250" s="34">
        <v>5.4320000000000004</v>
      </c>
      <c r="I250" s="34">
        <v>5.452</v>
      </c>
      <c r="J250" s="34">
        <v>5.3710000000000004</v>
      </c>
      <c r="K250" s="34">
        <v>5.8460000000000001</v>
      </c>
      <c r="L250" s="34">
        <v>8.99</v>
      </c>
      <c r="M250" s="34">
        <v>9.68</v>
      </c>
      <c r="N250" s="34">
        <v>8.8800000000000008</v>
      </c>
      <c r="O250" s="34">
        <v>1E-3</v>
      </c>
      <c r="P250" s="41">
        <v>1.8608333333333336</v>
      </c>
      <c r="Q250" s="34">
        <v>7</v>
      </c>
      <c r="R250" s="34">
        <v>8.4600000000000009</v>
      </c>
      <c r="S250" s="34">
        <v>39</v>
      </c>
      <c r="T250" s="34">
        <v>106.4</v>
      </c>
      <c r="U250" s="34">
        <v>2332</v>
      </c>
      <c r="V250" s="34">
        <v>9.48</v>
      </c>
      <c r="W250" s="34">
        <v>10.26</v>
      </c>
      <c r="X250" s="34">
        <v>11.99</v>
      </c>
      <c r="Y250" s="34">
        <v>8.98</v>
      </c>
      <c r="Z250" s="34">
        <v>11.71</v>
      </c>
      <c r="AA250" s="34">
        <v>9.9</v>
      </c>
      <c r="AB250" s="34">
        <v>10.210000000000001</v>
      </c>
      <c r="AC250" s="34">
        <v>9.01</v>
      </c>
      <c r="AD250" s="41">
        <v>4.5808333333333335</v>
      </c>
      <c r="AE250" s="34">
        <v>1326</v>
      </c>
      <c r="AF250" s="34">
        <v>2.7029999999999998</v>
      </c>
      <c r="AG250" s="34">
        <v>2301</v>
      </c>
      <c r="AH250" s="34">
        <v>79.7</v>
      </c>
      <c r="AI250" s="34">
        <v>1627</v>
      </c>
      <c r="AJ250" s="34">
        <v>1.8140000000000001</v>
      </c>
      <c r="AK250" s="34">
        <v>-0.251</v>
      </c>
      <c r="AL250" s="34">
        <v>-1.6990000000000001</v>
      </c>
      <c r="AM250" s="34">
        <v>0.56599999999999995</v>
      </c>
      <c r="AN250" s="34">
        <v>1.151</v>
      </c>
      <c r="AO250" s="34">
        <v>7.89</v>
      </c>
      <c r="AP250" s="34">
        <v>9.26</v>
      </c>
      <c r="AQ250" s="34">
        <v>8.74</v>
      </c>
      <c r="AR250" s="34">
        <v>3.5000000000000003E-2</v>
      </c>
      <c r="AS250" s="34">
        <v>0.14699999999999999</v>
      </c>
      <c r="AT250" s="34">
        <v>0.09</v>
      </c>
      <c r="AU250" s="34">
        <v>4.7E-2</v>
      </c>
      <c r="AV250" s="34">
        <v>0.154</v>
      </c>
      <c r="AW250" s="34">
        <v>0.41699999999999998</v>
      </c>
      <c r="AX250" s="34">
        <v>0.08</v>
      </c>
      <c r="AY250" s="34">
        <v>3.1E-2</v>
      </c>
      <c r="AZ250" s="34">
        <v>5.6230000000000002</v>
      </c>
      <c r="BA250" s="34">
        <v>3474</v>
      </c>
      <c r="BB250" s="34">
        <v>13.14</v>
      </c>
      <c r="BC250" s="34">
        <v>2876</v>
      </c>
      <c r="BD250" s="3"/>
      <c r="BE250" s="3"/>
      <c r="BF250" s="3"/>
      <c r="BH250" s="16">
        <v>22.69</v>
      </c>
      <c r="BI250" s="16">
        <f t="shared" si="104"/>
        <v>45.833800000000004</v>
      </c>
      <c r="BJ250" s="17">
        <f t="shared" si="117"/>
        <v>7.58</v>
      </c>
      <c r="BK250" s="17">
        <f t="shared" si="118"/>
        <v>16.38</v>
      </c>
      <c r="BM250" s="1">
        <f t="shared" si="119"/>
        <v>99.3</v>
      </c>
      <c r="BN250" s="1">
        <f t="shared" si="120"/>
        <v>92.8</v>
      </c>
      <c r="BO250" s="1">
        <f t="shared" si="121"/>
        <v>74.599999999999994</v>
      </c>
      <c r="BP250" s="56">
        <f t="shared" si="146"/>
        <v>0.82499999999999996</v>
      </c>
      <c r="BQ250" s="56">
        <f t="shared" si="147"/>
        <v>0.28100000000000003</v>
      </c>
      <c r="BS250" s="3">
        <v>5.6</v>
      </c>
      <c r="BT250" s="8"/>
      <c r="BV250" s="16">
        <f t="shared" si="105"/>
        <v>7.58</v>
      </c>
      <c r="BW250" s="16">
        <f t="shared" si="106"/>
        <v>16.38</v>
      </c>
      <c r="BX250" s="3">
        <f t="shared" si="107"/>
        <v>5.8</v>
      </c>
      <c r="BY250" s="3">
        <f t="shared" si="122"/>
        <v>5.7</v>
      </c>
      <c r="BZ250" s="3">
        <f t="shared" si="123"/>
        <v>5.4</v>
      </c>
      <c r="CA250" s="3">
        <f t="shared" si="124"/>
        <v>5.5</v>
      </c>
      <c r="CB250" s="3">
        <f t="shared" si="125"/>
        <v>9</v>
      </c>
      <c r="CC250" s="3">
        <f t="shared" si="126"/>
        <v>9.6999999999999993</v>
      </c>
      <c r="CD250" s="3">
        <f t="shared" si="127"/>
        <v>8.9</v>
      </c>
      <c r="CE250" s="23">
        <f t="shared" si="128"/>
        <v>92.8</v>
      </c>
      <c r="CF250" s="1">
        <f t="shared" si="148"/>
        <v>8.5</v>
      </c>
      <c r="CG250" s="1">
        <f t="shared" si="129"/>
        <v>9.5</v>
      </c>
      <c r="CH250" s="1">
        <f t="shared" si="130"/>
        <v>10.3</v>
      </c>
      <c r="CI250" s="1">
        <f t="shared" si="131"/>
        <v>12</v>
      </c>
      <c r="CJ250" s="1">
        <f t="shared" si="132"/>
        <v>9.9</v>
      </c>
      <c r="CK250" s="1">
        <f t="shared" si="133"/>
        <v>10.199999999999999</v>
      </c>
      <c r="CL250" s="1">
        <f t="shared" si="134"/>
        <v>9</v>
      </c>
      <c r="CM250" s="2">
        <f t="shared" si="135"/>
        <v>99.3</v>
      </c>
      <c r="CN250" s="1">
        <f t="shared" si="149"/>
        <v>2.7</v>
      </c>
      <c r="CO250" s="1">
        <f t="shared" si="136"/>
        <v>1.8</v>
      </c>
      <c r="CP250" s="1">
        <f t="shared" si="137"/>
        <v>-0.3</v>
      </c>
      <c r="CQ250" s="1">
        <f t="shared" si="138"/>
        <v>-1.7</v>
      </c>
      <c r="CR250" s="1">
        <f t="shared" si="139"/>
        <v>7.9</v>
      </c>
      <c r="CS250" s="1">
        <f t="shared" si="140"/>
        <v>9.3000000000000007</v>
      </c>
      <c r="CT250" s="1">
        <f t="shared" si="141"/>
        <v>8.6999999999999993</v>
      </c>
      <c r="CU250" s="2">
        <f t="shared" ref="CU250:CU281" si="150">ROUND(BO250,1)</f>
        <v>74.599999999999994</v>
      </c>
      <c r="CV250" s="18" t="s">
        <v>233</v>
      </c>
      <c r="CW250" s="1">
        <f>ROUND(PPTest!K250,1)</f>
        <v>7</v>
      </c>
      <c r="CX250" s="17">
        <f t="shared" si="143"/>
        <v>1.86</v>
      </c>
      <c r="CY250" s="17">
        <f t="shared" si="144"/>
        <v>4.58</v>
      </c>
      <c r="CZ250" s="20">
        <f t="shared" si="110"/>
        <v>0.82499999999999996</v>
      </c>
      <c r="DA250" s="20">
        <f t="shared" si="111"/>
        <v>0.28100000000000003</v>
      </c>
      <c r="DB250" s="16">
        <f t="shared" si="145"/>
        <v>13.14</v>
      </c>
      <c r="DD250" s="1">
        <v>9.3000000000000007</v>
      </c>
      <c r="DE250" s="1">
        <v>11.3</v>
      </c>
      <c r="DF250" s="1">
        <v>6.8</v>
      </c>
      <c r="DG250" s="1">
        <v>92</v>
      </c>
      <c r="DH250" s="1">
        <v>76</v>
      </c>
      <c r="DZ250" s="1">
        <v>7.3</v>
      </c>
      <c r="EA250" s="1">
        <v>12.3</v>
      </c>
      <c r="EB250" s="1">
        <v>1.8</v>
      </c>
      <c r="EC250" s="1">
        <v>1.3</v>
      </c>
    </row>
    <row r="251" spans="1:133" x14ac:dyDescent="0.2">
      <c r="A251" s="40">
        <v>35309</v>
      </c>
      <c r="B251" s="34">
        <v>245</v>
      </c>
      <c r="C251" s="34">
        <v>13.77</v>
      </c>
      <c r="D251" s="34">
        <v>27.67</v>
      </c>
      <c r="E251" s="34">
        <v>5.9470000000000001</v>
      </c>
      <c r="F251" s="34">
        <v>87.7</v>
      </c>
      <c r="G251" s="34">
        <v>5.8319999999999999</v>
      </c>
      <c r="H251" s="34">
        <v>5.7190000000000003</v>
      </c>
      <c r="I251" s="34">
        <v>5.6470000000000002</v>
      </c>
      <c r="J251" s="34">
        <v>6.3410000000000002</v>
      </c>
      <c r="K251" s="34">
        <v>6.5629999999999997</v>
      </c>
      <c r="L251" s="34">
        <v>8.6199999999999992</v>
      </c>
      <c r="M251" s="34">
        <v>9.09</v>
      </c>
      <c r="N251" s="34">
        <v>8.83</v>
      </c>
      <c r="O251" s="34">
        <v>0</v>
      </c>
      <c r="P251" s="41">
        <v>2.1841666666666666</v>
      </c>
      <c r="Q251" s="34">
        <v>0</v>
      </c>
      <c r="R251" s="34">
        <v>10.09</v>
      </c>
      <c r="S251" s="34">
        <v>1519</v>
      </c>
      <c r="T251" s="34">
        <v>106.5</v>
      </c>
      <c r="U251" s="34">
        <v>7</v>
      </c>
      <c r="V251" s="34">
        <v>11.46</v>
      </c>
      <c r="W251" s="34">
        <v>14.39</v>
      </c>
      <c r="X251" s="34">
        <v>15.58</v>
      </c>
      <c r="Y251" s="34">
        <v>14.82</v>
      </c>
      <c r="Z251" s="34">
        <v>13.7</v>
      </c>
      <c r="AA251" s="34">
        <v>10.5</v>
      </c>
      <c r="AB251" s="34">
        <v>9.2799999999999994</v>
      </c>
      <c r="AC251" s="34">
        <v>9.01</v>
      </c>
      <c r="AD251" s="41">
        <v>6.7941666666666665</v>
      </c>
      <c r="AE251" s="34">
        <v>1207</v>
      </c>
      <c r="AF251" s="34">
        <v>1.2430000000000001</v>
      </c>
      <c r="AG251" s="34">
        <v>2319</v>
      </c>
      <c r="AH251" s="34">
        <v>56.48</v>
      </c>
      <c r="AI251" s="34">
        <v>1439</v>
      </c>
      <c r="AJ251" s="34">
        <v>0.62</v>
      </c>
      <c r="AK251" s="34">
        <v>-0.109</v>
      </c>
      <c r="AL251" s="34">
        <v>-1.762</v>
      </c>
      <c r="AM251" s="34">
        <v>0.26</v>
      </c>
      <c r="AN251" s="34">
        <v>0.38400000000000001</v>
      </c>
      <c r="AO251" s="34">
        <v>7.42</v>
      </c>
      <c r="AP251" s="34">
        <v>8.94</v>
      </c>
      <c r="AQ251" s="34">
        <v>8.61</v>
      </c>
      <c r="AR251" s="34">
        <v>1.4999999999999999E-2</v>
      </c>
      <c r="AS251" s="34">
        <v>0.14699999999999999</v>
      </c>
      <c r="AT251" s="34">
        <v>9.6000000000000002E-2</v>
      </c>
      <c r="AU251" s="34">
        <v>8.9999999999999993E-3</v>
      </c>
      <c r="AV251" s="34">
        <v>9.5000000000000001E-2</v>
      </c>
      <c r="AW251" s="34">
        <v>0.49299999999999999</v>
      </c>
      <c r="AX251" s="34">
        <v>0.122</v>
      </c>
      <c r="AY251" s="34">
        <v>2.4E-2</v>
      </c>
      <c r="AZ251" s="34">
        <v>6.0279999999999996</v>
      </c>
      <c r="BA251" s="34">
        <v>3474</v>
      </c>
      <c r="BB251" s="34">
        <v>13.08</v>
      </c>
      <c r="BC251" s="34">
        <v>2876</v>
      </c>
      <c r="BD251" s="3"/>
      <c r="BE251" s="3"/>
      <c r="BF251" s="3"/>
      <c r="BH251" s="16">
        <v>22.45</v>
      </c>
      <c r="BI251" s="16">
        <f t="shared" si="104"/>
        <v>45.348999999999997</v>
      </c>
      <c r="BJ251" s="17">
        <f t="shared" si="117"/>
        <v>13.77</v>
      </c>
      <c r="BK251" s="17">
        <f t="shared" si="118"/>
        <v>29.04</v>
      </c>
      <c r="BM251" s="1">
        <f t="shared" si="119"/>
        <v>99.4</v>
      </c>
      <c r="BN251" s="1">
        <f t="shared" si="120"/>
        <v>82</v>
      </c>
      <c r="BO251" s="1">
        <f t="shared" si="121"/>
        <v>53.2</v>
      </c>
      <c r="BP251" s="56">
        <f t="shared" si="146"/>
        <v>0.65700000000000003</v>
      </c>
      <c r="BQ251" s="56">
        <f t="shared" si="147"/>
        <v>0.57799999999999996</v>
      </c>
      <c r="BS251" s="3">
        <v>0</v>
      </c>
      <c r="BT251" s="8"/>
      <c r="BV251" s="16">
        <f t="shared" si="105"/>
        <v>13.77</v>
      </c>
      <c r="BW251" s="16">
        <f t="shared" si="106"/>
        <v>29.04</v>
      </c>
      <c r="BX251" s="3">
        <f t="shared" si="107"/>
        <v>5.9</v>
      </c>
      <c r="BY251" s="3">
        <f t="shared" si="122"/>
        <v>5.8</v>
      </c>
      <c r="BZ251" s="3">
        <f t="shared" si="123"/>
        <v>5.7</v>
      </c>
      <c r="CA251" s="3">
        <f t="shared" si="124"/>
        <v>5.6</v>
      </c>
      <c r="CB251" s="3">
        <f t="shared" si="125"/>
        <v>8.6</v>
      </c>
      <c r="CC251" s="3">
        <f t="shared" si="126"/>
        <v>9.1</v>
      </c>
      <c r="CD251" s="3">
        <f t="shared" si="127"/>
        <v>8.8000000000000007</v>
      </c>
      <c r="CE251" s="23">
        <f t="shared" si="128"/>
        <v>82</v>
      </c>
      <c r="CF251" s="1">
        <f t="shared" si="148"/>
        <v>10.1</v>
      </c>
      <c r="CG251" s="1">
        <f t="shared" si="129"/>
        <v>11.5</v>
      </c>
      <c r="CH251" s="1">
        <f t="shared" si="130"/>
        <v>14.4</v>
      </c>
      <c r="CI251" s="1">
        <f t="shared" si="131"/>
        <v>15.6</v>
      </c>
      <c r="CJ251" s="1">
        <f t="shared" si="132"/>
        <v>10.5</v>
      </c>
      <c r="CK251" s="1">
        <f t="shared" si="133"/>
        <v>9.3000000000000007</v>
      </c>
      <c r="CL251" s="1">
        <f t="shared" si="134"/>
        <v>9</v>
      </c>
      <c r="CM251" s="2">
        <f t="shared" si="135"/>
        <v>99.4</v>
      </c>
      <c r="CN251" s="1">
        <f t="shared" si="149"/>
        <v>1.2</v>
      </c>
      <c r="CO251" s="1">
        <f t="shared" si="136"/>
        <v>0.6</v>
      </c>
      <c r="CP251" s="1">
        <f t="shared" si="137"/>
        <v>-0.1</v>
      </c>
      <c r="CQ251" s="1">
        <f t="shared" si="138"/>
        <v>-1.8</v>
      </c>
      <c r="CR251" s="1">
        <f t="shared" si="139"/>
        <v>7.4</v>
      </c>
      <c r="CS251" s="1">
        <f t="shared" si="140"/>
        <v>8.9</v>
      </c>
      <c r="CT251" s="1">
        <f t="shared" si="141"/>
        <v>8.6</v>
      </c>
      <c r="CU251" s="2">
        <f t="shared" si="150"/>
        <v>53.2</v>
      </c>
      <c r="CV251" s="18" t="s">
        <v>233</v>
      </c>
      <c r="CW251" s="1">
        <f>ROUND(PPTest!K251,1)</f>
        <v>0</v>
      </c>
      <c r="CX251" s="17">
        <f t="shared" si="143"/>
        <v>2.1800000000000002</v>
      </c>
      <c r="CY251" s="17">
        <f t="shared" si="144"/>
        <v>6.79</v>
      </c>
      <c r="CZ251" s="20">
        <f t="shared" si="110"/>
        <v>0.65700000000000003</v>
      </c>
      <c r="DA251" s="20">
        <f t="shared" si="111"/>
        <v>0.57799999999999996</v>
      </c>
      <c r="DB251" s="16">
        <f t="shared" si="145"/>
        <v>13.08</v>
      </c>
      <c r="DD251" s="1">
        <v>9.4</v>
      </c>
      <c r="DE251" s="1">
        <v>12.8</v>
      </c>
      <c r="DF251" s="1">
        <v>6.3</v>
      </c>
      <c r="DG251" s="1">
        <v>82.7</v>
      </c>
      <c r="DH251" s="1">
        <v>62</v>
      </c>
      <c r="DZ251" s="1">
        <v>6</v>
      </c>
      <c r="EA251" s="1">
        <v>11.7</v>
      </c>
      <c r="EB251" s="1">
        <v>1</v>
      </c>
      <c r="EC251" s="1">
        <v>0</v>
      </c>
    </row>
    <row r="252" spans="1:133" x14ac:dyDescent="0.2">
      <c r="A252" s="40">
        <v>35310</v>
      </c>
      <c r="B252" s="34">
        <v>246</v>
      </c>
      <c r="C252" s="34"/>
      <c r="D252" s="34"/>
      <c r="E252" s="50">
        <f t="shared" ref="E252:E315" si="151">ROUND(DD252*0.9-1.82,1)</f>
        <v>8.1</v>
      </c>
      <c r="P252" s="17"/>
      <c r="R252" s="50">
        <f t="shared" ref="R252:R315" si="152">ROUND(DE252*1-0.91,1)</f>
        <v>15.1</v>
      </c>
      <c r="AD252" s="17"/>
      <c r="AF252" s="50">
        <f t="shared" ref="AF252:AF315" si="153">ROUND(DF252*0.77-3.4,1)</f>
        <v>0.9</v>
      </c>
      <c r="AG252" s="3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"/>
      <c r="BE252" s="3"/>
      <c r="BF252" s="3"/>
      <c r="BH252" s="16">
        <v>22.2</v>
      </c>
      <c r="BI252" s="16">
        <f t="shared" si="104"/>
        <v>44.844000000000001</v>
      </c>
      <c r="BJ252" s="17"/>
      <c r="BK252" s="17"/>
      <c r="BO252" s="50">
        <f t="shared" ref="BO252:BO315" si="154">ROUND(DH252*0.9-7.7,0)</f>
        <v>35</v>
      </c>
      <c r="BP252" s="56">
        <f t="shared" si="146"/>
        <v>0.60099999999999998</v>
      </c>
      <c r="BQ252" s="56">
        <f t="shared" si="147"/>
        <v>1.1160000000000001</v>
      </c>
      <c r="BS252" s="3">
        <v>0</v>
      </c>
      <c r="BT252" s="8"/>
      <c r="BV252" s="16" t="s">
        <v>233</v>
      </c>
      <c r="BW252" s="16" t="s">
        <v>233</v>
      </c>
      <c r="BX252" s="3">
        <f t="shared" si="107"/>
        <v>8.1</v>
      </c>
      <c r="BY252" s="16" t="s">
        <v>233</v>
      </c>
      <c r="BZ252" s="16" t="s">
        <v>233</v>
      </c>
      <c r="CA252" s="16" t="s">
        <v>233</v>
      </c>
      <c r="CB252" s="16" t="s">
        <v>233</v>
      </c>
      <c r="CC252" s="16" t="s">
        <v>233</v>
      </c>
      <c r="CD252" s="16" t="s">
        <v>233</v>
      </c>
      <c r="CE252" s="16" t="s">
        <v>233</v>
      </c>
      <c r="CF252" s="1">
        <f t="shared" ref="CF252:CF315" si="155">ROUND(R252,1)</f>
        <v>15.1</v>
      </c>
      <c r="CG252" s="16" t="s">
        <v>233</v>
      </c>
      <c r="CH252" s="16" t="s">
        <v>233</v>
      </c>
      <c r="CI252" s="16" t="s">
        <v>233</v>
      </c>
      <c r="CJ252" s="16" t="s">
        <v>233</v>
      </c>
      <c r="CK252" s="16" t="s">
        <v>233</v>
      </c>
      <c r="CL252" s="16" t="s">
        <v>233</v>
      </c>
      <c r="CM252" s="16" t="s">
        <v>233</v>
      </c>
      <c r="CN252" s="1">
        <f t="shared" ref="CN252:CN315" si="156">ROUND(AF252,1)</f>
        <v>0.9</v>
      </c>
      <c r="CO252" s="16" t="s">
        <v>233</v>
      </c>
      <c r="CP252" s="16" t="s">
        <v>233</v>
      </c>
      <c r="CQ252" s="16" t="s">
        <v>233</v>
      </c>
      <c r="CR252" s="16" t="s">
        <v>233</v>
      </c>
      <c r="CS252" s="16" t="s">
        <v>233</v>
      </c>
      <c r="CT252" s="16" t="s">
        <v>233</v>
      </c>
      <c r="CU252" s="2">
        <f t="shared" si="150"/>
        <v>35</v>
      </c>
      <c r="CV252" s="18" t="s">
        <v>233</v>
      </c>
      <c r="CW252" s="1">
        <f>ROUND(PPTest!K252,1)</f>
        <v>0</v>
      </c>
      <c r="CX252" s="16" t="s">
        <v>233</v>
      </c>
      <c r="CY252" s="16" t="s">
        <v>233</v>
      </c>
      <c r="CZ252" s="20">
        <f t="shared" si="110"/>
        <v>0.60099999999999998</v>
      </c>
      <c r="DA252" s="20">
        <f t="shared" si="111"/>
        <v>1.1160000000000001</v>
      </c>
      <c r="DB252" s="16" t="s">
        <v>233</v>
      </c>
      <c r="DD252" s="1">
        <v>11</v>
      </c>
      <c r="DE252" s="1">
        <v>16</v>
      </c>
      <c r="DF252" s="1">
        <v>5.6</v>
      </c>
      <c r="DG252" s="1">
        <v>62.5</v>
      </c>
      <c r="DH252" s="1">
        <v>47</v>
      </c>
      <c r="DZ252" s="1">
        <v>7.5</v>
      </c>
      <c r="EA252" s="1">
        <v>16</v>
      </c>
      <c r="EB252" s="1">
        <v>-0.1</v>
      </c>
      <c r="EC252" s="1">
        <v>0.3</v>
      </c>
    </row>
    <row r="253" spans="1:133" x14ac:dyDescent="0.2">
      <c r="A253" s="40">
        <v>35311</v>
      </c>
      <c r="B253" s="34">
        <v>247</v>
      </c>
      <c r="C253" s="34"/>
      <c r="D253" s="34"/>
      <c r="E253" s="50">
        <f t="shared" si="151"/>
        <v>5.3</v>
      </c>
      <c r="P253" s="17"/>
      <c r="R253" s="50">
        <f t="shared" si="152"/>
        <v>11.1</v>
      </c>
      <c r="AD253" s="17"/>
      <c r="AF253" s="50">
        <f t="shared" si="153"/>
        <v>0.7</v>
      </c>
      <c r="AG253" s="3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"/>
      <c r="BE253" s="3"/>
      <c r="BF253" s="3"/>
      <c r="BH253" s="16">
        <v>21.95</v>
      </c>
      <c r="BI253" s="16">
        <f t="shared" si="104"/>
        <v>44.338999999999999</v>
      </c>
      <c r="BJ253" s="17"/>
      <c r="BK253" s="17"/>
      <c r="BO253" s="50">
        <f t="shared" si="154"/>
        <v>45</v>
      </c>
      <c r="BP253" s="56">
        <f t="shared" si="146"/>
        <v>0.59399999999999997</v>
      </c>
      <c r="BQ253" s="56">
        <f t="shared" si="147"/>
        <v>0.72599999999999998</v>
      </c>
      <c r="BS253" s="3">
        <v>23.4</v>
      </c>
      <c r="BT253" s="8"/>
      <c r="BV253" s="16" t="s">
        <v>233</v>
      </c>
      <c r="BW253" s="16" t="s">
        <v>233</v>
      </c>
      <c r="BX253" s="3">
        <f t="shared" si="107"/>
        <v>5.3</v>
      </c>
      <c r="BY253" s="16" t="s">
        <v>233</v>
      </c>
      <c r="BZ253" s="16" t="s">
        <v>233</v>
      </c>
      <c r="CA253" s="16" t="s">
        <v>233</v>
      </c>
      <c r="CB253" s="16" t="s">
        <v>233</v>
      </c>
      <c r="CC253" s="16" t="s">
        <v>233</v>
      </c>
      <c r="CD253" s="16" t="s">
        <v>233</v>
      </c>
      <c r="CE253" s="16" t="s">
        <v>233</v>
      </c>
      <c r="CF253" s="1">
        <f t="shared" si="155"/>
        <v>11.1</v>
      </c>
      <c r="CG253" s="16" t="s">
        <v>233</v>
      </c>
      <c r="CH253" s="16" t="s">
        <v>233</v>
      </c>
      <c r="CI253" s="16" t="s">
        <v>233</v>
      </c>
      <c r="CJ253" s="16" t="s">
        <v>233</v>
      </c>
      <c r="CK253" s="16" t="s">
        <v>233</v>
      </c>
      <c r="CL253" s="16" t="s">
        <v>233</v>
      </c>
      <c r="CM253" s="16" t="s">
        <v>233</v>
      </c>
      <c r="CN253" s="1">
        <f t="shared" si="156"/>
        <v>0.7</v>
      </c>
      <c r="CO253" s="16" t="s">
        <v>233</v>
      </c>
      <c r="CP253" s="16" t="s">
        <v>233</v>
      </c>
      <c r="CQ253" s="16" t="s">
        <v>233</v>
      </c>
      <c r="CR253" s="16" t="s">
        <v>233</v>
      </c>
      <c r="CS253" s="16" t="s">
        <v>233</v>
      </c>
      <c r="CT253" s="16" t="s">
        <v>233</v>
      </c>
      <c r="CU253" s="2">
        <f t="shared" si="150"/>
        <v>45</v>
      </c>
      <c r="CV253" s="18" t="s">
        <v>233</v>
      </c>
      <c r="CW253" s="1">
        <f>ROUND(PPTest!K253,1)</f>
        <v>24.6</v>
      </c>
      <c r="CX253" s="16" t="s">
        <v>233</v>
      </c>
      <c r="CY253" s="16" t="s">
        <v>233</v>
      </c>
      <c r="CZ253" s="20">
        <f t="shared" si="110"/>
        <v>0.59399999999999997</v>
      </c>
      <c r="DA253" s="20">
        <f t="shared" si="111"/>
        <v>0.72599999999999998</v>
      </c>
      <c r="DB253" s="16" t="s">
        <v>233</v>
      </c>
      <c r="DD253" s="1">
        <v>7.9</v>
      </c>
      <c r="DE253" s="1">
        <v>12</v>
      </c>
      <c r="DF253" s="1">
        <v>5.3</v>
      </c>
      <c r="DG253" s="1">
        <v>84.5</v>
      </c>
      <c r="DH253" s="1">
        <v>58</v>
      </c>
      <c r="DZ253" s="1">
        <v>6.1</v>
      </c>
      <c r="EA253" s="1">
        <v>11.1</v>
      </c>
      <c r="EB253" s="1">
        <v>-0.2</v>
      </c>
      <c r="EC253" s="1">
        <v>14</v>
      </c>
    </row>
    <row r="254" spans="1:133" x14ac:dyDescent="0.2">
      <c r="A254" s="40">
        <v>35312</v>
      </c>
      <c r="B254" s="34">
        <v>248</v>
      </c>
      <c r="C254" s="34"/>
      <c r="D254" s="34"/>
      <c r="E254" s="50">
        <f t="shared" si="151"/>
        <v>4</v>
      </c>
      <c r="P254" s="17"/>
      <c r="R254" s="50">
        <f t="shared" si="152"/>
        <v>8.5</v>
      </c>
      <c r="AD254" s="17"/>
      <c r="AF254" s="50">
        <f t="shared" si="153"/>
        <v>0.1</v>
      </c>
      <c r="AG254" s="3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"/>
      <c r="BE254" s="3"/>
      <c r="BF254" s="3"/>
      <c r="BH254" s="16">
        <v>21.7</v>
      </c>
      <c r="BI254" s="16">
        <f t="shared" si="104"/>
        <v>43.833999999999996</v>
      </c>
      <c r="BJ254" s="17"/>
      <c r="BK254" s="17"/>
      <c r="BO254" s="50">
        <f t="shared" si="154"/>
        <v>65</v>
      </c>
      <c r="BP254" s="56">
        <f t="shared" si="146"/>
        <v>0.72099999999999997</v>
      </c>
      <c r="BQ254" s="56">
        <f t="shared" si="147"/>
        <v>0.38800000000000001</v>
      </c>
      <c r="BS254" s="3">
        <v>2.5</v>
      </c>
      <c r="BT254" s="8"/>
      <c r="BV254" s="16" t="s">
        <v>233</v>
      </c>
      <c r="BW254" s="16" t="s">
        <v>233</v>
      </c>
      <c r="BX254" s="3">
        <f t="shared" si="107"/>
        <v>4</v>
      </c>
      <c r="BY254" s="16" t="s">
        <v>233</v>
      </c>
      <c r="BZ254" s="16" t="s">
        <v>233</v>
      </c>
      <c r="CA254" s="16" t="s">
        <v>233</v>
      </c>
      <c r="CB254" s="16" t="s">
        <v>233</v>
      </c>
      <c r="CC254" s="16" t="s">
        <v>233</v>
      </c>
      <c r="CD254" s="16" t="s">
        <v>233</v>
      </c>
      <c r="CE254" s="16" t="s">
        <v>233</v>
      </c>
      <c r="CF254" s="1">
        <f t="shared" si="155"/>
        <v>8.5</v>
      </c>
      <c r="CG254" s="16" t="s">
        <v>233</v>
      </c>
      <c r="CH254" s="16" t="s">
        <v>233</v>
      </c>
      <c r="CI254" s="16" t="s">
        <v>233</v>
      </c>
      <c r="CJ254" s="16" t="s">
        <v>233</v>
      </c>
      <c r="CK254" s="16" t="s">
        <v>233</v>
      </c>
      <c r="CL254" s="16" t="s">
        <v>233</v>
      </c>
      <c r="CM254" s="16" t="s">
        <v>233</v>
      </c>
      <c r="CN254" s="1">
        <f t="shared" si="156"/>
        <v>0.1</v>
      </c>
      <c r="CO254" s="16" t="s">
        <v>233</v>
      </c>
      <c r="CP254" s="16" t="s">
        <v>233</v>
      </c>
      <c r="CQ254" s="16" t="s">
        <v>233</v>
      </c>
      <c r="CR254" s="16" t="s">
        <v>233</v>
      </c>
      <c r="CS254" s="16" t="s">
        <v>233</v>
      </c>
      <c r="CT254" s="16" t="s">
        <v>233</v>
      </c>
      <c r="CU254" s="2">
        <f t="shared" si="150"/>
        <v>65</v>
      </c>
      <c r="CV254" s="18" t="s">
        <v>233</v>
      </c>
      <c r="CW254" s="1">
        <f>ROUND(PPTest!K254,1)</f>
        <v>2.6</v>
      </c>
      <c r="CX254" s="16" t="s">
        <v>233</v>
      </c>
      <c r="CY254" s="16" t="s">
        <v>233</v>
      </c>
      <c r="CZ254" s="20">
        <f t="shared" si="110"/>
        <v>0.72099999999999997</v>
      </c>
      <c r="DA254" s="20">
        <f t="shared" si="111"/>
        <v>0.38800000000000001</v>
      </c>
      <c r="DB254" s="16" t="s">
        <v>233</v>
      </c>
      <c r="DD254" s="1">
        <v>6.5</v>
      </c>
      <c r="DE254" s="1">
        <v>9.4</v>
      </c>
      <c r="DF254" s="1">
        <v>4.5</v>
      </c>
      <c r="DG254" s="1">
        <v>95.1</v>
      </c>
      <c r="DH254" s="1">
        <v>81</v>
      </c>
      <c r="DZ254" s="1">
        <v>2.2999999999999998</v>
      </c>
      <c r="EA254" s="1">
        <v>8</v>
      </c>
      <c r="EB254" s="1">
        <v>-2.1</v>
      </c>
      <c r="EC254" s="1">
        <v>1.8</v>
      </c>
    </row>
    <row r="255" spans="1:133" x14ac:dyDescent="0.2">
      <c r="A255" s="40">
        <v>35313</v>
      </c>
      <c r="B255" s="34">
        <v>249</v>
      </c>
      <c r="C255" s="34"/>
      <c r="D255" s="34"/>
      <c r="E255" s="50">
        <f t="shared" si="151"/>
        <v>3.4</v>
      </c>
      <c r="P255" s="17"/>
      <c r="R255" s="50">
        <f t="shared" si="152"/>
        <v>8.5</v>
      </c>
      <c r="AD255" s="17"/>
      <c r="AF255" s="50">
        <f t="shared" si="153"/>
        <v>-0.6</v>
      </c>
      <c r="AG255" s="3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"/>
      <c r="BE255" s="3"/>
      <c r="BF255" s="3"/>
      <c r="BH255" s="16">
        <v>21.46</v>
      </c>
      <c r="BI255" s="16">
        <f t="shared" si="104"/>
        <v>43.349200000000003</v>
      </c>
      <c r="BJ255" s="17"/>
      <c r="BK255" s="17"/>
      <c r="BO255" s="50">
        <f t="shared" si="154"/>
        <v>59</v>
      </c>
      <c r="BP255" s="56">
        <f t="shared" si="146"/>
        <v>0.65500000000000003</v>
      </c>
      <c r="BQ255" s="56">
        <f t="shared" si="147"/>
        <v>0.45500000000000002</v>
      </c>
      <c r="BS255" s="3">
        <v>1</v>
      </c>
      <c r="BT255" s="8"/>
      <c r="BV255" s="16" t="s">
        <v>233</v>
      </c>
      <c r="BW255" s="16" t="s">
        <v>233</v>
      </c>
      <c r="BX255" s="3">
        <f t="shared" si="107"/>
        <v>3.4</v>
      </c>
      <c r="BY255" s="16" t="s">
        <v>233</v>
      </c>
      <c r="BZ255" s="16" t="s">
        <v>233</v>
      </c>
      <c r="CA255" s="16" t="s">
        <v>233</v>
      </c>
      <c r="CB255" s="16" t="s">
        <v>233</v>
      </c>
      <c r="CC255" s="16" t="s">
        <v>233</v>
      </c>
      <c r="CD255" s="16" t="s">
        <v>233</v>
      </c>
      <c r="CE255" s="16" t="s">
        <v>233</v>
      </c>
      <c r="CF255" s="1">
        <f t="shared" si="155"/>
        <v>8.5</v>
      </c>
      <c r="CG255" s="16" t="s">
        <v>233</v>
      </c>
      <c r="CH255" s="16" t="s">
        <v>233</v>
      </c>
      <c r="CI255" s="16" t="s">
        <v>233</v>
      </c>
      <c r="CJ255" s="16" t="s">
        <v>233</v>
      </c>
      <c r="CK255" s="16" t="s">
        <v>233</v>
      </c>
      <c r="CL255" s="16" t="s">
        <v>233</v>
      </c>
      <c r="CM255" s="16" t="s">
        <v>233</v>
      </c>
      <c r="CN255" s="1">
        <f t="shared" si="156"/>
        <v>-0.6</v>
      </c>
      <c r="CO255" s="16" t="s">
        <v>233</v>
      </c>
      <c r="CP255" s="16" t="s">
        <v>233</v>
      </c>
      <c r="CQ255" s="16" t="s">
        <v>233</v>
      </c>
      <c r="CR255" s="16" t="s">
        <v>233</v>
      </c>
      <c r="CS255" s="16" t="s">
        <v>233</v>
      </c>
      <c r="CT255" s="16" t="s">
        <v>233</v>
      </c>
      <c r="CU255" s="2">
        <f t="shared" si="150"/>
        <v>59</v>
      </c>
      <c r="CV255" s="18" t="s">
        <v>233</v>
      </c>
      <c r="CW255" s="1">
        <f>ROUND(PPTest!K255,1)</f>
        <v>1.1000000000000001</v>
      </c>
      <c r="CX255" s="16" t="s">
        <v>233</v>
      </c>
      <c r="CY255" s="16" t="s">
        <v>233</v>
      </c>
      <c r="CZ255" s="20">
        <f t="shared" si="110"/>
        <v>0.65500000000000003</v>
      </c>
      <c r="DA255" s="20">
        <f t="shared" si="111"/>
        <v>0.45500000000000002</v>
      </c>
      <c r="DB255" s="16" t="s">
        <v>233</v>
      </c>
      <c r="DD255" s="1">
        <v>5.8</v>
      </c>
      <c r="DE255" s="1">
        <v>9.4</v>
      </c>
      <c r="DF255" s="1">
        <v>3.7</v>
      </c>
      <c r="DG255" s="1">
        <v>91.4</v>
      </c>
      <c r="DH255" s="1">
        <v>74</v>
      </c>
      <c r="DZ255" s="1">
        <v>2.5</v>
      </c>
      <c r="EA255" s="1">
        <v>6.4</v>
      </c>
      <c r="EB255" s="1">
        <v>-1.8</v>
      </c>
      <c r="EC255" s="1">
        <v>0.5</v>
      </c>
    </row>
    <row r="256" spans="1:133" x14ac:dyDescent="0.2">
      <c r="A256" s="40">
        <v>35314</v>
      </c>
      <c r="B256" s="34">
        <v>250</v>
      </c>
      <c r="C256" s="34"/>
      <c r="D256" s="34"/>
      <c r="E256" s="50">
        <f t="shared" si="151"/>
        <v>4.4000000000000004</v>
      </c>
      <c r="P256" s="17"/>
      <c r="R256" s="50">
        <f t="shared" si="152"/>
        <v>9.6999999999999993</v>
      </c>
      <c r="AD256" s="17"/>
      <c r="AF256" s="50">
        <f t="shared" si="153"/>
        <v>0.1</v>
      </c>
      <c r="AG256" s="3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"/>
      <c r="BE256" s="3"/>
      <c r="BF256" s="3"/>
      <c r="BH256" s="16">
        <v>21.21</v>
      </c>
      <c r="BI256" s="16">
        <f t="shared" si="104"/>
        <v>42.844200000000001</v>
      </c>
      <c r="BJ256" s="17"/>
      <c r="BK256" s="17"/>
      <c r="BO256" s="50">
        <f t="shared" si="154"/>
        <v>56</v>
      </c>
      <c r="BP256" s="56">
        <f t="shared" si="146"/>
        <v>0.67400000000000004</v>
      </c>
      <c r="BQ256" s="56">
        <f t="shared" si="147"/>
        <v>0.53</v>
      </c>
      <c r="BS256" s="3">
        <v>2.8</v>
      </c>
      <c r="BT256" s="8"/>
      <c r="BV256" s="16" t="s">
        <v>233</v>
      </c>
      <c r="BW256" s="16" t="s">
        <v>233</v>
      </c>
      <c r="BX256" s="3">
        <f t="shared" si="107"/>
        <v>4.4000000000000004</v>
      </c>
      <c r="BY256" s="16" t="s">
        <v>233</v>
      </c>
      <c r="BZ256" s="16" t="s">
        <v>233</v>
      </c>
      <c r="CA256" s="16" t="s">
        <v>233</v>
      </c>
      <c r="CB256" s="16" t="s">
        <v>233</v>
      </c>
      <c r="CC256" s="16" t="s">
        <v>233</v>
      </c>
      <c r="CD256" s="16" t="s">
        <v>233</v>
      </c>
      <c r="CE256" s="16" t="s">
        <v>233</v>
      </c>
      <c r="CF256" s="1">
        <f t="shared" si="155"/>
        <v>9.6999999999999993</v>
      </c>
      <c r="CG256" s="16" t="s">
        <v>233</v>
      </c>
      <c r="CH256" s="16" t="s">
        <v>233</v>
      </c>
      <c r="CI256" s="16" t="s">
        <v>233</v>
      </c>
      <c r="CJ256" s="16" t="s">
        <v>233</v>
      </c>
      <c r="CK256" s="16" t="s">
        <v>233</v>
      </c>
      <c r="CL256" s="16" t="s">
        <v>233</v>
      </c>
      <c r="CM256" s="16" t="s">
        <v>233</v>
      </c>
      <c r="CN256" s="1">
        <f t="shared" si="156"/>
        <v>0.1</v>
      </c>
      <c r="CO256" s="16" t="s">
        <v>233</v>
      </c>
      <c r="CP256" s="16" t="s">
        <v>233</v>
      </c>
      <c r="CQ256" s="16" t="s">
        <v>233</v>
      </c>
      <c r="CR256" s="16" t="s">
        <v>233</v>
      </c>
      <c r="CS256" s="16" t="s">
        <v>233</v>
      </c>
      <c r="CT256" s="16" t="s">
        <v>233</v>
      </c>
      <c r="CU256" s="2">
        <f t="shared" si="150"/>
        <v>56</v>
      </c>
      <c r="CV256" s="18" t="s">
        <v>233</v>
      </c>
      <c r="CW256" s="1">
        <f>ROUND(PPTest!K256,1)</f>
        <v>2.9</v>
      </c>
      <c r="CX256" s="16" t="s">
        <v>233</v>
      </c>
      <c r="CY256" s="16" t="s">
        <v>233</v>
      </c>
      <c r="CZ256" s="20">
        <f t="shared" si="110"/>
        <v>0.67400000000000004</v>
      </c>
      <c r="DA256" s="20">
        <f t="shared" si="111"/>
        <v>0.53</v>
      </c>
      <c r="DB256" s="16" t="s">
        <v>233</v>
      </c>
      <c r="DD256" s="1">
        <v>6.9</v>
      </c>
      <c r="DE256" s="1">
        <v>10.6</v>
      </c>
      <c r="DF256" s="1">
        <v>4.5</v>
      </c>
      <c r="DG256" s="1">
        <v>90.8</v>
      </c>
      <c r="DH256" s="1">
        <v>71</v>
      </c>
      <c r="DZ256" s="1">
        <v>3.9</v>
      </c>
      <c r="EA256" s="1">
        <v>8.8000000000000007</v>
      </c>
      <c r="EB256" s="1">
        <v>-0.7</v>
      </c>
      <c r="EC256" s="1">
        <v>2</v>
      </c>
    </row>
    <row r="257" spans="1:133" x14ac:dyDescent="0.2">
      <c r="A257" s="40">
        <v>35315</v>
      </c>
      <c r="B257" s="34">
        <v>251</v>
      </c>
      <c r="C257" s="34"/>
      <c r="D257" s="34"/>
      <c r="E257" s="50">
        <f t="shared" si="151"/>
        <v>4.5999999999999996</v>
      </c>
      <c r="P257" s="17"/>
      <c r="R257" s="50">
        <f t="shared" si="152"/>
        <v>7.6</v>
      </c>
      <c r="AD257" s="17"/>
      <c r="AF257" s="50">
        <f t="shared" si="153"/>
        <v>0.9</v>
      </c>
      <c r="AG257" s="3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"/>
      <c r="BE257" s="3"/>
      <c r="BF257" s="3"/>
      <c r="BH257" s="16">
        <v>20.95</v>
      </c>
      <c r="BI257" s="16">
        <f t="shared" si="104"/>
        <v>42.318999999999996</v>
      </c>
      <c r="BJ257" s="17"/>
      <c r="BK257" s="17"/>
      <c r="BO257" s="50">
        <f t="shared" si="154"/>
        <v>78</v>
      </c>
      <c r="BP257" s="56">
        <f t="shared" si="146"/>
        <v>0.81399999999999995</v>
      </c>
      <c r="BQ257" s="56">
        <f t="shared" si="147"/>
        <v>0.23</v>
      </c>
      <c r="BS257" s="3">
        <v>14.2</v>
      </c>
      <c r="BT257" s="8"/>
      <c r="BV257" s="16" t="s">
        <v>233</v>
      </c>
      <c r="BW257" s="16" t="s">
        <v>233</v>
      </c>
      <c r="BX257" s="3">
        <f t="shared" si="107"/>
        <v>4.5999999999999996</v>
      </c>
      <c r="BY257" s="16" t="s">
        <v>233</v>
      </c>
      <c r="BZ257" s="16" t="s">
        <v>233</v>
      </c>
      <c r="CA257" s="16" t="s">
        <v>233</v>
      </c>
      <c r="CB257" s="16" t="s">
        <v>233</v>
      </c>
      <c r="CC257" s="16" t="s">
        <v>233</v>
      </c>
      <c r="CD257" s="16" t="s">
        <v>233</v>
      </c>
      <c r="CE257" s="16" t="s">
        <v>233</v>
      </c>
      <c r="CF257" s="1">
        <f t="shared" si="155"/>
        <v>7.6</v>
      </c>
      <c r="CG257" s="16" t="s">
        <v>233</v>
      </c>
      <c r="CH257" s="16" t="s">
        <v>233</v>
      </c>
      <c r="CI257" s="16" t="s">
        <v>233</v>
      </c>
      <c r="CJ257" s="16" t="s">
        <v>233</v>
      </c>
      <c r="CK257" s="16" t="s">
        <v>233</v>
      </c>
      <c r="CL257" s="16" t="s">
        <v>233</v>
      </c>
      <c r="CM257" s="16" t="s">
        <v>233</v>
      </c>
      <c r="CN257" s="1">
        <f t="shared" si="156"/>
        <v>0.9</v>
      </c>
      <c r="CO257" s="16" t="s">
        <v>233</v>
      </c>
      <c r="CP257" s="16" t="s">
        <v>233</v>
      </c>
      <c r="CQ257" s="16" t="s">
        <v>233</v>
      </c>
      <c r="CR257" s="16" t="s">
        <v>233</v>
      </c>
      <c r="CS257" s="16" t="s">
        <v>233</v>
      </c>
      <c r="CT257" s="16" t="s">
        <v>233</v>
      </c>
      <c r="CU257" s="2">
        <f t="shared" si="150"/>
        <v>78</v>
      </c>
      <c r="CV257" s="18" t="s">
        <v>233</v>
      </c>
      <c r="CW257" s="1">
        <f>ROUND(PPTest!K257,1)</f>
        <v>14.9</v>
      </c>
      <c r="CX257" s="16" t="s">
        <v>233</v>
      </c>
      <c r="CY257" s="16" t="s">
        <v>233</v>
      </c>
      <c r="CZ257" s="20">
        <f t="shared" si="110"/>
        <v>0.81399999999999995</v>
      </c>
      <c r="DA257" s="20">
        <f t="shared" si="111"/>
        <v>0.23</v>
      </c>
      <c r="DB257" s="16" t="s">
        <v>233</v>
      </c>
      <c r="DD257" s="1">
        <v>7.1</v>
      </c>
      <c r="DE257" s="1">
        <v>8.5</v>
      </c>
      <c r="DF257" s="1">
        <v>5.6</v>
      </c>
      <c r="DG257" s="1">
        <v>97.7</v>
      </c>
      <c r="DH257" s="1">
        <v>95</v>
      </c>
      <c r="DZ257" s="1">
        <v>5.9</v>
      </c>
      <c r="EA257" s="1">
        <v>9</v>
      </c>
      <c r="EB257" s="1">
        <v>2.1</v>
      </c>
      <c r="EC257" s="1">
        <v>6.6</v>
      </c>
    </row>
    <row r="258" spans="1:133" x14ac:dyDescent="0.2">
      <c r="A258" s="40">
        <v>35316</v>
      </c>
      <c r="B258" s="34">
        <v>252</v>
      </c>
      <c r="C258" s="34"/>
      <c r="D258" s="34"/>
      <c r="E258" s="50">
        <f t="shared" si="151"/>
        <v>7.5</v>
      </c>
      <c r="P258" s="17"/>
      <c r="R258" s="50">
        <f t="shared" si="152"/>
        <v>13.7</v>
      </c>
      <c r="AD258" s="17"/>
      <c r="AF258" s="50">
        <f t="shared" si="153"/>
        <v>2.5</v>
      </c>
      <c r="AG258" s="3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"/>
      <c r="BE258" s="3"/>
      <c r="BF258" s="3"/>
      <c r="BH258" s="16">
        <v>20.7</v>
      </c>
      <c r="BI258" s="16">
        <f t="shared" si="104"/>
        <v>41.814</v>
      </c>
      <c r="BJ258" s="17"/>
      <c r="BK258" s="17"/>
      <c r="BO258" s="50">
        <f t="shared" si="154"/>
        <v>62</v>
      </c>
      <c r="BP258" s="56">
        <f t="shared" si="146"/>
        <v>0.97199999999999998</v>
      </c>
      <c r="BQ258" s="56">
        <f t="shared" si="147"/>
        <v>0.59599999999999997</v>
      </c>
      <c r="BS258" s="3">
        <v>3.6</v>
      </c>
      <c r="BT258" s="8"/>
      <c r="BV258" s="16" t="s">
        <v>233</v>
      </c>
      <c r="BW258" s="16" t="s">
        <v>233</v>
      </c>
      <c r="BX258" s="3">
        <f t="shared" si="107"/>
        <v>7.5</v>
      </c>
      <c r="BY258" s="16" t="s">
        <v>233</v>
      </c>
      <c r="BZ258" s="16" t="s">
        <v>233</v>
      </c>
      <c r="CA258" s="16" t="s">
        <v>233</v>
      </c>
      <c r="CB258" s="16" t="s">
        <v>233</v>
      </c>
      <c r="CC258" s="16" t="s">
        <v>233</v>
      </c>
      <c r="CD258" s="16" t="s">
        <v>233</v>
      </c>
      <c r="CE258" s="16" t="s">
        <v>233</v>
      </c>
      <c r="CF258" s="1">
        <f t="shared" si="155"/>
        <v>13.7</v>
      </c>
      <c r="CG258" s="16" t="s">
        <v>233</v>
      </c>
      <c r="CH258" s="16" t="s">
        <v>233</v>
      </c>
      <c r="CI258" s="16" t="s">
        <v>233</v>
      </c>
      <c r="CJ258" s="16" t="s">
        <v>233</v>
      </c>
      <c r="CK258" s="16" t="s">
        <v>233</v>
      </c>
      <c r="CL258" s="16" t="s">
        <v>233</v>
      </c>
      <c r="CM258" s="16" t="s">
        <v>233</v>
      </c>
      <c r="CN258" s="1">
        <f t="shared" si="156"/>
        <v>2.5</v>
      </c>
      <c r="CO258" s="16" t="s">
        <v>233</v>
      </c>
      <c r="CP258" s="16" t="s">
        <v>233</v>
      </c>
      <c r="CQ258" s="16" t="s">
        <v>233</v>
      </c>
      <c r="CR258" s="16" t="s">
        <v>233</v>
      </c>
      <c r="CS258" s="16" t="s">
        <v>233</v>
      </c>
      <c r="CT258" s="16" t="s">
        <v>233</v>
      </c>
      <c r="CU258" s="2">
        <f t="shared" si="150"/>
        <v>62</v>
      </c>
      <c r="CV258" s="18" t="s">
        <v>233</v>
      </c>
      <c r="CW258" s="1">
        <f>ROUND(PPTest!K258,1)</f>
        <v>3.8</v>
      </c>
      <c r="CX258" s="16" t="s">
        <v>233</v>
      </c>
      <c r="CY258" s="16" t="s">
        <v>233</v>
      </c>
      <c r="CZ258" s="20">
        <f t="shared" si="110"/>
        <v>0.97199999999999998</v>
      </c>
      <c r="DA258" s="20">
        <f t="shared" si="111"/>
        <v>0.59599999999999997</v>
      </c>
      <c r="DB258" s="16" t="s">
        <v>233</v>
      </c>
      <c r="DD258" s="1">
        <v>10.4</v>
      </c>
      <c r="DE258" s="1">
        <v>14.6</v>
      </c>
      <c r="DF258" s="1">
        <v>7.7</v>
      </c>
      <c r="DG258" s="1">
        <v>92.8</v>
      </c>
      <c r="DH258" s="1">
        <v>77</v>
      </c>
      <c r="DZ258" s="1">
        <v>8.3000000000000007</v>
      </c>
      <c r="EA258" s="1">
        <v>12.2</v>
      </c>
      <c r="EB258" s="1">
        <v>4.4000000000000004</v>
      </c>
      <c r="EC258" s="1">
        <v>1.8</v>
      </c>
    </row>
    <row r="259" spans="1:133" x14ac:dyDescent="0.2">
      <c r="A259" s="40">
        <v>35317</v>
      </c>
      <c r="B259" s="34">
        <v>253</v>
      </c>
      <c r="C259" s="34"/>
      <c r="D259" s="34"/>
      <c r="E259" s="50">
        <f t="shared" si="151"/>
        <v>8.1999999999999993</v>
      </c>
      <c r="P259" s="17"/>
      <c r="R259" s="50">
        <f t="shared" si="152"/>
        <v>15.5</v>
      </c>
      <c r="AD259" s="17"/>
      <c r="AF259" s="50">
        <f t="shared" si="153"/>
        <v>2.7</v>
      </c>
      <c r="AG259" s="3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"/>
      <c r="BE259" s="3"/>
      <c r="BF259" s="3"/>
      <c r="BH259" s="16">
        <v>20.45</v>
      </c>
      <c r="BI259" s="16">
        <f t="shared" si="104"/>
        <v>41.308999999999997</v>
      </c>
      <c r="BJ259" s="17"/>
      <c r="BK259" s="17"/>
      <c r="BO259" s="50">
        <f t="shared" si="154"/>
        <v>44</v>
      </c>
      <c r="BP259" s="56">
        <f t="shared" si="146"/>
        <v>0.77500000000000002</v>
      </c>
      <c r="BQ259" s="56">
        <f t="shared" si="147"/>
        <v>0.98599999999999999</v>
      </c>
      <c r="BS259" s="3">
        <v>0</v>
      </c>
      <c r="BT259" s="8"/>
      <c r="BV259" s="16" t="s">
        <v>233</v>
      </c>
      <c r="BW259" s="16" t="s">
        <v>233</v>
      </c>
      <c r="BX259" s="3">
        <f t="shared" si="107"/>
        <v>8.1999999999999993</v>
      </c>
      <c r="BY259" s="16" t="s">
        <v>233</v>
      </c>
      <c r="BZ259" s="16" t="s">
        <v>233</v>
      </c>
      <c r="CA259" s="16" t="s">
        <v>233</v>
      </c>
      <c r="CB259" s="16" t="s">
        <v>233</v>
      </c>
      <c r="CC259" s="16" t="s">
        <v>233</v>
      </c>
      <c r="CD259" s="16" t="s">
        <v>233</v>
      </c>
      <c r="CE259" s="16" t="s">
        <v>233</v>
      </c>
      <c r="CF259" s="1">
        <f t="shared" si="155"/>
        <v>15.5</v>
      </c>
      <c r="CG259" s="16" t="s">
        <v>233</v>
      </c>
      <c r="CH259" s="16" t="s">
        <v>233</v>
      </c>
      <c r="CI259" s="16" t="s">
        <v>233</v>
      </c>
      <c r="CJ259" s="16" t="s">
        <v>233</v>
      </c>
      <c r="CK259" s="16" t="s">
        <v>233</v>
      </c>
      <c r="CL259" s="16" t="s">
        <v>233</v>
      </c>
      <c r="CM259" s="16" t="s">
        <v>233</v>
      </c>
      <c r="CN259" s="1">
        <f t="shared" si="156"/>
        <v>2.7</v>
      </c>
      <c r="CO259" s="16" t="s">
        <v>233</v>
      </c>
      <c r="CP259" s="16" t="s">
        <v>233</v>
      </c>
      <c r="CQ259" s="16" t="s">
        <v>233</v>
      </c>
      <c r="CR259" s="16" t="s">
        <v>233</v>
      </c>
      <c r="CS259" s="16" t="s">
        <v>233</v>
      </c>
      <c r="CT259" s="16" t="s">
        <v>233</v>
      </c>
      <c r="CU259" s="2">
        <f t="shared" si="150"/>
        <v>44</v>
      </c>
      <c r="CV259" s="18" t="s">
        <v>233</v>
      </c>
      <c r="CW259" s="1">
        <f>ROUND(PPTest!K259,1)</f>
        <v>0</v>
      </c>
      <c r="CX259" s="16" t="s">
        <v>233</v>
      </c>
      <c r="CY259" s="16" t="s">
        <v>233</v>
      </c>
      <c r="CZ259" s="20">
        <f t="shared" si="110"/>
        <v>0.77500000000000002</v>
      </c>
      <c r="DA259" s="20">
        <f t="shared" si="111"/>
        <v>0.98599999999999999</v>
      </c>
      <c r="DB259" s="16" t="s">
        <v>233</v>
      </c>
      <c r="DD259" s="1">
        <v>11.1</v>
      </c>
      <c r="DE259" s="1">
        <v>16.399999999999999</v>
      </c>
      <c r="DF259" s="1">
        <v>7.9</v>
      </c>
      <c r="DG259" s="1">
        <v>85.1</v>
      </c>
      <c r="DH259" s="1">
        <v>57</v>
      </c>
      <c r="DZ259" s="1">
        <v>8.8000000000000007</v>
      </c>
      <c r="EA259" s="1">
        <v>15.1</v>
      </c>
      <c r="EB259" s="1">
        <v>3.4</v>
      </c>
      <c r="EC259" s="1">
        <v>0</v>
      </c>
    </row>
    <row r="260" spans="1:133" x14ac:dyDescent="0.2">
      <c r="A260" s="40">
        <v>35318</v>
      </c>
      <c r="B260" s="34">
        <v>254</v>
      </c>
      <c r="C260" s="34"/>
      <c r="D260" s="34"/>
      <c r="E260" s="50">
        <f t="shared" si="151"/>
        <v>11.1</v>
      </c>
      <c r="P260" s="17"/>
      <c r="R260" s="50">
        <f t="shared" si="152"/>
        <v>19.2</v>
      </c>
      <c r="AD260" s="17"/>
      <c r="AF260" s="50">
        <f t="shared" si="153"/>
        <v>3.1</v>
      </c>
      <c r="AG260" s="3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"/>
      <c r="BE260" s="3"/>
      <c r="BF260" s="3"/>
      <c r="BH260" s="16">
        <v>20.2</v>
      </c>
      <c r="BI260" s="16">
        <f t="shared" si="104"/>
        <v>40.804000000000002</v>
      </c>
      <c r="BJ260" s="17"/>
      <c r="BK260" s="17"/>
      <c r="BO260" s="50">
        <f t="shared" si="154"/>
        <v>36</v>
      </c>
      <c r="BP260" s="56">
        <f t="shared" si="146"/>
        <v>0.80100000000000005</v>
      </c>
      <c r="BQ260" s="56">
        <f t="shared" si="147"/>
        <v>1.4239999999999999</v>
      </c>
      <c r="BS260" s="3">
        <v>0</v>
      </c>
      <c r="BT260" s="8"/>
      <c r="BV260" s="16" t="s">
        <v>233</v>
      </c>
      <c r="BW260" s="16" t="s">
        <v>233</v>
      </c>
      <c r="BX260" s="3">
        <f t="shared" si="107"/>
        <v>11.1</v>
      </c>
      <c r="BY260" s="16" t="s">
        <v>233</v>
      </c>
      <c r="BZ260" s="16" t="s">
        <v>233</v>
      </c>
      <c r="CA260" s="16" t="s">
        <v>233</v>
      </c>
      <c r="CB260" s="16" t="s">
        <v>233</v>
      </c>
      <c r="CC260" s="16" t="s">
        <v>233</v>
      </c>
      <c r="CD260" s="16" t="s">
        <v>233</v>
      </c>
      <c r="CE260" s="16" t="s">
        <v>233</v>
      </c>
      <c r="CF260" s="1">
        <f t="shared" si="155"/>
        <v>19.2</v>
      </c>
      <c r="CG260" s="16" t="s">
        <v>233</v>
      </c>
      <c r="CH260" s="16" t="s">
        <v>233</v>
      </c>
      <c r="CI260" s="16" t="s">
        <v>233</v>
      </c>
      <c r="CJ260" s="16" t="s">
        <v>233</v>
      </c>
      <c r="CK260" s="16" t="s">
        <v>233</v>
      </c>
      <c r="CL260" s="16" t="s">
        <v>233</v>
      </c>
      <c r="CM260" s="16" t="s">
        <v>233</v>
      </c>
      <c r="CN260" s="1">
        <f t="shared" si="156"/>
        <v>3.1</v>
      </c>
      <c r="CO260" s="16" t="s">
        <v>233</v>
      </c>
      <c r="CP260" s="16" t="s">
        <v>233</v>
      </c>
      <c r="CQ260" s="16" t="s">
        <v>233</v>
      </c>
      <c r="CR260" s="16" t="s">
        <v>233</v>
      </c>
      <c r="CS260" s="16" t="s">
        <v>233</v>
      </c>
      <c r="CT260" s="16" t="s">
        <v>233</v>
      </c>
      <c r="CU260" s="2">
        <f t="shared" si="150"/>
        <v>36</v>
      </c>
      <c r="CV260" s="18" t="s">
        <v>233</v>
      </c>
      <c r="CW260" s="1">
        <f>ROUND(PPTest!K260,1)</f>
        <v>0</v>
      </c>
      <c r="CX260" s="16" t="s">
        <v>233</v>
      </c>
      <c r="CY260" s="16" t="s">
        <v>233</v>
      </c>
      <c r="CZ260" s="20">
        <f t="shared" si="110"/>
        <v>0.80100000000000005</v>
      </c>
      <c r="DA260" s="20">
        <f t="shared" si="111"/>
        <v>1.4239999999999999</v>
      </c>
      <c r="DB260" s="16" t="s">
        <v>233</v>
      </c>
      <c r="DD260" s="1">
        <v>14.4</v>
      </c>
      <c r="DE260" s="1">
        <v>20.100000000000001</v>
      </c>
      <c r="DF260" s="1">
        <v>8.4</v>
      </c>
      <c r="DG260" s="1">
        <v>68.3</v>
      </c>
      <c r="DH260" s="1">
        <v>48</v>
      </c>
      <c r="DZ260" s="1">
        <v>10.4</v>
      </c>
      <c r="EA260" s="1">
        <v>19.5</v>
      </c>
      <c r="EB260" s="1">
        <v>2.2999999999999998</v>
      </c>
      <c r="EC260" s="1">
        <v>0</v>
      </c>
    </row>
    <row r="261" spans="1:133" x14ac:dyDescent="0.2">
      <c r="A261" s="40">
        <v>35319</v>
      </c>
      <c r="B261" s="34">
        <v>255</v>
      </c>
      <c r="C261" s="34"/>
      <c r="D261" s="34"/>
      <c r="E261" s="50">
        <f t="shared" si="151"/>
        <v>14.2</v>
      </c>
      <c r="P261" s="17"/>
      <c r="R261" s="50">
        <f t="shared" si="152"/>
        <v>22.9</v>
      </c>
      <c r="AD261" s="17"/>
      <c r="AF261" s="50">
        <f t="shared" si="153"/>
        <v>5.0999999999999996</v>
      </c>
      <c r="AG261" s="3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"/>
      <c r="BE261" s="3"/>
      <c r="BF261" s="3"/>
      <c r="BH261" s="16">
        <v>19.940000000000001</v>
      </c>
      <c r="BI261" s="16">
        <f t="shared" si="104"/>
        <v>40.278800000000004</v>
      </c>
      <c r="BJ261" s="17"/>
      <c r="BK261" s="17"/>
      <c r="BO261" s="50">
        <f t="shared" si="154"/>
        <v>27</v>
      </c>
      <c r="BP261" s="56">
        <f t="shared" si="146"/>
        <v>0.754</v>
      </c>
      <c r="BQ261" s="56">
        <f t="shared" si="147"/>
        <v>2.0390000000000001</v>
      </c>
      <c r="BS261" s="3">
        <v>0.5</v>
      </c>
      <c r="BT261" s="8"/>
      <c r="BV261" s="16" t="s">
        <v>233</v>
      </c>
      <c r="BW261" s="16" t="s">
        <v>233</v>
      </c>
      <c r="BX261" s="3">
        <f t="shared" si="107"/>
        <v>14.2</v>
      </c>
      <c r="BY261" s="16" t="s">
        <v>233</v>
      </c>
      <c r="BZ261" s="16" t="s">
        <v>233</v>
      </c>
      <c r="CA261" s="16" t="s">
        <v>233</v>
      </c>
      <c r="CB261" s="16" t="s">
        <v>233</v>
      </c>
      <c r="CC261" s="16" t="s">
        <v>233</v>
      </c>
      <c r="CD261" s="16" t="s">
        <v>233</v>
      </c>
      <c r="CE261" s="16" t="s">
        <v>233</v>
      </c>
      <c r="CF261" s="1">
        <f t="shared" si="155"/>
        <v>22.9</v>
      </c>
      <c r="CG261" s="16" t="s">
        <v>233</v>
      </c>
      <c r="CH261" s="16" t="s">
        <v>233</v>
      </c>
      <c r="CI261" s="16" t="s">
        <v>233</v>
      </c>
      <c r="CJ261" s="16" t="s">
        <v>233</v>
      </c>
      <c r="CK261" s="16" t="s">
        <v>233</v>
      </c>
      <c r="CL261" s="16" t="s">
        <v>233</v>
      </c>
      <c r="CM261" s="16" t="s">
        <v>233</v>
      </c>
      <c r="CN261" s="1">
        <f t="shared" si="156"/>
        <v>5.0999999999999996</v>
      </c>
      <c r="CO261" s="16" t="s">
        <v>233</v>
      </c>
      <c r="CP261" s="16" t="s">
        <v>233</v>
      </c>
      <c r="CQ261" s="16" t="s">
        <v>233</v>
      </c>
      <c r="CR261" s="16" t="s">
        <v>233</v>
      </c>
      <c r="CS261" s="16" t="s">
        <v>233</v>
      </c>
      <c r="CT261" s="16" t="s">
        <v>233</v>
      </c>
      <c r="CU261" s="2">
        <f t="shared" si="150"/>
        <v>27</v>
      </c>
      <c r="CV261" s="18" t="s">
        <v>233</v>
      </c>
      <c r="CW261" s="1">
        <f>ROUND(PPTest!K261,1)</f>
        <v>0.5</v>
      </c>
      <c r="CX261" s="16" t="s">
        <v>233</v>
      </c>
      <c r="CY261" s="16" t="s">
        <v>233</v>
      </c>
      <c r="CZ261" s="20">
        <f t="shared" si="110"/>
        <v>0.754</v>
      </c>
      <c r="DA261" s="20">
        <f t="shared" si="111"/>
        <v>2.0390000000000001</v>
      </c>
      <c r="DB261" s="16" t="s">
        <v>233</v>
      </c>
      <c r="DD261" s="1">
        <v>17.8</v>
      </c>
      <c r="DE261" s="1">
        <v>23.8</v>
      </c>
      <c r="DF261" s="1">
        <v>11.1</v>
      </c>
      <c r="DG261" s="1">
        <v>53</v>
      </c>
      <c r="DH261" s="1">
        <v>39</v>
      </c>
      <c r="DZ261" s="1">
        <v>14.5</v>
      </c>
      <c r="EA261" s="1">
        <v>24.1</v>
      </c>
      <c r="EB261" s="1">
        <v>4.0999999999999996</v>
      </c>
      <c r="EC261" s="1">
        <v>0</v>
      </c>
    </row>
    <row r="262" spans="1:133" x14ac:dyDescent="0.2">
      <c r="A262" s="40">
        <v>35320</v>
      </c>
      <c r="B262" s="34">
        <v>256</v>
      </c>
      <c r="C262" s="34"/>
      <c r="D262" s="34"/>
      <c r="E262" s="50">
        <f t="shared" si="151"/>
        <v>12.2</v>
      </c>
      <c r="P262" s="17"/>
      <c r="R262" s="50">
        <f t="shared" si="152"/>
        <v>17.899999999999999</v>
      </c>
      <c r="AD262" s="17"/>
      <c r="AF262" s="50">
        <f t="shared" si="153"/>
        <v>6.1</v>
      </c>
      <c r="AG262" s="3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"/>
      <c r="BE262" s="3"/>
      <c r="BF262" s="3"/>
      <c r="BH262" s="16">
        <v>19.68</v>
      </c>
      <c r="BI262" s="16">
        <f t="shared" si="104"/>
        <v>39.753599999999999</v>
      </c>
      <c r="BJ262" s="17"/>
      <c r="BK262" s="17"/>
      <c r="BO262" s="50">
        <f t="shared" si="154"/>
        <v>29</v>
      </c>
      <c r="BP262" s="56">
        <f t="shared" si="146"/>
        <v>0.59499999999999997</v>
      </c>
      <c r="BQ262" s="56">
        <f t="shared" si="147"/>
        <v>1.4570000000000001</v>
      </c>
      <c r="BS262" s="3">
        <v>0.3</v>
      </c>
      <c r="BT262" s="8"/>
      <c r="BV262" s="16" t="s">
        <v>233</v>
      </c>
      <c r="BW262" s="16" t="s">
        <v>233</v>
      </c>
      <c r="BX262" s="3">
        <f t="shared" si="107"/>
        <v>12.2</v>
      </c>
      <c r="BY262" s="16" t="s">
        <v>233</v>
      </c>
      <c r="BZ262" s="16" t="s">
        <v>233</v>
      </c>
      <c r="CA262" s="16" t="s">
        <v>233</v>
      </c>
      <c r="CB262" s="16" t="s">
        <v>233</v>
      </c>
      <c r="CC262" s="16" t="s">
        <v>233</v>
      </c>
      <c r="CD262" s="16" t="s">
        <v>233</v>
      </c>
      <c r="CE262" s="16" t="s">
        <v>233</v>
      </c>
      <c r="CF262" s="1">
        <f t="shared" si="155"/>
        <v>17.899999999999999</v>
      </c>
      <c r="CG262" s="16" t="s">
        <v>233</v>
      </c>
      <c r="CH262" s="16" t="s">
        <v>233</v>
      </c>
      <c r="CI262" s="16" t="s">
        <v>233</v>
      </c>
      <c r="CJ262" s="16" t="s">
        <v>233</v>
      </c>
      <c r="CK262" s="16" t="s">
        <v>233</v>
      </c>
      <c r="CL262" s="16" t="s">
        <v>233</v>
      </c>
      <c r="CM262" s="16" t="s">
        <v>233</v>
      </c>
      <c r="CN262" s="1">
        <f t="shared" si="156"/>
        <v>6.1</v>
      </c>
      <c r="CO262" s="16" t="s">
        <v>233</v>
      </c>
      <c r="CP262" s="16" t="s">
        <v>233</v>
      </c>
      <c r="CQ262" s="16" t="s">
        <v>233</v>
      </c>
      <c r="CR262" s="16" t="s">
        <v>233</v>
      </c>
      <c r="CS262" s="16" t="s">
        <v>233</v>
      </c>
      <c r="CT262" s="16" t="s">
        <v>233</v>
      </c>
      <c r="CU262" s="2">
        <f t="shared" si="150"/>
        <v>29</v>
      </c>
      <c r="CV262" s="18" t="s">
        <v>233</v>
      </c>
      <c r="CW262" s="1">
        <f>ROUND(PPTest!K262,1)</f>
        <v>0.3</v>
      </c>
      <c r="CX262" s="16" t="s">
        <v>233</v>
      </c>
      <c r="CY262" s="16" t="s">
        <v>233</v>
      </c>
      <c r="CZ262" s="20">
        <f t="shared" si="110"/>
        <v>0.59499999999999997</v>
      </c>
      <c r="DA262" s="20">
        <f t="shared" si="111"/>
        <v>1.4570000000000001</v>
      </c>
      <c r="DB262" s="16" t="s">
        <v>233</v>
      </c>
      <c r="DD262" s="1">
        <v>15.6</v>
      </c>
      <c r="DE262" s="1">
        <v>18.8</v>
      </c>
      <c r="DF262" s="1">
        <v>12.3</v>
      </c>
      <c r="DG262" s="1">
        <v>67.3</v>
      </c>
      <c r="DH262" s="1">
        <v>41</v>
      </c>
      <c r="DZ262" s="1">
        <v>15.1</v>
      </c>
      <c r="EA262" s="1">
        <v>20</v>
      </c>
      <c r="EB262" s="1">
        <v>7.8</v>
      </c>
      <c r="EC262" s="1">
        <v>0.8</v>
      </c>
    </row>
    <row r="263" spans="1:133" x14ac:dyDescent="0.2">
      <c r="A263" s="40">
        <v>35321</v>
      </c>
      <c r="B263" s="34">
        <v>257</v>
      </c>
      <c r="C263" s="34"/>
      <c r="D263" s="34"/>
      <c r="E263" s="50">
        <f t="shared" si="151"/>
        <v>8.4</v>
      </c>
      <c r="P263" s="17"/>
      <c r="R263" s="50">
        <f t="shared" si="152"/>
        <v>13</v>
      </c>
      <c r="AD263" s="17"/>
      <c r="AF263" s="50">
        <f t="shared" si="153"/>
        <v>3.2</v>
      </c>
      <c r="AG263" s="3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"/>
      <c r="BE263" s="3"/>
      <c r="BF263" s="3"/>
      <c r="BH263" s="16">
        <v>19.43</v>
      </c>
      <c r="BI263" s="16">
        <f t="shared" ref="BI263" si="157">BH263*$BI$1</f>
        <v>39.248600000000003</v>
      </c>
      <c r="BJ263" s="17"/>
      <c r="BK263" s="17"/>
      <c r="BO263" s="50">
        <f t="shared" si="154"/>
        <v>68</v>
      </c>
      <c r="BP263" s="56">
        <f t="shared" si="146"/>
        <v>1.018</v>
      </c>
      <c r="BQ263" s="56">
        <f t="shared" si="147"/>
        <v>0.47899999999999998</v>
      </c>
      <c r="BS263" s="3">
        <v>15</v>
      </c>
      <c r="BT263" s="8"/>
      <c r="BV263" s="16" t="s">
        <v>233</v>
      </c>
      <c r="BW263" s="16" t="s">
        <v>233</v>
      </c>
      <c r="BX263" s="3">
        <f t="shared" si="107"/>
        <v>8.4</v>
      </c>
      <c r="BY263" s="16" t="s">
        <v>233</v>
      </c>
      <c r="BZ263" s="16" t="s">
        <v>233</v>
      </c>
      <c r="CA263" s="16" t="s">
        <v>233</v>
      </c>
      <c r="CB263" s="16" t="s">
        <v>233</v>
      </c>
      <c r="CC263" s="16" t="s">
        <v>233</v>
      </c>
      <c r="CD263" s="16" t="s">
        <v>233</v>
      </c>
      <c r="CE263" s="16" t="s">
        <v>233</v>
      </c>
      <c r="CF263" s="1">
        <f t="shared" si="155"/>
        <v>13</v>
      </c>
      <c r="CG263" s="16" t="s">
        <v>233</v>
      </c>
      <c r="CH263" s="16" t="s">
        <v>233</v>
      </c>
      <c r="CI263" s="16" t="s">
        <v>233</v>
      </c>
      <c r="CJ263" s="16" t="s">
        <v>233</v>
      </c>
      <c r="CK263" s="16" t="s">
        <v>233</v>
      </c>
      <c r="CL263" s="16" t="s">
        <v>233</v>
      </c>
      <c r="CM263" s="16" t="s">
        <v>233</v>
      </c>
      <c r="CN263" s="1">
        <f t="shared" si="156"/>
        <v>3.2</v>
      </c>
      <c r="CO263" s="16" t="s">
        <v>233</v>
      </c>
      <c r="CP263" s="16" t="s">
        <v>233</v>
      </c>
      <c r="CQ263" s="16" t="s">
        <v>233</v>
      </c>
      <c r="CR263" s="16" t="s">
        <v>233</v>
      </c>
      <c r="CS263" s="16" t="s">
        <v>233</v>
      </c>
      <c r="CT263" s="16" t="s">
        <v>233</v>
      </c>
      <c r="CU263" s="2">
        <f t="shared" si="150"/>
        <v>68</v>
      </c>
      <c r="CV263" s="18" t="s">
        <v>233</v>
      </c>
      <c r="CW263" s="1">
        <f>ROUND(PPTest!K263,1)</f>
        <v>15.8</v>
      </c>
      <c r="CX263" s="16" t="s">
        <v>233</v>
      </c>
      <c r="CY263" s="16" t="s">
        <v>233</v>
      </c>
      <c r="CZ263" s="20">
        <f t="shared" si="110"/>
        <v>1.018</v>
      </c>
      <c r="DA263" s="20">
        <f t="shared" si="111"/>
        <v>0.47899999999999998</v>
      </c>
      <c r="DB263" s="16" t="s">
        <v>233</v>
      </c>
      <c r="DD263" s="1">
        <v>11.4</v>
      </c>
      <c r="DE263" s="1">
        <v>13.9</v>
      </c>
      <c r="DF263" s="1">
        <v>8.6</v>
      </c>
      <c r="DG263" s="1">
        <v>93.8</v>
      </c>
      <c r="DH263" s="1">
        <v>84</v>
      </c>
      <c r="DZ263" s="1">
        <v>9.8000000000000007</v>
      </c>
      <c r="EA263" s="1">
        <v>14.4</v>
      </c>
      <c r="EB263" s="1">
        <v>6</v>
      </c>
      <c r="EC263" s="1">
        <v>12.7</v>
      </c>
    </row>
    <row r="264" spans="1:133" x14ac:dyDescent="0.2">
      <c r="A264" s="40">
        <v>35322</v>
      </c>
      <c r="B264" s="34">
        <v>258</v>
      </c>
      <c r="C264" s="34"/>
      <c r="D264" s="34"/>
      <c r="E264" s="50">
        <f t="shared" si="151"/>
        <v>5.8</v>
      </c>
      <c r="P264" s="17"/>
      <c r="R264" s="50">
        <f t="shared" si="152"/>
        <v>11.1</v>
      </c>
      <c r="AD264" s="17"/>
      <c r="AF264" s="50">
        <f t="shared" si="153"/>
        <v>1</v>
      </c>
      <c r="AG264" s="3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"/>
      <c r="BE264" s="3"/>
      <c r="BF264" s="3"/>
      <c r="BH264" s="16">
        <v>19.170000000000002</v>
      </c>
      <c r="BI264" s="16">
        <f t="shared" ref="BI264:BI326" si="158">BH264*$BI$1</f>
        <v>38.723400000000005</v>
      </c>
      <c r="BJ264" s="17"/>
      <c r="BK264" s="17"/>
      <c r="BO264" s="50">
        <f t="shared" si="154"/>
        <v>66</v>
      </c>
      <c r="BP264" s="56">
        <f t="shared" si="146"/>
        <v>0.872</v>
      </c>
      <c r="BQ264" s="56">
        <f t="shared" si="147"/>
        <v>0.44900000000000001</v>
      </c>
      <c r="BS264" s="3">
        <v>15</v>
      </c>
      <c r="BT264" s="8"/>
      <c r="BV264" s="16" t="s">
        <v>233</v>
      </c>
      <c r="BW264" s="16" t="s">
        <v>233</v>
      </c>
      <c r="BX264" s="3">
        <f t="shared" ref="BX264:BX327" si="159">ROUND(E264,1)</f>
        <v>5.8</v>
      </c>
      <c r="BY264" s="16" t="s">
        <v>233</v>
      </c>
      <c r="BZ264" s="16" t="s">
        <v>233</v>
      </c>
      <c r="CA264" s="16" t="s">
        <v>233</v>
      </c>
      <c r="CB264" s="16" t="s">
        <v>233</v>
      </c>
      <c r="CC264" s="16" t="s">
        <v>233</v>
      </c>
      <c r="CD264" s="16" t="s">
        <v>233</v>
      </c>
      <c r="CE264" s="16" t="s">
        <v>233</v>
      </c>
      <c r="CF264" s="1">
        <f t="shared" si="155"/>
        <v>11.1</v>
      </c>
      <c r="CG264" s="16" t="s">
        <v>233</v>
      </c>
      <c r="CH264" s="16" t="s">
        <v>233</v>
      </c>
      <c r="CI264" s="16" t="s">
        <v>233</v>
      </c>
      <c r="CJ264" s="16" t="s">
        <v>233</v>
      </c>
      <c r="CK264" s="16" t="s">
        <v>233</v>
      </c>
      <c r="CL264" s="16" t="s">
        <v>233</v>
      </c>
      <c r="CM264" s="16" t="s">
        <v>233</v>
      </c>
      <c r="CN264" s="1">
        <f t="shared" si="156"/>
        <v>1</v>
      </c>
      <c r="CO264" s="16" t="s">
        <v>233</v>
      </c>
      <c r="CP264" s="16" t="s">
        <v>233</v>
      </c>
      <c r="CQ264" s="16" t="s">
        <v>233</v>
      </c>
      <c r="CR264" s="16" t="s">
        <v>233</v>
      </c>
      <c r="CS264" s="16" t="s">
        <v>233</v>
      </c>
      <c r="CT264" s="16" t="s">
        <v>233</v>
      </c>
      <c r="CU264" s="2">
        <f t="shared" si="150"/>
        <v>66</v>
      </c>
      <c r="CV264" s="18" t="s">
        <v>233</v>
      </c>
      <c r="CW264" s="1">
        <f>ROUND(PPTest!K264,1)</f>
        <v>15.8</v>
      </c>
      <c r="CX264" s="16" t="s">
        <v>233</v>
      </c>
      <c r="CY264" s="16" t="s">
        <v>233</v>
      </c>
      <c r="CZ264" s="20">
        <f t="shared" ref="CZ264:CZ327" si="160">BP264</f>
        <v>0.872</v>
      </c>
      <c r="DA264" s="20">
        <f t="shared" ref="DA264:DA327" si="161">BQ264</f>
        <v>0.44900000000000001</v>
      </c>
      <c r="DB264" s="16" t="s">
        <v>233</v>
      </c>
      <c r="DD264" s="1">
        <v>8.5</v>
      </c>
      <c r="DE264" s="1">
        <v>12</v>
      </c>
      <c r="DF264" s="1">
        <v>5.7</v>
      </c>
      <c r="DG264" s="1">
        <v>94.3</v>
      </c>
      <c r="DH264" s="1">
        <v>82</v>
      </c>
      <c r="DZ264" s="1">
        <v>6.8</v>
      </c>
      <c r="EA264" s="1">
        <v>10.3</v>
      </c>
      <c r="EB264" s="1">
        <v>4.9000000000000004</v>
      </c>
      <c r="EC264" s="1">
        <v>6.1</v>
      </c>
    </row>
    <row r="265" spans="1:133" x14ac:dyDescent="0.2">
      <c r="A265" s="40">
        <v>35323</v>
      </c>
      <c r="B265" s="34">
        <v>259</v>
      </c>
      <c r="C265" s="34"/>
      <c r="D265" s="34"/>
      <c r="E265" s="50">
        <f t="shared" si="151"/>
        <v>4</v>
      </c>
      <c r="P265" s="17"/>
      <c r="R265" s="50">
        <f t="shared" si="152"/>
        <v>7.7</v>
      </c>
      <c r="AD265" s="17"/>
      <c r="AF265" s="50">
        <f t="shared" si="153"/>
        <v>0.4</v>
      </c>
      <c r="AG265" s="3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"/>
      <c r="BE265" s="3"/>
      <c r="BF265" s="3"/>
      <c r="BH265" s="16">
        <v>18.920000000000002</v>
      </c>
      <c r="BI265" s="16">
        <f t="shared" si="158"/>
        <v>38.218400000000003</v>
      </c>
      <c r="BJ265" s="17"/>
      <c r="BK265" s="17"/>
      <c r="BO265" s="50">
        <f t="shared" si="154"/>
        <v>78</v>
      </c>
      <c r="BP265" s="56">
        <f t="shared" si="146"/>
        <v>0.81899999999999995</v>
      </c>
      <c r="BQ265" s="56">
        <f t="shared" si="147"/>
        <v>0.23100000000000001</v>
      </c>
      <c r="BS265" s="3">
        <v>16.5</v>
      </c>
      <c r="BT265" s="8"/>
      <c r="BV265" s="16" t="s">
        <v>233</v>
      </c>
      <c r="BW265" s="16" t="s">
        <v>233</v>
      </c>
      <c r="BX265" s="3">
        <f t="shared" si="159"/>
        <v>4</v>
      </c>
      <c r="BY265" s="16" t="s">
        <v>233</v>
      </c>
      <c r="BZ265" s="16" t="s">
        <v>233</v>
      </c>
      <c r="CA265" s="16" t="s">
        <v>233</v>
      </c>
      <c r="CB265" s="16" t="s">
        <v>233</v>
      </c>
      <c r="CC265" s="16" t="s">
        <v>233</v>
      </c>
      <c r="CD265" s="16" t="s">
        <v>233</v>
      </c>
      <c r="CE265" s="16" t="s">
        <v>233</v>
      </c>
      <c r="CF265" s="1">
        <f t="shared" si="155"/>
        <v>7.7</v>
      </c>
      <c r="CG265" s="16" t="s">
        <v>233</v>
      </c>
      <c r="CH265" s="16" t="s">
        <v>233</v>
      </c>
      <c r="CI265" s="16" t="s">
        <v>233</v>
      </c>
      <c r="CJ265" s="16" t="s">
        <v>233</v>
      </c>
      <c r="CK265" s="16" t="s">
        <v>233</v>
      </c>
      <c r="CL265" s="16" t="s">
        <v>233</v>
      </c>
      <c r="CM265" s="16" t="s">
        <v>233</v>
      </c>
      <c r="CN265" s="1">
        <f t="shared" si="156"/>
        <v>0.4</v>
      </c>
      <c r="CO265" s="16" t="s">
        <v>233</v>
      </c>
      <c r="CP265" s="16" t="s">
        <v>233</v>
      </c>
      <c r="CQ265" s="16" t="s">
        <v>233</v>
      </c>
      <c r="CR265" s="16" t="s">
        <v>233</v>
      </c>
      <c r="CS265" s="16" t="s">
        <v>233</v>
      </c>
      <c r="CT265" s="16" t="s">
        <v>233</v>
      </c>
      <c r="CU265" s="2">
        <f t="shared" si="150"/>
        <v>78</v>
      </c>
      <c r="CV265" s="18" t="s">
        <v>233</v>
      </c>
      <c r="CW265" s="1">
        <f>ROUND(PPTest!K265,1)</f>
        <v>17.3</v>
      </c>
      <c r="CX265" s="16" t="s">
        <v>233</v>
      </c>
      <c r="CY265" s="16" t="s">
        <v>233</v>
      </c>
      <c r="CZ265" s="20">
        <f t="shared" si="160"/>
        <v>0.81899999999999995</v>
      </c>
      <c r="DA265" s="20">
        <f t="shared" si="161"/>
        <v>0.23100000000000001</v>
      </c>
      <c r="DB265" s="16" t="s">
        <v>233</v>
      </c>
      <c r="DD265" s="1">
        <v>6.5</v>
      </c>
      <c r="DE265" s="1">
        <v>8.6</v>
      </c>
      <c r="DF265" s="1">
        <v>4.9000000000000004</v>
      </c>
      <c r="DG265" s="1">
        <v>97.5</v>
      </c>
      <c r="DH265" s="1">
        <v>95</v>
      </c>
      <c r="DZ265" s="1">
        <v>3.6</v>
      </c>
      <c r="EA265" s="1">
        <v>6.7</v>
      </c>
      <c r="EB265" s="1">
        <v>-0.9</v>
      </c>
      <c r="EC265" s="1">
        <v>25.4</v>
      </c>
    </row>
    <row r="266" spans="1:133" x14ac:dyDescent="0.2">
      <c r="A266" s="40">
        <v>35324</v>
      </c>
      <c r="B266" s="34">
        <v>260</v>
      </c>
      <c r="C266" s="34"/>
      <c r="D266" s="34"/>
      <c r="E266" s="50">
        <f t="shared" si="151"/>
        <v>2.7</v>
      </c>
      <c r="P266" s="17"/>
      <c r="R266" s="50">
        <f t="shared" si="152"/>
        <v>7.6</v>
      </c>
      <c r="AD266" s="17"/>
      <c r="AF266" s="50">
        <f t="shared" si="153"/>
        <v>-1.1000000000000001</v>
      </c>
      <c r="AG266" s="3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"/>
      <c r="BE266" s="3"/>
      <c r="BF266" s="3"/>
      <c r="BH266" s="16">
        <v>18.66</v>
      </c>
      <c r="BI266" s="16">
        <f t="shared" si="158"/>
        <v>37.693199999999997</v>
      </c>
      <c r="BJ266" s="17"/>
      <c r="BK266" s="17"/>
      <c r="BO266" s="50">
        <f t="shared" si="154"/>
        <v>67</v>
      </c>
      <c r="BP266" s="56">
        <f t="shared" si="146"/>
        <v>0.69899999999999995</v>
      </c>
      <c r="BQ266" s="56">
        <f t="shared" si="147"/>
        <v>0.34399999999999997</v>
      </c>
      <c r="BS266" s="3">
        <v>0</v>
      </c>
      <c r="BT266" s="8"/>
      <c r="BV266" s="16" t="s">
        <v>233</v>
      </c>
      <c r="BW266" s="16" t="s">
        <v>233</v>
      </c>
      <c r="BX266" s="3">
        <f t="shared" si="159"/>
        <v>2.7</v>
      </c>
      <c r="BY266" s="16" t="s">
        <v>233</v>
      </c>
      <c r="BZ266" s="16" t="s">
        <v>233</v>
      </c>
      <c r="CA266" s="16" t="s">
        <v>233</v>
      </c>
      <c r="CB266" s="16" t="s">
        <v>233</v>
      </c>
      <c r="CC266" s="16" t="s">
        <v>233</v>
      </c>
      <c r="CD266" s="16" t="s">
        <v>233</v>
      </c>
      <c r="CE266" s="16" t="s">
        <v>233</v>
      </c>
      <c r="CF266" s="1">
        <f t="shared" si="155"/>
        <v>7.6</v>
      </c>
      <c r="CG266" s="16" t="s">
        <v>233</v>
      </c>
      <c r="CH266" s="16" t="s">
        <v>233</v>
      </c>
      <c r="CI266" s="16" t="s">
        <v>233</v>
      </c>
      <c r="CJ266" s="16" t="s">
        <v>233</v>
      </c>
      <c r="CK266" s="16" t="s">
        <v>233</v>
      </c>
      <c r="CL266" s="16" t="s">
        <v>233</v>
      </c>
      <c r="CM266" s="16" t="s">
        <v>233</v>
      </c>
      <c r="CN266" s="1">
        <f t="shared" si="156"/>
        <v>-1.1000000000000001</v>
      </c>
      <c r="CO266" s="16" t="s">
        <v>233</v>
      </c>
      <c r="CP266" s="16" t="s">
        <v>233</v>
      </c>
      <c r="CQ266" s="16" t="s">
        <v>233</v>
      </c>
      <c r="CR266" s="16" t="s">
        <v>233</v>
      </c>
      <c r="CS266" s="16" t="s">
        <v>233</v>
      </c>
      <c r="CT266" s="16" t="s">
        <v>233</v>
      </c>
      <c r="CU266" s="2">
        <f t="shared" si="150"/>
        <v>67</v>
      </c>
      <c r="CV266" s="18" t="s">
        <v>233</v>
      </c>
      <c r="CW266" s="1">
        <f>ROUND(PPTest!K266,1)</f>
        <v>0</v>
      </c>
      <c r="CX266" s="16" t="s">
        <v>233</v>
      </c>
      <c r="CY266" s="16" t="s">
        <v>233</v>
      </c>
      <c r="CZ266" s="20">
        <f t="shared" si="160"/>
        <v>0.69899999999999995</v>
      </c>
      <c r="DA266" s="20">
        <f t="shared" si="161"/>
        <v>0.34399999999999997</v>
      </c>
      <c r="DB266" s="16" t="s">
        <v>233</v>
      </c>
      <c r="DD266" s="1">
        <v>5</v>
      </c>
      <c r="DE266" s="1">
        <v>8.5</v>
      </c>
      <c r="DF266" s="1">
        <v>3</v>
      </c>
      <c r="DG266" s="1">
        <v>95.8</v>
      </c>
      <c r="DH266" s="1">
        <v>83</v>
      </c>
      <c r="DZ266" s="1">
        <v>2.7</v>
      </c>
      <c r="EA266" s="1">
        <v>8.6</v>
      </c>
      <c r="EB266" s="1">
        <v>-1.8</v>
      </c>
      <c r="EC266" s="1">
        <v>0.3</v>
      </c>
    </row>
    <row r="267" spans="1:133" x14ac:dyDescent="0.2">
      <c r="A267" s="40">
        <v>35325</v>
      </c>
      <c r="B267" s="34">
        <v>261</v>
      </c>
      <c r="C267" s="34"/>
      <c r="D267" s="34"/>
      <c r="E267" s="50">
        <f t="shared" si="151"/>
        <v>2.9</v>
      </c>
      <c r="P267" s="17"/>
      <c r="R267" s="50">
        <f t="shared" si="152"/>
        <v>9.3000000000000007</v>
      </c>
      <c r="AD267" s="17"/>
      <c r="AF267" s="50">
        <f t="shared" si="153"/>
        <v>-1.2</v>
      </c>
      <c r="AG267" s="3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"/>
      <c r="BE267" s="3"/>
      <c r="BF267" s="3"/>
      <c r="BH267" s="16">
        <v>18.399999999999999</v>
      </c>
      <c r="BI267" s="16">
        <f t="shared" si="158"/>
        <v>37.167999999999999</v>
      </c>
      <c r="BJ267" s="17"/>
      <c r="BK267" s="17"/>
      <c r="BO267" s="50">
        <f t="shared" si="154"/>
        <v>65</v>
      </c>
      <c r="BP267" s="56">
        <f t="shared" si="146"/>
        <v>0.76100000000000001</v>
      </c>
      <c r="BQ267" s="56">
        <f t="shared" si="147"/>
        <v>0.41</v>
      </c>
      <c r="BS267" s="3">
        <v>1</v>
      </c>
      <c r="BT267" s="8"/>
      <c r="BV267" s="16" t="s">
        <v>233</v>
      </c>
      <c r="BW267" s="16" t="s">
        <v>233</v>
      </c>
      <c r="BX267" s="3">
        <f t="shared" si="159"/>
        <v>2.9</v>
      </c>
      <c r="BY267" s="16" t="s">
        <v>233</v>
      </c>
      <c r="BZ267" s="16" t="s">
        <v>233</v>
      </c>
      <c r="CA267" s="16" t="s">
        <v>233</v>
      </c>
      <c r="CB267" s="16" t="s">
        <v>233</v>
      </c>
      <c r="CC267" s="16" t="s">
        <v>233</v>
      </c>
      <c r="CD267" s="16" t="s">
        <v>233</v>
      </c>
      <c r="CE267" s="16" t="s">
        <v>233</v>
      </c>
      <c r="CF267" s="1">
        <f t="shared" si="155"/>
        <v>9.3000000000000007</v>
      </c>
      <c r="CG267" s="16" t="s">
        <v>233</v>
      </c>
      <c r="CH267" s="16" t="s">
        <v>233</v>
      </c>
      <c r="CI267" s="16" t="s">
        <v>233</v>
      </c>
      <c r="CJ267" s="16" t="s">
        <v>233</v>
      </c>
      <c r="CK267" s="16" t="s">
        <v>233</v>
      </c>
      <c r="CL267" s="16" t="s">
        <v>233</v>
      </c>
      <c r="CM267" s="16" t="s">
        <v>233</v>
      </c>
      <c r="CN267" s="1">
        <f t="shared" si="156"/>
        <v>-1.2</v>
      </c>
      <c r="CO267" s="16" t="s">
        <v>233</v>
      </c>
      <c r="CP267" s="16" t="s">
        <v>233</v>
      </c>
      <c r="CQ267" s="16" t="s">
        <v>233</v>
      </c>
      <c r="CR267" s="16" t="s">
        <v>233</v>
      </c>
      <c r="CS267" s="16" t="s">
        <v>233</v>
      </c>
      <c r="CT267" s="16" t="s">
        <v>233</v>
      </c>
      <c r="CU267" s="2">
        <f t="shared" si="150"/>
        <v>65</v>
      </c>
      <c r="CV267" s="18" t="s">
        <v>233</v>
      </c>
      <c r="CW267" s="1">
        <f>ROUND(PPTest!K267,1)</f>
        <v>1.1000000000000001</v>
      </c>
      <c r="CX267" s="16" t="s">
        <v>233</v>
      </c>
      <c r="CY267" s="16" t="s">
        <v>233</v>
      </c>
      <c r="CZ267" s="20">
        <f t="shared" si="160"/>
        <v>0.76100000000000001</v>
      </c>
      <c r="DA267" s="20">
        <f t="shared" si="161"/>
        <v>0.41</v>
      </c>
      <c r="DB267" s="16" t="s">
        <v>233</v>
      </c>
      <c r="DD267" s="1">
        <v>5.2</v>
      </c>
      <c r="DE267" s="1">
        <v>10.199999999999999</v>
      </c>
      <c r="DF267" s="1">
        <v>2.8</v>
      </c>
      <c r="DG267" s="1">
        <v>96.5</v>
      </c>
      <c r="DH267" s="1">
        <v>81</v>
      </c>
      <c r="DZ267" s="1">
        <v>3</v>
      </c>
      <c r="EA267" s="1">
        <v>8</v>
      </c>
      <c r="EB267" s="1">
        <v>-1.1000000000000001</v>
      </c>
      <c r="EC267" s="1">
        <v>0.3</v>
      </c>
    </row>
    <row r="268" spans="1:133" x14ac:dyDescent="0.2">
      <c r="A268" s="40">
        <v>35326</v>
      </c>
      <c r="B268" s="34">
        <v>262</v>
      </c>
      <c r="C268" s="34"/>
      <c r="D268" s="34"/>
      <c r="E268" s="50">
        <f t="shared" si="151"/>
        <v>3.7</v>
      </c>
      <c r="P268" s="17"/>
      <c r="R268" s="50">
        <f t="shared" si="152"/>
        <v>9.3000000000000007</v>
      </c>
      <c r="AD268" s="17"/>
      <c r="AF268" s="50">
        <f t="shared" si="153"/>
        <v>-0.6</v>
      </c>
      <c r="AG268" s="3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"/>
      <c r="BE268" s="3"/>
      <c r="BF268" s="3"/>
      <c r="BH268" s="16">
        <v>18.149999999999999</v>
      </c>
      <c r="BI268" s="16">
        <f t="shared" si="158"/>
        <v>36.662999999999997</v>
      </c>
      <c r="BJ268" s="17"/>
      <c r="BK268" s="17"/>
      <c r="BO268" s="50">
        <f t="shared" si="154"/>
        <v>63</v>
      </c>
      <c r="BP268" s="56">
        <f t="shared" si="146"/>
        <v>0.73799999999999999</v>
      </c>
      <c r="BQ268" s="56">
        <f t="shared" si="147"/>
        <v>0.433</v>
      </c>
      <c r="BS268" s="3">
        <v>0.3</v>
      </c>
      <c r="BT268" s="8"/>
      <c r="BV268" s="16" t="s">
        <v>233</v>
      </c>
      <c r="BW268" s="16" t="s">
        <v>233</v>
      </c>
      <c r="BX268" s="3">
        <f t="shared" si="159"/>
        <v>3.7</v>
      </c>
      <c r="BY268" s="16" t="s">
        <v>233</v>
      </c>
      <c r="BZ268" s="16" t="s">
        <v>233</v>
      </c>
      <c r="CA268" s="16" t="s">
        <v>233</v>
      </c>
      <c r="CB268" s="16" t="s">
        <v>233</v>
      </c>
      <c r="CC268" s="16" t="s">
        <v>233</v>
      </c>
      <c r="CD268" s="16" t="s">
        <v>233</v>
      </c>
      <c r="CE268" s="16" t="s">
        <v>233</v>
      </c>
      <c r="CF268" s="1">
        <f t="shared" si="155"/>
        <v>9.3000000000000007</v>
      </c>
      <c r="CG268" s="16" t="s">
        <v>233</v>
      </c>
      <c r="CH268" s="16" t="s">
        <v>233</v>
      </c>
      <c r="CI268" s="16" t="s">
        <v>233</v>
      </c>
      <c r="CJ268" s="16" t="s">
        <v>233</v>
      </c>
      <c r="CK268" s="16" t="s">
        <v>233</v>
      </c>
      <c r="CL268" s="16" t="s">
        <v>233</v>
      </c>
      <c r="CM268" s="16" t="s">
        <v>233</v>
      </c>
      <c r="CN268" s="1">
        <f t="shared" si="156"/>
        <v>-0.6</v>
      </c>
      <c r="CO268" s="16" t="s">
        <v>233</v>
      </c>
      <c r="CP268" s="16" t="s">
        <v>233</v>
      </c>
      <c r="CQ268" s="16" t="s">
        <v>233</v>
      </c>
      <c r="CR268" s="16" t="s">
        <v>233</v>
      </c>
      <c r="CS268" s="16" t="s">
        <v>233</v>
      </c>
      <c r="CT268" s="16" t="s">
        <v>233</v>
      </c>
      <c r="CU268" s="2">
        <f t="shared" si="150"/>
        <v>63</v>
      </c>
      <c r="CV268" s="18" t="s">
        <v>233</v>
      </c>
      <c r="CW268" s="1">
        <f>ROUND(PPTest!K268,1)</f>
        <v>0.3</v>
      </c>
      <c r="CX268" s="16" t="s">
        <v>233</v>
      </c>
      <c r="CY268" s="16" t="s">
        <v>233</v>
      </c>
      <c r="CZ268" s="20">
        <f t="shared" si="160"/>
        <v>0.73799999999999999</v>
      </c>
      <c r="DA268" s="20">
        <f t="shared" si="161"/>
        <v>0.433</v>
      </c>
      <c r="DB268" s="16" t="s">
        <v>233</v>
      </c>
      <c r="DD268" s="1">
        <v>6.1</v>
      </c>
      <c r="DE268" s="1">
        <v>10.199999999999999</v>
      </c>
      <c r="DF268" s="1">
        <v>3.7</v>
      </c>
      <c r="DG268" s="1">
        <v>91.8</v>
      </c>
      <c r="DH268" s="1">
        <v>79</v>
      </c>
      <c r="DZ268" s="1">
        <v>3.9</v>
      </c>
      <c r="EA268" s="1">
        <v>10</v>
      </c>
      <c r="EB268" s="1">
        <v>-2.2000000000000002</v>
      </c>
      <c r="EC268" s="1">
        <v>0</v>
      </c>
    </row>
    <row r="269" spans="1:133" x14ac:dyDescent="0.2">
      <c r="A269" s="40">
        <v>35327</v>
      </c>
      <c r="B269" s="34">
        <v>263</v>
      </c>
      <c r="C269" s="34"/>
      <c r="D269" s="34"/>
      <c r="E269" s="50">
        <f t="shared" si="151"/>
        <v>3.3</v>
      </c>
      <c r="P269" s="17"/>
      <c r="R269" s="50">
        <f t="shared" si="152"/>
        <v>7.8</v>
      </c>
      <c r="AD269" s="17"/>
      <c r="AF269" s="50">
        <f t="shared" si="153"/>
        <v>-1.4</v>
      </c>
      <c r="AG269" s="3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"/>
      <c r="BE269" s="3"/>
      <c r="BF269" s="3"/>
      <c r="BH269" s="16">
        <v>17.89</v>
      </c>
      <c r="BI269" s="16">
        <f t="shared" si="158"/>
        <v>36.137799999999999</v>
      </c>
      <c r="BJ269" s="17"/>
      <c r="BK269" s="17"/>
      <c r="BO269" s="50">
        <f t="shared" si="154"/>
        <v>72</v>
      </c>
      <c r="BP269" s="56">
        <f t="shared" si="146"/>
        <v>0.76200000000000001</v>
      </c>
      <c r="BQ269" s="56">
        <f t="shared" si="147"/>
        <v>0.29599999999999999</v>
      </c>
      <c r="BS269" s="3">
        <v>2.8</v>
      </c>
      <c r="BT269" s="8"/>
      <c r="BV269" s="16" t="s">
        <v>233</v>
      </c>
      <c r="BW269" s="16" t="s">
        <v>233</v>
      </c>
      <c r="BX269" s="3">
        <f t="shared" si="159"/>
        <v>3.3</v>
      </c>
      <c r="BY269" s="16" t="s">
        <v>233</v>
      </c>
      <c r="BZ269" s="16" t="s">
        <v>233</v>
      </c>
      <c r="CA269" s="16" t="s">
        <v>233</v>
      </c>
      <c r="CB269" s="16" t="s">
        <v>233</v>
      </c>
      <c r="CC269" s="16" t="s">
        <v>233</v>
      </c>
      <c r="CD269" s="16" t="s">
        <v>233</v>
      </c>
      <c r="CE269" s="16" t="s">
        <v>233</v>
      </c>
      <c r="CF269" s="1">
        <f t="shared" si="155"/>
        <v>7.8</v>
      </c>
      <c r="CG269" s="16" t="s">
        <v>233</v>
      </c>
      <c r="CH269" s="16" t="s">
        <v>233</v>
      </c>
      <c r="CI269" s="16" t="s">
        <v>233</v>
      </c>
      <c r="CJ269" s="16" t="s">
        <v>233</v>
      </c>
      <c r="CK269" s="16" t="s">
        <v>233</v>
      </c>
      <c r="CL269" s="16" t="s">
        <v>233</v>
      </c>
      <c r="CM269" s="16" t="s">
        <v>233</v>
      </c>
      <c r="CN269" s="1">
        <f t="shared" si="156"/>
        <v>-1.4</v>
      </c>
      <c r="CO269" s="16" t="s">
        <v>233</v>
      </c>
      <c r="CP269" s="16" t="s">
        <v>233</v>
      </c>
      <c r="CQ269" s="16" t="s">
        <v>233</v>
      </c>
      <c r="CR269" s="16" t="s">
        <v>233</v>
      </c>
      <c r="CS269" s="16" t="s">
        <v>233</v>
      </c>
      <c r="CT269" s="16" t="s">
        <v>233</v>
      </c>
      <c r="CU269" s="2">
        <f t="shared" si="150"/>
        <v>72</v>
      </c>
      <c r="CV269" s="18" t="s">
        <v>233</v>
      </c>
      <c r="CW269" s="1">
        <f>ROUND(PPTest!K269,1)</f>
        <v>2.9</v>
      </c>
      <c r="CX269" s="16" t="s">
        <v>233</v>
      </c>
      <c r="CY269" s="16" t="s">
        <v>233</v>
      </c>
      <c r="CZ269" s="20">
        <f t="shared" si="160"/>
        <v>0.76200000000000001</v>
      </c>
      <c r="DA269" s="20">
        <f t="shared" si="161"/>
        <v>0.29599999999999999</v>
      </c>
      <c r="DB269" s="16" t="s">
        <v>233</v>
      </c>
      <c r="DD269" s="1">
        <v>5.7</v>
      </c>
      <c r="DE269" s="1">
        <v>8.6999999999999993</v>
      </c>
      <c r="DF269" s="1">
        <v>2.6</v>
      </c>
      <c r="DG269" s="1">
        <v>95.7</v>
      </c>
      <c r="DH269" s="1">
        <v>89</v>
      </c>
      <c r="DZ269" s="1">
        <v>3.6</v>
      </c>
      <c r="EA269" s="1">
        <v>5.9</v>
      </c>
      <c r="EB269" s="1">
        <v>0.8</v>
      </c>
      <c r="EC269" s="1">
        <v>8.9</v>
      </c>
    </row>
    <row r="270" spans="1:133" x14ac:dyDescent="0.2">
      <c r="A270" s="40">
        <v>35328</v>
      </c>
      <c r="B270" s="34">
        <v>264</v>
      </c>
      <c r="C270" s="34"/>
      <c r="D270" s="34"/>
      <c r="E270" s="50">
        <f t="shared" si="151"/>
        <v>1.2</v>
      </c>
      <c r="P270" s="17"/>
      <c r="R270" s="50">
        <f t="shared" si="152"/>
        <v>4.2</v>
      </c>
      <c r="AD270" s="17"/>
      <c r="AF270" s="50">
        <f t="shared" si="153"/>
        <v>-1.8</v>
      </c>
      <c r="AG270" s="3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"/>
      <c r="BE270" s="3"/>
      <c r="BF270" s="3"/>
      <c r="BH270" s="16">
        <v>17.64</v>
      </c>
      <c r="BI270" s="16">
        <f t="shared" si="158"/>
        <v>35.632800000000003</v>
      </c>
      <c r="BJ270" s="17"/>
      <c r="BK270" s="17"/>
      <c r="BO270" s="50">
        <f t="shared" si="154"/>
        <v>80</v>
      </c>
      <c r="BP270" s="56">
        <f t="shared" si="146"/>
        <v>0.66</v>
      </c>
      <c r="BQ270" s="56">
        <f t="shared" si="147"/>
        <v>0.16500000000000001</v>
      </c>
      <c r="BS270" s="3">
        <v>18.3</v>
      </c>
      <c r="BT270" s="8"/>
      <c r="BV270" s="16" t="s">
        <v>233</v>
      </c>
      <c r="BW270" s="16" t="s">
        <v>233</v>
      </c>
      <c r="BX270" s="3">
        <f t="shared" si="159"/>
        <v>1.2</v>
      </c>
      <c r="BY270" s="16" t="s">
        <v>233</v>
      </c>
      <c r="BZ270" s="16" t="s">
        <v>233</v>
      </c>
      <c r="CA270" s="16" t="s">
        <v>233</v>
      </c>
      <c r="CB270" s="16" t="s">
        <v>233</v>
      </c>
      <c r="CC270" s="16" t="s">
        <v>233</v>
      </c>
      <c r="CD270" s="16" t="s">
        <v>233</v>
      </c>
      <c r="CE270" s="16" t="s">
        <v>233</v>
      </c>
      <c r="CF270" s="1">
        <f t="shared" si="155"/>
        <v>4.2</v>
      </c>
      <c r="CG270" s="16" t="s">
        <v>233</v>
      </c>
      <c r="CH270" s="16" t="s">
        <v>233</v>
      </c>
      <c r="CI270" s="16" t="s">
        <v>233</v>
      </c>
      <c r="CJ270" s="16" t="s">
        <v>233</v>
      </c>
      <c r="CK270" s="16" t="s">
        <v>233</v>
      </c>
      <c r="CL270" s="16" t="s">
        <v>233</v>
      </c>
      <c r="CM270" s="16" t="s">
        <v>233</v>
      </c>
      <c r="CN270" s="1">
        <f t="shared" si="156"/>
        <v>-1.8</v>
      </c>
      <c r="CO270" s="16" t="s">
        <v>233</v>
      </c>
      <c r="CP270" s="16" t="s">
        <v>233</v>
      </c>
      <c r="CQ270" s="16" t="s">
        <v>233</v>
      </c>
      <c r="CR270" s="16" t="s">
        <v>233</v>
      </c>
      <c r="CS270" s="16" t="s">
        <v>233</v>
      </c>
      <c r="CT270" s="16" t="s">
        <v>233</v>
      </c>
      <c r="CU270" s="2">
        <f t="shared" si="150"/>
        <v>80</v>
      </c>
      <c r="CV270" s="18" t="s">
        <v>233</v>
      </c>
      <c r="CW270" s="1">
        <f>ROUND(PPTest!K270,1)</f>
        <v>19.2</v>
      </c>
      <c r="CX270" s="16" t="s">
        <v>233</v>
      </c>
      <c r="CY270" s="16" t="s">
        <v>233</v>
      </c>
      <c r="CZ270" s="20">
        <f t="shared" si="160"/>
        <v>0.66</v>
      </c>
      <c r="DA270" s="20">
        <f t="shared" si="161"/>
        <v>0.16500000000000001</v>
      </c>
      <c r="DB270" s="16" t="s">
        <v>233</v>
      </c>
      <c r="DD270" s="1">
        <v>3.4</v>
      </c>
      <c r="DE270" s="1">
        <v>5.0999999999999996</v>
      </c>
      <c r="DF270" s="1">
        <v>2.1</v>
      </c>
      <c r="DG270" s="1">
        <v>98.6</v>
      </c>
      <c r="DH270" s="1">
        <v>97</v>
      </c>
      <c r="DZ270" s="1">
        <v>2.2999999999999998</v>
      </c>
      <c r="EA270" s="1">
        <v>4</v>
      </c>
      <c r="EB270" s="1">
        <v>1.2</v>
      </c>
      <c r="EC270" s="1">
        <v>0.8</v>
      </c>
    </row>
    <row r="271" spans="1:133" x14ac:dyDescent="0.2">
      <c r="A271" s="40">
        <v>35329</v>
      </c>
      <c r="B271" s="34">
        <v>265</v>
      </c>
      <c r="C271" s="34"/>
      <c r="D271" s="34"/>
      <c r="E271" s="50">
        <f t="shared" si="151"/>
        <v>-0.2</v>
      </c>
      <c r="P271" s="17"/>
      <c r="R271" s="50">
        <f t="shared" si="152"/>
        <v>4</v>
      </c>
      <c r="AD271" s="17"/>
      <c r="AF271" s="50">
        <f t="shared" si="153"/>
        <v>-3.3</v>
      </c>
      <c r="AG271" s="3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"/>
      <c r="BE271" s="3"/>
      <c r="BF271" s="3"/>
      <c r="BH271" s="16">
        <v>17.38</v>
      </c>
      <c r="BI271" s="16">
        <f t="shared" si="158"/>
        <v>35.107599999999998</v>
      </c>
      <c r="BJ271" s="17"/>
      <c r="BK271" s="17"/>
      <c r="BO271" s="50">
        <f t="shared" si="154"/>
        <v>77</v>
      </c>
      <c r="BP271" s="56">
        <f t="shared" si="146"/>
        <v>0.626</v>
      </c>
      <c r="BQ271" s="56">
        <f t="shared" si="147"/>
        <v>0.187</v>
      </c>
      <c r="BS271" s="3">
        <v>10.4</v>
      </c>
      <c r="BT271" s="8"/>
      <c r="BV271" s="16" t="s">
        <v>233</v>
      </c>
      <c r="BW271" s="16" t="s">
        <v>233</v>
      </c>
      <c r="BX271" s="3">
        <f t="shared" si="159"/>
        <v>-0.2</v>
      </c>
      <c r="BY271" s="16" t="s">
        <v>233</v>
      </c>
      <c r="BZ271" s="16" t="s">
        <v>233</v>
      </c>
      <c r="CA271" s="16" t="s">
        <v>233</v>
      </c>
      <c r="CB271" s="16" t="s">
        <v>233</v>
      </c>
      <c r="CC271" s="16" t="s">
        <v>233</v>
      </c>
      <c r="CD271" s="16" t="s">
        <v>233</v>
      </c>
      <c r="CE271" s="16" t="s">
        <v>233</v>
      </c>
      <c r="CF271" s="1">
        <f t="shared" si="155"/>
        <v>4</v>
      </c>
      <c r="CG271" s="16" t="s">
        <v>233</v>
      </c>
      <c r="CH271" s="16" t="s">
        <v>233</v>
      </c>
      <c r="CI271" s="16" t="s">
        <v>233</v>
      </c>
      <c r="CJ271" s="16" t="s">
        <v>233</v>
      </c>
      <c r="CK271" s="16" t="s">
        <v>233</v>
      </c>
      <c r="CL271" s="16" t="s">
        <v>233</v>
      </c>
      <c r="CM271" s="16" t="s">
        <v>233</v>
      </c>
      <c r="CN271" s="1">
        <f t="shared" si="156"/>
        <v>-3.3</v>
      </c>
      <c r="CO271" s="16" t="s">
        <v>233</v>
      </c>
      <c r="CP271" s="16" t="s">
        <v>233</v>
      </c>
      <c r="CQ271" s="16" t="s">
        <v>233</v>
      </c>
      <c r="CR271" s="16" t="s">
        <v>233</v>
      </c>
      <c r="CS271" s="16" t="s">
        <v>233</v>
      </c>
      <c r="CT271" s="16" t="s">
        <v>233</v>
      </c>
      <c r="CU271" s="2">
        <f t="shared" si="150"/>
        <v>77</v>
      </c>
      <c r="CV271" s="18" t="s">
        <v>233</v>
      </c>
      <c r="CW271" s="1">
        <f>ROUND(PPTest!K271,1)</f>
        <v>10.9</v>
      </c>
      <c r="CX271" s="16" t="s">
        <v>233</v>
      </c>
      <c r="CY271" s="16" t="s">
        <v>233</v>
      </c>
      <c r="CZ271" s="20">
        <f t="shared" si="160"/>
        <v>0.626</v>
      </c>
      <c r="DA271" s="20">
        <f t="shared" si="161"/>
        <v>0.187</v>
      </c>
      <c r="DB271" s="16" t="s">
        <v>233</v>
      </c>
      <c r="DD271" s="1">
        <v>1.8</v>
      </c>
      <c r="DE271" s="1">
        <v>4.9000000000000004</v>
      </c>
      <c r="DF271" s="1">
        <v>0.1</v>
      </c>
      <c r="DG271" s="1">
        <v>98.8</v>
      </c>
      <c r="DH271" s="1">
        <v>94</v>
      </c>
      <c r="DZ271" s="1">
        <v>0.8</v>
      </c>
      <c r="EA271" s="1">
        <v>5.4</v>
      </c>
      <c r="EB271" s="1">
        <v>-2.2000000000000002</v>
      </c>
      <c r="EC271" s="1">
        <v>0</v>
      </c>
    </row>
    <row r="272" spans="1:133" x14ac:dyDescent="0.2">
      <c r="A272" s="40">
        <v>35330</v>
      </c>
      <c r="B272" s="34">
        <v>266</v>
      </c>
      <c r="C272" s="34"/>
      <c r="D272" s="34"/>
      <c r="E272" s="50">
        <f t="shared" si="151"/>
        <v>-0.3</v>
      </c>
      <c r="P272" s="17"/>
      <c r="R272" s="50">
        <f t="shared" si="152"/>
        <v>4.2</v>
      </c>
      <c r="AD272" s="17"/>
      <c r="AF272" s="50">
        <f t="shared" si="153"/>
        <v>-3.7</v>
      </c>
      <c r="AG272" s="3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"/>
      <c r="BE272" s="3"/>
      <c r="BF272" s="3"/>
      <c r="BH272" s="16">
        <v>17.13</v>
      </c>
      <c r="BI272" s="16">
        <f t="shared" si="158"/>
        <v>34.602599999999995</v>
      </c>
      <c r="BJ272" s="17"/>
      <c r="BK272" s="17"/>
      <c r="BO272" s="50">
        <f t="shared" si="154"/>
        <v>72</v>
      </c>
      <c r="BP272" s="56">
        <f t="shared" si="146"/>
        <v>0.59399999999999997</v>
      </c>
      <c r="BQ272" s="56">
        <f t="shared" si="147"/>
        <v>0.23100000000000001</v>
      </c>
      <c r="BS272" s="3">
        <v>2.5</v>
      </c>
      <c r="BT272" s="8"/>
      <c r="BV272" s="16" t="s">
        <v>233</v>
      </c>
      <c r="BW272" s="16" t="s">
        <v>233</v>
      </c>
      <c r="BX272" s="3">
        <f t="shared" si="159"/>
        <v>-0.3</v>
      </c>
      <c r="BY272" s="16" t="s">
        <v>233</v>
      </c>
      <c r="BZ272" s="16" t="s">
        <v>233</v>
      </c>
      <c r="CA272" s="16" t="s">
        <v>233</v>
      </c>
      <c r="CB272" s="16" t="s">
        <v>233</v>
      </c>
      <c r="CC272" s="16" t="s">
        <v>233</v>
      </c>
      <c r="CD272" s="16" t="s">
        <v>233</v>
      </c>
      <c r="CE272" s="16" t="s">
        <v>233</v>
      </c>
      <c r="CF272" s="1">
        <f t="shared" si="155"/>
        <v>4.2</v>
      </c>
      <c r="CG272" s="16" t="s">
        <v>233</v>
      </c>
      <c r="CH272" s="16" t="s">
        <v>233</v>
      </c>
      <c r="CI272" s="16" t="s">
        <v>233</v>
      </c>
      <c r="CJ272" s="16" t="s">
        <v>233</v>
      </c>
      <c r="CK272" s="16" t="s">
        <v>233</v>
      </c>
      <c r="CL272" s="16" t="s">
        <v>233</v>
      </c>
      <c r="CM272" s="16" t="s">
        <v>233</v>
      </c>
      <c r="CN272" s="1">
        <f t="shared" si="156"/>
        <v>-3.7</v>
      </c>
      <c r="CO272" s="16" t="s">
        <v>233</v>
      </c>
      <c r="CP272" s="16" t="s">
        <v>233</v>
      </c>
      <c r="CQ272" s="16" t="s">
        <v>233</v>
      </c>
      <c r="CR272" s="16" t="s">
        <v>233</v>
      </c>
      <c r="CS272" s="16" t="s">
        <v>233</v>
      </c>
      <c r="CT272" s="16" t="s">
        <v>233</v>
      </c>
      <c r="CU272" s="2">
        <f t="shared" si="150"/>
        <v>72</v>
      </c>
      <c r="CV272" s="18" t="s">
        <v>233</v>
      </c>
      <c r="CW272" s="1">
        <f>ROUND(PPTest!K272,1)</f>
        <v>2.6</v>
      </c>
      <c r="CX272" s="16" t="s">
        <v>233</v>
      </c>
      <c r="CY272" s="16" t="s">
        <v>233</v>
      </c>
      <c r="CZ272" s="20">
        <f t="shared" si="160"/>
        <v>0.59399999999999997</v>
      </c>
      <c r="DA272" s="20">
        <f t="shared" si="161"/>
        <v>0.23100000000000001</v>
      </c>
      <c r="DB272" s="16" t="s">
        <v>233</v>
      </c>
      <c r="DD272" s="1">
        <v>1.7</v>
      </c>
      <c r="DE272" s="1">
        <v>5.0999999999999996</v>
      </c>
      <c r="DF272" s="1">
        <v>-0.4</v>
      </c>
      <c r="DG272" s="1">
        <v>97.6</v>
      </c>
      <c r="DH272" s="1">
        <v>88</v>
      </c>
      <c r="DZ272" s="1">
        <v>-0.4</v>
      </c>
      <c r="EA272" s="1">
        <v>3.3</v>
      </c>
      <c r="EB272" s="1">
        <v>-4.4000000000000004</v>
      </c>
      <c r="EC272" s="1">
        <v>1.7</v>
      </c>
    </row>
    <row r="273" spans="1:133" x14ac:dyDescent="0.2">
      <c r="A273" s="40">
        <v>35331</v>
      </c>
      <c r="B273" s="34">
        <v>267</v>
      </c>
      <c r="C273" s="34"/>
      <c r="D273" s="34"/>
      <c r="E273" s="50">
        <f t="shared" si="151"/>
        <v>0.2</v>
      </c>
      <c r="P273" s="17"/>
      <c r="R273" s="50">
        <f t="shared" si="152"/>
        <v>7</v>
      </c>
      <c r="AD273" s="17"/>
      <c r="AF273" s="50">
        <f t="shared" si="153"/>
        <v>-4</v>
      </c>
      <c r="AG273" s="3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"/>
      <c r="BE273" s="3"/>
      <c r="BF273" s="3"/>
      <c r="BH273" s="16">
        <v>16.87</v>
      </c>
      <c r="BI273" s="16">
        <f t="shared" si="158"/>
        <v>34.077400000000004</v>
      </c>
      <c r="BJ273" s="17"/>
      <c r="BK273" s="17"/>
      <c r="BO273" s="50">
        <f t="shared" si="154"/>
        <v>43</v>
      </c>
      <c r="BP273" s="56">
        <f t="shared" si="146"/>
        <v>0.43099999999999999</v>
      </c>
      <c r="BQ273" s="56">
        <f t="shared" si="147"/>
        <v>0.57099999999999995</v>
      </c>
      <c r="BS273" s="3">
        <v>0</v>
      </c>
      <c r="BT273" s="8"/>
      <c r="BV273" s="16" t="s">
        <v>233</v>
      </c>
      <c r="BW273" s="16" t="s">
        <v>233</v>
      </c>
      <c r="BX273" s="3">
        <f t="shared" si="159"/>
        <v>0.2</v>
      </c>
      <c r="BY273" s="16" t="s">
        <v>233</v>
      </c>
      <c r="BZ273" s="16" t="s">
        <v>233</v>
      </c>
      <c r="CA273" s="16" t="s">
        <v>233</v>
      </c>
      <c r="CB273" s="16" t="s">
        <v>233</v>
      </c>
      <c r="CC273" s="16" t="s">
        <v>233</v>
      </c>
      <c r="CD273" s="16" t="s">
        <v>233</v>
      </c>
      <c r="CE273" s="16" t="s">
        <v>233</v>
      </c>
      <c r="CF273" s="1">
        <f t="shared" si="155"/>
        <v>7</v>
      </c>
      <c r="CG273" s="16" t="s">
        <v>233</v>
      </c>
      <c r="CH273" s="16" t="s">
        <v>233</v>
      </c>
      <c r="CI273" s="16" t="s">
        <v>233</v>
      </c>
      <c r="CJ273" s="16" t="s">
        <v>233</v>
      </c>
      <c r="CK273" s="16" t="s">
        <v>233</v>
      </c>
      <c r="CL273" s="16" t="s">
        <v>233</v>
      </c>
      <c r="CM273" s="16" t="s">
        <v>233</v>
      </c>
      <c r="CN273" s="1">
        <f t="shared" si="156"/>
        <v>-4</v>
      </c>
      <c r="CO273" s="16" t="s">
        <v>233</v>
      </c>
      <c r="CP273" s="16" t="s">
        <v>233</v>
      </c>
      <c r="CQ273" s="16" t="s">
        <v>233</v>
      </c>
      <c r="CR273" s="16" t="s">
        <v>233</v>
      </c>
      <c r="CS273" s="16" t="s">
        <v>233</v>
      </c>
      <c r="CT273" s="16" t="s">
        <v>233</v>
      </c>
      <c r="CU273" s="2">
        <f t="shared" si="150"/>
        <v>43</v>
      </c>
      <c r="CV273" s="18" t="s">
        <v>233</v>
      </c>
      <c r="CW273" s="1">
        <f>ROUND(PPTest!K273,1)</f>
        <v>0</v>
      </c>
      <c r="CX273" s="16" t="s">
        <v>233</v>
      </c>
      <c r="CY273" s="16" t="s">
        <v>233</v>
      </c>
      <c r="CZ273" s="20">
        <f t="shared" si="160"/>
        <v>0.43099999999999999</v>
      </c>
      <c r="DA273" s="20">
        <f t="shared" si="161"/>
        <v>0.57099999999999995</v>
      </c>
      <c r="DB273" s="16" t="s">
        <v>233</v>
      </c>
      <c r="DD273" s="1">
        <v>2.2000000000000002</v>
      </c>
      <c r="DE273" s="1">
        <v>7.9</v>
      </c>
      <c r="DF273" s="1">
        <v>-0.8</v>
      </c>
      <c r="DG273" s="1">
        <v>87.3</v>
      </c>
      <c r="DH273" s="1">
        <v>56</v>
      </c>
      <c r="DZ273" s="1">
        <v>0.2</v>
      </c>
      <c r="EA273" s="1">
        <v>7.6</v>
      </c>
      <c r="EB273" s="1">
        <v>-6</v>
      </c>
      <c r="EC273" s="1">
        <v>0</v>
      </c>
    </row>
    <row r="274" spans="1:133" x14ac:dyDescent="0.2">
      <c r="A274" s="40">
        <v>35332</v>
      </c>
      <c r="B274" s="34">
        <v>268</v>
      </c>
      <c r="C274" s="34"/>
      <c r="D274" s="34"/>
      <c r="E274" s="50">
        <f t="shared" si="151"/>
        <v>1.1000000000000001</v>
      </c>
      <c r="P274" s="17"/>
      <c r="R274" s="50">
        <f t="shared" si="152"/>
        <v>7.9</v>
      </c>
      <c r="AD274" s="17"/>
      <c r="AF274" s="50">
        <f t="shared" si="153"/>
        <v>-3.9</v>
      </c>
      <c r="AG274" s="3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"/>
      <c r="BE274" s="3"/>
      <c r="BF274" s="3"/>
      <c r="BH274" s="16">
        <v>16.62</v>
      </c>
      <c r="BI274" s="16">
        <f t="shared" si="158"/>
        <v>33.572400000000002</v>
      </c>
      <c r="BJ274" s="17"/>
      <c r="BK274" s="17"/>
      <c r="BO274" s="50">
        <f t="shared" si="154"/>
        <v>44</v>
      </c>
      <c r="BP274" s="56">
        <f t="shared" si="146"/>
        <v>0.46899999999999997</v>
      </c>
      <c r="BQ274" s="56">
        <f t="shared" si="147"/>
        <v>0.59699999999999998</v>
      </c>
      <c r="BS274" s="3">
        <v>0.3</v>
      </c>
      <c r="BT274" s="8"/>
      <c r="BV274" s="16" t="s">
        <v>233</v>
      </c>
      <c r="BW274" s="16" t="s">
        <v>233</v>
      </c>
      <c r="BX274" s="3">
        <f t="shared" si="159"/>
        <v>1.1000000000000001</v>
      </c>
      <c r="BY274" s="16" t="s">
        <v>233</v>
      </c>
      <c r="BZ274" s="16" t="s">
        <v>233</v>
      </c>
      <c r="CA274" s="16" t="s">
        <v>233</v>
      </c>
      <c r="CB274" s="16" t="s">
        <v>233</v>
      </c>
      <c r="CC274" s="16" t="s">
        <v>233</v>
      </c>
      <c r="CD274" s="16" t="s">
        <v>233</v>
      </c>
      <c r="CE274" s="16" t="s">
        <v>233</v>
      </c>
      <c r="CF274" s="1">
        <f t="shared" si="155"/>
        <v>7.9</v>
      </c>
      <c r="CG274" s="16" t="s">
        <v>233</v>
      </c>
      <c r="CH274" s="16" t="s">
        <v>233</v>
      </c>
      <c r="CI274" s="16" t="s">
        <v>233</v>
      </c>
      <c r="CJ274" s="16" t="s">
        <v>233</v>
      </c>
      <c r="CK274" s="16" t="s">
        <v>233</v>
      </c>
      <c r="CL274" s="16" t="s">
        <v>233</v>
      </c>
      <c r="CM274" s="16" t="s">
        <v>233</v>
      </c>
      <c r="CN274" s="1">
        <f t="shared" si="156"/>
        <v>-3.9</v>
      </c>
      <c r="CO274" s="16" t="s">
        <v>233</v>
      </c>
      <c r="CP274" s="16" t="s">
        <v>233</v>
      </c>
      <c r="CQ274" s="16" t="s">
        <v>233</v>
      </c>
      <c r="CR274" s="16" t="s">
        <v>233</v>
      </c>
      <c r="CS274" s="16" t="s">
        <v>233</v>
      </c>
      <c r="CT274" s="16" t="s">
        <v>233</v>
      </c>
      <c r="CU274" s="2">
        <f t="shared" si="150"/>
        <v>44</v>
      </c>
      <c r="CV274" s="18" t="s">
        <v>233</v>
      </c>
      <c r="CW274" s="1">
        <f>ROUND(PPTest!K274,1)</f>
        <v>0.3</v>
      </c>
      <c r="CX274" s="16" t="s">
        <v>233</v>
      </c>
      <c r="CY274" s="16" t="s">
        <v>233</v>
      </c>
      <c r="CZ274" s="20">
        <f t="shared" si="160"/>
        <v>0.46899999999999997</v>
      </c>
      <c r="DA274" s="20">
        <f t="shared" si="161"/>
        <v>0.59699999999999998</v>
      </c>
      <c r="DB274" s="16" t="s">
        <v>233</v>
      </c>
      <c r="DD274" s="1">
        <v>3.2</v>
      </c>
      <c r="DE274" s="1">
        <v>8.8000000000000007</v>
      </c>
      <c r="DF274" s="1">
        <v>-0.7</v>
      </c>
      <c r="DG274" s="1">
        <v>79.7</v>
      </c>
      <c r="DH274" s="1">
        <v>57</v>
      </c>
      <c r="DZ274" s="1">
        <v>1.1000000000000001</v>
      </c>
      <c r="EA274" s="1">
        <v>8.3000000000000007</v>
      </c>
      <c r="EB274" s="1">
        <v>-4.5</v>
      </c>
      <c r="EC274" s="1">
        <v>0</v>
      </c>
    </row>
    <row r="275" spans="1:133" x14ac:dyDescent="0.2">
      <c r="A275" s="40">
        <v>35333</v>
      </c>
      <c r="B275" s="34">
        <v>269</v>
      </c>
      <c r="C275" s="34"/>
      <c r="D275" s="34"/>
      <c r="E275" s="50">
        <f t="shared" si="151"/>
        <v>2.7</v>
      </c>
      <c r="P275" s="17"/>
      <c r="R275" s="50">
        <f t="shared" si="152"/>
        <v>8.9</v>
      </c>
      <c r="AD275" s="17"/>
      <c r="AF275" s="50">
        <f t="shared" si="153"/>
        <v>-3.2</v>
      </c>
      <c r="AG275" s="3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"/>
      <c r="BE275" s="3"/>
      <c r="BF275" s="3"/>
      <c r="BH275" s="16">
        <v>16.37</v>
      </c>
      <c r="BI275" s="16">
        <f t="shared" si="158"/>
        <v>33.067399999999999</v>
      </c>
      <c r="BJ275" s="17"/>
      <c r="BK275" s="17"/>
      <c r="BO275" s="50">
        <f t="shared" si="154"/>
        <v>45</v>
      </c>
      <c r="BP275" s="56">
        <f t="shared" si="146"/>
        <v>0.51300000000000001</v>
      </c>
      <c r="BQ275" s="56">
        <f t="shared" si="147"/>
        <v>0.627</v>
      </c>
      <c r="BS275" s="3">
        <v>0</v>
      </c>
      <c r="BT275" s="8"/>
      <c r="BV275" s="16" t="s">
        <v>233</v>
      </c>
      <c r="BW275" s="16" t="s">
        <v>233</v>
      </c>
      <c r="BX275" s="3">
        <f t="shared" si="159"/>
        <v>2.7</v>
      </c>
      <c r="BY275" s="16" t="s">
        <v>233</v>
      </c>
      <c r="BZ275" s="16" t="s">
        <v>233</v>
      </c>
      <c r="CA275" s="16" t="s">
        <v>233</v>
      </c>
      <c r="CB275" s="16" t="s">
        <v>233</v>
      </c>
      <c r="CC275" s="16" t="s">
        <v>233</v>
      </c>
      <c r="CD275" s="16" t="s">
        <v>233</v>
      </c>
      <c r="CE275" s="16" t="s">
        <v>233</v>
      </c>
      <c r="CF275" s="1">
        <f t="shared" si="155"/>
        <v>8.9</v>
      </c>
      <c r="CG275" s="16" t="s">
        <v>233</v>
      </c>
      <c r="CH275" s="16" t="s">
        <v>233</v>
      </c>
      <c r="CI275" s="16" t="s">
        <v>233</v>
      </c>
      <c r="CJ275" s="16" t="s">
        <v>233</v>
      </c>
      <c r="CK275" s="16" t="s">
        <v>233</v>
      </c>
      <c r="CL275" s="16" t="s">
        <v>233</v>
      </c>
      <c r="CM275" s="16" t="s">
        <v>233</v>
      </c>
      <c r="CN275" s="1">
        <f t="shared" si="156"/>
        <v>-3.2</v>
      </c>
      <c r="CO275" s="16" t="s">
        <v>233</v>
      </c>
      <c r="CP275" s="16" t="s">
        <v>233</v>
      </c>
      <c r="CQ275" s="16" t="s">
        <v>233</v>
      </c>
      <c r="CR275" s="16" t="s">
        <v>233</v>
      </c>
      <c r="CS275" s="16" t="s">
        <v>233</v>
      </c>
      <c r="CT275" s="16" t="s">
        <v>233</v>
      </c>
      <c r="CU275" s="2">
        <f t="shared" si="150"/>
        <v>45</v>
      </c>
      <c r="CV275" s="18" t="s">
        <v>233</v>
      </c>
      <c r="CW275" s="1">
        <f>ROUND(PPTest!K275,1)</f>
        <v>0</v>
      </c>
      <c r="CX275" s="16" t="s">
        <v>233</v>
      </c>
      <c r="CY275" s="16" t="s">
        <v>233</v>
      </c>
      <c r="CZ275" s="20">
        <f t="shared" si="160"/>
        <v>0.51300000000000001</v>
      </c>
      <c r="DA275" s="20">
        <f t="shared" si="161"/>
        <v>0.627</v>
      </c>
      <c r="DB275" s="16" t="s">
        <v>233</v>
      </c>
      <c r="DD275" s="1">
        <v>5</v>
      </c>
      <c r="DE275" s="1">
        <v>9.8000000000000007</v>
      </c>
      <c r="DF275" s="1">
        <v>0.3</v>
      </c>
      <c r="DG275" s="1">
        <v>77.7</v>
      </c>
      <c r="DH275" s="1">
        <v>58</v>
      </c>
      <c r="DZ275" s="1">
        <v>3.3</v>
      </c>
      <c r="EA275" s="1">
        <v>8.5</v>
      </c>
      <c r="EB275" s="1">
        <v>-3.3</v>
      </c>
      <c r="EC275" s="1">
        <v>0</v>
      </c>
    </row>
    <row r="276" spans="1:133" x14ac:dyDescent="0.2">
      <c r="A276" s="40">
        <v>35334</v>
      </c>
      <c r="B276" s="34">
        <v>270</v>
      </c>
      <c r="C276" s="34"/>
      <c r="D276" s="34"/>
      <c r="E276" s="50">
        <f t="shared" si="151"/>
        <v>4.8</v>
      </c>
      <c r="P276" s="17"/>
      <c r="R276" s="50">
        <f t="shared" si="152"/>
        <v>10.4</v>
      </c>
      <c r="AD276" s="17"/>
      <c r="AF276" s="50">
        <f t="shared" si="153"/>
        <v>0.1</v>
      </c>
      <c r="AG276" s="3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"/>
      <c r="BE276" s="3"/>
      <c r="BF276" s="3"/>
      <c r="BH276" s="16">
        <v>16.12</v>
      </c>
      <c r="BI276" s="16">
        <f t="shared" si="158"/>
        <v>32.562400000000004</v>
      </c>
      <c r="BJ276" s="17"/>
      <c r="BK276" s="17"/>
      <c r="BO276" s="50">
        <f t="shared" si="154"/>
        <v>63</v>
      </c>
      <c r="BP276" s="56">
        <f t="shared" si="146"/>
        <v>0.79400000000000004</v>
      </c>
      <c r="BQ276" s="56">
        <f t="shared" si="147"/>
        <v>0.46600000000000003</v>
      </c>
      <c r="BS276" s="3">
        <v>0</v>
      </c>
      <c r="BT276" s="8"/>
      <c r="BV276" s="16" t="s">
        <v>233</v>
      </c>
      <c r="BW276" s="16" t="s">
        <v>233</v>
      </c>
      <c r="BX276" s="3">
        <f t="shared" si="159"/>
        <v>4.8</v>
      </c>
      <c r="BY276" s="16" t="s">
        <v>233</v>
      </c>
      <c r="BZ276" s="16" t="s">
        <v>233</v>
      </c>
      <c r="CA276" s="16" t="s">
        <v>233</v>
      </c>
      <c r="CB276" s="16" t="s">
        <v>233</v>
      </c>
      <c r="CC276" s="16" t="s">
        <v>233</v>
      </c>
      <c r="CD276" s="16" t="s">
        <v>233</v>
      </c>
      <c r="CE276" s="16" t="s">
        <v>233</v>
      </c>
      <c r="CF276" s="1">
        <f t="shared" si="155"/>
        <v>10.4</v>
      </c>
      <c r="CG276" s="16" t="s">
        <v>233</v>
      </c>
      <c r="CH276" s="16" t="s">
        <v>233</v>
      </c>
      <c r="CI276" s="16" t="s">
        <v>233</v>
      </c>
      <c r="CJ276" s="16" t="s">
        <v>233</v>
      </c>
      <c r="CK276" s="16" t="s">
        <v>233</v>
      </c>
      <c r="CL276" s="16" t="s">
        <v>233</v>
      </c>
      <c r="CM276" s="16" t="s">
        <v>233</v>
      </c>
      <c r="CN276" s="1">
        <f t="shared" si="156"/>
        <v>0.1</v>
      </c>
      <c r="CO276" s="16" t="s">
        <v>233</v>
      </c>
      <c r="CP276" s="16" t="s">
        <v>233</v>
      </c>
      <c r="CQ276" s="16" t="s">
        <v>233</v>
      </c>
      <c r="CR276" s="16" t="s">
        <v>233</v>
      </c>
      <c r="CS276" s="16" t="s">
        <v>233</v>
      </c>
      <c r="CT276" s="16" t="s">
        <v>233</v>
      </c>
      <c r="CU276" s="2">
        <f t="shared" si="150"/>
        <v>63</v>
      </c>
      <c r="CV276" s="18" t="s">
        <v>233</v>
      </c>
      <c r="CW276" s="1">
        <f>ROUND(PPTest!K276,1)</f>
        <v>0</v>
      </c>
      <c r="CX276" s="16" t="s">
        <v>233</v>
      </c>
      <c r="CY276" s="16" t="s">
        <v>233</v>
      </c>
      <c r="CZ276" s="20">
        <f t="shared" si="160"/>
        <v>0.79400000000000004</v>
      </c>
      <c r="DA276" s="20">
        <f t="shared" si="161"/>
        <v>0.46600000000000003</v>
      </c>
      <c r="DB276" s="16" t="s">
        <v>233</v>
      </c>
      <c r="DD276" s="1">
        <v>7.3</v>
      </c>
      <c r="DE276" s="1">
        <v>11.3</v>
      </c>
      <c r="DF276" s="1">
        <v>4.5</v>
      </c>
      <c r="DG276" s="1">
        <v>87.3</v>
      </c>
      <c r="DH276" s="1">
        <v>79</v>
      </c>
      <c r="DZ276" s="1">
        <v>6.5</v>
      </c>
      <c r="EA276" s="1">
        <v>13.6</v>
      </c>
      <c r="EB276" s="1">
        <v>2.8</v>
      </c>
      <c r="EC276" s="1">
        <v>0.5</v>
      </c>
    </row>
    <row r="277" spans="1:133" x14ac:dyDescent="0.2">
      <c r="A277" s="40">
        <v>35335</v>
      </c>
      <c r="B277" s="34">
        <v>271</v>
      </c>
      <c r="C277" s="34"/>
      <c r="D277" s="34"/>
      <c r="E277" s="50">
        <f t="shared" si="151"/>
        <v>8.4</v>
      </c>
      <c r="P277" s="17"/>
      <c r="R277" s="50">
        <f t="shared" si="152"/>
        <v>15.5</v>
      </c>
      <c r="AD277" s="17"/>
      <c r="AF277" s="50">
        <f t="shared" si="153"/>
        <v>1.5</v>
      </c>
      <c r="AG277" s="3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"/>
      <c r="BE277" s="3"/>
      <c r="BF277" s="3"/>
      <c r="BH277" s="16">
        <v>15.86</v>
      </c>
      <c r="BI277" s="16">
        <f t="shared" si="158"/>
        <v>32.037199999999999</v>
      </c>
      <c r="BJ277" s="17"/>
      <c r="BK277" s="17"/>
      <c r="BO277" s="50">
        <f t="shared" si="154"/>
        <v>56</v>
      </c>
      <c r="BP277" s="56">
        <f t="shared" si="146"/>
        <v>0.98599999999999999</v>
      </c>
      <c r="BQ277" s="56">
        <f t="shared" si="147"/>
        <v>0.77500000000000002</v>
      </c>
      <c r="BS277" s="3">
        <v>0</v>
      </c>
      <c r="BT277" s="8"/>
      <c r="BV277" s="16" t="s">
        <v>233</v>
      </c>
      <c r="BW277" s="16" t="s">
        <v>233</v>
      </c>
      <c r="BX277" s="3">
        <f t="shared" si="159"/>
        <v>8.4</v>
      </c>
      <c r="BY277" s="16" t="s">
        <v>233</v>
      </c>
      <c r="BZ277" s="16" t="s">
        <v>233</v>
      </c>
      <c r="CA277" s="16" t="s">
        <v>233</v>
      </c>
      <c r="CB277" s="16" t="s">
        <v>233</v>
      </c>
      <c r="CC277" s="16" t="s">
        <v>233</v>
      </c>
      <c r="CD277" s="16" t="s">
        <v>233</v>
      </c>
      <c r="CE277" s="16" t="s">
        <v>233</v>
      </c>
      <c r="CF277" s="1">
        <f t="shared" si="155"/>
        <v>15.5</v>
      </c>
      <c r="CG277" s="16" t="s">
        <v>233</v>
      </c>
      <c r="CH277" s="16" t="s">
        <v>233</v>
      </c>
      <c r="CI277" s="16" t="s">
        <v>233</v>
      </c>
      <c r="CJ277" s="16" t="s">
        <v>233</v>
      </c>
      <c r="CK277" s="16" t="s">
        <v>233</v>
      </c>
      <c r="CL277" s="16" t="s">
        <v>233</v>
      </c>
      <c r="CM277" s="16" t="s">
        <v>233</v>
      </c>
      <c r="CN277" s="1">
        <f t="shared" si="156"/>
        <v>1.5</v>
      </c>
      <c r="CO277" s="16" t="s">
        <v>233</v>
      </c>
      <c r="CP277" s="16" t="s">
        <v>233</v>
      </c>
      <c r="CQ277" s="16" t="s">
        <v>233</v>
      </c>
      <c r="CR277" s="16" t="s">
        <v>233</v>
      </c>
      <c r="CS277" s="16" t="s">
        <v>233</v>
      </c>
      <c r="CT277" s="16" t="s">
        <v>233</v>
      </c>
      <c r="CU277" s="2">
        <f t="shared" si="150"/>
        <v>56</v>
      </c>
      <c r="CV277" s="18" t="s">
        <v>233</v>
      </c>
      <c r="CW277" s="1">
        <f>ROUND(PPTest!K277,1)</f>
        <v>0</v>
      </c>
      <c r="CX277" s="16" t="s">
        <v>233</v>
      </c>
      <c r="CY277" s="16" t="s">
        <v>233</v>
      </c>
      <c r="CZ277" s="20">
        <f t="shared" si="160"/>
        <v>0.98599999999999999</v>
      </c>
      <c r="DA277" s="20">
        <f t="shared" si="161"/>
        <v>0.77500000000000002</v>
      </c>
      <c r="DB277" s="16" t="s">
        <v>233</v>
      </c>
      <c r="DD277" s="1">
        <v>11.4</v>
      </c>
      <c r="DE277" s="1">
        <v>16.399999999999999</v>
      </c>
      <c r="DF277" s="1">
        <v>6.3</v>
      </c>
      <c r="DG277" s="1">
        <v>84.9</v>
      </c>
      <c r="DH277" s="1">
        <v>71</v>
      </c>
      <c r="DZ277" s="1">
        <v>9.9</v>
      </c>
      <c r="EA277" s="1">
        <v>18.100000000000001</v>
      </c>
      <c r="EB277" s="1">
        <v>2.8</v>
      </c>
      <c r="EC277" s="1">
        <v>0</v>
      </c>
    </row>
    <row r="278" spans="1:133" x14ac:dyDescent="0.2">
      <c r="A278" s="40">
        <v>35336</v>
      </c>
      <c r="B278" s="34">
        <v>272</v>
      </c>
      <c r="C278" s="34"/>
      <c r="D278" s="34"/>
      <c r="E278" s="50">
        <f t="shared" si="151"/>
        <v>9.3000000000000007</v>
      </c>
      <c r="P278" s="17"/>
      <c r="R278" s="50">
        <f t="shared" si="152"/>
        <v>16.3</v>
      </c>
      <c r="AD278" s="17"/>
      <c r="AF278" s="50">
        <f t="shared" si="153"/>
        <v>4.2</v>
      </c>
      <c r="AG278" s="3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"/>
      <c r="BE278" s="3"/>
      <c r="BF278" s="3"/>
      <c r="BH278" s="16">
        <v>15.61</v>
      </c>
      <c r="BI278" s="16">
        <f t="shared" si="158"/>
        <v>31.5322</v>
      </c>
      <c r="BJ278" s="17"/>
      <c r="BK278" s="17"/>
      <c r="BO278" s="50">
        <f t="shared" si="154"/>
        <v>45</v>
      </c>
      <c r="BP278" s="56">
        <f t="shared" si="146"/>
        <v>0.83399999999999996</v>
      </c>
      <c r="BQ278" s="56">
        <f t="shared" si="147"/>
        <v>1.0189999999999999</v>
      </c>
      <c r="BS278" s="3">
        <v>0</v>
      </c>
      <c r="BT278" s="8"/>
      <c r="BV278" s="16" t="s">
        <v>233</v>
      </c>
      <c r="BW278" s="16" t="s">
        <v>233</v>
      </c>
      <c r="BX278" s="3">
        <f t="shared" si="159"/>
        <v>9.3000000000000007</v>
      </c>
      <c r="BY278" s="16" t="s">
        <v>233</v>
      </c>
      <c r="BZ278" s="16" t="s">
        <v>233</v>
      </c>
      <c r="CA278" s="16" t="s">
        <v>233</v>
      </c>
      <c r="CB278" s="16" t="s">
        <v>233</v>
      </c>
      <c r="CC278" s="16" t="s">
        <v>233</v>
      </c>
      <c r="CD278" s="16" t="s">
        <v>233</v>
      </c>
      <c r="CE278" s="16" t="s">
        <v>233</v>
      </c>
      <c r="CF278" s="1">
        <f t="shared" si="155"/>
        <v>16.3</v>
      </c>
      <c r="CG278" s="16" t="s">
        <v>233</v>
      </c>
      <c r="CH278" s="16" t="s">
        <v>233</v>
      </c>
      <c r="CI278" s="16" t="s">
        <v>233</v>
      </c>
      <c r="CJ278" s="16" t="s">
        <v>233</v>
      </c>
      <c r="CK278" s="16" t="s">
        <v>233</v>
      </c>
      <c r="CL278" s="16" t="s">
        <v>233</v>
      </c>
      <c r="CM278" s="16" t="s">
        <v>233</v>
      </c>
      <c r="CN278" s="1">
        <f t="shared" si="156"/>
        <v>4.2</v>
      </c>
      <c r="CO278" s="16" t="s">
        <v>233</v>
      </c>
      <c r="CP278" s="16" t="s">
        <v>233</v>
      </c>
      <c r="CQ278" s="16" t="s">
        <v>233</v>
      </c>
      <c r="CR278" s="16" t="s">
        <v>233</v>
      </c>
      <c r="CS278" s="16" t="s">
        <v>233</v>
      </c>
      <c r="CT278" s="16" t="s">
        <v>233</v>
      </c>
      <c r="CU278" s="2">
        <f t="shared" si="150"/>
        <v>45</v>
      </c>
      <c r="CV278" s="18" t="s">
        <v>233</v>
      </c>
      <c r="CW278" s="1">
        <f>ROUND(PPTest!K278,1)</f>
        <v>0</v>
      </c>
      <c r="CX278" s="16" t="s">
        <v>233</v>
      </c>
      <c r="CY278" s="16" t="s">
        <v>233</v>
      </c>
      <c r="CZ278" s="20">
        <f t="shared" si="160"/>
        <v>0.83399999999999996</v>
      </c>
      <c r="DA278" s="20">
        <f t="shared" si="161"/>
        <v>1.0189999999999999</v>
      </c>
      <c r="DB278" s="16" t="s">
        <v>233</v>
      </c>
      <c r="DD278" s="1">
        <v>12.3</v>
      </c>
      <c r="DE278" s="1">
        <v>17.2</v>
      </c>
      <c r="DF278" s="1">
        <v>9.9</v>
      </c>
      <c r="DG278" s="1">
        <v>80.5</v>
      </c>
      <c r="DH278" s="1">
        <v>59</v>
      </c>
      <c r="DZ278" s="1">
        <v>10.9</v>
      </c>
      <c r="EA278" s="1">
        <v>17.7</v>
      </c>
      <c r="EB278" s="1">
        <v>1.6</v>
      </c>
      <c r="EC278" s="1">
        <v>0</v>
      </c>
    </row>
    <row r="279" spans="1:133" x14ac:dyDescent="0.2">
      <c r="A279" s="40">
        <v>35337</v>
      </c>
      <c r="B279" s="34">
        <v>273</v>
      </c>
      <c r="C279" s="34"/>
      <c r="D279" s="34"/>
      <c r="E279" s="50">
        <f t="shared" si="151"/>
        <v>6.6</v>
      </c>
      <c r="P279" s="17"/>
      <c r="R279" s="50">
        <f t="shared" si="152"/>
        <v>10.5</v>
      </c>
      <c r="AD279" s="17"/>
      <c r="AF279" s="50">
        <f t="shared" si="153"/>
        <v>1.7</v>
      </c>
      <c r="AG279" s="3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"/>
      <c r="BE279" s="3"/>
      <c r="BF279" s="3"/>
      <c r="BH279" s="16">
        <v>15.36</v>
      </c>
      <c r="BI279" s="16">
        <f t="shared" si="158"/>
        <v>31.027200000000001</v>
      </c>
      <c r="BJ279" s="17"/>
      <c r="BK279" s="17"/>
      <c r="BO279" s="50">
        <f t="shared" si="154"/>
        <v>67</v>
      </c>
      <c r="BP279" s="56">
        <f t="shared" si="146"/>
        <v>0.85</v>
      </c>
      <c r="BQ279" s="56">
        <f t="shared" si="147"/>
        <v>0.41899999999999998</v>
      </c>
      <c r="BS279" s="3">
        <v>1.3</v>
      </c>
      <c r="BT279" s="8"/>
      <c r="BV279" s="16" t="s">
        <v>233</v>
      </c>
      <c r="BW279" s="16" t="s">
        <v>233</v>
      </c>
      <c r="BX279" s="3">
        <f t="shared" si="159"/>
        <v>6.6</v>
      </c>
      <c r="BY279" s="16" t="s">
        <v>233</v>
      </c>
      <c r="BZ279" s="16" t="s">
        <v>233</v>
      </c>
      <c r="CA279" s="16" t="s">
        <v>233</v>
      </c>
      <c r="CB279" s="16" t="s">
        <v>233</v>
      </c>
      <c r="CC279" s="16" t="s">
        <v>233</v>
      </c>
      <c r="CD279" s="16" t="s">
        <v>233</v>
      </c>
      <c r="CE279" s="16" t="s">
        <v>233</v>
      </c>
      <c r="CF279" s="1">
        <f t="shared" si="155"/>
        <v>10.5</v>
      </c>
      <c r="CG279" s="16" t="s">
        <v>233</v>
      </c>
      <c r="CH279" s="16" t="s">
        <v>233</v>
      </c>
      <c r="CI279" s="16" t="s">
        <v>233</v>
      </c>
      <c r="CJ279" s="16" t="s">
        <v>233</v>
      </c>
      <c r="CK279" s="16" t="s">
        <v>233</v>
      </c>
      <c r="CL279" s="16" t="s">
        <v>233</v>
      </c>
      <c r="CM279" s="16" t="s">
        <v>233</v>
      </c>
      <c r="CN279" s="1">
        <f t="shared" si="156"/>
        <v>1.7</v>
      </c>
      <c r="CO279" s="16" t="s">
        <v>233</v>
      </c>
      <c r="CP279" s="16" t="s">
        <v>233</v>
      </c>
      <c r="CQ279" s="16" t="s">
        <v>233</v>
      </c>
      <c r="CR279" s="16" t="s">
        <v>233</v>
      </c>
      <c r="CS279" s="16" t="s">
        <v>233</v>
      </c>
      <c r="CT279" s="16" t="s">
        <v>233</v>
      </c>
      <c r="CU279" s="2">
        <f t="shared" si="150"/>
        <v>67</v>
      </c>
      <c r="CV279" s="18" t="s">
        <v>233</v>
      </c>
      <c r="CW279" s="1">
        <f>ROUND(PPTest!K279,1)</f>
        <v>1.4</v>
      </c>
      <c r="CX279" s="16" t="s">
        <v>233</v>
      </c>
      <c r="CY279" s="16" t="s">
        <v>233</v>
      </c>
      <c r="CZ279" s="20">
        <f t="shared" si="160"/>
        <v>0.85</v>
      </c>
      <c r="DA279" s="20">
        <f t="shared" si="161"/>
        <v>0.41899999999999998</v>
      </c>
      <c r="DB279" s="16" t="s">
        <v>233</v>
      </c>
      <c r="DD279" s="1">
        <v>9.3000000000000007</v>
      </c>
      <c r="DE279" s="1">
        <v>11.4</v>
      </c>
      <c r="DF279" s="1">
        <v>6.6</v>
      </c>
      <c r="DG279" s="1">
        <v>93</v>
      </c>
      <c r="DH279" s="1">
        <v>83</v>
      </c>
      <c r="DZ279" s="1">
        <v>10.4</v>
      </c>
      <c r="EA279" s="1">
        <v>14.5</v>
      </c>
      <c r="EB279" s="1">
        <v>6.1</v>
      </c>
      <c r="EC279" s="1">
        <v>0</v>
      </c>
    </row>
    <row r="280" spans="1:133" x14ac:dyDescent="0.2">
      <c r="A280" s="40">
        <v>35338</v>
      </c>
      <c r="B280" s="34">
        <v>274</v>
      </c>
      <c r="C280" s="34"/>
      <c r="D280" s="34"/>
      <c r="E280" s="50">
        <f t="shared" si="151"/>
        <v>3.9</v>
      </c>
      <c r="P280" s="17"/>
      <c r="R280" s="50">
        <f t="shared" si="152"/>
        <v>11.3</v>
      </c>
      <c r="AD280" s="17"/>
      <c r="AF280" s="50">
        <f t="shared" si="153"/>
        <v>-1.1000000000000001</v>
      </c>
      <c r="AG280" s="3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"/>
      <c r="BE280" s="3"/>
      <c r="BF280" s="3"/>
      <c r="BH280" s="16">
        <v>15.12</v>
      </c>
      <c r="BI280" s="16">
        <f t="shared" si="158"/>
        <v>30.542399999999997</v>
      </c>
      <c r="BJ280" s="17"/>
      <c r="BK280" s="17"/>
      <c r="BO280" s="50">
        <f t="shared" si="154"/>
        <v>54</v>
      </c>
      <c r="BP280" s="56">
        <f t="shared" si="146"/>
        <v>0.72299999999999998</v>
      </c>
      <c r="BQ280" s="56">
        <f t="shared" si="147"/>
        <v>0.61599999999999999</v>
      </c>
      <c r="BS280" s="3">
        <v>3</v>
      </c>
      <c r="BT280" s="8"/>
      <c r="BV280" s="16" t="s">
        <v>233</v>
      </c>
      <c r="BW280" s="16" t="s">
        <v>233</v>
      </c>
      <c r="BX280" s="3">
        <f t="shared" si="159"/>
        <v>3.9</v>
      </c>
      <c r="BY280" s="16" t="s">
        <v>233</v>
      </c>
      <c r="BZ280" s="16" t="s">
        <v>233</v>
      </c>
      <c r="CA280" s="16" t="s">
        <v>233</v>
      </c>
      <c r="CB280" s="16" t="s">
        <v>233</v>
      </c>
      <c r="CC280" s="16" t="s">
        <v>233</v>
      </c>
      <c r="CD280" s="16" t="s">
        <v>233</v>
      </c>
      <c r="CE280" s="16" t="s">
        <v>233</v>
      </c>
      <c r="CF280" s="1">
        <f t="shared" si="155"/>
        <v>11.3</v>
      </c>
      <c r="CG280" s="16" t="s">
        <v>233</v>
      </c>
      <c r="CH280" s="16" t="s">
        <v>233</v>
      </c>
      <c r="CI280" s="16" t="s">
        <v>233</v>
      </c>
      <c r="CJ280" s="16" t="s">
        <v>233</v>
      </c>
      <c r="CK280" s="16" t="s">
        <v>233</v>
      </c>
      <c r="CL280" s="16" t="s">
        <v>233</v>
      </c>
      <c r="CM280" s="16" t="s">
        <v>233</v>
      </c>
      <c r="CN280" s="1">
        <f t="shared" si="156"/>
        <v>-1.1000000000000001</v>
      </c>
      <c r="CO280" s="16" t="s">
        <v>233</v>
      </c>
      <c r="CP280" s="16" t="s">
        <v>233</v>
      </c>
      <c r="CQ280" s="16" t="s">
        <v>233</v>
      </c>
      <c r="CR280" s="16" t="s">
        <v>233</v>
      </c>
      <c r="CS280" s="16" t="s">
        <v>233</v>
      </c>
      <c r="CT280" s="16" t="s">
        <v>233</v>
      </c>
      <c r="CU280" s="2">
        <f t="shared" si="150"/>
        <v>54</v>
      </c>
      <c r="CV280" s="18" t="s">
        <v>233</v>
      </c>
      <c r="CW280" s="1">
        <f>ROUND(PPTest!K280,1)</f>
        <v>3.2</v>
      </c>
      <c r="CX280" s="16" t="s">
        <v>233</v>
      </c>
      <c r="CY280" s="16" t="s">
        <v>233</v>
      </c>
      <c r="CZ280" s="20">
        <f t="shared" si="160"/>
        <v>0.72299999999999998</v>
      </c>
      <c r="DA280" s="20">
        <f t="shared" si="161"/>
        <v>0.61599999999999999</v>
      </c>
      <c r="DB280" s="16" t="s">
        <v>233</v>
      </c>
      <c r="DD280" s="1">
        <v>6.4</v>
      </c>
      <c r="DE280" s="1">
        <v>12.2</v>
      </c>
      <c r="DF280" s="1">
        <v>3</v>
      </c>
      <c r="DG280" s="1">
        <v>88.8</v>
      </c>
      <c r="DH280" s="1">
        <v>68</v>
      </c>
      <c r="DZ280" s="1">
        <v>7.2</v>
      </c>
      <c r="EA280" s="1">
        <v>12.5</v>
      </c>
      <c r="EB280" s="1">
        <v>2.1</v>
      </c>
      <c r="EC280" s="1">
        <v>0</v>
      </c>
    </row>
    <row r="281" spans="1:133" x14ac:dyDescent="0.2">
      <c r="A281" s="40">
        <v>35339</v>
      </c>
      <c r="B281" s="34">
        <v>275</v>
      </c>
      <c r="C281" s="34"/>
      <c r="D281" s="34"/>
      <c r="E281" s="50">
        <f t="shared" si="151"/>
        <v>0.4</v>
      </c>
      <c r="P281" s="17"/>
      <c r="R281" s="50">
        <f t="shared" si="152"/>
        <v>6.2</v>
      </c>
      <c r="AD281" s="17"/>
      <c r="AF281" s="50">
        <f t="shared" si="153"/>
        <v>-4.7</v>
      </c>
      <c r="AG281" s="3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"/>
      <c r="BE281" s="3"/>
      <c r="BF281" s="3"/>
      <c r="BH281" s="16">
        <v>14.87</v>
      </c>
      <c r="BI281" s="16">
        <f t="shared" si="158"/>
        <v>30.037399999999998</v>
      </c>
      <c r="BJ281" s="17"/>
      <c r="BK281" s="17"/>
      <c r="BO281" s="50">
        <f t="shared" si="154"/>
        <v>45</v>
      </c>
      <c r="BP281" s="56">
        <f t="shared" si="146"/>
        <v>0.42599999999999999</v>
      </c>
      <c r="BQ281" s="56">
        <f t="shared" si="147"/>
        <v>0.52100000000000002</v>
      </c>
      <c r="BS281" s="3">
        <v>0</v>
      </c>
      <c r="BT281" s="8"/>
      <c r="BV281" s="16" t="s">
        <v>233</v>
      </c>
      <c r="BW281" s="16" t="s">
        <v>233</v>
      </c>
      <c r="BX281" s="3">
        <f t="shared" si="159"/>
        <v>0.4</v>
      </c>
      <c r="BY281" s="16" t="s">
        <v>233</v>
      </c>
      <c r="BZ281" s="16" t="s">
        <v>233</v>
      </c>
      <c r="CA281" s="16" t="s">
        <v>233</v>
      </c>
      <c r="CB281" s="16" t="s">
        <v>233</v>
      </c>
      <c r="CC281" s="16" t="s">
        <v>233</v>
      </c>
      <c r="CD281" s="16" t="s">
        <v>233</v>
      </c>
      <c r="CE281" s="16" t="s">
        <v>233</v>
      </c>
      <c r="CF281" s="1">
        <f t="shared" si="155"/>
        <v>6.2</v>
      </c>
      <c r="CG281" s="16" t="s">
        <v>233</v>
      </c>
      <c r="CH281" s="16" t="s">
        <v>233</v>
      </c>
      <c r="CI281" s="16" t="s">
        <v>233</v>
      </c>
      <c r="CJ281" s="16" t="s">
        <v>233</v>
      </c>
      <c r="CK281" s="16" t="s">
        <v>233</v>
      </c>
      <c r="CL281" s="16" t="s">
        <v>233</v>
      </c>
      <c r="CM281" s="16" t="s">
        <v>233</v>
      </c>
      <c r="CN281" s="1">
        <f t="shared" si="156"/>
        <v>-4.7</v>
      </c>
      <c r="CO281" s="16" t="s">
        <v>233</v>
      </c>
      <c r="CP281" s="16" t="s">
        <v>233</v>
      </c>
      <c r="CQ281" s="16" t="s">
        <v>233</v>
      </c>
      <c r="CR281" s="16" t="s">
        <v>233</v>
      </c>
      <c r="CS281" s="16" t="s">
        <v>233</v>
      </c>
      <c r="CT281" s="16" t="s">
        <v>233</v>
      </c>
      <c r="CU281" s="2">
        <f t="shared" si="150"/>
        <v>45</v>
      </c>
      <c r="CV281" s="18" t="s">
        <v>233</v>
      </c>
      <c r="CW281" s="1">
        <f>ROUND(PPTest!K281,1)</f>
        <v>0</v>
      </c>
      <c r="CX281" s="16" t="s">
        <v>233</v>
      </c>
      <c r="CY281" s="16" t="s">
        <v>233</v>
      </c>
      <c r="CZ281" s="20">
        <f t="shared" si="160"/>
        <v>0.42599999999999999</v>
      </c>
      <c r="DA281" s="20">
        <f t="shared" si="161"/>
        <v>0.52100000000000002</v>
      </c>
      <c r="DB281" s="16" t="s">
        <v>233</v>
      </c>
      <c r="DD281" s="1">
        <v>2.5</v>
      </c>
      <c r="DE281" s="1">
        <v>7.1</v>
      </c>
      <c r="DF281" s="1">
        <v>-1.7</v>
      </c>
      <c r="DG281" s="1">
        <v>77.5</v>
      </c>
      <c r="DH281" s="1">
        <v>59</v>
      </c>
      <c r="DZ281" s="1">
        <v>1.5</v>
      </c>
      <c r="EA281" s="1">
        <v>8.1</v>
      </c>
      <c r="EB281" s="1">
        <v>-3.9</v>
      </c>
      <c r="EC281" s="1">
        <v>0</v>
      </c>
    </row>
    <row r="282" spans="1:133" x14ac:dyDescent="0.2">
      <c r="A282" s="40">
        <v>35340</v>
      </c>
      <c r="B282" s="34">
        <v>276</v>
      </c>
      <c r="C282" s="34"/>
      <c r="D282" s="34"/>
      <c r="E282" s="50">
        <f t="shared" si="151"/>
        <v>3.9</v>
      </c>
      <c r="P282" s="17"/>
      <c r="R282" s="50">
        <f t="shared" si="152"/>
        <v>10.3</v>
      </c>
      <c r="AD282" s="17"/>
      <c r="AF282" s="50">
        <f t="shared" si="153"/>
        <v>-1.8</v>
      </c>
      <c r="AG282" s="3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"/>
      <c r="BE282" s="3"/>
      <c r="BF282" s="3"/>
      <c r="BH282" s="16">
        <v>14.63</v>
      </c>
      <c r="BI282" s="16">
        <f t="shared" si="158"/>
        <v>29.552600000000002</v>
      </c>
      <c r="BJ282" s="17"/>
      <c r="BK282" s="17"/>
      <c r="BO282" s="50">
        <f t="shared" si="154"/>
        <v>29</v>
      </c>
      <c r="BP282" s="56">
        <f t="shared" si="146"/>
        <v>0.36299999999999999</v>
      </c>
      <c r="BQ282" s="56">
        <f t="shared" si="147"/>
        <v>0.88900000000000001</v>
      </c>
      <c r="BS282" s="3">
        <v>0.3</v>
      </c>
      <c r="BT282" s="8"/>
      <c r="BV282" s="16" t="s">
        <v>233</v>
      </c>
      <c r="BW282" s="16" t="s">
        <v>233</v>
      </c>
      <c r="BX282" s="3">
        <f t="shared" si="159"/>
        <v>3.9</v>
      </c>
      <c r="BY282" s="16" t="s">
        <v>233</v>
      </c>
      <c r="BZ282" s="16" t="s">
        <v>233</v>
      </c>
      <c r="CA282" s="16" t="s">
        <v>233</v>
      </c>
      <c r="CB282" s="16" t="s">
        <v>233</v>
      </c>
      <c r="CC282" s="16" t="s">
        <v>233</v>
      </c>
      <c r="CD282" s="16" t="s">
        <v>233</v>
      </c>
      <c r="CE282" s="16" t="s">
        <v>233</v>
      </c>
      <c r="CF282" s="1">
        <f t="shared" si="155"/>
        <v>10.3</v>
      </c>
      <c r="CG282" s="16" t="s">
        <v>233</v>
      </c>
      <c r="CH282" s="16" t="s">
        <v>233</v>
      </c>
      <c r="CI282" s="16" t="s">
        <v>233</v>
      </c>
      <c r="CJ282" s="16" t="s">
        <v>233</v>
      </c>
      <c r="CK282" s="16" t="s">
        <v>233</v>
      </c>
      <c r="CL282" s="16" t="s">
        <v>233</v>
      </c>
      <c r="CM282" s="16" t="s">
        <v>233</v>
      </c>
      <c r="CN282" s="1">
        <f t="shared" si="156"/>
        <v>-1.8</v>
      </c>
      <c r="CO282" s="16" t="s">
        <v>233</v>
      </c>
      <c r="CP282" s="16" t="s">
        <v>233</v>
      </c>
      <c r="CQ282" s="16" t="s">
        <v>233</v>
      </c>
      <c r="CR282" s="16" t="s">
        <v>233</v>
      </c>
      <c r="CS282" s="16" t="s">
        <v>233</v>
      </c>
      <c r="CT282" s="16" t="s">
        <v>233</v>
      </c>
      <c r="CU282" s="2">
        <f t="shared" ref="CU282:CU317" si="162">ROUND(BO282,1)</f>
        <v>29</v>
      </c>
      <c r="CV282" s="18" t="s">
        <v>233</v>
      </c>
      <c r="CW282" s="1">
        <f>ROUND(PPTest!K282,1)</f>
        <v>0.3</v>
      </c>
      <c r="CX282" s="16" t="s">
        <v>233</v>
      </c>
      <c r="CY282" s="16" t="s">
        <v>233</v>
      </c>
      <c r="CZ282" s="20">
        <f t="shared" si="160"/>
        <v>0.36299999999999999</v>
      </c>
      <c r="DA282" s="20">
        <f t="shared" si="161"/>
        <v>0.88900000000000001</v>
      </c>
      <c r="DB282" s="16" t="s">
        <v>233</v>
      </c>
      <c r="DD282" s="1">
        <v>6.3</v>
      </c>
      <c r="DE282" s="1">
        <v>11.2</v>
      </c>
      <c r="DF282" s="1">
        <v>2.1</v>
      </c>
      <c r="DG282" s="1">
        <v>64.8</v>
      </c>
      <c r="DH282" s="1">
        <v>41</v>
      </c>
      <c r="DZ282" s="1">
        <v>4.9000000000000004</v>
      </c>
      <c r="EA282" s="1">
        <v>9.6999999999999993</v>
      </c>
      <c r="EB282" s="1">
        <v>-1.1000000000000001</v>
      </c>
      <c r="EC282" s="1">
        <v>0</v>
      </c>
    </row>
    <row r="283" spans="1:133" x14ac:dyDescent="0.2">
      <c r="A283" s="40">
        <v>35341</v>
      </c>
      <c r="B283" s="34">
        <v>277</v>
      </c>
      <c r="C283" s="34"/>
      <c r="D283" s="34"/>
      <c r="E283" s="50">
        <f t="shared" si="151"/>
        <v>6</v>
      </c>
      <c r="P283" s="17"/>
      <c r="R283" s="50">
        <f t="shared" si="152"/>
        <v>10.7</v>
      </c>
      <c r="AD283" s="17"/>
      <c r="AF283" s="50">
        <f t="shared" si="153"/>
        <v>0.8</v>
      </c>
      <c r="AG283" s="3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"/>
      <c r="BE283" s="3"/>
      <c r="BF283" s="3"/>
      <c r="BH283" s="16">
        <v>14.38</v>
      </c>
      <c r="BI283" s="16">
        <f t="shared" si="158"/>
        <v>29.047600000000003</v>
      </c>
      <c r="BJ283" s="17"/>
      <c r="BK283" s="17"/>
      <c r="BO283" s="50">
        <f t="shared" si="154"/>
        <v>59</v>
      </c>
      <c r="BP283" s="56">
        <f t="shared" si="146"/>
        <v>0.75900000000000001</v>
      </c>
      <c r="BQ283" s="56">
        <f t="shared" si="147"/>
        <v>0.52700000000000002</v>
      </c>
      <c r="BS283" s="3">
        <v>1</v>
      </c>
      <c r="BT283" s="8"/>
      <c r="BV283" s="16" t="s">
        <v>233</v>
      </c>
      <c r="BW283" s="16" t="s">
        <v>233</v>
      </c>
      <c r="BX283" s="3">
        <f t="shared" si="159"/>
        <v>6</v>
      </c>
      <c r="BY283" s="16" t="s">
        <v>233</v>
      </c>
      <c r="BZ283" s="16" t="s">
        <v>233</v>
      </c>
      <c r="CA283" s="16" t="s">
        <v>233</v>
      </c>
      <c r="CB283" s="16" t="s">
        <v>233</v>
      </c>
      <c r="CC283" s="16" t="s">
        <v>233</v>
      </c>
      <c r="CD283" s="16" t="s">
        <v>233</v>
      </c>
      <c r="CE283" s="16" t="s">
        <v>233</v>
      </c>
      <c r="CF283" s="1">
        <f t="shared" si="155"/>
        <v>10.7</v>
      </c>
      <c r="CG283" s="16" t="s">
        <v>233</v>
      </c>
      <c r="CH283" s="16" t="s">
        <v>233</v>
      </c>
      <c r="CI283" s="16" t="s">
        <v>233</v>
      </c>
      <c r="CJ283" s="16" t="s">
        <v>233</v>
      </c>
      <c r="CK283" s="16" t="s">
        <v>233</v>
      </c>
      <c r="CL283" s="16" t="s">
        <v>233</v>
      </c>
      <c r="CM283" s="16" t="s">
        <v>233</v>
      </c>
      <c r="CN283" s="1">
        <f t="shared" si="156"/>
        <v>0.8</v>
      </c>
      <c r="CO283" s="16" t="s">
        <v>233</v>
      </c>
      <c r="CP283" s="16" t="s">
        <v>233</v>
      </c>
      <c r="CQ283" s="16" t="s">
        <v>233</v>
      </c>
      <c r="CR283" s="16" t="s">
        <v>233</v>
      </c>
      <c r="CS283" s="16" t="s">
        <v>233</v>
      </c>
      <c r="CT283" s="16" t="s">
        <v>233</v>
      </c>
      <c r="CU283" s="2">
        <f t="shared" si="162"/>
        <v>59</v>
      </c>
      <c r="CV283" s="18" t="s">
        <v>233</v>
      </c>
      <c r="CW283" s="1">
        <f>ROUND(PPTest!K283,1)</f>
        <v>1.1000000000000001</v>
      </c>
      <c r="CX283" s="16" t="s">
        <v>233</v>
      </c>
      <c r="CY283" s="16" t="s">
        <v>233</v>
      </c>
      <c r="CZ283" s="20">
        <f t="shared" si="160"/>
        <v>0.75900000000000001</v>
      </c>
      <c r="DA283" s="20">
        <f t="shared" si="161"/>
        <v>0.52700000000000002</v>
      </c>
      <c r="DB283" s="16" t="s">
        <v>233</v>
      </c>
      <c r="DD283" s="1">
        <v>8.6999999999999993</v>
      </c>
      <c r="DE283" s="1">
        <v>11.6</v>
      </c>
      <c r="DF283" s="1">
        <v>5.5</v>
      </c>
      <c r="DG283" s="1">
        <v>85</v>
      </c>
      <c r="DH283" s="1">
        <v>74</v>
      </c>
      <c r="DZ283" s="1">
        <v>7.4</v>
      </c>
      <c r="EA283" s="1">
        <v>14.9</v>
      </c>
      <c r="EB283" s="1">
        <v>-1</v>
      </c>
      <c r="EC283" s="1">
        <v>0</v>
      </c>
    </row>
    <row r="284" spans="1:133" x14ac:dyDescent="0.2">
      <c r="A284" s="40">
        <v>35342</v>
      </c>
      <c r="B284" s="34">
        <v>278</v>
      </c>
      <c r="C284" s="34"/>
      <c r="D284" s="34"/>
      <c r="E284" s="50">
        <f t="shared" si="151"/>
        <v>6.2</v>
      </c>
      <c r="P284" s="17"/>
      <c r="R284" s="50">
        <f t="shared" si="152"/>
        <v>9.8000000000000007</v>
      </c>
      <c r="AD284" s="17"/>
      <c r="AF284" s="50">
        <f t="shared" si="153"/>
        <v>2.4</v>
      </c>
      <c r="AG284" s="3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"/>
      <c r="BE284" s="3"/>
      <c r="BF284" s="3"/>
      <c r="BH284" s="16">
        <v>14.15</v>
      </c>
      <c r="BI284" s="16">
        <f t="shared" si="158"/>
        <v>28.583000000000002</v>
      </c>
      <c r="BJ284" s="17"/>
      <c r="BK284" s="17"/>
      <c r="BO284" s="50">
        <f t="shared" si="154"/>
        <v>63</v>
      </c>
      <c r="BP284" s="56">
        <f t="shared" ref="BP284:BP317" si="163">ROUND(0.6105*(EXP((17.273*R284)/(R284+237.3)))*BO284/100, 3)</f>
        <v>0.76300000000000001</v>
      </c>
      <c r="BQ284" s="56">
        <f t="shared" ref="BQ284:BQ317" si="164">ROUND((100-BO284)*BP284/BO284,3)</f>
        <v>0.44800000000000001</v>
      </c>
      <c r="BS284" s="3">
        <v>14.7</v>
      </c>
      <c r="BT284" s="8"/>
      <c r="BV284" s="16" t="s">
        <v>233</v>
      </c>
      <c r="BW284" s="16" t="s">
        <v>233</v>
      </c>
      <c r="BX284" s="3">
        <f t="shared" si="159"/>
        <v>6.2</v>
      </c>
      <c r="BY284" s="16" t="s">
        <v>233</v>
      </c>
      <c r="BZ284" s="16" t="s">
        <v>233</v>
      </c>
      <c r="CA284" s="16" t="s">
        <v>233</v>
      </c>
      <c r="CB284" s="16" t="s">
        <v>233</v>
      </c>
      <c r="CC284" s="16" t="s">
        <v>233</v>
      </c>
      <c r="CD284" s="16" t="s">
        <v>233</v>
      </c>
      <c r="CE284" s="16" t="s">
        <v>233</v>
      </c>
      <c r="CF284" s="1">
        <f t="shared" si="155"/>
        <v>9.8000000000000007</v>
      </c>
      <c r="CG284" s="16" t="s">
        <v>233</v>
      </c>
      <c r="CH284" s="16" t="s">
        <v>233</v>
      </c>
      <c r="CI284" s="16" t="s">
        <v>233</v>
      </c>
      <c r="CJ284" s="16" t="s">
        <v>233</v>
      </c>
      <c r="CK284" s="16" t="s">
        <v>233</v>
      </c>
      <c r="CL284" s="16" t="s">
        <v>233</v>
      </c>
      <c r="CM284" s="16" t="s">
        <v>233</v>
      </c>
      <c r="CN284" s="1">
        <f t="shared" si="156"/>
        <v>2.4</v>
      </c>
      <c r="CO284" s="16" t="s">
        <v>233</v>
      </c>
      <c r="CP284" s="16" t="s">
        <v>233</v>
      </c>
      <c r="CQ284" s="16" t="s">
        <v>233</v>
      </c>
      <c r="CR284" s="16" t="s">
        <v>233</v>
      </c>
      <c r="CS284" s="16" t="s">
        <v>233</v>
      </c>
      <c r="CT284" s="16" t="s">
        <v>233</v>
      </c>
      <c r="CU284" s="2">
        <f t="shared" si="162"/>
        <v>63</v>
      </c>
      <c r="CV284" s="18" t="s">
        <v>233</v>
      </c>
      <c r="CW284" s="1">
        <f>ROUND(PPTest!K284,1)</f>
        <v>15.4</v>
      </c>
      <c r="CX284" s="16" t="s">
        <v>233</v>
      </c>
      <c r="CY284" s="16" t="s">
        <v>233</v>
      </c>
      <c r="CZ284" s="20">
        <f t="shared" si="160"/>
        <v>0.76300000000000001</v>
      </c>
      <c r="DA284" s="20">
        <f t="shared" si="161"/>
        <v>0.44800000000000001</v>
      </c>
      <c r="DB284" s="16" t="s">
        <v>233</v>
      </c>
      <c r="DD284" s="1">
        <v>8.9</v>
      </c>
      <c r="DE284" s="1">
        <v>10.7</v>
      </c>
      <c r="DF284" s="1">
        <v>7.5</v>
      </c>
      <c r="DG284" s="1">
        <v>92.4</v>
      </c>
      <c r="DH284" s="1">
        <v>78</v>
      </c>
      <c r="DZ284" s="1">
        <v>7.4</v>
      </c>
      <c r="EA284" s="1">
        <v>11.5</v>
      </c>
      <c r="EB284" s="1">
        <v>4.3</v>
      </c>
      <c r="EC284" s="1">
        <v>11.7</v>
      </c>
    </row>
    <row r="285" spans="1:133" x14ac:dyDescent="0.2">
      <c r="A285" s="40">
        <v>35343</v>
      </c>
      <c r="B285" s="34">
        <v>279</v>
      </c>
      <c r="C285" s="34"/>
      <c r="D285" s="34"/>
      <c r="E285" s="50">
        <f t="shared" si="151"/>
        <v>3.8</v>
      </c>
      <c r="P285" s="17"/>
      <c r="R285" s="50">
        <f t="shared" si="152"/>
        <v>7.1</v>
      </c>
      <c r="AD285" s="17"/>
      <c r="AF285" s="50">
        <f t="shared" si="153"/>
        <v>-0.5</v>
      </c>
      <c r="AG285" s="3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"/>
      <c r="BE285" s="3"/>
      <c r="BF285" s="3"/>
      <c r="BH285" s="16">
        <v>13.9</v>
      </c>
      <c r="BI285" s="16">
        <f t="shared" si="158"/>
        <v>28.077999999999999</v>
      </c>
      <c r="BJ285" s="17"/>
      <c r="BK285" s="17"/>
      <c r="BO285" s="50">
        <f t="shared" si="154"/>
        <v>77</v>
      </c>
      <c r="BP285" s="56">
        <f t="shared" si="163"/>
        <v>0.77600000000000002</v>
      </c>
      <c r="BQ285" s="56">
        <f t="shared" si="164"/>
        <v>0.23200000000000001</v>
      </c>
      <c r="BS285" s="3">
        <v>0.5</v>
      </c>
      <c r="BT285" s="8"/>
      <c r="BV285" s="16" t="s">
        <v>233</v>
      </c>
      <c r="BW285" s="16" t="s">
        <v>233</v>
      </c>
      <c r="BX285" s="3">
        <f t="shared" si="159"/>
        <v>3.8</v>
      </c>
      <c r="BY285" s="16" t="s">
        <v>233</v>
      </c>
      <c r="BZ285" s="16" t="s">
        <v>233</v>
      </c>
      <c r="CA285" s="16" t="s">
        <v>233</v>
      </c>
      <c r="CB285" s="16" t="s">
        <v>233</v>
      </c>
      <c r="CC285" s="16" t="s">
        <v>233</v>
      </c>
      <c r="CD285" s="16" t="s">
        <v>233</v>
      </c>
      <c r="CE285" s="16" t="s">
        <v>233</v>
      </c>
      <c r="CF285" s="1">
        <f t="shared" si="155"/>
        <v>7.1</v>
      </c>
      <c r="CG285" s="16" t="s">
        <v>233</v>
      </c>
      <c r="CH285" s="16" t="s">
        <v>233</v>
      </c>
      <c r="CI285" s="16" t="s">
        <v>233</v>
      </c>
      <c r="CJ285" s="16" t="s">
        <v>233</v>
      </c>
      <c r="CK285" s="16" t="s">
        <v>233</v>
      </c>
      <c r="CL285" s="16" t="s">
        <v>233</v>
      </c>
      <c r="CM285" s="16" t="s">
        <v>233</v>
      </c>
      <c r="CN285" s="1">
        <f t="shared" si="156"/>
        <v>-0.5</v>
      </c>
      <c r="CO285" s="16" t="s">
        <v>233</v>
      </c>
      <c r="CP285" s="16" t="s">
        <v>233</v>
      </c>
      <c r="CQ285" s="16" t="s">
        <v>233</v>
      </c>
      <c r="CR285" s="16" t="s">
        <v>233</v>
      </c>
      <c r="CS285" s="16" t="s">
        <v>233</v>
      </c>
      <c r="CT285" s="16" t="s">
        <v>233</v>
      </c>
      <c r="CU285" s="2">
        <f t="shared" si="162"/>
        <v>77</v>
      </c>
      <c r="CV285" s="18" t="s">
        <v>233</v>
      </c>
      <c r="CW285" s="1">
        <f>ROUND(PPTest!K285,1)</f>
        <v>0.5</v>
      </c>
      <c r="CX285" s="16" t="s">
        <v>233</v>
      </c>
      <c r="CY285" s="16" t="s">
        <v>233</v>
      </c>
      <c r="CZ285" s="20">
        <f t="shared" si="160"/>
        <v>0.77600000000000002</v>
      </c>
      <c r="DA285" s="20">
        <f t="shared" si="161"/>
        <v>0.23200000000000001</v>
      </c>
      <c r="DB285" s="16" t="s">
        <v>233</v>
      </c>
      <c r="DD285" s="1">
        <v>6.2</v>
      </c>
      <c r="DE285" s="1">
        <v>8</v>
      </c>
      <c r="DF285" s="1">
        <v>3.8</v>
      </c>
      <c r="DG285" s="1">
        <v>97.8</v>
      </c>
      <c r="DH285" s="1">
        <v>94</v>
      </c>
      <c r="DZ285" s="1">
        <v>2.9</v>
      </c>
      <c r="EA285" s="1">
        <v>8.9</v>
      </c>
      <c r="EB285" s="1">
        <v>-1.8</v>
      </c>
      <c r="EC285" s="1">
        <v>0</v>
      </c>
    </row>
    <row r="286" spans="1:133" x14ac:dyDescent="0.2">
      <c r="A286" s="40">
        <v>35344</v>
      </c>
      <c r="B286" s="34">
        <v>280</v>
      </c>
      <c r="C286" s="34"/>
      <c r="D286" s="34"/>
      <c r="E286" s="50">
        <f t="shared" si="151"/>
        <v>4.2</v>
      </c>
      <c r="P286" s="17"/>
      <c r="R286" s="50">
        <f t="shared" si="152"/>
        <v>8.9</v>
      </c>
      <c r="AD286" s="17"/>
      <c r="AF286" s="50">
        <f t="shared" si="153"/>
        <v>-0.3</v>
      </c>
      <c r="AG286" s="3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"/>
      <c r="BE286" s="3"/>
      <c r="BF286" s="3"/>
      <c r="BH286" s="16">
        <v>13.67</v>
      </c>
      <c r="BI286" s="16">
        <f t="shared" si="158"/>
        <v>27.613399999999999</v>
      </c>
      <c r="BJ286" s="17"/>
      <c r="BK286" s="17"/>
      <c r="BO286" s="50">
        <f t="shared" si="154"/>
        <v>62</v>
      </c>
      <c r="BP286" s="56">
        <f t="shared" si="163"/>
        <v>0.70699999999999996</v>
      </c>
      <c r="BQ286" s="56">
        <f t="shared" si="164"/>
        <v>0.433</v>
      </c>
      <c r="BS286" s="3">
        <v>1</v>
      </c>
      <c r="BT286" s="8"/>
      <c r="BV286" s="16" t="s">
        <v>233</v>
      </c>
      <c r="BW286" s="16" t="s">
        <v>233</v>
      </c>
      <c r="BX286" s="3">
        <f t="shared" si="159"/>
        <v>4.2</v>
      </c>
      <c r="BY286" s="16" t="s">
        <v>233</v>
      </c>
      <c r="BZ286" s="16" t="s">
        <v>233</v>
      </c>
      <c r="CA286" s="16" t="s">
        <v>233</v>
      </c>
      <c r="CB286" s="16" t="s">
        <v>233</v>
      </c>
      <c r="CC286" s="16" t="s">
        <v>233</v>
      </c>
      <c r="CD286" s="16" t="s">
        <v>233</v>
      </c>
      <c r="CE286" s="16" t="s">
        <v>233</v>
      </c>
      <c r="CF286" s="1">
        <f t="shared" si="155"/>
        <v>8.9</v>
      </c>
      <c r="CG286" s="16" t="s">
        <v>233</v>
      </c>
      <c r="CH286" s="16" t="s">
        <v>233</v>
      </c>
      <c r="CI286" s="16" t="s">
        <v>233</v>
      </c>
      <c r="CJ286" s="16" t="s">
        <v>233</v>
      </c>
      <c r="CK286" s="16" t="s">
        <v>233</v>
      </c>
      <c r="CL286" s="16" t="s">
        <v>233</v>
      </c>
      <c r="CM286" s="16" t="s">
        <v>233</v>
      </c>
      <c r="CN286" s="1">
        <f t="shared" si="156"/>
        <v>-0.3</v>
      </c>
      <c r="CO286" s="16" t="s">
        <v>233</v>
      </c>
      <c r="CP286" s="16" t="s">
        <v>233</v>
      </c>
      <c r="CQ286" s="16" t="s">
        <v>233</v>
      </c>
      <c r="CR286" s="16" t="s">
        <v>233</v>
      </c>
      <c r="CS286" s="16" t="s">
        <v>233</v>
      </c>
      <c r="CT286" s="16" t="s">
        <v>233</v>
      </c>
      <c r="CU286" s="2">
        <f t="shared" si="162"/>
        <v>62</v>
      </c>
      <c r="CV286" s="18" t="s">
        <v>233</v>
      </c>
      <c r="CW286" s="1">
        <f>ROUND(PPTest!K286,1)</f>
        <v>1.1000000000000001</v>
      </c>
      <c r="CX286" s="16" t="s">
        <v>233</v>
      </c>
      <c r="CY286" s="16" t="s">
        <v>233</v>
      </c>
      <c r="CZ286" s="20">
        <f t="shared" si="160"/>
        <v>0.70699999999999996</v>
      </c>
      <c r="DA286" s="20">
        <f t="shared" si="161"/>
        <v>0.433</v>
      </c>
      <c r="DB286" s="16" t="s">
        <v>233</v>
      </c>
      <c r="DD286" s="1">
        <v>6.7</v>
      </c>
      <c r="DE286" s="1">
        <v>9.8000000000000007</v>
      </c>
      <c r="DF286" s="1">
        <v>4</v>
      </c>
      <c r="DG286" s="1">
        <v>90.8</v>
      </c>
      <c r="DH286" s="1">
        <v>77</v>
      </c>
      <c r="DZ286" s="1">
        <v>5.2</v>
      </c>
      <c r="EA286" s="1">
        <v>13.4</v>
      </c>
      <c r="EB286" s="1">
        <v>-2</v>
      </c>
      <c r="EC286" s="1">
        <v>0.3</v>
      </c>
    </row>
    <row r="287" spans="1:133" x14ac:dyDescent="0.2">
      <c r="A287" s="40">
        <v>35345</v>
      </c>
      <c r="B287" s="34">
        <v>281</v>
      </c>
      <c r="C287" s="34"/>
      <c r="D287" s="34"/>
      <c r="E287" s="50">
        <f t="shared" si="151"/>
        <v>6.1</v>
      </c>
      <c r="P287" s="17"/>
      <c r="R287" s="50">
        <f t="shared" si="152"/>
        <v>12</v>
      </c>
      <c r="AD287" s="17"/>
      <c r="AF287" s="50">
        <f t="shared" si="153"/>
        <v>1.2</v>
      </c>
      <c r="AG287" s="3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"/>
      <c r="BE287" s="3"/>
      <c r="BF287" s="3"/>
      <c r="BH287" s="16">
        <v>13.43</v>
      </c>
      <c r="BI287" s="16">
        <f t="shared" si="158"/>
        <v>27.128599999999999</v>
      </c>
      <c r="BJ287" s="17"/>
      <c r="BK287" s="17"/>
      <c r="BO287" s="50">
        <f t="shared" si="154"/>
        <v>63</v>
      </c>
      <c r="BP287" s="56">
        <f t="shared" si="163"/>
        <v>0.88300000000000001</v>
      </c>
      <c r="BQ287" s="56">
        <f t="shared" si="164"/>
        <v>0.51900000000000002</v>
      </c>
      <c r="BS287" s="3">
        <v>0</v>
      </c>
      <c r="BT287" s="8"/>
      <c r="BV287" s="16" t="s">
        <v>233</v>
      </c>
      <c r="BW287" s="16" t="s">
        <v>233</v>
      </c>
      <c r="BX287" s="3">
        <f t="shared" si="159"/>
        <v>6.1</v>
      </c>
      <c r="BY287" s="16" t="s">
        <v>233</v>
      </c>
      <c r="BZ287" s="16" t="s">
        <v>233</v>
      </c>
      <c r="CA287" s="16" t="s">
        <v>233</v>
      </c>
      <c r="CB287" s="16" t="s">
        <v>233</v>
      </c>
      <c r="CC287" s="16" t="s">
        <v>233</v>
      </c>
      <c r="CD287" s="16" t="s">
        <v>233</v>
      </c>
      <c r="CE287" s="16" t="s">
        <v>233</v>
      </c>
      <c r="CF287" s="1">
        <f t="shared" si="155"/>
        <v>12</v>
      </c>
      <c r="CG287" s="16" t="s">
        <v>233</v>
      </c>
      <c r="CH287" s="16" t="s">
        <v>233</v>
      </c>
      <c r="CI287" s="16" t="s">
        <v>233</v>
      </c>
      <c r="CJ287" s="16" t="s">
        <v>233</v>
      </c>
      <c r="CK287" s="16" t="s">
        <v>233</v>
      </c>
      <c r="CL287" s="16" t="s">
        <v>233</v>
      </c>
      <c r="CM287" s="16" t="s">
        <v>233</v>
      </c>
      <c r="CN287" s="1">
        <f t="shared" si="156"/>
        <v>1.2</v>
      </c>
      <c r="CO287" s="16" t="s">
        <v>233</v>
      </c>
      <c r="CP287" s="16" t="s">
        <v>233</v>
      </c>
      <c r="CQ287" s="16" t="s">
        <v>233</v>
      </c>
      <c r="CR287" s="16" t="s">
        <v>233</v>
      </c>
      <c r="CS287" s="16" t="s">
        <v>233</v>
      </c>
      <c r="CT287" s="16" t="s">
        <v>233</v>
      </c>
      <c r="CU287" s="2">
        <f t="shared" si="162"/>
        <v>63</v>
      </c>
      <c r="CV287" s="18" t="s">
        <v>233</v>
      </c>
      <c r="CW287" s="1">
        <f>ROUND(PPTest!K287,1)</f>
        <v>0</v>
      </c>
      <c r="CX287" s="16" t="s">
        <v>233</v>
      </c>
      <c r="CY287" s="16" t="s">
        <v>233</v>
      </c>
      <c r="CZ287" s="20">
        <f t="shared" si="160"/>
        <v>0.88300000000000001</v>
      </c>
      <c r="DA287" s="20">
        <f t="shared" si="161"/>
        <v>0.51900000000000002</v>
      </c>
      <c r="DB287" s="16" t="s">
        <v>233</v>
      </c>
      <c r="DD287" s="1">
        <v>8.8000000000000007</v>
      </c>
      <c r="DE287" s="1">
        <v>12.9</v>
      </c>
      <c r="DF287" s="1">
        <v>6</v>
      </c>
      <c r="DG287" s="1">
        <v>87.7</v>
      </c>
      <c r="DH287" s="1">
        <v>78</v>
      </c>
      <c r="DZ287" s="1">
        <v>6.6</v>
      </c>
      <c r="EA287" s="1">
        <v>14.4</v>
      </c>
      <c r="EB287" s="1">
        <v>0.5</v>
      </c>
      <c r="EC287" s="1">
        <v>0</v>
      </c>
    </row>
    <row r="288" spans="1:133" x14ac:dyDescent="0.2">
      <c r="A288" s="40">
        <v>35346</v>
      </c>
      <c r="B288" s="34">
        <v>282</v>
      </c>
      <c r="C288" s="34"/>
      <c r="D288" s="34"/>
      <c r="E288" s="50">
        <f t="shared" si="151"/>
        <v>6.5</v>
      </c>
      <c r="P288" s="17"/>
      <c r="R288" s="50">
        <f t="shared" si="152"/>
        <v>13.8</v>
      </c>
      <c r="AD288" s="17"/>
      <c r="AF288" s="50">
        <f t="shared" si="153"/>
        <v>1.1000000000000001</v>
      </c>
      <c r="AG288" s="3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"/>
      <c r="BE288" s="3"/>
      <c r="BF288" s="3"/>
      <c r="BH288" s="16">
        <v>13.2</v>
      </c>
      <c r="BI288" s="16">
        <f t="shared" si="158"/>
        <v>26.663999999999998</v>
      </c>
      <c r="BJ288" s="17"/>
      <c r="BK288" s="17"/>
      <c r="BO288" s="50">
        <f t="shared" si="154"/>
        <v>53</v>
      </c>
      <c r="BP288" s="56">
        <f t="shared" si="163"/>
        <v>0.83599999999999997</v>
      </c>
      <c r="BQ288" s="56">
        <f t="shared" si="164"/>
        <v>0.74099999999999999</v>
      </c>
      <c r="BS288" s="3">
        <v>0</v>
      </c>
      <c r="BT288" s="8"/>
      <c r="BV288" s="16" t="s">
        <v>233</v>
      </c>
      <c r="BW288" s="16" t="s">
        <v>233</v>
      </c>
      <c r="BX288" s="3">
        <f t="shared" si="159"/>
        <v>6.5</v>
      </c>
      <c r="BY288" s="16" t="s">
        <v>233</v>
      </c>
      <c r="BZ288" s="16" t="s">
        <v>233</v>
      </c>
      <c r="CA288" s="16" t="s">
        <v>233</v>
      </c>
      <c r="CB288" s="16" t="s">
        <v>233</v>
      </c>
      <c r="CC288" s="16" t="s">
        <v>233</v>
      </c>
      <c r="CD288" s="16" t="s">
        <v>233</v>
      </c>
      <c r="CE288" s="16" t="s">
        <v>233</v>
      </c>
      <c r="CF288" s="1">
        <f t="shared" si="155"/>
        <v>13.8</v>
      </c>
      <c r="CG288" s="16" t="s">
        <v>233</v>
      </c>
      <c r="CH288" s="16" t="s">
        <v>233</v>
      </c>
      <c r="CI288" s="16" t="s">
        <v>233</v>
      </c>
      <c r="CJ288" s="16" t="s">
        <v>233</v>
      </c>
      <c r="CK288" s="16" t="s">
        <v>233</v>
      </c>
      <c r="CL288" s="16" t="s">
        <v>233</v>
      </c>
      <c r="CM288" s="16" t="s">
        <v>233</v>
      </c>
      <c r="CN288" s="1">
        <f t="shared" si="156"/>
        <v>1.1000000000000001</v>
      </c>
      <c r="CO288" s="16" t="s">
        <v>233</v>
      </c>
      <c r="CP288" s="16" t="s">
        <v>233</v>
      </c>
      <c r="CQ288" s="16" t="s">
        <v>233</v>
      </c>
      <c r="CR288" s="16" t="s">
        <v>233</v>
      </c>
      <c r="CS288" s="16" t="s">
        <v>233</v>
      </c>
      <c r="CT288" s="16" t="s">
        <v>233</v>
      </c>
      <c r="CU288" s="2">
        <f t="shared" si="162"/>
        <v>53</v>
      </c>
      <c r="CV288" s="18" t="s">
        <v>233</v>
      </c>
      <c r="CW288" s="1">
        <f>ROUND(PPTest!K288,1)</f>
        <v>0</v>
      </c>
      <c r="CX288" s="16" t="s">
        <v>233</v>
      </c>
      <c r="CY288" s="16" t="s">
        <v>233</v>
      </c>
      <c r="CZ288" s="20">
        <f t="shared" si="160"/>
        <v>0.83599999999999997</v>
      </c>
      <c r="DA288" s="20">
        <f t="shared" si="161"/>
        <v>0.74099999999999999</v>
      </c>
      <c r="DB288" s="16" t="s">
        <v>233</v>
      </c>
      <c r="DD288" s="1">
        <v>9.1999999999999993</v>
      </c>
      <c r="DE288" s="1">
        <v>14.7</v>
      </c>
      <c r="DF288" s="1">
        <v>5.9</v>
      </c>
      <c r="DG288" s="1">
        <v>86.5</v>
      </c>
      <c r="DH288" s="1">
        <v>67</v>
      </c>
      <c r="DZ288" s="1">
        <v>6.5</v>
      </c>
      <c r="EA288" s="1">
        <v>16.5</v>
      </c>
      <c r="EB288" s="1">
        <v>-1</v>
      </c>
      <c r="EC288" s="1">
        <v>0</v>
      </c>
    </row>
    <row r="289" spans="1:133" x14ac:dyDescent="0.2">
      <c r="A289" s="40">
        <v>35347</v>
      </c>
      <c r="B289" s="34">
        <v>283</v>
      </c>
      <c r="C289" s="34"/>
      <c r="D289" s="34"/>
      <c r="E289" s="50">
        <f t="shared" si="151"/>
        <v>5.3</v>
      </c>
      <c r="P289" s="17"/>
      <c r="R289" s="50">
        <f t="shared" si="152"/>
        <v>11.6</v>
      </c>
      <c r="AD289" s="17"/>
      <c r="AF289" s="50">
        <f t="shared" si="153"/>
        <v>1.1000000000000001</v>
      </c>
      <c r="AG289" s="3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"/>
      <c r="BE289" s="3"/>
      <c r="BF289" s="3"/>
      <c r="BH289" s="16">
        <v>12.96</v>
      </c>
      <c r="BI289" s="16">
        <f t="shared" si="158"/>
        <v>26.179200000000002</v>
      </c>
      <c r="BJ289" s="17"/>
      <c r="BK289" s="17"/>
      <c r="BO289" s="50">
        <f t="shared" si="154"/>
        <v>63</v>
      </c>
      <c r="BP289" s="56">
        <f t="shared" si="163"/>
        <v>0.86</v>
      </c>
      <c r="BQ289" s="56">
        <f t="shared" si="164"/>
        <v>0.505</v>
      </c>
      <c r="BS289" s="3">
        <v>0.3</v>
      </c>
      <c r="BT289" s="8"/>
      <c r="BV289" s="16" t="s">
        <v>233</v>
      </c>
      <c r="BW289" s="16" t="s">
        <v>233</v>
      </c>
      <c r="BX289" s="3">
        <f t="shared" si="159"/>
        <v>5.3</v>
      </c>
      <c r="BY289" s="16" t="s">
        <v>233</v>
      </c>
      <c r="BZ289" s="16" t="s">
        <v>233</v>
      </c>
      <c r="CA289" s="16" t="s">
        <v>233</v>
      </c>
      <c r="CB289" s="16" t="s">
        <v>233</v>
      </c>
      <c r="CC289" s="16" t="s">
        <v>233</v>
      </c>
      <c r="CD289" s="16" t="s">
        <v>233</v>
      </c>
      <c r="CE289" s="16" t="s">
        <v>233</v>
      </c>
      <c r="CF289" s="1">
        <f t="shared" si="155"/>
        <v>11.6</v>
      </c>
      <c r="CG289" s="16" t="s">
        <v>233</v>
      </c>
      <c r="CH289" s="16" t="s">
        <v>233</v>
      </c>
      <c r="CI289" s="16" t="s">
        <v>233</v>
      </c>
      <c r="CJ289" s="16" t="s">
        <v>233</v>
      </c>
      <c r="CK289" s="16" t="s">
        <v>233</v>
      </c>
      <c r="CL289" s="16" t="s">
        <v>233</v>
      </c>
      <c r="CM289" s="16" t="s">
        <v>233</v>
      </c>
      <c r="CN289" s="1">
        <f t="shared" si="156"/>
        <v>1.1000000000000001</v>
      </c>
      <c r="CO289" s="16" t="s">
        <v>233</v>
      </c>
      <c r="CP289" s="16" t="s">
        <v>233</v>
      </c>
      <c r="CQ289" s="16" t="s">
        <v>233</v>
      </c>
      <c r="CR289" s="16" t="s">
        <v>233</v>
      </c>
      <c r="CS289" s="16" t="s">
        <v>233</v>
      </c>
      <c r="CT289" s="16" t="s">
        <v>233</v>
      </c>
      <c r="CU289" s="2">
        <f t="shared" si="162"/>
        <v>63</v>
      </c>
      <c r="CV289" s="18" t="s">
        <v>233</v>
      </c>
      <c r="CW289" s="1">
        <f>ROUND(PPTest!K289,1)</f>
        <v>0.3</v>
      </c>
      <c r="CX289" s="16" t="s">
        <v>233</v>
      </c>
      <c r="CY289" s="16" t="s">
        <v>233</v>
      </c>
      <c r="CZ289" s="20">
        <f t="shared" si="160"/>
        <v>0.86</v>
      </c>
      <c r="DA289" s="20">
        <f t="shared" si="161"/>
        <v>0.505</v>
      </c>
      <c r="DB289" s="16" t="s">
        <v>233</v>
      </c>
      <c r="DD289" s="1">
        <v>7.9</v>
      </c>
      <c r="DE289" s="1">
        <v>12.5</v>
      </c>
      <c r="DF289" s="1">
        <v>5.9</v>
      </c>
      <c r="DG289" s="1">
        <v>88.2</v>
      </c>
      <c r="DH289" s="1">
        <v>78</v>
      </c>
      <c r="DZ289" s="1">
        <v>9</v>
      </c>
      <c r="EA289" s="1">
        <v>18.600000000000001</v>
      </c>
      <c r="EB289" s="1">
        <v>0.5</v>
      </c>
      <c r="EC289" s="1">
        <v>0</v>
      </c>
    </row>
    <row r="290" spans="1:133" x14ac:dyDescent="0.2">
      <c r="A290" s="40">
        <v>35348</v>
      </c>
      <c r="B290" s="34">
        <v>284</v>
      </c>
      <c r="C290" s="34"/>
      <c r="D290" s="34"/>
      <c r="E290" s="50">
        <f t="shared" si="151"/>
        <v>8.8000000000000007</v>
      </c>
      <c r="P290" s="17"/>
      <c r="R290" s="50">
        <f t="shared" si="152"/>
        <v>13.3</v>
      </c>
      <c r="AD290" s="17"/>
      <c r="AF290" s="50">
        <f t="shared" si="153"/>
        <v>3.5</v>
      </c>
      <c r="AG290" s="3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"/>
      <c r="BE290" s="3"/>
      <c r="BF290" s="3"/>
      <c r="BH290" s="16">
        <v>12.74</v>
      </c>
      <c r="BI290" s="16">
        <f t="shared" si="158"/>
        <v>25.7348</v>
      </c>
      <c r="BJ290" s="17"/>
      <c r="BK290" s="17"/>
      <c r="BO290" s="50">
        <f t="shared" si="154"/>
        <v>50</v>
      </c>
      <c r="BP290" s="56">
        <f t="shared" si="163"/>
        <v>0.76300000000000001</v>
      </c>
      <c r="BQ290" s="56">
        <f t="shared" si="164"/>
        <v>0.76300000000000001</v>
      </c>
      <c r="BS290" s="3">
        <v>0</v>
      </c>
      <c r="BT290" s="8"/>
      <c r="BV290" s="16" t="s">
        <v>233</v>
      </c>
      <c r="BW290" s="16" t="s">
        <v>233</v>
      </c>
      <c r="BX290" s="3">
        <f t="shared" si="159"/>
        <v>8.8000000000000007</v>
      </c>
      <c r="BY290" s="16" t="s">
        <v>233</v>
      </c>
      <c r="BZ290" s="16" t="s">
        <v>233</v>
      </c>
      <c r="CA290" s="16" t="s">
        <v>233</v>
      </c>
      <c r="CB290" s="16" t="s">
        <v>233</v>
      </c>
      <c r="CC290" s="16" t="s">
        <v>233</v>
      </c>
      <c r="CD290" s="16" t="s">
        <v>233</v>
      </c>
      <c r="CE290" s="16" t="s">
        <v>233</v>
      </c>
      <c r="CF290" s="1">
        <f t="shared" si="155"/>
        <v>13.3</v>
      </c>
      <c r="CG290" s="16" t="s">
        <v>233</v>
      </c>
      <c r="CH290" s="16" t="s">
        <v>233</v>
      </c>
      <c r="CI290" s="16" t="s">
        <v>233</v>
      </c>
      <c r="CJ290" s="16" t="s">
        <v>233</v>
      </c>
      <c r="CK290" s="16" t="s">
        <v>233</v>
      </c>
      <c r="CL290" s="16" t="s">
        <v>233</v>
      </c>
      <c r="CM290" s="16" t="s">
        <v>233</v>
      </c>
      <c r="CN290" s="1">
        <f t="shared" si="156"/>
        <v>3.5</v>
      </c>
      <c r="CO290" s="16" t="s">
        <v>233</v>
      </c>
      <c r="CP290" s="16" t="s">
        <v>233</v>
      </c>
      <c r="CQ290" s="16" t="s">
        <v>233</v>
      </c>
      <c r="CR290" s="16" t="s">
        <v>233</v>
      </c>
      <c r="CS290" s="16" t="s">
        <v>233</v>
      </c>
      <c r="CT290" s="16" t="s">
        <v>233</v>
      </c>
      <c r="CU290" s="2">
        <f t="shared" si="162"/>
        <v>50</v>
      </c>
      <c r="CV290" s="18" t="s">
        <v>233</v>
      </c>
      <c r="CW290" s="1">
        <f>ROUND(PPTest!K290,1)</f>
        <v>0</v>
      </c>
      <c r="CX290" s="16" t="s">
        <v>233</v>
      </c>
      <c r="CY290" s="16" t="s">
        <v>233</v>
      </c>
      <c r="CZ290" s="20">
        <f t="shared" si="160"/>
        <v>0.76300000000000001</v>
      </c>
      <c r="DA290" s="20">
        <f t="shared" si="161"/>
        <v>0.76300000000000001</v>
      </c>
      <c r="DB290" s="16" t="s">
        <v>233</v>
      </c>
      <c r="DD290" s="1">
        <v>11.8</v>
      </c>
      <c r="DE290" s="1">
        <v>14.2</v>
      </c>
      <c r="DF290" s="1">
        <v>9</v>
      </c>
      <c r="DG290" s="1">
        <v>70.900000000000006</v>
      </c>
      <c r="DH290" s="1">
        <v>64</v>
      </c>
      <c r="DZ290" s="1">
        <v>9.1</v>
      </c>
      <c r="EA290" s="1">
        <v>15.4</v>
      </c>
      <c r="EB290" s="1">
        <v>2.4</v>
      </c>
      <c r="EC290" s="1">
        <v>0</v>
      </c>
    </row>
    <row r="291" spans="1:133" x14ac:dyDescent="0.2">
      <c r="A291" s="40">
        <v>35349</v>
      </c>
      <c r="B291" s="34">
        <v>285</v>
      </c>
      <c r="C291" s="34"/>
      <c r="D291" s="34"/>
      <c r="E291" s="50">
        <f t="shared" si="151"/>
        <v>4.2</v>
      </c>
      <c r="P291" s="17"/>
      <c r="R291" s="50">
        <f t="shared" si="152"/>
        <v>9.1999999999999993</v>
      </c>
      <c r="AD291" s="17"/>
      <c r="AF291" s="50">
        <f t="shared" si="153"/>
        <v>-0.5</v>
      </c>
      <c r="AG291" s="3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"/>
      <c r="BE291" s="3"/>
      <c r="BF291" s="3"/>
      <c r="BH291" s="16">
        <v>12.51</v>
      </c>
      <c r="BI291" s="16">
        <f t="shared" si="158"/>
        <v>25.270199999999999</v>
      </c>
      <c r="BJ291" s="17"/>
      <c r="BK291" s="17"/>
      <c r="BO291" s="50">
        <f t="shared" si="154"/>
        <v>62</v>
      </c>
      <c r="BP291" s="56">
        <f t="shared" si="163"/>
        <v>0.72099999999999997</v>
      </c>
      <c r="BQ291" s="56">
        <f t="shared" si="164"/>
        <v>0.442</v>
      </c>
      <c r="BS291" s="3">
        <v>19.8</v>
      </c>
      <c r="BT291" s="8"/>
      <c r="BV291" s="16" t="s">
        <v>233</v>
      </c>
      <c r="BW291" s="16" t="s">
        <v>233</v>
      </c>
      <c r="BX291" s="3">
        <f t="shared" si="159"/>
        <v>4.2</v>
      </c>
      <c r="BY291" s="16" t="s">
        <v>233</v>
      </c>
      <c r="BZ291" s="16" t="s">
        <v>233</v>
      </c>
      <c r="CA291" s="16" t="s">
        <v>233</v>
      </c>
      <c r="CB291" s="16" t="s">
        <v>233</v>
      </c>
      <c r="CC291" s="16" t="s">
        <v>233</v>
      </c>
      <c r="CD291" s="16" t="s">
        <v>233</v>
      </c>
      <c r="CE291" s="16" t="s">
        <v>233</v>
      </c>
      <c r="CF291" s="1">
        <f t="shared" si="155"/>
        <v>9.1999999999999993</v>
      </c>
      <c r="CG291" s="16" t="s">
        <v>233</v>
      </c>
      <c r="CH291" s="16" t="s">
        <v>233</v>
      </c>
      <c r="CI291" s="16" t="s">
        <v>233</v>
      </c>
      <c r="CJ291" s="16" t="s">
        <v>233</v>
      </c>
      <c r="CK291" s="16" t="s">
        <v>233</v>
      </c>
      <c r="CL291" s="16" t="s">
        <v>233</v>
      </c>
      <c r="CM291" s="16" t="s">
        <v>233</v>
      </c>
      <c r="CN291" s="1">
        <f t="shared" si="156"/>
        <v>-0.5</v>
      </c>
      <c r="CO291" s="16" t="s">
        <v>233</v>
      </c>
      <c r="CP291" s="16" t="s">
        <v>233</v>
      </c>
      <c r="CQ291" s="16" t="s">
        <v>233</v>
      </c>
      <c r="CR291" s="16" t="s">
        <v>233</v>
      </c>
      <c r="CS291" s="16" t="s">
        <v>233</v>
      </c>
      <c r="CT291" s="16" t="s">
        <v>233</v>
      </c>
      <c r="CU291" s="2">
        <f t="shared" si="162"/>
        <v>62</v>
      </c>
      <c r="CV291" s="18" t="s">
        <v>233</v>
      </c>
      <c r="CW291" s="1">
        <f>ROUND(PPTest!K291,1)</f>
        <v>20.8</v>
      </c>
      <c r="CX291" s="16" t="s">
        <v>233</v>
      </c>
      <c r="CY291" s="16" t="s">
        <v>233</v>
      </c>
      <c r="CZ291" s="20">
        <f t="shared" si="160"/>
        <v>0.72099999999999997</v>
      </c>
      <c r="DA291" s="20">
        <f t="shared" si="161"/>
        <v>0.442</v>
      </c>
      <c r="DB291" s="16" t="s">
        <v>233</v>
      </c>
      <c r="DD291" s="1">
        <v>6.7</v>
      </c>
      <c r="DE291" s="1">
        <v>10.1</v>
      </c>
      <c r="DF291" s="1">
        <v>3.8</v>
      </c>
      <c r="DG291" s="1">
        <v>94.8</v>
      </c>
      <c r="DH291" s="1">
        <v>77</v>
      </c>
      <c r="DZ291" s="1">
        <v>4.5</v>
      </c>
      <c r="EA291" s="1">
        <v>7.4</v>
      </c>
      <c r="EB291" s="1">
        <v>0.9</v>
      </c>
      <c r="EC291" s="1">
        <v>3</v>
      </c>
    </row>
    <row r="292" spans="1:133" x14ac:dyDescent="0.2">
      <c r="A292" s="40">
        <v>35350</v>
      </c>
      <c r="B292" s="34">
        <v>286</v>
      </c>
      <c r="C292" s="34"/>
      <c r="D292" s="34"/>
      <c r="E292" s="50">
        <f t="shared" si="151"/>
        <v>3.8</v>
      </c>
      <c r="P292" s="17"/>
      <c r="R292" s="50">
        <f t="shared" si="152"/>
        <v>8.6</v>
      </c>
      <c r="AD292" s="17"/>
      <c r="AF292" s="50">
        <f t="shared" si="153"/>
        <v>-1.2</v>
      </c>
      <c r="AG292" s="3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"/>
      <c r="BE292" s="3"/>
      <c r="BF292" s="3"/>
      <c r="BH292" s="16">
        <v>12.28</v>
      </c>
      <c r="BI292" s="16">
        <f t="shared" si="158"/>
        <v>24.805599999999998</v>
      </c>
      <c r="BJ292" s="17"/>
      <c r="BK292" s="17"/>
      <c r="BO292" s="50">
        <f t="shared" si="154"/>
        <v>68</v>
      </c>
      <c r="BP292" s="56">
        <f t="shared" si="163"/>
        <v>0.76</v>
      </c>
      <c r="BQ292" s="56">
        <f t="shared" si="164"/>
        <v>0.35799999999999998</v>
      </c>
      <c r="BS292" s="3">
        <v>0</v>
      </c>
      <c r="BT292" s="8"/>
      <c r="BV292" s="16" t="s">
        <v>233</v>
      </c>
      <c r="BW292" s="16" t="s">
        <v>233</v>
      </c>
      <c r="BX292" s="3">
        <f t="shared" si="159"/>
        <v>3.8</v>
      </c>
      <c r="BY292" s="16" t="s">
        <v>233</v>
      </c>
      <c r="BZ292" s="16" t="s">
        <v>233</v>
      </c>
      <c r="CA292" s="16" t="s">
        <v>233</v>
      </c>
      <c r="CB292" s="16" t="s">
        <v>233</v>
      </c>
      <c r="CC292" s="16" t="s">
        <v>233</v>
      </c>
      <c r="CD292" s="16" t="s">
        <v>233</v>
      </c>
      <c r="CE292" s="16" t="s">
        <v>233</v>
      </c>
      <c r="CF292" s="1">
        <f t="shared" si="155"/>
        <v>8.6</v>
      </c>
      <c r="CG292" s="16" t="s">
        <v>233</v>
      </c>
      <c r="CH292" s="16" t="s">
        <v>233</v>
      </c>
      <c r="CI292" s="16" t="s">
        <v>233</v>
      </c>
      <c r="CJ292" s="16" t="s">
        <v>233</v>
      </c>
      <c r="CK292" s="16" t="s">
        <v>233</v>
      </c>
      <c r="CL292" s="16" t="s">
        <v>233</v>
      </c>
      <c r="CM292" s="16" t="s">
        <v>233</v>
      </c>
      <c r="CN292" s="1">
        <f t="shared" si="156"/>
        <v>-1.2</v>
      </c>
      <c r="CO292" s="16" t="s">
        <v>233</v>
      </c>
      <c r="CP292" s="16" t="s">
        <v>233</v>
      </c>
      <c r="CQ292" s="16" t="s">
        <v>233</v>
      </c>
      <c r="CR292" s="16" t="s">
        <v>233</v>
      </c>
      <c r="CS292" s="16" t="s">
        <v>233</v>
      </c>
      <c r="CT292" s="16" t="s">
        <v>233</v>
      </c>
      <c r="CU292" s="2">
        <f t="shared" si="162"/>
        <v>68</v>
      </c>
      <c r="CV292" s="18" t="s">
        <v>233</v>
      </c>
      <c r="CW292" s="1">
        <f>ROUND(PPTest!K292,1)</f>
        <v>0</v>
      </c>
      <c r="CX292" s="16" t="s">
        <v>233</v>
      </c>
      <c r="CY292" s="16" t="s">
        <v>233</v>
      </c>
      <c r="CZ292" s="20">
        <f t="shared" si="160"/>
        <v>0.76</v>
      </c>
      <c r="DA292" s="20">
        <f t="shared" si="161"/>
        <v>0.35799999999999998</v>
      </c>
      <c r="DB292" s="16" t="s">
        <v>233</v>
      </c>
      <c r="DD292" s="1">
        <v>6.2</v>
      </c>
      <c r="DE292" s="1">
        <v>9.5</v>
      </c>
      <c r="DF292" s="1">
        <v>2.9</v>
      </c>
      <c r="DG292" s="1">
        <v>92.7</v>
      </c>
      <c r="DH292" s="1">
        <v>84</v>
      </c>
      <c r="DZ292" s="1">
        <v>4.5</v>
      </c>
      <c r="EA292" s="1">
        <v>8</v>
      </c>
      <c r="EB292" s="1">
        <v>0.6</v>
      </c>
      <c r="EC292" s="1">
        <v>0</v>
      </c>
    </row>
    <row r="293" spans="1:133" x14ac:dyDescent="0.2">
      <c r="A293" s="40">
        <v>35351</v>
      </c>
      <c r="B293" s="34">
        <v>287</v>
      </c>
      <c r="C293" s="34"/>
      <c r="D293" s="34"/>
      <c r="E293" s="50">
        <f t="shared" si="151"/>
        <v>3.8</v>
      </c>
      <c r="P293" s="17"/>
      <c r="R293" s="50">
        <f t="shared" si="152"/>
        <v>8.6</v>
      </c>
      <c r="AD293" s="17"/>
      <c r="AF293" s="50">
        <f t="shared" si="153"/>
        <v>-0.6</v>
      </c>
      <c r="AG293" s="3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"/>
      <c r="BE293" s="3"/>
      <c r="BF293" s="3"/>
      <c r="BH293" s="16">
        <v>12.06</v>
      </c>
      <c r="BI293" s="16">
        <f t="shared" si="158"/>
        <v>24.3612</v>
      </c>
      <c r="BJ293" s="17"/>
      <c r="BK293" s="17"/>
      <c r="BO293" s="50">
        <f t="shared" si="154"/>
        <v>63</v>
      </c>
      <c r="BP293" s="56">
        <f t="shared" si="163"/>
        <v>0.70399999999999996</v>
      </c>
      <c r="BQ293" s="56">
        <f t="shared" si="164"/>
        <v>0.41299999999999998</v>
      </c>
      <c r="BS293" s="3">
        <v>0.3</v>
      </c>
      <c r="BT293" s="8"/>
      <c r="BV293" s="16" t="s">
        <v>233</v>
      </c>
      <c r="BW293" s="16" t="s">
        <v>233</v>
      </c>
      <c r="BX293" s="3">
        <f t="shared" si="159"/>
        <v>3.8</v>
      </c>
      <c r="BY293" s="16" t="s">
        <v>233</v>
      </c>
      <c r="BZ293" s="16" t="s">
        <v>233</v>
      </c>
      <c r="CA293" s="16" t="s">
        <v>233</v>
      </c>
      <c r="CB293" s="16" t="s">
        <v>233</v>
      </c>
      <c r="CC293" s="16" t="s">
        <v>233</v>
      </c>
      <c r="CD293" s="16" t="s">
        <v>233</v>
      </c>
      <c r="CE293" s="16" t="s">
        <v>233</v>
      </c>
      <c r="CF293" s="1">
        <f t="shared" si="155"/>
        <v>8.6</v>
      </c>
      <c r="CG293" s="16" t="s">
        <v>233</v>
      </c>
      <c r="CH293" s="16" t="s">
        <v>233</v>
      </c>
      <c r="CI293" s="16" t="s">
        <v>233</v>
      </c>
      <c r="CJ293" s="16" t="s">
        <v>233</v>
      </c>
      <c r="CK293" s="16" t="s">
        <v>233</v>
      </c>
      <c r="CL293" s="16" t="s">
        <v>233</v>
      </c>
      <c r="CM293" s="16" t="s">
        <v>233</v>
      </c>
      <c r="CN293" s="1">
        <f t="shared" si="156"/>
        <v>-0.6</v>
      </c>
      <c r="CO293" s="16" t="s">
        <v>233</v>
      </c>
      <c r="CP293" s="16" t="s">
        <v>233</v>
      </c>
      <c r="CQ293" s="16" t="s">
        <v>233</v>
      </c>
      <c r="CR293" s="16" t="s">
        <v>233</v>
      </c>
      <c r="CS293" s="16" t="s">
        <v>233</v>
      </c>
      <c r="CT293" s="16" t="s">
        <v>233</v>
      </c>
      <c r="CU293" s="2">
        <f t="shared" si="162"/>
        <v>63</v>
      </c>
      <c r="CV293" s="18" t="s">
        <v>233</v>
      </c>
      <c r="CW293" s="1">
        <f>ROUND(PPTest!K293,1)</f>
        <v>0.3</v>
      </c>
      <c r="CX293" s="16" t="s">
        <v>233</v>
      </c>
      <c r="CY293" s="16" t="s">
        <v>233</v>
      </c>
      <c r="CZ293" s="20">
        <f t="shared" si="160"/>
        <v>0.70399999999999996</v>
      </c>
      <c r="DA293" s="20">
        <f t="shared" si="161"/>
        <v>0.41299999999999998</v>
      </c>
      <c r="DB293" s="16" t="s">
        <v>233</v>
      </c>
      <c r="DD293" s="1">
        <v>6.2</v>
      </c>
      <c r="DE293" s="1">
        <v>9.5</v>
      </c>
      <c r="DF293" s="1">
        <v>3.7</v>
      </c>
      <c r="DG293" s="1">
        <v>91.4</v>
      </c>
      <c r="DH293" s="1">
        <v>79</v>
      </c>
      <c r="DZ293" s="1">
        <v>2.6</v>
      </c>
      <c r="EA293" s="1">
        <v>6</v>
      </c>
      <c r="EB293" s="1">
        <v>-0.1</v>
      </c>
      <c r="EC293" s="1">
        <v>4.0999999999999996</v>
      </c>
    </row>
    <row r="294" spans="1:133" x14ac:dyDescent="0.2">
      <c r="A294" s="40">
        <v>35352</v>
      </c>
      <c r="B294" s="34">
        <v>288</v>
      </c>
      <c r="C294" s="34"/>
      <c r="D294" s="34"/>
      <c r="E294" s="50">
        <f t="shared" si="151"/>
        <v>0.6</v>
      </c>
      <c r="P294" s="17"/>
      <c r="R294" s="50">
        <f t="shared" si="152"/>
        <v>3.6</v>
      </c>
      <c r="AD294" s="17"/>
      <c r="AF294" s="50">
        <f t="shared" si="153"/>
        <v>-2.2000000000000002</v>
      </c>
      <c r="AG294" s="3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"/>
      <c r="BE294" s="3"/>
      <c r="BF294" s="3"/>
      <c r="BH294" s="16">
        <v>11.84</v>
      </c>
      <c r="BI294" s="16">
        <f t="shared" si="158"/>
        <v>23.916799999999999</v>
      </c>
      <c r="BJ294" s="17"/>
      <c r="BK294" s="17"/>
      <c r="BO294" s="50">
        <f t="shared" si="154"/>
        <v>70</v>
      </c>
      <c r="BP294" s="56">
        <f t="shared" si="163"/>
        <v>0.55300000000000005</v>
      </c>
      <c r="BQ294" s="56">
        <f t="shared" si="164"/>
        <v>0.23699999999999999</v>
      </c>
      <c r="BS294" s="3">
        <v>7.1</v>
      </c>
      <c r="BT294" s="8"/>
      <c r="BV294" s="16" t="s">
        <v>233</v>
      </c>
      <c r="BW294" s="16" t="s">
        <v>233</v>
      </c>
      <c r="BX294" s="3">
        <f t="shared" si="159"/>
        <v>0.6</v>
      </c>
      <c r="BY294" s="16" t="s">
        <v>233</v>
      </c>
      <c r="BZ294" s="16" t="s">
        <v>233</v>
      </c>
      <c r="CA294" s="16" t="s">
        <v>233</v>
      </c>
      <c r="CB294" s="16" t="s">
        <v>233</v>
      </c>
      <c r="CC294" s="16" t="s">
        <v>233</v>
      </c>
      <c r="CD294" s="16" t="s">
        <v>233</v>
      </c>
      <c r="CE294" s="16" t="s">
        <v>233</v>
      </c>
      <c r="CF294" s="1">
        <f t="shared" si="155"/>
        <v>3.6</v>
      </c>
      <c r="CG294" s="16" t="s">
        <v>233</v>
      </c>
      <c r="CH294" s="16" t="s">
        <v>233</v>
      </c>
      <c r="CI294" s="16" t="s">
        <v>233</v>
      </c>
      <c r="CJ294" s="16" t="s">
        <v>233</v>
      </c>
      <c r="CK294" s="16" t="s">
        <v>233</v>
      </c>
      <c r="CL294" s="16" t="s">
        <v>233</v>
      </c>
      <c r="CM294" s="16" t="s">
        <v>233</v>
      </c>
      <c r="CN294" s="1">
        <f t="shared" si="156"/>
        <v>-2.2000000000000002</v>
      </c>
      <c r="CO294" s="16" t="s">
        <v>233</v>
      </c>
      <c r="CP294" s="16" t="s">
        <v>233</v>
      </c>
      <c r="CQ294" s="16" t="s">
        <v>233</v>
      </c>
      <c r="CR294" s="16" t="s">
        <v>233</v>
      </c>
      <c r="CS294" s="16" t="s">
        <v>233</v>
      </c>
      <c r="CT294" s="16" t="s">
        <v>233</v>
      </c>
      <c r="CU294" s="2">
        <f t="shared" si="162"/>
        <v>70</v>
      </c>
      <c r="CV294" s="18" t="s">
        <v>233</v>
      </c>
      <c r="CW294" s="1">
        <f>ROUND(PPTest!K294,1)</f>
        <v>7.5</v>
      </c>
      <c r="CX294" s="16" t="s">
        <v>233</v>
      </c>
      <c r="CY294" s="16" t="s">
        <v>233</v>
      </c>
      <c r="CZ294" s="20">
        <f t="shared" si="160"/>
        <v>0.55300000000000005</v>
      </c>
      <c r="DA294" s="20">
        <f t="shared" si="161"/>
        <v>0.23699999999999999</v>
      </c>
      <c r="DB294" s="16" t="s">
        <v>233</v>
      </c>
      <c r="DD294" s="1">
        <v>2.7</v>
      </c>
      <c r="DE294" s="1">
        <v>4.5</v>
      </c>
      <c r="DF294" s="1">
        <v>1.5</v>
      </c>
      <c r="DG294" s="1">
        <v>93.9</v>
      </c>
      <c r="DH294" s="1">
        <v>86</v>
      </c>
      <c r="DZ294" s="1">
        <v>-0.2</v>
      </c>
      <c r="EA294" s="1">
        <v>2.1</v>
      </c>
      <c r="EB294" s="1">
        <v>-2.2999999999999998</v>
      </c>
      <c r="EC294" s="1">
        <v>1.6</v>
      </c>
    </row>
    <row r="295" spans="1:133" x14ac:dyDescent="0.2">
      <c r="A295" s="40">
        <v>35353</v>
      </c>
      <c r="B295" s="34">
        <v>289</v>
      </c>
      <c r="C295" s="34"/>
      <c r="D295" s="34"/>
      <c r="E295" s="50">
        <f t="shared" si="151"/>
        <v>-1.1000000000000001</v>
      </c>
      <c r="P295" s="17"/>
      <c r="R295" s="50">
        <f t="shared" si="152"/>
        <v>2.6</v>
      </c>
      <c r="AD295" s="17"/>
      <c r="AF295" s="50">
        <f t="shared" si="153"/>
        <v>-4.7</v>
      </c>
      <c r="AG295" s="3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"/>
      <c r="BE295" s="3"/>
      <c r="BF295" s="3"/>
      <c r="BH295" s="16">
        <v>11.62</v>
      </c>
      <c r="BI295" s="16">
        <f t="shared" si="158"/>
        <v>23.4724</v>
      </c>
      <c r="BJ295" s="17"/>
      <c r="BK295" s="17"/>
      <c r="BO295" s="50">
        <f t="shared" si="154"/>
        <v>66</v>
      </c>
      <c r="BP295" s="56">
        <f t="shared" si="163"/>
        <v>0.48599999999999999</v>
      </c>
      <c r="BQ295" s="56">
        <f t="shared" si="164"/>
        <v>0.25</v>
      </c>
      <c r="BS295" s="3">
        <v>0.3</v>
      </c>
      <c r="BT295" s="8"/>
      <c r="BV295" s="16" t="s">
        <v>233</v>
      </c>
      <c r="BW295" s="16" t="s">
        <v>233</v>
      </c>
      <c r="BX295" s="3">
        <f t="shared" si="159"/>
        <v>-1.1000000000000001</v>
      </c>
      <c r="BY295" s="16" t="s">
        <v>233</v>
      </c>
      <c r="BZ295" s="16" t="s">
        <v>233</v>
      </c>
      <c r="CA295" s="16" t="s">
        <v>233</v>
      </c>
      <c r="CB295" s="16" t="s">
        <v>233</v>
      </c>
      <c r="CC295" s="16" t="s">
        <v>233</v>
      </c>
      <c r="CD295" s="16" t="s">
        <v>233</v>
      </c>
      <c r="CE295" s="16" t="s">
        <v>233</v>
      </c>
      <c r="CF295" s="1">
        <f t="shared" si="155"/>
        <v>2.6</v>
      </c>
      <c r="CG295" s="16" t="s">
        <v>233</v>
      </c>
      <c r="CH295" s="16" t="s">
        <v>233</v>
      </c>
      <c r="CI295" s="16" t="s">
        <v>233</v>
      </c>
      <c r="CJ295" s="16" t="s">
        <v>233</v>
      </c>
      <c r="CK295" s="16" t="s">
        <v>233</v>
      </c>
      <c r="CL295" s="16" t="s">
        <v>233</v>
      </c>
      <c r="CM295" s="16" t="s">
        <v>233</v>
      </c>
      <c r="CN295" s="1">
        <f t="shared" si="156"/>
        <v>-4.7</v>
      </c>
      <c r="CO295" s="16" t="s">
        <v>233</v>
      </c>
      <c r="CP295" s="16" t="s">
        <v>233</v>
      </c>
      <c r="CQ295" s="16" t="s">
        <v>233</v>
      </c>
      <c r="CR295" s="16" t="s">
        <v>233</v>
      </c>
      <c r="CS295" s="16" t="s">
        <v>233</v>
      </c>
      <c r="CT295" s="16" t="s">
        <v>233</v>
      </c>
      <c r="CU295" s="2">
        <f t="shared" si="162"/>
        <v>66</v>
      </c>
      <c r="CV295" s="18" t="s">
        <v>233</v>
      </c>
      <c r="CW295" s="1">
        <f>ROUND(PPTest!K295,1)</f>
        <v>0.3</v>
      </c>
      <c r="CX295" s="16" t="s">
        <v>233</v>
      </c>
      <c r="CY295" s="16" t="s">
        <v>233</v>
      </c>
      <c r="CZ295" s="20">
        <f t="shared" si="160"/>
        <v>0.48599999999999999</v>
      </c>
      <c r="DA295" s="20">
        <f t="shared" si="161"/>
        <v>0.25</v>
      </c>
      <c r="DB295" s="16" t="s">
        <v>233</v>
      </c>
      <c r="DD295" s="1">
        <v>0.8</v>
      </c>
      <c r="DE295" s="1">
        <v>3.5</v>
      </c>
      <c r="DF295" s="1">
        <v>-1.7</v>
      </c>
      <c r="DG295" s="1">
        <v>94</v>
      </c>
      <c r="DH295" s="1">
        <v>82</v>
      </c>
      <c r="DZ295" s="1">
        <v>-1.6</v>
      </c>
      <c r="EA295" s="1">
        <v>1.1000000000000001</v>
      </c>
      <c r="EB295" s="1">
        <v>-4.4000000000000004</v>
      </c>
      <c r="EC295" s="1">
        <v>4.8</v>
      </c>
    </row>
    <row r="296" spans="1:133" x14ac:dyDescent="0.2">
      <c r="A296" s="40">
        <v>35354</v>
      </c>
      <c r="B296" s="34">
        <v>290</v>
      </c>
      <c r="C296" s="34"/>
      <c r="D296" s="34"/>
      <c r="E296" s="50">
        <f t="shared" si="151"/>
        <v>-2.6</v>
      </c>
      <c r="P296" s="17"/>
      <c r="R296" s="50">
        <f t="shared" si="152"/>
        <v>0.6</v>
      </c>
      <c r="AD296" s="17"/>
      <c r="AF296" s="50">
        <f t="shared" si="153"/>
        <v>-7.3</v>
      </c>
      <c r="AG296" s="3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"/>
      <c r="BE296" s="3"/>
      <c r="BF296" s="3"/>
      <c r="BH296" s="16">
        <v>11.41</v>
      </c>
      <c r="BI296" s="16">
        <f t="shared" si="158"/>
        <v>23.048200000000001</v>
      </c>
      <c r="BJ296" s="17"/>
      <c r="BK296" s="17"/>
      <c r="BO296" s="50">
        <f t="shared" si="154"/>
        <v>63</v>
      </c>
      <c r="BP296" s="56">
        <f t="shared" si="163"/>
        <v>0.40200000000000002</v>
      </c>
      <c r="BQ296" s="56">
        <f t="shared" si="164"/>
        <v>0.23599999999999999</v>
      </c>
      <c r="BS296" s="3">
        <v>3.6</v>
      </c>
      <c r="BT296" s="8"/>
      <c r="BV296" s="16" t="s">
        <v>233</v>
      </c>
      <c r="BW296" s="16" t="s">
        <v>233</v>
      </c>
      <c r="BX296" s="3">
        <f t="shared" si="159"/>
        <v>-2.6</v>
      </c>
      <c r="BY296" s="16" t="s">
        <v>233</v>
      </c>
      <c r="BZ296" s="16" t="s">
        <v>233</v>
      </c>
      <c r="CA296" s="16" t="s">
        <v>233</v>
      </c>
      <c r="CB296" s="16" t="s">
        <v>233</v>
      </c>
      <c r="CC296" s="16" t="s">
        <v>233</v>
      </c>
      <c r="CD296" s="16" t="s">
        <v>233</v>
      </c>
      <c r="CE296" s="16" t="s">
        <v>233</v>
      </c>
      <c r="CF296" s="1">
        <f t="shared" si="155"/>
        <v>0.6</v>
      </c>
      <c r="CG296" s="16" t="s">
        <v>233</v>
      </c>
      <c r="CH296" s="16" t="s">
        <v>233</v>
      </c>
      <c r="CI296" s="16" t="s">
        <v>233</v>
      </c>
      <c r="CJ296" s="16" t="s">
        <v>233</v>
      </c>
      <c r="CK296" s="16" t="s">
        <v>233</v>
      </c>
      <c r="CL296" s="16" t="s">
        <v>233</v>
      </c>
      <c r="CM296" s="16" t="s">
        <v>233</v>
      </c>
      <c r="CN296" s="1">
        <f t="shared" si="156"/>
        <v>-7.3</v>
      </c>
      <c r="CO296" s="16" t="s">
        <v>233</v>
      </c>
      <c r="CP296" s="16" t="s">
        <v>233</v>
      </c>
      <c r="CQ296" s="16" t="s">
        <v>233</v>
      </c>
      <c r="CR296" s="16" t="s">
        <v>233</v>
      </c>
      <c r="CS296" s="16" t="s">
        <v>233</v>
      </c>
      <c r="CT296" s="16" t="s">
        <v>233</v>
      </c>
      <c r="CU296" s="2">
        <f t="shared" si="162"/>
        <v>63</v>
      </c>
      <c r="CV296" s="18" t="s">
        <v>233</v>
      </c>
      <c r="CW296" s="1">
        <f>ROUND(PPTest!K296,1)</f>
        <v>3.8</v>
      </c>
      <c r="CX296" s="16" t="s">
        <v>233</v>
      </c>
      <c r="CY296" s="16" t="s">
        <v>233</v>
      </c>
      <c r="CZ296" s="20">
        <f t="shared" si="160"/>
        <v>0.40200000000000002</v>
      </c>
      <c r="DA296" s="20">
        <f t="shared" si="161"/>
        <v>0.23599999999999999</v>
      </c>
      <c r="DB296" s="16" t="s">
        <v>233</v>
      </c>
      <c r="DD296" s="1">
        <v>-0.9</v>
      </c>
      <c r="DE296" s="1">
        <v>1.5</v>
      </c>
      <c r="DF296" s="1">
        <v>-5.0999999999999996</v>
      </c>
      <c r="DG296" s="1">
        <v>88.8</v>
      </c>
      <c r="DH296" s="1">
        <v>78</v>
      </c>
      <c r="DZ296" s="1">
        <v>-4.9000000000000004</v>
      </c>
      <c r="EA296" s="1">
        <v>-0.4</v>
      </c>
      <c r="EB296" s="1">
        <v>-9.6</v>
      </c>
      <c r="EC296" s="1">
        <v>0</v>
      </c>
    </row>
    <row r="297" spans="1:133" x14ac:dyDescent="0.2">
      <c r="A297" s="40">
        <v>35355</v>
      </c>
      <c r="B297" s="34">
        <v>291</v>
      </c>
      <c r="C297" s="34"/>
      <c r="D297" s="34"/>
      <c r="E297" s="50">
        <f t="shared" si="151"/>
        <v>-3.4</v>
      </c>
      <c r="P297" s="17"/>
      <c r="R297" s="50">
        <f t="shared" si="152"/>
        <v>-1.6</v>
      </c>
      <c r="AD297" s="17"/>
      <c r="AF297" s="50">
        <f t="shared" si="153"/>
        <v>-5.7</v>
      </c>
      <c r="AG297" s="3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"/>
      <c r="BE297" s="3"/>
      <c r="BF297" s="3"/>
      <c r="BH297" s="16">
        <v>11.19</v>
      </c>
      <c r="BI297" s="16">
        <f t="shared" si="158"/>
        <v>22.6038</v>
      </c>
      <c r="BJ297" s="17"/>
      <c r="BK297" s="17"/>
      <c r="BO297" s="50">
        <f t="shared" si="154"/>
        <v>63</v>
      </c>
      <c r="BP297" s="56">
        <f t="shared" si="163"/>
        <v>0.34200000000000003</v>
      </c>
      <c r="BQ297" s="56">
        <f t="shared" si="164"/>
        <v>0.20100000000000001</v>
      </c>
      <c r="BS297" s="3">
        <v>0.3</v>
      </c>
      <c r="BT297" s="8"/>
      <c r="BV297" s="16" t="s">
        <v>233</v>
      </c>
      <c r="BW297" s="16" t="s">
        <v>233</v>
      </c>
      <c r="BX297" s="3">
        <f t="shared" si="159"/>
        <v>-3.4</v>
      </c>
      <c r="BY297" s="16" t="s">
        <v>233</v>
      </c>
      <c r="BZ297" s="16" t="s">
        <v>233</v>
      </c>
      <c r="CA297" s="16" t="s">
        <v>233</v>
      </c>
      <c r="CB297" s="16" t="s">
        <v>233</v>
      </c>
      <c r="CC297" s="16" t="s">
        <v>233</v>
      </c>
      <c r="CD297" s="16" t="s">
        <v>233</v>
      </c>
      <c r="CE297" s="16" t="s">
        <v>233</v>
      </c>
      <c r="CF297" s="1">
        <f t="shared" si="155"/>
        <v>-1.6</v>
      </c>
      <c r="CG297" s="16" t="s">
        <v>233</v>
      </c>
      <c r="CH297" s="16" t="s">
        <v>233</v>
      </c>
      <c r="CI297" s="16" t="s">
        <v>233</v>
      </c>
      <c r="CJ297" s="16" t="s">
        <v>233</v>
      </c>
      <c r="CK297" s="16" t="s">
        <v>233</v>
      </c>
      <c r="CL297" s="16" t="s">
        <v>233</v>
      </c>
      <c r="CM297" s="16" t="s">
        <v>233</v>
      </c>
      <c r="CN297" s="1">
        <f t="shared" si="156"/>
        <v>-5.7</v>
      </c>
      <c r="CO297" s="16" t="s">
        <v>233</v>
      </c>
      <c r="CP297" s="16" t="s">
        <v>233</v>
      </c>
      <c r="CQ297" s="16" t="s">
        <v>233</v>
      </c>
      <c r="CR297" s="16" t="s">
        <v>233</v>
      </c>
      <c r="CS297" s="16" t="s">
        <v>233</v>
      </c>
      <c r="CT297" s="16" t="s">
        <v>233</v>
      </c>
      <c r="CU297" s="2">
        <f t="shared" si="162"/>
        <v>63</v>
      </c>
      <c r="CV297" s="18" t="s">
        <v>233</v>
      </c>
      <c r="CW297" s="1">
        <f>ROUND(PPTest!K297,1)</f>
        <v>0.3</v>
      </c>
      <c r="CX297" s="16" t="s">
        <v>233</v>
      </c>
      <c r="CY297" s="16" t="s">
        <v>233</v>
      </c>
      <c r="CZ297" s="20">
        <f t="shared" si="160"/>
        <v>0.34200000000000003</v>
      </c>
      <c r="DA297" s="20">
        <f t="shared" si="161"/>
        <v>0.20100000000000001</v>
      </c>
      <c r="DB297" s="16" t="s">
        <v>233</v>
      </c>
      <c r="DD297" s="1">
        <v>-1.8</v>
      </c>
      <c r="DE297" s="1">
        <v>-0.7</v>
      </c>
      <c r="DF297" s="1">
        <v>-3</v>
      </c>
      <c r="DG297" s="1">
        <v>89.4</v>
      </c>
      <c r="DH297" s="1">
        <v>79</v>
      </c>
      <c r="DZ297" s="1">
        <v>-5.2</v>
      </c>
      <c r="EA297" s="1">
        <v>-1.6</v>
      </c>
      <c r="EB297" s="1">
        <v>-9.9</v>
      </c>
      <c r="EC297" s="1">
        <v>13.9</v>
      </c>
    </row>
    <row r="298" spans="1:133" x14ac:dyDescent="0.2">
      <c r="A298" s="40">
        <v>35356</v>
      </c>
      <c r="B298" s="42">
        <v>292</v>
      </c>
      <c r="C298" s="34"/>
      <c r="D298" s="34"/>
      <c r="E298" s="50">
        <f t="shared" si="151"/>
        <v>-1.8</v>
      </c>
      <c r="P298" s="17"/>
      <c r="R298" s="50">
        <f t="shared" si="152"/>
        <v>0.7</v>
      </c>
      <c r="AD298" s="17"/>
      <c r="AF298" s="50">
        <f t="shared" si="153"/>
        <v>-4.8</v>
      </c>
      <c r="AG298" s="3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"/>
      <c r="BE298" s="3"/>
      <c r="BF298" s="3"/>
      <c r="BH298" s="16">
        <v>10.98</v>
      </c>
      <c r="BI298" s="16">
        <f t="shared" si="158"/>
        <v>22.179600000000001</v>
      </c>
      <c r="BJ298" s="17"/>
      <c r="BK298" s="17"/>
      <c r="BO298" s="50">
        <f t="shared" si="154"/>
        <v>65</v>
      </c>
      <c r="BP298" s="56">
        <f t="shared" si="163"/>
        <v>0.41799999999999998</v>
      </c>
      <c r="BQ298" s="56">
        <f t="shared" si="164"/>
        <v>0.22500000000000001</v>
      </c>
      <c r="BS298" s="3">
        <v>1.3</v>
      </c>
      <c r="BT298" s="8"/>
      <c r="BV298" s="16" t="s">
        <v>233</v>
      </c>
      <c r="BW298" s="16" t="s">
        <v>233</v>
      </c>
      <c r="BX298" s="3">
        <f t="shared" si="159"/>
        <v>-1.8</v>
      </c>
      <c r="BY298" s="16" t="s">
        <v>233</v>
      </c>
      <c r="BZ298" s="16" t="s">
        <v>233</v>
      </c>
      <c r="CA298" s="16" t="s">
        <v>233</v>
      </c>
      <c r="CB298" s="16" t="s">
        <v>233</v>
      </c>
      <c r="CC298" s="16" t="s">
        <v>233</v>
      </c>
      <c r="CD298" s="16" t="s">
        <v>233</v>
      </c>
      <c r="CE298" s="16" t="s">
        <v>233</v>
      </c>
      <c r="CF298" s="1">
        <f t="shared" si="155"/>
        <v>0.7</v>
      </c>
      <c r="CG298" s="16" t="s">
        <v>233</v>
      </c>
      <c r="CH298" s="16" t="s">
        <v>233</v>
      </c>
      <c r="CI298" s="16" t="s">
        <v>233</v>
      </c>
      <c r="CJ298" s="16" t="s">
        <v>233</v>
      </c>
      <c r="CK298" s="16" t="s">
        <v>233</v>
      </c>
      <c r="CL298" s="16" t="s">
        <v>233</v>
      </c>
      <c r="CM298" s="16" t="s">
        <v>233</v>
      </c>
      <c r="CN298" s="1">
        <f t="shared" si="156"/>
        <v>-4.8</v>
      </c>
      <c r="CO298" s="16" t="s">
        <v>233</v>
      </c>
      <c r="CP298" s="16" t="s">
        <v>233</v>
      </c>
      <c r="CQ298" s="16" t="s">
        <v>233</v>
      </c>
      <c r="CR298" s="16" t="s">
        <v>233</v>
      </c>
      <c r="CS298" s="16" t="s">
        <v>233</v>
      </c>
      <c r="CT298" s="16" t="s">
        <v>233</v>
      </c>
      <c r="CU298" s="2">
        <f t="shared" si="162"/>
        <v>65</v>
      </c>
      <c r="CV298" s="18" t="s">
        <v>233</v>
      </c>
      <c r="CW298" s="1">
        <f>ROUND(PPTest!K298,1)</f>
        <v>1.4</v>
      </c>
      <c r="CX298" s="16" t="s">
        <v>233</v>
      </c>
      <c r="CY298" s="16" t="s">
        <v>233</v>
      </c>
      <c r="CZ298" s="20">
        <f t="shared" si="160"/>
        <v>0.41799999999999998</v>
      </c>
      <c r="DA298" s="20">
        <f t="shared" si="161"/>
        <v>0.22500000000000001</v>
      </c>
      <c r="DB298" s="16" t="s">
        <v>233</v>
      </c>
      <c r="DD298" s="1">
        <v>0</v>
      </c>
      <c r="DE298" s="1">
        <v>1.6</v>
      </c>
      <c r="DF298" s="1">
        <v>-1.8</v>
      </c>
      <c r="DG298" s="1">
        <v>92.8</v>
      </c>
      <c r="DH298" s="1">
        <v>81</v>
      </c>
      <c r="DZ298" s="1">
        <v>-2.4</v>
      </c>
      <c r="EA298" s="1">
        <v>2.2000000000000002</v>
      </c>
      <c r="EB298" s="1">
        <v>-8.4</v>
      </c>
      <c r="EC298" s="1">
        <v>0</v>
      </c>
    </row>
    <row r="299" spans="1:133" x14ac:dyDescent="0.2">
      <c r="A299" s="40">
        <v>35357</v>
      </c>
      <c r="B299" s="42">
        <v>293</v>
      </c>
      <c r="C299" s="34"/>
      <c r="D299" s="34"/>
      <c r="E299" s="50">
        <f t="shared" si="151"/>
        <v>-2.5</v>
      </c>
      <c r="P299" s="17"/>
      <c r="R299" s="50">
        <f t="shared" si="152"/>
        <v>1.9</v>
      </c>
      <c r="AD299" s="17"/>
      <c r="AF299" s="50">
        <f t="shared" si="153"/>
        <v>-5.3</v>
      </c>
      <c r="AG299" s="3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"/>
      <c r="BE299" s="3"/>
      <c r="BF299" s="3"/>
      <c r="BH299" s="16">
        <v>10.77</v>
      </c>
      <c r="BI299" s="16">
        <f t="shared" si="158"/>
        <v>21.755399999999998</v>
      </c>
      <c r="BJ299" s="17"/>
      <c r="BK299" s="17"/>
      <c r="BO299" s="50">
        <f t="shared" si="154"/>
        <v>70</v>
      </c>
      <c r="BP299" s="56">
        <f t="shared" si="163"/>
        <v>0.49</v>
      </c>
      <c r="BQ299" s="56">
        <f t="shared" si="164"/>
        <v>0.21</v>
      </c>
      <c r="BS299" s="3">
        <v>0.3</v>
      </c>
      <c r="BT299" s="8"/>
      <c r="BV299" s="16" t="s">
        <v>233</v>
      </c>
      <c r="BW299" s="16" t="s">
        <v>233</v>
      </c>
      <c r="BX299" s="3">
        <f t="shared" si="159"/>
        <v>-2.5</v>
      </c>
      <c r="BY299" s="16" t="s">
        <v>233</v>
      </c>
      <c r="BZ299" s="16" t="s">
        <v>233</v>
      </c>
      <c r="CA299" s="16" t="s">
        <v>233</v>
      </c>
      <c r="CB299" s="16" t="s">
        <v>233</v>
      </c>
      <c r="CC299" s="16" t="s">
        <v>233</v>
      </c>
      <c r="CD299" s="16" t="s">
        <v>233</v>
      </c>
      <c r="CE299" s="16" t="s">
        <v>233</v>
      </c>
      <c r="CF299" s="1">
        <f t="shared" si="155"/>
        <v>1.9</v>
      </c>
      <c r="CG299" s="16" t="s">
        <v>233</v>
      </c>
      <c r="CH299" s="16" t="s">
        <v>233</v>
      </c>
      <c r="CI299" s="16" t="s">
        <v>233</v>
      </c>
      <c r="CJ299" s="16" t="s">
        <v>233</v>
      </c>
      <c r="CK299" s="16" t="s">
        <v>233</v>
      </c>
      <c r="CL299" s="16" t="s">
        <v>233</v>
      </c>
      <c r="CM299" s="16" t="s">
        <v>233</v>
      </c>
      <c r="CN299" s="1">
        <f t="shared" si="156"/>
        <v>-5.3</v>
      </c>
      <c r="CO299" s="16" t="s">
        <v>233</v>
      </c>
      <c r="CP299" s="16" t="s">
        <v>233</v>
      </c>
      <c r="CQ299" s="16" t="s">
        <v>233</v>
      </c>
      <c r="CR299" s="16" t="s">
        <v>233</v>
      </c>
      <c r="CS299" s="16" t="s">
        <v>233</v>
      </c>
      <c r="CT299" s="16" t="s">
        <v>233</v>
      </c>
      <c r="CU299" s="2">
        <f t="shared" si="162"/>
        <v>70</v>
      </c>
      <c r="CV299" s="18" t="s">
        <v>233</v>
      </c>
      <c r="CW299" s="1">
        <f>ROUND(PPTest!K299,1)</f>
        <v>0.3</v>
      </c>
      <c r="CX299" s="16" t="s">
        <v>233</v>
      </c>
      <c r="CY299" s="16" t="s">
        <v>233</v>
      </c>
      <c r="CZ299" s="20">
        <f t="shared" si="160"/>
        <v>0.49</v>
      </c>
      <c r="DA299" s="20">
        <f t="shared" si="161"/>
        <v>0.21</v>
      </c>
      <c r="DB299" s="16" t="s">
        <v>233</v>
      </c>
      <c r="DD299" s="1">
        <v>-0.8</v>
      </c>
      <c r="DE299" s="1">
        <v>2.8</v>
      </c>
      <c r="DF299" s="1">
        <v>-2.5</v>
      </c>
      <c r="DG299" s="1">
        <v>96.2</v>
      </c>
      <c r="DH299" s="1">
        <v>86</v>
      </c>
      <c r="DZ299" s="1">
        <v>-4.4000000000000004</v>
      </c>
      <c r="EA299" s="1">
        <v>-1.6</v>
      </c>
      <c r="EB299" s="1">
        <v>-8.6999999999999993</v>
      </c>
      <c r="EC299" s="1">
        <v>0</v>
      </c>
    </row>
    <row r="300" spans="1:133" x14ac:dyDescent="0.2">
      <c r="A300" s="40">
        <v>35358</v>
      </c>
      <c r="B300" s="42">
        <v>294</v>
      </c>
      <c r="C300" s="34"/>
      <c r="D300" s="34"/>
      <c r="E300" s="50">
        <f t="shared" si="151"/>
        <v>-2.9</v>
      </c>
      <c r="P300" s="17"/>
      <c r="R300" s="50">
        <f t="shared" si="152"/>
        <v>-0.4</v>
      </c>
      <c r="AD300" s="17"/>
      <c r="AF300" s="50">
        <f t="shared" si="153"/>
        <v>-5.0999999999999996</v>
      </c>
      <c r="AG300" s="3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"/>
      <c r="BE300" s="3"/>
      <c r="BF300" s="3"/>
      <c r="BH300" s="16">
        <v>10.57</v>
      </c>
      <c r="BI300" s="16">
        <f t="shared" si="158"/>
        <v>21.351400000000002</v>
      </c>
      <c r="BJ300" s="17"/>
      <c r="BK300" s="17"/>
      <c r="BO300" s="50">
        <f t="shared" si="154"/>
        <v>63</v>
      </c>
      <c r="BP300" s="56">
        <f t="shared" si="163"/>
        <v>0.374</v>
      </c>
      <c r="BQ300" s="56">
        <f t="shared" si="164"/>
        <v>0.22</v>
      </c>
      <c r="BS300" s="3">
        <v>0.3</v>
      </c>
      <c r="BT300" s="8"/>
      <c r="BV300" s="16" t="s">
        <v>233</v>
      </c>
      <c r="BW300" s="16" t="s">
        <v>233</v>
      </c>
      <c r="BX300" s="3">
        <f t="shared" si="159"/>
        <v>-2.9</v>
      </c>
      <c r="BY300" s="16" t="s">
        <v>233</v>
      </c>
      <c r="BZ300" s="16" t="s">
        <v>233</v>
      </c>
      <c r="CA300" s="16" t="s">
        <v>233</v>
      </c>
      <c r="CB300" s="16" t="s">
        <v>233</v>
      </c>
      <c r="CC300" s="16" t="s">
        <v>233</v>
      </c>
      <c r="CD300" s="16" t="s">
        <v>233</v>
      </c>
      <c r="CE300" s="16" t="s">
        <v>233</v>
      </c>
      <c r="CF300" s="1">
        <f t="shared" si="155"/>
        <v>-0.4</v>
      </c>
      <c r="CG300" s="16" t="s">
        <v>233</v>
      </c>
      <c r="CH300" s="16" t="s">
        <v>233</v>
      </c>
      <c r="CI300" s="16" t="s">
        <v>233</v>
      </c>
      <c r="CJ300" s="16" t="s">
        <v>233</v>
      </c>
      <c r="CK300" s="16" t="s">
        <v>233</v>
      </c>
      <c r="CL300" s="16" t="s">
        <v>233</v>
      </c>
      <c r="CM300" s="16" t="s">
        <v>233</v>
      </c>
      <c r="CN300" s="1">
        <f t="shared" si="156"/>
        <v>-5.0999999999999996</v>
      </c>
      <c r="CO300" s="16" t="s">
        <v>233</v>
      </c>
      <c r="CP300" s="16" t="s">
        <v>233</v>
      </c>
      <c r="CQ300" s="16" t="s">
        <v>233</v>
      </c>
      <c r="CR300" s="16" t="s">
        <v>233</v>
      </c>
      <c r="CS300" s="16" t="s">
        <v>233</v>
      </c>
      <c r="CT300" s="16" t="s">
        <v>233</v>
      </c>
      <c r="CU300" s="2">
        <f t="shared" si="162"/>
        <v>63</v>
      </c>
      <c r="CV300" s="18" t="s">
        <v>233</v>
      </c>
      <c r="CW300" s="1">
        <f>ROUND(PPTest!K300,1)</f>
        <v>0.3</v>
      </c>
      <c r="CX300" s="16" t="s">
        <v>233</v>
      </c>
      <c r="CY300" s="16" t="s">
        <v>233</v>
      </c>
      <c r="CZ300" s="20">
        <f t="shared" si="160"/>
        <v>0.374</v>
      </c>
      <c r="DA300" s="20">
        <f t="shared" si="161"/>
        <v>0.22</v>
      </c>
      <c r="DB300" s="16" t="s">
        <v>233</v>
      </c>
      <c r="DD300" s="1">
        <v>-1.2</v>
      </c>
      <c r="DE300" s="1">
        <v>0.5</v>
      </c>
      <c r="DF300" s="1">
        <v>-2.2000000000000002</v>
      </c>
      <c r="DG300" s="1">
        <v>87.7</v>
      </c>
      <c r="DH300" s="1">
        <v>78</v>
      </c>
      <c r="DZ300" s="1">
        <v>-5.8</v>
      </c>
      <c r="EA300" s="1">
        <v>0.2</v>
      </c>
      <c r="EB300" s="1">
        <v>-12.4</v>
      </c>
      <c r="EC300" s="1">
        <v>0.4</v>
      </c>
    </row>
    <row r="301" spans="1:133" x14ac:dyDescent="0.2">
      <c r="A301" s="40">
        <v>35359</v>
      </c>
      <c r="B301" s="42">
        <v>295</v>
      </c>
      <c r="C301" s="34"/>
      <c r="D301" s="34"/>
      <c r="E301" s="50">
        <f t="shared" si="151"/>
        <v>-3.6</v>
      </c>
      <c r="P301" s="17"/>
      <c r="R301" s="50">
        <f t="shared" si="152"/>
        <v>-2.2000000000000002</v>
      </c>
      <c r="AD301" s="17"/>
      <c r="AF301" s="50">
        <f t="shared" si="153"/>
        <v>-5.2</v>
      </c>
      <c r="AG301" s="3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"/>
      <c r="BE301" s="3"/>
      <c r="BF301" s="3"/>
      <c r="BH301" s="16">
        <v>10.36</v>
      </c>
      <c r="BI301" s="16">
        <f t="shared" si="158"/>
        <v>20.927199999999999</v>
      </c>
      <c r="BJ301" s="17"/>
      <c r="BK301" s="17"/>
      <c r="BO301" s="50">
        <f t="shared" si="154"/>
        <v>70</v>
      </c>
      <c r="BP301" s="56">
        <f t="shared" si="163"/>
        <v>0.36399999999999999</v>
      </c>
      <c r="BQ301" s="56">
        <f t="shared" si="164"/>
        <v>0.156</v>
      </c>
      <c r="BS301" s="3">
        <v>0</v>
      </c>
      <c r="BT301" s="8"/>
      <c r="BV301" s="16" t="s">
        <v>233</v>
      </c>
      <c r="BW301" s="16" t="s">
        <v>233</v>
      </c>
      <c r="BX301" s="3">
        <f t="shared" si="159"/>
        <v>-3.6</v>
      </c>
      <c r="BY301" s="16" t="s">
        <v>233</v>
      </c>
      <c r="BZ301" s="16" t="s">
        <v>233</v>
      </c>
      <c r="CA301" s="16" t="s">
        <v>233</v>
      </c>
      <c r="CB301" s="16" t="s">
        <v>233</v>
      </c>
      <c r="CC301" s="16" t="s">
        <v>233</v>
      </c>
      <c r="CD301" s="16" t="s">
        <v>233</v>
      </c>
      <c r="CE301" s="16" t="s">
        <v>233</v>
      </c>
      <c r="CF301" s="1">
        <f t="shared" si="155"/>
        <v>-2.2000000000000002</v>
      </c>
      <c r="CG301" s="16" t="s">
        <v>233</v>
      </c>
      <c r="CH301" s="16" t="s">
        <v>233</v>
      </c>
      <c r="CI301" s="16" t="s">
        <v>233</v>
      </c>
      <c r="CJ301" s="16" t="s">
        <v>233</v>
      </c>
      <c r="CK301" s="16" t="s">
        <v>233</v>
      </c>
      <c r="CL301" s="16" t="s">
        <v>233</v>
      </c>
      <c r="CM301" s="16" t="s">
        <v>233</v>
      </c>
      <c r="CN301" s="1">
        <f t="shared" si="156"/>
        <v>-5.2</v>
      </c>
      <c r="CO301" s="16" t="s">
        <v>233</v>
      </c>
      <c r="CP301" s="16" t="s">
        <v>233</v>
      </c>
      <c r="CQ301" s="16" t="s">
        <v>233</v>
      </c>
      <c r="CR301" s="16" t="s">
        <v>233</v>
      </c>
      <c r="CS301" s="16" t="s">
        <v>233</v>
      </c>
      <c r="CT301" s="16" t="s">
        <v>233</v>
      </c>
      <c r="CU301" s="2">
        <f t="shared" si="162"/>
        <v>70</v>
      </c>
      <c r="CV301" s="18" t="s">
        <v>233</v>
      </c>
      <c r="CW301" s="1">
        <f>ROUND(PPTest!K301,1)</f>
        <v>0</v>
      </c>
      <c r="CX301" s="16" t="s">
        <v>233</v>
      </c>
      <c r="CY301" s="16" t="s">
        <v>233</v>
      </c>
      <c r="CZ301" s="20">
        <f t="shared" si="160"/>
        <v>0.36399999999999999</v>
      </c>
      <c r="DA301" s="20">
        <f t="shared" si="161"/>
        <v>0.156</v>
      </c>
      <c r="DB301" s="16" t="s">
        <v>233</v>
      </c>
      <c r="DD301" s="1">
        <v>-2</v>
      </c>
      <c r="DE301" s="1">
        <v>-1.3</v>
      </c>
      <c r="DF301" s="1">
        <v>-2.2999999999999998</v>
      </c>
      <c r="DG301" s="1">
        <v>98</v>
      </c>
      <c r="DH301" s="1">
        <v>86</v>
      </c>
      <c r="DZ301" s="1">
        <v>-5.2</v>
      </c>
      <c r="EA301" s="1">
        <v>-3.7</v>
      </c>
      <c r="EB301" s="1">
        <v>-9.1999999999999993</v>
      </c>
      <c r="EC301" s="1">
        <v>5.0999999999999996</v>
      </c>
    </row>
    <row r="302" spans="1:133" x14ac:dyDescent="0.2">
      <c r="A302" s="40">
        <v>35360</v>
      </c>
      <c r="B302" s="42">
        <v>296</v>
      </c>
      <c r="C302" s="34"/>
      <c r="D302" s="34"/>
      <c r="E302" s="50">
        <f t="shared" si="151"/>
        <v>-2.5</v>
      </c>
      <c r="P302" s="17"/>
      <c r="R302" s="50">
        <f t="shared" si="152"/>
        <v>-0.4</v>
      </c>
      <c r="AD302" s="17"/>
      <c r="AF302" s="50">
        <f t="shared" si="153"/>
        <v>-5.3</v>
      </c>
      <c r="AG302" s="3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"/>
      <c r="BE302" s="3"/>
      <c r="BF302" s="3"/>
      <c r="BH302" s="16">
        <v>10.17</v>
      </c>
      <c r="BI302" s="16">
        <f t="shared" si="158"/>
        <v>20.543399999999998</v>
      </c>
      <c r="BJ302" s="17"/>
      <c r="BK302" s="17"/>
      <c r="BO302" s="50">
        <f t="shared" si="154"/>
        <v>81</v>
      </c>
      <c r="BP302" s="56">
        <f t="shared" si="163"/>
        <v>0.48</v>
      </c>
      <c r="BQ302" s="56">
        <f t="shared" si="164"/>
        <v>0.113</v>
      </c>
      <c r="BS302" s="3">
        <v>0.3</v>
      </c>
      <c r="BT302" s="8"/>
      <c r="BV302" s="16" t="s">
        <v>233</v>
      </c>
      <c r="BW302" s="16" t="s">
        <v>233</v>
      </c>
      <c r="BX302" s="3">
        <f t="shared" si="159"/>
        <v>-2.5</v>
      </c>
      <c r="BY302" s="16" t="s">
        <v>233</v>
      </c>
      <c r="BZ302" s="16" t="s">
        <v>233</v>
      </c>
      <c r="CA302" s="16" t="s">
        <v>233</v>
      </c>
      <c r="CB302" s="16" t="s">
        <v>233</v>
      </c>
      <c r="CC302" s="16" t="s">
        <v>233</v>
      </c>
      <c r="CD302" s="16" t="s">
        <v>233</v>
      </c>
      <c r="CE302" s="16" t="s">
        <v>233</v>
      </c>
      <c r="CF302" s="1">
        <f t="shared" si="155"/>
        <v>-0.4</v>
      </c>
      <c r="CG302" s="16" t="s">
        <v>233</v>
      </c>
      <c r="CH302" s="16" t="s">
        <v>233</v>
      </c>
      <c r="CI302" s="16" t="s">
        <v>233</v>
      </c>
      <c r="CJ302" s="16" t="s">
        <v>233</v>
      </c>
      <c r="CK302" s="16" t="s">
        <v>233</v>
      </c>
      <c r="CL302" s="16" t="s">
        <v>233</v>
      </c>
      <c r="CM302" s="16" t="s">
        <v>233</v>
      </c>
      <c r="CN302" s="1">
        <f t="shared" si="156"/>
        <v>-5.3</v>
      </c>
      <c r="CO302" s="16" t="s">
        <v>233</v>
      </c>
      <c r="CP302" s="16" t="s">
        <v>233</v>
      </c>
      <c r="CQ302" s="16" t="s">
        <v>233</v>
      </c>
      <c r="CR302" s="16" t="s">
        <v>233</v>
      </c>
      <c r="CS302" s="16" t="s">
        <v>233</v>
      </c>
      <c r="CT302" s="16" t="s">
        <v>233</v>
      </c>
      <c r="CU302" s="2">
        <f t="shared" si="162"/>
        <v>81</v>
      </c>
      <c r="CV302" s="18" t="s">
        <v>233</v>
      </c>
      <c r="CW302" s="1">
        <f>ROUND(PPTest!K302,1)</f>
        <v>0.3</v>
      </c>
      <c r="CX302" s="16" t="s">
        <v>233</v>
      </c>
      <c r="CY302" s="16" t="s">
        <v>233</v>
      </c>
      <c r="CZ302" s="20">
        <f t="shared" si="160"/>
        <v>0.48</v>
      </c>
      <c r="DA302" s="20">
        <f t="shared" si="161"/>
        <v>0.113</v>
      </c>
      <c r="DB302" s="16" t="s">
        <v>233</v>
      </c>
      <c r="DD302" s="1">
        <v>-0.7</v>
      </c>
      <c r="DE302" s="1">
        <v>0.5</v>
      </c>
      <c r="DF302" s="1">
        <v>-2.5</v>
      </c>
      <c r="DG302" s="1">
        <v>99</v>
      </c>
      <c r="DH302" s="1">
        <v>98</v>
      </c>
      <c r="DZ302" s="1">
        <v>-2.2000000000000002</v>
      </c>
      <c r="EA302" s="1">
        <v>1.1000000000000001</v>
      </c>
      <c r="EB302" s="1">
        <v>-5</v>
      </c>
      <c r="EC302" s="1">
        <v>0.7</v>
      </c>
    </row>
    <row r="303" spans="1:133" x14ac:dyDescent="0.2">
      <c r="A303" s="40">
        <v>35361</v>
      </c>
      <c r="B303" s="42">
        <v>297</v>
      </c>
      <c r="C303" s="34"/>
      <c r="D303" s="34"/>
      <c r="E303" s="50">
        <f t="shared" si="151"/>
        <v>-2.5</v>
      </c>
      <c r="P303" s="17"/>
      <c r="R303" s="50">
        <f t="shared" si="152"/>
        <v>-0.9</v>
      </c>
      <c r="AD303" s="17"/>
      <c r="AF303" s="50">
        <f t="shared" si="153"/>
        <v>-4.5999999999999996</v>
      </c>
      <c r="AG303" s="3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"/>
      <c r="BE303" s="3"/>
      <c r="BF303" s="3"/>
      <c r="BH303" s="16">
        <v>9.9700000000000006</v>
      </c>
      <c r="BI303" s="16">
        <f t="shared" si="158"/>
        <v>20.139400000000002</v>
      </c>
      <c r="BJ303" s="17"/>
      <c r="BK303" s="17"/>
      <c r="BO303" s="50">
        <f t="shared" si="154"/>
        <v>81</v>
      </c>
      <c r="BP303" s="56">
        <f t="shared" si="163"/>
        <v>0.46300000000000002</v>
      </c>
      <c r="BQ303" s="56">
        <f t="shared" si="164"/>
        <v>0.109</v>
      </c>
      <c r="BS303" s="3">
        <v>0.8</v>
      </c>
      <c r="BT303" s="8"/>
      <c r="BV303" s="16" t="s">
        <v>233</v>
      </c>
      <c r="BW303" s="16" t="s">
        <v>233</v>
      </c>
      <c r="BX303" s="3">
        <f t="shared" si="159"/>
        <v>-2.5</v>
      </c>
      <c r="BY303" s="16" t="s">
        <v>233</v>
      </c>
      <c r="BZ303" s="16" t="s">
        <v>233</v>
      </c>
      <c r="CA303" s="16" t="s">
        <v>233</v>
      </c>
      <c r="CB303" s="16" t="s">
        <v>233</v>
      </c>
      <c r="CC303" s="16" t="s">
        <v>233</v>
      </c>
      <c r="CD303" s="16" t="s">
        <v>233</v>
      </c>
      <c r="CE303" s="16" t="s">
        <v>233</v>
      </c>
      <c r="CF303" s="1">
        <f t="shared" si="155"/>
        <v>-0.9</v>
      </c>
      <c r="CG303" s="16" t="s">
        <v>233</v>
      </c>
      <c r="CH303" s="16" t="s">
        <v>233</v>
      </c>
      <c r="CI303" s="16" t="s">
        <v>233</v>
      </c>
      <c r="CJ303" s="16" t="s">
        <v>233</v>
      </c>
      <c r="CK303" s="16" t="s">
        <v>233</v>
      </c>
      <c r="CL303" s="16" t="s">
        <v>233</v>
      </c>
      <c r="CM303" s="16" t="s">
        <v>233</v>
      </c>
      <c r="CN303" s="1">
        <f t="shared" si="156"/>
        <v>-4.5999999999999996</v>
      </c>
      <c r="CO303" s="16" t="s">
        <v>233</v>
      </c>
      <c r="CP303" s="16" t="s">
        <v>233</v>
      </c>
      <c r="CQ303" s="16" t="s">
        <v>233</v>
      </c>
      <c r="CR303" s="16" t="s">
        <v>233</v>
      </c>
      <c r="CS303" s="16" t="s">
        <v>233</v>
      </c>
      <c r="CT303" s="16" t="s">
        <v>233</v>
      </c>
      <c r="CU303" s="2">
        <f t="shared" si="162"/>
        <v>81</v>
      </c>
      <c r="CV303" s="18" t="s">
        <v>233</v>
      </c>
      <c r="CW303" s="1">
        <f>ROUND(PPTest!K303,1)</f>
        <v>0.8</v>
      </c>
      <c r="CX303" s="16" t="s">
        <v>233</v>
      </c>
      <c r="CY303" s="16" t="s">
        <v>233</v>
      </c>
      <c r="CZ303" s="20">
        <f t="shared" si="160"/>
        <v>0.46300000000000002</v>
      </c>
      <c r="DA303" s="20">
        <f t="shared" si="161"/>
        <v>0.109</v>
      </c>
      <c r="DB303" s="16" t="s">
        <v>233</v>
      </c>
      <c r="DD303" s="1">
        <v>-0.7</v>
      </c>
      <c r="DE303" s="1">
        <v>0</v>
      </c>
      <c r="DF303" s="1">
        <v>-1.6</v>
      </c>
      <c r="DG303" s="1">
        <v>99.4</v>
      </c>
      <c r="DH303" s="1">
        <v>99</v>
      </c>
      <c r="DZ303" s="1">
        <v>-3.6</v>
      </c>
      <c r="EA303" s="1">
        <v>-0.7</v>
      </c>
      <c r="EB303" s="1">
        <v>-7.5</v>
      </c>
      <c r="EC303" s="1">
        <v>14.2</v>
      </c>
    </row>
    <row r="304" spans="1:133" x14ac:dyDescent="0.2">
      <c r="A304" s="40">
        <v>35362</v>
      </c>
      <c r="B304" s="42">
        <v>298</v>
      </c>
      <c r="C304" s="34"/>
      <c r="D304" s="34"/>
      <c r="E304" s="50">
        <f t="shared" si="151"/>
        <v>-2.1</v>
      </c>
      <c r="P304" s="17"/>
      <c r="R304" s="50">
        <f t="shared" si="152"/>
        <v>2</v>
      </c>
      <c r="AD304" s="17"/>
      <c r="AF304" s="50">
        <f t="shared" si="153"/>
        <v>-5.2</v>
      </c>
      <c r="AG304" s="3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"/>
      <c r="BE304" s="3"/>
      <c r="BF304" s="3"/>
      <c r="BH304" s="16">
        <v>9.7799999999999994</v>
      </c>
      <c r="BI304" s="16">
        <f t="shared" si="158"/>
        <v>19.755599999999998</v>
      </c>
      <c r="BJ304" s="17"/>
      <c r="BK304" s="17"/>
      <c r="BO304" s="50">
        <f t="shared" si="154"/>
        <v>80</v>
      </c>
      <c r="BP304" s="56">
        <f t="shared" si="163"/>
        <v>0.56399999999999995</v>
      </c>
      <c r="BQ304" s="56">
        <f t="shared" si="164"/>
        <v>0.14099999999999999</v>
      </c>
      <c r="BS304" s="3">
        <v>2.8</v>
      </c>
      <c r="BT304" s="8"/>
      <c r="BV304" s="16" t="s">
        <v>233</v>
      </c>
      <c r="BW304" s="16" t="s">
        <v>233</v>
      </c>
      <c r="BX304" s="3">
        <f t="shared" si="159"/>
        <v>-2.1</v>
      </c>
      <c r="BY304" s="16" t="s">
        <v>233</v>
      </c>
      <c r="BZ304" s="16" t="s">
        <v>233</v>
      </c>
      <c r="CA304" s="16" t="s">
        <v>233</v>
      </c>
      <c r="CB304" s="16" t="s">
        <v>233</v>
      </c>
      <c r="CC304" s="16" t="s">
        <v>233</v>
      </c>
      <c r="CD304" s="16" t="s">
        <v>233</v>
      </c>
      <c r="CE304" s="16" t="s">
        <v>233</v>
      </c>
      <c r="CF304" s="1">
        <f t="shared" si="155"/>
        <v>2</v>
      </c>
      <c r="CG304" s="16" t="s">
        <v>233</v>
      </c>
      <c r="CH304" s="16" t="s">
        <v>233</v>
      </c>
      <c r="CI304" s="16" t="s">
        <v>233</v>
      </c>
      <c r="CJ304" s="16" t="s">
        <v>233</v>
      </c>
      <c r="CK304" s="16" t="s">
        <v>233</v>
      </c>
      <c r="CL304" s="16" t="s">
        <v>233</v>
      </c>
      <c r="CM304" s="16" t="s">
        <v>233</v>
      </c>
      <c r="CN304" s="1">
        <f t="shared" si="156"/>
        <v>-5.2</v>
      </c>
      <c r="CO304" s="16" t="s">
        <v>233</v>
      </c>
      <c r="CP304" s="16" t="s">
        <v>233</v>
      </c>
      <c r="CQ304" s="16" t="s">
        <v>233</v>
      </c>
      <c r="CR304" s="16" t="s">
        <v>233</v>
      </c>
      <c r="CS304" s="16" t="s">
        <v>233</v>
      </c>
      <c r="CT304" s="16" t="s">
        <v>233</v>
      </c>
      <c r="CU304" s="2">
        <f t="shared" si="162"/>
        <v>80</v>
      </c>
      <c r="CV304" s="18" t="s">
        <v>233</v>
      </c>
      <c r="CW304" s="1">
        <f>ROUND(PPTest!K304,1)</f>
        <v>2.9</v>
      </c>
      <c r="CX304" s="16" t="s">
        <v>233</v>
      </c>
      <c r="CY304" s="16" t="s">
        <v>233</v>
      </c>
      <c r="CZ304" s="20">
        <f t="shared" si="160"/>
        <v>0.56399999999999995</v>
      </c>
      <c r="DA304" s="20">
        <f t="shared" si="161"/>
        <v>0.14099999999999999</v>
      </c>
      <c r="DB304" s="16" t="s">
        <v>233</v>
      </c>
      <c r="DD304" s="1">
        <v>-0.3</v>
      </c>
      <c r="DE304" s="1">
        <v>2.9</v>
      </c>
      <c r="DF304" s="1">
        <v>-2.2999999999999998</v>
      </c>
      <c r="DG304" s="1">
        <v>98.8</v>
      </c>
      <c r="DH304" s="1">
        <v>97</v>
      </c>
      <c r="DZ304" s="1">
        <v>-2.2000000000000002</v>
      </c>
      <c r="EA304" s="1">
        <v>2.6</v>
      </c>
      <c r="EB304" s="1">
        <v>-7</v>
      </c>
      <c r="EC304" s="1">
        <v>0</v>
      </c>
    </row>
    <row r="305" spans="1:133" x14ac:dyDescent="0.2">
      <c r="A305" s="40">
        <v>35363</v>
      </c>
      <c r="B305" s="42">
        <v>299</v>
      </c>
      <c r="C305" s="34"/>
      <c r="D305" s="34"/>
      <c r="E305" s="50">
        <f t="shared" si="151"/>
        <v>-2.6</v>
      </c>
      <c r="P305" s="17"/>
      <c r="R305" s="50">
        <f t="shared" si="152"/>
        <v>1.3</v>
      </c>
      <c r="AD305" s="17"/>
      <c r="AF305" s="50">
        <f t="shared" si="153"/>
        <v>-5.6</v>
      </c>
      <c r="AG305" s="3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"/>
      <c r="BE305" s="3"/>
      <c r="BF305" s="3"/>
      <c r="BH305" s="16">
        <v>9.59</v>
      </c>
      <c r="BI305" s="16">
        <f t="shared" si="158"/>
        <v>19.3718</v>
      </c>
      <c r="BJ305" s="17"/>
      <c r="BK305" s="17"/>
      <c r="BO305" s="50">
        <f t="shared" si="154"/>
        <v>72</v>
      </c>
      <c r="BP305" s="56">
        <f t="shared" si="163"/>
        <v>0.48299999999999998</v>
      </c>
      <c r="BQ305" s="56">
        <f t="shared" si="164"/>
        <v>0.188</v>
      </c>
      <c r="BS305" s="3">
        <v>2</v>
      </c>
      <c r="BT305" s="8"/>
      <c r="BV305" s="16" t="s">
        <v>233</v>
      </c>
      <c r="BW305" s="16" t="s">
        <v>233</v>
      </c>
      <c r="BX305" s="3">
        <f t="shared" si="159"/>
        <v>-2.6</v>
      </c>
      <c r="BY305" s="16" t="s">
        <v>233</v>
      </c>
      <c r="BZ305" s="16" t="s">
        <v>233</v>
      </c>
      <c r="CA305" s="16" t="s">
        <v>233</v>
      </c>
      <c r="CB305" s="16" t="s">
        <v>233</v>
      </c>
      <c r="CC305" s="16" t="s">
        <v>233</v>
      </c>
      <c r="CD305" s="16" t="s">
        <v>233</v>
      </c>
      <c r="CE305" s="16" t="s">
        <v>233</v>
      </c>
      <c r="CF305" s="1">
        <f t="shared" si="155"/>
        <v>1.3</v>
      </c>
      <c r="CG305" s="16" t="s">
        <v>233</v>
      </c>
      <c r="CH305" s="16" t="s">
        <v>233</v>
      </c>
      <c r="CI305" s="16" t="s">
        <v>233</v>
      </c>
      <c r="CJ305" s="16" t="s">
        <v>233</v>
      </c>
      <c r="CK305" s="16" t="s">
        <v>233</v>
      </c>
      <c r="CL305" s="16" t="s">
        <v>233</v>
      </c>
      <c r="CM305" s="16" t="s">
        <v>233</v>
      </c>
      <c r="CN305" s="1">
        <f t="shared" si="156"/>
        <v>-5.6</v>
      </c>
      <c r="CO305" s="16" t="s">
        <v>233</v>
      </c>
      <c r="CP305" s="16" t="s">
        <v>233</v>
      </c>
      <c r="CQ305" s="16" t="s">
        <v>233</v>
      </c>
      <c r="CR305" s="16" t="s">
        <v>233</v>
      </c>
      <c r="CS305" s="16" t="s">
        <v>233</v>
      </c>
      <c r="CT305" s="16" t="s">
        <v>233</v>
      </c>
      <c r="CU305" s="2">
        <f t="shared" si="162"/>
        <v>72</v>
      </c>
      <c r="CV305" s="18" t="s">
        <v>233</v>
      </c>
      <c r="CW305" s="1">
        <f>ROUND(PPTest!K305,1)</f>
        <v>2.1</v>
      </c>
      <c r="CX305" s="16" t="s">
        <v>233</v>
      </c>
      <c r="CY305" s="16" t="s">
        <v>233</v>
      </c>
      <c r="CZ305" s="20">
        <f t="shared" si="160"/>
        <v>0.48299999999999998</v>
      </c>
      <c r="DA305" s="20">
        <f t="shared" si="161"/>
        <v>0.188</v>
      </c>
      <c r="DB305" s="16" t="s">
        <v>233</v>
      </c>
      <c r="DD305" s="1">
        <v>-0.9</v>
      </c>
      <c r="DE305" s="1">
        <v>2.2000000000000002</v>
      </c>
      <c r="DF305" s="1">
        <v>-2.9</v>
      </c>
      <c r="DG305" s="1">
        <v>96.2</v>
      </c>
      <c r="DH305" s="1">
        <v>89</v>
      </c>
      <c r="DZ305" s="1">
        <v>-3.8</v>
      </c>
      <c r="EA305" s="1">
        <v>-1.5</v>
      </c>
      <c r="EB305" s="1">
        <v>-6.7</v>
      </c>
      <c r="EC305" s="1">
        <v>0</v>
      </c>
    </row>
    <row r="306" spans="1:133" x14ac:dyDescent="0.2">
      <c r="A306" s="40">
        <v>35364</v>
      </c>
      <c r="B306" s="42">
        <v>300</v>
      </c>
      <c r="C306" s="34"/>
      <c r="D306" s="34"/>
      <c r="E306" s="50">
        <f t="shared" si="151"/>
        <v>-3.6</v>
      </c>
      <c r="P306" s="17"/>
      <c r="R306" s="50">
        <f t="shared" si="152"/>
        <v>-1.1000000000000001</v>
      </c>
      <c r="AD306" s="17"/>
      <c r="AF306" s="50">
        <f t="shared" si="153"/>
        <v>-6.7</v>
      </c>
      <c r="AG306" s="3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"/>
      <c r="BE306" s="3"/>
      <c r="BF306" s="3"/>
      <c r="BH306" s="16">
        <v>9.4</v>
      </c>
      <c r="BI306" s="16">
        <f t="shared" si="158"/>
        <v>18.988</v>
      </c>
      <c r="BJ306" s="17"/>
      <c r="BK306" s="17"/>
      <c r="BO306" s="50">
        <f t="shared" si="154"/>
        <v>77</v>
      </c>
      <c r="BP306" s="56">
        <f t="shared" si="163"/>
        <v>0.434</v>
      </c>
      <c r="BQ306" s="56">
        <f t="shared" si="164"/>
        <v>0.13</v>
      </c>
      <c r="BS306" s="3">
        <v>0.3</v>
      </c>
      <c r="BT306" s="8"/>
      <c r="BV306" s="16" t="s">
        <v>233</v>
      </c>
      <c r="BW306" s="16" t="s">
        <v>233</v>
      </c>
      <c r="BX306" s="3">
        <f t="shared" si="159"/>
        <v>-3.6</v>
      </c>
      <c r="BY306" s="16" t="s">
        <v>233</v>
      </c>
      <c r="BZ306" s="16" t="s">
        <v>233</v>
      </c>
      <c r="CA306" s="16" t="s">
        <v>233</v>
      </c>
      <c r="CB306" s="16" t="s">
        <v>233</v>
      </c>
      <c r="CC306" s="16" t="s">
        <v>233</v>
      </c>
      <c r="CD306" s="16" t="s">
        <v>233</v>
      </c>
      <c r="CE306" s="16" t="s">
        <v>233</v>
      </c>
      <c r="CF306" s="1">
        <f t="shared" si="155"/>
        <v>-1.1000000000000001</v>
      </c>
      <c r="CG306" s="16" t="s">
        <v>233</v>
      </c>
      <c r="CH306" s="16" t="s">
        <v>233</v>
      </c>
      <c r="CI306" s="16" t="s">
        <v>233</v>
      </c>
      <c r="CJ306" s="16" t="s">
        <v>233</v>
      </c>
      <c r="CK306" s="16" t="s">
        <v>233</v>
      </c>
      <c r="CL306" s="16" t="s">
        <v>233</v>
      </c>
      <c r="CM306" s="16" t="s">
        <v>233</v>
      </c>
      <c r="CN306" s="1">
        <f t="shared" si="156"/>
        <v>-6.7</v>
      </c>
      <c r="CO306" s="16" t="s">
        <v>233</v>
      </c>
      <c r="CP306" s="16" t="s">
        <v>233</v>
      </c>
      <c r="CQ306" s="16" t="s">
        <v>233</v>
      </c>
      <c r="CR306" s="16" t="s">
        <v>233</v>
      </c>
      <c r="CS306" s="16" t="s">
        <v>233</v>
      </c>
      <c r="CT306" s="16" t="s">
        <v>233</v>
      </c>
      <c r="CU306" s="2">
        <f t="shared" si="162"/>
        <v>77</v>
      </c>
      <c r="CV306" s="18" t="s">
        <v>233</v>
      </c>
      <c r="CW306" s="1">
        <f>ROUND(PPTest!K306,1)</f>
        <v>0.3</v>
      </c>
      <c r="CX306" s="16" t="s">
        <v>233</v>
      </c>
      <c r="CY306" s="16" t="s">
        <v>233</v>
      </c>
      <c r="CZ306" s="20">
        <f t="shared" si="160"/>
        <v>0.434</v>
      </c>
      <c r="DA306" s="20">
        <f t="shared" si="161"/>
        <v>0.13</v>
      </c>
      <c r="DB306" s="16" t="s">
        <v>233</v>
      </c>
      <c r="DD306" s="1">
        <v>-2</v>
      </c>
      <c r="DE306" s="1">
        <v>-0.2</v>
      </c>
      <c r="DF306" s="1">
        <v>-4.3</v>
      </c>
      <c r="DG306" s="1">
        <v>96.6</v>
      </c>
      <c r="DH306" s="1">
        <v>94</v>
      </c>
      <c r="DZ306" s="1">
        <v>-3.1</v>
      </c>
      <c r="EA306" s="1">
        <v>1.6</v>
      </c>
      <c r="EB306" s="1">
        <v>-8.3000000000000007</v>
      </c>
      <c r="EC306" s="1">
        <v>0</v>
      </c>
    </row>
    <row r="307" spans="1:133" x14ac:dyDescent="0.2">
      <c r="A307" s="40">
        <v>35365</v>
      </c>
      <c r="B307" s="42">
        <v>301</v>
      </c>
      <c r="C307" s="34"/>
      <c r="D307" s="34"/>
      <c r="E307" s="50">
        <f t="shared" si="151"/>
        <v>-1.9</v>
      </c>
      <c r="P307" s="17"/>
      <c r="R307" s="50">
        <f t="shared" si="152"/>
        <v>1.9</v>
      </c>
      <c r="AD307" s="17"/>
      <c r="AF307" s="50">
        <f t="shared" si="153"/>
        <v>-5.0999999999999996</v>
      </c>
      <c r="AG307" s="3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"/>
      <c r="BE307" s="3"/>
      <c r="BF307" s="3"/>
      <c r="BH307" s="16">
        <v>9.2200000000000006</v>
      </c>
      <c r="BI307" s="16">
        <f t="shared" si="158"/>
        <v>18.624400000000001</v>
      </c>
      <c r="BJ307" s="17"/>
      <c r="BK307" s="17"/>
      <c r="BO307" s="50">
        <f t="shared" si="154"/>
        <v>77</v>
      </c>
      <c r="BP307" s="56">
        <f t="shared" si="163"/>
        <v>0.53900000000000003</v>
      </c>
      <c r="BQ307" s="56">
        <f t="shared" si="164"/>
        <v>0.161</v>
      </c>
      <c r="BS307" s="3">
        <v>8.4</v>
      </c>
      <c r="BT307" s="8"/>
      <c r="BV307" s="16" t="s">
        <v>233</v>
      </c>
      <c r="BW307" s="16" t="s">
        <v>233</v>
      </c>
      <c r="BX307" s="3">
        <f t="shared" si="159"/>
        <v>-1.9</v>
      </c>
      <c r="BY307" s="16" t="s">
        <v>233</v>
      </c>
      <c r="BZ307" s="16" t="s">
        <v>233</v>
      </c>
      <c r="CA307" s="16" t="s">
        <v>233</v>
      </c>
      <c r="CB307" s="16" t="s">
        <v>233</v>
      </c>
      <c r="CC307" s="16" t="s">
        <v>233</v>
      </c>
      <c r="CD307" s="16" t="s">
        <v>233</v>
      </c>
      <c r="CE307" s="16" t="s">
        <v>233</v>
      </c>
      <c r="CF307" s="1">
        <f t="shared" si="155"/>
        <v>1.9</v>
      </c>
      <c r="CG307" s="16" t="s">
        <v>233</v>
      </c>
      <c r="CH307" s="16" t="s">
        <v>233</v>
      </c>
      <c r="CI307" s="16" t="s">
        <v>233</v>
      </c>
      <c r="CJ307" s="16" t="s">
        <v>233</v>
      </c>
      <c r="CK307" s="16" t="s">
        <v>233</v>
      </c>
      <c r="CL307" s="16" t="s">
        <v>233</v>
      </c>
      <c r="CM307" s="16" t="s">
        <v>233</v>
      </c>
      <c r="CN307" s="1">
        <f t="shared" si="156"/>
        <v>-5.0999999999999996</v>
      </c>
      <c r="CO307" s="16" t="s">
        <v>233</v>
      </c>
      <c r="CP307" s="16" t="s">
        <v>233</v>
      </c>
      <c r="CQ307" s="16" t="s">
        <v>233</v>
      </c>
      <c r="CR307" s="16" t="s">
        <v>233</v>
      </c>
      <c r="CS307" s="16" t="s">
        <v>233</v>
      </c>
      <c r="CT307" s="16" t="s">
        <v>233</v>
      </c>
      <c r="CU307" s="2">
        <f t="shared" si="162"/>
        <v>77</v>
      </c>
      <c r="CV307" s="18" t="s">
        <v>233</v>
      </c>
      <c r="CW307" s="1">
        <f>ROUND(PPTest!K307,1)</f>
        <v>8.8000000000000007</v>
      </c>
      <c r="CX307" s="16" t="s">
        <v>233</v>
      </c>
      <c r="CY307" s="16" t="s">
        <v>233</v>
      </c>
      <c r="CZ307" s="20">
        <f t="shared" si="160"/>
        <v>0.53900000000000003</v>
      </c>
      <c r="DA307" s="20">
        <f t="shared" si="161"/>
        <v>0.161</v>
      </c>
      <c r="DB307" s="16" t="s">
        <v>233</v>
      </c>
      <c r="DD307" s="1">
        <v>-0.1</v>
      </c>
      <c r="DE307" s="1">
        <v>2.8</v>
      </c>
      <c r="DF307" s="1">
        <v>-2.2000000000000002</v>
      </c>
      <c r="DG307" s="1">
        <v>98</v>
      </c>
      <c r="DH307" s="1">
        <v>94</v>
      </c>
      <c r="DZ307" s="1">
        <v>0.9</v>
      </c>
      <c r="EA307" s="1">
        <v>4</v>
      </c>
      <c r="EB307" s="1">
        <v>-2.8</v>
      </c>
      <c r="EC307" s="1">
        <v>3.9</v>
      </c>
    </row>
    <row r="308" spans="1:133" x14ac:dyDescent="0.2">
      <c r="A308" s="40">
        <v>35366</v>
      </c>
      <c r="B308" s="42">
        <v>302</v>
      </c>
      <c r="C308" s="34"/>
      <c r="D308" s="34"/>
      <c r="E308" s="50">
        <f t="shared" si="151"/>
        <v>-0.7</v>
      </c>
      <c r="P308" s="17"/>
      <c r="R308" s="50">
        <f t="shared" si="152"/>
        <v>1.3</v>
      </c>
      <c r="AD308" s="17"/>
      <c r="AF308" s="50">
        <f t="shared" si="153"/>
        <v>-3.2</v>
      </c>
      <c r="AG308" s="3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"/>
      <c r="BE308" s="3"/>
      <c r="BF308" s="3"/>
      <c r="BH308" s="16">
        <v>9.0399999999999991</v>
      </c>
      <c r="BI308" s="16">
        <f t="shared" si="158"/>
        <v>18.2608</v>
      </c>
      <c r="BJ308" s="17"/>
      <c r="BK308" s="17"/>
      <c r="BO308" s="50">
        <f t="shared" si="154"/>
        <v>81</v>
      </c>
      <c r="BP308" s="56">
        <f t="shared" si="163"/>
        <v>0.54300000000000004</v>
      </c>
      <c r="BQ308" s="56">
        <f t="shared" si="164"/>
        <v>0.127</v>
      </c>
      <c r="BS308" s="3">
        <v>29</v>
      </c>
      <c r="BT308" s="8"/>
      <c r="BV308" s="16" t="s">
        <v>233</v>
      </c>
      <c r="BW308" s="16" t="s">
        <v>233</v>
      </c>
      <c r="BX308" s="3">
        <f t="shared" si="159"/>
        <v>-0.7</v>
      </c>
      <c r="BY308" s="16" t="s">
        <v>233</v>
      </c>
      <c r="BZ308" s="16" t="s">
        <v>233</v>
      </c>
      <c r="CA308" s="16" t="s">
        <v>233</v>
      </c>
      <c r="CB308" s="16" t="s">
        <v>233</v>
      </c>
      <c r="CC308" s="16" t="s">
        <v>233</v>
      </c>
      <c r="CD308" s="16" t="s">
        <v>233</v>
      </c>
      <c r="CE308" s="16" t="s">
        <v>233</v>
      </c>
      <c r="CF308" s="1">
        <f t="shared" si="155"/>
        <v>1.3</v>
      </c>
      <c r="CG308" s="16" t="s">
        <v>233</v>
      </c>
      <c r="CH308" s="16" t="s">
        <v>233</v>
      </c>
      <c r="CI308" s="16" t="s">
        <v>233</v>
      </c>
      <c r="CJ308" s="16" t="s">
        <v>233</v>
      </c>
      <c r="CK308" s="16" t="s">
        <v>233</v>
      </c>
      <c r="CL308" s="16" t="s">
        <v>233</v>
      </c>
      <c r="CM308" s="16" t="s">
        <v>233</v>
      </c>
      <c r="CN308" s="1">
        <f t="shared" si="156"/>
        <v>-3.2</v>
      </c>
      <c r="CO308" s="16" t="s">
        <v>233</v>
      </c>
      <c r="CP308" s="16" t="s">
        <v>233</v>
      </c>
      <c r="CQ308" s="16" t="s">
        <v>233</v>
      </c>
      <c r="CR308" s="16" t="s">
        <v>233</v>
      </c>
      <c r="CS308" s="16" t="s">
        <v>233</v>
      </c>
      <c r="CT308" s="16" t="s">
        <v>233</v>
      </c>
      <c r="CU308" s="2">
        <f t="shared" si="162"/>
        <v>81</v>
      </c>
      <c r="CV308" s="18" t="s">
        <v>233</v>
      </c>
      <c r="CW308" s="1">
        <f>ROUND(PPTest!K308,1)</f>
        <v>30.5</v>
      </c>
      <c r="CX308" s="16" t="s">
        <v>233</v>
      </c>
      <c r="CY308" s="16" t="s">
        <v>233</v>
      </c>
      <c r="CZ308" s="20">
        <f t="shared" si="160"/>
        <v>0.54300000000000004</v>
      </c>
      <c r="DA308" s="20">
        <f t="shared" si="161"/>
        <v>0.127</v>
      </c>
      <c r="DB308" s="16" t="s">
        <v>233</v>
      </c>
      <c r="DD308" s="1">
        <v>1.2</v>
      </c>
      <c r="DE308" s="1">
        <v>2.2000000000000002</v>
      </c>
      <c r="DF308" s="1">
        <v>0.2</v>
      </c>
      <c r="DG308" s="1">
        <v>98.8</v>
      </c>
      <c r="DH308" s="1">
        <v>98</v>
      </c>
      <c r="DZ308" s="1">
        <v>0.2</v>
      </c>
      <c r="EA308" s="1">
        <v>1.9</v>
      </c>
      <c r="EB308" s="1">
        <v>-1.3</v>
      </c>
      <c r="EC308" s="1">
        <v>23.5</v>
      </c>
    </row>
    <row r="309" spans="1:133" x14ac:dyDescent="0.2">
      <c r="A309" s="40">
        <v>35367</v>
      </c>
      <c r="B309" s="42">
        <v>303</v>
      </c>
      <c r="C309" s="34"/>
      <c r="D309" s="34"/>
      <c r="E309" s="50">
        <f t="shared" si="151"/>
        <v>-4.0999999999999996</v>
      </c>
      <c r="P309" s="17"/>
      <c r="R309" s="50">
        <f t="shared" si="152"/>
        <v>-0.4</v>
      </c>
      <c r="AD309" s="17"/>
      <c r="AF309" s="50">
        <f t="shared" si="153"/>
        <v>-7.5</v>
      </c>
      <c r="AG309" s="3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"/>
      <c r="BE309" s="3"/>
      <c r="BF309" s="3"/>
      <c r="BH309" s="16">
        <v>8.86</v>
      </c>
      <c r="BI309" s="16">
        <f t="shared" si="158"/>
        <v>17.897199999999998</v>
      </c>
      <c r="BJ309" s="17"/>
      <c r="BK309" s="17"/>
      <c r="BO309" s="50">
        <f t="shared" si="154"/>
        <v>81</v>
      </c>
      <c r="BP309" s="56">
        <f t="shared" si="163"/>
        <v>0.48</v>
      </c>
      <c r="BQ309" s="56">
        <f t="shared" si="164"/>
        <v>0.113</v>
      </c>
      <c r="BS309" s="3">
        <v>0</v>
      </c>
      <c r="BT309" s="8"/>
      <c r="BV309" s="16" t="s">
        <v>233</v>
      </c>
      <c r="BW309" s="16" t="s">
        <v>233</v>
      </c>
      <c r="BX309" s="3">
        <f t="shared" si="159"/>
        <v>-4.0999999999999996</v>
      </c>
      <c r="BY309" s="16" t="s">
        <v>233</v>
      </c>
      <c r="BZ309" s="16" t="s">
        <v>233</v>
      </c>
      <c r="CA309" s="16" t="s">
        <v>233</v>
      </c>
      <c r="CB309" s="16" t="s">
        <v>233</v>
      </c>
      <c r="CC309" s="16" t="s">
        <v>233</v>
      </c>
      <c r="CD309" s="16" t="s">
        <v>233</v>
      </c>
      <c r="CE309" s="16" t="s">
        <v>233</v>
      </c>
      <c r="CF309" s="1">
        <f t="shared" si="155"/>
        <v>-0.4</v>
      </c>
      <c r="CG309" s="16" t="s">
        <v>233</v>
      </c>
      <c r="CH309" s="16" t="s">
        <v>233</v>
      </c>
      <c r="CI309" s="16" t="s">
        <v>233</v>
      </c>
      <c r="CJ309" s="16" t="s">
        <v>233</v>
      </c>
      <c r="CK309" s="16" t="s">
        <v>233</v>
      </c>
      <c r="CL309" s="16" t="s">
        <v>233</v>
      </c>
      <c r="CM309" s="16" t="s">
        <v>233</v>
      </c>
      <c r="CN309" s="1">
        <f t="shared" si="156"/>
        <v>-7.5</v>
      </c>
      <c r="CO309" s="16" t="s">
        <v>233</v>
      </c>
      <c r="CP309" s="16" t="s">
        <v>233</v>
      </c>
      <c r="CQ309" s="16" t="s">
        <v>233</v>
      </c>
      <c r="CR309" s="16" t="s">
        <v>233</v>
      </c>
      <c r="CS309" s="16" t="s">
        <v>233</v>
      </c>
      <c r="CT309" s="16" t="s">
        <v>233</v>
      </c>
      <c r="CU309" s="2">
        <f t="shared" si="162"/>
        <v>81</v>
      </c>
      <c r="CV309" s="18" t="s">
        <v>233</v>
      </c>
      <c r="CW309" s="1">
        <f>ROUND(PPTest!K309,1)</f>
        <v>0</v>
      </c>
      <c r="CX309" s="16" t="s">
        <v>233</v>
      </c>
      <c r="CY309" s="16" t="s">
        <v>233</v>
      </c>
      <c r="CZ309" s="20">
        <f t="shared" si="160"/>
        <v>0.48</v>
      </c>
      <c r="DA309" s="20">
        <f t="shared" si="161"/>
        <v>0.113</v>
      </c>
      <c r="DB309" s="16" t="s">
        <v>233</v>
      </c>
      <c r="DD309" s="1">
        <v>-2.5</v>
      </c>
      <c r="DE309" s="1">
        <v>0.5</v>
      </c>
      <c r="DF309" s="1">
        <v>-5.3</v>
      </c>
      <c r="DG309" s="1">
        <v>98.9</v>
      </c>
      <c r="DH309" s="1">
        <v>98</v>
      </c>
      <c r="DZ309" s="1">
        <v>-5.8</v>
      </c>
      <c r="EA309" s="1">
        <v>-0.7</v>
      </c>
      <c r="EB309" s="1">
        <v>-9.4</v>
      </c>
      <c r="EC309" s="1">
        <v>0</v>
      </c>
    </row>
    <row r="310" spans="1:133" x14ac:dyDescent="0.2">
      <c r="A310" s="40">
        <v>35368</v>
      </c>
      <c r="B310" s="42">
        <v>304</v>
      </c>
      <c r="C310" s="34"/>
      <c r="D310" s="34"/>
      <c r="E310" s="50">
        <f t="shared" si="151"/>
        <v>-7.6</v>
      </c>
      <c r="P310" s="17"/>
      <c r="R310" s="50">
        <f t="shared" si="152"/>
        <v>-6.3</v>
      </c>
      <c r="AD310" s="17"/>
      <c r="AF310" s="50">
        <f t="shared" si="153"/>
        <v>-9.5</v>
      </c>
      <c r="AG310" s="3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"/>
      <c r="BE310" s="3"/>
      <c r="BF310" s="3"/>
      <c r="BH310" s="16">
        <v>8.68</v>
      </c>
      <c r="BI310" s="16">
        <f t="shared" si="158"/>
        <v>17.5336</v>
      </c>
      <c r="BJ310" s="17"/>
      <c r="BK310" s="17"/>
      <c r="BO310" s="50">
        <f t="shared" si="154"/>
        <v>80</v>
      </c>
      <c r="BP310" s="56">
        <f t="shared" si="163"/>
        <v>0.30499999999999999</v>
      </c>
      <c r="BQ310" s="56">
        <f t="shared" si="164"/>
        <v>7.5999999999999998E-2</v>
      </c>
      <c r="BS310" s="3">
        <v>0</v>
      </c>
      <c r="BT310" s="8"/>
      <c r="BV310" s="16" t="s">
        <v>233</v>
      </c>
      <c r="BW310" s="16" t="s">
        <v>233</v>
      </c>
      <c r="BX310" s="3">
        <f t="shared" si="159"/>
        <v>-7.6</v>
      </c>
      <c r="BY310" s="16" t="s">
        <v>233</v>
      </c>
      <c r="BZ310" s="16" t="s">
        <v>233</v>
      </c>
      <c r="CA310" s="16" t="s">
        <v>233</v>
      </c>
      <c r="CB310" s="16" t="s">
        <v>233</v>
      </c>
      <c r="CC310" s="16" t="s">
        <v>233</v>
      </c>
      <c r="CD310" s="16" t="s">
        <v>233</v>
      </c>
      <c r="CE310" s="16" t="s">
        <v>233</v>
      </c>
      <c r="CF310" s="1">
        <f t="shared" si="155"/>
        <v>-6.3</v>
      </c>
      <c r="CG310" s="16" t="s">
        <v>233</v>
      </c>
      <c r="CH310" s="16" t="s">
        <v>233</v>
      </c>
      <c r="CI310" s="16" t="s">
        <v>233</v>
      </c>
      <c r="CJ310" s="16" t="s">
        <v>233</v>
      </c>
      <c r="CK310" s="16" t="s">
        <v>233</v>
      </c>
      <c r="CL310" s="16" t="s">
        <v>233</v>
      </c>
      <c r="CM310" s="16" t="s">
        <v>233</v>
      </c>
      <c r="CN310" s="1">
        <f t="shared" si="156"/>
        <v>-9.5</v>
      </c>
      <c r="CO310" s="16" t="s">
        <v>233</v>
      </c>
      <c r="CP310" s="16" t="s">
        <v>233</v>
      </c>
      <c r="CQ310" s="16" t="s">
        <v>233</v>
      </c>
      <c r="CR310" s="16" t="s">
        <v>233</v>
      </c>
      <c r="CS310" s="16" t="s">
        <v>233</v>
      </c>
      <c r="CT310" s="16" t="s">
        <v>233</v>
      </c>
      <c r="CU310" s="2">
        <f t="shared" si="162"/>
        <v>80</v>
      </c>
      <c r="CV310" s="18" t="s">
        <v>233</v>
      </c>
      <c r="CW310" s="1">
        <f>ROUND(PPTest!K310,1)</f>
        <v>0</v>
      </c>
      <c r="CX310" s="16" t="s">
        <v>233</v>
      </c>
      <c r="CY310" s="16" t="s">
        <v>233</v>
      </c>
      <c r="CZ310" s="20">
        <f t="shared" si="160"/>
        <v>0.30499999999999999</v>
      </c>
      <c r="DA310" s="20">
        <f t="shared" si="161"/>
        <v>7.5999999999999998E-2</v>
      </c>
      <c r="DB310" s="16" t="s">
        <v>233</v>
      </c>
      <c r="DD310" s="1">
        <v>-6.4</v>
      </c>
      <c r="DE310" s="1">
        <v>-5.4</v>
      </c>
      <c r="DF310" s="1">
        <v>-7.9</v>
      </c>
      <c r="DG310" s="1">
        <v>97</v>
      </c>
      <c r="DH310" s="1">
        <v>97</v>
      </c>
      <c r="DZ310" s="1">
        <v>-8.1</v>
      </c>
      <c r="EA310" s="1">
        <v>-1.7</v>
      </c>
      <c r="EB310" s="1">
        <v>-11.8</v>
      </c>
      <c r="EC310" s="1">
        <v>1.4</v>
      </c>
    </row>
    <row r="311" spans="1:133" x14ac:dyDescent="0.2">
      <c r="A311" s="40">
        <v>35369</v>
      </c>
      <c r="B311" s="42">
        <v>305</v>
      </c>
      <c r="C311" s="34"/>
      <c r="D311" s="34"/>
      <c r="E311" s="50">
        <f t="shared" si="151"/>
        <v>-5.9</v>
      </c>
      <c r="P311" s="17"/>
      <c r="R311" s="50">
        <f t="shared" si="152"/>
        <v>-1.7</v>
      </c>
      <c r="AD311" s="17"/>
      <c r="AF311" s="50">
        <f t="shared" si="153"/>
        <v>-7.9</v>
      </c>
      <c r="AG311" s="3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"/>
      <c r="BE311" s="3"/>
      <c r="BF311" s="3"/>
      <c r="BH311" s="16">
        <v>8.51</v>
      </c>
      <c r="BI311" s="16">
        <f t="shared" si="158"/>
        <v>17.190200000000001</v>
      </c>
      <c r="BJ311" s="17"/>
      <c r="BK311" s="17"/>
      <c r="BO311" s="50">
        <f t="shared" si="154"/>
        <v>80</v>
      </c>
      <c r="BP311" s="56">
        <f t="shared" si="163"/>
        <v>0.43099999999999999</v>
      </c>
      <c r="BQ311" s="56">
        <f t="shared" si="164"/>
        <v>0.108</v>
      </c>
      <c r="BS311" s="3">
        <v>0</v>
      </c>
      <c r="BT311" s="8"/>
      <c r="BV311" s="16" t="s">
        <v>233</v>
      </c>
      <c r="BW311" s="16" t="s">
        <v>233</v>
      </c>
      <c r="BX311" s="3">
        <f t="shared" si="159"/>
        <v>-5.9</v>
      </c>
      <c r="BY311" s="16" t="s">
        <v>233</v>
      </c>
      <c r="BZ311" s="16" t="s">
        <v>233</v>
      </c>
      <c r="CA311" s="16" t="s">
        <v>233</v>
      </c>
      <c r="CB311" s="16" t="s">
        <v>233</v>
      </c>
      <c r="CC311" s="16" t="s">
        <v>233</v>
      </c>
      <c r="CD311" s="16" t="s">
        <v>233</v>
      </c>
      <c r="CE311" s="16" t="s">
        <v>233</v>
      </c>
      <c r="CF311" s="1">
        <f t="shared" si="155"/>
        <v>-1.7</v>
      </c>
      <c r="CG311" s="16" t="s">
        <v>233</v>
      </c>
      <c r="CH311" s="16" t="s">
        <v>233</v>
      </c>
      <c r="CI311" s="16" t="s">
        <v>233</v>
      </c>
      <c r="CJ311" s="16" t="s">
        <v>233</v>
      </c>
      <c r="CK311" s="16" t="s">
        <v>233</v>
      </c>
      <c r="CL311" s="16" t="s">
        <v>233</v>
      </c>
      <c r="CM311" s="16" t="s">
        <v>233</v>
      </c>
      <c r="CN311" s="1">
        <f t="shared" si="156"/>
        <v>-7.9</v>
      </c>
      <c r="CO311" s="16" t="s">
        <v>233</v>
      </c>
      <c r="CP311" s="16" t="s">
        <v>233</v>
      </c>
      <c r="CQ311" s="16" t="s">
        <v>233</v>
      </c>
      <c r="CR311" s="16" t="s">
        <v>233</v>
      </c>
      <c r="CS311" s="16" t="s">
        <v>233</v>
      </c>
      <c r="CT311" s="16" t="s">
        <v>233</v>
      </c>
      <c r="CU311" s="2">
        <f t="shared" si="162"/>
        <v>80</v>
      </c>
      <c r="CV311" s="18" t="s">
        <v>233</v>
      </c>
      <c r="CW311" s="1">
        <f>ROUND(PPTest!K311,1)</f>
        <v>0</v>
      </c>
      <c r="CX311" s="16" t="s">
        <v>233</v>
      </c>
      <c r="CY311" s="16" t="s">
        <v>233</v>
      </c>
      <c r="CZ311" s="20">
        <f t="shared" si="160"/>
        <v>0.43099999999999999</v>
      </c>
      <c r="DA311" s="20">
        <f t="shared" si="161"/>
        <v>0.108</v>
      </c>
      <c r="DB311" s="16" t="s">
        <v>233</v>
      </c>
      <c r="DD311" s="1">
        <v>-4.5</v>
      </c>
      <c r="DE311" s="1">
        <v>-0.8</v>
      </c>
      <c r="DF311" s="1">
        <v>-5.9</v>
      </c>
      <c r="DG311" s="1">
        <v>97.4</v>
      </c>
      <c r="DH311" s="1">
        <v>97</v>
      </c>
      <c r="DZ311" s="1">
        <v>-4.2</v>
      </c>
      <c r="EA311" s="1">
        <v>5.7</v>
      </c>
      <c r="EB311" s="1">
        <v>-11.8</v>
      </c>
      <c r="EC311" s="1">
        <v>0</v>
      </c>
    </row>
    <row r="312" spans="1:133" x14ac:dyDescent="0.2">
      <c r="A312" s="40">
        <v>35370</v>
      </c>
      <c r="B312" s="42">
        <v>306</v>
      </c>
      <c r="C312" s="34"/>
      <c r="D312" s="34"/>
      <c r="E312" s="50">
        <f t="shared" si="151"/>
        <v>-2.8</v>
      </c>
      <c r="P312" s="17"/>
      <c r="R312" s="50">
        <f t="shared" si="152"/>
        <v>1.8</v>
      </c>
      <c r="AD312" s="17"/>
      <c r="AF312" s="50">
        <f t="shared" si="153"/>
        <v>-7.4</v>
      </c>
      <c r="AG312" s="3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"/>
      <c r="BE312" s="3"/>
      <c r="BF312" s="3"/>
      <c r="BH312" s="16">
        <v>8.34</v>
      </c>
      <c r="BI312" s="16">
        <f t="shared" si="158"/>
        <v>16.846799999999998</v>
      </c>
      <c r="BJ312" s="17"/>
      <c r="BK312" s="17"/>
      <c r="BO312" s="50">
        <f t="shared" si="154"/>
        <v>66</v>
      </c>
      <c r="BP312" s="56">
        <f t="shared" si="163"/>
        <v>0.45900000000000002</v>
      </c>
      <c r="BQ312" s="56">
        <f t="shared" si="164"/>
        <v>0.23599999999999999</v>
      </c>
      <c r="BS312" s="34">
        <v>0.3</v>
      </c>
      <c r="BT312" s="44">
        <v>0</v>
      </c>
      <c r="BV312" s="16" t="s">
        <v>233</v>
      </c>
      <c r="BW312" s="16" t="s">
        <v>233</v>
      </c>
      <c r="BX312" s="3">
        <f t="shared" si="159"/>
        <v>-2.8</v>
      </c>
      <c r="BY312" s="16" t="s">
        <v>233</v>
      </c>
      <c r="BZ312" s="16" t="s">
        <v>233</v>
      </c>
      <c r="CA312" s="16" t="s">
        <v>233</v>
      </c>
      <c r="CB312" s="16" t="s">
        <v>233</v>
      </c>
      <c r="CC312" s="16" t="s">
        <v>233</v>
      </c>
      <c r="CD312" s="16" t="s">
        <v>233</v>
      </c>
      <c r="CE312" s="16" t="s">
        <v>233</v>
      </c>
      <c r="CF312" s="1">
        <f t="shared" si="155"/>
        <v>1.8</v>
      </c>
      <c r="CG312" s="16" t="s">
        <v>233</v>
      </c>
      <c r="CH312" s="16" t="s">
        <v>233</v>
      </c>
      <c r="CI312" s="16" t="s">
        <v>233</v>
      </c>
      <c r="CJ312" s="16" t="s">
        <v>233</v>
      </c>
      <c r="CK312" s="16" t="s">
        <v>233</v>
      </c>
      <c r="CL312" s="16" t="s">
        <v>233</v>
      </c>
      <c r="CM312" s="16" t="s">
        <v>233</v>
      </c>
      <c r="CN312" s="1">
        <f t="shared" si="156"/>
        <v>-7.4</v>
      </c>
      <c r="CO312" s="16" t="s">
        <v>233</v>
      </c>
      <c r="CP312" s="16" t="s">
        <v>233</v>
      </c>
      <c r="CQ312" s="16" t="s">
        <v>233</v>
      </c>
      <c r="CR312" s="16" t="s">
        <v>233</v>
      </c>
      <c r="CS312" s="16" t="s">
        <v>233</v>
      </c>
      <c r="CT312" s="16" t="s">
        <v>233</v>
      </c>
      <c r="CU312" s="2">
        <f t="shared" si="162"/>
        <v>66</v>
      </c>
      <c r="CV312" s="18" t="s">
        <v>233</v>
      </c>
      <c r="CW312" s="1">
        <f>ROUND(PPTest!K312,1)</f>
        <v>0.3</v>
      </c>
      <c r="CX312" s="16" t="s">
        <v>233</v>
      </c>
      <c r="CY312" s="16" t="s">
        <v>233</v>
      </c>
      <c r="CZ312" s="20">
        <f t="shared" si="160"/>
        <v>0.45900000000000002</v>
      </c>
      <c r="DA312" s="20">
        <f t="shared" si="161"/>
        <v>0.23599999999999999</v>
      </c>
      <c r="DB312" s="16" t="s">
        <v>233</v>
      </c>
      <c r="DD312" s="1">
        <v>-1.1000000000000001</v>
      </c>
      <c r="DE312" s="1">
        <v>2.7</v>
      </c>
      <c r="DF312" s="1">
        <v>-5.2</v>
      </c>
      <c r="DG312" s="1">
        <v>92</v>
      </c>
      <c r="DH312" s="1">
        <v>82</v>
      </c>
      <c r="DZ312" s="1">
        <v>-0.9</v>
      </c>
      <c r="EA312" s="1">
        <v>9</v>
      </c>
      <c r="EB312" s="1">
        <v>-6.7</v>
      </c>
      <c r="EC312" s="1">
        <v>0</v>
      </c>
    </row>
    <row r="313" spans="1:133" x14ac:dyDescent="0.2">
      <c r="A313" s="40">
        <v>35371</v>
      </c>
      <c r="B313" s="42">
        <v>307</v>
      </c>
      <c r="C313" s="34"/>
      <c r="D313" s="34"/>
      <c r="E313" s="50">
        <f t="shared" si="151"/>
        <v>-2.4</v>
      </c>
      <c r="P313" s="17"/>
      <c r="R313" s="50">
        <f t="shared" si="152"/>
        <v>0.1</v>
      </c>
      <c r="AD313" s="17"/>
      <c r="AF313" s="50">
        <f t="shared" si="153"/>
        <v>-5.0999999999999996</v>
      </c>
      <c r="AG313" s="3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"/>
      <c r="BE313" s="3"/>
      <c r="BF313" s="3"/>
      <c r="BH313" s="16">
        <v>8.18</v>
      </c>
      <c r="BI313" s="16">
        <f t="shared" si="158"/>
        <v>16.523599999999998</v>
      </c>
      <c r="BJ313" s="17"/>
      <c r="BK313" s="17"/>
      <c r="BO313" s="50">
        <f t="shared" si="154"/>
        <v>76</v>
      </c>
      <c r="BP313" s="56">
        <f t="shared" si="163"/>
        <v>0.46700000000000003</v>
      </c>
      <c r="BQ313" s="56">
        <f t="shared" si="164"/>
        <v>0.14699999999999999</v>
      </c>
      <c r="BS313" s="34">
        <v>0</v>
      </c>
      <c r="BT313" s="44">
        <v>0</v>
      </c>
      <c r="BV313" s="16" t="s">
        <v>233</v>
      </c>
      <c r="BW313" s="16" t="s">
        <v>233</v>
      </c>
      <c r="BX313" s="3">
        <f t="shared" si="159"/>
        <v>-2.4</v>
      </c>
      <c r="BY313" s="16" t="s">
        <v>233</v>
      </c>
      <c r="BZ313" s="16" t="s">
        <v>233</v>
      </c>
      <c r="CA313" s="16" t="s">
        <v>233</v>
      </c>
      <c r="CB313" s="16" t="s">
        <v>233</v>
      </c>
      <c r="CC313" s="16" t="s">
        <v>233</v>
      </c>
      <c r="CD313" s="16" t="s">
        <v>233</v>
      </c>
      <c r="CE313" s="16" t="s">
        <v>233</v>
      </c>
      <c r="CF313" s="1">
        <f t="shared" si="155"/>
        <v>0.1</v>
      </c>
      <c r="CG313" s="16" t="s">
        <v>233</v>
      </c>
      <c r="CH313" s="16" t="s">
        <v>233</v>
      </c>
      <c r="CI313" s="16" t="s">
        <v>233</v>
      </c>
      <c r="CJ313" s="16" t="s">
        <v>233</v>
      </c>
      <c r="CK313" s="16" t="s">
        <v>233</v>
      </c>
      <c r="CL313" s="16" t="s">
        <v>233</v>
      </c>
      <c r="CM313" s="16" t="s">
        <v>233</v>
      </c>
      <c r="CN313" s="1">
        <f t="shared" si="156"/>
        <v>-5.0999999999999996</v>
      </c>
      <c r="CO313" s="16" t="s">
        <v>233</v>
      </c>
      <c r="CP313" s="16" t="s">
        <v>233</v>
      </c>
      <c r="CQ313" s="16" t="s">
        <v>233</v>
      </c>
      <c r="CR313" s="16" t="s">
        <v>233</v>
      </c>
      <c r="CS313" s="16" t="s">
        <v>233</v>
      </c>
      <c r="CT313" s="16" t="s">
        <v>233</v>
      </c>
      <c r="CU313" s="2">
        <f t="shared" si="162"/>
        <v>76</v>
      </c>
      <c r="CV313" s="18" t="s">
        <v>233</v>
      </c>
      <c r="CW313" s="1">
        <f>ROUND(PPTest!K313,1)</f>
        <v>0</v>
      </c>
      <c r="CX313" s="16" t="s">
        <v>233</v>
      </c>
      <c r="CY313" s="16" t="s">
        <v>233</v>
      </c>
      <c r="CZ313" s="20">
        <f t="shared" si="160"/>
        <v>0.46700000000000003</v>
      </c>
      <c r="DA313" s="20">
        <f t="shared" si="161"/>
        <v>0.14699999999999999</v>
      </c>
      <c r="DB313" s="16" t="s">
        <v>233</v>
      </c>
      <c r="DD313" s="1">
        <v>-0.6</v>
      </c>
      <c r="DE313" s="1">
        <v>1</v>
      </c>
      <c r="DF313" s="1">
        <v>-2.2000000000000002</v>
      </c>
      <c r="DG313" s="1">
        <v>94.8</v>
      </c>
      <c r="DH313" s="1">
        <v>93</v>
      </c>
      <c r="DZ313" s="1">
        <v>-1.2</v>
      </c>
      <c r="EA313" s="1">
        <v>0.5</v>
      </c>
      <c r="EB313" s="1">
        <v>-3.5</v>
      </c>
      <c r="EC313" s="1">
        <v>0</v>
      </c>
    </row>
    <row r="314" spans="1:133" x14ac:dyDescent="0.2">
      <c r="A314" s="40">
        <v>35372</v>
      </c>
      <c r="B314" s="42">
        <v>308</v>
      </c>
      <c r="C314" s="34"/>
      <c r="D314" s="34"/>
      <c r="E314" s="50">
        <f t="shared" si="151"/>
        <v>-1.7</v>
      </c>
      <c r="P314" s="17"/>
      <c r="R314" s="50">
        <f t="shared" si="152"/>
        <v>1.4</v>
      </c>
      <c r="AD314" s="17"/>
      <c r="AF314" s="50">
        <f t="shared" si="153"/>
        <v>-4.9000000000000004</v>
      </c>
      <c r="AG314" s="3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"/>
      <c r="BE314" s="3"/>
      <c r="BF314" s="3"/>
      <c r="BH314" s="16">
        <v>8.02</v>
      </c>
      <c r="BI314" s="16">
        <f t="shared" si="158"/>
        <v>16.200399999999998</v>
      </c>
      <c r="BJ314" s="17"/>
      <c r="BK314" s="17"/>
      <c r="BO314" s="50">
        <f t="shared" si="154"/>
        <v>62</v>
      </c>
      <c r="BP314" s="56">
        <f t="shared" si="163"/>
        <v>0.41899999999999998</v>
      </c>
      <c r="BQ314" s="56">
        <f t="shared" si="164"/>
        <v>0.25700000000000001</v>
      </c>
      <c r="BS314" s="34">
        <v>1</v>
      </c>
      <c r="BT314" s="44">
        <v>0</v>
      </c>
      <c r="BV314" s="16" t="s">
        <v>233</v>
      </c>
      <c r="BW314" s="16" t="s">
        <v>233</v>
      </c>
      <c r="BX314" s="3">
        <f t="shared" si="159"/>
        <v>-1.7</v>
      </c>
      <c r="BY314" s="16" t="s">
        <v>233</v>
      </c>
      <c r="BZ314" s="16" t="s">
        <v>233</v>
      </c>
      <c r="CA314" s="16" t="s">
        <v>233</v>
      </c>
      <c r="CB314" s="16" t="s">
        <v>233</v>
      </c>
      <c r="CC314" s="16" t="s">
        <v>233</v>
      </c>
      <c r="CD314" s="16" t="s">
        <v>233</v>
      </c>
      <c r="CE314" s="16" t="s">
        <v>233</v>
      </c>
      <c r="CF314" s="1">
        <f t="shared" si="155"/>
        <v>1.4</v>
      </c>
      <c r="CG314" s="16" t="s">
        <v>233</v>
      </c>
      <c r="CH314" s="16" t="s">
        <v>233</v>
      </c>
      <c r="CI314" s="16" t="s">
        <v>233</v>
      </c>
      <c r="CJ314" s="16" t="s">
        <v>233</v>
      </c>
      <c r="CK314" s="16" t="s">
        <v>233</v>
      </c>
      <c r="CL314" s="16" t="s">
        <v>233</v>
      </c>
      <c r="CM314" s="16" t="s">
        <v>233</v>
      </c>
      <c r="CN314" s="1">
        <f t="shared" si="156"/>
        <v>-4.9000000000000004</v>
      </c>
      <c r="CO314" s="16" t="s">
        <v>233</v>
      </c>
      <c r="CP314" s="16" t="s">
        <v>233</v>
      </c>
      <c r="CQ314" s="16" t="s">
        <v>233</v>
      </c>
      <c r="CR314" s="16" t="s">
        <v>233</v>
      </c>
      <c r="CS314" s="16" t="s">
        <v>233</v>
      </c>
      <c r="CT314" s="16" t="s">
        <v>233</v>
      </c>
      <c r="CU314" s="2">
        <f t="shared" si="162"/>
        <v>62</v>
      </c>
      <c r="CV314" s="18" t="s">
        <v>233</v>
      </c>
      <c r="CW314" s="1">
        <f>ROUND(PPTest!K314,1)</f>
        <v>1.1000000000000001</v>
      </c>
      <c r="CX314" s="16" t="s">
        <v>233</v>
      </c>
      <c r="CY314" s="16" t="s">
        <v>233</v>
      </c>
      <c r="CZ314" s="20">
        <f t="shared" si="160"/>
        <v>0.41899999999999998</v>
      </c>
      <c r="DA314" s="20">
        <f t="shared" si="161"/>
        <v>0.25700000000000001</v>
      </c>
      <c r="DB314" s="16" t="s">
        <v>233</v>
      </c>
      <c r="DD314" s="1">
        <v>0.1</v>
      </c>
      <c r="DE314" s="1">
        <v>2.2999999999999998</v>
      </c>
      <c r="DF314" s="1">
        <v>-1.9</v>
      </c>
      <c r="DG314" s="1">
        <v>90.4</v>
      </c>
      <c r="DH314" s="1">
        <v>77</v>
      </c>
      <c r="DZ314" s="1">
        <v>-2.1</v>
      </c>
      <c r="EA314" s="1">
        <v>1.5</v>
      </c>
      <c r="EB314" s="1">
        <v>-4.5999999999999996</v>
      </c>
      <c r="EC314" s="1">
        <v>1.7</v>
      </c>
    </row>
    <row r="315" spans="1:133" x14ac:dyDescent="0.2">
      <c r="A315" s="40">
        <v>35373</v>
      </c>
      <c r="B315" s="42">
        <v>309</v>
      </c>
      <c r="C315" s="34"/>
      <c r="D315" s="34"/>
      <c r="E315" s="50">
        <f t="shared" si="151"/>
        <v>-3.4</v>
      </c>
      <c r="P315" s="17"/>
      <c r="R315" s="50">
        <f t="shared" si="152"/>
        <v>-1.5</v>
      </c>
      <c r="AD315" s="17"/>
      <c r="AF315" s="50">
        <f t="shared" si="153"/>
        <v>-5.6</v>
      </c>
      <c r="AG315" s="3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"/>
      <c r="BE315" s="3"/>
      <c r="BF315" s="3"/>
      <c r="BH315" s="16">
        <v>7.86</v>
      </c>
      <c r="BI315" s="16">
        <f t="shared" si="158"/>
        <v>15.8772</v>
      </c>
      <c r="BJ315" s="17"/>
      <c r="BK315" s="17"/>
      <c r="BO315" s="50">
        <f t="shared" si="154"/>
        <v>81</v>
      </c>
      <c r="BP315" s="56">
        <f t="shared" si="163"/>
        <v>0.443</v>
      </c>
      <c r="BQ315" s="56">
        <f t="shared" si="164"/>
        <v>0.104</v>
      </c>
      <c r="BS315" s="34">
        <v>0</v>
      </c>
      <c r="BT315" s="44">
        <v>0</v>
      </c>
      <c r="BV315" s="16" t="s">
        <v>233</v>
      </c>
      <c r="BW315" s="16" t="s">
        <v>233</v>
      </c>
      <c r="BX315" s="3">
        <f t="shared" si="159"/>
        <v>-3.4</v>
      </c>
      <c r="BY315" s="16" t="s">
        <v>233</v>
      </c>
      <c r="BZ315" s="16" t="s">
        <v>233</v>
      </c>
      <c r="CA315" s="16" t="s">
        <v>233</v>
      </c>
      <c r="CB315" s="16" t="s">
        <v>233</v>
      </c>
      <c r="CC315" s="16" t="s">
        <v>233</v>
      </c>
      <c r="CD315" s="16" t="s">
        <v>233</v>
      </c>
      <c r="CE315" s="16" t="s">
        <v>233</v>
      </c>
      <c r="CF315" s="1">
        <f t="shared" si="155"/>
        <v>-1.5</v>
      </c>
      <c r="CG315" s="16" t="s">
        <v>233</v>
      </c>
      <c r="CH315" s="16" t="s">
        <v>233</v>
      </c>
      <c r="CI315" s="16" t="s">
        <v>233</v>
      </c>
      <c r="CJ315" s="16" t="s">
        <v>233</v>
      </c>
      <c r="CK315" s="16" t="s">
        <v>233</v>
      </c>
      <c r="CL315" s="16" t="s">
        <v>233</v>
      </c>
      <c r="CM315" s="16" t="s">
        <v>233</v>
      </c>
      <c r="CN315" s="1">
        <f t="shared" si="156"/>
        <v>-5.6</v>
      </c>
      <c r="CO315" s="16" t="s">
        <v>233</v>
      </c>
      <c r="CP315" s="16" t="s">
        <v>233</v>
      </c>
      <c r="CQ315" s="16" t="s">
        <v>233</v>
      </c>
      <c r="CR315" s="16" t="s">
        <v>233</v>
      </c>
      <c r="CS315" s="16" t="s">
        <v>233</v>
      </c>
      <c r="CT315" s="16" t="s">
        <v>233</v>
      </c>
      <c r="CU315" s="2">
        <f t="shared" si="162"/>
        <v>81</v>
      </c>
      <c r="CV315" s="18" t="s">
        <v>233</v>
      </c>
      <c r="CW315" s="1">
        <f>ROUND(PPTest!K315,1)</f>
        <v>0</v>
      </c>
      <c r="CX315" s="16" t="s">
        <v>233</v>
      </c>
      <c r="CY315" s="16" t="s">
        <v>233</v>
      </c>
      <c r="CZ315" s="20">
        <f t="shared" si="160"/>
        <v>0.443</v>
      </c>
      <c r="DA315" s="20">
        <f t="shared" si="161"/>
        <v>0.104</v>
      </c>
      <c r="DB315" s="16" t="s">
        <v>233</v>
      </c>
      <c r="DD315" s="1">
        <v>-1.7</v>
      </c>
      <c r="DE315" s="1">
        <v>-0.6</v>
      </c>
      <c r="DF315" s="1">
        <v>-2.8</v>
      </c>
      <c r="DG315" s="1">
        <v>98.8</v>
      </c>
      <c r="DH315" s="1">
        <v>98</v>
      </c>
      <c r="DZ315" s="1">
        <v>-4</v>
      </c>
      <c r="EA315" s="1">
        <v>-1.8</v>
      </c>
      <c r="EB315" s="1">
        <v>-7.3</v>
      </c>
      <c r="EC315" s="1">
        <v>8.1</v>
      </c>
    </row>
    <row r="316" spans="1:133" x14ac:dyDescent="0.2">
      <c r="A316" s="40">
        <v>35374</v>
      </c>
      <c r="B316" s="42">
        <v>310</v>
      </c>
      <c r="C316" s="34"/>
      <c r="D316" s="34"/>
      <c r="E316" s="50">
        <f t="shared" ref="E316:E317" si="165">ROUND(DD316*0.9-1.82,1)</f>
        <v>-3.5</v>
      </c>
      <c r="P316" s="17"/>
      <c r="R316" s="50">
        <f t="shared" ref="R316:R317" si="166">ROUND(DE316*1-0.91,1)</f>
        <v>-0.1</v>
      </c>
      <c r="AD316" s="17"/>
      <c r="AF316" s="50">
        <f t="shared" ref="AF316:AF317" si="167">ROUND(DF316*0.77-3.4,1)</f>
        <v>-5.9</v>
      </c>
      <c r="AG316" s="3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"/>
      <c r="BE316" s="3"/>
      <c r="BF316" s="3"/>
      <c r="BH316" s="16">
        <v>7.71</v>
      </c>
      <c r="BI316" s="16">
        <f t="shared" si="158"/>
        <v>15.574199999999999</v>
      </c>
      <c r="BJ316" s="17"/>
      <c r="BK316" s="17"/>
      <c r="BO316" s="50">
        <f t="shared" ref="BO316:BO317" si="168">ROUND(DH316*0.9-7.7,0)</f>
        <v>67</v>
      </c>
      <c r="BP316" s="56">
        <f t="shared" si="163"/>
        <v>0.40600000000000003</v>
      </c>
      <c r="BQ316" s="56">
        <f t="shared" si="164"/>
        <v>0.2</v>
      </c>
      <c r="BS316" s="34">
        <v>0.5</v>
      </c>
      <c r="BT316" s="44">
        <v>0</v>
      </c>
      <c r="BV316" s="16" t="s">
        <v>233</v>
      </c>
      <c r="BW316" s="16" t="s">
        <v>233</v>
      </c>
      <c r="BX316" s="3">
        <f t="shared" si="159"/>
        <v>-3.5</v>
      </c>
      <c r="BY316" s="16" t="s">
        <v>233</v>
      </c>
      <c r="BZ316" s="16" t="s">
        <v>233</v>
      </c>
      <c r="CA316" s="16" t="s">
        <v>233</v>
      </c>
      <c r="CB316" s="16" t="s">
        <v>233</v>
      </c>
      <c r="CC316" s="16" t="s">
        <v>233</v>
      </c>
      <c r="CD316" s="16" t="s">
        <v>233</v>
      </c>
      <c r="CE316" s="16" t="s">
        <v>233</v>
      </c>
      <c r="CF316" s="1">
        <f t="shared" ref="CF316:CF324" si="169">ROUND(R316,1)</f>
        <v>-0.1</v>
      </c>
      <c r="CG316" s="16" t="s">
        <v>233</v>
      </c>
      <c r="CH316" s="16" t="s">
        <v>233</v>
      </c>
      <c r="CI316" s="16" t="s">
        <v>233</v>
      </c>
      <c r="CJ316" s="16" t="s">
        <v>233</v>
      </c>
      <c r="CK316" s="16" t="s">
        <v>233</v>
      </c>
      <c r="CL316" s="16" t="s">
        <v>233</v>
      </c>
      <c r="CM316" s="16" t="s">
        <v>233</v>
      </c>
      <c r="CN316" s="1">
        <f t="shared" ref="CN316:CN324" si="170">ROUND(AF316,1)</f>
        <v>-5.9</v>
      </c>
      <c r="CO316" s="16" t="s">
        <v>233</v>
      </c>
      <c r="CP316" s="16" t="s">
        <v>233</v>
      </c>
      <c r="CQ316" s="16" t="s">
        <v>233</v>
      </c>
      <c r="CR316" s="16" t="s">
        <v>233</v>
      </c>
      <c r="CS316" s="16" t="s">
        <v>233</v>
      </c>
      <c r="CT316" s="16" t="s">
        <v>233</v>
      </c>
      <c r="CU316" s="2">
        <f t="shared" si="162"/>
        <v>67</v>
      </c>
      <c r="CV316" s="18" t="s">
        <v>233</v>
      </c>
      <c r="CW316" s="1">
        <f>ROUND(PPTest!K316,1)</f>
        <v>0.5</v>
      </c>
      <c r="CX316" s="16" t="s">
        <v>233</v>
      </c>
      <c r="CY316" s="16" t="s">
        <v>233</v>
      </c>
      <c r="CZ316" s="20">
        <f t="shared" si="160"/>
        <v>0.40600000000000003</v>
      </c>
      <c r="DA316" s="20">
        <f t="shared" si="161"/>
        <v>0.2</v>
      </c>
      <c r="DB316" s="16" t="s">
        <v>233</v>
      </c>
      <c r="DD316" s="1">
        <v>-1.9</v>
      </c>
      <c r="DE316" s="1">
        <v>0.8</v>
      </c>
      <c r="DF316" s="1">
        <v>-3.3</v>
      </c>
      <c r="DG316" s="1">
        <v>94</v>
      </c>
      <c r="DH316" s="1">
        <v>83</v>
      </c>
      <c r="DZ316" s="1">
        <v>-5.3</v>
      </c>
      <c r="EA316" s="1">
        <v>-3.2</v>
      </c>
      <c r="EB316" s="1">
        <v>-8.5</v>
      </c>
      <c r="EC316" s="1">
        <v>0.8</v>
      </c>
    </row>
    <row r="317" spans="1:133" x14ac:dyDescent="0.2">
      <c r="A317" s="40">
        <v>35375</v>
      </c>
      <c r="B317" s="42">
        <v>311</v>
      </c>
      <c r="C317" s="34"/>
      <c r="D317" s="34"/>
      <c r="E317" s="50">
        <f t="shared" si="165"/>
        <v>-3.3</v>
      </c>
      <c r="P317" s="17"/>
      <c r="R317" s="50">
        <f t="shared" si="166"/>
        <v>-1.6</v>
      </c>
      <c r="AD317" s="17"/>
      <c r="AF317" s="50">
        <f t="shared" si="167"/>
        <v>-5.3</v>
      </c>
      <c r="AG317" s="3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"/>
      <c r="BE317" s="3"/>
      <c r="BF317" s="3"/>
      <c r="BH317" s="16">
        <v>7.55</v>
      </c>
      <c r="BI317" s="16">
        <f t="shared" si="158"/>
        <v>15.250999999999999</v>
      </c>
      <c r="BJ317" s="17"/>
      <c r="BK317" s="17"/>
      <c r="BO317" s="50">
        <f t="shared" si="168"/>
        <v>81</v>
      </c>
      <c r="BP317" s="56">
        <f t="shared" si="163"/>
        <v>0.44</v>
      </c>
      <c r="BQ317" s="56">
        <f t="shared" si="164"/>
        <v>0.10299999999999999</v>
      </c>
      <c r="BS317" s="34">
        <v>0</v>
      </c>
      <c r="BT317" s="44">
        <v>0</v>
      </c>
      <c r="BV317" s="16" t="s">
        <v>233</v>
      </c>
      <c r="BW317" s="16" t="s">
        <v>233</v>
      </c>
      <c r="BX317" s="3">
        <f t="shared" si="159"/>
        <v>-3.3</v>
      </c>
      <c r="BY317" s="16" t="s">
        <v>233</v>
      </c>
      <c r="BZ317" s="16" t="s">
        <v>233</v>
      </c>
      <c r="CA317" s="16" t="s">
        <v>233</v>
      </c>
      <c r="CB317" s="16" t="s">
        <v>233</v>
      </c>
      <c r="CC317" s="16" t="s">
        <v>233</v>
      </c>
      <c r="CD317" s="16" t="s">
        <v>233</v>
      </c>
      <c r="CE317" s="16" t="s">
        <v>233</v>
      </c>
      <c r="CF317" s="1">
        <f t="shared" si="169"/>
        <v>-1.6</v>
      </c>
      <c r="CG317" s="16" t="s">
        <v>233</v>
      </c>
      <c r="CH317" s="16" t="s">
        <v>233</v>
      </c>
      <c r="CI317" s="16" t="s">
        <v>233</v>
      </c>
      <c r="CJ317" s="16" t="s">
        <v>233</v>
      </c>
      <c r="CK317" s="16" t="s">
        <v>233</v>
      </c>
      <c r="CL317" s="16" t="s">
        <v>233</v>
      </c>
      <c r="CM317" s="16" t="s">
        <v>233</v>
      </c>
      <c r="CN317" s="1">
        <f t="shared" si="170"/>
        <v>-5.3</v>
      </c>
      <c r="CO317" s="16" t="s">
        <v>233</v>
      </c>
      <c r="CP317" s="16" t="s">
        <v>233</v>
      </c>
      <c r="CQ317" s="16" t="s">
        <v>233</v>
      </c>
      <c r="CR317" s="16" t="s">
        <v>233</v>
      </c>
      <c r="CS317" s="16" t="s">
        <v>233</v>
      </c>
      <c r="CT317" s="16" t="s">
        <v>233</v>
      </c>
      <c r="CU317" s="2">
        <f t="shared" si="162"/>
        <v>81</v>
      </c>
      <c r="CV317" s="18" t="s">
        <v>233</v>
      </c>
      <c r="CW317" s="1">
        <f>ROUND(PPTest!K317,1)</f>
        <v>0</v>
      </c>
      <c r="CX317" s="16" t="s">
        <v>233</v>
      </c>
      <c r="CY317" s="16" t="s">
        <v>233</v>
      </c>
      <c r="CZ317" s="20">
        <f t="shared" si="160"/>
        <v>0.44</v>
      </c>
      <c r="DA317" s="20">
        <f t="shared" si="161"/>
        <v>0.10299999999999999</v>
      </c>
      <c r="DB317" s="16" t="s">
        <v>233</v>
      </c>
      <c r="DD317" s="1">
        <v>-1.6</v>
      </c>
      <c r="DE317" s="1">
        <v>-0.7</v>
      </c>
      <c r="DF317" s="1">
        <v>-2.5</v>
      </c>
      <c r="DG317" s="1">
        <v>98</v>
      </c>
      <c r="DH317" s="1">
        <v>98</v>
      </c>
      <c r="DZ317" s="1">
        <v>-4</v>
      </c>
      <c r="EA317" s="1">
        <v>-0.6</v>
      </c>
      <c r="EB317" s="1">
        <v>-6.6</v>
      </c>
      <c r="EC317" s="1">
        <v>11.7</v>
      </c>
    </row>
    <row r="318" spans="1:133" x14ac:dyDescent="0.2">
      <c r="A318" s="40">
        <v>35376</v>
      </c>
      <c r="B318" s="42">
        <v>312</v>
      </c>
      <c r="C318" s="34"/>
      <c r="D318" s="34"/>
      <c r="E318" s="55">
        <f t="shared" ref="E318:E324" si="171">ROUND(1.19*DZ318-0.2,1)</f>
        <v>-7.7</v>
      </c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41"/>
      <c r="Q318" s="34"/>
      <c r="R318" s="55">
        <f t="shared" ref="R318:R324" si="172">ROUND(0.95*EA318-0.5,1)</f>
        <v>-3.7</v>
      </c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41"/>
      <c r="AE318" s="34"/>
      <c r="AF318" s="55">
        <f t="shared" ref="AF318:AF324" si="173">ROUND(1.1*EB318-1,1)</f>
        <v>-13.9</v>
      </c>
      <c r="AG318" s="3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"/>
      <c r="BE318" s="3"/>
      <c r="BF318" s="3"/>
      <c r="BH318" s="16">
        <v>7.41</v>
      </c>
      <c r="BI318" s="16">
        <f t="shared" si="158"/>
        <v>14.968200000000001</v>
      </c>
      <c r="BJ318" s="17"/>
      <c r="BK318" s="17"/>
      <c r="BP318" s="57">
        <f t="shared" ref="BP318:BP324" si="174">ROUND(0.6105*(EXP((17.273*AF318)/(AF318+237.3))), 3)</f>
        <v>0.20799999999999999</v>
      </c>
      <c r="BQ318" s="57">
        <f t="shared" ref="BQ318:BQ324" si="175">ROUND(0.6105*(EXP((17.273*R318)/(R318+237.3)))-BP318, 3)</f>
        <v>0.25600000000000001</v>
      </c>
      <c r="BS318" s="34">
        <f>BT$2*BT318</f>
        <v>0</v>
      </c>
      <c r="BT318" s="44">
        <v>0</v>
      </c>
      <c r="BV318" s="16" t="s">
        <v>233</v>
      </c>
      <c r="BW318" s="16" t="s">
        <v>233</v>
      </c>
      <c r="BX318" s="3">
        <f t="shared" si="159"/>
        <v>-7.7</v>
      </c>
      <c r="BY318" s="16" t="s">
        <v>233</v>
      </c>
      <c r="BZ318" s="16" t="s">
        <v>233</v>
      </c>
      <c r="CA318" s="16" t="s">
        <v>233</v>
      </c>
      <c r="CB318" s="16" t="s">
        <v>233</v>
      </c>
      <c r="CC318" s="16" t="s">
        <v>233</v>
      </c>
      <c r="CD318" s="16" t="s">
        <v>233</v>
      </c>
      <c r="CE318" s="16" t="s">
        <v>233</v>
      </c>
      <c r="CF318" s="1">
        <f t="shared" si="169"/>
        <v>-3.7</v>
      </c>
      <c r="CG318" s="16" t="s">
        <v>233</v>
      </c>
      <c r="CH318" s="16" t="s">
        <v>233</v>
      </c>
      <c r="CI318" s="16" t="s">
        <v>233</v>
      </c>
      <c r="CJ318" s="16" t="s">
        <v>233</v>
      </c>
      <c r="CK318" s="16" t="s">
        <v>233</v>
      </c>
      <c r="CL318" s="16" t="s">
        <v>233</v>
      </c>
      <c r="CM318" s="16" t="s">
        <v>233</v>
      </c>
      <c r="CN318" s="1">
        <f t="shared" si="170"/>
        <v>-13.9</v>
      </c>
      <c r="CO318" s="16" t="s">
        <v>233</v>
      </c>
      <c r="CP318" s="16" t="s">
        <v>233</v>
      </c>
      <c r="CQ318" s="16" t="s">
        <v>233</v>
      </c>
      <c r="CR318" s="16" t="s">
        <v>233</v>
      </c>
      <c r="CS318" s="16" t="s">
        <v>233</v>
      </c>
      <c r="CT318" s="16" t="s">
        <v>233</v>
      </c>
      <c r="CU318" s="18" t="s">
        <v>233</v>
      </c>
      <c r="CV318" s="18" t="s">
        <v>233</v>
      </c>
      <c r="CW318" s="1">
        <f>ROUND(PPTest!K318,1)</f>
        <v>0</v>
      </c>
      <c r="CX318" s="16" t="s">
        <v>233</v>
      </c>
      <c r="CY318" s="16" t="s">
        <v>233</v>
      </c>
      <c r="CZ318" s="20">
        <f t="shared" si="160"/>
        <v>0.20799999999999999</v>
      </c>
      <c r="DA318" s="20">
        <f t="shared" si="161"/>
        <v>0.25600000000000001</v>
      </c>
      <c r="DB318" s="16" t="s">
        <v>233</v>
      </c>
      <c r="DZ318" s="1">
        <v>-6.3</v>
      </c>
      <c r="EA318" s="1">
        <v>-3.4</v>
      </c>
      <c r="EB318" s="1">
        <v>-11.7</v>
      </c>
      <c r="EC318" s="1">
        <v>8.6</v>
      </c>
    </row>
    <row r="319" spans="1:133" x14ac:dyDescent="0.2">
      <c r="A319" s="40">
        <v>35377</v>
      </c>
      <c r="B319" s="42">
        <v>313</v>
      </c>
      <c r="C319" s="34"/>
      <c r="D319" s="34"/>
      <c r="E319" s="55">
        <f t="shared" si="171"/>
        <v>-1.9</v>
      </c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41"/>
      <c r="Q319" s="34"/>
      <c r="R319" s="55">
        <f t="shared" si="172"/>
        <v>1.8</v>
      </c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41"/>
      <c r="AE319" s="34"/>
      <c r="AF319" s="55">
        <f t="shared" si="173"/>
        <v>-6.8</v>
      </c>
      <c r="AG319" s="3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"/>
      <c r="BE319" s="3"/>
      <c r="BF319" s="3"/>
      <c r="BH319" s="16">
        <v>7.26</v>
      </c>
      <c r="BI319" s="16">
        <f t="shared" si="158"/>
        <v>14.6652</v>
      </c>
      <c r="BJ319" s="17"/>
      <c r="BK319" s="17"/>
      <c r="BP319" s="57">
        <f t="shared" si="174"/>
        <v>0.36699999999999999</v>
      </c>
      <c r="BQ319" s="57">
        <f t="shared" si="175"/>
        <v>0.32800000000000001</v>
      </c>
      <c r="BS319" s="47">
        <f t="shared" ref="BS319:BS372" si="176">BT$2*BT319</f>
        <v>6.1499999999999995</v>
      </c>
      <c r="BT319" s="44">
        <v>4.0999999999999996</v>
      </c>
      <c r="BV319" s="16" t="s">
        <v>233</v>
      </c>
      <c r="BW319" s="16" t="s">
        <v>233</v>
      </c>
      <c r="BX319" s="3">
        <f t="shared" si="159"/>
        <v>-1.9</v>
      </c>
      <c r="BY319" s="16" t="s">
        <v>233</v>
      </c>
      <c r="BZ319" s="16" t="s">
        <v>233</v>
      </c>
      <c r="CA319" s="16" t="s">
        <v>233</v>
      </c>
      <c r="CB319" s="16" t="s">
        <v>233</v>
      </c>
      <c r="CC319" s="16" t="s">
        <v>233</v>
      </c>
      <c r="CD319" s="16" t="s">
        <v>233</v>
      </c>
      <c r="CE319" s="16" t="s">
        <v>233</v>
      </c>
      <c r="CF319" s="1">
        <f t="shared" si="169"/>
        <v>1.8</v>
      </c>
      <c r="CG319" s="16" t="s">
        <v>233</v>
      </c>
      <c r="CH319" s="16" t="s">
        <v>233</v>
      </c>
      <c r="CI319" s="16" t="s">
        <v>233</v>
      </c>
      <c r="CJ319" s="16" t="s">
        <v>233</v>
      </c>
      <c r="CK319" s="16" t="s">
        <v>233</v>
      </c>
      <c r="CL319" s="16" t="s">
        <v>233</v>
      </c>
      <c r="CM319" s="16" t="s">
        <v>233</v>
      </c>
      <c r="CN319" s="1">
        <f t="shared" si="170"/>
        <v>-6.8</v>
      </c>
      <c r="CO319" s="16" t="s">
        <v>233</v>
      </c>
      <c r="CP319" s="16" t="s">
        <v>233</v>
      </c>
      <c r="CQ319" s="16" t="s">
        <v>233</v>
      </c>
      <c r="CR319" s="16" t="s">
        <v>233</v>
      </c>
      <c r="CS319" s="16" t="s">
        <v>233</v>
      </c>
      <c r="CT319" s="16" t="s">
        <v>233</v>
      </c>
      <c r="CU319" s="18" t="s">
        <v>233</v>
      </c>
      <c r="CV319" s="18" t="s">
        <v>233</v>
      </c>
      <c r="CW319" s="1">
        <f>ROUND(PPTest!K319,1)</f>
        <v>6.5</v>
      </c>
      <c r="CX319" s="16" t="s">
        <v>233</v>
      </c>
      <c r="CY319" s="16" t="s">
        <v>233</v>
      </c>
      <c r="CZ319" s="20">
        <f t="shared" si="160"/>
        <v>0.36699999999999999</v>
      </c>
      <c r="DA319" s="20">
        <f t="shared" si="161"/>
        <v>0.32800000000000001</v>
      </c>
      <c r="DB319" s="16" t="s">
        <v>233</v>
      </c>
      <c r="DZ319" s="1">
        <v>-1.4</v>
      </c>
      <c r="EA319" s="1">
        <v>2.4</v>
      </c>
      <c r="EB319" s="1">
        <v>-5.3</v>
      </c>
      <c r="EC319" s="1">
        <v>3.3</v>
      </c>
    </row>
    <row r="320" spans="1:133" x14ac:dyDescent="0.2">
      <c r="A320" s="40">
        <v>35378</v>
      </c>
      <c r="B320" s="42">
        <v>314</v>
      </c>
      <c r="C320" s="34"/>
      <c r="D320" s="34"/>
      <c r="E320" s="55">
        <f t="shared" si="171"/>
        <v>0.6</v>
      </c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41"/>
      <c r="Q320" s="34"/>
      <c r="R320" s="55">
        <f t="shared" si="172"/>
        <v>6.2</v>
      </c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41"/>
      <c r="AE320" s="34"/>
      <c r="AF320" s="55">
        <f t="shared" si="173"/>
        <v>-3.2</v>
      </c>
      <c r="AG320" s="3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"/>
      <c r="BE320" s="3"/>
      <c r="BF320" s="3"/>
      <c r="BH320" s="16">
        <v>7.12</v>
      </c>
      <c r="BI320" s="16">
        <f t="shared" si="158"/>
        <v>14.382400000000001</v>
      </c>
      <c r="BJ320" s="17"/>
      <c r="BK320" s="17"/>
      <c r="BP320" s="57">
        <f t="shared" si="174"/>
        <v>0.48199999999999998</v>
      </c>
      <c r="BQ320" s="57">
        <f t="shared" si="175"/>
        <v>0.46600000000000003</v>
      </c>
      <c r="BS320" s="47">
        <f t="shared" si="176"/>
        <v>0</v>
      </c>
      <c r="BT320" s="44">
        <v>0</v>
      </c>
      <c r="BV320" s="16" t="s">
        <v>233</v>
      </c>
      <c r="BW320" s="16" t="s">
        <v>233</v>
      </c>
      <c r="BX320" s="3">
        <f t="shared" si="159"/>
        <v>0.6</v>
      </c>
      <c r="BY320" s="16" t="s">
        <v>233</v>
      </c>
      <c r="BZ320" s="16" t="s">
        <v>233</v>
      </c>
      <c r="CA320" s="16" t="s">
        <v>233</v>
      </c>
      <c r="CB320" s="16" t="s">
        <v>233</v>
      </c>
      <c r="CC320" s="16" t="s">
        <v>233</v>
      </c>
      <c r="CD320" s="16" t="s">
        <v>233</v>
      </c>
      <c r="CE320" s="16" t="s">
        <v>233</v>
      </c>
      <c r="CF320" s="1">
        <f t="shared" si="169"/>
        <v>6.2</v>
      </c>
      <c r="CG320" s="16" t="s">
        <v>233</v>
      </c>
      <c r="CH320" s="16" t="s">
        <v>233</v>
      </c>
      <c r="CI320" s="16" t="s">
        <v>233</v>
      </c>
      <c r="CJ320" s="16" t="s">
        <v>233</v>
      </c>
      <c r="CK320" s="16" t="s">
        <v>233</v>
      </c>
      <c r="CL320" s="16" t="s">
        <v>233</v>
      </c>
      <c r="CM320" s="16" t="s">
        <v>233</v>
      </c>
      <c r="CN320" s="1">
        <f t="shared" si="170"/>
        <v>-3.2</v>
      </c>
      <c r="CO320" s="16" t="s">
        <v>233</v>
      </c>
      <c r="CP320" s="16" t="s">
        <v>233</v>
      </c>
      <c r="CQ320" s="16" t="s">
        <v>233</v>
      </c>
      <c r="CR320" s="16" t="s">
        <v>233</v>
      </c>
      <c r="CS320" s="16" t="s">
        <v>233</v>
      </c>
      <c r="CT320" s="16" t="s">
        <v>233</v>
      </c>
      <c r="CU320" s="18" t="s">
        <v>233</v>
      </c>
      <c r="CV320" s="18" t="s">
        <v>233</v>
      </c>
      <c r="CW320" s="1">
        <f>ROUND(PPTest!K320,1)</f>
        <v>0</v>
      </c>
      <c r="CX320" s="16" t="s">
        <v>233</v>
      </c>
      <c r="CY320" s="16" t="s">
        <v>233</v>
      </c>
      <c r="CZ320" s="20">
        <f t="shared" si="160"/>
        <v>0.48199999999999998</v>
      </c>
      <c r="DA320" s="20">
        <f t="shared" si="161"/>
        <v>0.46600000000000003</v>
      </c>
      <c r="DB320" s="16" t="s">
        <v>233</v>
      </c>
      <c r="DZ320" s="1">
        <v>0.7</v>
      </c>
      <c r="EA320" s="1">
        <v>7.1</v>
      </c>
      <c r="EB320" s="1">
        <v>-2</v>
      </c>
      <c r="EC320" s="1">
        <v>0.7</v>
      </c>
    </row>
    <row r="321" spans="1:133" x14ac:dyDescent="0.2">
      <c r="A321" s="40">
        <v>35379</v>
      </c>
      <c r="B321" s="42">
        <v>315</v>
      </c>
      <c r="C321" s="34"/>
      <c r="D321" s="34"/>
      <c r="E321" s="55">
        <f t="shared" si="171"/>
        <v>1.6</v>
      </c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41"/>
      <c r="Q321" s="34"/>
      <c r="R321" s="55">
        <f t="shared" si="172"/>
        <v>5.0999999999999996</v>
      </c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41"/>
      <c r="AE321" s="34"/>
      <c r="AF321" s="55">
        <f t="shared" si="173"/>
        <v>-3.8</v>
      </c>
      <c r="AG321" s="3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"/>
      <c r="BE321" s="3"/>
      <c r="BF321" s="3"/>
      <c r="BH321" s="16">
        <v>6.99</v>
      </c>
      <c r="BI321" s="16">
        <f t="shared" si="158"/>
        <v>14.1198</v>
      </c>
      <c r="BJ321" s="17"/>
      <c r="BK321" s="17"/>
      <c r="BP321" s="57">
        <f t="shared" si="174"/>
        <v>0.46100000000000002</v>
      </c>
      <c r="BQ321" s="57">
        <f t="shared" si="175"/>
        <v>0.41699999999999998</v>
      </c>
      <c r="BS321" s="47">
        <f t="shared" si="176"/>
        <v>0</v>
      </c>
      <c r="BT321" s="44">
        <v>0</v>
      </c>
      <c r="BV321" s="16" t="s">
        <v>233</v>
      </c>
      <c r="BW321" s="16" t="s">
        <v>233</v>
      </c>
      <c r="BX321" s="3">
        <f t="shared" si="159"/>
        <v>1.6</v>
      </c>
      <c r="BY321" s="16" t="s">
        <v>233</v>
      </c>
      <c r="BZ321" s="16" t="s">
        <v>233</v>
      </c>
      <c r="CA321" s="16" t="s">
        <v>233</v>
      </c>
      <c r="CB321" s="16" t="s">
        <v>233</v>
      </c>
      <c r="CC321" s="16" t="s">
        <v>233</v>
      </c>
      <c r="CD321" s="16" t="s">
        <v>233</v>
      </c>
      <c r="CE321" s="16" t="s">
        <v>233</v>
      </c>
      <c r="CF321" s="1">
        <f t="shared" si="169"/>
        <v>5.0999999999999996</v>
      </c>
      <c r="CG321" s="16" t="s">
        <v>233</v>
      </c>
      <c r="CH321" s="16" t="s">
        <v>233</v>
      </c>
      <c r="CI321" s="16" t="s">
        <v>233</v>
      </c>
      <c r="CJ321" s="16" t="s">
        <v>233</v>
      </c>
      <c r="CK321" s="16" t="s">
        <v>233</v>
      </c>
      <c r="CL321" s="16" t="s">
        <v>233</v>
      </c>
      <c r="CM321" s="16" t="s">
        <v>233</v>
      </c>
      <c r="CN321" s="1">
        <f t="shared" si="170"/>
        <v>-3.8</v>
      </c>
      <c r="CO321" s="16" t="s">
        <v>233</v>
      </c>
      <c r="CP321" s="16" t="s">
        <v>233</v>
      </c>
      <c r="CQ321" s="16" t="s">
        <v>233</v>
      </c>
      <c r="CR321" s="16" t="s">
        <v>233</v>
      </c>
      <c r="CS321" s="16" t="s">
        <v>233</v>
      </c>
      <c r="CT321" s="16" t="s">
        <v>233</v>
      </c>
      <c r="CU321" s="18" t="s">
        <v>233</v>
      </c>
      <c r="CV321" s="18" t="s">
        <v>233</v>
      </c>
      <c r="CW321" s="1">
        <f>ROUND(PPTest!K321,1)</f>
        <v>0</v>
      </c>
      <c r="CX321" s="16" t="s">
        <v>233</v>
      </c>
      <c r="CY321" s="16" t="s">
        <v>233</v>
      </c>
      <c r="CZ321" s="20">
        <f t="shared" si="160"/>
        <v>0.46100000000000002</v>
      </c>
      <c r="DA321" s="20">
        <f t="shared" si="161"/>
        <v>0.41699999999999998</v>
      </c>
      <c r="DB321" s="16" t="s">
        <v>233</v>
      </c>
      <c r="DZ321" s="1">
        <v>1.5</v>
      </c>
      <c r="EA321" s="1">
        <v>5.9</v>
      </c>
      <c r="EB321" s="1">
        <v>-2.5</v>
      </c>
      <c r="EC321" s="1">
        <v>0</v>
      </c>
    </row>
    <row r="322" spans="1:133" x14ac:dyDescent="0.2">
      <c r="A322" s="40">
        <v>35380</v>
      </c>
      <c r="B322" s="42">
        <v>316</v>
      </c>
      <c r="C322" s="34"/>
      <c r="D322" s="34"/>
      <c r="E322" s="55">
        <f t="shared" si="171"/>
        <v>3.4</v>
      </c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41"/>
      <c r="Q322" s="34"/>
      <c r="R322" s="55">
        <f t="shared" si="172"/>
        <v>8.9</v>
      </c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41"/>
      <c r="AE322" s="34"/>
      <c r="AF322" s="55">
        <f t="shared" si="173"/>
        <v>-0.5</v>
      </c>
      <c r="AG322" s="3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"/>
      <c r="BE322" s="3"/>
      <c r="BF322" s="3"/>
      <c r="BH322" s="16">
        <v>6.85</v>
      </c>
      <c r="BI322" s="16">
        <f t="shared" si="158"/>
        <v>13.837</v>
      </c>
      <c r="BJ322" s="17"/>
      <c r="BK322" s="17"/>
      <c r="BP322" s="57">
        <f t="shared" si="174"/>
        <v>0.58899999999999997</v>
      </c>
      <c r="BQ322" s="57">
        <f t="shared" si="175"/>
        <v>0.55100000000000005</v>
      </c>
      <c r="BS322" s="47">
        <f t="shared" si="176"/>
        <v>0</v>
      </c>
      <c r="BT322" s="44">
        <v>0</v>
      </c>
      <c r="BV322" s="16" t="s">
        <v>233</v>
      </c>
      <c r="BW322" s="16" t="s">
        <v>233</v>
      </c>
      <c r="BX322" s="3">
        <f t="shared" si="159"/>
        <v>3.4</v>
      </c>
      <c r="BY322" s="16" t="s">
        <v>233</v>
      </c>
      <c r="BZ322" s="16" t="s">
        <v>233</v>
      </c>
      <c r="CA322" s="16" t="s">
        <v>233</v>
      </c>
      <c r="CB322" s="16" t="s">
        <v>233</v>
      </c>
      <c r="CC322" s="16" t="s">
        <v>233</v>
      </c>
      <c r="CD322" s="16" t="s">
        <v>233</v>
      </c>
      <c r="CE322" s="16" t="s">
        <v>233</v>
      </c>
      <c r="CF322" s="1">
        <f t="shared" si="169"/>
        <v>8.9</v>
      </c>
      <c r="CG322" s="16" t="s">
        <v>233</v>
      </c>
      <c r="CH322" s="16" t="s">
        <v>233</v>
      </c>
      <c r="CI322" s="16" t="s">
        <v>233</v>
      </c>
      <c r="CJ322" s="16" t="s">
        <v>233</v>
      </c>
      <c r="CK322" s="16" t="s">
        <v>233</v>
      </c>
      <c r="CL322" s="16" t="s">
        <v>233</v>
      </c>
      <c r="CM322" s="16" t="s">
        <v>233</v>
      </c>
      <c r="CN322" s="1">
        <f t="shared" si="170"/>
        <v>-0.5</v>
      </c>
      <c r="CO322" s="16" t="s">
        <v>233</v>
      </c>
      <c r="CP322" s="16" t="s">
        <v>233</v>
      </c>
      <c r="CQ322" s="16" t="s">
        <v>233</v>
      </c>
      <c r="CR322" s="16" t="s">
        <v>233</v>
      </c>
      <c r="CS322" s="16" t="s">
        <v>233</v>
      </c>
      <c r="CT322" s="16" t="s">
        <v>233</v>
      </c>
      <c r="CU322" s="18" t="s">
        <v>233</v>
      </c>
      <c r="CV322" s="18" t="s">
        <v>233</v>
      </c>
      <c r="CW322" s="1">
        <f>ROUND(PPTest!K322,1)</f>
        <v>0</v>
      </c>
      <c r="CX322" s="16" t="s">
        <v>233</v>
      </c>
      <c r="CY322" s="16" t="s">
        <v>233</v>
      </c>
      <c r="CZ322" s="20">
        <f t="shared" si="160"/>
        <v>0.58899999999999997</v>
      </c>
      <c r="DA322" s="20">
        <f t="shared" si="161"/>
        <v>0.55100000000000005</v>
      </c>
      <c r="DB322" s="16" t="s">
        <v>233</v>
      </c>
      <c r="DZ322" s="1">
        <v>3</v>
      </c>
      <c r="EA322" s="1">
        <v>9.9</v>
      </c>
      <c r="EB322" s="1">
        <v>0.5</v>
      </c>
      <c r="EC322" s="1">
        <v>0.3</v>
      </c>
    </row>
    <row r="323" spans="1:133" x14ac:dyDescent="0.2">
      <c r="A323" s="40">
        <v>35381</v>
      </c>
      <c r="B323" s="42">
        <v>317</v>
      </c>
      <c r="C323" s="34"/>
      <c r="D323" s="34"/>
      <c r="E323" s="55">
        <f t="shared" si="171"/>
        <v>2.9</v>
      </c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41"/>
      <c r="Q323" s="34"/>
      <c r="R323" s="55">
        <f t="shared" si="172"/>
        <v>5.7</v>
      </c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41"/>
      <c r="AE323" s="34"/>
      <c r="AF323" s="55">
        <f t="shared" si="173"/>
        <v>-0.3</v>
      </c>
      <c r="AG323" s="3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"/>
      <c r="BE323" s="3"/>
      <c r="BF323" s="3"/>
      <c r="BH323" s="16">
        <v>6.72</v>
      </c>
      <c r="BI323" s="16">
        <f t="shared" si="158"/>
        <v>13.574399999999999</v>
      </c>
      <c r="BJ323" s="17"/>
      <c r="BK323" s="17"/>
      <c r="BP323" s="57">
        <f t="shared" si="174"/>
        <v>0.59699999999999998</v>
      </c>
      <c r="BQ323" s="57">
        <f t="shared" si="175"/>
        <v>0.318</v>
      </c>
      <c r="BS323" s="47">
        <f t="shared" si="176"/>
        <v>0</v>
      </c>
      <c r="BT323" s="44">
        <v>0</v>
      </c>
      <c r="BV323" s="16" t="s">
        <v>233</v>
      </c>
      <c r="BW323" s="16" t="s">
        <v>233</v>
      </c>
      <c r="BX323" s="3">
        <f t="shared" si="159"/>
        <v>2.9</v>
      </c>
      <c r="BY323" s="16" t="s">
        <v>233</v>
      </c>
      <c r="BZ323" s="16" t="s">
        <v>233</v>
      </c>
      <c r="CA323" s="16" t="s">
        <v>233</v>
      </c>
      <c r="CB323" s="16" t="s">
        <v>233</v>
      </c>
      <c r="CC323" s="16" t="s">
        <v>233</v>
      </c>
      <c r="CD323" s="16" t="s">
        <v>233</v>
      </c>
      <c r="CE323" s="16" t="s">
        <v>233</v>
      </c>
      <c r="CF323" s="1">
        <f t="shared" si="169"/>
        <v>5.7</v>
      </c>
      <c r="CG323" s="16" t="s">
        <v>233</v>
      </c>
      <c r="CH323" s="16" t="s">
        <v>233</v>
      </c>
      <c r="CI323" s="16" t="s">
        <v>233</v>
      </c>
      <c r="CJ323" s="16" t="s">
        <v>233</v>
      </c>
      <c r="CK323" s="16" t="s">
        <v>233</v>
      </c>
      <c r="CL323" s="16" t="s">
        <v>233</v>
      </c>
      <c r="CM323" s="16" t="s">
        <v>233</v>
      </c>
      <c r="CN323" s="1">
        <f t="shared" si="170"/>
        <v>-0.3</v>
      </c>
      <c r="CO323" s="16" t="s">
        <v>233</v>
      </c>
      <c r="CP323" s="16" t="s">
        <v>233</v>
      </c>
      <c r="CQ323" s="16" t="s">
        <v>233</v>
      </c>
      <c r="CR323" s="16" t="s">
        <v>233</v>
      </c>
      <c r="CS323" s="16" t="s">
        <v>233</v>
      </c>
      <c r="CT323" s="16" t="s">
        <v>233</v>
      </c>
      <c r="CU323" s="18" t="s">
        <v>233</v>
      </c>
      <c r="CV323" s="18" t="s">
        <v>233</v>
      </c>
      <c r="CW323" s="1">
        <f>ROUND(PPTest!K323,1)</f>
        <v>0</v>
      </c>
      <c r="CX323" s="16" t="s">
        <v>233</v>
      </c>
      <c r="CY323" s="16" t="s">
        <v>233</v>
      </c>
      <c r="CZ323" s="20">
        <f t="shared" si="160"/>
        <v>0.59699999999999998</v>
      </c>
      <c r="DA323" s="20">
        <f t="shared" si="161"/>
        <v>0.318</v>
      </c>
      <c r="DB323" s="16" t="s">
        <v>233</v>
      </c>
      <c r="DZ323" s="1">
        <v>2.6</v>
      </c>
      <c r="EA323" s="1">
        <v>6.5</v>
      </c>
      <c r="EB323" s="1">
        <v>0.6</v>
      </c>
      <c r="EC323" s="1">
        <v>0.1</v>
      </c>
    </row>
    <row r="324" spans="1:133" x14ac:dyDescent="0.2">
      <c r="A324" s="40">
        <v>35382</v>
      </c>
      <c r="B324" s="42">
        <v>318</v>
      </c>
      <c r="C324" s="34"/>
      <c r="D324" s="34"/>
      <c r="E324" s="55">
        <f t="shared" si="171"/>
        <v>0.4</v>
      </c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41"/>
      <c r="Q324" s="34"/>
      <c r="R324" s="55">
        <f t="shared" si="172"/>
        <v>1.6</v>
      </c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41"/>
      <c r="AE324" s="34"/>
      <c r="AF324" s="55">
        <f t="shared" si="173"/>
        <v>-2.5</v>
      </c>
      <c r="AG324" s="3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"/>
      <c r="BE324" s="3"/>
      <c r="BF324" s="3"/>
      <c r="BH324" s="16">
        <v>6.59</v>
      </c>
      <c r="BI324" s="16">
        <f t="shared" si="158"/>
        <v>13.3118</v>
      </c>
      <c r="BJ324" s="17"/>
      <c r="BK324" s="17"/>
      <c r="BP324" s="57">
        <f t="shared" si="174"/>
        <v>0.50800000000000001</v>
      </c>
      <c r="BQ324" s="57">
        <f t="shared" si="175"/>
        <v>0.17699999999999999</v>
      </c>
      <c r="BS324" s="47">
        <f t="shared" si="176"/>
        <v>0</v>
      </c>
      <c r="BT324" s="44">
        <v>0</v>
      </c>
      <c r="BV324" s="16" t="s">
        <v>233</v>
      </c>
      <c r="BW324" s="16" t="s">
        <v>233</v>
      </c>
      <c r="BX324" s="3">
        <f t="shared" si="159"/>
        <v>0.4</v>
      </c>
      <c r="BY324" s="16" t="s">
        <v>233</v>
      </c>
      <c r="BZ324" s="16" t="s">
        <v>233</v>
      </c>
      <c r="CA324" s="16" t="s">
        <v>233</v>
      </c>
      <c r="CB324" s="16" t="s">
        <v>233</v>
      </c>
      <c r="CC324" s="16" t="s">
        <v>233</v>
      </c>
      <c r="CD324" s="16" t="s">
        <v>233</v>
      </c>
      <c r="CE324" s="16" t="s">
        <v>233</v>
      </c>
      <c r="CF324" s="1">
        <f t="shared" si="169"/>
        <v>1.6</v>
      </c>
      <c r="CG324" s="16" t="s">
        <v>233</v>
      </c>
      <c r="CH324" s="16" t="s">
        <v>233</v>
      </c>
      <c r="CI324" s="16" t="s">
        <v>233</v>
      </c>
      <c r="CJ324" s="16" t="s">
        <v>233</v>
      </c>
      <c r="CK324" s="16" t="s">
        <v>233</v>
      </c>
      <c r="CL324" s="16" t="s">
        <v>233</v>
      </c>
      <c r="CM324" s="16" t="s">
        <v>233</v>
      </c>
      <c r="CN324" s="1">
        <f t="shared" si="170"/>
        <v>-2.5</v>
      </c>
      <c r="CO324" s="16" t="s">
        <v>233</v>
      </c>
      <c r="CP324" s="16" t="s">
        <v>233</v>
      </c>
      <c r="CQ324" s="16" t="s">
        <v>233</v>
      </c>
      <c r="CR324" s="16" t="s">
        <v>233</v>
      </c>
      <c r="CS324" s="16" t="s">
        <v>233</v>
      </c>
      <c r="CT324" s="16" t="s">
        <v>233</v>
      </c>
      <c r="CU324" s="18" t="s">
        <v>233</v>
      </c>
      <c r="CV324" s="18" t="s">
        <v>233</v>
      </c>
      <c r="CW324" s="1">
        <f>ROUND(PPTest!K324,1)</f>
        <v>0</v>
      </c>
      <c r="CX324" s="16" t="s">
        <v>233</v>
      </c>
      <c r="CY324" s="16" t="s">
        <v>233</v>
      </c>
      <c r="CZ324" s="20">
        <f t="shared" si="160"/>
        <v>0.50800000000000001</v>
      </c>
      <c r="DA324" s="20">
        <f t="shared" si="161"/>
        <v>0.17699999999999999</v>
      </c>
      <c r="DB324" s="16" t="s">
        <v>233</v>
      </c>
      <c r="DZ324" s="1">
        <v>0.5</v>
      </c>
      <c r="EA324" s="1">
        <v>2.2000000000000002</v>
      </c>
      <c r="EB324" s="1">
        <v>-1.4</v>
      </c>
      <c r="EC324" s="1">
        <v>7.2</v>
      </c>
    </row>
    <row r="325" spans="1:133" x14ac:dyDescent="0.2">
      <c r="A325" s="40">
        <v>35383</v>
      </c>
      <c r="B325" s="42">
        <v>319</v>
      </c>
      <c r="C325" s="34">
        <v>1.2050000000000001</v>
      </c>
      <c r="D325" s="34">
        <v>2.504</v>
      </c>
      <c r="E325" s="34">
        <v>-2.758</v>
      </c>
      <c r="F325" s="34">
        <v>105.7</v>
      </c>
      <c r="G325" s="34">
        <v>-3.2429999999999999</v>
      </c>
      <c r="H325" s="34">
        <v>-3.246</v>
      </c>
      <c r="I325" s="34">
        <v>0.113</v>
      </c>
      <c r="J325" s="34">
        <v>-2.8410000000000002</v>
      </c>
      <c r="K325" s="34">
        <v>-2.6890000000000001</v>
      </c>
      <c r="L325" s="34">
        <v>0.74</v>
      </c>
      <c r="M325" s="34">
        <v>1.327</v>
      </c>
      <c r="N325" s="34">
        <v>2.069</v>
      </c>
      <c r="O325" s="34">
        <v>0</v>
      </c>
      <c r="P325" s="34">
        <v>1.9575</v>
      </c>
      <c r="Q325" s="34"/>
      <c r="R325" s="34">
        <v>-1.577</v>
      </c>
      <c r="S325" s="34">
        <v>7</v>
      </c>
      <c r="T325" s="34">
        <v>106.7</v>
      </c>
      <c r="U325" s="34">
        <v>2</v>
      </c>
      <c r="V325" s="34">
        <v>-2.0019999999999998</v>
      </c>
      <c r="W325" s="34">
        <v>-1.99</v>
      </c>
      <c r="X325" s="34">
        <v>0.20200000000000001</v>
      </c>
      <c r="Y325" s="34">
        <v>-1.1930000000000001</v>
      </c>
      <c r="Z325" s="34">
        <v>-0.69799999999999995</v>
      </c>
      <c r="AA325" s="34">
        <v>0.76900000000000002</v>
      </c>
      <c r="AB325" s="34">
        <v>1.3580000000000001</v>
      </c>
      <c r="AC325" s="34">
        <v>2.11</v>
      </c>
      <c r="AD325" s="34">
        <v>3.4075000000000002</v>
      </c>
      <c r="AE325" s="34">
        <v>550</v>
      </c>
      <c r="AF325" s="34">
        <v>-4.0380000000000003</v>
      </c>
      <c r="AG325" s="34">
        <v>0</v>
      </c>
      <c r="AH325" s="34">
        <v>104.6</v>
      </c>
      <c r="AI325" s="34">
        <v>1244</v>
      </c>
      <c r="AJ325" s="34">
        <v>-4.5030000000000001</v>
      </c>
      <c r="AK325" s="34">
        <v>-4.492</v>
      </c>
      <c r="AL325" s="34">
        <v>7.2999999999999995E-2</v>
      </c>
      <c r="AM325" s="34">
        <v>-4.2709999999999999</v>
      </c>
      <c r="AN325" s="34">
        <v>-4.2949999999999999</v>
      </c>
      <c r="AO325" s="34">
        <v>0.70799999999999996</v>
      </c>
      <c r="AP325" s="34">
        <v>1.3</v>
      </c>
      <c r="AQ325" s="34">
        <v>2.0310000000000001</v>
      </c>
      <c r="AR325" s="34">
        <v>0</v>
      </c>
      <c r="AS325" s="34">
        <v>0</v>
      </c>
      <c r="AT325" s="34">
        <v>0</v>
      </c>
      <c r="AU325" s="34">
        <v>1E-3</v>
      </c>
      <c r="AV325" s="34">
        <v>0.17299999999999999</v>
      </c>
      <c r="AW325" s="34">
        <v>0.70599999999999996</v>
      </c>
      <c r="AX325" s="34">
        <v>0.11799999999999999</v>
      </c>
      <c r="AY325" s="34">
        <v>1E-3</v>
      </c>
      <c r="AZ325" s="34">
        <v>-2.9049999999999998</v>
      </c>
      <c r="BA325" s="34"/>
      <c r="BB325" s="34">
        <v>12.88</v>
      </c>
      <c r="BC325" s="34">
        <v>2876</v>
      </c>
      <c r="BD325" s="3"/>
      <c r="BE325" s="3"/>
      <c r="BF325" s="3"/>
      <c r="BH325" s="16">
        <v>6.47</v>
      </c>
      <c r="BI325" s="16">
        <f t="shared" si="158"/>
        <v>13.0694</v>
      </c>
      <c r="BJ325" s="17">
        <f t="shared" ref="BJ325:BJ372" si="177">ROUND(C325*BJ$2,2)</f>
        <v>1.21</v>
      </c>
      <c r="BK325" s="17">
        <f t="shared" ref="BK325:BK372" si="178">ROUND(D325*BK$2,2)</f>
        <v>2.63</v>
      </c>
      <c r="BM325" s="1">
        <f t="shared" ref="BM325:BM372" si="179">ROUND(T325*BM$3+BM$4,1)</f>
        <v>99.6</v>
      </c>
      <c r="BN325" s="1">
        <f t="shared" ref="BN325:BN372" si="180">ROUND(F325*BM$3+BM$4,1)</f>
        <v>98.7</v>
      </c>
      <c r="BO325" s="1">
        <f t="shared" ref="BO325:BO372" si="181">ROUND(AH325*BM$3+BM$4,1)</f>
        <v>97.7</v>
      </c>
      <c r="BP325" s="56">
        <f t="shared" ref="BP325:BP372" si="182">ROUND(0.6105*(EXP((17.273*R325)/(R325+237.3)))*BO325/100, 3)</f>
        <v>0.53100000000000003</v>
      </c>
      <c r="BQ325" s="56">
        <f t="shared" ref="BQ325:BQ372" si="183">ROUND((100-BO325)*BP325/BO325,3)</f>
        <v>1.2999999999999999E-2</v>
      </c>
      <c r="BS325" s="47">
        <f t="shared" si="176"/>
        <v>0</v>
      </c>
      <c r="BT325" s="44">
        <v>0</v>
      </c>
      <c r="BV325" s="16">
        <f t="shared" ref="BV325:BV327" si="184">BJ325</f>
        <v>1.21</v>
      </c>
      <c r="BW325" s="16">
        <f t="shared" ref="BW325:BW327" si="185">BK325</f>
        <v>2.63</v>
      </c>
      <c r="BX325" s="3">
        <f t="shared" si="159"/>
        <v>-2.8</v>
      </c>
      <c r="BY325" s="3">
        <f t="shared" ref="BY325:CA327" si="186">ROUND(G325,1)</f>
        <v>-3.2</v>
      </c>
      <c r="BZ325" s="3">
        <f t="shared" si="186"/>
        <v>-3.2</v>
      </c>
      <c r="CA325" s="3">
        <f t="shared" si="186"/>
        <v>0.1</v>
      </c>
      <c r="CB325" s="3">
        <f t="shared" ref="CB325:CD327" si="187">ROUND(L325,1)</f>
        <v>0.7</v>
      </c>
      <c r="CC325" s="3">
        <f t="shared" si="187"/>
        <v>1.3</v>
      </c>
      <c r="CD325" s="3">
        <f t="shared" si="187"/>
        <v>2.1</v>
      </c>
      <c r="CE325" s="23">
        <f>ROUND(BN325,1)</f>
        <v>98.7</v>
      </c>
      <c r="CF325" s="1">
        <f>ROUND(R325,1)</f>
        <v>-1.6</v>
      </c>
      <c r="CG325" s="1">
        <f t="shared" ref="CG325:CI327" si="188">ROUND(V325,1)</f>
        <v>-2</v>
      </c>
      <c r="CH325" s="1">
        <f t="shared" si="188"/>
        <v>-2</v>
      </c>
      <c r="CI325" s="1">
        <f t="shared" si="188"/>
        <v>0.2</v>
      </c>
      <c r="CJ325" s="1">
        <f t="shared" ref="CJ325:CL327" si="189">ROUND(AA325,1)</f>
        <v>0.8</v>
      </c>
      <c r="CK325" s="1">
        <f t="shared" si="189"/>
        <v>1.4</v>
      </c>
      <c r="CL325" s="1">
        <f t="shared" si="189"/>
        <v>2.1</v>
      </c>
      <c r="CM325" s="2">
        <f>ROUND(BM325,1)</f>
        <v>99.6</v>
      </c>
      <c r="CN325" s="1">
        <f>ROUND(AF325,1)</f>
        <v>-4</v>
      </c>
      <c r="CO325" s="1">
        <f t="shared" ref="CO325:CQ327" si="190">ROUND(AJ325,1)</f>
        <v>-4.5</v>
      </c>
      <c r="CP325" s="1">
        <f t="shared" si="190"/>
        <v>-4.5</v>
      </c>
      <c r="CQ325" s="1">
        <f t="shared" si="190"/>
        <v>0.1</v>
      </c>
      <c r="CR325" s="1">
        <f t="shared" ref="CR325:CT327" si="191">ROUND(AO325,1)</f>
        <v>0.7</v>
      </c>
      <c r="CS325" s="1">
        <f t="shared" si="191"/>
        <v>1.3</v>
      </c>
      <c r="CT325" s="1">
        <f t="shared" si="191"/>
        <v>2</v>
      </c>
      <c r="CU325" s="2">
        <f>ROUND(BO325,1)</f>
        <v>97.7</v>
      </c>
      <c r="CV325" s="18" t="s">
        <v>233</v>
      </c>
      <c r="CW325" s="1">
        <f>ROUND(PPTest!K325,1)</f>
        <v>0</v>
      </c>
      <c r="CX325" s="17">
        <f>ROUND(P325,2)</f>
        <v>1.96</v>
      </c>
      <c r="CY325" s="17">
        <f>ROUND(AD325,2)</f>
        <v>3.41</v>
      </c>
      <c r="CZ325" s="20">
        <f t="shared" si="160"/>
        <v>0.53100000000000003</v>
      </c>
      <c r="DA325" s="20">
        <f t="shared" si="161"/>
        <v>1.2999999999999999E-2</v>
      </c>
      <c r="DB325" s="16">
        <f>BB325</f>
        <v>12.88</v>
      </c>
      <c r="DZ325" s="1">
        <v>-2.4</v>
      </c>
      <c r="EA325" s="1">
        <v>-1.2</v>
      </c>
      <c r="EB325" s="1">
        <v>-4.4000000000000004</v>
      </c>
      <c r="EC325" s="1">
        <v>2.2000000000000002</v>
      </c>
    </row>
    <row r="326" spans="1:133" x14ac:dyDescent="0.2">
      <c r="A326" s="40">
        <v>35384</v>
      </c>
      <c r="B326" s="42">
        <v>320</v>
      </c>
      <c r="C326" s="34">
        <v>0.77300000000000002</v>
      </c>
      <c r="D326" s="34">
        <v>1.8660000000000001</v>
      </c>
      <c r="E326" s="34">
        <v>-6.5519999999999996</v>
      </c>
      <c r="F326" s="34">
        <v>102.8</v>
      </c>
      <c r="G326" s="34">
        <v>-7</v>
      </c>
      <c r="H326" s="34">
        <v>-7.01</v>
      </c>
      <c r="I326" s="34">
        <v>0.106</v>
      </c>
      <c r="J326" s="34">
        <v>-6.7779999999999996</v>
      </c>
      <c r="K326" s="34">
        <v>-6.72</v>
      </c>
      <c r="L326" s="34">
        <v>0.72899999999999998</v>
      </c>
      <c r="M326" s="34">
        <v>1.327</v>
      </c>
      <c r="N326" s="34">
        <v>2.044</v>
      </c>
      <c r="O326" s="34">
        <v>0</v>
      </c>
      <c r="P326" s="34">
        <v>1.4256666666666666</v>
      </c>
      <c r="Q326" s="34"/>
      <c r="R326" s="34">
        <v>-4.0430000000000001</v>
      </c>
      <c r="S326" s="34">
        <v>2</v>
      </c>
      <c r="T326" s="34">
        <v>105</v>
      </c>
      <c r="U326" s="34">
        <v>9</v>
      </c>
      <c r="V326" s="34">
        <v>-4.468</v>
      </c>
      <c r="W326" s="34">
        <v>-4.4489999999999998</v>
      </c>
      <c r="X326" s="34">
        <v>0.13300000000000001</v>
      </c>
      <c r="Y326" s="34">
        <v>-4.2709999999999999</v>
      </c>
      <c r="Z326" s="34">
        <v>-4.2939999999999996</v>
      </c>
      <c r="AA326" s="34">
        <v>0.76700000000000002</v>
      </c>
      <c r="AB326" s="34">
        <v>1.371</v>
      </c>
      <c r="AC326" s="34">
        <v>2.0790000000000002</v>
      </c>
      <c r="AD326" s="34">
        <v>3.3008333333333337</v>
      </c>
      <c r="AE326" s="34">
        <v>1005</v>
      </c>
      <c r="AF326" s="34">
        <v>-10.49</v>
      </c>
      <c r="AG326" s="34">
        <v>2357</v>
      </c>
      <c r="AH326" s="34">
        <v>99.8</v>
      </c>
      <c r="AI326" s="34">
        <v>2208</v>
      </c>
      <c r="AJ326" s="34">
        <v>-10.85</v>
      </c>
      <c r="AK326" s="34">
        <v>-10.91</v>
      </c>
      <c r="AL326" s="34">
        <v>7.9000000000000001E-2</v>
      </c>
      <c r="AM326" s="34">
        <v>-10.76</v>
      </c>
      <c r="AN326" s="34">
        <v>-10.8</v>
      </c>
      <c r="AO326" s="34">
        <v>0.70599999999999996</v>
      </c>
      <c r="AP326" s="34">
        <v>1.3009999999999999</v>
      </c>
      <c r="AQ326" s="34">
        <v>2.0190000000000001</v>
      </c>
      <c r="AR326" s="34">
        <v>0</v>
      </c>
      <c r="AS326" s="34">
        <v>0</v>
      </c>
      <c r="AT326" s="34">
        <v>0</v>
      </c>
      <c r="AU326" s="34">
        <v>8.0000000000000002E-3</v>
      </c>
      <c r="AV326" s="34">
        <v>0.13300000000000001</v>
      </c>
      <c r="AW326" s="34">
        <v>0.72299999999999998</v>
      </c>
      <c r="AX326" s="34">
        <v>0.129</v>
      </c>
      <c r="AY326" s="34">
        <v>7.0000000000000001E-3</v>
      </c>
      <c r="AZ326" s="34">
        <v>-6.484</v>
      </c>
      <c r="BA326" s="34"/>
      <c r="BB326" s="34">
        <v>12.79</v>
      </c>
      <c r="BC326" s="34">
        <v>2876</v>
      </c>
      <c r="BD326" s="3"/>
      <c r="BE326" s="3"/>
      <c r="BF326" s="3"/>
      <c r="BH326" s="16">
        <v>6.35</v>
      </c>
      <c r="BI326" s="16">
        <f t="shared" si="158"/>
        <v>12.827</v>
      </c>
      <c r="BJ326" s="17">
        <f t="shared" si="177"/>
        <v>0.77</v>
      </c>
      <c r="BK326" s="17">
        <f t="shared" si="178"/>
        <v>1.96</v>
      </c>
      <c r="BM326" s="1">
        <f t="shared" si="179"/>
        <v>98</v>
      </c>
      <c r="BN326" s="1">
        <f t="shared" si="180"/>
        <v>96</v>
      </c>
      <c r="BO326" s="1">
        <f t="shared" si="181"/>
        <v>93.2</v>
      </c>
      <c r="BP326" s="56">
        <f t="shared" si="182"/>
        <v>0.42199999999999999</v>
      </c>
      <c r="BQ326" s="56">
        <f t="shared" si="183"/>
        <v>3.1E-2</v>
      </c>
      <c r="BS326" s="47">
        <f t="shared" si="176"/>
        <v>0</v>
      </c>
      <c r="BT326" s="44">
        <v>0</v>
      </c>
      <c r="BV326" s="16">
        <f t="shared" si="184"/>
        <v>0.77</v>
      </c>
      <c r="BW326" s="16">
        <f t="shared" si="185"/>
        <v>1.96</v>
      </c>
      <c r="BX326" s="3">
        <f t="shared" si="159"/>
        <v>-6.6</v>
      </c>
      <c r="BY326" s="3">
        <f t="shared" si="186"/>
        <v>-7</v>
      </c>
      <c r="BZ326" s="3">
        <f t="shared" si="186"/>
        <v>-7</v>
      </c>
      <c r="CA326" s="3">
        <f t="shared" si="186"/>
        <v>0.1</v>
      </c>
      <c r="CB326" s="3">
        <f t="shared" si="187"/>
        <v>0.7</v>
      </c>
      <c r="CC326" s="3">
        <f t="shared" si="187"/>
        <v>1.3</v>
      </c>
      <c r="CD326" s="3">
        <f t="shared" si="187"/>
        <v>2</v>
      </c>
      <c r="CE326" s="23">
        <f>ROUND(BN326,1)</f>
        <v>96</v>
      </c>
      <c r="CF326" s="1">
        <f>ROUND(R326,1)</f>
        <v>-4</v>
      </c>
      <c r="CG326" s="1">
        <f t="shared" si="188"/>
        <v>-4.5</v>
      </c>
      <c r="CH326" s="1">
        <f t="shared" si="188"/>
        <v>-4.4000000000000004</v>
      </c>
      <c r="CI326" s="1">
        <f t="shared" si="188"/>
        <v>0.1</v>
      </c>
      <c r="CJ326" s="1">
        <f t="shared" si="189"/>
        <v>0.8</v>
      </c>
      <c r="CK326" s="1">
        <f t="shared" si="189"/>
        <v>1.4</v>
      </c>
      <c r="CL326" s="1">
        <f t="shared" si="189"/>
        <v>2.1</v>
      </c>
      <c r="CM326" s="2">
        <f>ROUND(BM326,1)</f>
        <v>98</v>
      </c>
      <c r="CN326" s="1">
        <f>ROUND(AF326,1)</f>
        <v>-10.5</v>
      </c>
      <c r="CO326" s="1">
        <f t="shared" si="190"/>
        <v>-10.9</v>
      </c>
      <c r="CP326" s="1">
        <f t="shared" si="190"/>
        <v>-10.9</v>
      </c>
      <c r="CQ326" s="1">
        <f t="shared" si="190"/>
        <v>0.1</v>
      </c>
      <c r="CR326" s="1">
        <f t="shared" si="191"/>
        <v>0.7</v>
      </c>
      <c r="CS326" s="1">
        <f t="shared" si="191"/>
        <v>1.3</v>
      </c>
      <c r="CT326" s="1">
        <f t="shared" si="191"/>
        <v>2</v>
      </c>
      <c r="CU326" s="2">
        <f>ROUND(BO326,1)</f>
        <v>93.2</v>
      </c>
      <c r="CV326" s="18" t="s">
        <v>233</v>
      </c>
      <c r="CW326" s="1">
        <f>ROUND(PPTest!K326,1)</f>
        <v>0</v>
      </c>
      <c r="CX326" s="17">
        <f>ROUND(P326,2)</f>
        <v>1.43</v>
      </c>
      <c r="CY326" s="17">
        <f>ROUND(AD326,2)</f>
        <v>3.3</v>
      </c>
      <c r="CZ326" s="20">
        <f t="shared" si="160"/>
        <v>0.42199999999999999</v>
      </c>
      <c r="DA326" s="20">
        <f t="shared" si="161"/>
        <v>3.1E-2</v>
      </c>
      <c r="DB326" s="16">
        <f>BB326</f>
        <v>12.79</v>
      </c>
      <c r="DZ326" s="1">
        <v>-6.7</v>
      </c>
      <c r="EA326" s="1">
        <v>-4</v>
      </c>
      <c r="EB326" s="1">
        <v>-10.4</v>
      </c>
      <c r="EC326" s="1">
        <v>1.3</v>
      </c>
    </row>
    <row r="327" spans="1:133" x14ac:dyDescent="0.2">
      <c r="A327" s="40">
        <v>35385</v>
      </c>
      <c r="B327" s="42">
        <v>321</v>
      </c>
      <c r="C327" s="34">
        <v>1.4179999999999999</v>
      </c>
      <c r="D327" s="34">
        <v>2.387</v>
      </c>
      <c r="E327" s="34">
        <v>-7.58</v>
      </c>
      <c r="F327" s="34">
        <v>98.4</v>
      </c>
      <c r="G327" s="34">
        <v>-7.84</v>
      </c>
      <c r="H327" s="34">
        <v>-8.17</v>
      </c>
      <c r="I327" s="34">
        <v>-5.3999999999999999E-2</v>
      </c>
      <c r="J327" s="34">
        <v>-8.11</v>
      </c>
      <c r="K327" s="34">
        <v>-7.95</v>
      </c>
      <c r="L327" s="34">
        <v>0.72</v>
      </c>
      <c r="M327" s="34">
        <v>1.327</v>
      </c>
      <c r="N327" s="34">
        <v>2.0219999999999998</v>
      </c>
      <c r="O327" s="34">
        <v>0</v>
      </c>
      <c r="P327" s="34">
        <v>1.5658333333333334</v>
      </c>
      <c r="Q327" s="34"/>
      <c r="R327" s="34">
        <v>-4.9779999999999998</v>
      </c>
      <c r="S327" s="34">
        <v>1405</v>
      </c>
      <c r="T327" s="34">
        <v>102.7</v>
      </c>
      <c r="U327" s="34">
        <v>2354</v>
      </c>
      <c r="V327" s="34">
        <v>-4.734</v>
      </c>
      <c r="W327" s="34">
        <v>-5.4119999999999999</v>
      </c>
      <c r="X327" s="34">
        <v>0.109</v>
      </c>
      <c r="Y327" s="34">
        <v>-5.3719999999999999</v>
      </c>
      <c r="Z327" s="34">
        <v>-4.9690000000000003</v>
      </c>
      <c r="AA327" s="34">
        <v>0.77100000000000002</v>
      </c>
      <c r="AB327" s="34">
        <v>1.375</v>
      </c>
      <c r="AC327" s="34">
        <v>2.0720000000000001</v>
      </c>
      <c r="AD327" s="34">
        <v>4.5674999999999999</v>
      </c>
      <c r="AE327" s="34">
        <v>1725</v>
      </c>
      <c r="AF327" s="34">
        <v>-10.97</v>
      </c>
      <c r="AG327" s="34">
        <v>427</v>
      </c>
      <c r="AH327" s="34">
        <v>85.4</v>
      </c>
      <c r="AI327" s="34">
        <v>1046</v>
      </c>
      <c r="AJ327" s="34">
        <v>-11.35</v>
      </c>
      <c r="AK327" s="34">
        <v>-11.97</v>
      </c>
      <c r="AL327" s="34">
        <v>-0.246</v>
      </c>
      <c r="AM327" s="34">
        <v>-11.27</v>
      </c>
      <c r="AN327" s="34">
        <v>-11.2</v>
      </c>
      <c r="AO327" s="34">
        <v>0.67200000000000004</v>
      </c>
      <c r="AP327" s="34">
        <v>1.27</v>
      </c>
      <c r="AQ327" s="34">
        <v>1.956</v>
      </c>
      <c r="AR327" s="34">
        <v>0.21199999999999999</v>
      </c>
      <c r="AS327" s="34">
        <v>0.45600000000000002</v>
      </c>
      <c r="AT327" s="34">
        <v>0.17799999999999999</v>
      </c>
      <c r="AU327" s="34">
        <v>4.8000000000000001E-2</v>
      </c>
      <c r="AV327" s="34">
        <v>0.04</v>
      </c>
      <c r="AW327" s="34">
        <v>5.2999999999999999E-2</v>
      </c>
      <c r="AX327" s="34">
        <v>5.0000000000000001E-3</v>
      </c>
      <c r="AY327" s="34">
        <v>8.0000000000000002E-3</v>
      </c>
      <c r="AZ327" s="34">
        <v>-8.19</v>
      </c>
      <c r="BA327" s="34"/>
      <c r="BB327" s="34">
        <v>13</v>
      </c>
      <c r="BC327" s="34">
        <v>2876</v>
      </c>
      <c r="BD327" s="3"/>
      <c r="BE327" s="3"/>
      <c r="BF327" s="3"/>
      <c r="BH327" s="16">
        <v>6.24</v>
      </c>
      <c r="BI327" s="16">
        <f t="shared" ref="BI327:BI372" si="192">BH327*$BI$1</f>
        <v>12.604800000000001</v>
      </c>
      <c r="BJ327" s="17">
        <f t="shared" si="177"/>
        <v>1.42</v>
      </c>
      <c r="BK327" s="17">
        <f t="shared" si="178"/>
        <v>2.5</v>
      </c>
      <c r="BM327" s="1">
        <f t="shared" si="179"/>
        <v>95.9</v>
      </c>
      <c r="BN327" s="1">
        <f t="shared" si="180"/>
        <v>91.9</v>
      </c>
      <c r="BO327" s="1">
        <f t="shared" si="181"/>
        <v>79.900000000000006</v>
      </c>
      <c r="BP327" s="56">
        <f t="shared" si="182"/>
        <v>0.33700000000000002</v>
      </c>
      <c r="BQ327" s="56">
        <f t="shared" si="183"/>
        <v>8.5000000000000006E-2</v>
      </c>
      <c r="BS327" s="47">
        <f t="shared" si="176"/>
        <v>0</v>
      </c>
      <c r="BT327" s="44">
        <v>0</v>
      </c>
      <c r="BV327" s="16">
        <f t="shared" si="184"/>
        <v>1.42</v>
      </c>
      <c r="BW327" s="16">
        <f t="shared" si="185"/>
        <v>2.5</v>
      </c>
      <c r="BX327" s="3">
        <f t="shared" si="159"/>
        <v>-7.6</v>
      </c>
      <c r="BY327" s="3">
        <f t="shared" si="186"/>
        <v>-7.8</v>
      </c>
      <c r="BZ327" s="3">
        <f t="shared" si="186"/>
        <v>-8.1999999999999993</v>
      </c>
      <c r="CA327" s="3">
        <f t="shared" si="186"/>
        <v>-0.1</v>
      </c>
      <c r="CB327" s="3">
        <f t="shared" si="187"/>
        <v>0.7</v>
      </c>
      <c r="CC327" s="3">
        <f t="shared" si="187"/>
        <v>1.3</v>
      </c>
      <c r="CD327" s="3">
        <f t="shared" si="187"/>
        <v>2</v>
      </c>
      <c r="CE327" s="23">
        <f>ROUND(BN327,1)</f>
        <v>91.9</v>
      </c>
      <c r="CF327" s="1">
        <f>ROUND(R327,1)</f>
        <v>-5</v>
      </c>
      <c r="CG327" s="1">
        <f t="shared" si="188"/>
        <v>-4.7</v>
      </c>
      <c r="CH327" s="1">
        <f t="shared" si="188"/>
        <v>-5.4</v>
      </c>
      <c r="CI327" s="1">
        <f t="shared" si="188"/>
        <v>0.1</v>
      </c>
      <c r="CJ327" s="1">
        <f t="shared" si="189"/>
        <v>0.8</v>
      </c>
      <c r="CK327" s="1">
        <f t="shared" si="189"/>
        <v>1.4</v>
      </c>
      <c r="CL327" s="1">
        <f t="shared" si="189"/>
        <v>2.1</v>
      </c>
      <c r="CM327" s="2">
        <f>ROUND(BM327,1)</f>
        <v>95.9</v>
      </c>
      <c r="CN327" s="1">
        <f>ROUND(AF327,1)</f>
        <v>-11</v>
      </c>
      <c r="CO327" s="1">
        <f t="shared" si="190"/>
        <v>-11.4</v>
      </c>
      <c r="CP327" s="1">
        <f t="shared" si="190"/>
        <v>-12</v>
      </c>
      <c r="CQ327" s="1">
        <f t="shared" si="190"/>
        <v>-0.2</v>
      </c>
      <c r="CR327" s="1">
        <f t="shared" si="191"/>
        <v>0.7</v>
      </c>
      <c r="CS327" s="1">
        <f t="shared" si="191"/>
        <v>1.3</v>
      </c>
      <c r="CT327" s="1">
        <f t="shared" si="191"/>
        <v>2</v>
      </c>
      <c r="CU327" s="2">
        <f>ROUND(BO327,1)</f>
        <v>79.900000000000006</v>
      </c>
      <c r="CV327" s="18" t="s">
        <v>233</v>
      </c>
      <c r="CW327" s="1">
        <f>ROUND(PPTest!K327,1)</f>
        <v>0</v>
      </c>
      <c r="CX327" s="17">
        <f>ROUND(P327,2)</f>
        <v>1.57</v>
      </c>
      <c r="CY327" s="17">
        <f>ROUND(AD327,2)</f>
        <v>4.57</v>
      </c>
      <c r="CZ327" s="20">
        <f t="shared" si="160"/>
        <v>0.33700000000000002</v>
      </c>
      <c r="DA327" s="20">
        <f t="shared" si="161"/>
        <v>8.5000000000000006E-2</v>
      </c>
      <c r="DB327" s="16">
        <f>BB327</f>
        <v>13</v>
      </c>
      <c r="DZ327" s="1">
        <v>-7</v>
      </c>
      <c r="EA327" s="1">
        <v>-3.7</v>
      </c>
      <c r="EB327" s="1">
        <v>-11</v>
      </c>
      <c r="EC327" s="1">
        <v>3.4</v>
      </c>
    </row>
    <row r="328" spans="1:133" x14ac:dyDescent="0.2">
      <c r="A328" s="40">
        <v>35386</v>
      </c>
      <c r="B328" s="42">
        <v>322</v>
      </c>
      <c r="C328" s="34">
        <v>0.51600000000000001</v>
      </c>
      <c r="D328" s="34">
        <v>1.113</v>
      </c>
      <c r="E328" s="34">
        <v>-7.33</v>
      </c>
      <c r="F328" s="34">
        <v>101.6</v>
      </c>
      <c r="G328" s="34">
        <v>-7.72</v>
      </c>
      <c r="H328" s="34">
        <v>-8.09</v>
      </c>
      <c r="I328" s="34">
        <v>3.3000000000000002E-2</v>
      </c>
      <c r="J328" s="34">
        <v>-8.02</v>
      </c>
      <c r="K328" s="34">
        <v>-7.81</v>
      </c>
      <c r="L328" s="34">
        <v>0.70599999999999996</v>
      </c>
      <c r="M328" s="34">
        <v>1.321</v>
      </c>
      <c r="N328" s="34">
        <v>2.0139999999999998</v>
      </c>
      <c r="O328" s="34">
        <v>0</v>
      </c>
      <c r="P328" s="34">
        <v>1.1363333333333334</v>
      </c>
      <c r="Q328" s="34"/>
      <c r="R328" s="34">
        <v>-4.0720000000000001</v>
      </c>
      <c r="S328" s="34">
        <v>1314</v>
      </c>
      <c r="T328" s="34">
        <v>103.3</v>
      </c>
      <c r="U328" s="34">
        <v>1407</v>
      </c>
      <c r="V328" s="34">
        <v>-3.4390000000000001</v>
      </c>
      <c r="W328" s="34">
        <v>-3.8490000000000002</v>
      </c>
      <c r="X328" s="34">
        <v>0.125</v>
      </c>
      <c r="Y328" s="34">
        <v>-4.8570000000000002</v>
      </c>
      <c r="Z328" s="34">
        <v>-4.625</v>
      </c>
      <c r="AA328" s="34">
        <v>0.76</v>
      </c>
      <c r="AB328" s="34">
        <v>1.3819999999999999</v>
      </c>
      <c r="AC328" s="34">
        <v>2.077</v>
      </c>
      <c r="AD328" s="34">
        <v>5.6608333333333336</v>
      </c>
      <c r="AE328" s="34">
        <v>1459</v>
      </c>
      <c r="AF328" s="34">
        <v>-11.44</v>
      </c>
      <c r="AG328" s="34">
        <v>0</v>
      </c>
      <c r="AH328" s="34">
        <v>99</v>
      </c>
      <c r="AI328" s="34">
        <v>2358</v>
      </c>
      <c r="AJ328" s="34">
        <v>-12.35</v>
      </c>
      <c r="AK328" s="34">
        <v>-14.24</v>
      </c>
      <c r="AL328" s="34">
        <v>-5.7000000000000002E-2</v>
      </c>
      <c r="AM328" s="34">
        <v>-12.69</v>
      </c>
      <c r="AN328" s="34">
        <v>-12</v>
      </c>
      <c r="AO328" s="34">
        <v>0.65800000000000003</v>
      </c>
      <c r="AP328" s="34">
        <v>1.258</v>
      </c>
      <c r="AQ328" s="34">
        <v>1.948</v>
      </c>
      <c r="AR328" s="34">
        <v>0.23699999999999999</v>
      </c>
      <c r="AS328" s="34">
        <v>0.30299999999999999</v>
      </c>
      <c r="AT328" s="34">
        <v>0.20799999999999999</v>
      </c>
      <c r="AU328" s="34">
        <v>5.6000000000000001E-2</v>
      </c>
      <c r="AV328" s="34">
        <v>0.05</v>
      </c>
      <c r="AW328" s="34">
        <v>9.1999999999999998E-2</v>
      </c>
      <c r="AX328" s="34">
        <v>2.5000000000000001E-2</v>
      </c>
      <c r="AY328" s="34">
        <v>0.03</v>
      </c>
      <c r="AZ328" s="34">
        <v>-7.93</v>
      </c>
      <c r="BA328" s="34"/>
      <c r="BB328" s="34">
        <v>12.84</v>
      </c>
      <c r="BC328" s="34">
        <v>2876</v>
      </c>
      <c r="BD328" s="3"/>
      <c r="BE328" s="3"/>
      <c r="BF328" s="3"/>
      <c r="BH328" s="16">
        <v>6.13</v>
      </c>
      <c r="BI328" s="16">
        <f t="shared" si="192"/>
        <v>12.3826</v>
      </c>
      <c r="BJ328" s="17">
        <f t="shared" si="177"/>
        <v>0.52</v>
      </c>
      <c r="BK328" s="17">
        <f t="shared" si="178"/>
        <v>1.17</v>
      </c>
      <c r="BM328" s="1">
        <f t="shared" si="179"/>
        <v>96.4</v>
      </c>
      <c r="BN328" s="1">
        <f t="shared" si="180"/>
        <v>94.9</v>
      </c>
      <c r="BO328" s="1">
        <f t="shared" si="181"/>
        <v>92.5</v>
      </c>
      <c r="BP328" s="56">
        <f t="shared" si="182"/>
        <v>0.41799999999999998</v>
      </c>
      <c r="BQ328" s="56">
        <f t="shared" si="183"/>
        <v>3.4000000000000002E-2</v>
      </c>
      <c r="BS328" s="47">
        <f t="shared" si="176"/>
        <v>33</v>
      </c>
      <c r="BT328" s="44">
        <v>22</v>
      </c>
      <c r="BV328" s="16">
        <f t="shared" ref="BV328:BV372" si="193">BJ328</f>
        <v>0.52</v>
      </c>
      <c r="BW328" s="16">
        <f t="shared" ref="BW328:BW372" si="194">BK328</f>
        <v>1.17</v>
      </c>
      <c r="BX328" s="3">
        <f t="shared" ref="BX328:BX372" si="195">ROUND(E328,1)</f>
        <v>-7.3</v>
      </c>
      <c r="BY328" s="3">
        <f t="shared" ref="BY328:BY372" si="196">ROUND(G328,1)</f>
        <v>-7.7</v>
      </c>
      <c r="BZ328" s="3">
        <f t="shared" ref="BZ328:BZ372" si="197">ROUND(H328,1)</f>
        <v>-8.1</v>
      </c>
      <c r="CA328" s="3">
        <f t="shared" ref="CA328:CA372" si="198">ROUND(I328,1)</f>
        <v>0</v>
      </c>
      <c r="CB328" s="3">
        <f t="shared" ref="CB328:CB372" si="199">ROUND(L328,1)</f>
        <v>0.7</v>
      </c>
      <c r="CC328" s="3">
        <f t="shared" ref="CC328:CC372" si="200">ROUND(M328,1)</f>
        <v>1.3</v>
      </c>
      <c r="CD328" s="3">
        <f t="shared" ref="CD328:CD372" si="201">ROUND(N328,1)</f>
        <v>2</v>
      </c>
      <c r="CE328" s="23">
        <f t="shared" ref="CE328:CE372" si="202">ROUND(BN328,1)</f>
        <v>94.9</v>
      </c>
      <c r="CF328" s="1">
        <f t="shared" ref="CF328:CF372" si="203">ROUND(R328,1)</f>
        <v>-4.0999999999999996</v>
      </c>
      <c r="CG328" s="1">
        <f t="shared" ref="CG328:CG372" si="204">ROUND(V328,1)</f>
        <v>-3.4</v>
      </c>
      <c r="CH328" s="1">
        <f t="shared" ref="CH328:CH372" si="205">ROUND(W328,1)</f>
        <v>-3.8</v>
      </c>
      <c r="CI328" s="1">
        <f t="shared" ref="CI328:CI372" si="206">ROUND(X328,1)</f>
        <v>0.1</v>
      </c>
      <c r="CJ328" s="1">
        <f t="shared" ref="CJ328:CJ372" si="207">ROUND(AA328,1)</f>
        <v>0.8</v>
      </c>
      <c r="CK328" s="1">
        <f t="shared" ref="CK328:CK372" si="208">ROUND(AB328,1)</f>
        <v>1.4</v>
      </c>
      <c r="CL328" s="1">
        <f t="shared" ref="CL328:CL372" si="209">ROUND(AC328,1)</f>
        <v>2.1</v>
      </c>
      <c r="CM328" s="2">
        <f t="shared" ref="CM328:CM372" si="210">ROUND(BM328,1)</f>
        <v>96.4</v>
      </c>
      <c r="CN328" s="1">
        <f t="shared" ref="CN328:CN372" si="211">ROUND(AF328,1)</f>
        <v>-11.4</v>
      </c>
      <c r="CO328" s="1">
        <f t="shared" ref="CO328:CO372" si="212">ROUND(AJ328,1)</f>
        <v>-12.4</v>
      </c>
      <c r="CP328" s="1">
        <f t="shared" ref="CP328:CP372" si="213">ROUND(AK328,1)</f>
        <v>-14.2</v>
      </c>
      <c r="CQ328" s="1">
        <f t="shared" ref="CQ328:CQ372" si="214">ROUND(AL328,1)</f>
        <v>-0.1</v>
      </c>
      <c r="CR328" s="1">
        <f t="shared" ref="CR328:CR372" si="215">ROUND(AO328,1)</f>
        <v>0.7</v>
      </c>
      <c r="CS328" s="1">
        <f t="shared" ref="CS328:CS372" si="216">ROUND(AP328,1)</f>
        <v>1.3</v>
      </c>
      <c r="CT328" s="1">
        <f t="shared" ref="CT328:CT372" si="217">ROUND(AQ328,1)</f>
        <v>1.9</v>
      </c>
      <c r="CU328" s="2">
        <f t="shared" ref="CU328:CU372" si="218">ROUND(BO328,1)</f>
        <v>92.5</v>
      </c>
      <c r="CV328" s="18" t="s">
        <v>233</v>
      </c>
      <c r="CW328" s="1">
        <f>ROUND(PPTest!K328,1)</f>
        <v>34.700000000000003</v>
      </c>
      <c r="CX328" s="17">
        <f t="shared" ref="CX328:CX372" si="219">ROUND(P328,2)</f>
        <v>1.1399999999999999</v>
      </c>
      <c r="CY328" s="17">
        <f t="shared" ref="CY328:CY372" si="220">ROUND(AD328,2)</f>
        <v>5.66</v>
      </c>
      <c r="CZ328" s="20">
        <f t="shared" ref="CZ328:CZ372" si="221">BP328</f>
        <v>0.41799999999999998</v>
      </c>
      <c r="DA328" s="20">
        <f t="shared" ref="DA328:DA372" si="222">BQ328</f>
        <v>3.4000000000000002E-2</v>
      </c>
      <c r="DB328" s="16">
        <f t="shared" ref="DB328:DB372" si="223">BB328</f>
        <v>12.84</v>
      </c>
      <c r="DZ328" s="1">
        <v>-5.4</v>
      </c>
      <c r="EA328" s="1">
        <v>-3.4</v>
      </c>
      <c r="EB328" s="1">
        <v>-7.9</v>
      </c>
      <c r="EC328" s="1">
        <v>8.5</v>
      </c>
    </row>
    <row r="329" spans="1:133" x14ac:dyDescent="0.2">
      <c r="A329" s="40">
        <v>35387</v>
      </c>
      <c r="B329" s="42">
        <v>323</v>
      </c>
      <c r="C329" s="34">
        <v>1.0860000000000001</v>
      </c>
      <c r="D329" s="34">
        <v>2.0430000000000001</v>
      </c>
      <c r="E329" s="34">
        <v>-12.94</v>
      </c>
      <c r="F329" s="34">
        <v>98</v>
      </c>
      <c r="G329" s="34">
        <v>-13.77</v>
      </c>
      <c r="H329" s="34">
        <v>-14.27</v>
      </c>
      <c r="I329" s="34">
        <v>-6.6000000000000003E-2</v>
      </c>
      <c r="J329" s="34">
        <v>-13.68</v>
      </c>
      <c r="K329" s="34">
        <v>-13.5</v>
      </c>
      <c r="L329" s="34">
        <v>0.72099999999999997</v>
      </c>
      <c r="M329" s="34">
        <v>1.329</v>
      </c>
      <c r="N329" s="34">
        <v>2.0139999999999998</v>
      </c>
      <c r="O329" s="34">
        <v>0</v>
      </c>
      <c r="P329" s="34">
        <v>0.79083333333333328</v>
      </c>
      <c r="Q329" s="34"/>
      <c r="R329" s="34">
        <v>-6.9930000000000003</v>
      </c>
      <c r="S329" s="34">
        <v>1046</v>
      </c>
      <c r="T329" s="34">
        <v>102.6</v>
      </c>
      <c r="U329" s="34">
        <v>1046</v>
      </c>
      <c r="V329" s="34">
        <v>-9.67</v>
      </c>
      <c r="W329" s="34">
        <v>-10.79</v>
      </c>
      <c r="X329" s="34">
        <v>9.4E-2</v>
      </c>
      <c r="Y329" s="34">
        <v>-10.93</v>
      </c>
      <c r="Z329" s="34">
        <v>-10.06</v>
      </c>
      <c r="AA329" s="34">
        <v>0.76300000000000001</v>
      </c>
      <c r="AB329" s="34">
        <v>1.38</v>
      </c>
      <c r="AC329" s="34">
        <v>2.0739999999999998</v>
      </c>
      <c r="AD329" s="34">
        <v>2.4874999999999998</v>
      </c>
      <c r="AE329" s="34">
        <v>228</v>
      </c>
      <c r="AF329" s="34">
        <v>-17.440000000000001</v>
      </c>
      <c r="AG329" s="34">
        <v>2320</v>
      </c>
      <c r="AH329" s="34">
        <v>94.4</v>
      </c>
      <c r="AI329" s="34">
        <v>2334</v>
      </c>
      <c r="AJ329" s="34">
        <v>-18.12</v>
      </c>
      <c r="AK329" s="34">
        <v>-20.04</v>
      </c>
      <c r="AL329" s="34">
        <v>-0.41299999999999998</v>
      </c>
      <c r="AM329" s="34">
        <v>-18.170000000000002</v>
      </c>
      <c r="AN329" s="34">
        <v>-17.96</v>
      </c>
      <c r="AO329" s="34">
        <v>0.64800000000000002</v>
      </c>
      <c r="AP329" s="34">
        <v>1.2470000000000001</v>
      </c>
      <c r="AQ329" s="34">
        <v>1.927</v>
      </c>
      <c r="AR329" s="34">
        <v>3.6999999999999998E-2</v>
      </c>
      <c r="AS329" s="34">
        <v>0.20499999999999999</v>
      </c>
      <c r="AT329" s="34">
        <v>0.188</v>
      </c>
      <c r="AU329" s="34">
        <v>0.03</v>
      </c>
      <c r="AV329" s="34">
        <v>0.186</v>
      </c>
      <c r="AW329" s="34">
        <v>0.33700000000000002</v>
      </c>
      <c r="AX329" s="34">
        <v>1.4999999999999999E-2</v>
      </c>
      <c r="AY329" s="34">
        <v>3.0000000000000001E-3</v>
      </c>
      <c r="AZ329" s="34">
        <v>-13.73</v>
      </c>
      <c r="BA329" s="34"/>
      <c r="BB329" s="34">
        <v>13.06</v>
      </c>
      <c r="BC329" s="34">
        <v>2876</v>
      </c>
      <c r="BD329" s="3"/>
      <c r="BE329" s="3"/>
      <c r="BF329" s="3"/>
      <c r="BH329" s="16">
        <v>6.02</v>
      </c>
      <c r="BI329" s="16">
        <f t="shared" si="192"/>
        <v>12.160399999999999</v>
      </c>
      <c r="BJ329" s="17">
        <f t="shared" si="177"/>
        <v>1.0900000000000001</v>
      </c>
      <c r="BK329" s="17">
        <f t="shared" si="178"/>
        <v>2.14</v>
      </c>
      <c r="BM329" s="1">
        <f t="shared" si="179"/>
        <v>95.8</v>
      </c>
      <c r="BN329" s="1">
        <f t="shared" si="180"/>
        <v>91.6</v>
      </c>
      <c r="BO329" s="1">
        <f t="shared" si="181"/>
        <v>88.2</v>
      </c>
      <c r="BP329" s="56">
        <f t="shared" si="182"/>
        <v>0.31900000000000001</v>
      </c>
      <c r="BQ329" s="56">
        <f t="shared" si="183"/>
        <v>4.2999999999999997E-2</v>
      </c>
      <c r="BS329" s="47">
        <f t="shared" si="176"/>
        <v>0</v>
      </c>
      <c r="BT329" s="44">
        <v>0</v>
      </c>
      <c r="BV329" s="16">
        <f t="shared" si="193"/>
        <v>1.0900000000000001</v>
      </c>
      <c r="BW329" s="16">
        <f t="shared" si="194"/>
        <v>2.14</v>
      </c>
      <c r="BX329" s="3">
        <f t="shared" si="195"/>
        <v>-12.9</v>
      </c>
      <c r="BY329" s="3">
        <f t="shared" si="196"/>
        <v>-13.8</v>
      </c>
      <c r="BZ329" s="3">
        <f t="shared" si="197"/>
        <v>-14.3</v>
      </c>
      <c r="CA329" s="3">
        <f t="shared" si="198"/>
        <v>-0.1</v>
      </c>
      <c r="CB329" s="3">
        <f t="shared" si="199"/>
        <v>0.7</v>
      </c>
      <c r="CC329" s="3">
        <f t="shared" si="200"/>
        <v>1.3</v>
      </c>
      <c r="CD329" s="3">
        <f t="shared" si="201"/>
        <v>2</v>
      </c>
      <c r="CE329" s="23">
        <f t="shared" si="202"/>
        <v>91.6</v>
      </c>
      <c r="CF329" s="1">
        <f t="shared" si="203"/>
        <v>-7</v>
      </c>
      <c r="CG329" s="1">
        <f t="shared" si="204"/>
        <v>-9.6999999999999993</v>
      </c>
      <c r="CH329" s="1">
        <f t="shared" si="205"/>
        <v>-10.8</v>
      </c>
      <c r="CI329" s="1">
        <f t="shared" si="206"/>
        <v>0.1</v>
      </c>
      <c r="CJ329" s="1">
        <f t="shared" si="207"/>
        <v>0.8</v>
      </c>
      <c r="CK329" s="1">
        <f t="shared" si="208"/>
        <v>1.4</v>
      </c>
      <c r="CL329" s="1">
        <f t="shared" si="209"/>
        <v>2.1</v>
      </c>
      <c r="CM329" s="2">
        <f t="shared" si="210"/>
        <v>95.8</v>
      </c>
      <c r="CN329" s="1">
        <f t="shared" si="211"/>
        <v>-17.399999999999999</v>
      </c>
      <c r="CO329" s="1">
        <f t="shared" si="212"/>
        <v>-18.100000000000001</v>
      </c>
      <c r="CP329" s="1">
        <f t="shared" si="213"/>
        <v>-20</v>
      </c>
      <c r="CQ329" s="1">
        <f t="shared" si="214"/>
        <v>-0.4</v>
      </c>
      <c r="CR329" s="1">
        <f t="shared" si="215"/>
        <v>0.6</v>
      </c>
      <c r="CS329" s="1">
        <f t="shared" si="216"/>
        <v>1.2</v>
      </c>
      <c r="CT329" s="1">
        <f t="shared" si="217"/>
        <v>1.9</v>
      </c>
      <c r="CU329" s="2">
        <f t="shared" si="218"/>
        <v>88.2</v>
      </c>
      <c r="CV329" s="18" t="s">
        <v>233</v>
      </c>
      <c r="CW329" s="1">
        <f>ROUND(PPTest!K329,1)</f>
        <v>0</v>
      </c>
      <c r="CX329" s="17">
        <f t="shared" si="219"/>
        <v>0.79</v>
      </c>
      <c r="CY329" s="17">
        <f t="shared" si="220"/>
        <v>2.4900000000000002</v>
      </c>
      <c r="CZ329" s="20">
        <f t="shared" si="221"/>
        <v>0.31900000000000001</v>
      </c>
      <c r="DA329" s="20">
        <f t="shared" si="222"/>
        <v>4.2999999999999997E-2</v>
      </c>
      <c r="DB329" s="16">
        <f t="shared" si="223"/>
        <v>13.06</v>
      </c>
      <c r="DZ329" s="1">
        <v>-12.4</v>
      </c>
      <c r="EA329" s="1">
        <v>-7.8</v>
      </c>
      <c r="EB329" s="1">
        <v>-18</v>
      </c>
      <c r="EC329" s="1">
        <v>0.7</v>
      </c>
    </row>
    <row r="330" spans="1:133" x14ac:dyDescent="0.2">
      <c r="A330" s="40">
        <v>35388</v>
      </c>
      <c r="B330" s="42">
        <v>324</v>
      </c>
      <c r="C330" s="34">
        <v>0.91900000000000004</v>
      </c>
      <c r="D330" s="34">
        <v>1.986</v>
      </c>
      <c r="E330" s="34">
        <v>-14.62</v>
      </c>
      <c r="F330" s="34">
        <v>96.4</v>
      </c>
      <c r="G330" s="34">
        <v>-14.92</v>
      </c>
      <c r="H330" s="34">
        <v>-15.07</v>
      </c>
      <c r="I330" s="34">
        <v>-0.79900000000000004</v>
      </c>
      <c r="J330" s="34">
        <v>-14.95</v>
      </c>
      <c r="K330" s="34">
        <v>-14.92</v>
      </c>
      <c r="L330" s="34">
        <v>0.68400000000000005</v>
      </c>
      <c r="M330" s="34">
        <v>1.2809999999999999</v>
      </c>
      <c r="N330" s="34">
        <v>1.972</v>
      </c>
      <c r="O330" s="34">
        <v>0</v>
      </c>
      <c r="P330" s="34">
        <v>1.6741666666666666</v>
      </c>
      <c r="Q330" s="34"/>
      <c r="R330" s="34">
        <v>-10.73</v>
      </c>
      <c r="S330" s="34">
        <v>1227</v>
      </c>
      <c r="T330" s="34">
        <v>98.6</v>
      </c>
      <c r="U330" s="34">
        <v>947</v>
      </c>
      <c r="V330" s="34">
        <v>-10.55</v>
      </c>
      <c r="W330" s="34">
        <v>-10.44</v>
      </c>
      <c r="X330" s="34">
        <v>-0.34</v>
      </c>
      <c r="Y330" s="34">
        <v>-11.06</v>
      </c>
      <c r="Z330" s="34">
        <v>-11.01</v>
      </c>
      <c r="AA330" s="34">
        <v>0.72099999999999997</v>
      </c>
      <c r="AB330" s="34">
        <v>1.329</v>
      </c>
      <c r="AC330" s="34">
        <v>2.032</v>
      </c>
      <c r="AD330" s="34">
        <v>3.9808333333333334</v>
      </c>
      <c r="AE330" s="34">
        <v>1126</v>
      </c>
      <c r="AF330" s="34">
        <v>-17.89</v>
      </c>
      <c r="AG330" s="34">
        <v>2315</v>
      </c>
      <c r="AH330" s="34">
        <v>94.1</v>
      </c>
      <c r="AI330" s="34">
        <v>2309</v>
      </c>
      <c r="AJ330" s="34">
        <v>-18.350000000000001</v>
      </c>
      <c r="AK330" s="34">
        <v>-19.66</v>
      </c>
      <c r="AL330" s="34">
        <v>-1.4319999999999999</v>
      </c>
      <c r="AM330" s="34">
        <v>-18.47</v>
      </c>
      <c r="AN330" s="34">
        <v>-18.16</v>
      </c>
      <c r="AO330" s="34">
        <v>0.63900000000000001</v>
      </c>
      <c r="AP330" s="34">
        <v>1.236</v>
      </c>
      <c r="AQ330" s="34">
        <v>1.923</v>
      </c>
      <c r="AR330" s="34">
        <v>0.14000000000000001</v>
      </c>
      <c r="AS330" s="34">
        <v>0.40100000000000002</v>
      </c>
      <c r="AT330" s="34">
        <v>0.13700000000000001</v>
      </c>
      <c r="AU330" s="34">
        <v>3.0000000000000001E-3</v>
      </c>
      <c r="AV330" s="34">
        <v>2.4E-2</v>
      </c>
      <c r="AW330" s="34">
        <v>0.22800000000000001</v>
      </c>
      <c r="AX330" s="34">
        <v>6.0999999999999999E-2</v>
      </c>
      <c r="AY330" s="34">
        <v>6.0000000000000001E-3</v>
      </c>
      <c r="AZ330" s="34">
        <v>-14.85</v>
      </c>
      <c r="BA330" s="34"/>
      <c r="BB330" s="34">
        <v>13.03</v>
      </c>
      <c r="BC330" s="34">
        <v>2876</v>
      </c>
      <c r="BD330" s="3"/>
      <c r="BE330" s="3"/>
      <c r="BF330" s="3"/>
      <c r="BH330" s="16">
        <v>5.91</v>
      </c>
      <c r="BI330" s="16">
        <f t="shared" si="192"/>
        <v>11.9382</v>
      </c>
      <c r="BJ330" s="17">
        <f t="shared" si="177"/>
        <v>0.92</v>
      </c>
      <c r="BK330" s="17">
        <f t="shared" si="178"/>
        <v>2.08</v>
      </c>
      <c r="BM330" s="1">
        <f t="shared" si="179"/>
        <v>92.1</v>
      </c>
      <c r="BN330" s="1">
        <f t="shared" si="180"/>
        <v>90.1</v>
      </c>
      <c r="BO330" s="1">
        <f t="shared" si="181"/>
        <v>87.9</v>
      </c>
      <c r="BP330" s="56">
        <f t="shared" si="182"/>
        <v>0.23699999999999999</v>
      </c>
      <c r="BQ330" s="56">
        <f t="shared" si="183"/>
        <v>3.3000000000000002E-2</v>
      </c>
      <c r="BS330" s="47">
        <f t="shared" si="176"/>
        <v>1.5</v>
      </c>
      <c r="BT330" s="44">
        <v>1</v>
      </c>
      <c r="BV330" s="16">
        <f t="shared" si="193"/>
        <v>0.92</v>
      </c>
      <c r="BW330" s="16">
        <f t="shared" si="194"/>
        <v>2.08</v>
      </c>
      <c r="BX330" s="3">
        <f t="shared" si="195"/>
        <v>-14.6</v>
      </c>
      <c r="BY330" s="3">
        <f t="shared" si="196"/>
        <v>-14.9</v>
      </c>
      <c r="BZ330" s="3">
        <f t="shared" si="197"/>
        <v>-15.1</v>
      </c>
      <c r="CA330" s="3">
        <f t="shared" si="198"/>
        <v>-0.8</v>
      </c>
      <c r="CB330" s="3">
        <f t="shared" si="199"/>
        <v>0.7</v>
      </c>
      <c r="CC330" s="3">
        <f t="shared" si="200"/>
        <v>1.3</v>
      </c>
      <c r="CD330" s="3">
        <f t="shared" si="201"/>
        <v>2</v>
      </c>
      <c r="CE330" s="23">
        <f t="shared" si="202"/>
        <v>90.1</v>
      </c>
      <c r="CF330" s="1">
        <f t="shared" si="203"/>
        <v>-10.7</v>
      </c>
      <c r="CG330" s="1">
        <f t="shared" si="204"/>
        <v>-10.6</v>
      </c>
      <c r="CH330" s="1">
        <f t="shared" si="205"/>
        <v>-10.4</v>
      </c>
      <c r="CI330" s="1">
        <f t="shared" si="206"/>
        <v>-0.3</v>
      </c>
      <c r="CJ330" s="1">
        <f t="shared" si="207"/>
        <v>0.7</v>
      </c>
      <c r="CK330" s="1">
        <f t="shared" si="208"/>
        <v>1.3</v>
      </c>
      <c r="CL330" s="1">
        <f t="shared" si="209"/>
        <v>2</v>
      </c>
      <c r="CM330" s="2">
        <f t="shared" si="210"/>
        <v>92.1</v>
      </c>
      <c r="CN330" s="1">
        <f t="shared" si="211"/>
        <v>-17.899999999999999</v>
      </c>
      <c r="CO330" s="1">
        <f t="shared" si="212"/>
        <v>-18.399999999999999</v>
      </c>
      <c r="CP330" s="1">
        <f t="shared" si="213"/>
        <v>-19.7</v>
      </c>
      <c r="CQ330" s="1">
        <f t="shared" si="214"/>
        <v>-1.4</v>
      </c>
      <c r="CR330" s="1">
        <f t="shared" si="215"/>
        <v>0.6</v>
      </c>
      <c r="CS330" s="1">
        <f t="shared" si="216"/>
        <v>1.2</v>
      </c>
      <c r="CT330" s="1">
        <f t="shared" si="217"/>
        <v>1.9</v>
      </c>
      <c r="CU330" s="2">
        <f t="shared" si="218"/>
        <v>87.9</v>
      </c>
      <c r="CV330" s="18" t="s">
        <v>233</v>
      </c>
      <c r="CW330" s="1">
        <f>ROUND(PPTest!K330,1)</f>
        <v>1.6</v>
      </c>
      <c r="CX330" s="17">
        <f t="shared" si="219"/>
        <v>1.67</v>
      </c>
      <c r="CY330" s="17">
        <f t="shared" si="220"/>
        <v>3.98</v>
      </c>
      <c r="CZ330" s="20">
        <f t="shared" si="221"/>
        <v>0.23699999999999999</v>
      </c>
      <c r="DA330" s="20">
        <f t="shared" si="222"/>
        <v>3.3000000000000002E-2</v>
      </c>
      <c r="DB330" s="16">
        <f t="shared" si="223"/>
        <v>13.03</v>
      </c>
      <c r="DZ330" s="1">
        <v>-14.9</v>
      </c>
      <c r="EA330" s="1">
        <v>-12.8</v>
      </c>
      <c r="EB330" s="1">
        <v>-16.100000000000001</v>
      </c>
      <c r="EC330" s="1">
        <v>3.6</v>
      </c>
    </row>
    <row r="331" spans="1:133" x14ac:dyDescent="0.2">
      <c r="A331" s="40">
        <v>35389</v>
      </c>
      <c r="B331" s="42">
        <v>325</v>
      </c>
      <c r="C331" s="34">
        <v>1.0529999999999999</v>
      </c>
      <c r="D331" s="34">
        <v>2.3839999999999999</v>
      </c>
      <c r="E331" s="34">
        <v>-19.73</v>
      </c>
      <c r="F331" s="34">
        <v>92.1</v>
      </c>
      <c r="G331" s="34">
        <v>-20.58</v>
      </c>
      <c r="H331" s="34">
        <v>-21.64</v>
      </c>
      <c r="I331" s="34">
        <v>-1.796</v>
      </c>
      <c r="J331" s="34">
        <v>-20.52</v>
      </c>
      <c r="K331" s="34">
        <v>-20.66</v>
      </c>
      <c r="L331" s="34">
        <v>0.49199999999999999</v>
      </c>
      <c r="M331" s="34">
        <v>1.0660000000000001</v>
      </c>
      <c r="N331" s="34">
        <v>1.7989999999999999</v>
      </c>
      <c r="O331" s="34">
        <v>0</v>
      </c>
      <c r="P331" s="34">
        <v>1.0703333333333334</v>
      </c>
      <c r="Q331" s="34"/>
      <c r="R331" s="34">
        <v>-8.84</v>
      </c>
      <c r="S331" s="34">
        <v>1429</v>
      </c>
      <c r="T331" s="34">
        <v>98.7</v>
      </c>
      <c r="U331" s="34">
        <v>1431</v>
      </c>
      <c r="V331" s="34">
        <v>-11.97</v>
      </c>
      <c r="W331" s="34">
        <v>-13.82</v>
      </c>
      <c r="X331" s="34">
        <v>-0.76300000000000001</v>
      </c>
      <c r="Y331" s="34">
        <v>-12.09</v>
      </c>
      <c r="Z331" s="34">
        <v>-13.73</v>
      </c>
      <c r="AA331" s="34">
        <v>0.7</v>
      </c>
      <c r="AB331" s="34">
        <v>1.2969999999999999</v>
      </c>
      <c r="AC331" s="34">
        <v>2.0449999999999999</v>
      </c>
      <c r="AD331" s="34">
        <v>2.8475000000000001</v>
      </c>
      <c r="AE331" s="34">
        <v>44</v>
      </c>
      <c r="AF331" s="34">
        <v>-25.73</v>
      </c>
      <c r="AG331" s="34">
        <v>803</v>
      </c>
      <c r="AH331" s="34">
        <v>86.8</v>
      </c>
      <c r="AI331" s="34">
        <v>719</v>
      </c>
      <c r="AJ331" s="34">
        <v>-26.48</v>
      </c>
      <c r="AK331" s="34">
        <v>-29.16</v>
      </c>
      <c r="AL331" s="34">
        <v>-3.089</v>
      </c>
      <c r="AM331" s="34">
        <v>-27.18</v>
      </c>
      <c r="AN331" s="34">
        <v>-26.38</v>
      </c>
      <c r="AO331" s="34">
        <v>0.28299999999999997</v>
      </c>
      <c r="AP331" s="34">
        <v>0.84599999999999997</v>
      </c>
      <c r="AQ331" s="34">
        <v>1.5569999999999999</v>
      </c>
      <c r="AR331" s="34">
        <v>1.2999999999999999E-2</v>
      </c>
      <c r="AS331" s="34">
        <v>0.29199999999999998</v>
      </c>
      <c r="AT331" s="34">
        <v>0.33300000000000002</v>
      </c>
      <c r="AU331" s="34">
        <v>1.6E-2</v>
      </c>
      <c r="AV331" s="34">
        <v>0.108</v>
      </c>
      <c r="AW331" s="34">
        <v>0.20100000000000001</v>
      </c>
      <c r="AX331" s="34">
        <v>3.1E-2</v>
      </c>
      <c r="AY331" s="34">
        <v>7.0000000000000001E-3</v>
      </c>
      <c r="AZ331" s="34">
        <v>-21.31</v>
      </c>
      <c r="BA331" s="34"/>
      <c r="BB331" s="34">
        <v>13.11</v>
      </c>
      <c r="BC331" s="34">
        <v>2876</v>
      </c>
      <c r="BD331" s="3"/>
      <c r="BE331" s="3"/>
      <c r="BF331" s="3"/>
      <c r="BH331" s="16">
        <v>5.81</v>
      </c>
      <c r="BI331" s="16">
        <f t="shared" si="192"/>
        <v>11.7362</v>
      </c>
      <c r="BJ331" s="17">
        <f t="shared" si="177"/>
        <v>1.05</v>
      </c>
      <c r="BK331" s="17">
        <f t="shared" si="178"/>
        <v>2.5</v>
      </c>
      <c r="BM331" s="1">
        <f t="shared" si="179"/>
        <v>92.2</v>
      </c>
      <c r="BN331" s="1">
        <f t="shared" si="180"/>
        <v>86.1</v>
      </c>
      <c r="BO331" s="1">
        <f t="shared" si="181"/>
        <v>81.2</v>
      </c>
      <c r="BP331" s="56">
        <f t="shared" si="182"/>
        <v>0.254</v>
      </c>
      <c r="BQ331" s="56">
        <f t="shared" si="183"/>
        <v>5.8999999999999997E-2</v>
      </c>
      <c r="BS331" s="47">
        <f t="shared" si="176"/>
        <v>6</v>
      </c>
      <c r="BT331" s="44">
        <v>4</v>
      </c>
      <c r="BV331" s="16">
        <f t="shared" si="193"/>
        <v>1.05</v>
      </c>
      <c r="BW331" s="16">
        <f t="shared" si="194"/>
        <v>2.5</v>
      </c>
      <c r="BX331" s="3">
        <f t="shared" si="195"/>
        <v>-19.7</v>
      </c>
      <c r="BY331" s="3">
        <f t="shared" si="196"/>
        <v>-20.6</v>
      </c>
      <c r="BZ331" s="3">
        <f t="shared" si="197"/>
        <v>-21.6</v>
      </c>
      <c r="CA331" s="3">
        <f t="shared" si="198"/>
        <v>-1.8</v>
      </c>
      <c r="CB331" s="3">
        <f t="shared" si="199"/>
        <v>0.5</v>
      </c>
      <c r="CC331" s="3">
        <f t="shared" si="200"/>
        <v>1.1000000000000001</v>
      </c>
      <c r="CD331" s="3">
        <f t="shared" si="201"/>
        <v>1.8</v>
      </c>
      <c r="CE331" s="23">
        <f t="shared" si="202"/>
        <v>86.1</v>
      </c>
      <c r="CF331" s="1">
        <f t="shared" si="203"/>
        <v>-8.8000000000000007</v>
      </c>
      <c r="CG331" s="1">
        <f t="shared" si="204"/>
        <v>-12</v>
      </c>
      <c r="CH331" s="1">
        <f t="shared" si="205"/>
        <v>-13.8</v>
      </c>
      <c r="CI331" s="1">
        <f t="shared" si="206"/>
        <v>-0.8</v>
      </c>
      <c r="CJ331" s="1">
        <f t="shared" si="207"/>
        <v>0.7</v>
      </c>
      <c r="CK331" s="1">
        <f t="shared" si="208"/>
        <v>1.3</v>
      </c>
      <c r="CL331" s="1">
        <f t="shared" si="209"/>
        <v>2</v>
      </c>
      <c r="CM331" s="2">
        <f t="shared" si="210"/>
        <v>92.2</v>
      </c>
      <c r="CN331" s="1">
        <f t="shared" si="211"/>
        <v>-25.7</v>
      </c>
      <c r="CO331" s="1">
        <f t="shared" si="212"/>
        <v>-26.5</v>
      </c>
      <c r="CP331" s="1">
        <f t="shared" si="213"/>
        <v>-29.2</v>
      </c>
      <c r="CQ331" s="1">
        <f t="shared" si="214"/>
        <v>-3.1</v>
      </c>
      <c r="CR331" s="1">
        <f t="shared" si="215"/>
        <v>0.3</v>
      </c>
      <c r="CS331" s="1">
        <f t="shared" si="216"/>
        <v>0.8</v>
      </c>
      <c r="CT331" s="1">
        <f t="shared" si="217"/>
        <v>1.6</v>
      </c>
      <c r="CU331" s="2">
        <f t="shared" si="218"/>
        <v>81.2</v>
      </c>
      <c r="CV331" s="18" t="s">
        <v>233</v>
      </c>
      <c r="CW331" s="1">
        <f>ROUND(PPTest!K331,1)</f>
        <v>6.3</v>
      </c>
      <c r="CX331" s="17">
        <f t="shared" si="219"/>
        <v>1.07</v>
      </c>
      <c r="CY331" s="17">
        <f t="shared" si="220"/>
        <v>2.85</v>
      </c>
      <c r="CZ331" s="20">
        <f t="shared" si="221"/>
        <v>0.254</v>
      </c>
      <c r="DA331" s="20">
        <f t="shared" si="222"/>
        <v>5.8999999999999997E-2</v>
      </c>
      <c r="DB331" s="16">
        <f t="shared" si="223"/>
        <v>13.11</v>
      </c>
      <c r="DZ331" s="1">
        <v>-14.2</v>
      </c>
      <c r="EA331" s="1">
        <v>-7.8</v>
      </c>
      <c r="EB331" s="1">
        <v>-19.600000000000001</v>
      </c>
      <c r="EC331" s="1">
        <v>1.3</v>
      </c>
    </row>
    <row r="332" spans="1:133" x14ac:dyDescent="0.2">
      <c r="A332" s="40">
        <v>35390</v>
      </c>
      <c r="B332" s="42">
        <v>326</v>
      </c>
      <c r="C332" s="34">
        <v>0.97</v>
      </c>
      <c r="D332" s="34">
        <v>2.0699999999999998</v>
      </c>
      <c r="E332" s="34">
        <v>-13.09</v>
      </c>
      <c r="F332" s="34">
        <v>97</v>
      </c>
      <c r="G332" s="34">
        <v>-13.32</v>
      </c>
      <c r="H332" s="34">
        <v>-13.51</v>
      </c>
      <c r="I332" s="34">
        <v>-2.1259999999999999</v>
      </c>
      <c r="J332" s="34">
        <v>-13.73</v>
      </c>
      <c r="K332" s="34">
        <v>-13.67</v>
      </c>
      <c r="L332" s="34">
        <v>0.57599999999999996</v>
      </c>
      <c r="M332" s="34">
        <v>1.1220000000000001</v>
      </c>
      <c r="N332" s="34">
        <v>1.903</v>
      </c>
      <c r="O332" s="34">
        <v>0</v>
      </c>
      <c r="P332" s="34">
        <v>1.3246666666666667</v>
      </c>
      <c r="Q332" s="34"/>
      <c r="R332" s="34">
        <v>-7.26</v>
      </c>
      <c r="S332" s="34">
        <v>1330</v>
      </c>
      <c r="T332" s="34">
        <v>100.5</v>
      </c>
      <c r="U332" s="34">
        <v>1329</v>
      </c>
      <c r="V332" s="34">
        <v>-7.06</v>
      </c>
      <c r="W332" s="34">
        <v>-5.8730000000000002</v>
      </c>
      <c r="X332" s="34">
        <v>-1.5209999999999999</v>
      </c>
      <c r="Y332" s="34">
        <v>-8.75</v>
      </c>
      <c r="Z332" s="34">
        <v>-8.82</v>
      </c>
      <c r="AA332" s="34">
        <v>0.61099999999999999</v>
      </c>
      <c r="AB332" s="34">
        <v>1.1639999999999999</v>
      </c>
      <c r="AC332" s="34">
        <v>1.9670000000000001</v>
      </c>
      <c r="AD332" s="34">
        <v>2.5808333333333335</v>
      </c>
      <c r="AE332" s="34">
        <v>1803</v>
      </c>
      <c r="AF332" s="34">
        <v>-19.11</v>
      </c>
      <c r="AG332" s="34">
        <v>237</v>
      </c>
      <c r="AH332" s="34">
        <v>92.5</v>
      </c>
      <c r="AI332" s="34">
        <v>235</v>
      </c>
      <c r="AJ332" s="34">
        <v>-19.72</v>
      </c>
      <c r="AK332" s="34">
        <v>-21.06</v>
      </c>
      <c r="AL332" s="34">
        <v>-2.722</v>
      </c>
      <c r="AM332" s="34">
        <v>-19.899999999999999</v>
      </c>
      <c r="AN332" s="34">
        <v>-19.63</v>
      </c>
      <c r="AO332" s="34">
        <v>0.50800000000000001</v>
      </c>
      <c r="AP332" s="34">
        <v>1.0509999999999999</v>
      </c>
      <c r="AQ332" s="34">
        <v>1.8</v>
      </c>
      <c r="AR332" s="34">
        <v>0.10299999999999999</v>
      </c>
      <c r="AS332" s="34">
        <v>0.55700000000000005</v>
      </c>
      <c r="AT332" s="34">
        <v>0.32200000000000001</v>
      </c>
      <c r="AU332" s="34">
        <v>6.0000000000000001E-3</v>
      </c>
      <c r="AV332" s="34">
        <v>6.0000000000000001E-3</v>
      </c>
      <c r="AW332" s="34">
        <v>5.0000000000000001E-3</v>
      </c>
      <c r="AX332" s="34">
        <v>0</v>
      </c>
      <c r="AY332" s="34">
        <v>1E-3</v>
      </c>
      <c r="AZ332" s="34">
        <v>-13.76</v>
      </c>
      <c r="BA332" s="34"/>
      <c r="BB332" s="34">
        <v>13.05</v>
      </c>
      <c r="BC332" s="34">
        <v>2876</v>
      </c>
      <c r="BD332" s="3"/>
      <c r="BE332" s="3"/>
      <c r="BF332" s="3"/>
      <c r="BH332" s="16">
        <v>5.71</v>
      </c>
      <c r="BI332" s="16">
        <f t="shared" si="192"/>
        <v>11.5342</v>
      </c>
      <c r="BJ332" s="17">
        <f t="shared" si="177"/>
        <v>0.97</v>
      </c>
      <c r="BK332" s="17">
        <f t="shared" si="178"/>
        <v>2.17</v>
      </c>
      <c r="BM332" s="1">
        <f t="shared" si="179"/>
        <v>93.9</v>
      </c>
      <c r="BN332" s="1">
        <f t="shared" si="180"/>
        <v>90.6</v>
      </c>
      <c r="BO332" s="1">
        <f t="shared" si="181"/>
        <v>86.5</v>
      </c>
      <c r="BP332" s="56">
        <f t="shared" si="182"/>
        <v>0.30599999999999999</v>
      </c>
      <c r="BQ332" s="56">
        <f t="shared" si="183"/>
        <v>4.8000000000000001E-2</v>
      </c>
      <c r="BS332" s="47">
        <f t="shared" si="176"/>
        <v>0</v>
      </c>
      <c r="BT332" s="44">
        <v>0</v>
      </c>
      <c r="BV332" s="16">
        <f t="shared" si="193"/>
        <v>0.97</v>
      </c>
      <c r="BW332" s="16">
        <f t="shared" si="194"/>
        <v>2.17</v>
      </c>
      <c r="BX332" s="3">
        <f t="shared" si="195"/>
        <v>-13.1</v>
      </c>
      <c r="BY332" s="3">
        <f t="shared" si="196"/>
        <v>-13.3</v>
      </c>
      <c r="BZ332" s="3">
        <f t="shared" si="197"/>
        <v>-13.5</v>
      </c>
      <c r="CA332" s="3">
        <f t="shared" si="198"/>
        <v>-2.1</v>
      </c>
      <c r="CB332" s="3">
        <f t="shared" si="199"/>
        <v>0.6</v>
      </c>
      <c r="CC332" s="3">
        <f t="shared" si="200"/>
        <v>1.1000000000000001</v>
      </c>
      <c r="CD332" s="3">
        <f t="shared" si="201"/>
        <v>1.9</v>
      </c>
      <c r="CE332" s="23">
        <f t="shared" si="202"/>
        <v>90.6</v>
      </c>
      <c r="CF332" s="1">
        <f t="shared" si="203"/>
        <v>-7.3</v>
      </c>
      <c r="CG332" s="1">
        <f t="shared" si="204"/>
        <v>-7.1</v>
      </c>
      <c r="CH332" s="1">
        <f t="shared" si="205"/>
        <v>-5.9</v>
      </c>
      <c r="CI332" s="1">
        <f t="shared" si="206"/>
        <v>-1.5</v>
      </c>
      <c r="CJ332" s="1">
        <f t="shared" si="207"/>
        <v>0.6</v>
      </c>
      <c r="CK332" s="1">
        <f t="shared" si="208"/>
        <v>1.2</v>
      </c>
      <c r="CL332" s="1">
        <f t="shared" si="209"/>
        <v>2</v>
      </c>
      <c r="CM332" s="2">
        <f t="shared" si="210"/>
        <v>93.9</v>
      </c>
      <c r="CN332" s="1">
        <f t="shared" si="211"/>
        <v>-19.100000000000001</v>
      </c>
      <c r="CO332" s="1">
        <f t="shared" si="212"/>
        <v>-19.7</v>
      </c>
      <c r="CP332" s="1">
        <f t="shared" si="213"/>
        <v>-21.1</v>
      </c>
      <c r="CQ332" s="1">
        <f t="shared" si="214"/>
        <v>-2.7</v>
      </c>
      <c r="CR332" s="1">
        <f t="shared" si="215"/>
        <v>0.5</v>
      </c>
      <c r="CS332" s="1">
        <f t="shared" si="216"/>
        <v>1.1000000000000001</v>
      </c>
      <c r="CT332" s="1">
        <f t="shared" si="217"/>
        <v>1.8</v>
      </c>
      <c r="CU332" s="2">
        <f t="shared" si="218"/>
        <v>86.5</v>
      </c>
      <c r="CV332" s="18" t="s">
        <v>233</v>
      </c>
      <c r="CW332" s="1">
        <f>ROUND(PPTest!K332,1)</f>
        <v>0</v>
      </c>
      <c r="CX332" s="17">
        <f t="shared" si="219"/>
        <v>1.32</v>
      </c>
      <c r="CY332" s="17">
        <f t="shared" si="220"/>
        <v>2.58</v>
      </c>
      <c r="CZ332" s="20">
        <f t="shared" si="221"/>
        <v>0.30599999999999999</v>
      </c>
      <c r="DA332" s="20">
        <f t="shared" si="222"/>
        <v>4.8000000000000001E-2</v>
      </c>
      <c r="DB332" s="16">
        <f t="shared" si="223"/>
        <v>13.05</v>
      </c>
      <c r="DZ332" s="1">
        <v>-9.6999999999999993</v>
      </c>
      <c r="EA332" s="1">
        <v>-7.4</v>
      </c>
      <c r="EB332" s="1">
        <v>-13.2</v>
      </c>
      <c r="EC332" s="1">
        <v>0.3</v>
      </c>
    </row>
    <row r="333" spans="1:133" x14ac:dyDescent="0.2">
      <c r="A333" s="40">
        <v>35391</v>
      </c>
      <c r="B333" s="42">
        <v>327</v>
      </c>
      <c r="C333" s="34">
        <v>0.78500000000000003</v>
      </c>
      <c r="D333" s="34">
        <v>1.8939999999999999</v>
      </c>
      <c r="E333" s="34">
        <v>-17.57</v>
      </c>
      <c r="F333" s="34">
        <v>93.8</v>
      </c>
      <c r="G333" s="34">
        <v>-18</v>
      </c>
      <c r="H333" s="34">
        <v>-18.079999999999998</v>
      </c>
      <c r="I333" s="34">
        <v>-1.972</v>
      </c>
      <c r="J333" s="34">
        <v>-16.55</v>
      </c>
      <c r="K333" s="34">
        <v>-17.600000000000001</v>
      </c>
      <c r="L333" s="34">
        <v>0.50600000000000001</v>
      </c>
      <c r="M333" s="34">
        <v>1.0449999999999999</v>
      </c>
      <c r="N333" s="34">
        <v>1.8720000000000001</v>
      </c>
      <c r="O333" s="34">
        <v>0</v>
      </c>
      <c r="P333" s="34">
        <v>1.2629999999999999</v>
      </c>
      <c r="Q333" s="34"/>
      <c r="R333" s="34">
        <v>-10.64</v>
      </c>
      <c r="S333" s="34">
        <v>27</v>
      </c>
      <c r="T333" s="34">
        <v>99.3</v>
      </c>
      <c r="U333" s="34">
        <v>9</v>
      </c>
      <c r="V333" s="34">
        <v>-10.89</v>
      </c>
      <c r="W333" s="34">
        <v>-10.81</v>
      </c>
      <c r="X333" s="34">
        <v>-1.363</v>
      </c>
      <c r="Y333" s="34">
        <v>-11.09</v>
      </c>
      <c r="Z333" s="34">
        <v>-11.12</v>
      </c>
      <c r="AA333" s="34">
        <v>0.60499999999999998</v>
      </c>
      <c r="AB333" s="34">
        <v>1.157</v>
      </c>
      <c r="AC333" s="34">
        <v>1.974</v>
      </c>
      <c r="AD333" s="34">
        <v>2.9541666666666671</v>
      </c>
      <c r="AE333" s="34">
        <v>418</v>
      </c>
      <c r="AF333" s="34">
        <v>-22.16</v>
      </c>
      <c r="AG333" s="34">
        <v>2037</v>
      </c>
      <c r="AH333" s="34">
        <v>89.6</v>
      </c>
      <c r="AI333" s="34">
        <v>1810</v>
      </c>
      <c r="AJ333" s="34">
        <v>-22.49</v>
      </c>
      <c r="AK333" s="34">
        <v>-23.3</v>
      </c>
      <c r="AL333" s="34">
        <v>-3.266</v>
      </c>
      <c r="AM333" s="34">
        <v>-22.1</v>
      </c>
      <c r="AN333" s="34">
        <v>-22.25</v>
      </c>
      <c r="AO333" s="34">
        <v>0.34300000000000003</v>
      </c>
      <c r="AP333" s="34">
        <v>0.86599999999999999</v>
      </c>
      <c r="AQ333" s="34">
        <v>1.708</v>
      </c>
      <c r="AR333" s="34">
        <v>3.5000000000000003E-2</v>
      </c>
      <c r="AS333" s="34">
        <v>0.19700000000000001</v>
      </c>
      <c r="AT333" s="34">
        <v>8.3000000000000004E-2</v>
      </c>
      <c r="AU333" s="34">
        <v>2.1999999999999999E-2</v>
      </c>
      <c r="AV333" s="34">
        <v>0.11700000000000001</v>
      </c>
      <c r="AW333" s="34">
        <v>0.46300000000000002</v>
      </c>
      <c r="AX333" s="34">
        <v>7.6999999999999999E-2</v>
      </c>
      <c r="AY333" s="34">
        <v>6.0000000000000001E-3</v>
      </c>
      <c r="AZ333" s="34">
        <v>-16.88</v>
      </c>
      <c r="BA333" s="34"/>
      <c r="BB333" s="34">
        <v>12.98</v>
      </c>
      <c r="BC333" s="34">
        <v>2876</v>
      </c>
      <c r="BD333" s="3"/>
      <c r="BE333" s="3"/>
      <c r="BF333" s="3"/>
      <c r="BH333" s="16">
        <v>5.62</v>
      </c>
      <c r="BI333" s="16">
        <f t="shared" si="192"/>
        <v>11.352400000000001</v>
      </c>
      <c r="BJ333" s="17">
        <f t="shared" si="177"/>
        <v>0.79</v>
      </c>
      <c r="BK333" s="17">
        <f t="shared" si="178"/>
        <v>1.99</v>
      </c>
      <c r="BM333" s="1">
        <f t="shared" si="179"/>
        <v>92.8</v>
      </c>
      <c r="BN333" s="1">
        <f t="shared" si="180"/>
        <v>87.7</v>
      </c>
      <c r="BO333" s="1">
        <f t="shared" si="181"/>
        <v>83.8</v>
      </c>
      <c r="BP333" s="56">
        <f t="shared" si="182"/>
        <v>0.22700000000000001</v>
      </c>
      <c r="BQ333" s="56">
        <f t="shared" si="183"/>
        <v>4.3999999999999997E-2</v>
      </c>
      <c r="BS333" s="47">
        <f t="shared" si="176"/>
        <v>0</v>
      </c>
      <c r="BT333" s="44">
        <v>0</v>
      </c>
      <c r="BV333" s="16">
        <f t="shared" si="193"/>
        <v>0.79</v>
      </c>
      <c r="BW333" s="16">
        <f t="shared" si="194"/>
        <v>1.99</v>
      </c>
      <c r="BX333" s="3">
        <f t="shared" si="195"/>
        <v>-17.600000000000001</v>
      </c>
      <c r="BY333" s="3">
        <f t="shared" si="196"/>
        <v>-18</v>
      </c>
      <c r="BZ333" s="3">
        <f t="shared" si="197"/>
        <v>-18.100000000000001</v>
      </c>
      <c r="CA333" s="3">
        <f t="shared" si="198"/>
        <v>-2</v>
      </c>
      <c r="CB333" s="3">
        <f t="shared" si="199"/>
        <v>0.5</v>
      </c>
      <c r="CC333" s="3">
        <f t="shared" si="200"/>
        <v>1</v>
      </c>
      <c r="CD333" s="3">
        <f t="shared" si="201"/>
        <v>1.9</v>
      </c>
      <c r="CE333" s="23">
        <f t="shared" si="202"/>
        <v>87.7</v>
      </c>
      <c r="CF333" s="1">
        <f t="shared" si="203"/>
        <v>-10.6</v>
      </c>
      <c r="CG333" s="1">
        <f t="shared" si="204"/>
        <v>-10.9</v>
      </c>
      <c r="CH333" s="1">
        <f t="shared" si="205"/>
        <v>-10.8</v>
      </c>
      <c r="CI333" s="1">
        <f t="shared" si="206"/>
        <v>-1.4</v>
      </c>
      <c r="CJ333" s="1">
        <f t="shared" si="207"/>
        <v>0.6</v>
      </c>
      <c r="CK333" s="1">
        <f t="shared" si="208"/>
        <v>1.2</v>
      </c>
      <c r="CL333" s="1">
        <f t="shared" si="209"/>
        <v>2</v>
      </c>
      <c r="CM333" s="2">
        <f t="shared" si="210"/>
        <v>92.8</v>
      </c>
      <c r="CN333" s="1">
        <f t="shared" si="211"/>
        <v>-22.2</v>
      </c>
      <c r="CO333" s="1">
        <f t="shared" si="212"/>
        <v>-22.5</v>
      </c>
      <c r="CP333" s="1">
        <f t="shared" si="213"/>
        <v>-23.3</v>
      </c>
      <c r="CQ333" s="1">
        <f t="shared" si="214"/>
        <v>-3.3</v>
      </c>
      <c r="CR333" s="1">
        <f t="shared" si="215"/>
        <v>0.3</v>
      </c>
      <c r="CS333" s="1">
        <f t="shared" si="216"/>
        <v>0.9</v>
      </c>
      <c r="CT333" s="1">
        <f t="shared" si="217"/>
        <v>1.7</v>
      </c>
      <c r="CU333" s="2">
        <f t="shared" si="218"/>
        <v>83.8</v>
      </c>
      <c r="CV333" s="18" t="s">
        <v>233</v>
      </c>
      <c r="CW333" s="1">
        <f>ROUND(PPTest!K333,1)</f>
        <v>0</v>
      </c>
      <c r="CX333" s="17">
        <f t="shared" si="219"/>
        <v>1.26</v>
      </c>
      <c r="CY333" s="17">
        <f t="shared" si="220"/>
        <v>2.95</v>
      </c>
      <c r="CZ333" s="20">
        <f t="shared" si="221"/>
        <v>0.22700000000000001</v>
      </c>
      <c r="DA333" s="20">
        <f t="shared" si="222"/>
        <v>4.3999999999999997E-2</v>
      </c>
      <c r="DB333" s="16">
        <f t="shared" si="223"/>
        <v>12.98</v>
      </c>
      <c r="DZ333" s="1">
        <v>-15.7</v>
      </c>
      <c r="EA333" s="1">
        <v>-9.3000000000000007</v>
      </c>
      <c r="EB333" s="1">
        <v>-23.4</v>
      </c>
      <c r="EC333" s="1">
        <v>0</v>
      </c>
    </row>
    <row r="334" spans="1:133" x14ac:dyDescent="0.2">
      <c r="A334" s="40">
        <v>35392</v>
      </c>
      <c r="B334" s="42">
        <v>328</v>
      </c>
      <c r="C334" s="34">
        <v>1.8620000000000001</v>
      </c>
      <c r="D334" s="34">
        <v>2.472</v>
      </c>
      <c r="E334" s="34">
        <v>-17.670000000000002</v>
      </c>
      <c r="F334" s="34">
        <v>92</v>
      </c>
      <c r="G334" s="34">
        <v>-18.079999999999998</v>
      </c>
      <c r="H334" s="34">
        <v>-18.62</v>
      </c>
      <c r="I334" s="34">
        <v>-3.5960000000000001</v>
      </c>
      <c r="J334" s="34">
        <v>-18.66</v>
      </c>
      <c r="K334" s="34">
        <v>-18.3</v>
      </c>
      <c r="L334" s="34">
        <v>0.315</v>
      </c>
      <c r="M334" s="34">
        <v>0.84</v>
      </c>
      <c r="N334" s="34">
        <v>1.7010000000000001</v>
      </c>
      <c r="O334" s="34">
        <v>0</v>
      </c>
      <c r="P334" s="34">
        <v>0.65849999999999997</v>
      </c>
      <c r="Q334" s="34"/>
      <c r="R334" s="34">
        <v>-10.35</v>
      </c>
      <c r="S334" s="34">
        <v>0</v>
      </c>
      <c r="T334" s="34">
        <v>99.4</v>
      </c>
      <c r="U334" s="34">
        <v>2355</v>
      </c>
      <c r="V334" s="34">
        <v>-10.46</v>
      </c>
      <c r="W334" s="34">
        <v>-10.51</v>
      </c>
      <c r="X334" s="34">
        <v>-2.21</v>
      </c>
      <c r="Y334" s="34">
        <v>-10.97</v>
      </c>
      <c r="Z334" s="34">
        <v>-10.97</v>
      </c>
      <c r="AA334" s="34">
        <v>0.5</v>
      </c>
      <c r="AB334" s="34">
        <v>1.042</v>
      </c>
      <c r="AC334" s="34">
        <v>1.905</v>
      </c>
      <c r="AD334" s="34">
        <v>2.0341666666666667</v>
      </c>
      <c r="AE334" s="34">
        <v>1219</v>
      </c>
      <c r="AF334" s="34">
        <v>-28.03</v>
      </c>
      <c r="AG334" s="34">
        <v>500</v>
      </c>
      <c r="AH334" s="34">
        <v>82.9</v>
      </c>
      <c r="AI334" s="34">
        <v>924</v>
      </c>
      <c r="AJ334" s="34">
        <v>-28.72</v>
      </c>
      <c r="AK334" s="34">
        <v>-30.77</v>
      </c>
      <c r="AL334" s="34">
        <v>-5.8390000000000004</v>
      </c>
      <c r="AM334" s="34">
        <v>-29.14</v>
      </c>
      <c r="AN334" s="34">
        <v>-28.63</v>
      </c>
      <c r="AO334" s="34">
        <v>3.5999999999999997E-2</v>
      </c>
      <c r="AP334" s="34">
        <v>0.54500000000000004</v>
      </c>
      <c r="AQ334" s="34">
        <v>1.3879999999999999</v>
      </c>
      <c r="AR334" s="34">
        <v>4.7E-2</v>
      </c>
      <c r="AS334" s="34">
        <v>0.31</v>
      </c>
      <c r="AT334" s="34">
        <v>0.40600000000000003</v>
      </c>
      <c r="AU334" s="34">
        <v>0.05</v>
      </c>
      <c r="AV334" s="34">
        <v>3.6999999999999998E-2</v>
      </c>
      <c r="AW334" s="34">
        <v>7.0000000000000007E-2</v>
      </c>
      <c r="AX334" s="34">
        <v>4.3999999999999997E-2</v>
      </c>
      <c r="AY334" s="34">
        <v>3.6999999999999998E-2</v>
      </c>
      <c r="AZ334" s="34">
        <v>-18.940000000000001</v>
      </c>
      <c r="BA334" s="34"/>
      <c r="BB334" s="34">
        <v>13.22</v>
      </c>
      <c r="BC334" s="34">
        <v>2876</v>
      </c>
      <c r="BD334" s="3"/>
      <c r="BE334" s="3"/>
      <c r="BF334" s="3"/>
      <c r="BH334" s="16">
        <v>5.53</v>
      </c>
      <c r="BI334" s="16">
        <f t="shared" si="192"/>
        <v>11.1706</v>
      </c>
      <c r="BJ334" s="17">
        <f t="shared" si="177"/>
        <v>1.86</v>
      </c>
      <c r="BK334" s="17">
        <f t="shared" si="178"/>
        <v>2.59</v>
      </c>
      <c r="BM334" s="1">
        <f t="shared" si="179"/>
        <v>92.8</v>
      </c>
      <c r="BN334" s="1">
        <f t="shared" si="180"/>
        <v>86</v>
      </c>
      <c r="BO334" s="1">
        <f t="shared" si="181"/>
        <v>77.599999999999994</v>
      </c>
      <c r="BP334" s="56">
        <f t="shared" si="182"/>
        <v>0.215</v>
      </c>
      <c r="BQ334" s="56">
        <f t="shared" si="183"/>
        <v>6.2E-2</v>
      </c>
      <c r="BS334" s="47">
        <f t="shared" si="176"/>
        <v>0</v>
      </c>
      <c r="BT334" s="44">
        <v>0</v>
      </c>
      <c r="BV334" s="16">
        <f t="shared" si="193"/>
        <v>1.86</v>
      </c>
      <c r="BW334" s="16">
        <f t="shared" si="194"/>
        <v>2.59</v>
      </c>
      <c r="BX334" s="3">
        <f t="shared" si="195"/>
        <v>-17.7</v>
      </c>
      <c r="BY334" s="3">
        <f t="shared" si="196"/>
        <v>-18.100000000000001</v>
      </c>
      <c r="BZ334" s="3">
        <f t="shared" si="197"/>
        <v>-18.600000000000001</v>
      </c>
      <c r="CA334" s="3">
        <f t="shared" si="198"/>
        <v>-3.6</v>
      </c>
      <c r="CB334" s="3">
        <f t="shared" si="199"/>
        <v>0.3</v>
      </c>
      <c r="CC334" s="3">
        <f t="shared" si="200"/>
        <v>0.8</v>
      </c>
      <c r="CD334" s="3">
        <f t="shared" si="201"/>
        <v>1.7</v>
      </c>
      <c r="CE334" s="23">
        <f t="shared" si="202"/>
        <v>86</v>
      </c>
      <c r="CF334" s="1">
        <f t="shared" si="203"/>
        <v>-10.4</v>
      </c>
      <c r="CG334" s="1">
        <f t="shared" si="204"/>
        <v>-10.5</v>
      </c>
      <c r="CH334" s="1">
        <f t="shared" si="205"/>
        <v>-10.5</v>
      </c>
      <c r="CI334" s="1">
        <f t="shared" si="206"/>
        <v>-2.2000000000000002</v>
      </c>
      <c r="CJ334" s="1">
        <f t="shared" si="207"/>
        <v>0.5</v>
      </c>
      <c r="CK334" s="1">
        <f t="shared" si="208"/>
        <v>1</v>
      </c>
      <c r="CL334" s="1">
        <f t="shared" si="209"/>
        <v>1.9</v>
      </c>
      <c r="CM334" s="2">
        <f t="shared" si="210"/>
        <v>92.8</v>
      </c>
      <c r="CN334" s="1">
        <f t="shared" si="211"/>
        <v>-28</v>
      </c>
      <c r="CO334" s="1">
        <f t="shared" si="212"/>
        <v>-28.7</v>
      </c>
      <c r="CP334" s="1">
        <f t="shared" si="213"/>
        <v>-30.8</v>
      </c>
      <c r="CQ334" s="1">
        <f t="shared" si="214"/>
        <v>-5.8</v>
      </c>
      <c r="CR334" s="1">
        <f t="shared" si="215"/>
        <v>0</v>
      </c>
      <c r="CS334" s="1">
        <f t="shared" si="216"/>
        <v>0.5</v>
      </c>
      <c r="CT334" s="1">
        <f t="shared" si="217"/>
        <v>1.4</v>
      </c>
      <c r="CU334" s="2">
        <f t="shared" si="218"/>
        <v>77.599999999999994</v>
      </c>
      <c r="CV334" s="18" t="s">
        <v>233</v>
      </c>
      <c r="CW334" s="1">
        <f>ROUND(PPTest!K334,1)</f>
        <v>0</v>
      </c>
      <c r="CX334" s="17">
        <f t="shared" si="219"/>
        <v>0.66</v>
      </c>
      <c r="CY334" s="17">
        <f t="shared" si="220"/>
        <v>2.0299999999999998</v>
      </c>
      <c r="CZ334" s="20">
        <f t="shared" si="221"/>
        <v>0.215</v>
      </c>
      <c r="DA334" s="20">
        <f t="shared" si="222"/>
        <v>6.2E-2</v>
      </c>
      <c r="DB334" s="16">
        <f t="shared" si="223"/>
        <v>13.22</v>
      </c>
      <c r="DZ334" s="1">
        <v>-15.7</v>
      </c>
      <c r="EA334" s="1">
        <v>-10.4</v>
      </c>
      <c r="EB334" s="1">
        <v>-24</v>
      </c>
      <c r="EC334" s="1">
        <v>0</v>
      </c>
    </row>
    <row r="335" spans="1:133" x14ac:dyDescent="0.2">
      <c r="A335" s="40">
        <v>35393</v>
      </c>
      <c r="B335" s="42">
        <v>329</v>
      </c>
      <c r="C335" s="34">
        <v>0.72099999999999997</v>
      </c>
      <c r="D335" s="34">
        <v>1.6850000000000001</v>
      </c>
      <c r="E335" s="34">
        <v>-7.7</v>
      </c>
      <c r="F335" s="34">
        <v>100.1</v>
      </c>
      <c r="G335" s="34">
        <v>-8.08</v>
      </c>
      <c r="H335" s="34">
        <v>-8.3800000000000008</v>
      </c>
      <c r="I335" s="34">
        <v>-1.847</v>
      </c>
      <c r="J335" s="34">
        <v>-8.3800000000000008</v>
      </c>
      <c r="K335" s="34">
        <v>-8.34</v>
      </c>
      <c r="L335" s="34">
        <v>0.375</v>
      </c>
      <c r="M335" s="34">
        <v>0.91800000000000004</v>
      </c>
      <c r="N335" s="34">
        <v>1.8149999999999999</v>
      </c>
      <c r="O335" s="34">
        <v>0</v>
      </c>
      <c r="P335" s="34">
        <v>0.85166666666666668</v>
      </c>
      <c r="Q335" s="34"/>
      <c r="R335" s="34">
        <v>-1.454</v>
      </c>
      <c r="S335" s="34">
        <v>1241</v>
      </c>
      <c r="T335" s="34">
        <v>103.9</v>
      </c>
      <c r="U335" s="34">
        <v>1645</v>
      </c>
      <c r="V335" s="34">
        <v>-0.98099999999999998</v>
      </c>
      <c r="W335" s="34">
        <v>-2.6789999999999998</v>
      </c>
      <c r="X335" s="34">
        <v>-1.387</v>
      </c>
      <c r="Y335" s="34">
        <v>-4.9139999999999997</v>
      </c>
      <c r="Z335" s="34">
        <v>-5.0730000000000004</v>
      </c>
      <c r="AA335" s="34">
        <v>0.44</v>
      </c>
      <c r="AB335" s="34">
        <v>0.98</v>
      </c>
      <c r="AC335" s="34">
        <v>1.871</v>
      </c>
      <c r="AD335" s="34">
        <v>2.7008333333333336</v>
      </c>
      <c r="AE335" s="34">
        <v>1314</v>
      </c>
      <c r="AF335" s="34">
        <v>-10.34</v>
      </c>
      <c r="AG335" s="34">
        <v>2</v>
      </c>
      <c r="AH335" s="34">
        <v>96.6</v>
      </c>
      <c r="AI335" s="34">
        <v>1245</v>
      </c>
      <c r="AJ335" s="34">
        <v>-10.61</v>
      </c>
      <c r="AK335" s="34">
        <v>-13.04</v>
      </c>
      <c r="AL335" s="34">
        <v>-2.2730000000000001</v>
      </c>
      <c r="AM335" s="34">
        <v>-10.97</v>
      </c>
      <c r="AN335" s="34">
        <v>-10.97</v>
      </c>
      <c r="AO335" s="34">
        <v>0.32300000000000001</v>
      </c>
      <c r="AP335" s="34">
        <v>0.84099999999999997</v>
      </c>
      <c r="AQ335" s="34">
        <v>1.738</v>
      </c>
      <c r="AR335" s="34">
        <v>6.5000000000000002E-2</v>
      </c>
      <c r="AS335" s="34">
        <v>0.308</v>
      </c>
      <c r="AT335" s="34">
        <v>0.251</v>
      </c>
      <c r="AU335" s="34">
        <v>5.2999999999999999E-2</v>
      </c>
      <c r="AV335" s="34">
        <v>0.125</v>
      </c>
      <c r="AW335" s="34">
        <v>0.14699999999999999</v>
      </c>
      <c r="AX335" s="34">
        <v>3.1E-2</v>
      </c>
      <c r="AY335" s="34">
        <v>0.02</v>
      </c>
      <c r="AZ335" s="34">
        <v>-8.2100000000000009</v>
      </c>
      <c r="BA335" s="34"/>
      <c r="BB335" s="34">
        <v>13.1</v>
      </c>
      <c r="BC335" s="34">
        <v>2876</v>
      </c>
      <c r="BD335" s="3"/>
      <c r="BE335" s="3"/>
      <c r="BF335" s="3"/>
      <c r="BH335" s="16">
        <v>5.45</v>
      </c>
      <c r="BI335" s="16">
        <f t="shared" si="192"/>
        <v>11.009</v>
      </c>
      <c r="BJ335" s="17">
        <f t="shared" si="177"/>
        <v>0.72</v>
      </c>
      <c r="BK335" s="17">
        <f t="shared" si="178"/>
        <v>1.77</v>
      </c>
      <c r="BM335" s="1">
        <f t="shared" si="179"/>
        <v>97</v>
      </c>
      <c r="BN335" s="1">
        <f t="shared" si="180"/>
        <v>93.5</v>
      </c>
      <c r="BO335" s="1">
        <f t="shared" si="181"/>
        <v>90.3</v>
      </c>
      <c r="BP335" s="56">
        <f t="shared" si="182"/>
        <v>0.496</v>
      </c>
      <c r="BQ335" s="56">
        <f t="shared" si="183"/>
        <v>5.2999999999999999E-2</v>
      </c>
      <c r="BS335" s="47">
        <f t="shared" si="176"/>
        <v>1.5</v>
      </c>
      <c r="BT335" s="44">
        <v>1</v>
      </c>
      <c r="BV335" s="16">
        <f t="shared" si="193"/>
        <v>0.72</v>
      </c>
      <c r="BW335" s="16">
        <f t="shared" si="194"/>
        <v>1.77</v>
      </c>
      <c r="BX335" s="3">
        <f t="shared" si="195"/>
        <v>-7.7</v>
      </c>
      <c r="BY335" s="3">
        <f t="shared" si="196"/>
        <v>-8.1</v>
      </c>
      <c r="BZ335" s="3">
        <f t="shared" si="197"/>
        <v>-8.4</v>
      </c>
      <c r="CA335" s="3">
        <f t="shared" si="198"/>
        <v>-1.8</v>
      </c>
      <c r="CB335" s="3">
        <f t="shared" si="199"/>
        <v>0.4</v>
      </c>
      <c r="CC335" s="3">
        <f t="shared" si="200"/>
        <v>0.9</v>
      </c>
      <c r="CD335" s="3">
        <f t="shared" si="201"/>
        <v>1.8</v>
      </c>
      <c r="CE335" s="23">
        <f t="shared" si="202"/>
        <v>93.5</v>
      </c>
      <c r="CF335" s="1">
        <f t="shared" si="203"/>
        <v>-1.5</v>
      </c>
      <c r="CG335" s="1">
        <f t="shared" si="204"/>
        <v>-1</v>
      </c>
      <c r="CH335" s="1">
        <f t="shared" si="205"/>
        <v>-2.7</v>
      </c>
      <c r="CI335" s="1">
        <f t="shared" si="206"/>
        <v>-1.4</v>
      </c>
      <c r="CJ335" s="1">
        <f t="shared" si="207"/>
        <v>0.4</v>
      </c>
      <c r="CK335" s="1">
        <f t="shared" si="208"/>
        <v>1</v>
      </c>
      <c r="CL335" s="1">
        <f t="shared" si="209"/>
        <v>1.9</v>
      </c>
      <c r="CM335" s="2">
        <f t="shared" si="210"/>
        <v>97</v>
      </c>
      <c r="CN335" s="1">
        <f t="shared" si="211"/>
        <v>-10.3</v>
      </c>
      <c r="CO335" s="1">
        <f t="shared" si="212"/>
        <v>-10.6</v>
      </c>
      <c r="CP335" s="1">
        <f t="shared" si="213"/>
        <v>-13</v>
      </c>
      <c r="CQ335" s="1">
        <f t="shared" si="214"/>
        <v>-2.2999999999999998</v>
      </c>
      <c r="CR335" s="1">
        <f t="shared" si="215"/>
        <v>0.3</v>
      </c>
      <c r="CS335" s="1">
        <f t="shared" si="216"/>
        <v>0.8</v>
      </c>
      <c r="CT335" s="1">
        <f t="shared" si="217"/>
        <v>1.7</v>
      </c>
      <c r="CU335" s="2">
        <f t="shared" si="218"/>
        <v>90.3</v>
      </c>
      <c r="CV335" s="18" t="s">
        <v>233</v>
      </c>
      <c r="CW335" s="1">
        <f>ROUND(PPTest!K335,1)</f>
        <v>1.6</v>
      </c>
      <c r="CX335" s="17">
        <f t="shared" si="219"/>
        <v>0.85</v>
      </c>
      <c r="CY335" s="17">
        <f t="shared" si="220"/>
        <v>2.7</v>
      </c>
      <c r="CZ335" s="20">
        <f t="shared" si="221"/>
        <v>0.496</v>
      </c>
      <c r="DA335" s="20">
        <f t="shared" si="222"/>
        <v>5.2999999999999999E-2</v>
      </c>
      <c r="DB335" s="16">
        <f t="shared" si="223"/>
        <v>13.1</v>
      </c>
      <c r="DZ335" s="1">
        <v>-7.4</v>
      </c>
      <c r="EA335" s="1">
        <v>-5.6</v>
      </c>
      <c r="EB335" s="1">
        <v>-10.5</v>
      </c>
      <c r="EC335" s="1">
        <v>6.4</v>
      </c>
    </row>
    <row r="336" spans="1:133" x14ac:dyDescent="0.2">
      <c r="A336" s="40">
        <v>35394</v>
      </c>
      <c r="B336" s="42">
        <v>330</v>
      </c>
      <c r="C336" s="34">
        <v>0.38500000000000001</v>
      </c>
      <c r="D336" s="34">
        <v>1.0169999999999999</v>
      </c>
      <c r="E336" s="34">
        <v>-6.3959999999999999</v>
      </c>
      <c r="F336" s="34">
        <v>101.6</v>
      </c>
      <c r="G336" s="34">
        <v>-6.9269999999999996</v>
      </c>
      <c r="H336" s="34">
        <v>-7.2</v>
      </c>
      <c r="I336" s="34">
        <v>-1.347</v>
      </c>
      <c r="J336" s="34">
        <v>-7.11</v>
      </c>
      <c r="K336" s="34">
        <v>-7.07</v>
      </c>
      <c r="L336" s="34">
        <v>0.30599999999999999</v>
      </c>
      <c r="M336" s="34">
        <v>0.85799999999999998</v>
      </c>
      <c r="N336" s="34">
        <v>1.77</v>
      </c>
      <c r="O336" s="34">
        <v>0</v>
      </c>
      <c r="P336" s="34">
        <v>0.72950000000000004</v>
      </c>
      <c r="Q336" s="34"/>
      <c r="R336" s="34">
        <v>-3.8010000000000002</v>
      </c>
      <c r="S336" s="34">
        <v>1249</v>
      </c>
      <c r="T336" s="34">
        <v>103.3</v>
      </c>
      <c r="U336" s="34">
        <v>1739</v>
      </c>
      <c r="V336" s="34">
        <v>-4.1130000000000004</v>
      </c>
      <c r="W336" s="34">
        <v>-4.8860000000000001</v>
      </c>
      <c r="X336" s="34">
        <v>-1.081</v>
      </c>
      <c r="Y336" s="34">
        <v>-4.9059999999999997</v>
      </c>
      <c r="Z336" s="34">
        <v>-4.9880000000000004</v>
      </c>
      <c r="AA336" s="34">
        <v>0.35299999999999998</v>
      </c>
      <c r="AB336" s="34">
        <v>0.91100000000000003</v>
      </c>
      <c r="AC336" s="34">
        <v>1.833</v>
      </c>
      <c r="AD336" s="34">
        <v>2.4608333333333334</v>
      </c>
      <c r="AE336" s="34">
        <v>1430</v>
      </c>
      <c r="AF336" s="34">
        <v>-8.5399999999999991</v>
      </c>
      <c r="AG336" s="34">
        <v>1</v>
      </c>
      <c r="AH336" s="34">
        <v>98.5</v>
      </c>
      <c r="AI336" s="34">
        <v>1139</v>
      </c>
      <c r="AJ336" s="34">
        <v>-9.4499999999999993</v>
      </c>
      <c r="AK336" s="34">
        <v>-12.37</v>
      </c>
      <c r="AL336" s="34">
        <v>-1.9019999999999999</v>
      </c>
      <c r="AM336" s="34">
        <v>-9.39</v>
      </c>
      <c r="AN336" s="34">
        <v>-9.42</v>
      </c>
      <c r="AO336" s="34">
        <v>0.26400000000000001</v>
      </c>
      <c r="AP336" s="34">
        <v>0.81799999999999995</v>
      </c>
      <c r="AQ336" s="34">
        <v>1.7290000000000001</v>
      </c>
      <c r="AR336" s="34">
        <v>4.3999999999999997E-2</v>
      </c>
      <c r="AS336" s="34">
        <v>0.24</v>
      </c>
      <c r="AT336" s="34">
        <v>0.23899999999999999</v>
      </c>
      <c r="AU336" s="34">
        <v>3.7999999999999999E-2</v>
      </c>
      <c r="AV336" s="34">
        <v>9.7000000000000003E-2</v>
      </c>
      <c r="AW336" s="34">
        <v>0.28100000000000003</v>
      </c>
      <c r="AX336" s="34">
        <v>4.7E-2</v>
      </c>
      <c r="AY336" s="34">
        <v>1.4999999999999999E-2</v>
      </c>
      <c r="AZ336" s="34">
        <v>-7.03</v>
      </c>
      <c r="BA336" s="34"/>
      <c r="BB336" s="34">
        <v>12.91</v>
      </c>
      <c r="BC336" s="34">
        <v>2876</v>
      </c>
      <c r="BD336" s="3"/>
      <c r="BE336" s="3"/>
      <c r="BF336" s="3"/>
      <c r="BH336" s="16">
        <v>5.36</v>
      </c>
      <c r="BI336" s="16">
        <f t="shared" si="192"/>
        <v>10.827200000000001</v>
      </c>
      <c r="BJ336" s="17">
        <f t="shared" si="177"/>
        <v>0.39</v>
      </c>
      <c r="BK336" s="17">
        <f t="shared" si="178"/>
        <v>1.07</v>
      </c>
      <c r="BM336" s="1">
        <f t="shared" si="179"/>
        <v>96.4</v>
      </c>
      <c r="BN336" s="1">
        <f t="shared" si="180"/>
        <v>94.9</v>
      </c>
      <c r="BO336" s="1">
        <f t="shared" si="181"/>
        <v>92</v>
      </c>
      <c r="BP336" s="56">
        <f t="shared" si="182"/>
        <v>0.42399999999999999</v>
      </c>
      <c r="BQ336" s="56">
        <f t="shared" si="183"/>
        <v>3.6999999999999998E-2</v>
      </c>
      <c r="BS336" s="47">
        <f t="shared" si="176"/>
        <v>7.5</v>
      </c>
      <c r="BT336" s="44">
        <v>5</v>
      </c>
      <c r="BV336" s="16">
        <f t="shared" si="193"/>
        <v>0.39</v>
      </c>
      <c r="BW336" s="16">
        <f t="shared" si="194"/>
        <v>1.07</v>
      </c>
      <c r="BX336" s="3">
        <f t="shared" si="195"/>
        <v>-6.4</v>
      </c>
      <c r="BY336" s="3">
        <f t="shared" si="196"/>
        <v>-6.9</v>
      </c>
      <c r="BZ336" s="3">
        <f t="shared" si="197"/>
        <v>-7.2</v>
      </c>
      <c r="CA336" s="3">
        <f t="shared" si="198"/>
        <v>-1.3</v>
      </c>
      <c r="CB336" s="3">
        <f t="shared" si="199"/>
        <v>0.3</v>
      </c>
      <c r="CC336" s="3">
        <f t="shared" si="200"/>
        <v>0.9</v>
      </c>
      <c r="CD336" s="3">
        <f t="shared" si="201"/>
        <v>1.8</v>
      </c>
      <c r="CE336" s="23">
        <f t="shared" si="202"/>
        <v>94.9</v>
      </c>
      <c r="CF336" s="1">
        <f t="shared" si="203"/>
        <v>-3.8</v>
      </c>
      <c r="CG336" s="1">
        <f t="shared" si="204"/>
        <v>-4.0999999999999996</v>
      </c>
      <c r="CH336" s="1">
        <f t="shared" si="205"/>
        <v>-4.9000000000000004</v>
      </c>
      <c r="CI336" s="1">
        <f t="shared" si="206"/>
        <v>-1.1000000000000001</v>
      </c>
      <c r="CJ336" s="1">
        <f t="shared" si="207"/>
        <v>0.4</v>
      </c>
      <c r="CK336" s="1">
        <f t="shared" si="208"/>
        <v>0.9</v>
      </c>
      <c r="CL336" s="1">
        <f t="shared" si="209"/>
        <v>1.8</v>
      </c>
      <c r="CM336" s="2">
        <f t="shared" si="210"/>
        <v>96.4</v>
      </c>
      <c r="CN336" s="1">
        <f t="shared" si="211"/>
        <v>-8.5</v>
      </c>
      <c r="CO336" s="1">
        <f t="shared" si="212"/>
        <v>-9.5</v>
      </c>
      <c r="CP336" s="1">
        <f t="shared" si="213"/>
        <v>-12.4</v>
      </c>
      <c r="CQ336" s="1">
        <f t="shared" si="214"/>
        <v>-1.9</v>
      </c>
      <c r="CR336" s="1">
        <f t="shared" si="215"/>
        <v>0.3</v>
      </c>
      <c r="CS336" s="1">
        <f t="shared" si="216"/>
        <v>0.8</v>
      </c>
      <c r="CT336" s="1">
        <f t="shared" si="217"/>
        <v>1.7</v>
      </c>
      <c r="CU336" s="2">
        <f t="shared" si="218"/>
        <v>92</v>
      </c>
      <c r="CV336" s="18" t="s">
        <v>233</v>
      </c>
      <c r="CW336" s="1">
        <f>ROUND(PPTest!K336,1)</f>
        <v>7.9</v>
      </c>
      <c r="CX336" s="17">
        <f t="shared" si="219"/>
        <v>0.73</v>
      </c>
      <c r="CY336" s="17">
        <f t="shared" si="220"/>
        <v>2.46</v>
      </c>
      <c r="CZ336" s="20">
        <f t="shared" si="221"/>
        <v>0.42399999999999999</v>
      </c>
      <c r="DA336" s="20">
        <f t="shared" si="222"/>
        <v>3.6999999999999998E-2</v>
      </c>
      <c r="DB336" s="16">
        <f t="shared" si="223"/>
        <v>12.91</v>
      </c>
      <c r="DZ336" s="1">
        <v>-3.8</v>
      </c>
      <c r="EA336" s="1">
        <v>-2</v>
      </c>
      <c r="EB336" s="1">
        <v>-6.6</v>
      </c>
      <c r="EC336" s="1">
        <v>0.5</v>
      </c>
    </row>
    <row r="337" spans="1:133" x14ac:dyDescent="0.2">
      <c r="A337" s="40">
        <v>35395</v>
      </c>
      <c r="B337" s="42">
        <v>331</v>
      </c>
      <c r="C337" s="34">
        <v>0.38200000000000001</v>
      </c>
      <c r="D337" s="34">
        <v>0.94099999999999995</v>
      </c>
      <c r="E337" s="34">
        <v>-4.8970000000000002</v>
      </c>
      <c r="F337" s="34">
        <v>100.2</v>
      </c>
      <c r="G337" s="34">
        <v>-5.2770000000000001</v>
      </c>
      <c r="H337" s="34">
        <v>-5.4820000000000002</v>
      </c>
      <c r="I337" s="34">
        <v>-1.0580000000000001</v>
      </c>
      <c r="J337" s="34">
        <v>-5.7080000000000002</v>
      </c>
      <c r="K337" s="34">
        <v>-5.718</v>
      </c>
      <c r="L337" s="34">
        <v>0.27</v>
      </c>
      <c r="M337" s="34">
        <v>0.81299999999999994</v>
      </c>
      <c r="N337" s="34">
        <v>1.7250000000000001</v>
      </c>
      <c r="O337" s="34">
        <v>0</v>
      </c>
      <c r="P337" s="34">
        <v>0.78433333333333333</v>
      </c>
      <c r="Q337" s="34"/>
      <c r="R337" s="34">
        <v>-2.5190000000000001</v>
      </c>
      <c r="S337" s="34">
        <v>1155</v>
      </c>
      <c r="T337" s="34">
        <v>104.2</v>
      </c>
      <c r="U337" s="34">
        <v>1907</v>
      </c>
      <c r="V337" s="34">
        <v>-2.2200000000000002</v>
      </c>
      <c r="W337" s="34">
        <v>-3.0870000000000002</v>
      </c>
      <c r="X337" s="34">
        <v>-0.82899999999999996</v>
      </c>
      <c r="Y337" s="34">
        <v>-3.919</v>
      </c>
      <c r="Z337" s="34">
        <v>-4.0039999999999996</v>
      </c>
      <c r="AA337" s="34">
        <v>0.29699999999999999</v>
      </c>
      <c r="AB337" s="34">
        <v>0.84499999999999997</v>
      </c>
      <c r="AC337" s="34">
        <v>1.7609999999999999</v>
      </c>
      <c r="AD337" s="34">
        <v>2.6741666666666668</v>
      </c>
      <c r="AE337" s="34">
        <v>1034</v>
      </c>
      <c r="AF337" s="34">
        <v>-7.1</v>
      </c>
      <c r="AG337" s="34">
        <v>4</v>
      </c>
      <c r="AH337" s="34">
        <v>84.3</v>
      </c>
      <c r="AI337" s="34">
        <v>1202</v>
      </c>
      <c r="AJ337" s="34">
        <v>-7.66</v>
      </c>
      <c r="AK337" s="34">
        <v>-7.79</v>
      </c>
      <c r="AL337" s="34">
        <v>-1.417</v>
      </c>
      <c r="AM337" s="34">
        <v>-7.89</v>
      </c>
      <c r="AN337" s="34">
        <v>-7.86</v>
      </c>
      <c r="AO337" s="34">
        <v>0.245</v>
      </c>
      <c r="AP337" s="34">
        <v>0.76700000000000002</v>
      </c>
      <c r="AQ337" s="34">
        <v>1.6830000000000001</v>
      </c>
      <c r="AR337" s="34">
        <v>5.2999999999999999E-2</v>
      </c>
      <c r="AS337" s="34">
        <v>0.33500000000000002</v>
      </c>
      <c r="AT337" s="34">
        <v>0.28000000000000003</v>
      </c>
      <c r="AU337" s="34">
        <v>7.0999999999999994E-2</v>
      </c>
      <c r="AV337" s="34">
        <v>5.8000000000000003E-2</v>
      </c>
      <c r="AW337" s="34">
        <v>0.107</v>
      </c>
      <c r="AX337" s="34">
        <v>0.06</v>
      </c>
      <c r="AY337" s="34">
        <v>3.5000000000000003E-2</v>
      </c>
      <c r="AZ337" s="34">
        <v>-5.5250000000000004</v>
      </c>
      <c r="BA337" s="34"/>
      <c r="BB337" s="34">
        <v>12.77</v>
      </c>
      <c r="BC337" s="34">
        <v>2876</v>
      </c>
      <c r="BD337" s="3"/>
      <c r="BE337" s="3"/>
      <c r="BF337" s="3"/>
      <c r="BH337" s="16">
        <v>5.28</v>
      </c>
      <c r="BI337" s="16">
        <f t="shared" si="192"/>
        <v>10.665600000000001</v>
      </c>
      <c r="BJ337" s="17">
        <f t="shared" si="177"/>
        <v>0.38</v>
      </c>
      <c r="BK337" s="17">
        <f t="shared" si="178"/>
        <v>0.99</v>
      </c>
      <c r="BM337" s="1">
        <f t="shared" si="179"/>
        <v>97.3</v>
      </c>
      <c r="BN337" s="1">
        <f t="shared" si="180"/>
        <v>93.6</v>
      </c>
      <c r="BO337" s="1">
        <f t="shared" si="181"/>
        <v>78.900000000000006</v>
      </c>
      <c r="BP337" s="56">
        <f t="shared" si="182"/>
        <v>0.4</v>
      </c>
      <c r="BQ337" s="56">
        <f t="shared" si="183"/>
        <v>0.107</v>
      </c>
      <c r="BS337" s="47">
        <f t="shared" si="176"/>
        <v>4.5</v>
      </c>
      <c r="BT337" s="44">
        <v>3</v>
      </c>
      <c r="BV337" s="16">
        <f t="shared" si="193"/>
        <v>0.38</v>
      </c>
      <c r="BW337" s="16">
        <f t="shared" si="194"/>
        <v>0.99</v>
      </c>
      <c r="BX337" s="3">
        <f t="shared" si="195"/>
        <v>-4.9000000000000004</v>
      </c>
      <c r="BY337" s="3">
        <f t="shared" si="196"/>
        <v>-5.3</v>
      </c>
      <c r="BZ337" s="3">
        <f t="shared" si="197"/>
        <v>-5.5</v>
      </c>
      <c r="CA337" s="3">
        <f t="shared" si="198"/>
        <v>-1.1000000000000001</v>
      </c>
      <c r="CB337" s="3">
        <f t="shared" si="199"/>
        <v>0.3</v>
      </c>
      <c r="CC337" s="3">
        <f t="shared" si="200"/>
        <v>0.8</v>
      </c>
      <c r="CD337" s="3">
        <f t="shared" si="201"/>
        <v>1.7</v>
      </c>
      <c r="CE337" s="23">
        <f t="shared" si="202"/>
        <v>93.6</v>
      </c>
      <c r="CF337" s="1">
        <f t="shared" si="203"/>
        <v>-2.5</v>
      </c>
      <c r="CG337" s="1">
        <f t="shared" si="204"/>
        <v>-2.2000000000000002</v>
      </c>
      <c r="CH337" s="1">
        <f t="shared" si="205"/>
        <v>-3.1</v>
      </c>
      <c r="CI337" s="1">
        <f t="shared" si="206"/>
        <v>-0.8</v>
      </c>
      <c r="CJ337" s="1">
        <f t="shared" si="207"/>
        <v>0.3</v>
      </c>
      <c r="CK337" s="1">
        <f t="shared" si="208"/>
        <v>0.8</v>
      </c>
      <c r="CL337" s="1">
        <f t="shared" si="209"/>
        <v>1.8</v>
      </c>
      <c r="CM337" s="2">
        <f t="shared" si="210"/>
        <v>97.3</v>
      </c>
      <c r="CN337" s="1">
        <f t="shared" si="211"/>
        <v>-7.1</v>
      </c>
      <c r="CO337" s="1">
        <f t="shared" si="212"/>
        <v>-7.7</v>
      </c>
      <c r="CP337" s="1">
        <f t="shared" si="213"/>
        <v>-7.8</v>
      </c>
      <c r="CQ337" s="1">
        <f t="shared" si="214"/>
        <v>-1.4</v>
      </c>
      <c r="CR337" s="1">
        <f t="shared" si="215"/>
        <v>0.2</v>
      </c>
      <c r="CS337" s="1">
        <f t="shared" si="216"/>
        <v>0.8</v>
      </c>
      <c r="CT337" s="1">
        <f t="shared" si="217"/>
        <v>1.7</v>
      </c>
      <c r="CU337" s="2">
        <f t="shared" si="218"/>
        <v>78.900000000000006</v>
      </c>
      <c r="CV337" s="18" t="s">
        <v>233</v>
      </c>
      <c r="CW337" s="1">
        <f>ROUND(PPTest!K337,1)</f>
        <v>4.7</v>
      </c>
      <c r="CX337" s="17">
        <f t="shared" si="219"/>
        <v>0.78</v>
      </c>
      <c r="CY337" s="17">
        <f t="shared" si="220"/>
        <v>2.67</v>
      </c>
      <c r="CZ337" s="20">
        <f t="shared" si="221"/>
        <v>0.4</v>
      </c>
      <c r="DA337" s="20">
        <f t="shared" si="222"/>
        <v>0.107</v>
      </c>
      <c r="DB337" s="16">
        <f t="shared" si="223"/>
        <v>12.77</v>
      </c>
      <c r="DZ337" s="1">
        <v>-5.5</v>
      </c>
      <c r="EA337" s="1">
        <v>-3.3</v>
      </c>
      <c r="EB337" s="1">
        <v>-9</v>
      </c>
      <c r="EC337" s="1">
        <v>7.9</v>
      </c>
    </row>
    <row r="338" spans="1:133" x14ac:dyDescent="0.2">
      <c r="A338" s="40">
        <v>35396</v>
      </c>
      <c r="B338" s="42">
        <v>332</v>
      </c>
      <c r="C338" s="34">
        <v>0.23100000000000001</v>
      </c>
      <c r="D338" s="34">
        <v>0.64700000000000002</v>
      </c>
      <c r="E338" s="34">
        <v>-3.7959999999999998</v>
      </c>
      <c r="F338" s="34">
        <v>102.4</v>
      </c>
      <c r="G338" s="34">
        <v>-4.2430000000000003</v>
      </c>
      <c r="H338" s="34">
        <v>-4.3730000000000002</v>
      </c>
      <c r="I338" s="34">
        <v>-0.73899999999999999</v>
      </c>
      <c r="J338" s="34">
        <v>-4.4160000000000004</v>
      </c>
      <c r="K338" s="34">
        <v>-4.51</v>
      </c>
      <c r="L338" s="34">
        <v>0.26200000000000001</v>
      </c>
      <c r="M338" s="34">
        <v>0.78200000000000003</v>
      </c>
      <c r="N338" s="34">
        <v>1.6850000000000001</v>
      </c>
      <c r="O338" s="34">
        <v>0</v>
      </c>
      <c r="P338" s="34">
        <v>0.93366666666666664</v>
      </c>
      <c r="Q338" s="34"/>
      <c r="R338" s="34">
        <v>-1.421</v>
      </c>
      <c r="S338" s="34">
        <v>1412</v>
      </c>
      <c r="T338" s="34">
        <v>104.3</v>
      </c>
      <c r="U338" s="34">
        <v>1844</v>
      </c>
      <c r="V338" s="34">
        <v>-1.575</v>
      </c>
      <c r="W338" s="34">
        <v>-2.1059999999999999</v>
      </c>
      <c r="X338" s="34">
        <v>-0.64100000000000001</v>
      </c>
      <c r="Y338" s="34">
        <v>-3.5630000000000002</v>
      </c>
      <c r="Z338" s="34">
        <v>-3.4670000000000001</v>
      </c>
      <c r="AA338" s="34">
        <v>0.30299999999999999</v>
      </c>
      <c r="AB338" s="34">
        <v>0.83299999999999996</v>
      </c>
      <c r="AC338" s="34">
        <v>1.7410000000000001</v>
      </c>
      <c r="AD338" s="34">
        <v>3.2608333333333333</v>
      </c>
      <c r="AE338" s="34">
        <v>435</v>
      </c>
      <c r="AF338" s="34">
        <v>-6.99</v>
      </c>
      <c r="AG338" s="34">
        <v>317</v>
      </c>
      <c r="AH338" s="34">
        <v>97.6</v>
      </c>
      <c r="AI338" s="34">
        <v>1300</v>
      </c>
      <c r="AJ338" s="34">
        <v>-6.4870000000000001</v>
      </c>
      <c r="AK338" s="34">
        <v>-6.484</v>
      </c>
      <c r="AL338" s="34">
        <v>-0.86199999999999999</v>
      </c>
      <c r="AM338" s="34">
        <v>-4.9320000000000004</v>
      </c>
      <c r="AN338" s="34">
        <v>-5.5339999999999998</v>
      </c>
      <c r="AO338" s="34">
        <v>0.23200000000000001</v>
      </c>
      <c r="AP338" s="34">
        <v>0.74199999999999999</v>
      </c>
      <c r="AQ338" s="34">
        <v>1.639</v>
      </c>
      <c r="AR338" s="34">
        <v>0.10199999999999999</v>
      </c>
      <c r="AS338" s="34">
        <v>0.39600000000000002</v>
      </c>
      <c r="AT338" s="34">
        <v>0.215</v>
      </c>
      <c r="AU338" s="34">
        <v>6.9000000000000006E-2</v>
      </c>
      <c r="AV338" s="34">
        <v>6.9000000000000006E-2</v>
      </c>
      <c r="AW338" s="34">
        <v>0.09</v>
      </c>
      <c r="AX338" s="34">
        <v>3.5000000000000003E-2</v>
      </c>
      <c r="AY338" s="34">
        <v>2.4E-2</v>
      </c>
      <c r="AZ338" s="34">
        <v>-4.3330000000000002</v>
      </c>
      <c r="BA338" s="34"/>
      <c r="BB338" s="34">
        <v>12.68</v>
      </c>
      <c r="BC338" s="34">
        <v>2876</v>
      </c>
      <c r="BD338" s="3"/>
      <c r="BE338" s="3"/>
      <c r="BF338" s="3"/>
      <c r="BH338" s="16">
        <v>5.2</v>
      </c>
      <c r="BI338" s="16">
        <f t="shared" si="192"/>
        <v>10.504000000000001</v>
      </c>
      <c r="BJ338" s="17">
        <f t="shared" si="177"/>
        <v>0.23</v>
      </c>
      <c r="BK338" s="17">
        <f t="shared" si="178"/>
        <v>0.68</v>
      </c>
      <c r="BM338" s="1">
        <f t="shared" si="179"/>
        <v>97.4</v>
      </c>
      <c r="BN338" s="1">
        <f t="shared" si="180"/>
        <v>95.6</v>
      </c>
      <c r="BO338" s="1">
        <f t="shared" si="181"/>
        <v>91.2</v>
      </c>
      <c r="BP338" s="56">
        <f t="shared" si="182"/>
        <v>0.502</v>
      </c>
      <c r="BQ338" s="56">
        <f t="shared" si="183"/>
        <v>4.8000000000000001E-2</v>
      </c>
      <c r="BS338" s="47">
        <f t="shared" si="176"/>
        <v>24</v>
      </c>
      <c r="BT338" s="44">
        <v>16</v>
      </c>
      <c r="BV338" s="16">
        <f t="shared" si="193"/>
        <v>0.23</v>
      </c>
      <c r="BW338" s="16">
        <f t="shared" si="194"/>
        <v>0.68</v>
      </c>
      <c r="BX338" s="3">
        <f t="shared" si="195"/>
        <v>-3.8</v>
      </c>
      <c r="BY338" s="3">
        <f t="shared" si="196"/>
        <v>-4.2</v>
      </c>
      <c r="BZ338" s="3">
        <f t="shared" si="197"/>
        <v>-4.4000000000000004</v>
      </c>
      <c r="CA338" s="3">
        <f t="shared" si="198"/>
        <v>-0.7</v>
      </c>
      <c r="CB338" s="3">
        <f t="shared" si="199"/>
        <v>0.3</v>
      </c>
      <c r="CC338" s="3">
        <f t="shared" si="200"/>
        <v>0.8</v>
      </c>
      <c r="CD338" s="3">
        <f t="shared" si="201"/>
        <v>1.7</v>
      </c>
      <c r="CE338" s="23">
        <f t="shared" si="202"/>
        <v>95.6</v>
      </c>
      <c r="CF338" s="1">
        <f t="shared" si="203"/>
        <v>-1.4</v>
      </c>
      <c r="CG338" s="1">
        <f t="shared" si="204"/>
        <v>-1.6</v>
      </c>
      <c r="CH338" s="1">
        <f t="shared" si="205"/>
        <v>-2.1</v>
      </c>
      <c r="CI338" s="1">
        <f t="shared" si="206"/>
        <v>-0.6</v>
      </c>
      <c r="CJ338" s="1">
        <f t="shared" si="207"/>
        <v>0.3</v>
      </c>
      <c r="CK338" s="1">
        <f t="shared" si="208"/>
        <v>0.8</v>
      </c>
      <c r="CL338" s="1">
        <f t="shared" si="209"/>
        <v>1.7</v>
      </c>
      <c r="CM338" s="2">
        <f t="shared" si="210"/>
        <v>97.4</v>
      </c>
      <c r="CN338" s="1">
        <f t="shared" si="211"/>
        <v>-7</v>
      </c>
      <c r="CO338" s="1">
        <f t="shared" si="212"/>
        <v>-6.5</v>
      </c>
      <c r="CP338" s="1">
        <f t="shared" si="213"/>
        <v>-6.5</v>
      </c>
      <c r="CQ338" s="1">
        <f t="shared" si="214"/>
        <v>-0.9</v>
      </c>
      <c r="CR338" s="1">
        <f t="shared" si="215"/>
        <v>0.2</v>
      </c>
      <c r="CS338" s="1">
        <f t="shared" si="216"/>
        <v>0.7</v>
      </c>
      <c r="CT338" s="1">
        <f t="shared" si="217"/>
        <v>1.6</v>
      </c>
      <c r="CU338" s="2">
        <f t="shared" si="218"/>
        <v>91.2</v>
      </c>
      <c r="CV338" s="18" t="s">
        <v>233</v>
      </c>
      <c r="CW338" s="1">
        <f>ROUND(PPTest!K338,1)</f>
        <v>25.2</v>
      </c>
      <c r="CX338" s="17">
        <f t="shared" si="219"/>
        <v>0.93</v>
      </c>
      <c r="CY338" s="17">
        <f t="shared" si="220"/>
        <v>3.26</v>
      </c>
      <c r="CZ338" s="20">
        <f t="shared" si="221"/>
        <v>0.502</v>
      </c>
      <c r="DA338" s="20">
        <f t="shared" si="222"/>
        <v>4.8000000000000001E-2</v>
      </c>
      <c r="DB338" s="16">
        <f t="shared" si="223"/>
        <v>12.68</v>
      </c>
      <c r="DZ338" s="1">
        <v>-4.5999999999999996</v>
      </c>
      <c r="EA338" s="1">
        <v>-2.1</v>
      </c>
      <c r="EB338" s="1">
        <v>-6.3</v>
      </c>
      <c r="EC338" s="1">
        <v>12.2</v>
      </c>
    </row>
    <row r="339" spans="1:133" x14ac:dyDescent="0.2">
      <c r="A339" s="40">
        <v>35397</v>
      </c>
      <c r="B339" s="42">
        <v>333</v>
      </c>
      <c r="C339" s="34">
        <v>0.14599999999999999</v>
      </c>
      <c r="D339" s="34">
        <v>0.435</v>
      </c>
      <c r="E339" s="34">
        <v>-4.9050000000000002</v>
      </c>
      <c r="F339" s="34">
        <v>103.5</v>
      </c>
      <c r="G339" s="34">
        <v>-5.4089999999999998</v>
      </c>
      <c r="H339" s="34">
        <v>-5.444</v>
      </c>
      <c r="I339" s="34">
        <v>-0.58899999999999997</v>
      </c>
      <c r="J339" s="34">
        <v>-3.8839999999999999</v>
      </c>
      <c r="K339" s="34">
        <v>-5.165</v>
      </c>
      <c r="L339" s="34">
        <v>0.26300000000000001</v>
      </c>
      <c r="M339" s="34">
        <v>0.77600000000000002</v>
      </c>
      <c r="N339" s="34">
        <v>1.661</v>
      </c>
      <c r="O339" s="34">
        <v>0</v>
      </c>
      <c r="P339" s="34">
        <v>0.99449999999999994</v>
      </c>
      <c r="Q339" s="34"/>
      <c r="R339" s="34">
        <v>-2.5939999999999999</v>
      </c>
      <c r="S339" s="34">
        <v>1</v>
      </c>
      <c r="T339" s="34">
        <v>104.6</v>
      </c>
      <c r="U339" s="34">
        <v>1232</v>
      </c>
      <c r="V339" s="34">
        <v>-3.109</v>
      </c>
      <c r="W339" s="34">
        <v>-3.097</v>
      </c>
      <c r="X339" s="34">
        <v>-0.47499999999999998</v>
      </c>
      <c r="Y339" s="34">
        <v>-3.5529999999999999</v>
      </c>
      <c r="Z339" s="34">
        <v>-3.7839999999999998</v>
      </c>
      <c r="AA339" s="34">
        <v>0.28199999999999997</v>
      </c>
      <c r="AB339" s="34">
        <v>0.79500000000000004</v>
      </c>
      <c r="AC339" s="34">
        <v>1.6910000000000001</v>
      </c>
      <c r="AD339" s="34">
        <v>2.5674999999999999</v>
      </c>
      <c r="AE339" s="34">
        <v>1402</v>
      </c>
      <c r="AF339" s="34">
        <v>-6.4169999999999998</v>
      </c>
      <c r="AG339" s="34">
        <v>2359</v>
      </c>
      <c r="AH339" s="34">
        <v>102.3</v>
      </c>
      <c r="AI339" s="34">
        <v>1002</v>
      </c>
      <c r="AJ339" s="34">
        <v>-6.8970000000000002</v>
      </c>
      <c r="AK339" s="34">
        <v>-6.9320000000000004</v>
      </c>
      <c r="AL339" s="34">
        <v>-0.70199999999999996</v>
      </c>
      <c r="AM339" s="34">
        <v>-4.1289999999999996</v>
      </c>
      <c r="AN339" s="34">
        <v>-6.617</v>
      </c>
      <c r="AO339" s="34">
        <v>0.24</v>
      </c>
      <c r="AP339" s="34">
        <v>0.75</v>
      </c>
      <c r="AQ339" s="34">
        <v>1.629</v>
      </c>
      <c r="AR339" s="34">
        <v>3.3000000000000002E-2</v>
      </c>
      <c r="AS339" s="34">
        <v>9.7000000000000003E-2</v>
      </c>
      <c r="AT339" s="34">
        <v>3.3000000000000002E-2</v>
      </c>
      <c r="AU339" s="34">
        <v>2E-3</v>
      </c>
      <c r="AV339" s="34">
        <v>0.126</v>
      </c>
      <c r="AW339" s="34">
        <v>0.626</v>
      </c>
      <c r="AX339" s="34">
        <v>7.5999999999999998E-2</v>
      </c>
      <c r="AY339" s="34">
        <v>5.0000000000000001E-3</v>
      </c>
      <c r="AZ339" s="34">
        <v>-5.0750000000000002</v>
      </c>
      <c r="BA339" s="34"/>
      <c r="BB339" s="34">
        <v>12.7</v>
      </c>
      <c r="BC339" s="34">
        <v>2876</v>
      </c>
      <c r="BD339" s="3"/>
      <c r="BE339" s="3"/>
      <c r="BF339" s="3"/>
      <c r="BH339" s="16">
        <v>5.13</v>
      </c>
      <c r="BI339" s="16">
        <f t="shared" si="192"/>
        <v>10.3626</v>
      </c>
      <c r="BJ339" s="17">
        <f t="shared" si="177"/>
        <v>0.15</v>
      </c>
      <c r="BK339" s="17">
        <f t="shared" si="178"/>
        <v>0.46</v>
      </c>
      <c r="BM339" s="1">
        <f t="shared" si="179"/>
        <v>97.7</v>
      </c>
      <c r="BN339" s="1">
        <f t="shared" si="180"/>
        <v>96.6</v>
      </c>
      <c r="BO339" s="1">
        <f t="shared" si="181"/>
        <v>95.5</v>
      </c>
      <c r="BP339" s="56">
        <f t="shared" si="182"/>
        <v>0.48199999999999998</v>
      </c>
      <c r="BQ339" s="56">
        <f t="shared" si="183"/>
        <v>2.3E-2</v>
      </c>
      <c r="BS339" s="47">
        <f t="shared" si="176"/>
        <v>16.5</v>
      </c>
      <c r="BT339" s="44">
        <v>11</v>
      </c>
      <c r="BV339" s="16">
        <f t="shared" si="193"/>
        <v>0.15</v>
      </c>
      <c r="BW339" s="16">
        <f t="shared" si="194"/>
        <v>0.46</v>
      </c>
      <c r="BX339" s="3">
        <f t="shared" si="195"/>
        <v>-4.9000000000000004</v>
      </c>
      <c r="BY339" s="3">
        <f t="shared" si="196"/>
        <v>-5.4</v>
      </c>
      <c r="BZ339" s="3">
        <f t="shared" si="197"/>
        <v>-5.4</v>
      </c>
      <c r="CA339" s="3">
        <f t="shared" si="198"/>
        <v>-0.6</v>
      </c>
      <c r="CB339" s="3">
        <f t="shared" si="199"/>
        <v>0.3</v>
      </c>
      <c r="CC339" s="3">
        <f t="shared" si="200"/>
        <v>0.8</v>
      </c>
      <c r="CD339" s="3">
        <f t="shared" si="201"/>
        <v>1.7</v>
      </c>
      <c r="CE339" s="23">
        <f t="shared" si="202"/>
        <v>96.6</v>
      </c>
      <c r="CF339" s="1">
        <f t="shared" si="203"/>
        <v>-2.6</v>
      </c>
      <c r="CG339" s="1">
        <f t="shared" si="204"/>
        <v>-3.1</v>
      </c>
      <c r="CH339" s="1">
        <f t="shared" si="205"/>
        <v>-3.1</v>
      </c>
      <c r="CI339" s="1">
        <f t="shared" si="206"/>
        <v>-0.5</v>
      </c>
      <c r="CJ339" s="1">
        <f t="shared" si="207"/>
        <v>0.3</v>
      </c>
      <c r="CK339" s="1">
        <f t="shared" si="208"/>
        <v>0.8</v>
      </c>
      <c r="CL339" s="1">
        <f t="shared" si="209"/>
        <v>1.7</v>
      </c>
      <c r="CM339" s="2">
        <f t="shared" si="210"/>
        <v>97.7</v>
      </c>
      <c r="CN339" s="1">
        <f t="shared" si="211"/>
        <v>-6.4</v>
      </c>
      <c r="CO339" s="1">
        <f t="shared" si="212"/>
        <v>-6.9</v>
      </c>
      <c r="CP339" s="1">
        <f t="shared" si="213"/>
        <v>-6.9</v>
      </c>
      <c r="CQ339" s="1">
        <f t="shared" si="214"/>
        <v>-0.7</v>
      </c>
      <c r="CR339" s="1">
        <f t="shared" si="215"/>
        <v>0.2</v>
      </c>
      <c r="CS339" s="1">
        <f t="shared" si="216"/>
        <v>0.8</v>
      </c>
      <c r="CT339" s="1">
        <f t="shared" si="217"/>
        <v>1.6</v>
      </c>
      <c r="CU339" s="2">
        <f t="shared" si="218"/>
        <v>95.5</v>
      </c>
      <c r="CV339" s="18" t="s">
        <v>233</v>
      </c>
      <c r="CW339" s="1">
        <f>ROUND(PPTest!K339,1)</f>
        <v>17.3</v>
      </c>
      <c r="CX339" s="17">
        <f t="shared" si="219"/>
        <v>0.99</v>
      </c>
      <c r="CY339" s="17">
        <f t="shared" si="220"/>
        <v>2.57</v>
      </c>
      <c r="CZ339" s="20">
        <f t="shared" si="221"/>
        <v>0.48199999999999998</v>
      </c>
      <c r="DA339" s="20">
        <f t="shared" si="222"/>
        <v>2.3E-2</v>
      </c>
      <c r="DB339" s="16">
        <f t="shared" si="223"/>
        <v>12.7</v>
      </c>
      <c r="DZ339" s="1">
        <v>-5.5</v>
      </c>
      <c r="EA339" s="1">
        <v>-3.7</v>
      </c>
      <c r="EB339" s="1">
        <v>-6.7</v>
      </c>
      <c r="EC339" s="1">
        <v>9.5</v>
      </c>
    </row>
    <row r="340" spans="1:133" x14ac:dyDescent="0.2">
      <c r="A340" s="40">
        <v>35398</v>
      </c>
      <c r="B340" s="42">
        <v>334</v>
      </c>
      <c r="C340" s="34">
        <v>0.54300000000000004</v>
      </c>
      <c r="D340" s="34">
        <v>1.2629999999999999</v>
      </c>
      <c r="E340" s="34">
        <v>-7.43</v>
      </c>
      <c r="F340" s="34">
        <v>99.6</v>
      </c>
      <c r="G340" s="34">
        <v>-8.17</v>
      </c>
      <c r="H340" s="34">
        <v>-9.18</v>
      </c>
      <c r="I340" s="34">
        <v>-0.60899999999999999</v>
      </c>
      <c r="J340" s="34">
        <v>-3.5950000000000002</v>
      </c>
      <c r="K340" s="34">
        <v>-8.33</v>
      </c>
      <c r="L340" s="34">
        <v>0.28000000000000003</v>
      </c>
      <c r="M340" s="34">
        <v>0.77</v>
      </c>
      <c r="N340" s="34">
        <v>1.6359999999999999</v>
      </c>
      <c r="O340" s="34">
        <v>0</v>
      </c>
      <c r="P340" s="34">
        <v>0.54899999999999993</v>
      </c>
      <c r="Q340" s="34"/>
      <c r="R340" s="34">
        <v>-5.1079999999999997</v>
      </c>
      <c r="S340" s="34">
        <v>1139</v>
      </c>
      <c r="T340" s="34">
        <v>102.8</v>
      </c>
      <c r="U340" s="34">
        <v>2</v>
      </c>
      <c r="V340" s="34">
        <v>-6.1239999999999997</v>
      </c>
      <c r="W340" s="34">
        <v>-6.6719999999999997</v>
      </c>
      <c r="X340" s="34">
        <v>-0.47399999999999998</v>
      </c>
      <c r="Y340" s="34">
        <v>-2.9510000000000001</v>
      </c>
      <c r="Z340" s="34">
        <v>-6.6159999999999997</v>
      </c>
      <c r="AA340" s="34">
        <v>0.33900000000000002</v>
      </c>
      <c r="AB340" s="34">
        <v>0.84599999999999997</v>
      </c>
      <c r="AC340" s="34">
        <v>1.732</v>
      </c>
      <c r="AD340" s="34">
        <v>2.0741666666666667</v>
      </c>
      <c r="AE340" s="34">
        <v>2106</v>
      </c>
      <c r="AF340" s="34">
        <v>-12.34</v>
      </c>
      <c r="AG340" s="34">
        <v>909</v>
      </c>
      <c r="AH340" s="34">
        <v>93</v>
      </c>
      <c r="AI340" s="34">
        <v>1020</v>
      </c>
      <c r="AJ340" s="34">
        <v>-13.56</v>
      </c>
      <c r="AK340" s="34">
        <v>-17.78</v>
      </c>
      <c r="AL340" s="34">
        <v>-0.82299999999999995</v>
      </c>
      <c r="AM340" s="34">
        <v>-5.0990000000000002</v>
      </c>
      <c r="AN340" s="34">
        <v>-12.67</v>
      </c>
      <c r="AO340" s="34">
        <v>0.246</v>
      </c>
      <c r="AP340" s="34">
        <v>0.70699999999999996</v>
      </c>
      <c r="AQ340" s="34">
        <v>1.571</v>
      </c>
      <c r="AR340" s="34">
        <v>0.184</v>
      </c>
      <c r="AS340" s="34">
        <v>0.122</v>
      </c>
      <c r="AT340" s="34">
        <v>0.21199999999999999</v>
      </c>
      <c r="AU340" s="34">
        <v>8.5000000000000006E-2</v>
      </c>
      <c r="AV340" s="34">
        <v>8.8999999999999996E-2</v>
      </c>
      <c r="AW340" s="34">
        <v>0.17599999999999999</v>
      </c>
      <c r="AX340" s="34">
        <v>4.1000000000000002E-2</v>
      </c>
      <c r="AY340" s="34">
        <v>9.0999999999999998E-2</v>
      </c>
      <c r="AZ340" s="34">
        <v>-9.1</v>
      </c>
      <c r="BA340" s="34"/>
      <c r="BB340" s="34">
        <v>12.73</v>
      </c>
      <c r="BC340" s="34">
        <v>2876</v>
      </c>
      <c r="BD340" s="3"/>
      <c r="BE340" s="3"/>
      <c r="BF340" s="3"/>
      <c r="BH340" s="16">
        <v>5.0599999999999996</v>
      </c>
      <c r="BI340" s="16">
        <f t="shared" si="192"/>
        <v>10.2212</v>
      </c>
      <c r="BJ340" s="17">
        <f t="shared" si="177"/>
        <v>0.54</v>
      </c>
      <c r="BK340" s="17">
        <f t="shared" si="178"/>
        <v>1.33</v>
      </c>
      <c r="BM340" s="1">
        <f t="shared" si="179"/>
        <v>96</v>
      </c>
      <c r="BN340" s="1">
        <f t="shared" si="180"/>
        <v>93</v>
      </c>
      <c r="BO340" s="1">
        <f t="shared" si="181"/>
        <v>86.9</v>
      </c>
      <c r="BP340" s="56">
        <f t="shared" si="182"/>
        <v>0.36299999999999999</v>
      </c>
      <c r="BQ340" s="56">
        <f t="shared" si="183"/>
        <v>5.5E-2</v>
      </c>
      <c r="BS340" s="47">
        <f t="shared" si="176"/>
        <v>0</v>
      </c>
      <c r="BT340" s="44">
        <v>0</v>
      </c>
      <c r="BV340" s="16">
        <f t="shared" si="193"/>
        <v>0.54</v>
      </c>
      <c r="BW340" s="16">
        <f t="shared" si="194"/>
        <v>1.33</v>
      </c>
      <c r="BX340" s="3">
        <f t="shared" si="195"/>
        <v>-7.4</v>
      </c>
      <c r="BY340" s="3">
        <f t="shared" si="196"/>
        <v>-8.1999999999999993</v>
      </c>
      <c r="BZ340" s="3">
        <f t="shared" si="197"/>
        <v>-9.1999999999999993</v>
      </c>
      <c r="CA340" s="3">
        <f t="shared" si="198"/>
        <v>-0.6</v>
      </c>
      <c r="CB340" s="3">
        <f t="shared" si="199"/>
        <v>0.3</v>
      </c>
      <c r="CC340" s="3">
        <f t="shared" si="200"/>
        <v>0.8</v>
      </c>
      <c r="CD340" s="3">
        <f t="shared" si="201"/>
        <v>1.6</v>
      </c>
      <c r="CE340" s="23">
        <f t="shared" si="202"/>
        <v>93</v>
      </c>
      <c r="CF340" s="1">
        <f t="shared" si="203"/>
        <v>-5.0999999999999996</v>
      </c>
      <c r="CG340" s="1">
        <f t="shared" si="204"/>
        <v>-6.1</v>
      </c>
      <c r="CH340" s="1">
        <f t="shared" si="205"/>
        <v>-6.7</v>
      </c>
      <c r="CI340" s="1">
        <f t="shared" si="206"/>
        <v>-0.5</v>
      </c>
      <c r="CJ340" s="1">
        <f t="shared" si="207"/>
        <v>0.3</v>
      </c>
      <c r="CK340" s="1">
        <f t="shared" si="208"/>
        <v>0.8</v>
      </c>
      <c r="CL340" s="1">
        <f t="shared" si="209"/>
        <v>1.7</v>
      </c>
      <c r="CM340" s="2">
        <f t="shared" si="210"/>
        <v>96</v>
      </c>
      <c r="CN340" s="1">
        <f t="shared" si="211"/>
        <v>-12.3</v>
      </c>
      <c r="CO340" s="1">
        <f t="shared" si="212"/>
        <v>-13.6</v>
      </c>
      <c r="CP340" s="1">
        <f t="shared" si="213"/>
        <v>-17.8</v>
      </c>
      <c r="CQ340" s="1">
        <f t="shared" si="214"/>
        <v>-0.8</v>
      </c>
      <c r="CR340" s="1">
        <f t="shared" si="215"/>
        <v>0.2</v>
      </c>
      <c r="CS340" s="1">
        <f t="shared" si="216"/>
        <v>0.7</v>
      </c>
      <c r="CT340" s="1">
        <f t="shared" si="217"/>
        <v>1.6</v>
      </c>
      <c r="CU340" s="2">
        <f t="shared" si="218"/>
        <v>86.9</v>
      </c>
      <c r="CV340" s="18" t="s">
        <v>233</v>
      </c>
      <c r="CW340" s="1">
        <f>ROUND(PPTest!K340,1)</f>
        <v>0</v>
      </c>
      <c r="CX340" s="17">
        <f t="shared" si="219"/>
        <v>0.55000000000000004</v>
      </c>
      <c r="CY340" s="17">
        <f t="shared" si="220"/>
        <v>2.0699999999999998</v>
      </c>
      <c r="CZ340" s="20">
        <f t="shared" si="221"/>
        <v>0.36299999999999999</v>
      </c>
      <c r="DA340" s="20">
        <f t="shared" si="222"/>
        <v>5.5E-2</v>
      </c>
      <c r="DB340" s="16">
        <f t="shared" si="223"/>
        <v>12.73</v>
      </c>
      <c r="DZ340" s="1">
        <v>-9.1999999999999993</v>
      </c>
      <c r="EA340" s="1">
        <v>-3.2</v>
      </c>
      <c r="EB340" s="1">
        <v>-15.4</v>
      </c>
      <c r="EC340" s="1">
        <v>2.5</v>
      </c>
    </row>
    <row r="341" spans="1:133" x14ac:dyDescent="0.2">
      <c r="A341" s="40">
        <v>35399</v>
      </c>
      <c r="B341" s="42">
        <v>335</v>
      </c>
      <c r="C341" s="34">
        <v>0.13300000000000001</v>
      </c>
      <c r="D341" s="34">
        <v>0.41199999999999998</v>
      </c>
      <c r="E341" s="34">
        <v>-4.5250000000000004</v>
      </c>
      <c r="F341" s="34">
        <v>100.9</v>
      </c>
      <c r="G341" s="34">
        <v>-4.9390000000000001</v>
      </c>
      <c r="H341" s="34">
        <v>-5.069</v>
      </c>
      <c r="I341" s="34">
        <v>-0.55200000000000005</v>
      </c>
      <c r="J341" s="34">
        <v>-2.6680000000000001</v>
      </c>
      <c r="K341" s="34">
        <v>-5.5590000000000002</v>
      </c>
      <c r="L341" s="34">
        <v>0.27700000000000002</v>
      </c>
      <c r="M341" s="34">
        <v>0.751</v>
      </c>
      <c r="N341" s="34">
        <v>1.5960000000000001</v>
      </c>
      <c r="O341" s="34">
        <v>0</v>
      </c>
      <c r="P341" s="34">
        <v>0.90016666666666667</v>
      </c>
      <c r="Q341" s="34"/>
      <c r="R341" s="34">
        <v>-1.91</v>
      </c>
      <c r="S341" s="34">
        <v>2128</v>
      </c>
      <c r="T341" s="34">
        <v>102.9</v>
      </c>
      <c r="U341" s="34">
        <v>354</v>
      </c>
      <c r="V341" s="34">
        <v>-2.1789999999999998</v>
      </c>
      <c r="W341" s="34">
        <v>-1.925</v>
      </c>
      <c r="X341" s="34">
        <v>-0.44400000000000001</v>
      </c>
      <c r="Y341" s="34">
        <v>-2.198</v>
      </c>
      <c r="Z341" s="34">
        <v>-3.609</v>
      </c>
      <c r="AA341" s="34">
        <v>0.29799999999999999</v>
      </c>
      <c r="AB341" s="34">
        <v>0.78100000000000003</v>
      </c>
      <c r="AC341" s="34">
        <v>1.629</v>
      </c>
      <c r="AD341" s="34">
        <v>3.2741666666666669</v>
      </c>
      <c r="AE341" s="34">
        <v>1723</v>
      </c>
      <c r="AF341" s="34">
        <v>-6.8689999999999998</v>
      </c>
      <c r="AG341" s="34">
        <v>155</v>
      </c>
      <c r="AH341" s="34">
        <v>95.1</v>
      </c>
      <c r="AI341" s="34">
        <v>1452</v>
      </c>
      <c r="AJ341" s="34">
        <v>-7.38</v>
      </c>
      <c r="AK341" s="34">
        <v>-7.53</v>
      </c>
      <c r="AL341" s="34">
        <v>-0.77700000000000002</v>
      </c>
      <c r="AM341" s="34">
        <v>-3.3170000000000002</v>
      </c>
      <c r="AN341" s="34">
        <v>-7.28</v>
      </c>
      <c r="AO341" s="34">
        <v>0.255</v>
      </c>
      <c r="AP341" s="34">
        <v>0.72499999999999998</v>
      </c>
      <c r="AQ341" s="34">
        <v>1.5669999999999999</v>
      </c>
      <c r="AR341" s="34">
        <v>0.27100000000000002</v>
      </c>
      <c r="AS341" s="34">
        <v>0.17499999999999999</v>
      </c>
      <c r="AT341" s="34">
        <v>0.16500000000000001</v>
      </c>
      <c r="AU341" s="34">
        <v>4.7E-2</v>
      </c>
      <c r="AV341" s="34">
        <v>6.3E-2</v>
      </c>
      <c r="AW341" s="34">
        <v>0.11899999999999999</v>
      </c>
      <c r="AX341" s="34">
        <v>0.1</v>
      </c>
      <c r="AY341" s="34">
        <v>6.0999999999999999E-2</v>
      </c>
      <c r="AZ341" s="34">
        <v>-5.226</v>
      </c>
      <c r="BA341" s="34"/>
      <c r="BB341" s="34">
        <v>12.7</v>
      </c>
      <c r="BC341" s="34">
        <v>2876</v>
      </c>
      <c r="BD341" s="3"/>
      <c r="BE341" s="3"/>
      <c r="BF341" s="3"/>
      <c r="BH341" s="16">
        <v>5</v>
      </c>
      <c r="BI341" s="16">
        <f t="shared" si="192"/>
        <v>10.1</v>
      </c>
      <c r="BJ341" s="17">
        <f t="shared" si="177"/>
        <v>0.13</v>
      </c>
      <c r="BK341" s="17">
        <f t="shared" si="178"/>
        <v>0.43</v>
      </c>
      <c r="BM341" s="1">
        <f t="shared" si="179"/>
        <v>96.1</v>
      </c>
      <c r="BN341" s="1">
        <f t="shared" si="180"/>
        <v>94.2</v>
      </c>
      <c r="BO341" s="1">
        <f t="shared" si="181"/>
        <v>88.9</v>
      </c>
      <c r="BP341" s="56">
        <f t="shared" si="182"/>
        <v>0.47199999999999998</v>
      </c>
      <c r="BQ341" s="56">
        <f t="shared" si="183"/>
        <v>5.8999999999999997E-2</v>
      </c>
      <c r="BS341" s="47">
        <f t="shared" si="176"/>
        <v>6</v>
      </c>
      <c r="BT341" s="44">
        <v>4</v>
      </c>
      <c r="BV341" s="16">
        <f t="shared" si="193"/>
        <v>0.13</v>
      </c>
      <c r="BW341" s="16">
        <f t="shared" si="194"/>
        <v>0.43</v>
      </c>
      <c r="BX341" s="3">
        <f t="shared" si="195"/>
        <v>-4.5</v>
      </c>
      <c r="BY341" s="3">
        <f t="shared" si="196"/>
        <v>-4.9000000000000004</v>
      </c>
      <c r="BZ341" s="3">
        <f t="shared" si="197"/>
        <v>-5.0999999999999996</v>
      </c>
      <c r="CA341" s="3">
        <f t="shared" si="198"/>
        <v>-0.6</v>
      </c>
      <c r="CB341" s="3">
        <f t="shared" si="199"/>
        <v>0.3</v>
      </c>
      <c r="CC341" s="3">
        <f t="shared" si="200"/>
        <v>0.8</v>
      </c>
      <c r="CD341" s="3">
        <f t="shared" si="201"/>
        <v>1.6</v>
      </c>
      <c r="CE341" s="23">
        <f t="shared" si="202"/>
        <v>94.2</v>
      </c>
      <c r="CF341" s="1">
        <f t="shared" si="203"/>
        <v>-1.9</v>
      </c>
      <c r="CG341" s="1">
        <f t="shared" si="204"/>
        <v>-2.2000000000000002</v>
      </c>
      <c r="CH341" s="1">
        <f t="shared" si="205"/>
        <v>-1.9</v>
      </c>
      <c r="CI341" s="1">
        <f t="shared" si="206"/>
        <v>-0.4</v>
      </c>
      <c r="CJ341" s="1">
        <f t="shared" si="207"/>
        <v>0.3</v>
      </c>
      <c r="CK341" s="1">
        <f t="shared" si="208"/>
        <v>0.8</v>
      </c>
      <c r="CL341" s="1">
        <f t="shared" si="209"/>
        <v>1.6</v>
      </c>
      <c r="CM341" s="2">
        <f t="shared" si="210"/>
        <v>96.1</v>
      </c>
      <c r="CN341" s="1">
        <f t="shared" si="211"/>
        <v>-6.9</v>
      </c>
      <c r="CO341" s="1">
        <f t="shared" si="212"/>
        <v>-7.4</v>
      </c>
      <c r="CP341" s="1">
        <f t="shared" si="213"/>
        <v>-7.5</v>
      </c>
      <c r="CQ341" s="1">
        <f t="shared" si="214"/>
        <v>-0.8</v>
      </c>
      <c r="CR341" s="1">
        <f t="shared" si="215"/>
        <v>0.3</v>
      </c>
      <c r="CS341" s="1">
        <f t="shared" si="216"/>
        <v>0.7</v>
      </c>
      <c r="CT341" s="1">
        <f t="shared" si="217"/>
        <v>1.6</v>
      </c>
      <c r="CU341" s="2">
        <f t="shared" si="218"/>
        <v>88.9</v>
      </c>
      <c r="CV341" s="18" t="s">
        <v>233</v>
      </c>
      <c r="CW341" s="1">
        <f>ROUND(PPTest!K341,1)</f>
        <v>6.3</v>
      </c>
      <c r="CX341" s="17">
        <f t="shared" si="219"/>
        <v>0.9</v>
      </c>
      <c r="CY341" s="17">
        <f t="shared" si="220"/>
        <v>3.27</v>
      </c>
      <c r="CZ341" s="20">
        <f t="shared" si="221"/>
        <v>0.47199999999999998</v>
      </c>
      <c r="DA341" s="20">
        <f t="shared" si="222"/>
        <v>5.8999999999999997E-2</v>
      </c>
      <c r="DB341" s="16">
        <f t="shared" si="223"/>
        <v>12.7</v>
      </c>
      <c r="DZ341" s="1">
        <v>-5.7</v>
      </c>
      <c r="EA341" s="1">
        <v>-1.8</v>
      </c>
      <c r="EB341" s="1">
        <v>-8.5</v>
      </c>
      <c r="EC341" s="1">
        <v>4</v>
      </c>
    </row>
    <row r="342" spans="1:133" x14ac:dyDescent="0.2">
      <c r="A342" s="40">
        <v>35400</v>
      </c>
      <c r="B342" s="42">
        <v>336</v>
      </c>
      <c r="C342" s="34">
        <v>0.151</v>
      </c>
      <c r="D342" s="34">
        <v>0.44500000000000001</v>
      </c>
      <c r="E342" s="34">
        <v>-4.1349999999999998</v>
      </c>
      <c r="F342" s="34">
        <v>99.3</v>
      </c>
      <c r="G342" s="34">
        <v>-4.5629999999999997</v>
      </c>
      <c r="H342" s="34">
        <v>-4.6070000000000002</v>
      </c>
      <c r="I342" s="34">
        <v>-0.442</v>
      </c>
      <c r="J342" s="34">
        <v>-3.3140000000000001</v>
      </c>
      <c r="K342" s="34">
        <v>-4.6959999999999997</v>
      </c>
      <c r="L342" s="34">
        <v>0.28799999999999998</v>
      </c>
      <c r="M342" s="34">
        <v>0.753</v>
      </c>
      <c r="N342" s="34">
        <v>1.58</v>
      </c>
      <c r="O342" s="34">
        <v>0</v>
      </c>
      <c r="P342" s="34">
        <v>3.0958333333333337</v>
      </c>
      <c r="Q342" s="34"/>
      <c r="R342" s="34">
        <v>-2.0470000000000002</v>
      </c>
      <c r="S342" s="34">
        <v>259</v>
      </c>
      <c r="T342" s="34">
        <v>104.3</v>
      </c>
      <c r="U342" s="34">
        <v>1520</v>
      </c>
      <c r="V342" s="34">
        <v>-2.286</v>
      </c>
      <c r="W342" s="34">
        <v>-2.169</v>
      </c>
      <c r="X342" s="34">
        <v>-0.32900000000000001</v>
      </c>
      <c r="Y342" s="34">
        <v>-2.2149999999999999</v>
      </c>
      <c r="Z342" s="34">
        <v>-3.5430000000000001</v>
      </c>
      <c r="AA342" s="34">
        <v>0.32100000000000001</v>
      </c>
      <c r="AB342" s="34">
        <v>0.78200000000000003</v>
      </c>
      <c r="AC342" s="34">
        <v>1.605</v>
      </c>
      <c r="AD342" s="34">
        <v>6.1941666666666659</v>
      </c>
      <c r="AE342" s="34">
        <v>724</v>
      </c>
      <c r="AF342" s="34">
        <v>-9.2100000000000009</v>
      </c>
      <c r="AG342" s="34">
        <v>0</v>
      </c>
      <c r="AH342" s="34">
        <v>87.3</v>
      </c>
      <c r="AI342" s="34">
        <v>519</v>
      </c>
      <c r="AJ342" s="34">
        <v>-9.64</v>
      </c>
      <c r="AK342" s="34">
        <v>-9.9600000000000009</v>
      </c>
      <c r="AL342" s="34">
        <v>-0.58899999999999997</v>
      </c>
      <c r="AM342" s="34">
        <v>-5.8730000000000002</v>
      </c>
      <c r="AN342" s="34">
        <v>-9.7200000000000006</v>
      </c>
      <c r="AO342" s="34">
        <v>0.27</v>
      </c>
      <c r="AP342" s="34">
        <v>0.73199999999999998</v>
      </c>
      <c r="AQ342" s="34">
        <v>1.556</v>
      </c>
      <c r="AR342" s="34">
        <v>7.0000000000000001E-3</v>
      </c>
      <c r="AS342" s="34">
        <v>0</v>
      </c>
      <c r="AT342" s="34">
        <v>3.0000000000000001E-3</v>
      </c>
      <c r="AU342" s="34">
        <v>2.3E-2</v>
      </c>
      <c r="AV342" s="34">
        <v>0.219</v>
      </c>
      <c r="AW342" s="34">
        <v>0.60899999999999999</v>
      </c>
      <c r="AX342" s="34">
        <v>0.11700000000000001</v>
      </c>
      <c r="AY342" s="34">
        <v>2.1000000000000001E-2</v>
      </c>
      <c r="AZ342" s="34">
        <v>-4.4989999999999997</v>
      </c>
      <c r="BA342" s="34"/>
      <c r="BB342" s="34">
        <v>12.7</v>
      </c>
      <c r="BC342" s="34">
        <v>2876</v>
      </c>
      <c r="BD342" s="3"/>
      <c r="BE342" s="3"/>
      <c r="BF342" s="3"/>
      <c r="BH342" s="16">
        <v>4.93</v>
      </c>
      <c r="BI342" s="16">
        <f t="shared" si="192"/>
        <v>9.9585999999999988</v>
      </c>
      <c r="BJ342" s="17">
        <f t="shared" si="177"/>
        <v>0.15</v>
      </c>
      <c r="BK342" s="17">
        <f t="shared" si="178"/>
        <v>0.47</v>
      </c>
      <c r="BM342" s="1">
        <f t="shared" si="179"/>
        <v>97.4</v>
      </c>
      <c r="BN342" s="1">
        <f t="shared" si="180"/>
        <v>92.8</v>
      </c>
      <c r="BO342" s="1">
        <f t="shared" si="181"/>
        <v>81.7</v>
      </c>
      <c r="BP342" s="56">
        <f t="shared" si="182"/>
        <v>0.42899999999999999</v>
      </c>
      <c r="BQ342" s="56">
        <f t="shared" si="183"/>
        <v>9.6000000000000002E-2</v>
      </c>
      <c r="BS342" s="47">
        <f t="shared" si="176"/>
        <v>4.5</v>
      </c>
      <c r="BT342" s="44">
        <v>3</v>
      </c>
      <c r="BV342" s="16">
        <f t="shared" si="193"/>
        <v>0.15</v>
      </c>
      <c r="BW342" s="16">
        <f t="shared" si="194"/>
        <v>0.47</v>
      </c>
      <c r="BX342" s="3">
        <f t="shared" si="195"/>
        <v>-4.0999999999999996</v>
      </c>
      <c r="BY342" s="3">
        <f t="shared" si="196"/>
        <v>-4.5999999999999996</v>
      </c>
      <c r="BZ342" s="3">
        <f t="shared" si="197"/>
        <v>-4.5999999999999996</v>
      </c>
      <c r="CA342" s="3">
        <f t="shared" si="198"/>
        <v>-0.4</v>
      </c>
      <c r="CB342" s="3">
        <f t="shared" si="199"/>
        <v>0.3</v>
      </c>
      <c r="CC342" s="3">
        <f t="shared" si="200"/>
        <v>0.8</v>
      </c>
      <c r="CD342" s="3">
        <f t="shared" si="201"/>
        <v>1.6</v>
      </c>
      <c r="CE342" s="23">
        <f t="shared" si="202"/>
        <v>92.8</v>
      </c>
      <c r="CF342" s="1">
        <f t="shared" si="203"/>
        <v>-2</v>
      </c>
      <c r="CG342" s="1">
        <f t="shared" si="204"/>
        <v>-2.2999999999999998</v>
      </c>
      <c r="CH342" s="1">
        <f t="shared" si="205"/>
        <v>-2.2000000000000002</v>
      </c>
      <c r="CI342" s="1">
        <f t="shared" si="206"/>
        <v>-0.3</v>
      </c>
      <c r="CJ342" s="1">
        <f t="shared" si="207"/>
        <v>0.3</v>
      </c>
      <c r="CK342" s="1">
        <f t="shared" si="208"/>
        <v>0.8</v>
      </c>
      <c r="CL342" s="1">
        <f t="shared" si="209"/>
        <v>1.6</v>
      </c>
      <c r="CM342" s="2">
        <f t="shared" si="210"/>
        <v>97.4</v>
      </c>
      <c r="CN342" s="1">
        <f t="shared" si="211"/>
        <v>-9.1999999999999993</v>
      </c>
      <c r="CO342" s="1">
        <f t="shared" si="212"/>
        <v>-9.6</v>
      </c>
      <c r="CP342" s="1">
        <f t="shared" si="213"/>
        <v>-10</v>
      </c>
      <c r="CQ342" s="1">
        <f t="shared" si="214"/>
        <v>-0.6</v>
      </c>
      <c r="CR342" s="1">
        <f t="shared" si="215"/>
        <v>0.3</v>
      </c>
      <c r="CS342" s="1">
        <f t="shared" si="216"/>
        <v>0.7</v>
      </c>
      <c r="CT342" s="1">
        <f t="shared" si="217"/>
        <v>1.6</v>
      </c>
      <c r="CU342" s="2">
        <f t="shared" si="218"/>
        <v>81.7</v>
      </c>
      <c r="CV342" s="18" t="s">
        <v>233</v>
      </c>
      <c r="CW342" s="1">
        <f>ROUND(PPTest!K342,1)</f>
        <v>4.7</v>
      </c>
      <c r="CX342" s="17">
        <f t="shared" si="219"/>
        <v>3.1</v>
      </c>
      <c r="CY342" s="17">
        <f t="shared" si="220"/>
        <v>6.19</v>
      </c>
      <c r="CZ342" s="20">
        <f t="shared" si="221"/>
        <v>0.42899999999999999</v>
      </c>
      <c r="DA342" s="20">
        <f t="shared" si="222"/>
        <v>9.6000000000000002E-2</v>
      </c>
      <c r="DB342" s="16">
        <f t="shared" si="223"/>
        <v>12.7</v>
      </c>
      <c r="DZ342" s="1">
        <v>-5.8</v>
      </c>
      <c r="EA342" s="1">
        <v>-4</v>
      </c>
      <c r="EB342" s="1">
        <v>-8.1</v>
      </c>
      <c r="EC342" s="1">
        <v>9.5</v>
      </c>
    </row>
    <row r="343" spans="1:133" x14ac:dyDescent="0.2">
      <c r="A343" s="40">
        <v>35401</v>
      </c>
      <c r="B343" s="42">
        <v>337</v>
      </c>
      <c r="C343" s="34">
        <v>0.23200000000000001</v>
      </c>
      <c r="D343" s="34">
        <v>0.64300000000000002</v>
      </c>
      <c r="E343" s="34">
        <v>-8.77</v>
      </c>
      <c r="F343" s="34">
        <v>100.3</v>
      </c>
      <c r="G343" s="34">
        <v>-9.2100000000000009</v>
      </c>
      <c r="H343" s="34">
        <v>-9.5500000000000007</v>
      </c>
      <c r="I343" s="34">
        <v>-0.55000000000000004</v>
      </c>
      <c r="J343" s="34">
        <v>-3.944</v>
      </c>
      <c r="K343" s="34">
        <v>-9.35</v>
      </c>
      <c r="L343" s="34">
        <v>0.30599999999999999</v>
      </c>
      <c r="M343" s="34">
        <v>0.76100000000000001</v>
      </c>
      <c r="N343" s="34">
        <v>1.569</v>
      </c>
      <c r="O343" s="34">
        <v>0</v>
      </c>
      <c r="P343" s="34">
        <v>1.355</v>
      </c>
      <c r="Q343" s="34"/>
      <c r="R343" s="34">
        <v>-7.42</v>
      </c>
      <c r="S343" s="34">
        <v>1231</v>
      </c>
      <c r="T343" s="34">
        <v>101.4</v>
      </c>
      <c r="U343" s="34">
        <v>1903</v>
      </c>
      <c r="V343" s="34">
        <v>-7.09</v>
      </c>
      <c r="W343" s="34">
        <v>-7.33</v>
      </c>
      <c r="X343" s="34">
        <v>-0.42099999999999999</v>
      </c>
      <c r="Y343" s="34">
        <v>-2.8210000000000002</v>
      </c>
      <c r="Z343" s="34">
        <v>-7.24</v>
      </c>
      <c r="AA343" s="34">
        <v>0.34899999999999998</v>
      </c>
      <c r="AB343" s="34">
        <v>0.81100000000000005</v>
      </c>
      <c r="AC343" s="34">
        <v>1.621</v>
      </c>
      <c r="AD343" s="34">
        <v>3.8341666666666669</v>
      </c>
      <c r="AE343" s="34">
        <v>1025</v>
      </c>
      <c r="AF343" s="34">
        <v>-11.1</v>
      </c>
      <c r="AG343" s="34">
        <v>803</v>
      </c>
      <c r="AH343" s="34">
        <v>99.1</v>
      </c>
      <c r="AI343" s="34">
        <v>1050</v>
      </c>
      <c r="AJ343" s="34">
        <v>-12.66</v>
      </c>
      <c r="AK343" s="34">
        <v>-14.51</v>
      </c>
      <c r="AL343" s="34">
        <v>-0.74299999999999999</v>
      </c>
      <c r="AM343" s="34">
        <v>-5.742</v>
      </c>
      <c r="AN343" s="34">
        <v>-12.27</v>
      </c>
      <c r="AO343" s="34">
        <v>0.27700000000000002</v>
      </c>
      <c r="AP343" s="34">
        <v>0.72399999999999998</v>
      </c>
      <c r="AQ343" s="34">
        <v>1.522</v>
      </c>
      <c r="AR343" s="34">
        <v>0.158</v>
      </c>
      <c r="AS343" s="34">
        <v>0.30199999999999999</v>
      </c>
      <c r="AT343" s="34">
        <v>0.23400000000000001</v>
      </c>
      <c r="AU343" s="34">
        <v>6.2E-2</v>
      </c>
      <c r="AV343" s="34">
        <v>7.2999999999999995E-2</v>
      </c>
      <c r="AW343" s="34">
        <v>8.5999999999999993E-2</v>
      </c>
      <c r="AX343" s="34">
        <v>4.7E-2</v>
      </c>
      <c r="AY343" s="34">
        <v>3.7999999999999999E-2</v>
      </c>
      <c r="AZ343" s="34">
        <v>-9.34</v>
      </c>
      <c r="BA343" s="34"/>
      <c r="BB343" s="34">
        <v>12.7</v>
      </c>
      <c r="BC343" s="34">
        <v>2876</v>
      </c>
      <c r="BD343" s="3"/>
      <c r="BE343" s="3"/>
      <c r="BF343" s="3"/>
      <c r="BH343" s="16">
        <v>4.87</v>
      </c>
      <c r="BI343" s="16">
        <f t="shared" si="192"/>
        <v>9.8374000000000006</v>
      </c>
      <c r="BJ343" s="17">
        <f t="shared" si="177"/>
        <v>0.23</v>
      </c>
      <c r="BK343" s="17">
        <f t="shared" si="178"/>
        <v>0.67</v>
      </c>
      <c r="BM343" s="1">
        <f t="shared" si="179"/>
        <v>94.7</v>
      </c>
      <c r="BN343" s="1">
        <f t="shared" si="180"/>
        <v>93.7</v>
      </c>
      <c r="BO343" s="1">
        <f t="shared" si="181"/>
        <v>92.6</v>
      </c>
      <c r="BP343" s="56">
        <f t="shared" si="182"/>
        <v>0.32400000000000001</v>
      </c>
      <c r="BQ343" s="56">
        <f t="shared" si="183"/>
        <v>2.5999999999999999E-2</v>
      </c>
      <c r="BS343" s="47">
        <f t="shared" si="176"/>
        <v>0</v>
      </c>
      <c r="BT343" s="44">
        <v>0</v>
      </c>
      <c r="BV343" s="16">
        <f t="shared" si="193"/>
        <v>0.23</v>
      </c>
      <c r="BW343" s="16">
        <f t="shared" si="194"/>
        <v>0.67</v>
      </c>
      <c r="BX343" s="3">
        <f t="shared" si="195"/>
        <v>-8.8000000000000007</v>
      </c>
      <c r="BY343" s="3">
        <f t="shared" si="196"/>
        <v>-9.1999999999999993</v>
      </c>
      <c r="BZ343" s="3">
        <f t="shared" si="197"/>
        <v>-9.6</v>
      </c>
      <c r="CA343" s="3">
        <f t="shared" si="198"/>
        <v>-0.6</v>
      </c>
      <c r="CB343" s="3">
        <f t="shared" si="199"/>
        <v>0.3</v>
      </c>
      <c r="CC343" s="3">
        <f t="shared" si="200"/>
        <v>0.8</v>
      </c>
      <c r="CD343" s="3">
        <f t="shared" si="201"/>
        <v>1.6</v>
      </c>
      <c r="CE343" s="23">
        <f t="shared" si="202"/>
        <v>93.7</v>
      </c>
      <c r="CF343" s="1">
        <f t="shared" si="203"/>
        <v>-7.4</v>
      </c>
      <c r="CG343" s="1">
        <f t="shared" si="204"/>
        <v>-7.1</v>
      </c>
      <c r="CH343" s="1">
        <f t="shared" si="205"/>
        <v>-7.3</v>
      </c>
      <c r="CI343" s="1">
        <f t="shared" si="206"/>
        <v>-0.4</v>
      </c>
      <c r="CJ343" s="1">
        <f t="shared" si="207"/>
        <v>0.3</v>
      </c>
      <c r="CK343" s="1">
        <f t="shared" si="208"/>
        <v>0.8</v>
      </c>
      <c r="CL343" s="1">
        <f t="shared" si="209"/>
        <v>1.6</v>
      </c>
      <c r="CM343" s="2">
        <f t="shared" si="210"/>
        <v>94.7</v>
      </c>
      <c r="CN343" s="1">
        <f t="shared" si="211"/>
        <v>-11.1</v>
      </c>
      <c r="CO343" s="1">
        <f t="shared" si="212"/>
        <v>-12.7</v>
      </c>
      <c r="CP343" s="1">
        <f t="shared" si="213"/>
        <v>-14.5</v>
      </c>
      <c r="CQ343" s="1">
        <f t="shared" si="214"/>
        <v>-0.7</v>
      </c>
      <c r="CR343" s="1">
        <f t="shared" si="215"/>
        <v>0.3</v>
      </c>
      <c r="CS343" s="1">
        <f t="shared" si="216"/>
        <v>0.7</v>
      </c>
      <c r="CT343" s="1">
        <f t="shared" si="217"/>
        <v>1.5</v>
      </c>
      <c r="CU343" s="2">
        <f t="shared" si="218"/>
        <v>92.6</v>
      </c>
      <c r="CV343" s="18" t="s">
        <v>233</v>
      </c>
      <c r="CW343" s="1">
        <f>ROUND(PPTest!K343,1)</f>
        <v>0</v>
      </c>
      <c r="CX343" s="17">
        <f t="shared" si="219"/>
        <v>1.36</v>
      </c>
      <c r="CY343" s="17">
        <f t="shared" si="220"/>
        <v>3.83</v>
      </c>
      <c r="CZ343" s="20">
        <f t="shared" si="221"/>
        <v>0.32400000000000001</v>
      </c>
      <c r="DA343" s="20">
        <f t="shared" si="222"/>
        <v>2.5999999999999999E-2</v>
      </c>
      <c r="DB343" s="16">
        <f t="shared" si="223"/>
        <v>12.7</v>
      </c>
      <c r="DZ343" s="1">
        <v>-9.1999999999999993</v>
      </c>
      <c r="EA343" s="1">
        <v>-7.1</v>
      </c>
      <c r="EB343" s="1">
        <v>-13.6</v>
      </c>
      <c r="EC343" s="1">
        <v>4.2</v>
      </c>
    </row>
    <row r="344" spans="1:133" x14ac:dyDescent="0.2">
      <c r="A344" s="40">
        <v>35402</v>
      </c>
      <c r="B344" s="42">
        <v>338</v>
      </c>
      <c r="C344" s="34">
        <v>0.191</v>
      </c>
      <c r="D344" s="34">
        <v>0.60599999999999998</v>
      </c>
      <c r="E344" s="34">
        <v>-9.2899999999999991</v>
      </c>
      <c r="F344" s="34">
        <v>100.1</v>
      </c>
      <c r="G344" s="34">
        <v>-9.86</v>
      </c>
      <c r="H344" s="34">
        <v>-10.08</v>
      </c>
      <c r="I344" s="34">
        <v>-0.49299999999999999</v>
      </c>
      <c r="J344" s="34">
        <v>-2.9359999999999999</v>
      </c>
      <c r="K344" s="34">
        <v>-9.76</v>
      </c>
      <c r="L344" s="34">
        <v>0.311</v>
      </c>
      <c r="M344" s="34">
        <v>0.76</v>
      </c>
      <c r="N344" s="34">
        <v>1.5489999999999999</v>
      </c>
      <c r="O344" s="34">
        <v>0</v>
      </c>
      <c r="P344" s="34">
        <v>1.0629999999999999</v>
      </c>
      <c r="Q344" s="34"/>
      <c r="R344" s="34">
        <v>-7.85</v>
      </c>
      <c r="S344" s="34">
        <v>1151</v>
      </c>
      <c r="T344" s="34">
        <v>101.3</v>
      </c>
      <c r="U344" s="34">
        <v>512</v>
      </c>
      <c r="V344" s="34">
        <v>-8.1999999999999993</v>
      </c>
      <c r="W344" s="34">
        <v>-8.4700000000000006</v>
      </c>
      <c r="X344" s="34">
        <v>-0.38300000000000001</v>
      </c>
      <c r="Y344" s="34">
        <v>-2.6179999999999999</v>
      </c>
      <c r="Z344" s="34">
        <v>-7.63</v>
      </c>
      <c r="AA344" s="34">
        <v>0.35399999999999998</v>
      </c>
      <c r="AB344" s="34">
        <v>0.80900000000000005</v>
      </c>
      <c r="AC344" s="34">
        <v>1.6140000000000001</v>
      </c>
      <c r="AD344" s="34">
        <v>2.7008333333333336</v>
      </c>
      <c r="AE344" s="34">
        <v>725</v>
      </c>
      <c r="AF344" s="34">
        <v>-11.16</v>
      </c>
      <c r="AG344" s="34">
        <v>38</v>
      </c>
      <c r="AH344" s="34">
        <v>98.9</v>
      </c>
      <c r="AI344" s="34">
        <v>53</v>
      </c>
      <c r="AJ344" s="34">
        <v>-12.46</v>
      </c>
      <c r="AK344" s="34">
        <v>-13.98</v>
      </c>
      <c r="AL344" s="34">
        <v>-0.60399999999999998</v>
      </c>
      <c r="AM344" s="34">
        <v>-3.452</v>
      </c>
      <c r="AN344" s="34">
        <v>-12.35</v>
      </c>
      <c r="AO344" s="34">
        <v>0.27800000000000002</v>
      </c>
      <c r="AP344" s="34">
        <v>0.72499999999999998</v>
      </c>
      <c r="AQ344" s="34">
        <v>1.5189999999999999</v>
      </c>
      <c r="AR344" s="34">
        <v>2.5000000000000001E-2</v>
      </c>
      <c r="AS344" s="34">
        <v>0.19</v>
      </c>
      <c r="AT344" s="34">
        <v>0.20200000000000001</v>
      </c>
      <c r="AU344" s="34">
        <v>4.4999999999999998E-2</v>
      </c>
      <c r="AV344" s="34">
        <v>0.107</v>
      </c>
      <c r="AW344" s="34">
        <v>0.34699999999999998</v>
      </c>
      <c r="AX344" s="34">
        <v>7.4999999999999997E-2</v>
      </c>
      <c r="AY344" s="34">
        <v>8.9999999999999993E-3</v>
      </c>
      <c r="AZ344" s="34">
        <v>-9.61</v>
      </c>
      <c r="BA344" s="34"/>
      <c r="BB344" s="34">
        <v>12.69</v>
      </c>
      <c r="BC344" s="34">
        <v>2876</v>
      </c>
      <c r="BD344" s="3"/>
      <c r="BE344" s="3"/>
      <c r="BF344" s="3"/>
      <c r="BH344" s="16">
        <v>4.82</v>
      </c>
      <c r="BI344" s="16">
        <f t="shared" si="192"/>
        <v>9.7364000000000015</v>
      </c>
      <c r="BJ344" s="17">
        <f t="shared" si="177"/>
        <v>0.19</v>
      </c>
      <c r="BK344" s="17">
        <f t="shared" si="178"/>
        <v>0.64</v>
      </c>
      <c r="BM344" s="1">
        <f t="shared" si="179"/>
        <v>94.6</v>
      </c>
      <c r="BN344" s="1">
        <f t="shared" si="180"/>
        <v>93.5</v>
      </c>
      <c r="BO344" s="1">
        <f t="shared" si="181"/>
        <v>92.4</v>
      </c>
      <c r="BP344" s="56">
        <f t="shared" si="182"/>
        <v>0.312</v>
      </c>
      <c r="BQ344" s="56">
        <f t="shared" si="183"/>
        <v>2.5999999999999999E-2</v>
      </c>
      <c r="BS344" s="47">
        <f t="shared" si="176"/>
        <v>1.5</v>
      </c>
      <c r="BT344" s="44">
        <v>1</v>
      </c>
      <c r="BV344" s="16">
        <f t="shared" si="193"/>
        <v>0.19</v>
      </c>
      <c r="BW344" s="16">
        <f t="shared" si="194"/>
        <v>0.64</v>
      </c>
      <c r="BX344" s="3">
        <f t="shared" si="195"/>
        <v>-9.3000000000000007</v>
      </c>
      <c r="BY344" s="3">
        <f t="shared" si="196"/>
        <v>-9.9</v>
      </c>
      <c r="BZ344" s="3">
        <f t="shared" si="197"/>
        <v>-10.1</v>
      </c>
      <c r="CA344" s="3">
        <f t="shared" si="198"/>
        <v>-0.5</v>
      </c>
      <c r="CB344" s="3">
        <f t="shared" si="199"/>
        <v>0.3</v>
      </c>
      <c r="CC344" s="3">
        <f t="shared" si="200"/>
        <v>0.8</v>
      </c>
      <c r="CD344" s="3">
        <f t="shared" si="201"/>
        <v>1.5</v>
      </c>
      <c r="CE344" s="23">
        <f t="shared" si="202"/>
        <v>93.5</v>
      </c>
      <c r="CF344" s="1">
        <f t="shared" si="203"/>
        <v>-7.9</v>
      </c>
      <c r="CG344" s="1">
        <f t="shared" si="204"/>
        <v>-8.1999999999999993</v>
      </c>
      <c r="CH344" s="1">
        <f t="shared" si="205"/>
        <v>-8.5</v>
      </c>
      <c r="CI344" s="1">
        <f t="shared" si="206"/>
        <v>-0.4</v>
      </c>
      <c r="CJ344" s="1">
        <f t="shared" si="207"/>
        <v>0.4</v>
      </c>
      <c r="CK344" s="1">
        <f t="shared" si="208"/>
        <v>0.8</v>
      </c>
      <c r="CL344" s="1">
        <f t="shared" si="209"/>
        <v>1.6</v>
      </c>
      <c r="CM344" s="2">
        <f t="shared" si="210"/>
        <v>94.6</v>
      </c>
      <c r="CN344" s="1">
        <f t="shared" si="211"/>
        <v>-11.2</v>
      </c>
      <c r="CO344" s="1">
        <f t="shared" si="212"/>
        <v>-12.5</v>
      </c>
      <c r="CP344" s="1">
        <f t="shared" si="213"/>
        <v>-14</v>
      </c>
      <c r="CQ344" s="1">
        <f t="shared" si="214"/>
        <v>-0.6</v>
      </c>
      <c r="CR344" s="1">
        <f t="shared" si="215"/>
        <v>0.3</v>
      </c>
      <c r="CS344" s="1">
        <f t="shared" si="216"/>
        <v>0.7</v>
      </c>
      <c r="CT344" s="1">
        <f t="shared" si="217"/>
        <v>1.5</v>
      </c>
      <c r="CU344" s="2">
        <f t="shared" si="218"/>
        <v>92.4</v>
      </c>
      <c r="CV344" s="18" t="s">
        <v>233</v>
      </c>
      <c r="CW344" s="1">
        <f>ROUND(PPTest!K344,1)</f>
        <v>1.6</v>
      </c>
      <c r="CX344" s="17">
        <f t="shared" si="219"/>
        <v>1.06</v>
      </c>
      <c r="CY344" s="17">
        <f t="shared" si="220"/>
        <v>2.7</v>
      </c>
      <c r="CZ344" s="20">
        <f t="shared" si="221"/>
        <v>0.312</v>
      </c>
      <c r="DA344" s="20">
        <f t="shared" si="222"/>
        <v>2.5999999999999999E-2</v>
      </c>
      <c r="DB344" s="16">
        <f t="shared" si="223"/>
        <v>12.69</v>
      </c>
      <c r="DZ344" s="1">
        <v>-9.8000000000000007</v>
      </c>
      <c r="EA344" s="1">
        <v>-7.1</v>
      </c>
      <c r="EB344" s="1">
        <v>-16</v>
      </c>
      <c r="EC344" s="1">
        <v>3.3</v>
      </c>
    </row>
    <row r="345" spans="1:133" x14ac:dyDescent="0.2">
      <c r="A345" s="40">
        <v>35403</v>
      </c>
      <c r="B345" s="42">
        <v>339</v>
      </c>
      <c r="C345" s="34">
        <v>0.10299999999999999</v>
      </c>
      <c r="D345" s="34">
        <v>0.34</v>
      </c>
      <c r="E345" s="34">
        <v>-8.3800000000000008</v>
      </c>
      <c r="F345" s="34">
        <v>99.8</v>
      </c>
      <c r="G345" s="34">
        <v>-8.8800000000000008</v>
      </c>
      <c r="H345" s="34">
        <v>-9.26</v>
      </c>
      <c r="I345" s="34">
        <v>-0.623</v>
      </c>
      <c r="J345" s="34">
        <v>-4.8230000000000004</v>
      </c>
      <c r="K345" s="34">
        <v>-9.17</v>
      </c>
      <c r="L345" s="34">
        <v>0.30599999999999999</v>
      </c>
      <c r="M345" s="34">
        <v>0.749</v>
      </c>
      <c r="N345" s="34">
        <v>1.524</v>
      </c>
      <c r="O345" s="34">
        <v>0</v>
      </c>
      <c r="P345" s="34">
        <v>2.1291666666666664</v>
      </c>
      <c r="Q345" s="34"/>
      <c r="R345" s="34">
        <v>-5.867</v>
      </c>
      <c r="S345" s="34">
        <v>2258</v>
      </c>
      <c r="T345" s="34">
        <v>103.6</v>
      </c>
      <c r="U345" s="34">
        <v>2244</v>
      </c>
      <c r="V345" s="34">
        <v>-5.7880000000000003</v>
      </c>
      <c r="W345" s="34">
        <v>-5.702</v>
      </c>
      <c r="X345" s="34">
        <v>-0.41699999999999998</v>
      </c>
      <c r="Y345" s="34">
        <v>-3.12</v>
      </c>
      <c r="Z345" s="34">
        <v>-6.8559999999999999</v>
      </c>
      <c r="AA345" s="34">
        <v>0.36199999999999999</v>
      </c>
      <c r="AB345" s="34">
        <v>0.81200000000000006</v>
      </c>
      <c r="AC345" s="34">
        <v>1.6060000000000001</v>
      </c>
      <c r="AD345" s="34">
        <v>6.8741666666666656</v>
      </c>
      <c r="AE345" s="34">
        <v>820</v>
      </c>
      <c r="AF345" s="34">
        <v>-12.61</v>
      </c>
      <c r="AG345" s="34">
        <v>153</v>
      </c>
      <c r="AH345" s="34">
        <v>95.7</v>
      </c>
      <c r="AI345" s="34">
        <v>820</v>
      </c>
      <c r="AJ345" s="34">
        <v>-14.88</v>
      </c>
      <c r="AK345" s="34">
        <v>-18.28</v>
      </c>
      <c r="AL345" s="34">
        <v>-0.88100000000000001</v>
      </c>
      <c r="AM345" s="34">
        <v>-7.72</v>
      </c>
      <c r="AN345" s="34">
        <v>-14.37</v>
      </c>
      <c r="AO345" s="34">
        <v>0.27300000000000002</v>
      </c>
      <c r="AP345" s="34">
        <v>0.71399999999999997</v>
      </c>
      <c r="AQ345" s="34">
        <v>1.4850000000000001</v>
      </c>
      <c r="AR345" s="34">
        <v>0.156</v>
      </c>
      <c r="AS345" s="34">
        <v>0.14399999999999999</v>
      </c>
      <c r="AT345" s="34">
        <v>9.1999999999999998E-2</v>
      </c>
      <c r="AU345" s="34">
        <v>7.1999999999999995E-2</v>
      </c>
      <c r="AV345" s="34">
        <v>7.6999999999999999E-2</v>
      </c>
      <c r="AW345" s="34">
        <v>0.20300000000000001</v>
      </c>
      <c r="AX345" s="34">
        <v>0.13600000000000001</v>
      </c>
      <c r="AY345" s="34">
        <v>0.11899999999999999</v>
      </c>
      <c r="AZ345" s="34">
        <v>-9.65</v>
      </c>
      <c r="BA345" s="34"/>
      <c r="BB345" s="34">
        <v>12.68</v>
      </c>
      <c r="BC345" s="34">
        <v>2876</v>
      </c>
      <c r="BD345" s="3"/>
      <c r="BE345" s="3"/>
      <c r="BF345" s="3"/>
      <c r="BH345" s="16">
        <v>4.7699999999999996</v>
      </c>
      <c r="BI345" s="16">
        <f t="shared" si="192"/>
        <v>9.6353999999999989</v>
      </c>
      <c r="BJ345" s="17">
        <f t="shared" si="177"/>
        <v>0.1</v>
      </c>
      <c r="BK345" s="17">
        <f t="shared" si="178"/>
        <v>0.36</v>
      </c>
      <c r="BM345" s="1">
        <f t="shared" si="179"/>
        <v>96.7</v>
      </c>
      <c r="BN345" s="1">
        <f t="shared" si="180"/>
        <v>93.2</v>
      </c>
      <c r="BO345" s="1">
        <f t="shared" si="181"/>
        <v>89.4</v>
      </c>
      <c r="BP345" s="56">
        <f t="shared" si="182"/>
        <v>0.35199999999999998</v>
      </c>
      <c r="BQ345" s="56">
        <f t="shared" si="183"/>
        <v>4.2000000000000003E-2</v>
      </c>
      <c r="BS345" s="47">
        <f t="shared" si="176"/>
        <v>1.5</v>
      </c>
      <c r="BT345" s="44">
        <v>1</v>
      </c>
      <c r="BV345" s="16">
        <f t="shared" si="193"/>
        <v>0.1</v>
      </c>
      <c r="BW345" s="16">
        <f t="shared" si="194"/>
        <v>0.36</v>
      </c>
      <c r="BX345" s="3">
        <f t="shared" si="195"/>
        <v>-8.4</v>
      </c>
      <c r="BY345" s="3">
        <f t="shared" si="196"/>
        <v>-8.9</v>
      </c>
      <c r="BZ345" s="3">
        <f t="shared" si="197"/>
        <v>-9.3000000000000007</v>
      </c>
      <c r="CA345" s="3">
        <f t="shared" si="198"/>
        <v>-0.6</v>
      </c>
      <c r="CB345" s="3">
        <f t="shared" si="199"/>
        <v>0.3</v>
      </c>
      <c r="CC345" s="3">
        <f t="shared" si="200"/>
        <v>0.7</v>
      </c>
      <c r="CD345" s="3">
        <f t="shared" si="201"/>
        <v>1.5</v>
      </c>
      <c r="CE345" s="23">
        <f t="shared" si="202"/>
        <v>93.2</v>
      </c>
      <c r="CF345" s="1">
        <f t="shared" si="203"/>
        <v>-5.9</v>
      </c>
      <c r="CG345" s="1">
        <f t="shared" si="204"/>
        <v>-5.8</v>
      </c>
      <c r="CH345" s="1">
        <f t="shared" si="205"/>
        <v>-5.7</v>
      </c>
      <c r="CI345" s="1">
        <f t="shared" si="206"/>
        <v>-0.4</v>
      </c>
      <c r="CJ345" s="1">
        <f t="shared" si="207"/>
        <v>0.4</v>
      </c>
      <c r="CK345" s="1">
        <f t="shared" si="208"/>
        <v>0.8</v>
      </c>
      <c r="CL345" s="1">
        <f t="shared" si="209"/>
        <v>1.6</v>
      </c>
      <c r="CM345" s="2">
        <f t="shared" si="210"/>
        <v>96.7</v>
      </c>
      <c r="CN345" s="1">
        <f t="shared" si="211"/>
        <v>-12.6</v>
      </c>
      <c r="CO345" s="1">
        <f t="shared" si="212"/>
        <v>-14.9</v>
      </c>
      <c r="CP345" s="1">
        <f t="shared" si="213"/>
        <v>-18.3</v>
      </c>
      <c r="CQ345" s="1">
        <f t="shared" si="214"/>
        <v>-0.9</v>
      </c>
      <c r="CR345" s="1">
        <f t="shared" si="215"/>
        <v>0.3</v>
      </c>
      <c r="CS345" s="1">
        <f t="shared" si="216"/>
        <v>0.7</v>
      </c>
      <c r="CT345" s="1">
        <f t="shared" si="217"/>
        <v>1.5</v>
      </c>
      <c r="CU345" s="2">
        <f t="shared" si="218"/>
        <v>89.4</v>
      </c>
      <c r="CV345" s="18" t="s">
        <v>233</v>
      </c>
      <c r="CW345" s="1">
        <f>ROUND(PPTest!K345,1)</f>
        <v>1.6</v>
      </c>
      <c r="CX345" s="17">
        <f t="shared" si="219"/>
        <v>2.13</v>
      </c>
      <c r="CY345" s="17">
        <f t="shared" si="220"/>
        <v>6.87</v>
      </c>
      <c r="CZ345" s="20">
        <f t="shared" si="221"/>
        <v>0.35199999999999998</v>
      </c>
      <c r="DA345" s="20">
        <f t="shared" si="222"/>
        <v>4.2000000000000003E-2</v>
      </c>
      <c r="DB345" s="16">
        <f t="shared" si="223"/>
        <v>12.68</v>
      </c>
      <c r="DZ345" s="1">
        <v>-10.3</v>
      </c>
      <c r="EA345" s="1">
        <v>-6.9</v>
      </c>
      <c r="EB345" s="1">
        <v>-15.4</v>
      </c>
      <c r="EC345" s="1">
        <v>0</v>
      </c>
    </row>
    <row r="346" spans="1:133" x14ac:dyDescent="0.2">
      <c r="A346" s="40">
        <v>35404</v>
      </c>
      <c r="B346" s="42">
        <v>340</v>
      </c>
      <c r="C346" s="34">
        <v>0.22900000000000001</v>
      </c>
      <c r="D346" s="34">
        <v>0.70699999999999996</v>
      </c>
      <c r="E346" s="34">
        <v>-5.1680000000000001</v>
      </c>
      <c r="F346" s="34">
        <v>101.8</v>
      </c>
      <c r="G346" s="34">
        <v>-5.4530000000000003</v>
      </c>
      <c r="H346" s="34">
        <v>-5.5119999999999996</v>
      </c>
      <c r="I346" s="34">
        <v>-0.52900000000000003</v>
      </c>
      <c r="J346" s="34">
        <v>-2.2730000000000001</v>
      </c>
      <c r="K346" s="34">
        <v>-5.7160000000000002</v>
      </c>
      <c r="L346" s="34">
        <v>0.28999999999999998</v>
      </c>
      <c r="M346" s="34">
        <v>0.73399999999999999</v>
      </c>
      <c r="N346" s="34">
        <v>1.496</v>
      </c>
      <c r="O346" s="34">
        <v>0</v>
      </c>
      <c r="P346" s="34">
        <v>2.5408333333333335</v>
      </c>
      <c r="Q346" s="34"/>
      <c r="R346" s="34">
        <v>-4.5670000000000002</v>
      </c>
      <c r="S346" s="34">
        <v>1422</v>
      </c>
      <c r="T346" s="34">
        <v>103</v>
      </c>
      <c r="U346" s="34">
        <v>706</v>
      </c>
      <c r="V346" s="34">
        <v>-4.4059999999999997</v>
      </c>
      <c r="W346" s="34">
        <v>-4.6040000000000001</v>
      </c>
      <c r="X346" s="34">
        <v>-0.38600000000000001</v>
      </c>
      <c r="Y346" s="34">
        <v>-2.0169999999999999</v>
      </c>
      <c r="Z346" s="34">
        <v>-4.6859999999999999</v>
      </c>
      <c r="AA346" s="34">
        <v>0.33100000000000002</v>
      </c>
      <c r="AB346" s="34">
        <v>0.78100000000000003</v>
      </c>
      <c r="AC346" s="34">
        <v>1.528</v>
      </c>
      <c r="AD346" s="34">
        <v>6.314166666666666</v>
      </c>
      <c r="AE346" s="34">
        <v>30</v>
      </c>
      <c r="AF346" s="34">
        <v>-6.7519999999999998</v>
      </c>
      <c r="AG346" s="34">
        <v>1</v>
      </c>
      <c r="AH346" s="34">
        <v>98.1</v>
      </c>
      <c r="AI346" s="34">
        <v>2101</v>
      </c>
      <c r="AJ346" s="34">
        <v>-7.15</v>
      </c>
      <c r="AK346" s="34">
        <v>-7.11</v>
      </c>
      <c r="AL346" s="34">
        <v>-0.82099999999999995</v>
      </c>
      <c r="AM346" s="34">
        <v>-3.12</v>
      </c>
      <c r="AN346" s="34">
        <v>-7.2</v>
      </c>
      <c r="AO346" s="34">
        <v>0.26900000000000002</v>
      </c>
      <c r="AP346" s="34">
        <v>0.71199999999999997</v>
      </c>
      <c r="AQ346" s="34">
        <v>1.4770000000000001</v>
      </c>
      <c r="AR346" s="34">
        <v>1E-3</v>
      </c>
      <c r="AS346" s="34">
        <v>2E-3</v>
      </c>
      <c r="AT346" s="34">
        <v>6.0000000000000001E-3</v>
      </c>
      <c r="AU346" s="34">
        <v>1.7000000000000001E-2</v>
      </c>
      <c r="AV346" s="34">
        <v>0.19</v>
      </c>
      <c r="AW346" s="34">
        <v>0.68200000000000005</v>
      </c>
      <c r="AX346" s="34">
        <v>9.4E-2</v>
      </c>
      <c r="AY346" s="34">
        <v>8.0000000000000002E-3</v>
      </c>
      <c r="AZ346" s="34">
        <v>-5.7140000000000004</v>
      </c>
      <c r="BA346" s="34"/>
      <c r="BB346" s="34">
        <v>12.69</v>
      </c>
      <c r="BC346" s="34">
        <v>2876</v>
      </c>
      <c r="BD346" s="3"/>
      <c r="BE346" s="3"/>
      <c r="BF346" s="3"/>
      <c r="BH346" s="16">
        <v>4.71</v>
      </c>
      <c r="BI346" s="16">
        <f t="shared" si="192"/>
        <v>9.5142000000000007</v>
      </c>
      <c r="BJ346" s="17">
        <f t="shared" si="177"/>
        <v>0.23</v>
      </c>
      <c r="BK346" s="17">
        <f t="shared" si="178"/>
        <v>0.74</v>
      </c>
      <c r="BM346" s="1">
        <f t="shared" si="179"/>
        <v>96.2</v>
      </c>
      <c r="BN346" s="1">
        <f t="shared" si="180"/>
        <v>95.1</v>
      </c>
      <c r="BO346" s="1">
        <f t="shared" si="181"/>
        <v>91.6</v>
      </c>
      <c r="BP346" s="56">
        <f t="shared" si="182"/>
        <v>0.39800000000000002</v>
      </c>
      <c r="BQ346" s="56">
        <f t="shared" si="183"/>
        <v>3.5999999999999997E-2</v>
      </c>
      <c r="BS346" s="47">
        <f t="shared" si="176"/>
        <v>13.5</v>
      </c>
      <c r="BT346" s="44">
        <v>9</v>
      </c>
      <c r="BV346" s="16">
        <f t="shared" si="193"/>
        <v>0.23</v>
      </c>
      <c r="BW346" s="16">
        <f t="shared" si="194"/>
        <v>0.74</v>
      </c>
      <c r="BX346" s="3">
        <f t="shared" si="195"/>
        <v>-5.2</v>
      </c>
      <c r="BY346" s="3">
        <f t="shared" si="196"/>
        <v>-5.5</v>
      </c>
      <c r="BZ346" s="3">
        <f t="shared" si="197"/>
        <v>-5.5</v>
      </c>
      <c r="CA346" s="3">
        <f t="shared" si="198"/>
        <v>-0.5</v>
      </c>
      <c r="CB346" s="3">
        <f t="shared" si="199"/>
        <v>0.3</v>
      </c>
      <c r="CC346" s="3">
        <f t="shared" si="200"/>
        <v>0.7</v>
      </c>
      <c r="CD346" s="3">
        <f t="shared" si="201"/>
        <v>1.5</v>
      </c>
      <c r="CE346" s="23">
        <f t="shared" si="202"/>
        <v>95.1</v>
      </c>
      <c r="CF346" s="1">
        <f t="shared" si="203"/>
        <v>-4.5999999999999996</v>
      </c>
      <c r="CG346" s="1">
        <f t="shared" si="204"/>
        <v>-4.4000000000000004</v>
      </c>
      <c r="CH346" s="1">
        <f t="shared" si="205"/>
        <v>-4.5999999999999996</v>
      </c>
      <c r="CI346" s="1">
        <f t="shared" si="206"/>
        <v>-0.4</v>
      </c>
      <c r="CJ346" s="1">
        <f t="shared" si="207"/>
        <v>0.3</v>
      </c>
      <c r="CK346" s="1">
        <f t="shared" si="208"/>
        <v>0.8</v>
      </c>
      <c r="CL346" s="1">
        <f t="shared" si="209"/>
        <v>1.5</v>
      </c>
      <c r="CM346" s="2">
        <f t="shared" si="210"/>
        <v>96.2</v>
      </c>
      <c r="CN346" s="1">
        <f t="shared" si="211"/>
        <v>-6.8</v>
      </c>
      <c r="CO346" s="1">
        <f t="shared" si="212"/>
        <v>-7.2</v>
      </c>
      <c r="CP346" s="1">
        <f t="shared" si="213"/>
        <v>-7.1</v>
      </c>
      <c r="CQ346" s="1">
        <f t="shared" si="214"/>
        <v>-0.8</v>
      </c>
      <c r="CR346" s="1">
        <f t="shared" si="215"/>
        <v>0.3</v>
      </c>
      <c r="CS346" s="1">
        <f t="shared" si="216"/>
        <v>0.7</v>
      </c>
      <c r="CT346" s="1">
        <f t="shared" si="217"/>
        <v>1.5</v>
      </c>
      <c r="CU346" s="2">
        <f t="shared" si="218"/>
        <v>91.6</v>
      </c>
      <c r="CV346" s="18" t="s">
        <v>233</v>
      </c>
      <c r="CW346" s="1">
        <f>ROUND(PPTest!K346,1)</f>
        <v>14.2</v>
      </c>
      <c r="CX346" s="17">
        <f t="shared" si="219"/>
        <v>2.54</v>
      </c>
      <c r="CY346" s="17">
        <f t="shared" si="220"/>
        <v>6.31</v>
      </c>
      <c r="CZ346" s="20">
        <f t="shared" si="221"/>
        <v>0.39800000000000002</v>
      </c>
      <c r="DA346" s="20">
        <f t="shared" si="222"/>
        <v>3.5999999999999997E-2</v>
      </c>
      <c r="DB346" s="16">
        <f t="shared" si="223"/>
        <v>12.69</v>
      </c>
      <c r="DZ346" s="1">
        <v>-7</v>
      </c>
      <c r="EA346" s="1">
        <v>-2.1</v>
      </c>
      <c r="EB346" s="1">
        <v>-11.5</v>
      </c>
      <c r="EC346" s="1">
        <v>0.5</v>
      </c>
    </row>
    <row r="347" spans="1:133" x14ac:dyDescent="0.2">
      <c r="A347" s="40">
        <v>35405</v>
      </c>
      <c r="B347" s="42">
        <v>341</v>
      </c>
      <c r="C347" s="34">
        <v>0.73099999999999998</v>
      </c>
      <c r="D347" s="34">
        <v>1.526</v>
      </c>
      <c r="E347" s="34">
        <v>-5.9610000000000003</v>
      </c>
      <c r="F347" s="34">
        <v>98</v>
      </c>
      <c r="G347" s="34">
        <v>-6.415</v>
      </c>
      <c r="H347" s="34">
        <v>-6.8609999999999998</v>
      </c>
      <c r="I347" s="34">
        <v>-0.32200000000000001</v>
      </c>
      <c r="J347" s="34">
        <v>-2.085</v>
      </c>
      <c r="K347" s="34">
        <v>-6.6920000000000002</v>
      </c>
      <c r="L347" s="34">
        <v>0.28999999999999998</v>
      </c>
      <c r="M347" s="34">
        <v>0.73299999999999998</v>
      </c>
      <c r="N347" s="34">
        <v>1.484</v>
      </c>
      <c r="O347" s="34">
        <v>0</v>
      </c>
      <c r="P347" s="34">
        <v>1.3196666666666665</v>
      </c>
      <c r="Q347" s="34"/>
      <c r="R347" s="34">
        <v>-3.3879999999999999</v>
      </c>
      <c r="S347" s="34">
        <v>1324</v>
      </c>
      <c r="T347" s="34">
        <v>102.1</v>
      </c>
      <c r="U347" s="34">
        <v>820</v>
      </c>
      <c r="V347" s="34">
        <v>-1.768</v>
      </c>
      <c r="W347" s="34">
        <v>-3.18</v>
      </c>
      <c r="X347" s="34">
        <v>-0.23300000000000001</v>
      </c>
      <c r="Y347" s="34">
        <v>-1.9350000000000001</v>
      </c>
      <c r="Z347" s="34">
        <v>-3.3130000000000002</v>
      </c>
      <c r="AA347" s="34">
        <v>0.318</v>
      </c>
      <c r="AB347" s="34">
        <v>0.76900000000000002</v>
      </c>
      <c r="AC347" s="34">
        <v>1.5169999999999999</v>
      </c>
      <c r="AD347" s="34">
        <v>3.8341666666666669</v>
      </c>
      <c r="AE347" s="34">
        <v>1605</v>
      </c>
      <c r="AF347" s="34">
        <v>-9.4700000000000006</v>
      </c>
      <c r="AG347" s="34">
        <v>814</v>
      </c>
      <c r="AH347" s="34">
        <v>87.9</v>
      </c>
      <c r="AI347" s="34">
        <v>1249</v>
      </c>
      <c r="AJ347" s="34">
        <v>-11.21</v>
      </c>
      <c r="AK347" s="34">
        <v>-14.25</v>
      </c>
      <c r="AL347" s="34">
        <v>-0.46400000000000002</v>
      </c>
      <c r="AM347" s="34">
        <v>-2.19</v>
      </c>
      <c r="AN347" s="34">
        <v>-10.36</v>
      </c>
      <c r="AO347" s="34">
        <v>0.253</v>
      </c>
      <c r="AP347" s="34">
        <v>0.71</v>
      </c>
      <c r="AQ347" s="34">
        <v>1.458</v>
      </c>
      <c r="AR347" s="34">
        <v>5.8999999999999997E-2</v>
      </c>
      <c r="AS347" s="34">
        <v>0.14799999999999999</v>
      </c>
      <c r="AT347" s="34">
        <v>9.0999999999999998E-2</v>
      </c>
      <c r="AU347" s="34">
        <v>3.7999999999999999E-2</v>
      </c>
      <c r="AV347" s="34">
        <v>0.152</v>
      </c>
      <c r="AW347" s="34">
        <v>0.32</v>
      </c>
      <c r="AX347" s="34">
        <v>0.14599999999999999</v>
      </c>
      <c r="AY347" s="34">
        <v>4.5999999999999999E-2</v>
      </c>
      <c r="AZ347" s="34">
        <v>-6.03</v>
      </c>
      <c r="BA347" s="34"/>
      <c r="BB347" s="34">
        <v>12.75</v>
      </c>
      <c r="BC347" s="34">
        <v>2876</v>
      </c>
      <c r="BD347" s="3"/>
      <c r="BE347" s="3"/>
      <c r="BF347" s="3"/>
      <c r="BH347" s="16">
        <v>4.67</v>
      </c>
      <c r="BI347" s="16">
        <f t="shared" si="192"/>
        <v>9.4334000000000007</v>
      </c>
      <c r="BJ347" s="17">
        <f t="shared" si="177"/>
        <v>0.73</v>
      </c>
      <c r="BK347" s="17">
        <f t="shared" si="178"/>
        <v>1.6</v>
      </c>
      <c r="BM347" s="1">
        <f t="shared" si="179"/>
        <v>95.3</v>
      </c>
      <c r="BN347" s="1">
        <f t="shared" si="180"/>
        <v>91.6</v>
      </c>
      <c r="BO347" s="1">
        <f t="shared" si="181"/>
        <v>82.2</v>
      </c>
      <c r="BP347" s="56">
        <f t="shared" si="182"/>
        <v>0.39100000000000001</v>
      </c>
      <c r="BQ347" s="56">
        <f t="shared" si="183"/>
        <v>8.5000000000000006E-2</v>
      </c>
      <c r="BS347" s="47">
        <f t="shared" si="176"/>
        <v>1.6500000000000001</v>
      </c>
      <c r="BT347" s="44">
        <v>1.1000000000000001</v>
      </c>
      <c r="BV347" s="16">
        <f t="shared" si="193"/>
        <v>0.73</v>
      </c>
      <c r="BW347" s="16">
        <f t="shared" si="194"/>
        <v>1.6</v>
      </c>
      <c r="BX347" s="3">
        <f t="shared" si="195"/>
        <v>-6</v>
      </c>
      <c r="BY347" s="3">
        <f t="shared" si="196"/>
        <v>-6.4</v>
      </c>
      <c r="BZ347" s="3">
        <f t="shared" si="197"/>
        <v>-6.9</v>
      </c>
      <c r="CA347" s="3">
        <f t="shared" si="198"/>
        <v>-0.3</v>
      </c>
      <c r="CB347" s="3">
        <f t="shared" si="199"/>
        <v>0.3</v>
      </c>
      <c r="CC347" s="3">
        <f t="shared" si="200"/>
        <v>0.7</v>
      </c>
      <c r="CD347" s="3">
        <f t="shared" si="201"/>
        <v>1.5</v>
      </c>
      <c r="CE347" s="23">
        <f t="shared" si="202"/>
        <v>91.6</v>
      </c>
      <c r="CF347" s="1">
        <f t="shared" si="203"/>
        <v>-3.4</v>
      </c>
      <c r="CG347" s="1">
        <f t="shared" si="204"/>
        <v>-1.8</v>
      </c>
      <c r="CH347" s="1">
        <f t="shared" si="205"/>
        <v>-3.2</v>
      </c>
      <c r="CI347" s="1">
        <f t="shared" si="206"/>
        <v>-0.2</v>
      </c>
      <c r="CJ347" s="1">
        <f t="shared" si="207"/>
        <v>0.3</v>
      </c>
      <c r="CK347" s="1">
        <f t="shared" si="208"/>
        <v>0.8</v>
      </c>
      <c r="CL347" s="1">
        <f t="shared" si="209"/>
        <v>1.5</v>
      </c>
      <c r="CM347" s="2">
        <f t="shared" si="210"/>
        <v>95.3</v>
      </c>
      <c r="CN347" s="1">
        <f t="shared" si="211"/>
        <v>-9.5</v>
      </c>
      <c r="CO347" s="1">
        <f t="shared" si="212"/>
        <v>-11.2</v>
      </c>
      <c r="CP347" s="1">
        <f t="shared" si="213"/>
        <v>-14.3</v>
      </c>
      <c r="CQ347" s="1">
        <f t="shared" si="214"/>
        <v>-0.5</v>
      </c>
      <c r="CR347" s="1">
        <f t="shared" si="215"/>
        <v>0.3</v>
      </c>
      <c r="CS347" s="1">
        <f t="shared" si="216"/>
        <v>0.7</v>
      </c>
      <c r="CT347" s="1">
        <f t="shared" si="217"/>
        <v>1.5</v>
      </c>
      <c r="CU347" s="2">
        <f t="shared" si="218"/>
        <v>82.2</v>
      </c>
      <c r="CV347" s="18" t="s">
        <v>233</v>
      </c>
      <c r="CW347" s="1">
        <f>ROUND(PPTest!K347,1)</f>
        <v>1.7</v>
      </c>
      <c r="CX347" s="17">
        <f t="shared" si="219"/>
        <v>1.32</v>
      </c>
      <c r="CY347" s="17">
        <f t="shared" si="220"/>
        <v>3.83</v>
      </c>
      <c r="CZ347" s="20">
        <f t="shared" si="221"/>
        <v>0.39100000000000001</v>
      </c>
      <c r="DA347" s="20">
        <f t="shared" si="222"/>
        <v>8.5000000000000006E-2</v>
      </c>
      <c r="DB347" s="16">
        <f t="shared" si="223"/>
        <v>12.75</v>
      </c>
      <c r="DZ347" s="1">
        <v>-8.5</v>
      </c>
      <c r="EA347" s="1">
        <v>-5.3</v>
      </c>
      <c r="EB347" s="1">
        <v>-11.5</v>
      </c>
      <c r="EC347" s="1">
        <v>2.1</v>
      </c>
    </row>
    <row r="348" spans="1:133" x14ac:dyDescent="0.2">
      <c r="A348" s="40">
        <v>35406</v>
      </c>
      <c r="B348" s="42">
        <v>342</v>
      </c>
      <c r="C348" s="34">
        <v>0.17100000000000001</v>
      </c>
      <c r="D348" s="34">
        <v>0.49099999999999999</v>
      </c>
      <c r="E348" s="34">
        <v>-6.4139999999999997</v>
      </c>
      <c r="F348" s="34">
        <v>96.2</v>
      </c>
      <c r="G348" s="34">
        <v>-7.26</v>
      </c>
      <c r="H348" s="34">
        <v>-7.69</v>
      </c>
      <c r="I348" s="34">
        <v>-0.25600000000000001</v>
      </c>
      <c r="J348" s="34">
        <v>-2.0830000000000002</v>
      </c>
      <c r="K348" s="34">
        <v>-7.59</v>
      </c>
      <c r="L348" s="34">
        <v>0.29399999999999998</v>
      </c>
      <c r="M348" s="34">
        <v>0.73699999999999999</v>
      </c>
      <c r="N348" s="34">
        <v>1.4750000000000001</v>
      </c>
      <c r="O348" s="34">
        <v>0</v>
      </c>
      <c r="P348" s="34">
        <v>1.9491666666666669</v>
      </c>
      <c r="Q348" s="34"/>
      <c r="R348" s="34">
        <v>-4.6150000000000002</v>
      </c>
      <c r="S348" s="34">
        <v>1220</v>
      </c>
      <c r="T348" s="34">
        <v>103.6</v>
      </c>
      <c r="U348" s="34">
        <v>2216</v>
      </c>
      <c r="V348" s="34">
        <v>-4.8380000000000001</v>
      </c>
      <c r="W348" s="34">
        <v>-4.6849999999999996</v>
      </c>
      <c r="X348" s="34">
        <v>-0.11799999999999999</v>
      </c>
      <c r="Y348" s="34">
        <v>-1.903</v>
      </c>
      <c r="Z348" s="34">
        <v>-5.44</v>
      </c>
      <c r="AA348" s="34">
        <v>0.33200000000000002</v>
      </c>
      <c r="AB348" s="34">
        <v>0.78100000000000003</v>
      </c>
      <c r="AC348" s="34">
        <v>1.518</v>
      </c>
      <c r="AD348" s="34">
        <v>5.9008333333333329</v>
      </c>
      <c r="AE348" s="34">
        <v>1235</v>
      </c>
      <c r="AF348" s="34">
        <v>-11.42</v>
      </c>
      <c r="AG348" s="34">
        <v>751</v>
      </c>
      <c r="AH348" s="34">
        <v>71.8</v>
      </c>
      <c r="AI348" s="34">
        <v>1215</v>
      </c>
      <c r="AJ348" s="34">
        <v>-13.1</v>
      </c>
      <c r="AK348" s="34">
        <v>-15.45</v>
      </c>
      <c r="AL348" s="34">
        <v>-0.499</v>
      </c>
      <c r="AM348" s="34">
        <v>-2.2400000000000002</v>
      </c>
      <c r="AN348" s="34">
        <v>-13.02</v>
      </c>
      <c r="AO348" s="34">
        <v>0.26600000000000001</v>
      </c>
      <c r="AP348" s="34">
        <v>0.70399999999999996</v>
      </c>
      <c r="AQ348" s="34">
        <v>1.4419999999999999</v>
      </c>
      <c r="AR348" s="34">
        <v>0.14699999999999999</v>
      </c>
      <c r="AS348" s="34">
        <v>0.318</v>
      </c>
      <c r="AT348" s="34">
        <v>0.14199999999999999</v>
      </c>
      <c r="AU348" s="34">
        <v>5.0999999999999997E-2</v>
      </c>
      <c r="AV348" s="34">
        <v>9.5000000000000001E-2</v>
      </c>
      <c r="AW348" s="34">
        <v>0.128</v>
      </c>
      <c r="AX348" s="34">
        <v>0.06</v>
      </c>
      <c r="AY348" s="34">
        <v>0.06</v>
      </c>
      <c r="AZ348" s="34">
        <v>-6.6559999999999997</v>
      </c>
      <c r="BA348" s="34"/>
      <c r="BB348" s="34">
        <v>12.68</v>
      </c>
      <c r="BC348" s="34">
        <v>2876</v>
      </c>
      <c r="BD348" s="3"/>
      <c r="BE348" s="3"/>
      <c r="BF348" s="3"/>
      <c r="BH348" s="16">
        <v>4.63</v>
      </c>
      <c r="BI348" s="16">
        <f t="shared" si="192"/>
        <v>9.3526000000000007</v>
      </c>
      <c r="BJ348" s="17">
        <f t="shared" si="177"/>
        <v>0.17</v>
      </c>
      <c r="BK348" s="17">
        <f t="shared" si="178"/>
        <v>0.52</v>
      </c>
      <c r="BM348" s="1">
        <f t="shared" si="179"/>
        <v>96.7</v>
      </c>
      <c r="BN348" s="1">
        <f t="shared" si="180"/>
        <v>89.9</v>
      </c>
      <c r="BO348" s="1">
        <f t="shared" si="181"/>
        <v>67.3</v>
      </c>
      <c r="BP348" s="56">
        <f t="shared" si="182"/>
        <v>0.29199999999999998</v>
      </c>
      <c r="BQ348" s="56">
        <f t="shared" si="183"/>
        <v>0.14199999999999999</v>
      </c>
      <c r="BS348" s="47">
        <f t="shared" si="176"/>
        <v>1.5</v>
      </c>
      <c r="BT348" s="44">
        <v>1</v>
      </c>
      <c r="BV348" s="16">
        <f t="shared" si="193"/>
        <v>0.17</v>
      </c>
      <c r="BW348" s="16">
        <f t="shared" si="194"/>
        <v>0.52</v>
      </c>
      <c r="BX348" s="3">
        <f t="shared" si="195"/>
        <v>-6.4</v>
      </c>
      <c r="BY348" s="3">
        <f t="shared" si="196"/>
        <v>-7.3</v>
      </c>
      <c r="BZ348" s="3">
        <f t="shared" si="197"/>
        <v>-7.7</v>
      </c>
      <c r="CA348" s="3">
        <f t="shared" si="198"/>
        <v>-0.3</v>
      </c>
      <c r="CB348" s="3">
        <f t="shared" si="199"/>
        <v>0.3</v>
      </c>
      <c r="CC348" s="3">
        <f t="shared" si="200"/>
        <v>0.7</v>
      </c>
      <c r="CD348" s="3">
        <f t="shared" si="201"/>
        <v>1.5</v>
      </c>
      <c r="CE348" s="23">
        <f t="shared" si="202"/>
        <v>89.9</v>
      </c>
      <c r="CF348" s="1">
        <f t="shared" si="203"/>
        <v>-4.5999999999999996</v>
      </c>
      <c r="CG348" s="1">
        <f t="shared" si="204"/>
        <v>-4.8</v>
      </c>
      <c r="CH348" s="1">
        <f t="shared" si="205"/>
        <v>-4.7</v>
      </c>
      <c r="CI348" s="1">
        <f t="shared" si="206"/>
        <v>-0.1</v>
      </c>
      <c r="CJ348" s="1">
        <f t="shared" si="207"/>
        <v>0.3</v>
      </c>
      <c r="CK348" s="1">
        <f t="shared" si="208"/>
        <v>0.8</v>
      </c>
      <c r="CL348" s="1">
        <f t="shared" si="209"/>
        <v>1.5</v>
      </c>
      <c r="CM348" s="2">
        <f t="shared" si="210"/>
        <v>96.7</v>
      </c>
      <c r="CN348" s="1">
        <f t="shared" si="211"/>
        <v>-11.4</v>
      </c>
      <c r="CO348" s="1">
        <f t="shared" si="212"/>
        <v>-13.1</v>
      </c>
      <c r="CP348" s="1">
        <f t="shared" si="213"/>
        <v>-15.5</v>
      </c>
      <c r="CQ348" s="1">
        <f t="shared" si="214"/>
        <v>-0.5</v>
      </c>
      <c r="CR348" s="1">
        <f t="shared" si="215"/>
        <v>0.3</v>
      </c>
      <c r="CS348" s="1">
        <f t="shared" si="216"/>
        <v>0.7</v>
      </c>
      <c r="CT348" s="1">
        <f t="shared" si="217"/>
        <v>1.4</v>
      </c>
      <c r="CU348" s="2">
        <f t="shared" si="218"/>
        <v>67.3</v>
      </c>
      <c r="CV348" s="18" t="s">
        <v>233</v>
      </c>
      <c r="CW348" s="1">
        <f>ROUND(PPTest!K348,1)</f>
        <v>1.6</v>
      </c>
      <c r="CX348" s="17">
        <f t="shared" si="219"/>
        <v>1.95</v>
      </c>
      <c r="CY348" s="17">
        <f t="shared" si="220"/>
        <v>5.9</v>
      </c>
      <c r="CZ348" s="20">
        <f t="shared" si="221"/>
        <v>0.29199999999999998</v>
      </c>
      <c r="DA348" s="20">
        <f t="shared" si="222"/>
        <v>0.14199999999999999</v>
      </c>
      <c r="DB348" s="16">
        <f t="shared" si="223"/>
        <v>12.68</v>
      </c>
      <c r="DZ348" s="1">
        <v>-7.3</v>
      </c>
      <c r="EA348" s="1">
        <v>-3.9</v>
      </c>
      <c r="EB348" s="1">
        <v>-15.1</v>
      </c>
      <c r="EC348" s="1">
        <v>0.3</v>
      </c>
    </row>
    <row r="349" spans="1:133" x14ac:dyDescent="0.2">
      <c r="A349" s="40">
        <v>35407</v>
      </c>
      <c r="B349" s="34">
        <v>343</v>
      </c>
      <c r="C349" s="34">
        <v>0.19900000000000001</v>
      </c>
      <c r="D349" s="34">
        <v>0.56100000000000005</v>
      </c>
      <c r="E349" s="34">
        <v>-4.657</v>
      </c>
      <c r="F349" s="34">
        <v>101.9</v>
      </c>
      <c r="G349" s="34">
        <v>-5.2809999999999997</v>
      </c>
      <c r="H349" s="34">
        <v>-5.5110000000000001</v>
      </c>
      <c r="I349" s="34">
        <v>-0.106</v>
      </c>
      <c r="J349" s="34">
        <v>-2.2650000000000001</v>
      </c>
      <c r="K349" s="34">
        <v>-5.3609999999999998</v>
      </c>
      <c r="L349" s="34">
        <v>0.28399999999999997</v>
      </c>
      <c r="M349" s="34">
        <v>0.72699999999999998</v>
      </c>
      <c r="N349" s="34">
        <v>1.456</v>
      </c>
      <c r="O349" s="34">
        <v>0</v>
      </c>
      <c r="P349" s="34">
        <v>1.2749999999999999</v>
      </c>
      <c r="Q349" s="34"/>
      <c r="R349" s="34">
        <v>-2.6789999999999998</v>
      </c>
      <c r="S349" s="34">
        <v>1333</v>
      </c>
      <c r="T349" s="34">
        <v>104.6</v>
      </c>
      <c r="U349" s="34">
        <v>1919</v>
      </c>
      <c r="V349" s="34">
        <v>-3.0369999999999999</v>
      </c>
      <c r="W349" s="34">
        <v>-2.91</v>
      </c>
      <c r="X349" s="34">
        <v>-8.0000000000000002E-3</v>
      </c>
      <c r="Y349" s="34">
        <v>-1.9379999999999999</v>
      </c>
      <c r="Z349" s="34">
        <v>-3.3039999999999998</v>
      </c>
      <c r="AA349" s="34">
        <v>0.30499999999999999</v>
      </c>
      <c r="AB349" s="34">
        <v>0.747</v>
      </c>
      <c r="AC349" s="34">
        <v>1.482</v>
      </c>
      <c r="AD349" s="34">
        <v>6.1675000000000004</v>
      </c>
      <c r="AE349" s="34">
        <v>2033</v>
      </c>
      <c r="AF349" s="34">
        <v>-8.26</v>
      </c>
      <c r="AG349" s="34">
        <v>2350</v>
      </c>
      <c r="AH349" s="34">
        <v>86.3</v>
      </c>
      <c r="AI349" s="34">
        <v>2246</v>
      </c>
      <c r="AJ349" s="34">
        <v>-10.94</v>
      </c>
      <c r="AK349" s="34">
        <v>-15.69</v>
      </c>
      <c r="AL349" s="34">
        <v>-0.29499999999999998</v>
      </c>
      <c r="AM349" s="34">
        <v>-2.3679999999999999</v>
      </c>
      <c r="AN349" s="34">
        <v>-9.2100000000000009</v>
      </c>
      <c r="AO349" s="34">
        <v>0.25700000000000001</v>
      </c>
      <c r="AP349" s="34">
        <v>0.69399999999999995</v>
      </c>
      <c r="AQ349" s="34">
        <v>1.431</v>
      </c>
      <c r="AR349" s="34">
        <v>6.3E-2</v>
      </c>
      <c r="AS349" s="34">
        <v>0.154</v>
      </c>
      <c r="AT349" s="34">
        <v>0.127</v>
      </c>
      <c r="AU349" s="34">
        <v>3.6999999999999998E-2</v>
      </c>
      <c r="AV349" s="34">
        <v>0.123</v>
      </c>
      <c r="AW349" s="34">
        <v>0.35699999999999998</v>
      </c>
      <c r="AX349" s="34">
        <v>0.11</v>
      </c>
      <c r="AY349" s="34">
        <v>2.9000000000000001E-2</v>
      </c>
      <c r="AZ349" s="34">
        <v>-4.524</v>
      </c>
      <c r="BA349" s="34"/>
      <c r="BB349" s="34">
        <v>12.67</v>
      </c>
      <c r="BC349" s="34">
        <v>2876</v>
      </c>
      <c r="BD349" s="3"/>
      <c r="BE349" s="3"/>
      <c r="BF349" s="3"/>
      <c r="BH349" s="16">
        <v>4.59</v>
      </c>
      <c r="BI349" s="16">
        <f t="shared" si="192"/>
        <v>9.2717999999999989</v>
      </c>
      <c r="BJ349" s="17">
        <f t="shared" si="177"/>
        <v>0.2</v>
      </c>
      <c r="BK349" s="17">
        <f t="shared" si="178"/>
        <v>0.59</v>
      </c>
      <c r="BM349" s="1">
        <f t="shared" si="179"/>
        <v>97.7</v>
      </c>
      <c r="BN349" s="1">
        <f t="shared" si="180"/>
        <v>95.2</v>
      </c>
      <c r="BO349" s="1">
        <f t="shared" si="181"/>
        <v>80.7</v>
      </c>
      <c r="BP349" s="56">
        <f t="shared" si="182"/>
        <v>0.40400000000000003</v>
      </c>
      <c r="BQ349" s="56">
        <f t="shared" si="183"/>
        <v>9.7000000000000003E-2</v>
      </c>
      <c r="BS349" s="47">
        <f t="shared" si="176"/>
        <v>13.5</v>
      </c>
      <c r="BT349" s="44">
        <v>9</v>
      </c>
      <c r="BV349" s="16">
        <f t="shared" si="193"/>
        <v>0.2</v>
      </c>
      <c r="BW349" s="16">
        <f t="shared" si="194"/>
        <v>0.59</v>
      </c>
      <c r="BX349" s="3">
        <f t="shared" si="195"/>
        <v>-4.7</v>
      </c>
      <c r="BY349" s="3">
        <f t="shared" si="196"/>
        <v>-5.3</v>
      </c>
      <c r="BZ349" s="3">
        <f t="shared" si="197"/>
        <v>-5.5</v>
      </c>
      <c r="CA349" s="3">
        <f t="shared" si="198"/>
        <v>-0.1</v>
      </c>
      <c r="CB349" s="3">
        <f t="shared" si="199"/>
        <v>0.3</v>
      </c>
      <c r="CC349" s="3">
        <f t="shared" si="200"/>
        <v>0.7</v>
      </c>
      <c r="CD349" s="3">
        <f t="shared" si="201"/>
        <v>1.5</v>
      </c>
      <c r="CE349" s="23">
        <f t="shared" si="202"/>
        <v>95.2</v>
      </c>
      <c r="CF349" s="1">
        <f t="shared" si="203"/>
        <v>-2.7</v>
      </c>
      <c r="CG349" s="1">
        <f t="shared" si="204"/>
        <v>-3</v>
      </c>
      <c r="CH349" s="1">
        <f t="shared" si="205"/>
        <v>-2.9</v>
      </c>
      <c r="CI349" s="1">
        <f t="shared" si="206"/>
        <v>0</v>
      </c>
      <c r="CJ349" s="1">
        <f t="shared" si="207"/>
        <v>0.3</v>
      </c>
      <c r="CK349" s="1">
        <f t="shared" si="208"/>
        <v>0.7</v>
      </c>
      <c r="CL349" s="1">
        <f t="shared" si="209"/>
        <v>1.5</v>
      </c>
      <c r="CM349" s="2">
        <f t="shared" si="210"/>
        <v>97.7</v>
      </c>
      <c r="CN349" s="1">
        <f t="shared" si="211"/>
        <v>-8.3000000000000007</v>
      </c>
      <c r="CO349" s="1">
        <f t="shared" si="212"/>
        <v>-10.9</v>
      </c>
      <c r="CP349" s="1">
        <f t="shared" si="213"/>
        <v>-15.7</v>
      </c>
      <c r="CQ349" s="1">
        <f t="shared" si="214"/>
        <v>-0.3</v>
      </c>
      <c r="CR349" s="1">
        <f t="shared" si="215"/>
        <v>0.3</v>
      </c>
      <c r="CS349" s="1">
        <f t="shared" si="216"/>
        <v>0.7</v>
      </c>
      <c r="CT349" s="1">
        <f t="shared" si="217"/>
        <v>1.4</v>
      </c>
      <c r="CU349" s="2">
        <f t="shared" si="218"/>
        <v>80.7</v>
      </c>
      <c r="CV349" s="18" t="s">
        <v>233</v>
      </c>
      <c r="CW349" s="1">
        <f>ROUND(PPTest!K349,1)</f>
        <v>14.2</v>
      </c>
      <c r="CX349" s="17">
        <f t="shared" si="219"/>
        <v>1.28</v>
      </c>
      <c r="CY349" s="17">
        <f t="shared" si="220"/>
        <v>6.17</v>
      </c>
      <c r="CZ349" s="20">
        <f t="shared" si="221"/>
        <v>0.40400000000000003</v>
      </c>
      <c r="DA349" s="20">
        <f t="shared" si="222"/>
        <v>9.7000000000000003E-2</v>
      </c>
      <c r="DB349" s="16">
        <f t="shared" si="223"/>
        <v>12.67</v>
      </c>
      <c r="DZ349" s="1">
        <v>-5.0999999999999996</v>
      </c>
      <c r="EA349" s="1">
        <v>-2.6</v>
      </c>
      <c r="EB349" s="1">
        <v>-8.1999999999999993</v>
      </c>
      <c r="EC349" s="1">
        <v>4</v>
      </c>
    </row>
    <row r="350" spans="1:133" x14ac:dyDescent="0.2">
      <c r="A350" s="40">
        <v>35408</v>
      </c>
      <c r="B350" s="34">
        <v>344</v>
      </c>
      <c r="C350" s="34">
        <v>1.758</v>
      </c>
      <c r="D350" s="34">
        <v>3.0419999999999998</v>
      </c>
      <c r="E350" s="34">
        <v>-8.11</v>
      </c>
      <c r="F350" s="34">
        <v>87.5</v>
      </c>
      <c r="G350" s="34">
        <v>-9.31</v>
      </c>
      <c r="H350" s="34">
        <v>-10.95</v>
      </c>
      <c r="I350" s="34">
        <v>-0.376</v>
      </c>
      <c r="J350" s="34">
        <v>-1.871</v>
      </c>
      <c r="K350" s="34">
        <v>-10.039999999999999</v>
      </c>
      <c r="L350" s="34">
        <v>0.28599999999999998</v>
      </c>
      <c r="M350" s="34">
        <v>0.73299999999999998</v>
      </c>
      <c r="N350" s="34">
        <v>1.45</v>
      </c>
      <c r="O350" s="34">
        <v>0</v>
      </c>
      <c r="P350" s="34">
        <v>1.7475000000000001</v>
      </c>
      <c r="Q350" s="34"/>
      <c r="R350" s="34">
        <v>-2.1030000000000002</v>
      </c>
      <c r="S350" s="34">
        <v>1229</v>
      </c>
      <c r="T350" s="34">
        <v>104.2</v>
      </c>
      <c r="U350" s="34">
        <v>843</v>
      </c>
      <c r="V350" s="34">
        <v>6.7000000000000004E-2</v>
      </c>
      <c r="W350" s="34">
        <v>-2.7570000000000001</v>
      </c>
      <c r="X350" s="34">
        <v>-0.158</v>
      </c>
      <c r="Y350" s="34">
        <v>-1.736</v>
      </c>
      <c r="Z350" s="34">
        <v>-3.782</v>
      </c>
      <c r="AA350" s="34">
        <v>0.30599999999999999</v>
      </c>
      <c r="AB350" s="34">
        <v>0.75600000000000001</v>
      </c>
      <c r="AC350" s="34">
        <v>1.4730000000000001</v>
      </c>
      <c r="AD350" s="34">
        <v>4.7941666666666674</v>
      </c>
      <c r="AE350" s="34">
        <v>925</v>
      </c>
      <c r="AF350" s="34">
        <v>-16.29</v>
      </c>
      <c r="AG350" s="34">
        <v>649</v>
      </c>
      <c r="AH350" s="34">
        <v>54.93</v>
      </c>
      <c r="AI350" s="34">
        <v>1124</v>
      </c>
      <c r="AJ350" s="34">
        <v>-17.760000000000002</v>
      </c>
      <c r="AK350" s="34">
        <v>-20.239999999999998</v>
      </c>
      <c r="AL350" s="34">
        <v>-0.75600000000000001</v>
      </c>
      <c r="AM350" s="34">
        <v>-1.97</v>
      </c>
      <c r="AN350" s="34">
        <v>-17.600000000000001</v>
      </c>
      <c r="AO350" s="34">
        <v>0.26300000000000001</v>
      </c>
      <c r="AP350" s="34">
        <v>0.71199999999999997</v>
      </c>
      <c r="AQ350" s="34">
        <v>1.4239999999999999</v>
      </c>
      <c r="AR350" s="34">
        <v>0.127</v>
      </c>
      <c r="AS350" s="34">
        <v>0.46200000000000002</v>
      </c>
      <c r="AT350" s="34">
        <v>0.28399999999999997</v>
      </c>
      <c r="AU350" s="34">
        <v>3.3000000000000002E-2</v>
      </c>
      <c r="AV350" s="34">
        <v>1.7000000000000001E-2</v>
      </c>
      <c r="AW350" s="34">
        <v>2.4E-2</v>
      </c>
      <c r="AX350" s="34">
        <v>1.9E-2</v>
      </c>
      <c r="AY350" s="34">
        <v>3.3000000000000002E-2</v>
      </c>
      <c r="AZ350" s="34">
        <v>-5.0419999999999998</v>
      </c>
      <c r="BA350" s="34"/>
      <c r="BB350" s="34">
        <v>13.05</v>
      </c>
      <c r="BC350" s="34">
        <v>2876</v>
      </c>
      <c r="BD350" s="3"/>
      <c r="BE350" s="3"/>
      <c r="BF350" s="3"/>
      <c r="BH350" s="16">
        <v>4.55</v>
      </c>
      <c r="BI350" s="16">
        <f t="shared" si="192"/>
        <v>9.1909999999999989</v>
      </c>
      <c r="BJ350" s="17">
        <f t="shared" si="177"/>
        <v>1.76</v>
      </c>
      <c r="BK350" s="17">
        <f t="shared" si="178"/>
        <v>3.19</v>
      </c>
      <c r="BM350" s="1">
        <f t="shared" si="179"/>
        <v>97.3</v>
      </c>
      <c r="BN350" s="1">
        <f t="shared" si="180"/>
        <v>81.900000000000006</v>
      </c>
      <c r="BO350" s="1">
        <f t="shared" si="181"/>
        <v>51.8</v>
      </c>
      <c r="BP350" s="56">
        <f t="shared" si="182"/>
        <v>0.27100000000000002</v>
      </c>
      <c r="BQ350" s="56">
        <f t="shared" si="183"/>
        <v>0.252</v>
      </c>
      <c r="BS350" s="47">
        <f t="shared" si="176"/>
        <v>1.5</v>
      </c>
      <c r="BT350" s="44">
        <v>1</v>
      </c>
      <c r="BV350" s="16">
        <f t="shared" si="193"/>
        <v>1.76</v>
      </c>
      <c r="BW350" s="16">
        <f t="shared" si="194"/>
        <v>3.19</v>
      </c>
      <c r="BX350" s="3">
        <f t="shared" si="195"/>
        <v>-8.1</v>
      </c>
      <c r="BY350" s="3">
        <f t="shared" si="196"/>
        <v>-9.3000000000000007</v>
      </c>
      <c r="BZ350" s="3">
        <f t="shared" si="197"/>
        <v>-11</v>
      </c>
      <c r="CA350" s="3">
        <f t="shared" si="198"/>
        <v>-0.4</v>
      </c>
      <c r="CB350" s="3">
        <f t="shared" si="199"/>
        <v>0.3</v>
      </c>
      <c r="CC350" s="3">
        <f t="shared" si="200"/>
        <v>0.7</v>
      </c>
      <c r="CD350" s="3">
        <f t="shared" si="201"/>
        <v>1.5</v>
      </c>
      <c r="CE350" s="23">
        <f t="shared" si="202"/>
        <v>81.900000000000006</v>
      </c>
      <c r="CF350" s="1">
        <f t="shared" si="203"/>
        <v>-2.1</v>
      </c>
      <c r="CG350" s="1">
        <f t="shared" si="204"/>
        <v>0.1</v>
      </c>
      <c r="CH350" s="1">
        <f t="shared" si="205"/>
        <v>-2.8</v>
      </c>
      <c r="CI350" s="1">
        <f t="shared" si="206"/>
        <v>-0.2</v>
      </c>
      <c r="CJ350" s="1">
        <f t="shared" si="207"/>
        <v>0.3</v>
      </c>
      <c r="CK350" s="1">
        <f t="shared" si="208"/>
        <v>0.8</v>
      </c>
      <c r="CL350" s="1">
        <f t="shared" si="209"/>
        <v>1.5</v>
      </c>
      <c r="CM350" s="2">
        <f t="shared" si="210"/>
        <v>97.3</v>
      </c>
      <c r="CN350" s="1">
        <f t="shared" si="211"/>
        <v>-16.3</v>
      </c>
      <c r="CO350" s="1">
        <f t="shared" si="212"/>
        <v>-17.8</v>
      </c>
      <c r="CP350" s="1">
        <f t="shared" si="213"/>
        <v>-20.2</v>
      </c>
      <c r="CQ350" s="1">
        <f t="shared" si="214"/>
        <v>-0.8</v>
      </c>
      <c r="CR350" s="1">
        <f t="shared" si="215"/>
        <v>0.3</v>
      </c>
      <c r="CS350" s="1">
        <f t="shared" si="216"/>
        <v>0.7</v>
      </c>
      <c r="CT350" s="1">
        <f t="shared" si="217"/>
        <v>1.4</v>
      </c>
      <c r="CU350" s="2">
        <f t="shared" si="218"/>
        <v>51.8</v>
      </c>
      <c r="CV350" s="18" t="s">
        <v>233</v>
      </c>
      <c r="CW350" s="1">
        <f>ROUND(PPTest!K350,1)</f>
        <v>1.6</v>
      </c>
      <c r="CX350" s="17">
        <f t="shared" si="219"/>
        <v>1.75</v>
      </c>
      <c r="CY350" s="17">
        <f t="shared" si="220"/>
        <v>4.79</v>
      </c>
      <c r="CZ350" s="20">
        <f t="shared" si="221"/>
        <v>0.27100000000000002</v>
      </c>
      <c r="DA350" s="20">
        <f t="shared" si="222"/>
        <v>0.252</v>
      </c>
      <c r="DB350" s="16">
        <f t="shared" si="223"/>
        <v>13.05</v>
      </c>
      <c r="DZ350" s="1">
        <v>-6.9</v>
      </c>
      <c r="EA350" s="1">
        <v>-2</v>
      </c>
      <c r="EB350" s="1">
        <v>-14.7</v>
      </c>
      <c r="EC350" s="1">
        <v>0</v>
      </c>
    </row>
    <row r="351" spans="1:133" x14ac:dyDescent="0.2">
      <c r="A351" s="40">
        <v>35409</v>
      </c>
      <c r="B351" s="34">
        <v>345</v>
      </c>
      <c r="C351" s="34">
        <v>0.60699999999999998</v>
      </c>
      <c r="D351" s="34">
        <v>1.0680000000000001</v>
      </c>
      <c r="E351" s="34">
        <v>-2.9489999999999998</v>
      </c>
      <c r="F351" s="34">
        <v>99.4</v>
      </c>
      <c r="G351" s="34">
        <v>-3.6309999999999998</v>
      </c>
      <c r="H351" s="34">
        <v>-4.1340000000000003</v>
      </c>
      <c r="I351" s="34">
        <v>-0.157</v>
      </c>
      <c r="J351" s="34">
        <v>-1.988</v>
      </c>
      <c r="K351" s="34">
        <v>-3.911</v>
      </c>
      <c r="L351" s="34">
        <v>0.28499999999999998</v>
      </c>
      <c r="M351" s="34">
        <v>0.73099999999999998</v>
      </c>
      <c r="N351" s="34">
        <v>1.4350000000000001</v>
      </c>
      <c r="O351" s="34">
        <v>0</v>
      </c>
      <c r="P351" s="34">
        <v>2.0958333333333332</v>
      </c>
      <c r="Q351" s="34"/>
      <c r="R351" s="34">
        <v>0.37</v>
      </c>
      <c r="S351" s="34">
        <v>1246</v>
      </c>
      <c r="T351" s="34">
        <v>106.3</v>
      </c>
      <c r="U351" s="34">
        <v>946</v>
      </c>
      <c r="V351" s="34">
        <v>2.0880000000000001</v>
      </c>
      <c r="W351" s="34">
        <v>1.492</v>
      </c>
      <c r="X351" s="34">
        <v>-1.0999999999999999E-2</v>
      </c>
      <c r="Y351" s="34">
        <v>-1.8680000000000001</v>
      </c>
      <c r="Z351" s="34">
        <v>-0.53500000000000003</v>
      </c>
      <c r="AA351" s="34">
        <v>0.309</v>
      </c>
      <c r="AB351" s="34">
        <v>0.755</v>
      </c>
      <c r="AC351" s="34">
        <v>1.46</v>
      </c>
      <c r="AD351" s="34">
        <v>6.5008333333333335</v>
      </c>
      <c r="AE351" s="34">
        <v>2330</v>
      </c>
      <c r="AF351" s="34">
        <v>-9.19</v>
      </c>
      <c r="AG351" s="34">
        <v>20</v>
      </c>
      <c r="AH351" s="34">
        <v>75.599999999999994</v>
      </c>
      <c r="AI351" s="34">
        <v>117</v>
      </c>
      <c r="AJ351" s="34">
        <v>-10.34</v>
      </c>
      <c r="AK351" s="34">
        <v>-11.59</v>
      </c>
      <c r="AL351" s="34">
        <v>-0.442</v>
      </c>
      <c r="AM351" s="34">
        <v>-2.0960000000000001</v>
      </c>
      <c r="AN351" s="34">
        <v>-10.57</v>
      </c>
      <c r="AO351" s="34">
        <v>0.25800000000000001</v>
      </c>
      <c r="AP351" s="34">
        <v>0.70399999999999996</v>
      </c>
      <c r="AQ351" s="34">
        <v>1.407</v>
      </c>
      <c r="AR351" s="34">
        <v>0.16300000000000001</v>
      </c>
      <c r="AS351" s="34">
        <v>0.29899999999999999</v>
      </c>
      <c r="AT351" s="34">
        <v>0.17399999999999999</v>
      </c>
      <c r="AU351" s="34">
        <v>3.5000000000000003E-2</v>
      </c>
      <c r="AV351" s="34">
        <v>8.6999999999999994E-2</v>
      </c>
      <c r="AW351" s="34">
        <v>0.13200000000000001</v>
      </c>
      <c r="AX351" s="34">
        <v>6.7000000000000004E-2</v>
      </c>
      <c r="AY351" s="34">
        <v>4.2000000000000003E-2</v>
      </c>
      <c r="AZ351" s="34">
        <v>-3.53</v>
      </c>
      <c r="BA351" s="34"/>
      <c r="BB351" s="34">
        <v>13.05</v>
      </c>
      <c r="BC351" s="34">
        <v>2876</v>
      </c>
      <c r="BD351" s="3"/>
      <c r="BE351" s="3"/>
      <c r="BF351" s="3"/>
      <c r="BH351" s="16">
        <v>4.5199999999999996</v>
      </c>
      <c r="BI351" s="16">
        <f t="shared" si="192"/>
        <v>9.1303999999999998</v>
      </c>
      <c r="BJ351" s="17">
        <f t="shared" si="177"/>
        <v>0.61</v>
      </c>
      <c r="BK351" s="17">
        <f t="shared" si="178"/>
        <v>1.1200000000000001</v>
      </c>
      <c r="BM351" s="1">
        <f t="shared" si="179"/>
        <v>99.2</v>
      </c>
      <c r="BN351" s="1">
        <f t="shared" si="180"/>
        <v>92.8</v>
      </c>
      <c r="BO351" s="1">
        <f t="shared" si="181"/>
        <v>70.900000000000006</v>
      </c>
      <c r="BP351" s="56">
        <f t="shared" si="182"/>
        <v>0.44500000000000001</v>
      </c>
      <c r="BQ351" s="56">
        <f t="shared" si="183"/>
        <v>0.183</v>
      </c>
      <c r="BS351" s="47">
        <f t="shared" si="176"/>
        <v>3</v>
      </c>
      <c r="BT351" s="44">
        <v>2</v>
      </c>
      <c r="BV351" s="16">
        <f t="shared" si="193"/>
        <v>0.61</v>
      </c>
      <c r="BW351" s="16">
        <f t="shared" si="194"/>
        <v>1.1200000000000001</v>
      </c>
      <c r="BX351" s="3">
        <f t="shared" si="195"/>
        <v>-2.9</v>
      </c>
      <c r="BY351" s="3">
        <f t="shared" si="196"/>
        <v>-3.6</v>
      </c>
      <c r="BZ351" s="3">
        <f t="shared" si="197"/>
        <v>-4.0999999999999996</v>
      </c>
      <c r="CA351" s="3">
        <f t="shared" si="198"/>
        <v>-0.2</v>
      </c>
      <c r="CB351" s="3">
        <f t="shared" si="199"/>
        <v>0.3</v>
      </c>
      <c r="CC351" s="3">
        <f t="shared" si="200"/>
        <v>0.7</v>
      </c>
      <c r="CD351" s="3">
        <f t="shared" si="201"/>
        <v>1.4</v>
      </c>
      <c r="CE351" s="23">
        <f t="shared" si="202"/>
        <v>92.8</v>
      </c>
      <c r="CF351" s="1">
        <f t="shared" si="203"/>
        <v>0.4</v>
      </c>
      <c r="CG351" s="1">
        <f t="shared" si="204"/>
        <v>2.1</v>
      </c>
      <c r="CH351" s="1">
        <f t="shared" si="205"/>
        <v>1.5</v>
      </c>
      <c r="CI351" s="1">
        <f t="shared" si="206"/>
        <v>0</v>
      </c>
      <c r="CJ351" s="1">
        <f t="shared" si="207"/>
        <v>0.3</v>
      </c>
      <c r="CK351" s="1">
        <f t="shared" si="208"/>
        <v>0.8</v>
      </c>
      <c r="CL351" s="1">
        <f t="shared" si="209"/>
        <v>1.5</v>
      </c>
      <c r="CM351" s="2">
        <f t="shared" si="210"/>
        <v>99.2</v>
      </c>
      <c r="CN351" s="1">
        <f t="shared" si="211"/>
        <v>-9.1999999999999993</v>
      </c>
      <c r="CO351" s="1">
        <f t="shared" si="212"/>
        <v>-10.3</v>
      </c>
      <c r="CP351" s="1">
        <f t="shared" si="213"/>
        <v>-11.6</v>
      </c>
      <c r="CQ351" s="1">
        <f t="shared" si="214"/>
        <v>-0.4</v>
      </c>
      <c r="CR351" s="1">
        <f t="shared" si="215"/>
        <v>0.3</v>
      </c>
      <c r="CS351" s="1">
        <f t="shared" si="216"/>
        <v>0.7</v>
      </c>
      <c r="CT351" s="1">
        <f t="shared" si="217"/>
        <v>1.4</v>
      </c>
      <c r="CU351" s="2">
        <f t="shared" si="218"/>
        <v>70.900000000000006</v>
      </c>
      <c r="CV351" s="18" t="s">
        <v>233</v>
      </c>
      <c r="CW351" s="1">
        <f>ROUND(PPTest!K351,1)</f>
        <v>3.2</v>
      </c>
      <c r="CX351" s="17">
        <f t="shared" si="219"/>
        <v>2.1</v>
      </c>
      <c r="CY351" s="17">
        <f t="shared" si="220"/>
        <v>6.5</v>
      </c>
      <c r="CZ351" s="20">
        <f t="shared" si="221"/>
        <v>0.44500000000000001</v>
      </c>
      <c r="DA351" s="20">
        <f t="shared" si="222"/>
        <v>0.183</v>
      </c>
      <c r="DB351" s="16">
        <f t="shared" si="223"/>
        <v>13.05</v>
      </c>
      <c r="DZ351" s="1">
        <v>-2.7</v>
      </c>
      <c r="EA351" s="1">
        <v>-0.2</v>
      </c>
      <c r="EB351" s="1">
        <v>-5.3</v>
      </c>
      <c r="EC351" s="1">
        <v>6.5</v>
      </c>
    </row>
    <row r="352" spans="1:133" x14ac:dyDescent="0.2">
      <c r="A352" s="40">
        <v>35410</v>
      </c>
      <c r="B352" s="34">
        <v>346</v>
      </c>
      <c r="C352" s="34">
        <v>2.8650000000000002</v>
      </c>
      <c r="D352" s="34">
        <v>2.9780000000000002</v>
      </c>
      <c r="E352" s="34">
        <v>-5.8209999999999997</v>
      </c>
      <c r="F352" s="34">
        <v>85.1</v>
      </c>
      <c r="G352" s="34">
        <v>-6.7460000000000004</v>
      </c>
      <c r="H352" s="34">
        <v>-7.85</v>
      </c>
      <c r="I352" s="34">
        <v>-0.183</v>
      </c>
      <c r="J352" s="34">
        <v>-1.6870000000000001</v>
      </c>
      <c r="K352" s="34">
        <v>-7.08</v>
      </c>
      <c r="L352" s="34">
        <v>0.27800000000000002</v>
      </c>
      <c r="M352" s="34">
        <v>0.72199999999999998</v>
      </c>
      <c r="N352" s="34">
        <v>1.415</v>
      </c>
      <c r="O352" s="34">
        <v>0</v>
      </c>
      <c r="P352" s="34">
        <v>2.0325000000000002</v>
      </c>
      <c r="Q352" s="34"/>
      <c r="R352" s="34">
        <v>0.47299999999999998</v>
      </c>
      <c r="S352" s="34">
        <v>1414</v>
      </c>
      <c r="T352" s="34">
        <v>103.3</v>
      </c>
      <c r="U352" s="34">
        <v>3</v>
      </c>
      <c r="V352" s="34">
        <v>4.9219999999999997</v>
      </c>
      <c r="W352" s="34">
        <v>-1.4450000000000001</v>
      </c>
      <c r="X352" s="34">
        <v>-4.3999999999999997E-2</v>
      </c>
      <c r="Y352" s="34">
        <v>-1.5289999999999999</v>
      </c>
      <c r="Z352" s="34">
        <v>-2.2770000000000001</v>
      </c>
      <c r="AA352" s="34">
        <v>0.3</v>
      </c>
      <c r="AB352" s="34">
        <v>0.74199999999999999</v>
      </c>
      <c r="AC352" s="34">
        <v>1.4419999999999999</v>
      </c>
      <c r="AD352" s="34">
        <v>6.314166666666666</v>
      </c>
      <c r="AE352" s="34">
        <v>222</v>
      </c>
      <c r="AF352" s="34">
        <v>-11.05</v>
      </c>
      <c r="AG352" s="34">
        <v>2020</v>
      </c>
      <c r="AH352" s="34">
        <v>54.37</v>
      </c>
      <c r="AI352" s="34">
        <v>1414</v>
      </c>
      <c r="AJ352" s="34">
        <v>-13.85</v>
      </c>
      <c r="AK352" s="34">
        <v>-17.86</v>
      </c>
      <c r="AL352" s="34">
        <v>-0.33500000000000002</v>
      </c>
      <c r="AM352" s="34">
        <v>-1.9630000000000001</v>
      </c>
      <c r="AN352" s="34">
        <v>-13.53</v>
      </c>
      <c r="AO352" s="34">
        <v>0.25700000000000001</v>
      </c>
      <c r="AP352" s="34">
        <v>0.69899999999999995</v>
      </c>
      <c r="AQ352" s="34">
        <v>1.3919999999999999</v>
      </c>
      <c r="AR352" s="34">
        <v>4.2000000000000003E-2</v>
      </c>
      <c r="AS352" s="34">
        <v>0.109</v>
      </c>
      <c r="AT352" s="34">
        <v>0.153</v>
      </c>
      <c r="AU352" s="34">
        <v>0.114</v>
      </c>
      <c r="AV352" s="34">
        <v>0.23699999999999999</v>
      </c>
      <c r="AW352" s="34">
        <v>0.26800000000000002</v>
      </c>
      <c r="AX352" s="34">
        <v>4.9000000000000002E-2</v>
      </c>
      <c r="AY352" s="34">
        <v>2.7E-2</v>
      </c>
      <c r="AZ352" s="34">
        <v>-3.746</v>
      </c>
      <c r="BA352" s="34"/>
      <c r="BB352" s="34">
        <v>13.13</v>
      </c>
      <c r="BC352" s="34">
        <v>2876</v>
      </c>
      <c r="BD352" s="3"/>
      <c r="BE352" s="3"/>
      <c r="BF352" s="3"/>
      <c r="BH352" s="16">
        <v>4.49</v>
      </c>
      <c r="BI352" s="16">
        <f t="shared" si="192"/>
        <v>9.0698000000000008</v>
      </c>
      <c r="BJ352" s="17">
        <f t="shared" si="177"/>
        <v>2.87</v>
      </c>
      <c r="BK352" s="17">
        <f t="shared" si="178"/>
        <v>3.13</v>
      </c>
      <c r="BM352" s="1">
        <f t="shared" si="179"/>
        <v>96.4</v>
      </c>
      <c r="BN352" s="1">
        <f t="shared" si="180"/>
        <v>79.599999999999994</v>
      </c>
      <c r="BO352" s="1">
        <f t="shared" si="181"/>
        <v>51.2</v>
      </c>
      <c r="BP352" s="56">
        <f t="shared" si="182"/>
        <v>0.32400000000000001</v>
      </c>
      <c r="BQ352" s="56">
        <f t="shared" si="183"/>
        <v>0.309</v>
      </c>
      <c r="BS352" s="47">
        <f t="shared" si="176"/>
        <v>1.5</v>
      </c>
      <c r="BT352" s="44">
        <v>1</v>
      </c>
      <c r="BV352" s="16">
        <f t="shared" si="193"/>
        <v>2.87</v>
      </c>
      <c r="BW352" s="16">
        <f t="shared" si="194"/>
        <v>3.13</v>
      </c>
      <c r="BX352" s="3">
        <f t="shared" si="195"/>
        <v>-5.8</v>
      </c>
      <c r="BY352" s="3">
        <f t="shared" si="196"/>
        <v>-6.7</v>
      </c>
      <c r="BZ352" s="3">
        <f t="shared" si="197"/>
        <v>-7.9</v>
      </c>
      <c r="CA352" s="3">
        <f t="shared" si="198"/>
        <v>-0.2</v>
      </c>
      <c r="CB352" s="3">
        <f t="shared" si="199"/>
        <v>0.3</v>
      </c>
      <c r="CC352" s="3">
        <f t="shared" si="200"/>
        <v>0.7</v>
      </c>
      <c r="CD352" s="3">
        <f t="shared" si="201"/>
        <v>1.4</v>
      </c>
      <c r="CE352" s="23">
        <f t="shared" si="202"/>
        <v>79.599999999999994</v>
      </c>
      <c r="CF352" s="1">
        <f t="shared" si="203"/>
        <v>0.5</v>
      </c>
      <c r="CG352" s="1">
        <f t="shared" si="204"/>
        <v>4.9000000000000004</v>
      </c>
      <c r="CH352" s="1">
        <f t="shared" si="205"/>
        <v>-1.4</v>
      </c>
      <c r="CI352" s="1">
        <f t="shared" si="206"/>
        <v>0</v>
      </c>
      <c r="CJ352" s="1">
        <f t="shared" si="207"/>
        <v>0.3</v>
      </c>
      <c r="CK352" s="1">
        <f t="shared" si="208"/>
        <v>0.7</v>
      </c>
      <c r="CL352" s="1">
        <f t="shared" si="209"/>
        <v>1.4</v>
      </c>
      <c r="CM352" s="2">
        <f t="shared" si="210"/>
        <v>96.4</v>
      </c>
      <c r="CN352" s="1">
        <f t="shared" si="211"/>
        <v>-11.1</v>
      </c>
      <c r="CO352" s="1">
        <f t="shared" si="212"/>
        <v>-13.9</v>
      </c>
      <c r="CP352" s="1">
        <f t="shared" si="213"/>
        <v>-17.899999999999999</v>
      </c>
      <c r="CQ352" s="1">
        <f t="shared" si="214"/>
        <v>-0.3</v>
      </c>
      <c r="CR352" s="1">
        <f t="shared" si="215"/>
        <v>0.3</v>
      </c>
      <c r="CS352" s="1">
        <f t="shared" si="216"/>
        <v>0.7</v>
      </c>
      <c r="CT352" s="1">
        <f t="shared" si="217"/>
        <v>1.4</v>
      </c>
      <c r="CU352" s="2">
        <f t="shared" si="218"/>
        <v>51.2</v>
      </c>
      <c r="CV352" s="18" t="s">
        <v>233</v>
      </c>
      <c r="CW352" s="1">
        <f>ROUND(PPTest!K352,1)</f>
        <v>1.6</v>
      </c>
      <c r="CX352" s="17">
        <f t="shared" si="219"/>
        <v>2.0299999999999998</v>
      </c>
      <c r="CY352" s="17">
        <f t="shared" si="220"/>
        <v>6.31</v>
      </c>
      <c r="CZ352" s="20">
        <f t="shared" si="221"/>
        <v>0.32400000000000001</v>
      </c>
      <c r="DA352" s="20">
        <f t="shared" si="222"/>
        <v>0.309</v>
      </c>
      <c r="DB352" s="16">
        <f t="shared" si="223"/>
        <v>13.13</v>
      </c>
      <c r="DZ352" s="1">
        <v>-6.9</v>
      </c>
      <c r="EA352" s="1">
        <v>-3.5</v>
      </c>
      <c r="EB352" s="1">
        <v>-10</v>
      </c>
      <c r="EC352" s="1">
        <v>0.3</v>
      </c>
    </row>
    <row r="353" spans="1:133" x14ac:dyDescent="0.2">
      <c r="A353" s="40">
        <v>35411</v>
      </c>
      <c r="B353" s="34">
        <v>347</v>
      </c>
      <c r="C353" s="34">
        <v>0.65800000000000003</v>
      </c>
      <c r="D353" s="34">
        <v>1.0509999999999999</v>
      </c>
      <c r="E353" s="34">
        <v>-6.9269999999999996</v>
      </c>
      <c r="F353" s="34">
        <v>98.2</v>
      </c>
      <c r="G353" s="34">
        <v>-7.76</v>
      </c>
      <c r="H353" s="34">
        <v>-8.2799999999999994</v>
      </c>
      <c r="I353" s="34">
        <v>-0.127</v>
      </c>
      <c r="J353" s="34">
        <v>-1.885</v>
      </c>
      <c r="K353" s="34">
        <v>-7.88</v>
      </c>
      <c r="L353" s="34">
        <v>0.27300000000000002</v>
      </c>
      <c r="M353" s="34">
        <v>0.72</v>
      </c>
      <c r="N353" s="34">
        <v>1.401</v>
      </c>
      <c r="O353" s="34">
        <v>0</v>
      </c>
      <c r="P353" s="34">
        <v>1.1988333333333334</v>
      </c>
      <c r="Q353" s="34"/>
      <c r="R353" s="34">
        <v>-3.6349999999999998</v>
      </c>
      <c r="S353" s="34">
        <v>1258</v>
      </c>
      <c r="T353" s="34">
        <v>104.2</v>
      </c>
      <c r="U353" s="34">
        <v>2149</v>
      </c>
      <c r="V353" s="34">
        <v>-2.6829999999999998</v>
      </c>
      <c r="W353" s="34">
        <v>-3.37</v>
      </c>
      <c r="X353" s="34">
        <v>-1.7999999999999999E-2</v>
      </c>
      <c r="Y353" s="34">
        <v>-1.79</v>
      </c>
      <c r="Z353" s="34">
        <v>-3.9609999999999999</v>
      </c>
      <c r="AA353" s="34">
        <v>0.29799999999999999</v>
      </c>
      <c r="AB353" s="34">
        <v>0.74399999999999999</v>
      </c>
      <c r="AC353" s="34">
        <v>1.427</v>
      </c>
      <c r="AD353" s="34">
        <v>3.4741666666666666</v>
      </c>
      <c r="AE353" s="34">
        <v>955</v>
      </c>
      <c r="AF353" s="34">
        <v>-12.32</v>
      </c>
      <c r="AG353" s="34">
        <v>117</v>
      </c>
      <c r="AH353" s="34">
        <v>81</v>
      </c>
      <c r="AI353" s="34">
        <v>4</v>
      </c>
      <c r="AJ353" s="34">
        <v>-14.16</v>
      </c>
      <c r="AK353" s="34">
        <v>-16.21</v>
      </c>
      <c r="AL353" s="34">
        <v>-0.35499999999999998</v>
      </c>
      <c r="AM353" s="34">
        <v>-2.0110000000000001</v>
      </c>
      <c r="AN353" s="34">
        <v>-14.04</v>
      </c>
      <c r="AO353" s="34">
        <v>0.253</v>
      </c>
      <c r="AP353" s="34">
        <v>0.7</v>
      </c>
      <c r="AQ353" s="34">
        <v>1.38</v>
      </c>
      <c r="AR353" s="34">
        <v>8.7999999999999995E-2</v>
      </c>
      <c r="AS353" s="34">
        <v>0.251</v>
      </c>
      <c r="AT353" s="34">
        <v>0.183</v>
      </c>
      <c r="AU353" s="34">
        <v>6.9000000000000006E-2</v>
      </c>
      <c r="AV353" s="34">
        <v>0.106</v>
      </c>
      <c r="AW353" s="34">
        <v>0.20300000000000001</v>
      </c>
      <c r="AX353" s="34">
        <v>6.9000000000000006E-2</v>
      </c>
      <c r="AY353" s="34">
        <v>0.03</v>
      </c>
      <c r="AZ353" s="34">
        <v>-4.4180000000000001</v>
      </c>
      <c r="BA353" s="34"/>
      <c r="BB353" s="34">
        <v>13.06</v>
      </c>
      <c r="BC353" s="34">
        <v>2876</v>
      </c>
      <c r="BD353" s="3"/>
      <c r="BE353" s="3"/>
      <c r="BF353" s="3"/>
      <c r="BH353" s="16">
        <v>4.47</v>
      </c>
      <c r="BI353" s="16">
        <f t="shared" si="192"/>
        <v>9.029399999999999</v>
      </c>
      <c r="BJ353" s="17">
        <f t="shared" si="177"/>
        <v>0.66</v>
      </c>
      <c r="BK353" s="17">
        <f t="shared" si="178"/>
        <v>1.1000000000000001</v>
      </c>
      <c r="BM353" s="1">
        <f t="shared" si="179"/>
        <v>97.3</v>
      </c>
      <c r="BN353" s="1">
        <f t="shared" si="180"/>
        <v>91.7</v>
      </c>
      <c r="BO353" s="1">
        <f t="shared" si="181"/>
        <v>75.8</v>
      </c>
      <c r="BP353" s="56">
        <f t="shared" si="182"/>
        <v>0.35399999999999998</v>
      </c>
      <c r="BQ353" s="56">
        <f t="shared" si="183"/>
        <v>0.113</v>
      </c>
      <c r="BS353" s="47">
        <f t="shared" si="176"/>
        <v>9</v>
      </c>
      <c r="BT353" s="44">
        <v>6</v>
      </c>
      <c r="BV353" s="16">
        <f t="shared" si="193"/>
        <v>0.66</v>
      </c>
      <c r="BW353" s="16">
        <f t="shared" si="194"/>
        <v>1.1000000000000001</v>
      </c>
      <c r="BX353" s="3">
        <f t="shared" si="195"/>
        <v>-6.9</v>
      </c>
      <c r="BY353" s="3">
        <f t="shared" si="196"/>
        <v>-7.8</v>
      </c>
      <c r="BZ353" s="3">
        <f t="shared" si="197"/>
        <v>-8.3000000000000007</v>
      </c>
      <c r="CA353" s="3">
        <f t="shared" si="198"/>
        <v>-0.1</v>
      </c>
      <c r="CB353" s="3">
        <f t="shared" si="199"/>
        <v>0.3</v>
      </c>
      <c r="CC353" s="3">
        <f t="shared" si="200"/>
        <v>0.7</v>
      </c>
      <c r="CD353" s="3">
        <f t="shared" si="201"/>
        <v>1.4</v>
      </c>
      <c r="CE353" s="23">
        <f t="shared" si="202"/>
        <v>91.7</v>
      </c>
      <c r="CF353" s="1">
        <f t="shared" si="203"/>
        <v>-3.6</v>
      </c>
      <c r="CG353" s="1">
        <f t="shared" si="204"/>
        <v>-2.7</v>
      </c>
      <c r="CH353" s="1">
        <f t="shared" si="205"/>
        <v>-3.4</v>
      </c>
      <c r="CI353" s="1">
        <f t="shared" si="206"/>
        <v>0</v>
      </c>
      <c r="CJ353" s="1">
        <f t="shared" si="207"/>
        <v>0.3</v>
      </c>
      <c r="CK353" s="1">
        <f t="shared" si="208"/>
        <v>0.7</v>
      </c>
      <c r="CL353" s="1">
        <f t="shared" si="209"/>
        <v>1.4</v>
      </c>
      <c r="CM353" s="2">
        <f t="shared" si="210"/>
        <v>97.3</v>
      </c>
      <c r="CN353" s="1">
        <f t="shared" si="211"/>
        <v>-12.3</v>
      </c>
      <c r="CO353" s="1">
        <f t="shared" si="212"/>
        <v>-14.2</v>
      </c>
      <c r="CP353" s="1">
        <f t="shared" si="213"/>
        <v>-16.2</v>
      </c>
      <c r="CQ353" s="1">
        <f t="shared" si="214"/>
        <v>-0.4</v>
      </c>
      <c r="CR353" s="1">
        <f t="shared" si="215"/>
        <v>0.3</v>
      </c>
      <c r="CS353" s="1">
        <f t="shared" si="216"/>
        <v>0.7</v>
      </c>
      <c r="CT353" s="1">
        <f t="shared" si="217"/>
        <v>1.4</v>
      </c>
      <c r="CU353" s="2">
        <f t="shared" si="218"/>
        <v>75.8</v>
      </c>
      <c r="CV353" s="18" t="s">
        <v>233</v>
      </c>
      <c r="CW353" s="1">
        <f>ROUND(PPTest!K353,1)</f>
        <v>9.5</v>
      </c>
      <c r="CX353" s="17">
        <f t="shared" si="219"/>
        <v>1.2</v>
      </c>
      <c r="CY353" s="17">
        <f t="shared" si="220"/>
        <v>3.47</v>
      </c>
      <c r="CZ353" s="20">
        <f t="shared" si="221"/>
        <v>0.35399999999999998</v>
      </c>
      <c r="DA353" s="20">
        <f t="shared" si="222"/>
        <v>0.113</v>
      </c>
      <c r="DB353" s="16">
        <f t="shared" si="223"/>
        <v>13.06</v>
      </c>
      <c r="DZ353" s="1">
        <v>-6.3</v>
      </c>
      <c r="EA353" s="1">
        <v>-2.5</v>
      </c>
      <c r="EB353" s="1">
        <v>-8.8000000000000007</v>
      </c>
      <c r="EC353" s="1">
        <v>2.2999999999999998</v>
      </c>
    </row>
    <row r="354" spans="1:133" x14ac:dyDescent="0.2">
      <c r="A354" s="40">
        <v>35412</v>
      </c>
      <c r="B354" s="34">
        <v>348</v>
      </c>
      <c r="C354" s="34">
        <v>0.53200000000000003</v>
      </c>
      <c r="D354" s="34">
        <v>0.95499999999999996</v>
      </c>
      <c r="E354" s="34">
        <v>-7.3</v>
      </c>
      <c r="F354" s="34">
        <v>97</v>
      </c>
      <c r="G354" s="34">
        <v>-8.35</v>
      </c>
      <c r="H354" s="34">
        <v>-9.39</v>
      </c>
      <c r="I354" s="34">
        <v>-0.106</v>
      </c>
      <c r="J354" s="34">
        <v>-1.946</v>
      </c>
      <c r="K354" s="34">
        <v>-8.8000000000000007</v>
      </c>
      <c r="L354" s="34">
        <v>0.27</v>
      </c>
      <c r="M354" s="34">
        <v>0.72</v>
      </c>
      <c r="N354" s="34">
        <v>1.389</v>
      </c>
      <c r="O354" s="34">
        <v>0</v>
      </c>
      <c r="P354" s="34">
        <v>1.181</v>
      </c>
      <c r="Q354" s="34"/>
      <c r="R354" s="34">
        <v>-3.4260000000000002</v>
      </c>
      <c r="S354" s="34">
        <v>1420</v>
      </c>
      <c r="T354" s="34">
        <v>104.6</v>
      </c>
      <c r="U354" s="34">
        <v>443</v>
      </c>
      <c r="V354" s="34">
        <v>-3.218</v>
      </c>
      <c r="W354" s="34">
        <v>-3.9369999999999998</v>
      </c>
      <c r="X354" s="34">
        <v>-5.0000000000000001E-3</v>
      </c>
      <c r="Y354" s="34">
        <v>-1.8280000000000001</v>
      </c>
      <c r="Z354" s="34">
        <v>-4.6139999999999999</v>
      </c>
      <c r="AA354" s="34">
        <v>0.29199999999999998</v>
      </c>
      <c r="AB354" s="34">
        <v>0.74199999999999999</v>
      </c>
      <c r="AC354" s="34">
        <v>1.4119999999999999</v>
      </c>
      <c r="AD354" s="34">
        <v>3.2341666666666673</v>
      </c>
      <c r="AE354" s="34">
        <v>506</v>
      </c>
      <c r="AF354" s="34">
        <v>-12.7</v>
      </c>
      <c r="AG354" s="34">
        <v>822</v>
      </c>
      <c r="AH354" s="34">
        <v>75.8</v>
      </c>
      <c r="AI354" s="34">
        <v>1412</v>
      </c>
      <c r="AJ354" s="34">
        <v>-14.28</v>
      </c>
      <c r="AK354" s="34">
        <v>-16.989999999999998</v>
      </c>
      <c r="AL354" s="34">
        <v>-0.29499999999999998</v>
      </c>
      <c r="AM354" s="34">
        <v>-2.0819999999999999</v>
      </c>
      <c r="AN354" s="34">
        <v>-14.24</v>
      </c>
      <c r="AO354" s="34">
        <v>0.252</v>
      </c>
      <c r="AP354" s="34">
        <v>0.70299999999999996</v>
      </c>
      <c r="AQ354" s="34">
        <v>1.3640000000000001</v>
      </c>
      <c r="AR354" s="34">
        <v>0.1</v>
      </c>
      <c r="AS354" s="34">
        <v>0.42699999999999999</v>
      </c>
      <c r="AT354" s="34">
        <v>0.29499999999999998</v>
      </c>
      <c r="AU354" s="34">
        <v>4.7E-2</v>
      </c>
      <c r="AV354" s="34">
        <v>5.2999999999999999E-2</v>
      </c>
      <c r="AW354" s="34">
        <v>4.3999999999999997E-2</v>
      </c>
      <c r="AX354" s="34">
        <v>1.4999999999999999E-2</v>
      </c>
      <c r="AY354" s="34">
        <v>1.9E-2</v>
      </c>
      <c r="AZ354" s="34">
        <v>-4.5270000000000001</v>
      </c>
      <c r="BA354" s="34"/>
      <c r="BB354" s="34">
        <v>12.98</v>
      </c>
      <c r="BC354" s="34">
        <v>2876</v>
      </c>
      <c r="BD354" s="3"/>
      <c r="BE354" s="3"/>
      <c r="BF354" s="3"/>
      <c r="BH354" s="16">
        <v>4.4400000000000004</v>
      </c>
      <c r="BI354" s="16">
        <f t="shared" si="192"/>
        <v>8.9688000000000017</v>
      </c>
      <c r="BJ354" s="17">
        <f t="shared" si="177"/>
        <v>0.53</v>
      </c>
      <c r="BK354" s="17">
        <f t="shared" si="178"/>
        <v>1</v>
      </c>
      <c r="BM354" s="1">
        <f t="shared" si="179"/>
        <v>97.7</v>
      </c>
      <c r="BN354" s="1">
        <f t="shared" si="180"/>
        <v>90.6</v>
      </c>
      <c r="BO354" s="1">
        <f t="shared" si="181"/>
        <v>71</v>
      </c>
      <c r="BP354" s="56">
        <f t="shared" si="182"/>
        <v>0.33700000000000002</v>
      </c>
      <c r="BQ354" s="56">
        <f t="shared" si="183"/>
        <v>0.13800000000000001</v>
      </c>
      <c r="BS354" s="47">
        <f t="shared" si="176"/>
        <v>1.5</v>
      </c>
      <c r="BT354" s="44">
        <v>1</v>
      </c>
      <c r="BV354" s="16">
        <f t="shared" si="193"/>
        <v>0.53</v>
      </c>
      <c r="BW354" s="16">
        <f t="shared" si="194"/>
        <v>1</v>
      </c>
      <c r="BX354" s="3">
        <f t="shared" si="195"/>
        <v>-7.3</v>
      </c>
      <c r="BY354" s="3">
        <f t="shared" si="196"/>
        <v>-8.4</v>
      </c>
      <c r="BZ354" s="3">
        <f t="shared" si="197"/>
        <v>-9.4</v>
      </c>
      <c r="CA354" s="3">
        <f t="shared" si="198"/>
        <v>-0.1</v>
      </c>
      <c r="CB354" s="3">
        <f t="shared" si="199"/>
        <v>0.3</v>
      </c>
      <c r="CC354" s="3">
        <f t="shared" si="200"/>
        <v>0.7</v>
      </c>
      <c r="CD354" s="3">
        <f t="shared" si="201"/>
        <v>1.4</v>
      </c>
      <c r="CE354" s="23">
        <f t="shared" si="202"/>
        <v>90.6</v>
      </c>
      <c r="CF354" s="1">
        <f t="shared" si="203"/>
        <v>-3.4</v>
      </c>
      <c r="CG354" s="1">
        <f t="shared" si="204"/>
        <v>-3.2</v>
      </c>
      <c r="CH354" s="1">
        <f t="shared" si="205"/>
        <v>-3.9</v>
      </c>
      <c r="CI354" s="1">
        <f t="shared" si="206"/>
        <v>0</v>
      </c>
      <c r="CJ354" s="1">
        <f t="shared" si="207"/>
        <v>0.3</v>
      </c>
      <c r="CK354" s="1">
        <f t="shared" si="208"/>
        <v>0.7</v>
      </c>
      <c r="CL354" s="1">
        <f t="shared" si="209"/>
        <v>1.4</v>
      </c>
      <c r="CM354" s="2">
        <f t="shared" si="210"/>
        <v>97.7</v>
      </c>
      <c r="CN354" s="1">
        <f t="shared" si="211"/>
        <v>-12.7</v>
      </c>
      <c r="CO354" s="1">
        <f t="shared" si="212"/>
        <v>-14.3</v>
      </c>
      <c r="CP354" s="1">
        <f t="shared" si="213"/>
        <v>-17</v>
      </c>
      <c r="CQ354" s="1">
        <f t="shared" si="214"/>
        <v>-0.3</v>
      </c>
      <c r="CR354" s="1">
        <f t="shared" si="215"/>
        <v>0.3</v>
      </c>
      <c r="CS354" s="1">
        <f t="shared" si="216"/>
        <v>0.7</v>
      </c>
      <c r="CT354" s="1">
        <f t="shared" si="217"/>
        <v>1.4</v>
      </c>
      <c r="CU354" s="2">
        <f t="shared" si="218"/>
        <v>71</v>
      </c>
      <c r="CV354" s="18" t="s">
        <v>233</v>
      </c>
      <c r="CW354" s="1">
        <f>ROUND(PPTest!K354,1)</f>
        <v>1.6</v>
      </c>
      <c r="CX354" s="17">
        <f t="shared" si="219"/>
        <v>1.18</v>
      </c>
      <c r="CY354" s="17">
        <f t="shared" si="220"/>
        <v>3.23</v>
      </c>
      <c r="CZ354" s="20">
        <f t="shared" si="221"/>
        <v>0.33700000000000002</v>
      </c>
      <c r="DA354" s="20">
        <f t="shared" si="222"/>
        <v>0.13800000000000001</v>
      </c>
      <c r="DB354" s="16">
        <f t="shared" si="223"/>
        <v>12.98</v>
      </c>
      <c r="DZ354" s="1">
        <v>-5.7</v>
      </c>
      <c r="EA354" s="1">
        <v>-4.0999999999999996</v>
      </c>
      <c r="EB354" s="1">
        <v>-7</v>
      </c>
      <c r="EC354" s="1">
        <v>6.9</v>
      </c>
    </row>
    <row r="355" spans="1:133" x14ac:dyDescent="0.2">
      <c r="A355" s="40">
        <v>35413</v>
      </c>
      <c r="B355" s="34">
        <v>349</v>
      </c>
      <c r="C355" s="34">
        <v>2.4710000000000001</v>
      </c>
      <c r="D355" s="34">
        <v>2.9649999999999999</v>
      </c>
      <c r="E355" s="34">
        <v>-6.9749999999999996</v>
      </c>
      <c r="F355" s="34">
        <v>96.4</v>
      </c>
      <c r="G355" s="34">
        <v>-7.76</v>
      </c>
      <c r="H355" s="34">
        <v>-9.32</v>
      </c>
      <c r="I355" s="34">
        <v>-0.129</v>
      </c>
      <c r="J355" s="34">
        <v>-1.788</v>
      </c>
      <c r="K355" s="34">
        <v>-8.33</v>
      </c>
      <c r="L355" s="34">
        <v>0.26800000000000002</v>
      </c>
      <c r="M355" s="34">
        <v>0.71699999999999997</v>
      </c>
      <c r="N355" s="34">
        <v>1.3740000000000001</v>
      </c>
      <c r="O355" s="34">
        <v>0</v>
      </c>
      <c r="P355" s="34">
        <v>1.7491666666666668</v>
      </c>
      <c r="Q355" s="34"/>
      <c r="R355" s="34">
        <v>-4.0570000000000004</v>
      </c>
      <c r="S355" s="34">
        <v>1235</v>
      </c>
      <c r="T355" s="34">
        <v>103.7</v>
      </c>
      <c r="U355" s="34">
        <v>110</v>
      </c>
      <c r="V355" s="34">
        <v>-2.67</v>
      </c>
      <c r="W355" s="34">
        <v>-4.734</v>
      </c>
      <c r="X355" s="34">
        <v>-2.7E-2</v>
      </c>
      <c r="Y355" s="34">
        <v>-1.5129999999999999</v>
      </c>
      <c r="Z355" s="34">
        <v>-5.665</v>
      </c>
      <c r="AA355" s="34">
        <v>0.28999999999999998</v>
      </c>
      <c r="AB355" s="34">
        <v>0.73799999999999999</v>
      </c>
      <c r="AC355" s="34">
        <v>1.397</v>
      </c>
      <c r="AD355" s="34">
        <v>5.0875000000000004</v>
      </c>
      <c r="AE355" s="34">
        <v>2117</v>
      </c>
      <c r="AF355" s="34">
        <v>-14.15</v>
      </c>
      <c r="AG355" s="34">
        <v>913</v>
      </c>
      <c r="AH355" s="34">
        <v>83.6</v>
      </c>
      <c r="AI355" s="34">
        <v>1239</v>
      </c>
      <c r="AJ355" s="34">
        <v>-15.67</v>
      </c>
      <c r="AK355" s="34">
        <v>-19.41</v>
      </c>
      <c r="AL355" s="34">
        <v>-0.318</v>
      </c>
      <c r="AM355" s="34">
        <v>-2.0939999999999999</v>
      </c>
      <c r="AN355" s="34">
        <v>-15.98</v>
      </c>
      <c r="AO355" s="34">
        <v>0.251</v>
      </c>
      <c r="AP355" s="34">
        <v>0.7</v>
      </c>
      <c r="AQ355" s="34">
        <v>1.353</v>
      </c>
      <c r="AR355" s="34">
        <v>7.0000000000000001E-3</v>
      </c>
      <c r="AS355" s="34">
        <v>7.5999999999999998E-2</v>
      </c>
      <c r="AT355" s="34">
        <v>0.19800000000000001</v>
      </c>
      <c r="AU355" s="34">
        <v>6.5000000000000002E-2</v>
      </c>
      <c r="AV355" s="34">
        <v>0.157</v>
      </c>
      <c r="AW355" s="34">
        <v>0.41399999999999998</v>
      </c>
      <c r="AX355" s="34">
        <v>7.3999999999999996E-2</v>
      </c>
      <c r="AY355" s="34">
        <v>0.01</v>
      </c>
      <c r="AZ355" s="34">
        <v>-4.63</v>
      </c>
      <c r="BA355" s="34"/>
      <c r="BB355" s="34">
        <v>13.14</v>
      </c>
      <c r="BC355" s="34">
        <v>2876</v>
      </c>
      <c r="BD355" s="3"/>
      <c r="BE355" s="3"/>
      <c r="BF355" s="3"/>
      <c r="BH355" s="16">
        <v>4.42</v>
      </c>
      <c r="BI355" s="16">
        <f t="shared" si="192"/>
        <v>8.9283999999999999</v>
      </c>
      <c r="BJ355" s="17">
        <f t="shared" si="177"/>
        <v>2.4700000000000002</v>
      </c>
      <c r="BK355" s="17">
        <f t="shared" si="178"/>
        <v>3.11</v>
      </c>
      <c r="BM355" s="1">
        <f t="shared" si="179"/>
        <v>96.8</v>
      </c>
      <c r="BN355" s="1">
        <f t="shared" si="180"/>
        <v>90.1</v>
      </c>
      <c r="BO355" s="1">
        <f t="shared" si="181"/>
        <v>78.2</v>
      </c>
      <c r="BP355" s="56">
        <f t="shared" si="182"/>
        <v>0.35399999999999998</v>
      </c>
      <c r="BQ355" s="56">
        <f t="shared" si="183"/>
        <v>9.9000000000000005E-2</v>
      </c>
      <c r="BS355" s="47">
        <f t="shared" si="176"/>
        <v>6</v>
      </c>
      <c r="BT355" s="44">
        <v>4</v>
      </c>
      <c r="BV355" s="16">
        <f t="shared" si="193"/>
        <v>2.4700000000000002</v>
      </c>
      <c r="BW355" s="16">
        <f t="shared" si="194"/>
        <v>3.11</v>
      </c>
      <c r="BX355" s="3">
        <f t="shared" si="195"/>
        <v>-7</v>
      </c>
      <c r="BY355" s="3">
        <f t="shared" si="196"/>
        <v>-7.8</v>
      </c>
      <c r="BZ355" s="3">
        <f t="shared" si="197"/>
        <v>-9.3000000000000007</v>
      </c>
      <c r="CA355" s="3">
        <f t="shared" si="198"/>
        <v>-0.1</v>
      </c>
      <c r="CB355" s="3">
        <f t="shared" si="199"/>
        <v>0.3</v>
      </c>
      <c r="CC355" s="3">
        <f t="shared" si="200"/>
        <v>0.7</v>
      </c>
      <c r="CD355" s="3">
        <f t="shared" si="201"/>
        <v>1.4</v>
      </c>
      <c r="CE355" s="23">
        <f t="shared" si="202"/>
        <v>90.1</v>
      </c>
      <c r="CF355" s="1">
        <f t="shared" si="203"/>
        <v>-4.0999999999999996</v>
      </c>
      <c r="CG355" s="1">
        <f t="shared" si="204"/>
        <v>-2.7</v>
      </c>
      <c r="CH355" s="1">
        <f t="shared" si="205"/>
        <v>-4.7</v>
      </c>
      <c r="CI355" s="1">
        <f t="shared" si="206"/>
        <v>0</v>
      </c>
      <c r="CJ355" s="1">
        <f t="shared" si="207"/>
        <v>0.3</v>
      </c>
      <c r="CK355" s="1">
        <f t="shared" si="208"/>
        <v>0.7</v>
      </c>
      <c r="CL355" s="1">
        <f t="shared" si="209"/>
        <v>1.4</v>
      </c>
      <c r="CM355" s="2">
        <f t="shared" si="210"/>
        <v>96.8</v>
      </c>
      <c r="CN355" s="1">
        <f t="shared" si="211"/>
        <v>-14.2</v>
      </c>
      <c r="CO355" s="1">
        <f t="shared" si="212"/>
        <v>-15.7</v>
      </c>
      <c r="CP355" s="1">
        <f t="shared" si="213"/>
        <v>-19.399999999999999</v>
      </c>
      <c r="CQ355" s="1">
        <f t="shared" si="214"/>
        <v>-0.3</v>
      </c>
      <c r="CR355" s="1">
        <f t="shared" si="215"/>
        <v>0.3</v>
      </c>
      <c r="CS355" s="1">
        <f t="shared" si="216"/>
        <v>0.7</v>
      </c>
      <c r="CT355" s="1">
        <f t="shared" si="217"/>
        <v>1.4</v>
      </c>
      <c r="CU355" s="2">
        <f t="shared" si="218"/>
        <v>78.2</v>
      </c>
      <c r="CV355" s="18" t="s">
        <v>233</v>
      </c>
      <c r="CW355" s="1">
        <f>ROUND(PPTest!K355,1)</f>
        <v>6.3</v>
      </c>
      <c r="CX355" s="17">
        <f t="shared" si="219"/>
        <v>1.75</v>
      </c>
      <c r="CY355" s="17">
        <f t="shared" si="220"/>
        <v>5.09</v>
      </c>
      <c r="CZ355" s="20">
        <f t="shared" si="221"/>
        <v>0.35399999999999998</v>
      </c>
      <c r="DA355" s="20">
        <f t="shared" si="222"/>
        <v>9.9000000000000005E-2</v>
      </c>
      <c r="DB355" s="16">
        <f t="shared" si="223"/>
        <v>13.14</v>
      </c>
      <c r="DZ355" s="1">
        <v>-6.1</v>
      </c>
      <c r="EA355" s="1">
        <v>-2.1</v>
      </c>
      <c r="EB355" s="1">
        <v>-10.6</v>
      </c>
      <c r="EC355" s="1">
        <v>3</v>
      </c>
    </row>
    <row r="356" spans="1:133" x14ac:dyDescent="0.2">
      <c r="A356" s="40">
        <v>35414</v>
      </c>
      <c r="B356" s="34">
        <v>350</v>
      </c>
      <c r="C356" s="34">
        <v>0.26900000000000002</v>
      </c>
      <c r="D356" s="34">
        <v>0.57999999999999996</v>
      </c>
      <c r="E356" s="34">
        <v>-6.367</v>
      </c>
      <c r="F356" s="34">
        <v>99.1</v>
      </c>
      <c r="G356" s="34">
        <v>-6.9829999999999997</v>
      </c>
      <c r="H356" s="34">
        <v>-7.19</v>
      </c>
      <c r="I356" s="34">
        <v>-2.3E-2</v>
      </c>
      <c r="J356" s="34">
        <v>-1.425</v>
      </c>
      <c r="K356" s="34">
        <v>-7.02</v>
      </c>
      <c r="L356" s="34">
        <v>0.26900000000000002</v>
      </c>
      <c r="M356" s="34">
        <v>0.71799999999999997</v>
      </c>
      <c r="N356" s="34">
        <v>1.3620000000000001</v>
      </c>
      <c r="O356" s="34">
        <v>0</v>
      </c>
      <c r="P356" s="34">
        <v>3.0108333333333337</v>
      </c>
      <c r="Q356" s="34"/>
      <c r="R356" s="34">
        <v>-4.2279999999999998</v>
      </c>
      <c r="S356" s="34">
        <v>216</v>
      </c>
      <c r="T356" s="34">
        <v>103.1</v>
      </c>
      <c r="U356" s="34">
        <v>1348</v>
      </c>
      <c r="V356" s="34">
        <v>-4.5839999999999996</v>
      </c>
      <c r="W356" s="34">
        <v>-4.6070000000000002</v>
      </c>
      <c r="X356" s="34">
        <v>5.3999999999999999E-2</v>
      </c>
      <c r="Y356" s="34">
        <v>-1.351</v>
      </c>
      <c r="Z356" s="34">
        <v>-5.4989999999999997</v>
      </c>
      <c r="AA356" s="34">
        <v>0.29099999999999998</v>
      </c>
      <c r="AB356" s="34">
        <v>0.74</v>
      </c>
      <c r="AC356" s="34">
        <v>1.3839999999999999</v>
      </c>
      <c r="AD356" s="34">
        <v>6.2608333333333324</v>
      </c>
      <c r="AE356" s="34">
        <v>56</v>
      </c>
      <c r="AF356" s="34">
        <v>-11.01</v>
      </c>
      <c r="AG356" s="34">
        <v>2314</v>
      </c>
      <c r="AH356" s="34">
        <v>83.1</v>
      </c>
      <c r="AI356" s="34">
        <v>219</v>
      </c>
      <c r="AJ356" s="34">
        <v>-12.6</v>
      </c>
      <c r="AK356" s="34">
        <v>-15.15</v>
      </c>
      <c r="AL356" s="34">
        <v>-0.16800000000000001</v>
      </c>
      <c r="AM356" s="34">
        <v>-1.5649999999999999</v>
      </c>
      <c r="AN356" s="34">
        <v>-11.89</v>
      </c>
      <c r="AO356" s="34">
        <v>0.252</v>
      </c>
      <c r="AP356" s="34">
        <v>0.70099999999999996</v>
      </c>
      <c r="AQ356" s="34">
        <v>1.343</v>
      </c>
      <c r="AR356" s="34">
        <v>1.2999999999999999E-2</v>
      </c>
      <c r="AS356" s="34">
        <v>1.4E-2</v>
      </c>
      <c r="AT356" s="34">
        <v>1.7999999999999999E-2</v>
      </c>
      <c r="AU356" s="34">
        <v>3.9E-2</v>
      </c>
      <c r="AV356" s="34">
        <v>0.23799999999999999</v>
      </c>
      <c r="AW356" s="34">
        <v>0.59299999999999997</v>
      </c>
      <c r="AX356" s="34">
        <v>6.3E-2</v>
      </c>
      <c r="AY356" s="34">
        <v>2.1999999999999999E-2</v>
      </c>
      <c r="AZ356" s="34">
        <v>-4.2880000000000003</v>
      </c>
      <c r="BA356" s="34"/>
      <c r="BB356" s="34">
        <v>13.03</v>
      </c>
      <c r="BC356" s="34">
        <v>2876</v>
      </c>
      <c r="BD356" s="3"/>
      <c r="BE356" s="3"/>
      <c r="BF356" s="3"/>
      <c r="BH356" s="16">
        <v>4.4000000000000004</v>
      </c>
      <c r="BI356" s="16">
        <f t="shared" si="192"/>
        <v>8.8880000000000017</v>
      </c>
      <c r="BJ356" s="17">
        <f t="shared" si="177"/>
        <v>0.27</v>
      </c>
      <c r="BK356" s="17">
        <f t="shared" si="178"/>
        <v>0.61</v>
      </c>
      <c r="BM356" s="1">
        <f t="shared" si="179"/>
        <v>96.3</v>
      </c>
      <c r="BN356" s="1">
        <f t="shared" si="180"/>
        <v>92.6</v>
      </c>
      <c r="BO356" s="1">
        <f t="shared" si="181"/>
        <v>77.8</v>
      </c>
      <c r="BP356" s="56">
        <f t="shared" si="182"/>
        <v>0.34699999999999998</v>
      </c>
      <c r="BQ356" s="56">
        <f t="shared" si="183"/>
        <v>9.9000000000000005E-2</v>
      </c>
      <c r="BS356" s="47">
        <f t="shared" si="176"/>
        <v>7.5</v>
      </c>
      <c r="BT356" s="44">
        <v>5</v>
      </c>
      <c r="BV356" s="16">
        <f t="shared" si="193"/>
        <v>0.27</v>
      </c>
      <c r="BW356" s="16">
        <f t="shared" si="194"/>
        <v>0.61</v>
      </c>
      <c r="BX356" s="3">
        <f t="shared" si="195"/>
        <v>-6.4</v>
      </c>
      <c r="BY356" s="3">
        <f t="shared" si="196"/>
        <v>-7</v>
      </c>
      <c r="BZ356" s="3">
        <f t="shared" si="197"/>
        <v>-7.2</v>
      </c>
      <c r="CA356" s="3">
        <f t="shared" si="198"/>
        <v>0</v>
      </c>
      <c r="CB356" s="3">
        <f t="shared" si="199"/>
        <v>0.3</v>
      </c>
      <c r="CC356" s="3">
        <f t="shared" si="200"/>
        <v>0.7</v>
      </c>
      <c r="CD356" s="3">
        <f t="shared" si="201"/>
        <v>1.4</v>
      </c>
      <c r="CE356" s="23">
        <f t="shared" si="202"/>
        <v>92.6</v>
      </c>
      <c r="CF356" s="1">
        <f t="shared" si="203"/>
        <v>-4.2</v>
      </c>
      <c r="CG356" s="1">
        <f t="shared" si="204"/>
        <v>-4.5999999999999996</v>
      </c>
      <c r="CH356" s="1">
        <f t="shared" si="205"/>
        <v>-4.5999999999999996</v>
      </c>
      <c r="CI356" s="1">
        <f t="shared" si="206"/>
        <v>0.1</v>
      </c>
      <c r="CJ356" s="1">
        <f t="shared" si="207"/>
        <v>0.3</v>
      </c>
      <c r="CK356" s="1">
        <f t="shared" si="208"/>
        <v>0.7</v>
      </c>
      <c r="CL356" s="1">
        <f t="shared" si="209"/>
        <v>1.4</v>
      </c>
      <c r="CM356" s="2">
        <f t="shared" si="210"/>
        <v>96.3</v>
      </c>
      <c r="CN356" s="1">
        <f t="shared" si="211"/>
        <v>-11</v>
      </c>
      <c r="CO356" s="1">
        <f t="shared" si="212"/>
        <v>-12.6</v>
      </c>
      <c r="CP356" s="1">
        <f t="shared" si="213"/>
        <v>-15.2</v>
      </c>
      <c r="CQ356" s="1">
        <f t="shared" si="214"/>
        <v>-0.2</v>
      </c>
      <c r="CR356" s="1">
        <f t="shared" si="215"/>
        <v>0.3</v>
      </c>
      <c r="CS356" s="1">
        <f t="shared" si="216"/>
        <v>0.7</v>
      </c>
      <c r="CT356" s="1">
        <f t="shared" si="217"/>
        <v>1.3</v>
      </c>
      <c r="CU356" s="2">
        <f t="shared" si="218"/>
        <v>77.8</v>
      </c>
      <c r="CV356" s="18" t="s">
        <v>233</v>
      </c>
      <c r="CW356" s="1">
        <f>ROUND(PPTest!K356,1)</f>
        <v>7.9</v>
      </c>
      <c r="CX356" s="17">
        <f t="shared" si="219"/>
        <v>3.01</v>
      </c>
      <c r="CY356" s="17">
        <f t="shared" si="220"/>
        <v>6.26</v>
      </c>
      <c r="CZ356" s="20">
        <f t="shared" si="221"/>
        <v>0.34699999999999998</v>
      </c>
      <c r="DA356" s="20">
        <f t="shared" si="222"/>
        <v>9.9000000000000005E-2</v>
      </c>
      <c r="DB356" s="16">
        <f t="shared" si="223"/>
        <v>13.03</v>
      </c>
      <c r="DZ356" s="1">
        <v>-6.9</v>
      </c>
      <c r="EA356" s="1">
        <v>-4.2</v>
      </c>
      <c r="EB356" s="1">
        <v>-10.8</v>
      </c>
      <c r="EC356" s="1">
        <v>2.2999999999999998</v>
      </c>
    </row>
    <row r="357" spans="1:133" x14ac:dyDescent="0.2">
      <c r="A357" s="40">
        <v>35415</v>
      </c>
      <c r="B357" s="34">
        <v>351</v>
      </c>
      <c r="C357" s="34">
        <v>0.61499999999999999</v>
      </c>
      <c r="D357" s="34">
        <v>1.1719999999999999</v>
      </c>
      <c r="E357" s="34">
        <v>-10.85</v>
      </c>
      <c r="F357" s="34">
        <v>98.7</v>
      </c>
      <c r="G357" s="34">
        <v>-11.55</v>
      </c>
      <c r="H357" s="34">
        <v>-11.91</v>
      </c>
      <c r="I357" s="34">
        <v>2.3E-2</v>
      </c>
      <c r="J357" s="34">
        <v>-1.667</v>
      </c>
      <c r="K357" s="34">
        <v>-11.45</v>
      </c>
      <c r="L357" s="34">
        <v>0.26500000000000001</v>
      </c>
      <c r="M357" s="34">
        <v>0.71699999999999997</v>
      </c>
      <c r="N357" s="34">
        <v>1.351</v>
      </c>
      <c r="O357" s="34">
        <v>0</v>
      </c>
      <c r="P357" s="34">
        <v>1.5081666666666667</v>
      </c>
      <c r="Q357" s="34"/>
      <c r="R357" s="34">
        <v>-9.51</v>
      </c>
      <c r="S357" s="34">
        <v>625</v>
      </c>
      <c r="T357" s="34">
        <v>100.6</v>
      </c>
      <c r="U357" s="34">
        <v>1008</v>
      </c>
      <c r="V357" s="34">
        <v>-9.85</v>
      </c>
      <c r="W357" s="34">
        <v>-9.76</v>
      </c>
      <c r="X357" s="34">
        <v>7.1999999999999995E-2</v>
      </c>
      <c r="Y357" s="34">
        <v>-1.5509999999999999</v>
      </c>
      <c r="Z357" s="34">
        <v>-9.43</v>
      </c>
      <c r="AA357" s="34">
        <v>0.29099999999999998</v>
      </c>
      <c r="AB357" s="34">
        <v>0.73799999999999999</v>
      </c>
      <c r="AC357" s="34">
        <v>1.373</v>
      </c>
      <c r="AD357" s="34">
        <v>4.4874999999999998</v>
      </c>
      <c r="AE357" s="34">
        <v>433</v>
      </c>
      <c r="AF357" s="34">
        <v>-14.35</v>
      </c>
      <c r="AG357" s="34">
        <v>2330</v>
      </c>
      <c r="AH357" s="34">
        <v>94.5</v>
      </c>
      <c r="AI357" s="34">
        <v>2034</v>
      </c>
      <c r="AJ357" s="34">
        <v>-15.9</v>
      </c>
      <c r="AK357" s="34">
        <v>-19.649999999999999</v>
      </c>
      <c r="AL357" s="34">
        <v>-4.4999999999999998E-2</v>
      </c>
      <c r="AM357" s="34">
        <v>-1.7989999999999999</v>
      </c>
      <c r="AN357" s="34">
        <v>-15.88</v>
      </c>
      <c r="AO357" s="34">
        <v>0.245</v>
      </c>
      <c r="AP357" s="34">
        <v>0.69899999999999995</v>
      </c>
      <c r="AQ357" s="34">
        <v>1.329</v>
      </c>
      <c r="AR357" s="34">
        <v>3.9E-2</v>
      </c>
      <c r="AS357" s="34">
        <v>2.1999999999999999E-2</v>
      </c>
      <c r="AT357" s="34">
        <v>4.3999999999999997E-2</v>
      </c>
      <c r="AU357" s="34">
        <v>6.9000000000000006E-2</v>
      </c>
      <c r="AV357" s="34">
        <v>0.248</v>
      </c>
      <c r="AW357" s="34">
        <v>0.41899999999999998</v>
      </c>
      <c r="AX357" s="34">
        <v>0.104</v>
      </c>
      <c r="AY357" s="34">
        <v>5.6000000000000001E-2</v>
      </c>
      <c r="AZ357" s="34">
        <v>-5.0629999999999997</v>
      </c>
      <c r="BA357" s="34"/>
      <c r="BB357" s="34">
        <v>13.11</v>
      </c>
      <c r="BC357" s="34">
        <v>2876</v>
      </c>
      <c r="BD357" s="3"/>
      <c r="BE357" s="3"/>
      <c r="BF357" s="3"/>
      <c r="BH357" s="16">
        <v>4.3899999999999997</v>
      </c>
      <c r="BI357" s="16">
        <f t="shared" si="192"/>
        <v>8.867799999999999</v>
      </c>
      <c r="BJ357" s="17">
        <f t="shared" si="177"/>
        <v>0.62</v>
      </c>
      <c r="BK357" s="17">
        <f t="shared" si="178"/>
        <v>1.23</v>
      </c>
      <c r="BM357" s="1">
        <f t="shared" si="179"/>
        <v>94</v>
      </c>
      <c r="BN357" s="1">
        <f t="shared" si="180"/>
        <v>92.2</v>
      </c>
      <c r="BO357" s="1">
        <f t="shared" si="181"/>
        <v>88.3</v>
      </c>
      <c r="BP357" s="56">
        <f t="shared" si="182"/>
        <v>0.26200000000000001</v>
      </c>
      <c r="BQ357" s="56">
        <f t="shared" si="183"/>
        <v>3.5000000000000003E-2</v>
      </c>
      <c r="BS357" s="47">
        <f t="shared" si="176"/>
        <v>0</v>
      </c>
      <c r="BT357" s="44">
        <v>0</v>
      </c>
      <c r="BV357" s="16">
        <f t="shared" si="193"/>
        <v>0.62</v>
      </c>
      <c r="BW357" s="16">
        <f t="shared" si="194"/>
        <v>1.23</v>
      </c>
      <c r="BX357" s="3">
        <f t="shared" si="195"/>
        <v>-10.9</v>
      </c>
      <c r="BY357" s="3">
        <f t="shared" si="196"/>
        <v>-11.6</v>
      </c>
      <c r="BZ357" s="3">
        <f t="shared" si="197"/>
        <v>-11.9</v>
      </c>
      <c r="CA357" s="3">
        <f t="shared" si="198"/>
        <v>0</v>
      </c>
      <c r="CB357" s="3">
        <f t="shared" si="199"/>
        <v>0.3</v>
      </c>
      <c r="CC357" s="3">
        <f t="shared" si="200"/>
        <v>0.7</v>
      </c>
      <c r="CD357" s="3">
        <f t="shared" si="201"/>
        <v>1.4</v>
      </c>
      <c r="CE357" s="23">
        <f t="shared" si="202"/>
        <v>92.2</v>
      </c>
      <c r="CF357" s="1">
        <f t="shared" si="203"/>
        <v>-9.5</v>
      </c>
      <c r="CG357" s="1">
        <f t="shared" si="204"/>
        <v>-9.9</v>
      </c>
      <c r="CH357" s="1">
        <f t="shared" si="205"/>
        <v>-9.8000000000000007</v>
      </c>
      <c r="CI357" s="1">
        <f t="shared" si="206"/>
        <v>0.1</v>
      </c>
      <c r="CJ357" s="1">
        <f t="shared" si="207"/>
        <v>0.3</v>
      </c>
      <c r="CK357" s="1">
        <f t="shared" si="208"/>
        <v>0.7</v>
      </c>
      <c r="CL357" s="1">
        <f t="shared" si="209"/>
        <v>1.4</v>
      </c>
      <c r="CM357" s="2">
        <f t="shared" si="210"/>
        <v>94</v>
      </c>
      <c r="CN357" s="1">
        <f t="shared" si="211"/>
        <v>-14.4</v>
      </c>
      <c r="CO357" s="1">
        <f t="shared" si="212"/>
        <v>-15.9</v>
      </c>
      <c r="CP357" s="1">
        <f t="shared" si="213"/>
        <v>-19.7</v>
      </c>
      <c r="CQ357" s="1">
        <f t="shared" si="214"/>
        <v>0</v>
      </c>
      <c r="CR357" s="1">
        <f t="shared" si="215"/>
        <v>0.2</v>
      </c>
      <c r="CS357" s="1">
        <f t="shared" si="216"/>
        <v>0.7</v>
      </c>
      <c r="CT357" s="1">
        <f t="shared" si="217"/>
        <v>1.3</v>
      </c>
      <c r="CU357" s="2">
        <f t="shared" si="218"/>
        <v>88.3</v>
      </c>
      <c r="CV357" s="18" t="s">
        <v>233</v>
      </c>
      <c r="CW357" s="1">
        <f>ROUND(PPTest!K357,1)</f>
        <v>0</v>
      </c>
      <c r="CX357" s="17">
        <f t="shared" si="219"/>
        <v>1.51</v>
      </c>
      <c r="CY357" s="17">
        <f t="shared" si="220"/>
        <v>4.49</v>
      </c>
      <c r="CZ357" s="20">
        <f t="shared" si="221"/>
        <v>0.26200000000000001</v>
      </c>
      <c r="DA357" s="20">
        <f t="shared" si="222"/>
        <v>3.5000000000000003E-2</v>
      </c>
      <c r="DB357" s="16">
        <f t="shared" si="223"/>
        <v>13.11</v>
      </c>
      <c r="DZ357" s="1">
        <v>-11.4</v>
      </c>
      <c r="EA357" s="1">
        <v>-8.6</v>
      </c>
      <c r="EB357" s="1">
        <v>-16.899999999999999</v>
      </c>
      <c r="EC357" s="1">
        <v>0</v>
      </c>
    </row>
    <row r="358" spans="1:133" x14ac:dyDescent="0.2">
      <c r="A358" s="40">
        <v>35416</v>
      </c>
      <c r="B358" s="34">
        <v>352</v>
      </c>
      <c r="C358" s="34">
        <v>1.6020000000000001</v>
      </c>
      <c r="D358" s="34">
        <v>2.0699999999999998</v>
      </c>
      <c r="E358" s="34">
        <v>-16.63</v>
      </c>
      <c r="F358" s="34">
        <v>93.7</v>
      </c>
      <c r="G358" s="34">
        <v>-17.41</v>
      </c>
      <c r="H358" s="34">
        <v>-18.72</v>
      </c>
      <c r="I358" s="34">
        <v>-0.34200000000000003</v>
      </c>
      <c r="J358" s="34">
        <v>-1.5920000000000001</v>
      </c>
      <c r="K358" s="34">
        <v>-17.670000000000002</v>
      </c>
      <c r="L358" s="34">
        <v>0.26300000000000001</v>
      </c>
      <c r="M358" s="34">
        <v>0.72</v>
      </c>
      <c r="N358" s="34">
        <v>1.341</v>
      </c>
      <c r="O358" s="34">
        <v>0</v>
      </c>
      <c r="P358" s="34">
        <v>0.74833333333333329</v>
      </c>
      <c r="Q358" s="34"/>
      <c r="R358" s="34">
        <v>-11.27</v>
      </c>
      <c r="S358" s="34">
        <v>1341</v>
      </c>
      <c r="T358" s="34">
        <v>99.1</v>
      </c>
      <c r="U358" s="34">
        <v>2123</v>
      </c>
      <c r="V358" s="34">
        <v>-10.83</v>
      </c>
      <c r="W358" s="34">
        <v>-12.24</v>
      </c>
      <c r="X358" s="34">
        <v>-2.5999999999999999E-2</v>
      </c>
      <c r="Y358" s="34">
        <v>-1.458</v>
      </c>
      <c r="Z358" s="34">
        <v>-11.52</v>
      </c>
      <c r="AA358" s="34">
        <v>0.28000000000000003</v>
      </c>
      <c r="AB358" s="34">
        <v>0.73599999999999999</v>
      </c>
      <c r="AC358" s="34">
        <v>1.359</v>
      </c>
      <c r="AD358" s="34">
        <v>2.4874999999999998</v>
      </c>
      <c r="AE358" s="34">
        <v>2016</v>
      </c>
      <c r="AF358" s="34">
        <v>-23.8</v>
      </c>
      <c r="AG358" s="34">
        <v>837</v>
      </c>
      <c r="AH358" s="34">
        <v>86.5</v>
      </c>
      <c r="AI358" s="34">
        <v>835</v>
      </c>
      <c r="AJ358" s="34">
        <v>-24.67</v>
      </c>
      <c r="AK358" s="34">
        <v>-26.85</v>
      </c>
      <c r="AL358" s="34">
        <v>-0.70399999999999996</v>
      </c>
      <c r="AM358" s="34">
        <v>-1.714</v>
      </c>
      <c r="AN358" s="34">
        <v>-24.74</v>
      </c>
      <c r="AO358" s="34">
        <v>0.248</v>
      </c>
      <c r="AP358" s="34">
        <v>0.69799999999999995</v>
      </c>
      <c r="AQ358" s="34">
        <v>1.321</v>
      </c>
      <c r="AR358" s="34">
        <v>4.3999999999999997E-2</v>
      </c>
      <c r="AS358" s="34">
        <v>0.35499999999999998</v>
      </c>
      <c r="AT358" s="34">
        <v>0.44</v>
      </c>
      <c r="AU358" s="34">
        <v>2.5000000000000001E-2</v>
      </c>
      <c r="AV358" s="34">
        <v>4.9000000000000002E-2</v>
      </c>
      <c r="AW358" s="34">
        <v>7.2999999999999995E-2</v>
      </c>
      <c r="AX358" s="34">
        <v>7.0000000000000001E-3</v>
      </c>
      <c r="AY358" s="34">
        <v>7.0000000000000001E-3</v>
      </c>
      <c r="AZ358" s="34">
        <v>-6.1470000000000002</v>
      </c>
      <c r="BA358" s="34"/>
      <c r="BB358" s="34">
        <v>13.16</v>
      </c>
      <c r="BC358" s="34">
        <v>2876</v>
      </c>
      <c r="BD358" s="3"/>
      <c r="BE358" s="3"/>
      <c r="BF358" s="3"/>
      <c r="BH358" s="16">
        <v>4.3899999999999997</v>
      </c>
      <c r="BI358" s="16">
        <f t="shared" si="192"/>
        <v>8.867799999999999</v>
      </c>
      <c r="BJ358" s="17">
        <f t="shared" si="177"/>
        <v>1.6</v>
      </c>
      <c r="BK358" s="17">
        <f t="shared" si="178"/>
        <v>2.17</v>
      </c>
      <c r="BM358" s="1">
        <f t="shared" si="179"/>
        <v>92.6</v>
      </c>
      <c r="BN358" s="1">
        <f t="shared" si="180"/>
        <v>87.6</v>
      </c>
      <c r="BO358" s="1">
        <f t="shared" si="181"/>
        <v>80.900000000000006</v>
      </c>
      <c r="BP358" s="56">
        <f t="shared" si="182"/>
        <v>0.20899999999999999</v>
      </c>
      <c r="BQ358" s="56">
        <f t="shared" si="183"/>
        <v>4.9000000000000002E-2</v>
      </c>
      <c r="BS358" s="47">
        <f t="shared" si="176"/>
        <v>0</v>
      </c>
      <c r="BT358" s="44">
        <v>0</v>
      </c>
      <c r="BV358" s="16">
        <f t="shared" si="193"/>
        <v>1.6</v>
      </c>
      <c r="BW358" s="16">
        <f t="shared" si="194"/>
        <v>2.17</v>
      </c>
      <c r="BX358" s="3">
        <f t="shared" si="195"/>
        <v>-16.600000000000001</v>
      </c>
      <c r="BY358" s="3">
        <f t="shared" si="196"/>
        <v>-17.399999999999999</v>
      </c>
      <c r="BZ358" s="3">
        <f t="shared" si="197"/>
        <v>-18.7</v>
      </c>
      <c r="CA358" s="3">
        <f t="shared" si="198"/>
        <v>-0.3</v>
      </c>
      <c r="CB358" s="3">
        <f t="shared" si="199"/>
        <v>0.3</v>
      </c>
      <c r="CC358" s="3">
        <f t="shared" si="200"/>
        <v>0.7</v>
      </c>
      <c r="CD358" s="3">
        <f t="shared" si="201"/>
        <v>1.3</v>
      </c>
      <c r="CE358" s="23">
        <f t="shared" si="202"/>
        <v>87.6</v>
      </c>
      <c r="CF358" s="1">
        <f t="shared" si="203"/>
        <v>-11.3</v>
      </c>
      <c r="CG358" s="1">
        <f t="shared" si="204"/>
        <v>-10.8</v>
      </c>
      <c r="CH358" s="1">
        <f t="shared" si="205"/>
        <v>-12.2</v>
      </c>
      <c r="CI358" s="1">
        <f t="shared" si="206"/>
        <v>0</v>
      </c>
      <c r="CJ358" s="1">
        <f t="shared" si="207"/>
        <v>0.3</v>
      </c>
      <c r="CK358" s="1">
        <f t="shared" si="208"/>
        <v>0.7</v>
      </c>
      <c r="CL358" s="1">
        <f t="shared" si="209"/>
        <v>1.4</v>
      </c>
      <c r="CM358" s="2">
        <f t="shared" si="210"/>
        <v>92.6</v>
      </c>
      <c r="CN358" s="1">
        <f t="shared" si="211"/>
        <v>-23.8</v>
      </c>
      <c r="CO358" s="1">
        <f t="shared" si="212"/>
        <v>-24.7</v>
      </c>
      <c r="CP358" s="1">
        <f t="shared" si="213"/>
        <v>-26.9</v>
      </c>
      <c r="CQ358" s="1">
        <f t="shared" si="214"/>
        <v>-0.7</v>
      </c>
      <c r="CR358" s="1">
        <f t="shared" si="215"/>
        <v>0.2</v>
      </c>
      <c r="CS358" s="1">
        <f t="shared" si="216"/>
        <v>0.7</v>
      </c>
      <c r="CT358" s="1">
        <f t="shared" si="217"/>
        <v>1.3</v>
      </c>
      <c r="CU358" s="2">
        <f t="shared" si="218"/>
        <v>80.900000000000006</v>
      </c>
      <c r="CV358" s="18" t="s">
        <v>233</v>
      </c>
      <c r="CW358" s="1">
        <f>ROUND(PPTest!K358,1)</f>
        <v>0</v>
      </c>
      <c r="CX358" s="17">
        <f t="shared" si="219"/>
        <v>0.75</v>
      </c>
      <c r="CY358" s="17">
        <f t="shared" si="220"/>
        <v>2.4900000000000002</v>
      </c>
      <c r="CZ358" s="20">
        <f t="shared" si="221"/>
        <v>0.20899999999999999</v>
      </c>
      <c r="DA358" s="20">
        <f t="shared" si="222"/>
        <v>4.9000000000000002E-2</v>
      </c>
      <c r="DB358" s="16">
        <f t="shared" si="223"/>
        <v>13.16</v>
      </c>
      <c r="DZ358" s="1">
        <v>-12.5</v>
      </c>
      <c r="EA358" s="1">
        <v>-6.2</v>
      </c>
      <c r="EB358" s="1">
        <v>-18.3</v>
      </c>
      <c r="EC358" s="1">
        <v>0</v>
      </c>
    </row>
    <row r="359" spans="1:133" x14ac:dyDescent="0.2">
      <c r="A359" s="40">
        <v>35417</v>
      </c>
      <c r="B359" s="34">
        <v>353</v>
      </c>
      <c r="C359" s="34">
        <v>1.2999999999999999E-2</v>
      </c>
      <c r="D359" s="34">
        <v>4.5999999999999999E-2</v>
      </c>
      <c r="E359" s="34">
        <v>-10.78</v>
      </c>
      <c r="F359" s="34">
        <v>97.5</v>
      </c>
      <c r="G359" s="34">
        <v>-11.59</v>
      </c>
      <c r="H359" s="34">
        <v>-12.17</v>
      </c>
      <c r="I359" s="34">
        <v>-7.5999999999999998E-2</v>
      </c>
      <c r="J359" s="34">
        <v>-1.7769999999999999</v>
      </c>
      <c r="K359" s="34">
        <v>-11.44</v>
      </c>
      <c r="L359" s="34">
        <v>0.28000000000000003</v>
      </c>
      <c r="M359" s="34">
        <v>0.74299999999999999</v>
      </c>
      <c r="N359" s="34">
        <v>1.363</v>
      </c>
      <c r="O359" s="34">
        <v>1E-3</v>
      </c>
      <c r="P359" s="34">
        <v>0.98483333333333323</v>
      </c>
      <c r="Q359" s="34"/>
      <c r="R359" s="34">
        <v>-9.7100000000000009</v>
      </c>
      <c r="S359" s="34">
        <v>1908</v>
      </c>
      <c r="T359" s="34">
        <v>101.2</v>
      </c>
      <c r="U359" s="34">
        <v>2316</v>
      </c>
      <c r="V359" s="34">
        <v>-10.15</v>
      </c>
      <c r="W359" s="34">
        <v>-9.41</v>
      </c>
      <c r="X359" s="34">
        <v>-8.9999999999999993E-3</v>
      </c>
      <c r="Y359" s="34"/>
      <c r="Z359" s="34">
        <v>-9.76</v>
      </c>
      <c r="AA359" s="34">
        <v>0.33600000000000002</v>
      </c>
      <c r="AB359" s="34">
        <v>0.80800000000000005</v>
      </c>
      <c r="AC359" s="34">
        <v>1.43</v>
      </c>
      <c r="AD359" s="34">
        <v>2.6208333333333336</v>
      </c>
      <c r="AE359" s="34">
        <v>1707</v>
      </c>
      <c r="AF359" s="34">
        <v>-14.11</v>
      </c>
      <c r="AG359" s="34">
        <v>0</v>
      </c>
      <c r="AH359" s="34">
        <v>92.2</v>
      </c>
      <c r="AI359" s="34">
        <v>2253</v>
      </c>
      <c r="AJ359" s="34">
        <v>-16.149999999999999</v>
      </c>
      <c r="AK359" s="34">
        <v>-18.78</v>
      </c>
      <c r="AL359" s="34">
        <v>-0.12</v>
      </c>
      <c r="AM359" s="34">
        <v>-1.8120000000000001</v>
      </c>
      <c r="AN359" s="34">
        <v>-15.79</v>
      </c>
      <c r="AO359" s="34">
        <v>0.23499999999999999</v>
      </c>
      <c r="AP359" s="34">
        <v>0.68200000000000005</v>
      </c>
      <c r="AQ359" s="34">
        <v>1.3140000000000001</v>
      </c>
      <c r="AR359" s="34">
        <v>5.8999999999999997E-2</v>
      </c>
      <c r="AS359" s="34">
        <v>0.28100000000000003</v>
      </c>
      <c r="AT359" s="34">
        <v>0.17100000000000001</v>
      </c>
      <c r="AU359" s="34">
        <v>0.08</v>
      </c>
      <c r="AV359" s="34">
        <v>0.157</v>
      </c>
      <c r="AW359" s="34">
        <v>0.19</v>
      </c>
      <c r="AX359" s="34">
        <v>3.3000000000000002E-2</v>
      </c>
      <c r="AY359" s="34">
        <v>0.03</v>
      </c>
      <c r="AZ359" s="34">
        <v>-9.3800000000000008</v>
      </c>
      <c r="BA359" s="34"/>
      <c r="BB359" s="34">
        <v>13.11</v>
      </c>
      <c r="BC359" s="34">
        <v>2876</v>
      </c>
      <c r="BD359" s="3"/>
      <c r="BE359" s="3"/>
      <c r="BF359" s="3"/>
      <c r="BH359" s="16">
        <v>4.38</v>
      </c>
      <c r="BI359" s="16">
        <f t="shared" si="192"/>
        <v>8.8475999999999999</v>
      </c>
      <c r="BJ359" s="17">
        <f t="shared" si="177"/>
        <v>0.01</v>
      </c>
      <c r="BK359" s="17">
        <f t="shared" si="178"/>
        <v>0.05</v>
      </c>
      <c r="BM359" s="1">
        <f t="shared" si="179"/>
        <v>94.5</v>
      </c>
      <c r="BN359" s="1">
        <f t="shared" si="180"/>
        <v>91.1</v>
      </c>
      <c r="BO359" s="1">
        <f t="shared" si="181"/>
        <v>86.2</v>
      </c>
      <c r="BP359" s="56">
        <f t="shared" si="182"/>
        <v>0.252</v>
      </c>
      <c r="BQ359" s="56">
        <f t="shared" si="183"/>
        <v>0.04</v>
      </c>
      <c r="BS359" s="47">
        <f t="shared" si="176"/>
        <v>0</v>
      </c>
      <c r="BT359" s="44">
        <v>0</v>
      </c>
      <c r="BV359" s="16">
        <f t="shared" si="193"/>
        <v>0.01</v>
      </c>
      <c r="BW359" s="16">
        <f t="shared" si="194"/>
        <v>0.05</v>
      </c>
      <c r="BX359" s="3">
        <f t="shared" si="195"/>
        <v>-10.8</v>
      </c>
      <c r="BY359" s="3">
        <f t="shared" si="196"/>
        <v>-11.6</v>
      </c>
      <c r="BZ359" s="3">
        <f t="shared" si="197"/>
        <v>-12.2</v>
      </c>
      <c r="CA359" s="3">
        <f t="shared" si="198"/>
        <v>-0.1</v>
      </c>
      <c r="CB359" s="3">
        <f t="shared" si="199"/>
        <v>0.3</v>
      </c>
      <c r="CC359" s="3">
        <f t="shared" si="200"/>
        <v>0.7</v>
      </c>
      <c r="CD359" s="3">
        <f t="shared" si="201"/>
        <v>1.4</v>
      </c>
      <c r="CE359" s="23">
        <f t="shared" si="202"/>
        <v>91.1</v>
      </c>
      <c r="CF359" s="1">
        <f t="shared" si="203"/>
        <v>-9.6999999999999993</v>
      </c>
      <c r="CG359" s="1">
        <f t="shared" si="204"/>
        <v>-10.199999999999999</v>
      </c>
      <c r="CH359" s="1">
        <f t="shared" si="205"/>
        <v>-9.4</v>
      </c>
      <c r="CI359" s="1">
        <f t="shared" si="206"/>
        <v>0</v>
      </c>
      <c r="CJ359" s="1">
        <f t="shared" si="207"/>
        <v>0.3</v>
      </c>
      <c r="CK359" s="1">
        <f t="shared" si="208"/>
        <v>0.8</v>
      </c>
      <c r="CL359" s="1">
        <f t="shared" si="209"/>
        <v>1.4</v>
      </c>
      <c r="CM359" s="2">
        <f t="shared" si="210"/>
        <v>94.5</v>
      </c>
      <c r="CN359" s="1">
        <f t="shared" si="211"/>
        <v>-14.1</v>
      </c>
      <c r="CO359" s="1">
        <f t="shared" si="212"/>
        <v>-16.2</v>
      </c>
      <c r="CP359" s="1">
        <f t="shared" si="213"/>
        <v>-18.8</v>
      </c>
      <c r="CQ359" s="1">
        <f t="shared" si="214"/>
        <v>-0.1</v>
      </c>
      <c r="CR359" s="1">
        <f t="shared" si="215"/>
        <v>0.2</v>
      </c>
      <c r="CS359" s="1">
        <f t="shared" si="216"/>
        <v>0.7</v>
      </c>
      <c r="CT359" s="1">
        <f t="shared" si="217"/>
        <v>1.3</v>
      </c>
      <c r="CU359" s="2">
        <f t="shared" si="218"/>
        <v>86.2</v>
      </c>
      <c r="CV359" s="18" t="s">
        <v>233</v>
      </c>
      <c r="CW359" s="1">
        <f>ROUND(PPTest!K359,1)</f>
        <v>0</v>
      </c>
      <c r="CX359" s="17">
        <f t="shared" si="219"/>
        <v>0.98</v>
      </c>
      <c r="CY359" s="17">
        <f t="shared" si="220"/>
        <v>2.62</v>
      </c>
      <c r="CZ359" s="20">
        <f t="shared" si="221"/>
        <v>0.252</v>
      </c>
      <c r="DA359" s="20">
        <f t="shared" si="222"/>
        <v>0.04</v>
      </c>
      <c r="DB359" s="16">
        <f t="shared" si="223"/>
        <v>13.11</v>
      </c>
      <c r="DZ359" s="1">
        <v>-8.6999999999999993</v>
      </c>
      <c r="EA359" s="1">
        <v>-2.9</v>
      </c>
      <c r="EB359" s="1">
        <v>-12.8</v>
      </c>
      <c r="EC359" s="1">
        <v>0</v>
      </c>
    </row>
    <row r="360" spans="1:133" x14ac:dyDescent="0.2">
      <c r="A360" s="40">
        <v>35418</v>
      </c>
      <c r="B360" s="34">
        <v>354</v>
      </c>
      <c r="C360" s="34">
        <v>0.27400000000000002</v>
      </c>
      <c r="D360" s="34">
        <v>0.58799999999999997</v>
      </c>
      <c r="E360" s="34">
        <v>-10.52</v>
      </c>
      <c r="F360" s="34">
        <v>98.4</v>
      </c>
      <c r="G360" s="34">
        <v>-11.13</v>
      </c>
      <c r="H360" s="34">
        <v>-11.46</v>
      </c>
      <c r="I360" s="34">
        <v>-0.22500000000000001</v>
      </c>
      <c r="J360" s="34">
        <v>-1.974</v>
      </c>
      <c r="K360" s="34">
        <v>-11.34</v>
      </c>
      <c r="L360" s="34">
        <v>0.26900000000000002</v>
      </c>
      <c r="M360" s="34">
        <v>0.72299999999999998</v>
      </c>
      <c r="N360" s="34">
        <v>1.3320000000000001</v>
      </c>
      <c r="O360" s="34">
        <v>0</v>
      </c>
      <c r="P360" s="34">
        <v>1.1596666666666666</v>
      </c>
      <c r="Q360" s="34"/>
      <c r="R360" s="34">
        <v>-4.9870000000000001</v>
      </c>
      <c r="S360" s="34">
        <v>1503</v>
      </c>
      <c r="T360" s="34">
        <v>102.7</v>
      </c>
      <c r="U360" s="34">
        <v>1417</v>
      </c>
      <c r="V360" s="34">
        <v>-5.2919999999999998</v>
      </c>
      <c r="W360" s="34">
        <v>-5.2220000000000004</v>
      </c>
      <c r="X360" s="34">
        <v>-2.5000000000000001E-2</v>
      </c>
      <c r="Y360" s="34"/>
      <c r="Z360" s="34">
        <v>-5.9320000000000004</v>
      </c>
      <c r="AA360" s="34">
        <v>0.32300000000000001</v>
      </c>
      <c r="AB360" s="34">
        <v>0.79600000000000004</v>
      </c>
      <c r="AC360" s="34">
        <v>1.4059999999999999</v>
      </c>
      <c r="AD360" s="34">
        <v>3.5408333333333339</v>
      </c>
      <c r="AE360" s="34">
        <v>2101</v>
      </c>
      <c r="AF360" s="34">
        <v>-15.65</v>
      </c>
      <c r="AG360" s="34">
        <v>151</v>
      </c>
      <c r="AH360" s="34">
        <v>93.2</v>
      </c>
      <c r="AI360" s="34">
        <v>130</v>
      </c>
      <c r="AJ360" s="34">
        <v>-17.329999999999998</v>
      </c>
      <c r="AK360" s="34">
        <v>-19.53</v>
      </c>
      <c r="AL360" s="34">
        <v>-0.46200000000000002</v>
      </c>
      <c r="AM360" s="34">
        <v>-2.246</v>
      </c>
      <c r="AN360" s="34">
        <v>-17.43</v>
      </c>
      <c r="AO360" s="34">
        <v>0.23</v>
      </c>
      <c r="AP360" s="34">
        <v>0.67300000000000004</v>
      </c>
      <c r="AQ360" s="34">
        <v>1.278</v>
      </c>
      <c r="AR360" s="34">
        <v>6.6000000000000003E-2</v>
      </c>
      <c r="AS360" s="34">
        <v>0.32500000000000001</v>
      </c>
      <c r="AT360" s="34">
        <v>0.31</v>
      </c>
      <c r="AU360" s="34">
        <v>4.9000000000000002E-2</v>
      </c>
      <c r="AV360" s="34">
        <v>8.5000000000000006E-2</v>
      </c>
      <c r="AW360" s="34">
        <v>0.105</v>
      </c>
      <c r="AX360" s="34">
        <v>0.03</v>
      </c>
      <c r="AY360" s="34">
        <v>3.1E-2</v>
      </c>
      <c r="AZ360" s="34">
        <v>-11.43</v>
      </c>
      <c r="BA360" s="34"/>
      <c r="BB360" s="34">
        <v>12.99</v>
      </c>
      <c r="BC360" s="34">
        <v>2876</v>
      </c>
      <c r="BD360" s="3"/>
      <c r="BE360" s="3"/>
      <c r="BF360" s="3"/>
      <c r="BH360" s="16">
        <v>4.37</v>
      </c>
      <c r="BI360" s="16">
        <f t="shared" si="192"/>
        <v>8.8274000000000008</v>
      </c>
      <c r="BJ360" s="17">
        <f t="shared" si="177"/>
        <v>0.27</v>
      </c>
      <c r="BK360" s="17">
        <f t="shared" si="178"/>
        <v>0.62</v>
      </c>
      <c r="BM360" s="1">
        <f t="shared" si="179"/>
        <v>95.9</v>
      </c>
      <c r="BN360" s="1">
        <f t="shared" si="180"/>
        <v>91.9</v>
      </c>
      <c r="BO360" s="1">
        <f t="shared" si="181"/>
        <v>87.1</v>
      </c>
      <c r="BP360" s="56">
        <f t="shared" si="182"/>
        <v>0.36699999999999999</v>
      </c>
      <c r="BQ360" s="56">
        <f t="shared" si="183"/>
        <v>5.3999999999999999E-2</v>
      </c>
      <c r="BS360" s="47">
        <f t="shared" si="176"/>
        <v>12</v>
      </c>
      <c r="BT360" s="44">
        <v>8</v>
      </c>
      <c r="BV360" s="16">
        <f t="shared" si="193"/>
        <v>0.27</v>
      </c>
      <c r="BW360" s="16">
        <f t="shared" si="194"/>
        <v>0.62</v>
      </c>
      <c r="BX360" s="3">
        <f t="shared" si="195"/>
        <v>-10.5</v>
      </c>
      <c r="BY360" s="3">
        <f t="shared" si="196"/>
        <v>-11.1</v>
      </c>
      <c r="BZ360" s="3">
        <f t="shared" si="197"/>
        <v>-11.5</v>
      </c>
      <c r="CA360" s="3">
        <f t="shared" si="198"/>
        <v>-0.2</v>
      </c>
      <c r="CB360" s="3">
        <f t="shared" si="199"/>
        <v>0.3</v>
      </c>
      <c r="CC360" s="3">
        <f t="shared" si="200"/>
        <v>0.7</v>
      </c>
      <c r="CD360" s="3">
        <f t="shared" si="201"/>
        <v>1.3</v>
      </c>
      <c r="CE360" s="23">
        <f t="shared" si="202"/>
        <v>91.9</v>
      </c>
      <c r="CF360" s="1">
        <f t="shared" si="203"/>
        <v>-5</v>
      </c>
      <c r="CG360" s="1">
        <f t="shared" si="204"/>
        <v>-5.3</v>
      </c>
      <c r="CH360" s="1">
        <f t="shared" si="205"/>
        <v>-5.2</v>
      </c>
      <c r="CI360" s="1">
        <f t="shared" si="206"/>
        <v>0</v>
      </c>
      <c r="CJ360" s="1">
        <f t="shared" si="207"/>
        <v>0.3</v>
      </c>
      <c r="CK360" s="1">
        <f t="shared" si="208"/>
        <v>0.8</v>
      </c>
      <c r="CL360" s="1">
        <f t="shared" si="209"/>
        <v>1.4</v>
      </c>
      <c r="CM360" s="2">
        <f t="shared" si="210"/>
        <v>95.9</v>
      </c>
      <c r="CN360" s="1">
        <f t="shared" si="211"/>
        <v>-15.7</v>
      </c>
      <c r="CO360" s="1">
        <f t="shared" si="212"/>
        <v>-17.3</v>
      </c>
      <c r="CP360" s="1">
        <f t="shared" si="213"/>
        <v>-19.5</v>
      </c>
      <c r="CQ360" s="1">
        <f t="shared" si="214"/>
        <v>-0.5</v>
      </c>
      <c r="CR360" s="1">
        <f t="shared" si="215"/>
        <v>0.2</v>
      </c>
      <c r="CS360" s="1">
        <f t="shared" si="216"/>
        <v>0.7</v>
      </c>
      <c r="CT360" s="1">
        <f t="shared" si="217"/>
        <v>1.3</v>
      </c>
      <c r="CU360" s="2">
        <f t="shared" si="218"/>
        <v>87.1</v>
      </c>
      <c r="CV360" s="18" t="s">
        <v>233</v>
      </c>
      <c r="CW360" s="1">
        <f>ROUND(PPTest!K360,1)</f>
        <v>12.6</v>
      </c>
      <c r="CX360" s="17">
        <f t="shared" si="219"/>
        <v>1.1599999999999999</v>
      </c>
      <c r="CY360" s="17">
        <f t="shared" si="220"/>
        <v>3.54</v>
      </c>
      <c r="CZ360" s="20">
        <f t="shared" si="221"/>
        <v>0.36699999999999999</v>
      </c>
      <c r="DA360" s="20">
        <f t="shared" si="222"/>
        <v>5.3999999999999999E-2</v>
      </c>
      <c r="DB360" s="16">
        <f t="shared" si="223"/>
        <v>12.99</v>
      </c>
      <c r="DZ360" s="1">
        <v>-8.4</v>
      </c>
      <c r="EA360" s="1">
        <v>-4.4000000000000004</v>
      </c>
      <c r="EB360" s="1">
        <v>-11.2</v>
      </c>
      <c r="EC360" s="1">
        <v>2.6</v>
      </c>
    </row>
    <row r="361" spans="1:133" x14ac:dyDescent="0.2">
      <c r="A361" s="40">
        <v>35419</v>
      </c>
      <c r="B361" s="34">
        <v>355</v>
      </c>
      <c r="C361" s="34">
        <v>0.46700000000000003</v>
      </c>
      <c r="D361" s="34">
        <v>1.022</v>
      </c>
      <c r="E361" s="34">
        <v>-7.75</v>
      </c>
      <c r="F361" s="34">
        <v>100.2</v>
      </c>
      <c r="G361" s="34">
        <v>-8.32</v>
      </c>
      <c r="H361" s="34">
        <v>-8.7200000000000006</v>
      </c>
      <c r="I361" s="34">
        <v>-0.01</v>
      </c>
      <c r="J361" s="34">
        <v>-2.593</v>
      </c>
      <c r="K361" s="34">
        <v>-8.49</v>
      </c>
      <c r="L361" s="34">
        <v>0.26300000000000001</v>
      </c>
      <c r="M361" s="34">
        <v>0.72099999999999997</v>
      </c>
      <c r="N361" s="34">
        <v>1.327</v>
      </c>
      <c r="O361" s="34">
        <v>0</v>
      </c>
      <c r="P361" s="34">
        <v>0.96733333333333338</v>
      </c>
      <c r="Q361" s="34"/>
      <c r="R361" s="34">
        <v>-5.0110000000000001</v>
      </c>
      <c r="S361" s="34">
        <v>1342</v>
      </c>
      <c r="T361" s="34">
        <v>102.4</v>
      </c>
      <c r="U361" s="34">
        <v>839</v>
      </c>
      <c r="V361" s="34">
        <v>-4.6840000000000002</v>
      </c>
      <c r="W361" s="34">
        <v>-5.2709999999999999</v>
      </c>
      <c r="X361" s="34">
        <v>6.2E-2</v>
      </c>
      <c r="Y361" s="34"/>
      <c r="Z361" s="34">
        <v>-5.75</v>
      </c>
      <c r="AA361" s="34">
        <v>0.308</v>
      </c>
      <c r="AB361" s="34">
        <v>0.78800000000000003</v>
      </c>
      <c r="AC361" s="34">
        <v>1.399</v>
      </c>
      <c r="AD361" s="34">
        <v>2.6074999999999999</v>
      </c>
      <c r="AE361" s="34">
        <v>1331</v>
      </c>
      <c r="AF361" s="34">
        <v>-10.25</v>
      </c>
      <c r="AG361" s="34">
        <v>1856</v>
      </c>
      <c r="AH361" s="34">
        <v>96.2</v>
      </c>
      <c r="AI361" s="34">
        <v>1332</v>
      </c>
      <c r="AJ361" s="34">
        <v>-11.52</v>
      </c>
      <c r="AK361" s="34">
        <v>-14.75</v>
      </c>
      <c r="AL361" s="34">
        <v>-6.8000000000000005E-2</v>
      </c>
      <c r="AM361" s="34">
        <v>-2.8730000000000002</v>
      </c>
      <c r="AN361" s="34">
        <v>-11.49</v>
      </c>
      <c r="AO361" s="34">
        <v>0.22700000000000001</v>
      </c>
      <c r="AP361" s="34">
        <v>0.65700000000000003</v>
      </c>
      <c r="AQ361" s="34">
        <v>1.2749999999999999</v>
      </c>
      <c r="AR361" s="34">
        <v>5.0999999999999997E-2</v>
      </c>
      <c r="AS361" s="34">
        <v>0.22700000000000001</v>
      </c>
      <c r="AT361" s="34">
        <v>0.28499999999999998</v>
      </c>
      <c r="AU361" s="34">
        <v>5.8000000000000003E-2</v>
      </c>
      <c r="AV361" s="34">
        <v>0.121</v>
      </c>
      <c r="AW361" s="34">
        <v>0.187</v>
      </c>
      <c r="AX361" s="34">
        <v>4.2000000000000003E-2</v>
      </c>
      <c r="AY361" s="34">
        <v>3.1E-2</v>
      </c>
      <c r="AZ361" s="34">
        <v>-8.2899999999999991</v>
      </c>
      <c r="BA361" s="34"/>
      <c r="BB361" s="34">
        <v>12.83</v>
      </c>
      <c r="BC361" s="34">
        <v>2876</v>
      </c>
      <c r="BD361" s="3"/>
      <c r="BE361" s="3"/>
      <c r="BF361" s="3"/>
      <c r="BH361" s="16">
        <v>4.38</v>
      </c>
      <c r="BI361" s="16">
        <f t="shared" si="192"/>
        <v>8.8475999999999999</v>
      </c>
      <c r="BJ361" s="17">
        <f t="shared" si="177"/>
        <v>0.47</v>
      </c>
      <c r="BK361" s="17">
        <f t="shared" si="178"/>
        <v>1.07</v>
      </c>
      <c r="BM361" s="1">
        <f t="shared" si="179"/>
        <v>95.6</v>
      </c>
      <c r="BN361" s="1">
        <f t="shared" si="180"/>
        <v>93.6</v>
      </c>
      <c r="BO361" s="1">
        <f t="shared" si="181"/>
        <v>89.9</v>
      </c>
      <c r="BP361" s="56">
        <f t="shared" si="182"/>
        <v>0.378</v>
      </c>
      <c r="BQ361" s="56">
        <f t="shared" si="183"/>
        <v>4.2000000000000003E-2</v>
      </c>
      <c r="BS361" s="47">
        <f t="shared" si="176"/>
        <v>16.5</v>
      </c>
      <c r="BT361" s="44">
        <v>11</v>
      </c>
      <c r="BV361" s="16">
        <f t="shared" si="193"/>
        <v>0.47</v>
      </c>
      <c r="BW361" s="16">
        <f t="shared" si="194"/>
        <v>1.07</v>
      </c>
      <c r="BX361" s="3">
        <f t="shared" si="195"/>
        <v>-7.8</v>
      </c>
      <c r="BY361" s="3">
        <f t="shared" si="196"/>
        <v>-8.3000000000000007</v>
      </c>
      <c r="BZ361" s="3">
        <f t="shared" si="197"/>
        <v>-8.6999999999999993</v>
      </c>
      <c r="CA361" s="3">
        <f t="shared" si="198"/>
        <v>0</v>
      </c>
      <c r="CB361" s="3">
        <f t="shared" si="199"/>
        <v>0.3</v>
      </c>
      <c r="CC361" s="3">
        <f t="shared" si="200"/>
        <v>0.7</v>
      </c>
      <c r="CD361" s="3">
        <f t="shared" si="201"/>
        <v>1.3</v>
      </c>
      <c r="CE361" s="23">
        <f t="shared" si="202"/>
        <v>93.6</v>
      </c>
      <c r="CF361" s="1">
        <f t="shared" si="203"/>
        <v>-5</v>
      </c>
      <c r="CG361" s="1">
        <f t="shared" si="204"/>
        <v>-4.7</v>
      </c>
      <c r="CH361" s="1">
        <f t="shared" si="205"/>
        <v>-5.3</v>
      </c>
      <c r="CI361" s="1">
        <f t="shared" si="206"/>
        <v>0.1</v>
      </c>
      <c r="CJ361" s="1">
        <f t="shared" si="207"/>
        <v>0.3</v>
      </c>
      <c r="CK361" s="1">
        <f t="shared" si="208"/>
        <v>0.8</v>
      </c>
      <c r="CL361" s="1">
        <f t="shared" si="209"/>
        <v>1.4</v>
      </c>
      <c r="CM361" s="2">
        <f t="shared" si="210"/>
        <v>95.6</v>
      </c>
      <c r="CN361" s="1">
        <f t="shared" si="211"/>
        <v>-10.3</v>
      </c>
      <c r="CO361" s="1">
        <f t="shared" si="212"/>
        <v>-11.5</v>
      </c>
      <c r="CP361" s="1">
        <f t="shared" si="213"/>
        <v>-14.8</v>
      </c>
      <c r="CQ361" s="1">
        <f t="shared" si="214"/>
        <v>-0.1</v>
      </c>
      <c r="CR361" s="1">
        <f t="shared" si="215"/>
        <v>0.2</v>
      </c>
      <c r="CS361" s="1">
        <f t="shared" si="216"/>
        <v>0.7</v>
      </c>
      <c r="CT361" s="1">
        <f t="shared" si="217"/>
        <v>1.3</v>
      </c>
      <c r="CU361" s="2">
        <f t="shared" si="218"/>
        <v>89.9</v>
      </c>
      <c r="CV361" s="18" t="s">
        <v>233</v>
      </c>
      <c r="CW361" s="1">
        <f>ROUND(PPTest!K361,1)</f>
        <v>17.3</v>
      </c>
      <c r="CX361" s="17">
        <f t="shared" si="219"/>
        <v>0.97</v>
      </c>
      <c r="CY361" s="17">
        <f t="shared" si="220"/>
        <v>2.61</v>
      </c>
      <c r="CZ361" s="20">
        <f t="shared" si="221"/>
        <v>0.378</v>
      </c>
      <c r="DA361" s="20">
        <f t="shared" si="222"/>
        <v>4.2000000000000003E-2</v>
      </c>
      <c r="DB361" s="16">
        <f t="shared" si="223"/>
        <v>12.83</v>
      </c>
      <c r="DZ361" s="1">
        <v>-6.2</v>
      </c>
      <c r="EA361" s="1">
        <v>-2.2999999999999998</v>
      </c>
      <c r="EB361" s="1">
        <v>-10.1</v>
      </c>
      <c r="EC361" s="1">
        <v>2.1</v>
      </c>
    </row>
    <row r="362" spans="1:133" x14ac:dyDescent="0.2">
      <c r="A362" s="40">
        <v>35420</v>
      </c>
      <c r="B362" s="34">
        <v>356</v>
      </c>
      <c r="C362" s="34">
        <v>0.60399999999999998</v>
      </c>
      <c r="D362" s="34">
        <v>1.2949999999999999</v>
      </c>
      <c r="E362" s="34">
        <v>-9.4700000000000006</v>
      </c>
      <c r="F362" s="34">
        <v>99</v>
      </c>
      <c r="G362" s="34">
        <v>-9.98</v>
      </c>
      <c r="H362" s="34">
        <v>-10.38</v>
      </c>
      <c r="I362" s="34">
        <v>-7.0000000000000001E-3</v>
      </c>
      <c r="J362" s="34">
        <v>-2.9460000000000002</v>
      </c>
      <c r="K362" s="34">
        <v>-10.14</v>
      </c>
      <c r="L362" s="34">
        <v>0.26800000000000002</v>
      </c>
      <c r="M362" s="34">
        <v>0.72899999999999998</v>
      </c>
      <c r="N362" s="34">
        <v>1.33</v>
      </c>
      <c r="O362" s="34">
        <v>0</v>
      </c>
      <c r="P362" s="34">
        <v>1.4604999999999999</v>
      </c>
      <c r="Q362" s="34"/>
      <c r="R362" s="34">
        <v>-6.7130000000000001</v>
      </c>
      <c r="S362" s="34">
        <v>1220</v>
      </c>
      <c r="T362" s="34">
        <v>101.1</v>
      </c>
      <c r="U362" s="34">
        <v>17</v>
      </c>
      <c r="V362" s="34">
        <v>-6.1150000000000002</v>
      </c>
      <c r="W362" s="34">
        <v>-7.81</v>
      </c>
      <c r="X362" s="34">
        <v>5.0999999999999997E-2</v>
      </c>
      <c r="Y362" s="34"/>
      <c r="Z362" s="34">
        <v>-8.02</v>
      </c>
      <c r="AA362" s="34">
        <v>0.29799999999999999</v>
      </c>
      <c r="AB362" s="34">
        <v>0.77200000000000002</v>
      </c>
      <c r="AC362" s="34">
        <v>1.3779999999999999</v>
      </c>
      <c r="AD362" s="34">
        <v>3.1141666666666667</v>
      </c>
      <c r="AE362" s="34">
        <v>2252</v>
      </c>
      <c r="AF362" s="34">
        <v>-11.19</v>
      </c>
      <c r="AG362" s="34">
        <v>1940</v>
      </c>
      <c r="AH362" s="34">
        <v>95.7</v>
      </c>
      <c r="AI362" s="34">
        <v>1221</v>
      </c>
      <c r="AJ362" s="34">
        <v>-11.4</v>
      </c>
      <c r="AK362" s="34">
        <v>-13.02</v>
      </c>
      <c r="AL362" s="34">
        <v>-7.5999999999999998E-2</v>
      </c>
      <c r="AM362" s="34">
        <v>-3.0190000000000001</v>
      </c>
      <c r="AN362" s="34">
        <v>-11.22</v>
      </c>
      <c r="AO362" s="34">
        <v>0.22900000000000001</v>
      </c>
      <c r="AP362" s="34">
        <v>0.65400000000000003</v>
      </c>
      <c r="AQ362" s="34">
        <v>1.266</v>
      </c>
      <c r="AR362" s="34">
        <v>0.08</v>
      </c>
      <c r="AS362" s="34">
        <v>0.433</v>
      </c>
      <c r="AT362" s="34">
        <v>0.26900000000000002</v>
      </c>
      <c r="AU362" s="34">
        <v>2.1999999999999999E-2</v>
      </c>
      <c r="AV362" s="34">
        <v>0.09</v>
      </c>
      <c r="AW362" s="34">
        <v>0.09</v>
      </c>
      <c r="AX362" s="34">
        <v>7.0000000000000001E-3</v>
      </c>
      <c r="AY362" s="34">
        <v>0.01</v>
      </c>
      <c r="AZ362" s="34">
        <v>-9.82</v>
      </c>
      <c r="BA362" s="34"/>
      <c r="BB362" s="34">
        <v>12.76</v>
      </c>
      <c r="BC362" s="34">
        <v>2876</v>
      </c>
      <c r="BD362" s="3"/>
      <c r="BE362" s="3"/>
      <c r="BF362" s="3"/>
      <c r="BH362" s="16">
        <v>4.38</v>
      </c>
      <c r="BI362" s="16">
        <f t="shared" si="192"/>
        <v>8.8475999999999999</v>
      </c>
      <c r="BJ362" s="17">
        <f t="shared" si="177"/>
        <v>0.6</v>
      </c>
      <c r="BK362" s="17">
        <f t="shared" si="178"/>
        <v>1.36</v>
      </c>
      <c r="BM362" s="1">
        <f t="shared" si="179"/>
        <v>94.4</v>
      </c>
      <c r="BN362" s="1">
        <f t="shared" si="180"/>
        <v>92.5</v>
      </c>
      <c r="BO362" s="1">
        <f t="shared" si="181"/>
        <v>89.4</v>
      </c>
      <c r="BP362" s="56">
        <f t="shared" si="182"/>
        <v>0.33</v>
      </c>
      <c r="BQ362" s="56">
        <f t="shared" si="183"/>
        <v>3.9E-2</v>
      </c>
      <c r="BS362" s="47">
        <f t="shared" si="176"/>
        <v>6</v>
      </c>
      <c r="BT362" s="44">
        <v>4</v>
      </c>
      <c r="BV362" s="16">
        <f t="shared" si="193"/>
        <v>0.6</v>
      </c>
      <c r="BW362" s="16">
        <f t="shared" si="194"/>
        <v>1.36</v>
      </c>
      <c r="BX362" s="3">
        <f t="shared" si="195"/>
        <v>-9.5</v>
      </c>
      <c r="BY362" s="3">
        <f t="shared" si="196"/>
        <v>-10</v>
      </c>
      <c r="BZ362" s="3">
        <f t="shared" si="197"/>
        <v>-10.4</v>
      </c>
      <c r="CA362" s="3">
        <f t="shared" si="198"/>
        <v>0</v>
      </c>
      <c r="CB362" s="3">
        <f t="shared" si="199"/>
        <v>0.3</v>
      </c>
      <c r="CC362" s="3">
        <f t="shared" si="200"/>
        <v>0.7</v>
      </c>
      <c r="CD362" s="3">
        <f t="shared" si="201"/>
        <v>1.3</v>
      </c>
      <c r="CE362" s="23">
        <f t="shared" si="202"/>
        <v>92.5</v>
      </c>
      <c r="CF362" s="1">
        <f t="shared" si="203"/>
        <v>-6.7</v>
      </c>
      <c r="CG362" s="1">
        <f t="shared" si="204"/>
        <v>-6.1</v>
      </c>
      <c r="CH362" s="1">
        <f t="shared" si="205"/>
        <v>-7.8</v>
      </c>
      <c r="CI362" s="1">
        <f t="shared" si="206"/>
        <v>0.1</v>
      </c>
      <c r="CJ362" s="1">
        <f t="shared" si="207"/>
        <v>0.3</v>
      </c>
      <c r="CK362" s="1">
        <f t="shared" si="208"/>
        <v>0.8</v>
      </c>
      <c r="CL362" s="1">
        <f t="shared" si="209"/>
        <v>1.4</v>
      </c>
      <c r="CM362" s="2">
        <f t="shared" si="210"/>
        <v>94.4</v>
      </c>
      <c r="CN362" s="1">
        <f t="shared" si="211"/>
        <v>-11.2</v>
      </c>
      <c r="CO362" s="1">
        <f t="shared" si="212"/>
        <v>-11.4</v>
      </c>
      <c r="CP362" s="1">
        <f t="shared" si="213"/>
        <v>-13</v>
      </c>
      <c r="CQ362" s="1">
        <f t="shared" si="214"/>
        <v>-0.1</v>
      </c>
      <c r="CR362" s="1">
        <f t="shared" si="215"/>
        <v>0.2</v>
      </c>
      <c r="CS362" s="1">
        <f t="shared" si="216"/>
        <v>0.7</v>
      </c>
      <c r="CT362" s="1">
        <f t="shared" si="217"/>
        <v>1.3</v>
      </c>
      <c r="CU362" s="2">
        <f t="shared" si="218"/>
        <v>89.4</v>
      </c>
      <c r="CV362" s="18" t="s">
        <v>233</v>
      </c>
      <c r="CW362" s="1">
        <f>ROUND(PPTest!K362,1)</f>
        <v>6.3</v>
      </c>
      <c r="CX362" s="17">
        <f t="shared" si="219"/>
        <v>1.46</v>
      </c>
      <c r="CY362" s="17">
        <f t="shared" si="220"/>
        <v>3.11</v>
      </c>
      <c r="CZ362" s="20">
        <f t="shared" si="221"/>
        <v>0.33</v>
      </c>
      <c r="DA362" s="20">
        <f t="shared" si="222"/>
        <v>3.9E-2</v>
      </c>
      <c r="DB362" s="16">
        <f t="shared" si="223"/>
        <v>12.76</v>
      </c>
      <c r="DZ362" s="1">
        <v>-8.5</v>
      </c>
      <c r="EA362" s="1">
        <v>-6.8</v>
      </c>
      <c r="EB362" s="1">
        <v>-9.9</v>
      </c>
      <c r="EC362" s="1">
        <v>1.4</v>
      </c>
    </row>
    <row r="363" spans="1:133" x14ac:dyDescent="0.2">
      <c r="A363" s="40">
        <v>35421</v>
      </c>
      <c r="B363" s="34">
        <v>357</v>
      </c>
      <c r="C363" s="34">
        <v>0.64300000000000002</v>
      </c>
      <c r="D363" s="34">
        <v>1.3560000000000001</v>
      </c>
      <c r="E363" s="34">
        <v>-16.09</v>
      </c>
      <c r="F363" s="34">
        <v>94.4</v>
      </c>
      <c r="G363" s="34">
        <v>-16.48</v>
      </c>
      <c r="H363" s="34">
        <v>-16.559999999999999</v>
      </c>
      <c r="I363" s="34">
        <v>-5.1999999999999998E-2</v>
      </c>
      <c r="J363" s="34">
        <v>-2.496</v>
      </c>
      <c r="K363" s="34">
        <v>-16.309999999999999</v>
      </c>
      <c r="L363" s="34">
        <v>0.26600000000000001</v>
      </c>
      <c r="M363" s="34">
        <v>0.72199999999999998</v>
      </c>
      <c r="N363" s="34">
        <v>1.321</v>
      </c>
      <c r="O363" s="34">
        <v>-1E-3</v>
      </c>
      <c r="P363" s="34">
        <v>1.7608333333333335</v>
      </c>
      <c r="Q363" s="34"/>
      <c r="R363" s="34">
        <v>-10.27</v>
      </c>
      <c r="S363" s="34">
        <v>129</v>
      </c>
      <c r="T363" s="34">
        <v>98.9</v>
      </c>
      <c r="U363" s="34">
        <v>149</v>
      </c>
      <c r="V363" s="34">
        <v>-11.11</v>
      </c>
      <c r="W363" s="34">
        <v>-11.04</v>
      </c>
      <c r="X363" s="34">
        <v>3.7999999999999999E-2</v>
      </c>
      <c r="Y363" s="34"/>
      <c r="Z363" s="34">
        <v>-11.14</v>
      </c>
      <c r="AA363" s="34">
        <v>0.30099999999999999</v>
      </c>
      <c r="AB363" s="34">
        <v>0.76900000000000002</v>
      </c>
      <c r="AC363" s="34">
        <v>1.367</v>
      </c>
      <c r="AD363" s="34">
        <v>4.0475000000000003</v>
      </c>
      <c r="AE363" s="34">
        <v>214</v>
      </c>
      <c r="AF363" s="34">
        <v>-19.95</v>
      </c>
      <c r="AG363" s="34">
        <v>2032</v>
      </c>
      <c r="AH363" s="34">
        <v>91.4</v>
      </c>
      <c r="AI363" s="34">
        <v>1721</v>
      </c>
      <c r="AJ363" s="34">
        <v>-20.309999999999999</v>
      </c>
      <c r="AK363" s="34">
        <v>-20.92</v>
      </c>
      <c r="AL363" s="34">
        <v>-0.20499999999999999</v>
      </c>
      <c r="AM363" s="34">
        <v>-2.8559999999999999</v>
      </c>
      <c r="AN363" s="34">
        <v>-19.600000000000001</v>
      </c>
      <c r="AO363" s="34">
        <v>0.214</v>
      </c>
      <c r="AP363" s="34">
        <v>0.68400000000000005</v>
      </c>
      <c r="AQ363" s="34">
        <v>1.274</v>
      </c>
      <c r="AR363" s="34">
        <v>7.5999999999999998E-2</v>
      </c>
      <c r="AS363" s="34">
        <v>0.29299999999999998</v>
      </c>
      <c r="AT363" s="34">
        <v>8.7999999999999995E-2</v>
      </c>
      <c r="AU363" s="34">
        <v>2.4E-2</v>
      </c>
      <c r="AV363" s="34">
        <v>0.184</v>
      </c>
      <c r="AW363" s="34">
        <v>0.309</v>
      </c>
      <c r="AX363" s="34">
        <v>1.9E-2</v>
      </c>
      <c r="AY363" s="34">
        <v>6.0000000000000001E-3</v>
      </c>
      <c r="AZ363" s="34">
        <v>-14.42</v>
      </c>
      <c r="BA363" s="34"/>
      <c r="BB363" s="34">
        <v>12.71</v>
      </c>
      <c r="BC363" s="34">
        <v>2876</v>
      </c>
      <c r="BD363" s="3"/>
      <c r="BE363" s="3"/>
      <c r="BF363" s="3"/>
      <c r="BH363" s="16">
        <v>4.3899999999999997</v>
      </c>
      <c r="BI363" s="16">
        <f t="shared" si="192"/>
        <v>8.867799999999999</v>
      </c>
      <c r="BJ363" s="17">
        <f t="shared" si="177"/>
        <v>0.64</v>
      </c>
      <c r="BK363" s="17">
        <f t="shared" si="178"/>
        <v>1.42</v>
      </c>
      <c r="BM363" s="1">
        <f t="shared" si="179"/>
        <v>92.4</v>
      </c>
      <c r="BN363" s="1">
        <f t="shared" si="180"/>
        <v>88.2</v>
      </c>
      <c r="BO363" s="1">
        <f t="shared" si="181"/>
        <v>85.5</v>
      </c>
      <c r="BP363" s="56">
        <f t="shared" si="182"/>
        <v>0.23899999999999999</v>
      </c>
      <c r="BQ363" s="56">
        <f t="shared" si="183"/>
        <v>4.1000000000000002E-2</v>
      </c>
      <c r="BS363" s="47">
        <f t="shared" si="176"/>
        <v>3</v>
      </c>
      <c r="BT363" s="44">
        <v>2</v>
      </c>
      <c r="BV363" s="16">
        <f t="shared" si="193"/>
        <v>0.64</v>
      </c>
      <c r="BW363" s="16">
        <f t="shared" si="194"/>
        <v>1.42</v>
      </c>
      <c r="BX363" s="3">
        <f t="shared" si="195"/>
        <v>-16.100000000000001</v>
      </c>
      <c r="BY363" s="3">
        <f t="shared" si="196"/>
        <v>-16.5</v>
      </c>
      <c r="BZ363" s="3">
        <f t="shared" si="197"/>
        <v>-16.600000000000001</v>
      </c>
      <c r="CA363" s="3">
        <f t="shared" si="198"/>
        <v>-0.1</v>
      </c>
      <c r="CB363" s="3">
        <f t="shared" si="199"/>
        <v>0.3</v>
      </c>
      <c r="CC363" s="3">
        <f t="shared" si="200"/>
        <v>0.7</v>
      </c>
      <c r="CD363" s="3">
        <f t="shared" si="201"/>
        <v>1.3</v>
      </c>
      <c r="CE363" s="23">
        <f t="shared" si="202"/>
        <v>88.2</v>
      </c>
      <c r="CF363" s="1">
        <f t="shared" si="203"/>
        <v>-10.3</v>
      </c>
      <c r="CG363" s="1">
        <f t="shared" si="204"/>
        <v>-11.1</v>
      </c>
      <c r="CH363" s="1">
        <f t="shared" si="205"/>
        <v>-11</v>
      </c>
      <c r="CI363" s="1">
        <f t="shared" si="206"/>
        <v>0</v>
      </c>
      <c r="CJ363" s="1">
        <f t="shared" si="207"/>
        <v>0.3</v>
      </c>
      <c r="CK363" s="1">
        <f t="shared" si="208"/>
        <v>0.8</v>
      </c>
      <c r="CL363" s="1">
        <f t="shared" si="209"/>
        <v>1.4</v>
      </c>
      <c r="CM363" s="2">
        <f t="shared" si="210"/>
        <v>92.4</v>
      </c>
      <c r="CN363" s="1">
        <f t="shared" si="211"/>
        <v>-20</v>
      </c>
      <c r="CO363" s="1">
        <f t="shared" si="212"/>
        <v>-20.3</v>
      </c>
      <c r="CP363" s="1">
        <f t="shared" si="213"/>
        <v>-20.9</v>
      </c>
      <c r="CQ363" s="1">
        <f t="shared" si="214"/>
        <v>-0.2</v>
      </c>
      <c r="CR363" s="1">
        <f t="shared" si="215"/>
        <v>0.2</v>
      </c>
      <c r="CS363" s="1">
        <f t="shared" si="216"/>
        <v>0.7</v>
      </c>
      <c r="CT363" s="1">
        <f t="shared" si="217"/>
        <v>1.3</v>
      </c>
      <c r="CU363" s="2">
        <f t="shared" si="218"/>
        <v>85.5</v>
      </c>
      <c r="CV363" s="18" t="s">
        <v>233</v>
      </c>
      <c r="CW363" s="1">
        <f>ROUND(PPTest!K363,1)</f>
        <v>3.2</v>
      </c>
      <c r="CX363" s="17">
        <f t="shared" si="219"/>
        <v>1.76</v>
      </c>
      <c r="CY363" s="17">
        <f t="shared" si="220"/>
        <v>4.05</v>
      </c>
      <c r="CZ363" s="20">
        <f t="shared" si="221"/>
        <v>0.23899999999999999</v>
      </c>
      <c r="DA363" s="20">
        <f t="shared" si="222"/>
        <v>4.1000000000000002E-2</v>
      </c>
      <c r="DB363" s="16">
        <f t="shared" si="223"/>
        <v>12.71</v>
      </c>
      <c r="DZ363" s="1">
        <v>-13.6</v>
      </c>
      <c r="EA363" s="1">
        <v>-7.4</v>
      </c>
      <c r="EB363" s="1">
        <v>-18.899999999999999</v>
      </c>
      <c r="EC363" s="1">
        <v>1.3</v>
      </c>
    </row>
    <row r="364" spans="1:133" x14ac:dyDescent="0.2">
      <c r="A364" s="40">
        <v>35422</v>
      </c>
      <c r="B364" s="34">
        <v>358</v>
      </c>
      <c r="C364" s="34">
        <v>0.38400000000000001</v>
      </c>
      <c r="D364" s="34">
        <v>0.84499999999999997</v>
      </c>
      <c r="E364" s="34">
        <v>-17.95</v>
      </c>
      <c r="F364" s="34">
        <v>93.2</v>
      </c>
      <c r="G364" s="34">
        <v>-18.27</v>
      </c>
      <c r="H364" s="34">
        <v>-18.36</v>
      </c>
      <c r="I364" s="34">
        <v>-0.14199999999999999</v>
      </c>
      <c r="J364" s="34">
        <v>-2.109</v>
      </c>
      <c r="K364" s="34">
        <v>-18.23</v>
      </c>
      <c r="L364" s="34">
        <v>0.24399999999999999</v>
      </c>
      <c r="M364" s="34">
        <v>0.71099999999999997</v>
      </c>
      <c r="N364" s="34">
        <v>1.302</v>
      </c>
      <c r="O364" s="34">
        <v>0</v>
      </c>
      <c r="P364" s="34">
        <v>1.3866666666666667</v>
      </c>
      <c r="Q364" s="34"/>
      <c r="R364" s="34">
        <v>-13.42</v>
      </c>
      <c r="S364" s="34">
        <v>832</v>
      </c>
      <c r="T364" s="34">
        <v>98</v>
      </c>
      <c r="U364" s="34">
        <v>455</v>
      </c>
      <c r="V364" s="34">
        <v>-13.71</v>
      </c>
      <c r="W364" s="34">
        <v>-13.67</v>
      </c>
      <c r="X364" s="34">
        <v>-7.0000000000000001E-3</v>
      </c>
      <c r="Y364" s="34"/>
      <c r="Z364" s="34">
        <v>-13.92</v>
      </c>
      <c r="AA364" s="34">
        <v>0.28799999999999998</v>
      </c>
      <c r="AB364" s="34">
        <v>0.75700000000000001</v>
      </c>
      <c r="AC364" s="34">
        <v>1.3560000000000001</v>
      </c>
      <c r="AD364" s="34">
        <v>3.5541666666666667</v>
      </c>
      <c r="AE364" s="34">
        <v>720</v>
      </c>
      <c r="AF364" s="34">
        <v>-20.76</v>
      </c>
      <c r="AG364" s="34">
        <v>2236</v>
      </c>
      <c r="AH364" s="34">
        <v>90.6</v>
      </c>
      <c r="AI364" s="34">
        <v>2234</v>
      </c>
      <c r="AJ364" s="34">
        <v>-21.11</v>
      </c>
      <c r="AK364" s="34">
        <v>-22.47</v>
      </c>
      <c r="AL364" s="34">
        <v>-0.24399999999999999</v>
      </c>
      <c r="AM364" s="34">
        <v>-2.2690000000000001</v>
      </c>
      <c r="AN364" s="34">
        <v>-20.79</v>
      </c>
      <c r="AO364" s="34">
        <v>0.192</v>
      </c>
      <c r="AP364" s="34">
        <v>0.66700000000000004</v>
      </c>
      <c r="AQ364" s="34">
        <v>1.2470000000000001</v>
      </c>
      <c r="AR364" s="34">
        <v>3.5000000000000003E-2</v>
      </c>
      <c r="AS364" s="34">
        <v>0.254</v>
      </c>
      <c r="AT364" s="34">
        <v>0.10299999999999999</v>
      </c>
      <c r="AU364" s="34">
        <v>4.9000000000000002E-2</v>
      </c>
      <c r="AV364" s="34">
        <v>0.20499999999999999</v>
      </c>
      <c r="AW364" s="34">
        <v>0.30599999999999999</v>
      </c>
      <c r="AX364" s="34">
        <v>2.8000000000000001E-2</v>
      </c>
      <c r="AY364" s="34">
        <v>1.9E-2</v>
      </c>
      <c r="AZ364" s="34">
        <v>-16.59</v>
      </c>
      <c r="BA364" s="34"/>
      <c r="BB364" s="34">
        <v>12.7</v>
      </c>
      <c r="BC364" s="34">
        <v>2876</v>
      </c>
      <c r="BD364" s="3"/>
      <c r="BE364" s="3"/>
      <c r="BF364" s="3"/>
      <c r="BH364" s="16">
        <v>4.4000000000000004</v>
      </c>
      <c r="BI364" s="16">
        <f t="shared" si="192"/>
        <v>8.8880000000000017</v>
      </c>
      <c r="BJ364" s="17">
        <f t="shared" si="177"/>
        <v>0.38</v>
      </c>
      <c r="BK364" s="17">
        <f t="shared" si="178"/>
        <v>0.89</v>
      </c>
      <c r="BM364" s="1">
        <f t="shared" si="179"/>
        <v>91.6</v>
      </c>
      <c r="BN364" s="1">
        <f t="shared" si="180"/>
        <v>87.1</v>
      </c>
      <c r="BO364" s="1">
        <f t="shared" si="181"/>
        <v>84.7</v>
      </c>
      <c r="BP364" s="56">
        <f t="shared" si="182"/>
        <v>0.184</v>
      </c>
      <c r="BQ364" s="56">
        <f t="shared" si="183"/>
        <v>3.3000000000000002E-2</v>
      </c>
      <c r="BS364" s="47">
        <f t="shared" si="176"/>
        <v>13.5</v>
      </c>
      <c r="BT364" s="44">
        <v>9</v>
      </c>
      <c r="BV364" s="16">
        <f t="shared" si="193"/>
        <v>0.38</v>
      </c>
      <c r="BW364" s="16">
        <f t="shared" si="194"/>
        <v>0.89</v>
      </c>
      <c r="BX364" s="3">
        <f t="shared" si="195"/>
        <v>-18</v>
      </c>
      <c r="BY364" s="3">
        <f t="shared" si="196"/>
        <v>-18.3</v>
      </c>
      <c r="BZ364" s="3">
        <f t="shared" si="197"/>
        <v>-18.399999999999999</v>
      </c>
      <c r="CA364" s="3">
        <f t="shared" si="198"/>
        <v>-0.1</v>
      </c>
      <c r="CB364" s="3">
        <f t="shared" si="199"/>
        <v>0.2</v>
      </c>
      <c r="CC364" s="3">
        <f t="shared" si="200"/>
        <v>0.7</v>
      </c>
      <c r="CD364" s="3">
        <f t="shared" si="201"/>
        <v>1.3</v>
      </c>
      <c r="CE364" s="23">
        <f t="shared" si="202"/>
        <v>87.1</v>
      </c>
      <c r="CF364" s="1">
        <f t="shared" si="203"/>
        <v>-13.4</v>
      </c>
      <c r="CG364" s="1">
        <f t="shared" si="204"/>
        <v>-13.7</v>
      </c>
      <c r="CH364" s="1">
        <f t="shared" si="205"/>
        <v>-13.7</v>
      </c>
      <c r="CI364" s="1">
        <f t="shared" si="206"/>
        <v>0</v>
      </c>
      <c r="CJ364" s="1">
        <f t="shared" si="207"/>
        <v>0.3</v>
      </c>
      <c r="CK364" s="1">
        <f t="shared" si="208"/>
        <v>0.8</v>
      </c>
      <c r="CL364" s="1">
        <f t="shared" si="209"/>
        <v>1.4</v>
      </c>
      <c r="CM364" s="2">
        <f t="shared" si="210"/>
        <v>91.6</v>
      </c>
      <c r="CN364" s="1">
        <f t="shared" si="211"/>
        <v>-20.8</v>
      </c>
      <c r="CO364" s="1">
        <f t="shared" si="212"/>
        <v>-21.1</v>
      </c>
      <c r="CP364" s="1">
        <f t="shared" si="213"/>
        <v>-22.5</v>
      </c>
      <c r="CQ364" s="1">
        <f t="shared" si="214"/>
        <v>-0.2</v>
      </c>
      <c r="CR364" s="1">
        <f t="shared" si="215"/>
        <v>0.2</v>
      </c>
      <c r="CS364" s="1">
        <f t="shared" si="216"/>
        <v>0.7</v>
      </c>
      <c r="CT364" s="1">
        <f t="shared" si="217"/>
        <v>1.2</v>
      </c>
      <c r="CU364" s="2">
        <f t="shared" si="218"/>
        <v>84.7</v>
      </c>
      <c r="CV364" s="18" t="s">
        <v>233</v>
      </c>
      <c r="CW364" s="1">
        <f>ROUND(PPTest!K364,1)</f>
        <v>14.2</v>
      </c>
      <c r="CX364" s="17">
        <f t="shared" si="219"/>
        <v>1.39</v>
      </c>
      <c r="CY364" s="17">
        <f t="shared" si="220"/>
        <v>3.55</v>
      </c>
      <c r="CZ364" s="20">
        <f t="shared" si="221"/>
        <v>0.184</v>
      </c>
      <c r="DA364" s="20">
        <f t="shared" si="222"/>
        <v>3.3000000000000002E-2</v>
      </c>
      <c r="DB364" s="16">
        <f t="shared" si="223"/>
        <v>12.7</v>
      </c>
      <c r="DZ364" s="1">
        <v>-13.6</v>
      </c>
      <c r="EA364" s="1">
        <v>-5</v>
      </c>
      <c r="EB364" s="1">
        <v>-18.3</v>
      </c>
      <c r="EC364" s="1">
        <v>3.4</v>
      </c>
    </row>
    <row r="365" spans="1:133" x14ac:dyDescent="0.2">
      <c r="A365" s="40">
        <v>35423</v>
      </c>
      <c r="B365" s="34">
        <v>359</v>
      </c>
      <c r="C365" s="34">
        <v>0.48099999999999998</v>
      </c>
      <c r="D365" s="34">
        <v>1.0349999999999999</v>
      </c>
      <c r="E365" s="34">
        <v>-17.72</v>
      </c>
      <c r="F365" s="34">
        <v>93.3</v>
      </c>
      <c r="G365" s="34">
        <v>-18.149999999999999</v>
      </c>
      <c r="H365" s="34">
        <v>-18.71</v>
      </c>
      <c r="I365" s="34">
        <v>-0.29199999999999998</v>
      </c>
      <c r="J365" s="34">
        <v>-2.069</v>
      </c>
      <c r="K365" s="34">
        <v>-18.600000000000001</v>
      </c>
      <c r="L365" s="34">
        <v>0.20399999999999999</v>
      </c>
      <c r="M365" s="34">
        <v>0.67</v>
      </c>
      <c r="N365" s="34">
        <v>1.2509999999999999</v>
      </c>
      <c r="O365" s="34">
        <v>0</v>
      </c>
      <c r="P365" s="34">
        <v>0.92316666666666669</v>
      </c>
      <c r="Q365" s="34"/>
      <c r="R365" s="34">
        <v>-12.68</v>
      </c>
      <c r="S365" s="34">
        <v>1448</v>
      </c>
      <c r="T365" s="34">
        <v>96.5</v>
      </c>
      <c r="U365" s="34">
        <v>1520</v>
      </c>
      <c r="V365" s="34">
        <v>-12.49</v>
      </c>
      <c r="W365" s="34">
        <v>-13.34</v>
      </c>
      <c r="X365" s="34">
        <v>-0.14199999999999999</v>
      </c>
      <c r="Y365" s="34"/>
      <c r="Z365" s="34">
        <v>-13.85</v>
      </c>
      <c r="AA365" s="34">
        <v>0.28599999999999998</v>
      </c>
      <c r="AB365" s="34">
        <v>0.77400000000000002</v>
      </c>
      <c r="AC365" s="34">
        <v>1.37</v>
      </c>
      <c r="AD365" s="34">
        <v>2.7141666666666668</v>
      </c>
      <c r="AE365" s="34">
        <v>749</v>
      </c>
      <c r="AF365" s="34">
        <v>-21.77</v>
      </c>
      <c r="AG365" s="34">
        <v>109</v>
      </c>
      <c r="AH365" s="34">
        <v>89.4</v>
      </c>
      <c r="AI365" s="34">
        <v>39</v>
      </c>
      <c r="AJ365" s="34">
        <v>-22.53</v>
      </c>
      <c r="AK365" s="34">
        <v>-24.5</v>
      </c>
      <c r="AL365" s="34">
        <v>-0.51</v>
      </c>
      <c r="AM365" s="34">
        <v>-2.173</v>
      </c>
      <c r="AN365" s="34">
        <v>-22.34</v>
      </c>
      <c r="AO365" s="34">
        <v>9.5000000000000001E-2</v>
      </c>
      <c r="AP365" s="34">
        <v>0.56799999999999995</v>
      </c>
      <c r="AQ365" s="34">
        <v>1.145</v>
      </c>
      <c r="AR365" s="34">
        <v>5.5E-2</v>
      </c>
      <c r="AS365" s="34">
        <v>0.38400000000000001</v>
      </c>
      <c r="AT365" s="34">
        <v>0.38400000000000001</v>
      </c>
      <c r="AU365" s="34">
        <v>3.5000000000000003E-2</v>
      </c>
      <c r="AV365" s="34">
        <v>3.3000000000000002E-2</v>
      </c>
      <c r="AW365" s="34">
        <v>6.7000000000000004E-2</v>
      </c>
      <c r="AX365" s="34">
        <v>2.1999999999999999E-2</v>
      </c>
      <c r="AY365" s="34">
        <v>1.9E-2</v>
      </c>
      <c r="AZ365" s="34">
        <v>-18.07</v>
      </c>
      <c r="BA365" s="34"/>
      <c r="BB365" s="34">
        <v>12.68</v>
      </c>
      <c r="BC365" s="34">
        <v>2876</v>
      </c>
      <c r="BD365" s="3"/>
      <c r="BE365" s="3"/>
      <c r="BF365" s="3"/>
      <c r="BH365" s="16">
        <v>4.41</v>
      </c>
      <c r="BI365" s="16">
        <f t="shared" si="192"/>
        <v>8.9082000000000008</v>
      </c>
      <c r="BJ365" s="17">
        <f t="shared" si="177"/>
        <v>0.48</v>
      </c>
      <c r="BK365" s="17">
        <f t="shared" si="178"/>
        <v>1.0900000000000001</v>
      </c>
      <c r="BM365" s="1">
        <f t="shared" si="179"/>
        <v>90.2</v>
      </c>
      <c r="BN365" s="1">
        <f t="shared" si="180"/>
        <v>87.2</v>
      </c>
      <c r="BO365" s="1">
        <f t="shared" si="181"/>
        <v>83.6</v>
      </c>
      <c r="BP365" s="56">
        <f t="shared" si="182"/>
        <v>0.192</v>
      </c>
      <c r="BQ365" s="56">
        <f t="shared" si="183"/>
        <v>3.7999999999999999E-2</v>
      </c>
      <c r="BS365" s="47">
        <f t="shared" si="176"/>
        <v>6</v>
      </c>
      <c r="BT365" s="44">
        <v>4</v>
      </c>
      <c r="BV365" s="16">
        <f t="shared" si="193"/>
        <v>0.48</v>
      </c>
      <c r="BW365" s="16">
        <f t="shared" si="194"/>
        <v>1.0900000000000001</v>
      </c>
      <c r="BX365" s="3">
        <f t="shared" si="195"/>
        <v>-17.7</v>
      </c>
      <c r="BY365" s="3">
        <f t="shared" si="196"/>
        <v>-18.2</v>
      </c>
      <c r="BZ365" s="3">
        <f t="shared" si="197"/>
        <v>-18.7</v>
      </c>
      <c r="CA365" s="3">
        <f t="shared" si="198"/>
        <v>-0.3</v>
      </c>
      <c r="CB365" s="3">
        <f t="shared" si="199"/>
        <v>0.2</v>
      </c>
      <c r="CC365" s="3">
        <f t="shared" si="200"/>
        <v>0.7</v>
      </c>
      <c r="CD365" s="3">
        <f t="shared" si="201"/>
        <v>1.3</v>
      </c>
      <c r="CE365" s="23">
        <f t="shared" si="202"/>
        <v>87.2</v>
      </c>
      <c r="CF365" s="1">
        <f t="shared" si="203"/>
        <v>-12.7</v>
      </c>
      <c r="CG365" s="1">
        <f t="shared" si="204"/>
        <v>-12.5</v>
      </c>
      <c r="CH365" s="1">
        <f t="shared" si="205"/>
        <v>-13.3</v>
      </c>
      <c r="CI365" s="1">
        <f t="shared" si="206"/>
        <v>-0.1</v>
      </c>
      <c r="CJ365" s="1">
        <f t="shared" si="207"/>
        <v>0.3</v>
      </c>
      <c r="CK365" s="1">
        <f t="shared" si="208"/>
        <v>0.8</v>
      </c>
      <c r="CL365" s="1">
        <f t="shared" si="209"/>
        <v>1.4</v>
      </c>
      <c r="CM365" s="2">
        <f t="shared" si="210"/>
        <v>90.2</v>
      </c>
      <c r="CN365" s="1">
        <f t="shared" si="211"/>
        <v>-21.8</v>
      </c>
      <c r="CO365" s="1">
        <f t="shared" si="212"/>
        <v>-22.5</v>
      </c>
      <c r="CP365" s="1">
        <f t="shared" si="213"/>
        <v>-24.5</v>
      </c>
      <c r="CQ365" s="1">
        <f t="shared" si="214"/>
        <v>-0.5</v>
      </c>
      <c r="CR365" s="1">
        <f t="shared" si="215"/>
        <v>0.1</v>
      </c>
      <c r="CS365" s="1">
        <f t="shared" si="216"/>
        <v>0.6</v>
      </c>
      <c r="CT365" s="1">
        <f t="shared" si="217"/>
        <v>1.1000000000000001</v>
      </c>
      <c r="CU365" s="2">
        <f t="shared" si="218"/>
        <v>83.6</v>
      </c>
      <c r="CV365" s="18" t="s">
        <v>233</v>
      </c>
      <c r="CW365" s="1">
        <f>ROUND(PPTest!K365,1)</f>
        <v>6.3</v>
      </c>
      <c r="CX365" s="17">
        <f t="shared" si="219"/>
        <v>0.92</v>
      </c>
      <c r="CY365" s="17">
        <f t="shared" si="220"/>
        <v>2.71</v>
      </c>
      <c r="CZ365" s="20">
        <f t="shared" si="221"/>
        <v>0.192</v>
      </c>
      <c r="DA365" s="20">
        <f t="shared" si="222"/>
        <v>3.7999999999999999E-2</v>
      </c>
      <c r="DB365" s="16">
        <f t="shared" si="223"/>
        <v>12.68</v>
      </c>
      <c r="DZ365" s="1">
        <v>-12.4</v>
      </c>
      <c r="EA365" s="1">
        <v>-9.8000000000000007</v>
      </c>
      <c r="EB365" s="1">
        <v>-16</v>
      </c>
      <c r="EC365" s="1">
        <v>6.1</v>
      </c>
    </row>
    <row r="366" spans="1:133" x14ac:dyDescent="0.2">
      <c r="A366" s="40">
        <v>35424</v>
      </c>
      <c r="B366" s="34">
        <v>360</v>
      </c>
      <c r="C366" s="34">
        <v>1.8420000000000001</v>
      </c>
      <c r="D366" s="34">
        <v>3.198</v>
      </c>
      <c r="E366" s="34">
        <v>-21.96</v>
      </c>
      <c r="F366" s="34">
        <v>88.6</v>
      </c>
      <c r="G366" s="34">
        <v>-22.83</v>
      </c>
      <c r="H366" s="34">
        <v>-24.12</v>
      </c>
      <c r="I366" s="34">
        <v>-0.46</v>
      </c>
      <c r="J366" s="34">
        <v>-2.1230000000000002</v>
      </c>
      <c r="K366" s="34">
        <v>-22.78</v>
      </c>
      <c r="L366" s="34">
        <v>9.1999999999999998E-2</v>
      </c>
      <c r="M366" s="34">
        <v>0.57099999999999995</v>
      </c>
      <c r="N366" s="34">
        <v>1.149</v>
      </c>
      <c r="O366" s="34">
        <v>0</v>
      </c>
      <c r="P366" s="34">
        <v>1.1678333333333333</v>
      </c>
      <c r="Q366" s="34"/>
      <c r="R366" s="34">
        <v>-10.92</v>
      </c>
      <c r="S366" s="34">
        <v>1403</v>
      </c>
      <c r="T366" s="34">
        <v>96</v>
      </c>
      <c r="U366" s="34">
        <v>44</v>
      </c>
      <c r="V366" s="34">
        <v>-11.39</v>
      </c>
      <c r="W366" s="34">
        <v>-15.98</v>
      </c>
      <c r="X366" s="34">
        <v>-0.16200000000000001</v>
      </c>
      <c r="Y366" s="34"/>
      <c r="Z366" s="34">
        <v>-16.55</v>
      </c>
      <c r="AA366" s="34">
        <v>0.26</v>
      </c>
      <c r="AB366" s="34">
        <v>0.74299999999999999</v>
      </c>
      <c r="AC366" s="34">
        <v>1.3240000000000001</v>
      </c>
      <c r="AD366" s="34">
        <v>2.8341666666666669</v>
      </c>
      <c r="AE366" s="34">
        <v>244</v>
      </c>
      <c r="AF366" s="34">
        <v>-31.42</v>
      </c>
      <c r="AG366" s="34">
        <v>2326</v>
      </c>
      <c r="AH366" s="34">
        <v>79.900000000000006</v>
      </c>
      <c r="AI366" s="34">
        <v>2325</v>
      </c>
      <c r="AJ366" s="34">
        <v>-32.96</v>
      </c>
      <c r="AK366" s="34">
        <v>-35.35</v>
      </c>
      <c r="AL366" s="34">
        <v>-1.2</v>
      </c>
      <c r="AM366" s="34">
        <v>-2.2919999999999998</v>
      </c>
      <c r="AN366" s="34">
        <v>-32.479999999999997</v>
      </c>
      <c r="AO366" s="34">
        <v>-0.20499999999999999</v>
      </c>
      <c r="AP366" s="34">
        <v>0.26900000000000002</v>
      </c>
      <c r="AQ366" s="34">
        <v>0.84799999999999998</v>
      </c>
      <c r="AR366" s="34">
        <v>1.4E-2</v>
      </c>
      <c r="AS366" s="34">
        <v>0.17799999999999999</v>
      </c>
      <c r="AT366" s="34">
        <v>0.16800000000000001</v>
      </c>
      <c r="AU366" s="34">
        <v>3.4000000000000002E-2</v>
      </c>
      <c r="AV366" s="34">
        <v>0.10299999999999999</v>
      </c>
      <c r="AW366" s="34">
        <v>0.38400000000000001</v>
      </c>
      <c r="AX366" s="34">
        <v>0.108</v>
      </c>
      <c r="AY366" s="34">
        <v>1.0999999999999999E-2</v>
      </c>
      <c r="AZ366" s="34">
        <v>-22.08</v>
      </c>
      <c r="BA366" s="34"/>
      <c r="BB366" s="34">
        <v>12.8</v>
      </c>
      <c r="BC366" s="34">
        <v>2876</v>
      </c>
      <c r="BD366" s="3"/>
      <c r="BE366" s="3"/>
      <c r="BF366" s="3"/>
      <c r="BH366" s="16">
        <v>4.43</v>
      </c>
      <c r="BI366" s="16">
        <f t="shared" si="192"/>
        <v>8.948599999999999</v>
      </c>
      <c r="BJ366" s="17">
        <f t="shared" si="177"/>
        <v>1.84</v>
      </c>
      <c r="BK366" s="17">
        <f t="shared" si="178"/>
        <v>3.36</v>
      </c>
      <c r="BM366" s="1">
        <f t="shared" si="179"/>
        <v>89.7</v>
      </c>
      <c r="BN366" s="1">
        <f t="shared" si="180"/>
        <v>82.9</v>
      </c>
      <c r="BO366" s="1">
        <f t="shared" si="181"/>
        <v>74.8</v>
      </c>
      <c r="BP366" s="56">
        <f t="shared" si="182"/>
        <v>0.19800000000000001</v>
      </c>
      <c r="BQ366" s="56">
        <f t="shared" si="183"/>
        <v>6.7000000000000004E-2</v>
      </c>
      <c r="BS366" s="47">
        <f t="shared" si="176"/>
        <v>3</v>
      </c>
      <c r="BT366" s="44">
        <v>2</v>
      </c>
      <c r="BV366" s="16">
        <f t="shared" si="193"/>
        <v>1.84</v>
      </c>
      <c r="BW366" s="16">
        <f t="shared" si="194"/>
        <v>3.36</v>
      </c>
      <c r="BX366" s="3">
        <f t="shared" si="195"/>
        <v>-22</v>
      </c>
      <c r="BY366" s="3">
        <f t="shared" si="196"/>
        <v>-22.8</v>
      </c>
      <c r="BZ366" s="3">
        <f t="shared" si="197"/>
        <v>-24.1</v>
      </c>
      <c r="CA366" s="3">
        <f t="shared" si="198"/>
        <v>-0.5</v>
      </c>
      <c r="CB366" s="3">
        <f t="shared" si="199"/>
        <v>0.1</v>
      </c>
      <c r="CC366" s="3">
        <f t="shared" si="200"/>
        <v>0.6</v>
      </c>
      <c r="CD366" s="3">
        <f t="shared" si="201"/>
        <v>1.1000000000000001</v>
      </c>
      <c r="CE366" s="23">
        <f t="shared" si="202"/>
        <v>82.9</v>
      </c>
      <c r="CF366" s="1">
        <f t="shared" si="203"/>
        <v>-10.9</v>
      </c>
      <c r="CG366" s="1">
        <f t="shared" si="204"/>
        <v>-11.4</v>
      </c>
      <c r="CH366" s="1">
        <f t="shared" si="205"/>
        <v>-16</v>
      </c>
      <c r="CI366" s="1">
        <f t="shared" si="206"/>
        <v>-0.2</v>
      </c>
      <c r="CJ366" s="1">
        <f t="shared" si="207"/>
        <v>0.3</v>
      </c>
      <c r="CK366" s="1">
        <f t="shared" si="208"/>
        <v>0.7</v>
      </c>
      <c r="CL366" s="1">
        <f t="shared" si="209"/>
        <v>1.3</v>
      </c>
      <c r="CM366" s="2">
        <f t="shared" si="210"/>
        <v>89.7</v>
      </c>
      <c r="CN366" s="1">
        <f t="shared" si="211"/>
        <v>-31.4</v>
      </c>
      <c r="CO366" s="1">
        <f t="shared" si="212"/>
        <v>-33</v>
      </c>
      <c r="CP366" s="1">
        <f t="shared" si="213"/>
        <v>-35.4</v>
      </c>
      <c r="CQ366" s="1">
        <f t="shared" si="214"/>
        <v>-1.2</v>
      </c>
      <c r="CR366" s="1">
        <f t="shared" si="215"/>
        <v>-0.2</v>
      </c>
      <c r="CS366" s="1">
        <f t="shared" si="216"/>
        <v>0.3</v>
      </c>
      <c r="CT366" s="1">
        <f t="shared" si="217"/>
        <v>0.8</v>
      </c>
      <c r="CU366" s="2">
        <f t="shared" si="218"/>
        <v>74.8</v>
      </c>
      <c r="CV366" s="18" t="s">
        <v>233</v>
      </c>
      <c r="CW366" s="1">
        <f>ROUND(PPTest!K366,1)</f>
        <v>3.2</v>
      </c>
      <c r="CX366" s="17">
        <f t="shared" si="219"/>
        <v>1.17</v>
      </c>
      <c r="CY366" s="17">
        <f t="shared" si="220"/>
        <v>2.83</v>
      </c>
      <c r="CZ366" s="20">
        <f t="shared" si="221"/>
        <v>0.19800000000000001</v>
      </c>
      <c r="DA366" s="20">
        <f t="shared" si="222"/>
        <v>6.7000000000000004E-2</v>
      </c>
      <c r="DB366" s="16">
        <f t="shared" si="223"/>
        <v>12.8</v>
      </c>
      <c r="DZ366" s="1">
        <v>-20.5</v>
      </c>
      <c r="EA366" s="1">
        <v>-13.6</v>
      </c>
      <c r="EB366" s="1">
        <v>-27.8</v>
      </c>
      <c r="EC366" s="1">
        <v>1.3</v>
      </c>
    </row>
    <row r="367" spans="1:133" x14ac:dyDescent="0.2">
      <c r="A367" s="40">
        <v>35425</v>
      </c>
      <c r="B367" s="34">
        <v>361</v>
      </c>
      <c r="C367" s="34">
        <v>2.7719999999999998</v>
      </c>
      <c r="D367" s="34">
        <v>4.2169999999999996</v>
      </c>
      <c r="E367" s="34">
        <v>-28.1</v>
      </c>
      <c r="F367" s="34">
        <v>82.5</v>
      </c>
      <c r="G367" s="34">
        <v>-29.48</v>
      </c>
      <c r="H367" s="34">
        <v>-31.51</v>
      </c>
      <c r="I367" s="34">
        <v>-1.371</v>
      </c>
      <c r="J367" s="34">
        <v>-2.08</v>
      </c>
      <c r="K367" s="34">
        <v>-30.04</v>
      </c>
      <c r="L367" s="34">
        <v>-0.183</v>
      </c>
      <c r="M367" s="34">
        <v>0.28899999999999998</v>
      </c>
      <c r="N367" s="34">
        <v>0.85899999999999999</v>
      </c>
      <c r="O367" s="34">
        <v>0</v>
      </c>
      <c r="P367" s="34">
        <v>1.0701666666666667</v>
      </c>
      <c r="Q367" s="34"/>
      <c r="R367" s="34">
        <v>-14.98</v>
      </c>
      <c r="S367" s="34">
        <v>1228</v>
      </c>
      <c r="T367" s="34">
        <v>89.3</v>
      </c>
      <c r="U367" s="34">
        <v>1218</v>
      </c>
      <c r="V367" s="34">
        <v>-17.149999999999999</v>
      </c>
      <c r="W367" s="34">
        <v>-22.85</v>
      </c>
      <c r="X367" s="34">
        <v>-1.093</v>
      </c>
      <c r="Y367" s="34"/>
      <c r="Z367" s="34">
        <v>-22.36</v>
      </c>
      <c r="AA367" s="34">
        <v>-0.13200000000000001</v>
      </c>
      <c r="AB367" s="34">
        <v>0.34200000000000003</v>
      </c>
      <c r="AC367" s="34">
        <v>0.92</v>
      </c>
      <c r="AD367" s="34">
        <v>2.1408333333333331</v>
      </c>
      <c r="AE367" s="34">
        <v>210</v>
      </c>
      <c r="AF367" s="34">
        <v>-32.43</v>
      </c>
      <c r="AG367" s="34">
        <v>752</v>
      </c>
      <c r="AH367" s="34">
        <v>79</v>
      </c>
      <c r="AI367" s="34">
        <v>750</v>
      </c>
      <c r="AJ367" s="34">
        <v>-34.32</v>
      </c>
      <c r="AK367" s="34">
        <v>-37.35</v>
      </c>
      <c r="AL367" s="34">
        <v>-1.5720000000000001</v>
      </c>
      <c r="AM367" s="34">
        <v>-2.2330000000000001</v>
      </c>
      <c r="AN367" s="34">
        <v>-33.409999999999997</v>
      </c>
      <c r="AO367" s="34">
        <v>-0.22500000000000001</v>
      </c>
      <c r="AP367" s="34">
        <v>0.221</v>
      </c>
      <c r="AQ367" s="34">
        <v>0.79200000000000004</v>
      </c>
      <c r="AR367" s="34">
        <v>3.1E-2</v>
      </c>
      <c r="AS367" s="34">
        <v>0.35099999999999998</v>
      </c>
      <c r="AT367" s="34">
        <v>0.36199999999999999</v>
      </c>
      <c r="AU367" s="34">
        <v>3.6999999999999998E-2</v>
      </c>
      <c r="AV367" s="34">
        <v>6.6000000000000003E-2</v>
      </c>
      <c r="AW367" s="34">
        <v>5.6000000000000001E-2</v>
      </c>
      <c r="AX367" s="34">
        <v>3.5000000000000003E-2</v>
      </c>
      <c r="AY367" s="34">
        <v>6.3E-2</v>
      </c>
      <c r="AZ367" s="34">
        <v>-31.63</v>
      </c>
      <c r="BA367" s="34"/>
      <c r="BB367" s="34">
        <v>12.95</v>
      </c>
      <c r="BC367" s="34">
        <v>2876</v>
      </c>
      <c r="BD367" s="3"/>
      <c r="BE367" s="3"/>
      <c r="BF367" s="3"/>
      <c r="BH367" s="16">
        <v>4.45</v>
      </c>
      <c r="BI367" s="16">
        <f t="shared" si="192"/>
        <v>8.9890000000000008</v>
      </c>
      <c r="BJ367" s="17">
        <f t="shared" si="177"/>
        <v>2.77</v>
      </c>
      <c r="BK367" s="17">
        <f t="shared" si="178"/>
        <v>4.43</v>
      </c>
      <c r="BM367" s="1">
        <f t="shared" si="179"/>
        <v>83.5</v>
      </c>
      <c r="BN367" s="1">
        <f t="shared" si="180"/>
        <v>77.2</v>
      </c>
      <c r="BO367" s="1">
        <f t="shared" si="181"/>
        <v>74</v>
      </c>
      <c r="BP367" s="56">
        <f t="shared" si="182"/>
        <v>0.14099999999999999</v>
      </c>
      <c r="BQ367" s="56">
        <f t="shared" si="183"/>
        <v>0.05</v>
      </c>
      <c r="BS367" s="47">
        <f t="shared" si="176"/>
        <v>0</v>
      </c>
      <c r="BT367" s="44">
        <v>0</v>
      </c>
      <c r="BV367" s="16">
        <f t="shared" si="193"/>
        <v>2.77</v>
      </c>
      <c r="BW367" s="16">
        <f t="shared" si="194"/>
        <v>4.43</v>
      </c>
      <c r="BX367" s="3">
        <f t="shared" si="195"/>
        <v>-28.1</v>
      </c>
      <c r="BY367" s="3">
        <f t="shared" si="196"/>
        <v>-29.5</v>
      </c>
      <c r="BZ367" s="3">
        <f t="shared" si="197"/>
        <v>-31.5</v>
      </c>
      <c r="CA367" s="3">
        <f t="shared" si="198"/>
        <v>-1.4</v>
      </c>
      <c r="CB367" s="3">
        <f t="shared" si="199"/>
        <v>-0.2</v>
      </c>
      <c r="CC367" s="3">
        <f t="shared" si="200"/>
        <v>0.3</v>
      </c>
      <c r="CD367" s="3">
        <f t="shared" si="201"/>
        <v>0.9</v>
      </c>
      <c r="CE367" s="23">
        <f t="shared" si="202"/>
        <v>77.2</v>
      </c>
      <c r="CF367" s="1">
        <f t="shared" si="203"/>
        <v>-15</v>
      </c>
      <c r="CG367" s="1">
        <f t="shared" si="204"/>
        <v>-17.2</v>
      </c>
      <c r="CH367" s="1">
        <f t="shared" si="205"/>
        <v>-22.9</v>
      </c>
      <c r="CI367" s="1">
        <f t="shared" si="206"/>
        <v>-1.1000000000000001</v>
      </c>
      <c r="CJ367" s="1">
        <f t="shared" si="207"/>
        <v>-0.1</v>
      </c>
      <c r="CK367" s="1">
        <f t="shared" si="208"/>
        <v>0.3</v>
      </c>
      <c r="CL367" s="1">
        <f t="shared" si="209"/>
        <v>0.9</v>
      </c>
      <c r="CM367" s="2">
        <f t="shared" si="210"/>
        <v>83.5</v>
      </c>
      <c r="CN367" s="1">
        <f t="shared" si="211"/>
        <v>-32.4</v>
      </c>
      <c r="CO367" s="1">
        <f t="shared" si="212"/>
        <v>-34.299999999999997</v>
      </c>
      <c r="CP367" s="1">
        <f t="shared" si="213"/>
        <v>-37.4</v>
      </c>
      <c r="CQ367" s="1">
        <f t="shared" si="214"/>
        <v>-1.6</v>
      </c>
      <c r="CR367" s="1">
        <f t="shared" si="215"/>
        <v>-0.2</v>
      </c>
      <c r="CS367" s="1">
        <f t="shared" si="216"/>
        <v>0.2</v>
      </c>
      <c r="CT367" s="1">
        <f t="shared" si="217"/>
        <v>0.8</v>
      </c>
      <c r="CU367" s="2">
        <f t="shared" si="218"/>
        <v>74</v>
      </c>
      <c r="CV367" s="18" t="s">
        <v>233</v>
      </c>
      <c r="CW367" s="1">
        <f>ROUND(PPTest!K367,1)</f>
        <v>0</v>
      </c>
      <c r="CX367" s="17">
        <f t="shared" si="219"/>
        <v>1.07</v>
      </c>
      <c r="CY367" s="17">
        <f t="shared" si="220"/>
        <v>2.14</v>
      </c>
      <c r="CZ367" s="20">
        <f t="shared" si="221"/>
        <v>0.14099999999999999</v>
      </c>
      <c r="DA367" s="20">
        <f t="shared" si="222"/>
        <v>0.05</v>
      </c>
      <c r="DB367" s="16">
        <f t="shared" si="223"/>
        <v>12.95</v>
      </c>
      <c r="DZ367" s="1">
        <v>-21.9</v>
      </c>
      <c r="EA367" s="1">
        <v>-17.600000000000001</v>
      </c>
      <c r="EB367" s="1">
        <v>-26.1</v>
      </c>
      <c r="EC367" s="1">
        <v>0.7</v>
      </c>
    </row>
    <row r="368" spans="1:133" x14ac:dyDescent="0.2">
      <c r="A368" s="40">
        <v>35426</v>
      </c>
      <c r="B368" s="34">
        <v>362</v>
      </c>
      <c r="C368" s="34">
        <v>0.67300000000000004</v>
      </c>
      <c r="D368" s="34">
        <v>1.4159999999999999</v>
      </c>
      <c r="E368" s="34">
        <v>-27.99</v>
      </c>
      <c r="F368" s="34">
        <v>83.5</v>
      </c>
      <c r="G368" s="34">
        <v>-28.75</v>
      </c>
      <c r="H368" s="34">
        <v>-29.42</v>
      </c>
      <c r="I368" s="34">
        <v>-1.3420000000000001</v>
      </c>
      <c r="J368" s="34">
        <v>-1.9079999999999999</v>
      </c>
      <c r="K368" s="34">
        <v>-28.71</v>
      </c>
      <c r="L368" s="34">
        <v>-8.4000000000000005E-2</v>
      </c>
      <c r="M368" s="34">
        <v>0.38700000000000001</v>
      </c>
      <c r="N368" s="34">
        <v>0.95499999999999996</v>
      </c>
      <c r="O368" s="34">
        <v>0</v>
      </c>
      <c r="P368" s="34">
        <v>1.1739999999999999</v>
      </c>
      <c r="Q368" s="34"/>
      <c r="R368" s="34">
        <v>-21.21</v>
      </c>
      <c r="S368" s="34">
        <v>649</v>
      </c>
      <c r="T368" s="34">
        <v>92.5</v>
      </c>
      <c r="U368" s="34">
        <v>502</v>
      </c>
      <c r="V368" s="34">
        <v>-21.13</v>
      </c>
      <c r="W368" s="34">
        <v>-21.41</v>
      </c>
      <c r="X368" s="34">
        <v>-0.97499999999999998</v>
      </c>
      <c r="Y368" s="34"/>
      <c r="Z368" s="34">
        <v>-21.84</v>
      </c>
      <c r="AA368" s="34">
        <v>4.3999999999999997E-2</v>
      </c>
      <c r="AB368" s="34">
        <v>0.51600000000000001</v>
      </c>
      <c r="AC368" s="34">
        <v>1.087</v>
      </c>
      <c r="AD368" s="34">
        <v>3.3941666666666666</v>
      </c>
      <c r="AE368" s="34">
        <v>1003</v>
      </c>
      <c r="AF368" s="34">
        <v>-34.67</v>
      </c>
      <c r="AG368" s="34">
        <v>0</v>
      </c>
      <c r="AH368" s="34">
        <v>76.099999999999994</v>
      </c>
      <c r="AI368" s="34">
        <v>0</v>
      </c>
      <c r="AJ368" s="34">
        <v>-36.17</v>
      </c>
      <c r="AK368" s="34">
        <v>-38.659999999999997</v>
      </c>
      <c r="AL368" s="34">
        <v>-1.7290000000000001</v>
      </c>
      <c r="AM368" s="34">
        <v>-2.085</v>
      </c>
      <c r="AN368" s="34">
        <v>-35.630000000000003</v>
      </c>
      <c r="AO368" s="34">
        <v>-0.25800000000000001</v>
      </c>
      <c r="AP368" s="34">
        <v>0.19</v>
      </c>
      <c r="AQ368" s="34">
        <v>0.73799999999999999</v>
      </c>
      <c r="AR368" s="34">
        <v>0.02</v>
      </c>
      <c r="AS368" s="34">
        <v>0.27900000000000003</v>
      </c>
      <c r="AT368" s="34">
        <v>0.28999999999999998</v>
      </c>
      <c r="AU368" s="34">
        <v>1.2999999999999999E-2</v>
      </c>
      <c r="AV368" s="34">
        <v>4.9000000000000002E-2</v>
      </c>
      <c r="AW368" s="34">
        <v>0.26100000000000001</v>
      </c>
      <c r="AX368" s="34">
        <v>6.2E-2</v>
      </c>
      <c r="AY368" s="34">
        <v>2.5000000000000001E-2</v>
      </c>
      <c r="AZ368" s="34">
        <v>-28.52</v>
      </c>
      <c r="BA368" s="34"/>
      <c r="BB368" s="34">
        <v>12.8</v>
      </c>
      <c r="BC368" s="34">
        <v>2876</v>
      </c>
      <c r="BD368" s="3"/>
      <c r="BE368" s="3"/>
      <c r="BF368" s="3"/>
      <c r="BH368" s="16">
        <v>4.47</v>
      </c>
      <c r="BI368" s="16">
        <f t="shared" si="192"/>
        <v>9.029399999999999</v>
      </c>
      <c r="BJ368" s="17">
        <f t="shared" si="177"/>
        <v>0.67</v>
      </c>
      <c r="BK368" s="17">
        <f t="shared" si="178"/>
        <v>1.49</v>
      </c>
      <c r="BM368" s="1">
        <f t="shared" si="179"/>
        <v>86.5</v>
      </c>
      <c r="BN368" s="1">
        <f t="shared" si="180"/>
        <v>78.2</v>
      </c>
      <c r="BO368" s="1">
        <f t="shared" si="181"/>
        <v>71.3</v>
      </c>
      <c r="BP368" s="56">
        <f t="shared" si="182"/>
        <v>0.08</v>
      </c>
      <c r="BQ368" s="56">
        <f t="shared" si="183"/>
        <v>3.2000000000000001E-2</v>
      </c>
      <c r="BS368" s="47">
        <f t="shared" si="176"/>
        <v>1.5</v>
      </c>
      <c r="BT368" s="44">
        <v>1</v>
      </c>
      <c r="BV368" s="16">
        <f t="shared" si="193"/>
        <v>0.67</v>
      </c>
      <c r="BW368" s="16">
        <f t="shared" si="194"/>
        <v>1.49</v>
      </c>
      <c r="BX368" s="3">
        <f t="shared" si="195"/>
        <v>-28</v>
      </c>
      <c r="BY368" s="3">
        <f t="shared" si="196"/>
        <v>-28.8</v>
      </c>
      <c r="BZ368" s="3">
        <f t="shared" si="197"/>
        <v>-29.4</v>
      </c>
      <c r="CA368" s="3">
        <f t="shared" si="198"/>
        <v>-1.3</v>
      </c>
      <c r="CB368" s="3">
        <f t="shared" si="199"/>
        <v>-0.1</v>
      </c>
      <c r="CC368" s="3">
        <f t="shared" si="200"/>
        <v>0.4</v>
      </c>
      <c r="CD368" s="3">
        <f t="shared" si="201"/>
        <v>1</v>
      </c>
      <c r="CE368" s="23">
        <f t="shared" si="202"/>
        <v>78.2</v>
      </c>
      <c r="CF368" s="1">
        <f t="shared" si="203"/>
        <v>-21.2</v>
      </c>
      <c r="CG368" s="1">
        <f t="shared" si="204"/>
        <v>-21.1</v>
      </c>
      <c r="CH368" s="1">
        <f t="shared" si="205"/>
        <v>-21.4</v>
      </c>
      <c r="CI368" s="1">
        <f t="shared" si="206"/>
        <v>-1</v>
      </c>
      <c r="CJ368" s="1">
        <f t="shared" si="207"/>
        <v>0</v>
      </c>
      <c r="CK368" s="1">
        <f t="shared" si="208"/>
        <v>0.5</v>
      </c>
      <c r="CL368" s="1">
        <f t="shared" si="209"/>
        <v>1.1000000000000001</v>
      </c>
      <c r="CM368" s="2">
        <f t="shared" si="210"/>
        <v>86.5</v>
      </c>
      <c r="CN368" s="1">
        <f t="shared" si="211"/>
        <v>-34.700000000000003</v>
      </c>
      <c r="CO368" s="1">
        <f t="shared" si="212"/>
        <v>-36.200000000000003</v>
      </c>
      <c r="CP368" s="1">
        <f t="shared" si="213"/>
        <v>-38.700000000000003</v>
      </c>
      <c r="CQ368" s="1">
        <f t="shared" si="214"/>
        <v>-1.7</v>
      </c>
      <c r="CR368" s="1">
        <f t="shared" si="215"/>
        <v>-0.3</v>
      </c>
      <c r="CS368" s="1">
        <f t="shared" si="216"/>
        <v>0.2</v>
      </c>
      <c r="CT368" s="1">
        <f t="shared" si="217"/>
        <v>0.7</v>
      </c>
      <c r="CU368" s="2">
        <f t="shared" si="218"/>
        <v>71.3</v>
      </c>
      <c r="CV368" s="18" t="s">
        <v>233</v>
      </c>
      <c r="CW368" s="1">
        <f>ROUND(PPTest!K368,1)</f>
        <v>1.6</v>
      </c>
      <c r="CX368" s="17">
        <f t="shared" si="219"/>
        <v>1.17</v>
      </c>
      <c r="CY368" s="17">
        <f t="shared" si="220"/>
        <v>3.39</v>
      </c>
      <c r="CZ368" s="20">
        <f t="shared" si="221"/>
        <v>0.08</v>
      </c>
      <c r="DA368" s="20">
        <f t="shared" si="222"/>
        <v>3.2000000000000001E-2</v>
      </c>
      <c r="DB368" s="16">
        <f t="shared" si="223"/>
        <v>12.8</v>
      </c>
      <c r="DZ368" s="1">
        <v>-23.2</v>
      </c>
      <c r="EA368" s="1">
        <v>-15.8</v>
      </c>
      <c r="EB368" s="1">
        <v>-29.3</v>
      </c>
      <c r="EC368" s="1">
        <v>7.3</v>
      </c>
    </row>
    <row r="369" spans="1:133" x14ac:dyDescent="0.2">
      <c r="A369" s="40">
        <v>35427</v>
      </c>
      <c r="B369" s="34">
        <v>363</v>
      </c>
      <c r="C369" s="34">
        <v>1.236</v>
      </c>
      <c r="D369" s="34">
        <v>2.0139999999999998</v>
      </c>
      <c r="E369" s="34">
        <v>-30.81</v>
      </c>
      <c r="F369" s="34">
        <v>80.3</v>
      </c>
      <c r="G369" s="34">
        <v>-31.7</v>
      </c>
      <c r="H369" s="34">
        <v>-32.840000000000003</v>
      </c>
      <c r="I369" s="34">
        <v>-1.7010000000000001</v>
      </c>
      <c r="J369" s="34">
        <v>-2.0129999999999999</v>
      </c>
      <c r="K369" s="34">
        <v>-31.85</v>
      </c>
      <c r="L369" s="34">
        <v>-0.16400000000000001</v>
      </c>
      <c r="M369" s="34">
        <v>0.307</v>
      </c>
      <c r="N369" s="34">
        <v>0.874</v>
      </c>
      <c r="O369" s="34">
        <v>0</v>
      </c>
      <c r="P369" s="34">
        <v>0.66016666666666668</v>
      </c>
      <c r="Q369" s="34"/>
      <c r="R369" s="34">
        <v>-23.18</v>
      </c>
      <c r="S369" s="34">
        <v>1135</v>
      </c>
      <c r="T369" s="34">
        <v>85.9</v>
      </c>
      <c r="U369" s="34">
        <v>1134</v>
      </c>
      <c r="V369" s="34">
        <v>-24.22</v>
      </c>
      <c r="W369" s="34">
        <v>-26.42</v>
      </c>
      <c r="X369" s="34">
        <v>-1.4159999999999999</v>
      </c>
      <c r="Y369" s="34"/>
      <c r="Z369" s="34">
        <v>-26.76</v>
      </c>
      <c r="AA369" s="34">
        <v>-2.1999999999999999E-2</v>
      </c>
      <c r="AB369" s="34">
        <v>0.45200000000000001</v>
      </c>
      <c r="AC369" s="34">
        <v>1.022</v>
      </c>
      <c r="AD369" s="34">
        <v>2.2341666666666669</v>
      </c>
      <c r="AE369" s="34">
        <v>1358</v>
      </c>
      <c r="AF369" s="34">
        <v>-35.04</v>
      </c>
      <c r="AG369" s="34">
        <v>2233</v>
      </c>
      <c r="AH369" s="34">
        <v>75.900000000000006</v>
      </c>
      <c r="AI369" s="34">
        <v>2</v>
      </c>
      <c r="AJ369" s="34">
        <v>-36.78</v>
      </c>
      <c r="AK369" s="34">
        <v>-39.299999999999997</v>
      </c>
      <c r="AL369" s="34">
        <v>-1.861</v>
      </c>
      <c r="AM369" s="34">
        <v>-2.1179999999999999</v>
      </c>
      <c r="AN369" s="34">
        <v>-36.159999999999997</v>
      </c>
      <c r="AO369" s="34">
        <v>-0.26</v>
      </c>
      <c r="AP369" s="34">
        <v>0.17</v>
      </c>
      <c r="AQ369" s="34">
        <v>0.72899999999999998</v>
      </c>
      <c r="AR369" s="34">
        <v>3.2000000000000001E-2</v>
      </c>
      <c r="AS369" s="34">
        <v>0.29899999999999999</v>
      </c>
      <c r="AT369" s="34">
        <v>0.42799999999999999</v>
      </c>
      <c r="AU369" s="34">
        <v>2.9000000000000001E-2</v>
      </c>
      <c r="AV369" s="34">
        <v>7.1999999999999995E-2</v>
      </c>
      <c r="AW369" s="34">
        <v>0.11600000000000001</v>
      </c>
      <c r="AX369" s="34">
        <v>1.2999999999999999E-2</v>
      </c>
      <c r="AY369" s="34">
        <v>1.0999999999999999E-2</v>
      </c>
      <c r="AZ369" s="34">
        <v>-32.29</v>
      </c>
      <c r="BA369" s="34"/>
      <c r="BB369" s="34">
        <v>12.78</v>
      </c>
      <c r="BC369" s="34">
        <v>2876</v>
      </c>
      <c r="BD369" s="3"/>
      <c r="BE369" s="3"/>
      <c r="BF369" s="3"/>
      <c r="BH369" s="16">
        <v>4.5</v>
      </c>
      <c r="BI369" s="16">
        <f t="shared" si="192"/>
        <v>9.09</v>
      </c>
      <c r="BJ369" s="17">
        <f t="shared" si="177"/>
        <v>1.24</v>
      </c>
      <c r="BK369" s="17">
        <f t="shared" si="178"/>
        <v>2.11</v>
      </c>
      <c r="BM369" s="1">
        <f t="shared" si="179"/>
        <v>80.400000000000006</v>
      </c>
      <c r="BN369" s="1">
        <f t="shared" si="180"/>
        <v>75.2</v>
      </c>
      <c r="BO369" s="1">
        <f t="shared" si="181"/>
        <v>71.099999999999994</v>
      </c>
      <c r="BP369" s="56">
        <f t="shared" si="182"/>
        <v>6.7000000000000004E-2</v>
      </c>
      <c r="BQ369" s="56">
        <f t="shared" si="183"/>
        <v>2.7E-2</v>
      </c>
      <c r="BS369" s="47">
        <f t="shared" si="176"/>
        <v>1.5</v>
      </c>
      <c r="BT369" s="44">
        <v>1</v>
      </c>
      <c r="BV369" s="16">
        <f t="shared" si="193"/>
        <v>1.24</v>
      </c>
      <c r="BW369" s="16">
        <f t="shared" si="194"/>
        <v>2.11</v>
      </c>
      <c r="BX369" s="3">
        <f t="shared" si="195"/>
        <v>-30.8</v>
      </c>
      <c r="BY369" s="3">
        <f t="shared" si="196"/>
        <v>-31.7</v>
      </c>
      <c r="BZ369" s="3">
        <f t="shared" si="197"/>
        <v>-32.799999999999997</v>
      </c>
      <c r="CA369" s="3">
        <f t="shared" si="198"/>
        <v>-1.7</v>
      </c>
      <c r="CB369" s="3">
        <f t="shared" si="199"/>
        <v>-0.2</v>
      </c>
      <c r="CC369" s="3">
        <f t="shared" si="200"/>
        <v>0.3</v>
      </c>
      <c r="CD369" s="3">
        <f t="shared" si="201"/>
        <v>0.9</v>
      </c>
      <c r="CE369" s="23">
        <f t="shared" si="202"/>
        <v>75.2</v>
      </c>
      <c r="CF369" s="1">
        <f t="shared" si="203"/>
        <v>-23.2</v>
      </c>
      <c r="CG369" s="1">
        <f t="shared" si="204"/>
        <v>-24.2</v>
      </c>
      <c r="CH369" s="1">
        <f t="shared" si="205"/>
        <v>-26.4</v>
      </c>
      <c r="CI369" s="1">
        <f t="shared" si="206"/>
        <v>-1.4</v>
      </c>
      <c r="CJ369" s="1">
        <f t="shared" si="207"/>
        <v>0</v>
      </c>
      <c r="CK369" s="1">
        <f t="shared" si="208"/>
        <v>0.5</v>
      </c>
      <c r="CL369" s="1">
        <f t="shared" si="209"/>
        <v>1</v>
      </c>
      <c r="CM369" s="2">
        <f t="shared" si="210"/>
        <v>80.400000000000006</v>
      </c>
      <c r="CN369" s="1">
        <f t="shared" si="211"/>
        <v>-35</v>
      </c>
      <c r="CO369" s="1">
        <f t="shared" si="212"/>
        <v>-36.799999999999997</v>
      </c>
      <c r="CP369" s="1">
        <f t="shared" si="213"/>
        <v>-39.299999999999997</v>
      </c>
      <c r="CQ369" s="1">
        <f t="shared" si="214"/>
        <v>-1.9</v>
      </c>
      <c r="CR369" s="1">
        <f t="shared" si="215"/>
        <v>-0.3</v>
      </c>
      <c r="CS369" s="1">
        <f t="shared" si="216"/>
        <v>0.2</v>
      </c>
      <c r="CT369" s="1">
        <f t="shared" si="217"/>
        <v>0.7</v>
      </c>
      <c r="CU369" s="2">
        <f t="shared" si="218"/>
        <v>71.099999999999994</v>
      </c>
      <c r="CV369" s="18" t="s">
        <v>233</v>
      </c>
      <c r="CW369" s="1">
        <f>ROUND(PPTest!K369,1)</f>
        <v>1.6</v>
      </c>
      <c r="CX369" s="17">
        <f t="shared" si="219"/>
        <v>0.66</v>
      </c>
      <c r="CY369" s="17">
        <f t="shared" si="220"/>
        <v>2.23</v>
      </c>
      <c r="CZ369" s="20">
        <f t="shared" si="221"/>
        <v>6.7000000000000004E-2</v>
      </c>
      <c r="DA369" s="20">
        <f t="shared" si="222"/>
        <v>2.7E-2</v>
      </c>
      <c r="DB369" s="16">
        <f t="shared" si="223"/>
        <v>12.78</v>
      </c>
      <c r="DZ369" s="1">
        <v>-25.1</v>
      </c>
      <c r="EA369" s="1">
        <v>-20.399999999999999</v>
      </c>
      <c r="EB369" s="1">
        <v>-28.4</v>
      </c>
      <c r="EC369" s="1">
        <v>1.3</v>
      </c>
    </row>
    <row r="370" spans="1:133" x14ac:dyDescent="0.2">
      <c r="A370" s="40">
        <v>35428</v>
      </c>
      <c r="B370" s="34">
        <v>364</v>
      </c>
      <c r="C370" s="34">
        <v>0.32</v>
      </c>
      <c r="D370" s="34">
        <v>0.67700000000000005</v>
      </c>
      <c r="E370" s="34">
        <v>-17.93</v>
      </c>
      <c r="F370" s="34">
        <v>92.9</v>
      </c>
      <c r="G370" s="34">
        <v>-18.170000000000002</v>
      </c>
      <c r="H370" s="34">
        <v>-18.18</v>
      </c>
      <c r="I370" s="34">
        <v>-1.4690000000000001</v>
      </c>
      <c r="J370" s="34">
        <v>-2.0030000000000001</v>
      </c>
      <c r="K370" s="34">
        <v>-18.559999999999999</v>
      </c>
      <c r="L370" s="34">
        <v>7.6999999999999999E-2</v>
      </c>
      <c r="M370" s="34">
        <v>0.54</v>
      </c>
      <c r="N370" s="34">
        <v>1.1040000000000001</v>
      </c>
      <c r="O370" s="34">
        <v>0</v>
      </c>
      <c r="P370" s="34">
        <v>1.7691666666666668</v>
      </c>
      <c r="Q370" s="34"/>
      <c r="R370" s="34">
        <v>-9.67</v>
      </c>
      <c r="S370" s="34">
        <v>1522</v>
      </c>
      <c r="T370" s="34">
        <v>99.6</v>
      </c>
      <c r="U370" s="34">
        <v>2353</v>
      </c>
      <c r="V370" s="34">
        <v>-9.5500000000000007</v>
      </c>
      <c r="W370" s="34">
        <v>-9.17</v>
      </c>
      <c r="X370" s="34">
        <v>-0.73899999999999999</v>
      </c>
      <c r="Y370" s="34"/>
      <c r="Z370" s="34">
        <v>-10.9</v>
      </c>
      <c r="AA370" s="34">
        <v>0.246</v>
      </c>
      <c r="AB370" s="34">
        <v>0.72299999999999998</v>
      </c>
      <c r="AC370" s="34">
        <v>1.2969999999999999</v>
      </c>
      <c r="AD370" s="34">
        <v>4.020833333333333</v>
      </c>
      <c r="AE370" s="34">
        <v>1048</v>
      </c>
      <c r="AF370" s="34">
        <v>-33.31</v>
      </c>
      <c r="AG370" s="34">
        <v>1</v>
      </c>
      <c r="AH370" s="34">
        <v>78.7</v>
      </c>
      <c r="AI370" s="34">
        <v>11</v>
      </c>
      <c r="AJ370" s="34">
        <v>-33.56</v>
      </c>
      <c r="AK370" s="34">
        <v>-33.72</v>
      </c>
      <c r="AL370" s="34">
        <v>-2.2919999999999998</v>
      </c>
      <c r="AM370" s="34">
        <v>-2.2519999999999998</v>
      </c>
      <c r="AN370" s="34">
        <v>-34.67</v>
      </c>
      <c r="AO370" s="34">
        <v>-0.26100000000000001</v>
      </c>
      <c r="AP370" s="34">
        <v>0.19600000000000001</v>
      </c>
      <c r="AQ370" s="34">
        <v>0.755</v>
      </c>
      <c r="AR370" s="34">
        <v>0.14499999999999999</v>
      </c>
      <c r="AS370" s="34">
        <v>0.39700000000000002</v>
      </c>
      <c r="AT370" s="34">
        <v>0.249</v>
      </c>
      <c r="AU370" s="34">
        <v>0.04</v>
      </c>
      <c r="AV370" s="34">
        <v>0.05</v>
      </c>
      <c r="AW370" s="34">
        <v>7.1999999999999995E-2</v>
      </c>
      <c r="AX370" s="34">
        <v>2.1999999999999999E-2</v>
      </c>
      <c r="AY370" s="34">
        <v>2.4E-2</v>
      </c>
      <c r="AZ370" s="34">
        <v>-19.55</v>
      </c>
      <c r="BA370" s="34"/>
      <c r="BB370" s="34">
        <v>12.65</v>
      </c>
      <c r="BC370" s="34">
        <v>2876</v>
      </c>
      <c r="BD370" s="3"/>
      <c r="BE370" s="3"/>
      <c r="BF370" s="3"/>
      <c r="BH370" s="16">
        <v>4.53</v>
      </c>
      <c r="BI370" s="16">
        <f t="shared" si="192"/>
        <v>9.1506000000000007</v>
      </c>
      <c r="BJ370" s="17">
        <f t="shared" si="177"/>
        <v>0.32</v>
      </c>
      <c r="BK370" s="17">
        <f t="shared" si="178"/>
        <v>0.71</v>
      </c>
      <c r="BM370" s="1">
        <f t="shared" si="179"/>
        <v>93</v>
      </c>
      <c r="BN370" s="1">
        <f t="shared" si="180"/>
        <v>86.8</v>
      </c>
      <c r="BO370" s="1">
        <f t="shared" si="181"/>
        <v>73.7</v>
      </c>
      <c r="BP370" s="56">
        <f t="shared" si="182"/>
        <v>0.216</v>
      </c>
      <c r="BQ370" s="56">
        <f t="shared" si="183"/>
        <v>7.6999999999999999E-2</v>
      </c>
      <c r="BS370" s="47">
        <f t="shared" si="176"/>
        <v>10.5</v>
      </c>
      <c r="BT370" s="44">
        <v>7</v>
      </c>
      <c r="BV370" s="16">
        <f t="shared" si="193"/>
        <v>0.32</v>
      </c>
      <c r="BW370" s="16">
        <f t="shared" si="194"/>
        <v>0.71</v>
      </c>
      <c r="BX370" s="3">
        <f t="shared" si="195"/>
        <v>-17.899999999999999</v>
      </c>
      <c r="BY370" s="3">
        <f t="shared" si="196"/>
        <v>-18.2</v>
      </c>
      <c r="BZ370" s="3">
        <f t="shared" si="197"/>
        <v>-18.2</v>
      </c>
      <c r="CA370" s="3">
        <f t="shared" si="198"/>
        <v>-1.5</v>
      </c>
      <c r="CB370" s="3">
        <f t="shared" si="199"/>
        <v>0.1</v>
      </c>
      <c r="CC370" s="3">
        <f t="shared" si="200"/>
        <v>0.5</v>
      </c>
      <c r="CD370" s="3">
        <f t="shared" si="201"/>
        <v>1.1000000000000001</v>
      </c>
      <c r="CE370" s="23">
        <f t="shared" si="202"/>
        <v>86.8</v>
      </c>
      <c r="CF370" s="1">
        <f t="shared" si="203"/>
        <v>-9.6999999999999993</v>
      </c>
      <c r="CG370" s="1">
        <f t="shared" si="204"/>
        <v>-9.6</v>
      </c>
      <c r="CH370" s="1">
        <f t="shared" si="205"/>
        <v>-9.1999999999999993</v>
      </c>
      <c r="CI370" s="1">
        <f t="shared" si="206"/>
        <v>-0.7</v>
      </c>
      <c r="CJ370" s="1">
        <f t="shared" si="207"/>
        <v>0.2</v>
      </c>
      <c r="CK370" s="1">
        <f t="shared" si="208"/>
        <v>0.7</v>
      </c>
      <c r="CL370" s="1">
        <f t="shared" si="209"/>
        <v>1.3</v>
      </c>
      <c r="CM370" s="2">
        <f t="shared" si="210"/>
        <v>93</v>
      </c>
      <c r="CN370" s="1">
        <f t="shared" si="211"/>
        <v>-33.299999999999997</v>
      </c>
      <c r="CO370" s="1">
        <f t="shared" si="212"/>
        <v>-33.6</v>
      </c>
      <c r="CP370" s="1">
        <f t="shared" si="213"/>
        <v>-33.700000000000003</v>
      </c>
      <c r="CQ370" s="1">
        <f t="shared" si="214"/>
        <v>-2.2999999999999998</v>
      </c>
      <c r="CR370" s="1">
        <f t="shared" si="215"/>
        <v>-0.3</v>
      </c>
      <c r="CS370" s="1">
        <f t="shared" si="216"/>
        <v>0.2</v>
      </c>
      <c r="CT370" s="1">
        <f t="shared" si="217"/>
        <v>0.8</v>
      </c>
      <c r="CU370" s="2">
        <f t="shared" si="218"/>
        <v>73.7</v>
      </c>
      <c r="CV370" s="18" t="s">
        <v>233</v>
      </c>
      <c r="CW370" s="1">
        <f>ROUND(PPTest!K370,1)</f>
        <v>11</v>
      </c>
      <c r="CX370" s="17">
        <f t="shared" si="219"/>
        <v>1.77</v>
      </c>
      <c r="CY370" s="17">
        <f t="shared" si="220"/>
        <v>4.0199999999999996</v>
      </c>
      <c r="CZ370" s="20">
        <f t="shared" si="221"/>
        <v>0.216</v>
      </c>
      <c r="DA370" s="20">
        <f t="shared" si="222"/>
        <v>7.6999999999999999E-2</v>
      </c>
      <c r="DB370" s="16">
        <f t="shared" si="223"/>
        <v>12.65</v>
      </c>
      <c r="DZ370" s="1">
        <v>-15.5</v>
      </c>
      <c r="EA370" s="1">
        <v>-10.1</v>
      </c>
      <c r="EB370" s="1">
        <v>-25</v>
      </c>
      <c r="EC370" s="1">
        <v>19.399999999999999</v>
      </c>
    </row>
    <row r="371" spans="1:133" x14ac:dyDescent="0.2">
      <c r="A371" s="40">
        <v>35429</v>
      </c>
      <c r="B371" s="34">
        <v>365</v>
      </c>
      <c r="C371" s="34">
        <v>0.57599999999999996</v>
      </c>
      <c r="D371" s="34">
        <v>2.0230000000000001</v>
      </c>
      <c r="E371" s="34">
        <v>-2.8620000000000001</v>
      </c>
      <c r="F371" s="34">
        <v>104.4</v>
      </c>
      <c r="G371" s="34">
        <v>-3.1190000000000002</v>
      </c>
      <c r="H371" s="34">
        <v>-3.298</v>
      </c>
      <c r="I371" s="34">
        <v>-0.70099999999999996</v>
      </c>
      <c r="J371" s="34">
        <v>-2.6560000000000001</v>
      </c>
      <c r="K371" s="34">
        <v>-3.9220000000000002</v>
      </c>
      <c r="L371" s="34">
        <v>0.17599999999999999</v>
      </c>
      <c r="M371" s="34">
        <v>0.63800000000000001</v>
      </c>
      <c r="N371" s="34">
        <v>1.2090000000000001</v>
      </c>
      <c r="O371" s="34">
        <v>-2E-3</v>
      </c>
      <c r="P371" s="34">
        <v>2.1308333333333334</v>
      </c>
      <c r="Q371" s="34"/>
      <c r="R371" s="34">
        <v>0.51900000000000002</v>
      </c>
      <c r="S371" s="34">
        <v>2359</v>
      </c>
      <c r="T371" s="34">
        <v>106.6</v>
      </c>
      <c r="U371" s="34">
        <v>2111</v>
      </c>
      <c r="V371" s="34">
        <v>1.155</v>
      </c>
      <c r="W371" s="34">
        <v>0.84699999999999998</v>
      </c>
      <c r="X371" s="34">
        <v>-0.55400000000000005</v>
      </c>
      <c r="Y371" s="34"/>
      <c r="Z371" s="34">
        <v>-0.51500000000000001</v>
      </c>
      <c r="AA371" s="34">
        <v>0.224</v>
      </c>
      <c r="AB371" s="34">
        <v>0.69299999999999995</v>
      </c>
      <c r="AC371" s="34">
        <v>1.2669999999999999</v>
      </c>
      <c r="AD371" s="34">
        <v>7.1408333333333331</v>
      </c>
      <c r="AE371" s="34">
        <v>1403</v>
      </c>
      <c r="AF371" s="34">
        <v>-11</v>
      </c>
      <c r="AG371" s="34">
        <v>1</v>
      </c>
      <c r="AH371" s="34">
        <v>98.6</v>
      </c>
      <c r="AI371" s="34">
        <v>141</v>
      </c>
      <c r="AJ371" s="34">
        <v>-11.87</v>
      </c>
      <c r="AK371" s="34">
        <v>-12.04</v>
      </c>
      <c r="AL371" s="34">
        <v>-0.97499999999999998</v>
      </c>
      <c r="AM371" s="34">
        <v>-3.0329999999999999</v>
      </c>
      <c r="AN371" s="34">
        <v>-12.56</v>
      </c>
      <c r="AO371" s="34">
        <v>0.13700000000000001</v>
      </c>
      <c r="AP371" s="34">
        <v>0.57899999999999996</v>
      </c>
      <c r="AQ371" s="34">
        <v>1.1399999999999999</v>
      </c>
      <c r="AR371" s="34">
        <v>0.115</v>
      </c>
      <c r="AS371" s="34">
        <v>7.0999999999999994E-2</v>
      </c>
      <c r="AT371" s="34">
        <v>0.06</v>
      </c>
      <c r="AU371" s="34">
        <v>8.1000000000000003E-2</v>
      </c>
      <c r="AV371" s="34">
        <v>0.15</v>
      </c>
      <c r="AW371" s="34">
        <v>0.23300000000000001</v>
      </c>
      <c r="AX371" s="34">
        <v>0.19600000000000001</v>
      </c>
      <c r="AY371" s="34">
        <v>9.2999999999999999E-2</v>
      </c>
      <c r="AZ371" s="34">
        <v>-5.5359999999999996</v>
      </c>
      <c r="BA371" s="34"/>
      <c r="BB371" s="34">
        <v>12.9</v>
      </c>
      <c r="BC371" s="34">
        <v>2876</v>
      </c>
      <c r="BD371" s="3"/>
      <c r="BE371" s="3"/>
      <c r="BF371" s="3"/>
      <c r="BH371" s="16">
        <v>4.5599999999999996</v>
      </c>
      <c r="BI371" s="16">
        <f t="shared" si="192"/>
        <v>9.2111999999999998</v>
      </c>
      <c r="BJ371" s="17">
        <f t="shared" si="177"/>
        <v>0.57999999999999996</v>
      </c>
      <c r="BK371" s="17">
        <f t="shared" si="178"/>
        <v>2.12</v>
      </c>
      <c r="BM371" s="1">
        <f t="shared" si="179"/>
        <v>99.5</v>
      </c>
      <c r="BN371" s="1">
        <f t="shared" si="180"/>
        <v>97.5</v>
      </c>
      <c r="BO371" s="1">
        <f t="shared" si="181"/>
        <v>92.1</v>
      </c>
      <c r="BP371" s="56">
        <f t="shared" si="182"/>
        <v>0.58399999999999996</v>
      </c>
      <c r="BQ371" s="56">
        <f t="shared" si="183"/>
        <v>0.05</v>
      </c>
      <c r="BS371" s="47">
        <f t="shared" si="176"/>
        <v>6</v>
      </c>
      <c r="BT371" s="44">
        <v>4</v>
      </c>
      <c r="BV371" s="16">
        <f t="shared" si="193"/>
        <v>0.57999999999999996</v>
      </c>
      <c r="BW371" s="16">
        <f t="shared" si="194"/>
        <v>2.12</v>
      </c>
      <c r="BX371" s="3">
        <f t="shared" si="195"/>
        <v>-2.9</v>
      </c>
      <c r="BY371" s="3">
        <f t="shared" si="196"/>
        <v>-3.1</v>
      </c>
      <c r="BZ371" s="3">
        <f t="shared" si="197"/>
        <v>-3.3</v>
      </c>
      <c r="CA371" s="3">
        <f t="shared" si="198"/>
        <v>-0.7</v>
      </c>
      <c r="CB371" s="3">
        <f t="shared" si="199"/>
        <v>0.2</v>
      </c>
      <c r="CC371" s="3">
        <f t="shared" si="200"/>
        <v>0.6</v>
      </c>
      <c r="CD371" s="3">
        <f t="shared" si="201"/>
        <v>1.2</v>
      </c>
      <c r="CE371" s="23">
        <f t="shared" si="202"/>
        <v>97.5</v>
      </c>
      <c r="CF371" s="1">
        <f t="shared" si="203"/>
        <v>0.5</v>
      </c>
      <c r="CG371" s="1">
        <f t="shared" si="204"/>
        <v>1.2</v>
      </c>
      <c r="CH371" s="1">
        <f t="shared" si="205"/>
        <v>0.8</v>
      </c>
      <c r="CI371" s="1">
        <f t="shared" si="206"/>
        <v>-0.6</v>
      </c>
      <c r="CJ371" s="1">
        <f t="shared" si="207"/>
        <v>0.2</v>
      </c>
      <c r="CK371" s="1">
        <f t="shared" si="208"/>
        <v>0.7</v>
      </c>
      <c r="CL371" s="1">
        <f t="shared" si="209"/>
        <v>1.3</v>
      </c>
      <c r="CM371" s="2">
        <f t="shared" si="210"/>
        <v>99.5</v>
      </c>
      <c r="CN371" s="1">
        <f t="shared" si="211"/>
        <v>-11</v>
      </c>
      <c r="CO371" s="1">
        <f t="shared" si="212"/>
        <v>-11.9</v>
      </c>
      <c r="CP371" s="1">
        <f t="shared" si="213"/>
        <v>-12</v>
      </c>
      <c r="CQ371" s="1">
        <f t="shared" si="214"/>
        <v>-1</v>
      </c>
      <c r="CR371" s="1">
        <f t="shared" si="215"/>
        <v>0.1</v>
      </c>
      <c r="CS371" s="1">
        <f t="shared" si="216"/>
        <v>0.6</v>
      </c>
      <c r="CT371" s="1">
        <f t="shared" si="217"/>
        <v>1.1000000000000001</v>
      </c>
      <c r="CU371" s="2">
        <f t="shared" si="218"/>
        <v>92.1</v>
      </c>
      <c r="CV371" s="18" t="s">
        <v>233</v>
      </c>
      <c r="CW371" s="1">
        <f>ROUND(PPTest!K371,1)</f>
        <v>6.3</v>
      </c>
      <c r="CX371" s="17">
        <f t="shared" si="219"/>
        <v>2.13</v>
      </c>
      <c r="CY371" s="17">
        <f t="shared" si="220"/>
        <v>7.14</v>
      </c>
      <c r="CZ371" s="20">
        <f t="shared" si="221"/>
        <v>0.58399999999999996</v>
      </c>
      <c r="DA371" s="20">
        <f t="shared" si="222"/>
        <v>0.05</v>
      </c>
      <c r="DB371" s="16">
        <f t="shared" si="223"/>
        <v>12.9</v>
      </c>
      <c r="DZ371" s="1">
        <v>-4.4000000000000004</v>
      </c>
      <c r="EA371" s="1">
        <v>1.1000000000000001</v>
      </c>
      <c r="EB371" s="1">
        <v>-13.7</v>
      </c>
      <c r="EC371" s="1">
        <v>0</v>
      </c>
    </row>
    <row r="372" spans="1:133" x14ac:dyDescent="0.2">
      <c r="A372" s="40">
        <v>35430</v>
      </c>
      <c r="B372" s="34">
        <v>366</v>
      </c>
      <c r="C372" s="34">
        <v>1.0660000000000001</v>
      </c>
      <c r="D372" s="34">
        <v>3.1480000000000001</v>
      </c>
      <c r="E372" s="34">
        <v>0.63900000000000001</v>
      </c>
      <c r="F372" s="34">
        <v>101</v>
      </c>
      <c r="G372" s="34">
        <v>2.1000000000000001E-2</v>
      </c>
      <c r="H372" s="34">
        <v>-8.4000000000000005E-2</v>
      </c>
      <c r="I372" s="34">
        <v>-0.60299999999999998</v>
      </c>
      <c r="J372" s="34">
        <v>-3.2120000000000002</v>
      </c>
      <c r="K372" s="34">
        <v>-0.40500000000000003</v>
      </c>
      <c r="L372" s="34">
        <v>0.17599999999999999</v>
      </c>
      <c r="M372" s="34">
        <v>0.65200000000000002</v>
      </c>
      <c r="N372" s="34">
        <v>1.2330000000000001</v>
      </c>
      <c r="O372" s="34">
        <v>-2E-3</v>
      </c>
      <c r="P372" s="34">
        <v>2.3925000000000001</v>
      </c>
      <c r="Q372" s="34"/>
      <c r="R372" s="34">
        <v>3.9</v>
      </c>
      <c r="S372" s="34">
        <v>1151</v>
      </c>
      <c r="T372" s="34">
        <v>106.8</v>
      </c>
      <c r="U372" s="34">
        <v>258</v>
      </c>
      <c r="V372" s="34">
        <v>2.726</v>
      </c>
      <c r="W372" s="34">
        <v>2.4620000000000002</v>
      </c>
      <c r="X372" s="34">
        <v>-0.505</v>
      </c>
      <c r="Y372" s="34"/>
      <c r="Z372" s="34">
        <v>5.3999999999999999E-2</v>
      </c>
      <c r="AA372" s="34">
        <v>0.21</v>
      </c>
      <c r="AB372" s="34">
        <v>0.68899999999999995</v>
      </c>
      <c r="AC372" s="34">
        <v>1.2669999999999999</v>
      </c>
      <c r="AD372" s="34">
        <v>7.0741666666666667</v>
      </c>
      <c r="AE372" s="34">
        <v>1051</v>
      </c>
      <c r="AF372" s="34">
        <v>-1.8029999999999999</v>
      </c>
      <c r="AG372" s="34">
        <v>1734</v>
      </c>
      <c r="AH372" s="34">
        <v>85.5</v>
      </c>
      <c r="AI372" s="34">
        <v>1159</v>
      </c>
      <c r="AJ372" s="34">
        <v>-1.5289999999999999</v>
      </c>
      <c r="AK372" s="34">
        <v>-1.61</v>
      </c>
      <c r="AL372" s="34">
        <v>-0.83299999999999996</v>
      </c>
      <c r="AM372" s="34">
        <v>-3.4049999999999998</v>
      </c>
      <c r="AN372" s="34">
        <v>-0.65800000000000003</v>
      </c>
      <c r="AO372" s="34">
        <v>0.14799999999999999</v>
      </c>
      <c r="AP372" s="34">
        <v>0.622</v>
      </c>
      <c r="AQ372" s="34">
        <v>1.198</v>
      </c>
      <c r="AR372" s="34">
        <v>0.16200000000000001</v>
      </c>
      <c r="AS372" s="34">
        <v>0.14899999999999999</v>
      </c>
      <c r="AT372" s="34">
        <v>0.115</v>
      </c>
      <c r="AU372" s="34">
        <v>7.8E-2</v>
      </c>
      <c r="AV372" s="34">
        <v>0.12</v>
      </c>
      <c r="AW372" s="34">
        <v>0.159</v>
      </c>
      <c r="AX372" s="34">
        <v>0.129</v>
      </c>
      <c r="AY372" s="34">
        <v>8.6999999999999994E-2</v>
      </c>
      <c r="AZ372" s="34">
        <v>-1.4419999999999999</v>
      </c>
      <c r="BA372" s="34"/>
      <c r="BB372" s="34">
        <v>12.99</v>
      </c>
      <c r="BC372" s="34">
        <v>2876</v>
      </c>
      <c r="BD372" s="3"/>
      <c r="BE372" s="3"/>
      <c r="BF372" s="3"/>
      <c r="BH372" s="16">
        <v>4.5999999999999996</v>
      </c>
      <c r="BI372" s="16">
        <f t="shared" si="192"/>
        <v>9.2919999999999998</v>
      </c>
      <c r="BJ372" s="17">
        <f t="shared" si="177"/>
        <v>1.07</v>
      </c>
      <c r="BK372" s="17">
        <f t="shared" si="178"/>
        <v>3.3</v>
      </c>
      <c r="BM372" s="1">
        <f t="shared" si="179"/>
        <v>99.7</v>
      </c>
      <c r="BN372" s="1">
        <f t="shared" si="180"/>
        <v>94.3</v>
      </c>
      <c r="BO372" s="1">
        <f t="shared" si="181"/>
        <v>80</v>
      </c>
      <c r="BP372" s="56">
        <f t="shared" si="182"/>
        <v>0.64600000000000002</v>
      </c>
      <c r="BQ372" s="56">
        <f t="shared" si="183"/>
        <v>0.16200000000000001</v>
      </c>
      <c r="BS372" s="47">
        <f t="shared" si="176"/>
        <v>0</v>
      </c>
      <c r="BT372" s="44">
        <v>0</v>
      </c>
      <c r="BV372" s="16">
        <f t="shared" si="193"/>
        <v>1.07</v>
      </c>
      <c r="BW372" s="16">
        <f t="shared" si="194"/>
        <v>3.3</v>
      </c>
      <c r="BX372" s="3">
        <f t="shared" si="195"/>
        <v>0.6</v>
      </c>
      <c r="BY372" s="3">
        <f t="shared" si="196"/>
        <v>0</v>
      </c>
      <c r="BZ372" s="3">
        <f t="shared" si="197"/>
        <v>-0.1</v>
      </c>
      <c r="CA372" s="3">
        <f t="shared" si="198"/>
        <v>-0.6</v>
      </c>
      <c r="CB372" s="3">
        <f t="shared" si="199"/>
        <v>0.2</v>
      </c>
      <c r="CC372" s="3">
        <f t="shared" si="200"/>
        <v>0.7</v>
      </c>
      <c r="CD372" s="3">
        <f t="shared" si="201"/>
        <v>1.2</v>
      </c>
      <c r="CE372" s="23">
        <f t="shared" si="202"/>
        <v>94.3</v>
      </c>
      <c r="CF372" s="1">
        <f t="shared" si="203"/>
        <v>3.9</v>
      </c>
      <c r="CG372" s="1">
        <f t="shared" si="204"/>
        <v>2.7</v>
      </c>
      <c r="CH372" s="1">
        <f t="shared" si="205"/>
        <v>2.5</v>
      </c>
      <c r="CI372" s="1">
        <f t="shared" si="206"/>
        <v>-0.5</v>
      </c>
      <c r="CJ372" s="1">
        <f t="shared" si="207"/>
        <v>0.2</v>
      </c>
      <c r="CK372" s="1">
        <f t="shared" si="208"/>
        <v>0.7</v>
      </c>
      <c r="CL372" s="1">
        <f t="shared" si="209"/>
        <v>1.3</v>
      </c>
      <c r="CM372" s="2">
        <f t="shared" si="210"/>
        <v>99.7</v>
      </c>
      <c r="CN372" s="1">
        <f t="shared" si="211"/>
        <v>-1.8</v>
      </c>
      <c r="CO372" s="1">
        <f t="shared" si="212"/>
        <v>-1.5</v>
      </c>
      <c r="CP372" s="1">
        <f t="shared" si="213"/>
        <v>-1.6</v>
      </c>
      <c r="CQ372" s="1">
        <f t="shared" si="214"/>
        <v>-0.8</v>
      </c>
      <c r="CR372" s="1">
        <f t="shared" si="215"/>
        <v>0.1</v>
      </c>
      <c r="CS372" s="1">
        <f t="shared" si="216"/>
        <v>0.6</v>
      </c>
      <c r="CT372" s="1">
        <f t="shared" si="217"/>
        <v>1.2</v>
      </c>
      <c r="CU372" s="2">
        <f t="shared" si="218"/>
        <v>80</v>
      </c>
      <c r="CV372" s="18" t="s">
        <v>233</v>
      </c>
      <c r="CW372" s="1">
        <f>ROUND(PPTest!K372,1)</f>
        <v>0</v>
      </c>
      <c r="CX372" s="17">
        <f t="shared" si="219"/>
        <v>2.39</v>
      </c>
      <c r="CY372" s="17">
        <f t="shared" si="220"/>
        <v>7.07</v>
      </c>
      <c r="CZ372" s="20">
        <f t="shared" si="221"/>
        <v>0.64600000000000002</v>
      </c>
      <c r="DA372" s="20">
        <f t="shared" si="222"/>
        <v>0.16200000000000001</v>
      </c>
      <c r="DB372" s="16">
        <f t="shared" si="223"/>
        <v>12.99</v>
      </c>
      <c r="DZ372" s="1">
        <v>-0.3</v>
      </c>
      <c r="EA372" s="1">
        <v>3.9</v>
      </c>
      <c r="EB372" s="1">
        <v>-2.1</v>
      </c>
      <c r="EC372" s="1">
        <v>0.7</v>
      </c>
    </row>
    <row r="373" spans="1:133" x14ac:dyDescent="0.2">
      <c r="BS373" s="8"/>
      <c r="BT373" s="8"/>
    </row>
    <row r="374" spans="1:133" x14ac:dyDescent="0.2">
      <c r="BS374" s="8"/>
      <c r="BT374" s="8"/>
    </row>
    <row r="375" spans="1:133" x14ac:dyDescent="0.2">
      <c r="A375" s="3"/>
      <c r="B375" s="3" t="s">
        <v>71</v>
      </c>
      <c r="C375" s="3" t="s">
        <v>61</v>
      </c>
      <c r="D375" s="6" t="s">
        <v>8</v>
      </c>
      <c r="E375" s="6" t="s">
        <v>9</v>
      </c>
      <c r="F375" s="6" t="s">
        <v>10</v>
      </c>
      <c r="G375" s="6" t="s">
        <v>11</v>
      </c>
      <c r="H375" s="6" t="s">
        <v>12</v>
      </c>
      <c r="I375" s="6" t="s">
        <v>13</v>
      </c>
      <c r="J375" s="6"/>
      <c r="K375" s="6"/>
      <c r="L375" s="6" t="s">
        <v>72</v>
      </c>
      <c r="M375" s="6" t="s">
        <v>73</v>
      </c>
      <c r="N375" s="6" t="s">
        <v>74</v>
      </c>
      <c r="O375" s="6"/>
      <c r="P375" s="6" t="s">
        <v>75</v>
      </c>
      <c r="Q375" s="6" t="s">
        <v>76</v>
      </c>
      <c r="R375" s="6" t="s">
        <v>77</v>
      </c>
      <c r="S375" s="6" t="s">
        <v>78</v>
      </c>
      <c r="T375" s="6"/>
      <c r="U375" s="6"/>
      <c r="V375" s="6" t="s">
        <v>79</v>
      </c>
      <c r="W375" s="6" t="s">
        <v>80</v>
      </c>
      <c r="X375" s="6" t="s">
        <v>81</v>
      </c>
      <c r="Y375" s="6"/>
      <c r="Z375" s="6"/>
      <c r="AA375" s="6" t="s">
        <v>82</v>
      </c>
      <c r="AB375" s="6"/>
      <c r="AC375" s="6"/>
      <c r="AD375" s="6" t="s">
        <v>83</v>
      </c>
      <c r="AE375" s="6" t="s">
        <v>75</v>
      </c>
      <c r="AF375" s="6" t="s">
        <v>9</v>
      </c>
      <c r="AG375" s="6" t="s">
        <v>84</v>
      </c>
      <c r="AH375" s="6" t="s">
        <v>85</v>
      </c>
      <c r="AI375" s="6" t="s">
        <v>86</v>
      </c>
      <c r="AJ375" s="6" t="s">
        <v>11</v>
      </c>
      <c r="AK375" s="6" t="s">
        <v>87</v>
      </c>
      <c r="AL375" s="6" t="s">
        <v>13</v>
      </c>
      <c r="AM375" s="6"/>
      <c r="AN375" s="10"/>
      <c r="AO375" s="6" t="s">
        <v>88</v>
      </c>
      <c r="AP375" s="10"/>
      <c r="AQ375" s="10"/>
      <c r="AR375" s="10"/>
      <c r="AS375" s="10"/>
      <c r="AT375" s="3"/>
      <c r="AU375" s="10"/>
      <c r="AV375" s="10"/>
      <c r="AW375" s="3"/>
      <c r="AX375" s="3"/>
      <c r="AY375" s="3"/>
      <c r="AZ375" s="3"/>
      <c r="BA375" s="3"/>
      <c r="BB375" s="3"/>
      <c r="BC375" s="3"/>
      <c r="BD375" s="20"/>
      <c r="BE375" s="20"/>
      <c r="BF375" s="20" t="s">
        <v>89</v>
      </c>
      <c r="BH375" s="3"/>
      <c r="BI375" s="3"/>
      <c r="BJ375" s="2" t="s">
        <v>61</v>
      </c>
      <c r="BK375" s="2" t="s">
        <v>8</v>
      </c>
      <c r="BL375" s="1"/>
      <c r="BM375" s="3"/>
      <c r="BO375" s="6" t="s">
        <v>85</v>
      </c>
      <c r="BP375" s="2" t="s">
        <v>244</v>
      </c>
      <c r="BQ375" s="3" t="s">
        <v>90</v>
      </c>
      <c r="BR375" s="6" t="s">
        <v>86</v>
      </c>
      <c r="BS375" s="1" t="s">
        <v>107</v>
      </c>
      <c r="BT375" s="3" t="s">
        <v>91</v>
      </c>
    </row>
    <row r="376" spans="1:133" x14ac:dyDescent="0.2">
      <c r="A376" s="3"/>
      <c r="B376" s="3" t="s">
        <v>92</v>
      </c>
      <c r="C376" s="15" t="e">
        <f>ROUND(AVERAGE(C7:C37),2)</f>
        <v>#DIV/0!</v>
      </c>
      <c r="D376" s="15" t="e">
        <f>ROUND(AVERAGE(D7:D37),2)</f>
        <v>#DIV/0!</v>
      </c>
      <c r="E376" s="14">
        <f>ROUND(AVERAGE(E7:E37),1)</f>
        <v>-12.5</v>
      </c>
      <c r="F376" s="14" t="e">
        <f>ROUND(AVERAGE(F7:F37),1)</f>
        <v>#DIV/0!</v>
      </c>
      <c r="G376" s="14" t="e">
        <f>ROUND(AVERAGE(G7:G37),1)</f>
        <v>#DIV/0!</v>
      </c>
      <c r="H376" s="14" t="e">
        <f>ROUND(AVERAGE(H7:H37),1)</f>
        <v>#DIV/0!</v>
      </c>
      <c r="I376" s="14" t="e">
        <f>ROUND(AVERAGE(I7:I37),1)</f>
        <v>#DIV/0!</v>
      </c>
      <c r="J376" s="14"/>
      <c r="K376" s="14"/>
      <c r="L376" s="14" t="e">
        <f>ROUND(AVERAGE(L7:L37),1)</f>
        <v>#DIV/0!</v>
      </c>
      <c r="M376" s="14" t="e">
        <f>ROUND(AVERAGE(M7:M37),1)</f>
        <v>#DIV/0!</v>
      </c>
      <c r="N376" s="14" t="e">
        <f>ROUND(AVERAGE(N7:N37),1)</f>
        <v>#DIV/0!</v>
      </c>
      <c r="O376" s="14"/>
      <c r="P376" s="14" t="e">
        <f>ROUND(AVERAGE(P7:P37),1)</f>
        <v>#DIV/0!</v>
      </c>
      <c r="Q376" s="14">
        <f>SUM(Q7:Q37)</f>
        <v>0</v>
      </c>
      <c r="R376" s="14">
        <f>ROUND(AVERAGE(R7:R37),1)</f>
        <v>-4.7</v>
      </c>
      <c r="S376" s="14">
        <f>ROUND(MAX(R7:R37),1)</f>
        <v>4</v>
      </c>
      <c r="T376" s="14"/>
      <c r="U376" s="14"/>
      <c r="V376" s="14" t="e">
        <f>ROUND(AVERAGE(V7:V37),1)</f>
        <v>#DIV/0!</v>
      </c>
      <c r="W376" s="14">
        <f>ROUND(MAX(V7:V37),1)</f>
        <v>0</v>
      </c>
      <c r="X376" s="14" t="e">
        <f>ROUND(AVERAGE(X7:X37),1)</f>
        <v>#DIV/0!</v>
      </c>
      <c r="Y376" s="14"/>
      <c r="Z376" s="14"/>
      <c r="AA376" s="14" t="e">
        <f>ROUND(AVERAGE(AA7:AA37),1)</f>
        <v>#DIV/0!</v>
      </c>
      <c r="AB376" s="14"/>
      <c r="AC376" s="14"/>
      <c r="AD376" s="14" t="e">
        <f>ROUND(AVERAGE(AD7:AD37),1)</f>
        <v>#DIV/0!</v>
      </c>
      <c r="AE376" s="14">
        <f>ROUND(MAX(AD7:AD37),1)</f>
        <v>0</v>
      </c>
      <c r="AF376" s="14">
        <f>ROUND(AVERAGE(AF7:AF37),1)</f>
        <v>-18.8</v>
      </c>
      <c r="AG376" s="14">
        <f>ROUND(MIN(AF7:AF37),1)</f>
        <v>-41</v>
      </c>
      <c r="AH376" s="14" t="e">
        <f>ROUND(AVERAGE(AH7:AH37),1)</f>
        <v>#DIV/0!</v>
      </c>
      <c r="AI376" s="14">
        <f>ROUND(MIN(AH7:AH37),1)</f>
        <v>0</v>
      </c>
      <c r="AJ376" s="14" t="e">
        <f>ROUND(AVERAGE(AJ7:AJ37),1)</f>
        <v>#DIV/0!</v>
      </c>
      <c r="AK376" s="14">
        <f>ROUND(MIN(AJ7:AJ37),1)</f>
        <v>0</v>
      </c>
      <c r="AL376" s="14" t="e">
        <f>ROUND(AVERAGE(AL7:AL37),1)</f>
        <v>#DIV/0!</v>
      </c>
      <c r="AM376" s="14"/>
      <c r="AN376" s="14"/>
      <c r="AO376" s="14" t="e">
        <f>ROUND(AVERAGE(AO7:AO37),1)</f>
        <v>#DIV/0!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9"/>
      <c r="BE376" s="19"/>
      <c r="BF376" s="19">
        <f>BF37</f>
        <v>0</v>
      </c>
      <c r="BH376" s="14"/>
      <c r="BI376" s="15"/>
      <c r="BJ376" s="15" t="e">
        <f>ROUND(AVERAGE(BJ7:BJ37),2)</f>
        <v>#DIV/0!</v>
      </c>
      <c r="BK376" s="15" t="e">
        <f>ROUND(AVERAGE(BK7:BK37),2)</f>
        <v>#DIV/0!</v>
      </c>
      <c r="BL376" s="1"/>
      <c r="BM376" s="3"/>
      <c r="BO376" s="14" t="e">
        <f>ROUND(AVERAGE(BO7:BO37),1)</f>
        <v>#DIV/0!</v>
      </c>
      <c r="BP376" s="15">
        <f>ROUND(AVERAGE(BP7:BP37),2)</f>
        <v>0.19</v>
      </c>
      <c r="BQ376" s="15">
        <f>ROUND(AVERAGE(BQ7:BQ37),2)</f>
        <v>0.28000000000000003</v>
      </c>
      <c r="BR376" s="14">
        <f>ROUND(MIN(BO7:BO37),1)</f>
        <v>0</v>
      </c>
      <c r="BS376" s="46">
        <f>SUM(BS7:BS37)</f>
        <v>36</v>
      </c>
      <c r="BT376" s="15">
        <f>ROUND(MAX(BQ7:BQ37),2)</f>
        <v>0.53</v>
      </c>
    </row>
    <row r="377" spans="1:133" x14ac:dyDescent="0.2">
      <c r="A377" s="3"/>
      <c r="B377" s="3" t="s">
        <v>93</v>
      </c>
      <c r="C377" s="15" t="e">
        <f>ROUND(AVERAGE(C38:C66),2)</f>
        <v>#DIV/0!</v>
      </c>
      <c r="D377" s="15" t="e">
        <f>ROUND(AVERAGE(D38:D66),2)</f>
        <v>#DIV/0!</v>
      </c>
      <c r="E377" s="14">
        <f>ROUND(AVERAGE(E38:E66),1)</f>
        <v>-7.9</v>
      </c>
      <c r="F377" s="14" t="e">
        <f>ROUND(AVERAGE(F38:F66),1)</f>
        <v>#DIV/0!</v>
      </c>
      <c r="G377" s="14" t="e">
        <f>ROUND(AVERAGE(G38:G66),1)</f>
        <v>#DIV/0!</v>
      </c>
      <c r="H377" s="14" t="e">
        <f>ROUND(AVERAGE(H38:H66),1)</f>
        <v>#DIV/0!</v>
      </c>
      <c r="I377" s="14" t="e">
        <f>ROUND(AVERAGE(I38:I66),1)</f>
        <v>#DIV/0!</v>
      </c>
      <c r="J377" s="14"/>
      <c r="K377" s="14"/>
      <c r="L377" s="14" t="e">
        <f>ROUND(AVERAGE(L38:L66),1)</f>
        <v>#DIV/0!</v>
      </c>
      <c r="M377" s="14" t="e">
        <f>ROUND(AVERAGE(M38:M66),1)</f>
        <v>#DIV/0!</v>
      </c>
      <c r="N377" s="14" t="e">
        <f>ROUND(AVERAGE(N38:N66),1)</f>
        <v>#DIV/0!</v>
      </c>
      <c r="O377" s="14"/>
      <c r="P377" s="14" t="e">
        <f>ROUND(AVERAGE(P38:P66),1)</f>
        <v>#DIV/0!</v>
      </c>
      <c r="Q377" s="14">
        <f>SUM(Q38:Q66)</f>
        <v>0</v>
      </c>
      <c r="R377" s="14">
        <f>ROUND(AVERAGE(R38:R66),1)</f>
        <v>-0.8</v>
      </c>
      <c r="S377" s="14">
        <f>ROUND(MAX(R38:R66),1)</f>
        <v>10.4</v>
      </c>
      <c r="T377" s="14"/>
      <c r="U377" s="14"/>
      <c r="V377" s="14" t="e">
        <f>ROUND(AVERAGE(V38:V66),1)</f>
        <v>#DIV/0!</v>
      </c>
      <c r="W377" s="14">
        <f>ROUND(MAX(V38:V66),1)</f>
        <v>0</v>
      </c>
      <c r="X377" s="14" t="e">
        <f>ROUND(AVERAGE(X38:X66),1)</f>
        <v>#DIV/0!</v>
      </c>
      <c r="Y377" s="14"/>
      <c r="Z377" s="14"/>
      <c r="AA377" s="14" t="e">
        <f>ROUND(AVERAGE(AA38:AA66),1)</f>
        <v>#DIV/0!</v>
      </c>
      <c r="AB377" s="14"/>
      <c r="AC377" s="14"/>
      <c r="AD377" s="14" t="e">
        <f>ROUND(AVERAGE(AD38:AD66),1)</f>
        <v>#DIV/0!</v>
      </c>
      <c r="AE377" s="14">
        <f>ROUND(MAX(AD38:AD66),1)</f>
        <v>0</v>
      </c>
      <c r="AF377" s="14">
        <f>ROUND(AVERAGE(AF38:AF66),1)</f>
        <v>-14</v>
      </c>
      <c r="AG377" s="14">
        <f>ROUND(MIN(AF38:AF66),1)</f>
        <v>-33.1</v>
      </c>
      <c r="AH377" s="14" t="e">
        <f>ROUND(AVERAGE(AH38:AH66),1)</f>
        <v>#DIV/0!</v>
      </c>
      <c r="AI377" s="14">
        <f>ROUND(MIN(AH38:AH66),1)</f>
        <v>0</v>
      </c>
      <c r="AJ377" s="14" t="e">
        <f>ROUND(AVERAGE(AJ38:AJ66),1)</f>
        <v>#DIV/0!</v>
      </c>
      <c r="AK377" s="14">
        <f>ROUND(MIN(AJ38:AJ66),1)</f>
        <v>0</v>
      </c>
      <c r="AL377" s="14" t="e">
        <f>ROUND(AVERAGE(AL38:AL66),1)</f>
        <v>#DIV/0!</v>
      </c>
      <c r="AM377" s="14"/>
      <c r="AN377" s="14"/>
      <c r="AO377" s="14" t="e">
        <f>ROUND(AVERAGE(AO38:AO66),1)</f>
        <v>#DIV/0!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9"/>
      <c r="BE377" s="19"/>
      <c r="BF377" s="19">
        <f>BF66</f>
        <v>0</v>
      </c>
      <c r="BH377" s="14"/>
      <c r="BI377" s="15"/>
      <c r="BJ377" s="15" t="e">
        <f>ROUND(AVERAGE(BJ38:BJ66),2)</f>
        <v>#DIV/0!</v>
      </c>
      <c r="BK377" s="15" t="e">
        <f>ROUND(AVERAGE(BK38:BK66),2)</f>
        <v>#DIV/0!</v>
      </c>
      <c r="BL377" s="1"/>
      <c r="BM377" s="3"/>
      <c r="BO377" s="14" t="e">
        <f>ROUND(AVERAGE(BO38:BO66),1)</f>
        <v>#DIV/0!</v>
      </c>
      <c r="BP377" s="15">
        <f>ROUND(AVERAGE(BP38:BP66),2)</f>
        <v>0.26</v>
      </c>
      <c r="BQ377" s="15">
        <f>ROUND(AVERAGE(BQ38:BQ66),2)</f>
        <v>0.37</v>
      </c>
      <c r="BR377" s="14">
        <f>ROUND(MIN(BO38:BO66),1)</f>
        <v>0</v>
      </c>
      <c r="BS377" s="14">
        <f>SUM(BS38:BS66)</f>
        <v>31.5</v>
      </c>
      <c r="BT377" s="15">
        <f>ROUND(MAX(BQ38:BQ66),2)</f>
        <v>0.93</v>
      </c>
    </row>
    <row r="378" spans="1:133" x14ac:dyDescent="0.2">
      <c r="A378" s="3"/>
      <c r="B378" s="3" t="s">
        <v>94</v>
      </c>
      <c r="C378" s="15" t="e">
        <f>ROUND(AVERAGE(C67:C97),2)</f>
        <v>#DIV/0!</v>
      </c>
      <c r="D378" s="15" t="e">
        <f>ROUND(AVERAGE(D67:D97),2)</f>
        <v>#DIV/0!</v>
      </c>
      <c r="E378" s="14">
        <f>ROUND(AVERAGE(E67:E97),1)</f>
        <v>-4.5999999999999996</v>
      </c>
      <c r="F378" s="14" t="e">
        <f>ROUND(AVERAGE(F67:F97),1)</f>
        <v>#DIV/0!</v>
      </c>
      <c r="G378" s="14" t="e">
        <f t="shared" ref="G378:I378" si="224">ROUND(AVERAGE(G67:G97),1)</f>
        <v>#DIV/0!</v>
      </c>
      <c r="H378" s="14" t="e">
        <f t="shared" si="224"/>
        <v>#DIV/0!</v>
      </c>
      <c r="I378" s="14" t="e">
        <f t="shared" si="224"/>
        <v>#DIV/0!</v>
      </c>
      <c r="J378" s="14"/>
      <c r="K378" s="14"/>
      <c r="L378" s="14" t="e">
        <f t="shared" ref="L378:N378" si="225">ROUND(AVERAGE(L67:L97),1)</f>
        <v>#DIV/0!</v>
      </c>
      <c r="M378" s="14" t="e">
        <f t="shared" si="225"/>
        <v>#DIV/0!</v>
      </c>
      <c r="N378" s="14" t="e">
        <f t="shared" si="225"/>
        <v>#DIV/0!</v>
      </c>
      <c r="O378" s="14"/>
      <c r="P378" s="14" t="e">
        <f t="shared" ref="P378" si="226">ROUND(AVERAGE(P67:P97),1)</f>
        <v>#DIV/0!</v>
      </c>
      <c r="Q378" s="14">
        <f>SUM(Q67:Q97)</f>
        <v>0</v>
      </c>
      <c r="R378" s="14">
        <f>ROUND(AVERAGE(R67:R97),1)</f>
        <v>1.2</v>
      </c>
      <c r="S378" s="14">
        <f>ROUND(MAX(R67:R97),1)</f>
        <v>12.3</v>
      </c>
      <c r="T378" s="14"/>
      <c r="U378" s="14"/>
      <c r="V378" s="14" t="e">
        <f>ROUND(AVERAGE(V67:V97),1)</f>
        <v>#DIV/0!</v>
      </c>
      <c r="W378" s="14">
        <f>ROUND(MAX(V67:V97),1)</f>
        <v>0</v>
      </c>
      <c r="X378" s="14" t="e">
        <f>ROUND(AVERAGE(X67:X97),1)</f>
        <v>#DIV/0!</v>
      </c>
      <c r="Y378" s="14"/>
      <c r="Z378" s="14"/>
      <c r="AA378" s="14" t="e">
        <f>ROUND(AVERAGE(AA67:AA97),1)</f>
        <v>#DIV/0!</v>
      </c>
      <c r="AB378" s="14"/>
      <c r="AC378" s="14"/>
      <c r="AD378" s="14" t="e">
        <f>ROUND(AVERAGE(AD67:AD97),1)</f>
        <v>#DIV/0!</v>
      </c>
      <c r="AE378" s="14">
        <f>ROUND(MAX(AD67:AD97),1)</f>
        <v>0</v>
      </c>
      <c r="AF378" s="14">
        <f>ROUND(AVERAGE(AF67:AF97),1)</f>
        <v>-10.8</v>
      </c>
      <c r="AG378" s="14">
        <f>ROUND(MIN(AF67:AF97),1)</f>
        <v>-22.6</v>
      </c>
      <c r="AH378" s="14" t="e">
        <f>ROUND(AVERAGE(AH67:AH97),1)</f>
        <v>#DIV/0!</v>
      </c>
      <c r="AI378" s="14">
        <f>ROUND(MIN(AH67:AH97),1)</f>
        <v>0</v>
      </c>
      <c r="AJ378" s="14" t="e">
        <f>ROUND(AVERAGE(AJ67:AJ97),1)</f>
        <v>#DIV/0!</v>
      </c>
      <c r="AK378" s="14">
        <f>ROUND(MIN(AJ67:AJ97),1)</f>
        <v>0</v>
      </c>
      <c r="AL378" s="14" t="e">
        <f>ROUND(AVERAGE(AL67:AL97),1)</f>
        <v>#DIV/0!</v>
      </c>
      <c r="AM378" s="14"/>
      <c r="AN378" s="14"/>
      <c r="AO378" s="14" t="e">
        <f>ROUND(AVERAGE(AO67:AO97),1)</f>
        <v>#DIV/0!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9"/>
      <c r="BE378" s="19"/>
      <c r="BF378" s="19">
        <f>BF97</f>
        <v>0</v>
      </c>
      <c r="BH378" s="14"/>
      <c r="BI378" s="15"/>
      <c r="BJ378" s="15" t="e">
        <f>ROUND(AVERAGE(BJ67:BJ97),2)</f>
        <v>#DIV/0!</v>
      </c>
      <c r="BK378" s="15" t="e">
        <f>ROUND(AVERAGE(BK67:BK97),2)</f>
        <v>#DIV/0!</v>
      </c>
      <c r="BL378" s="1"/>
      <c r="BM378" s="3"/>
      <c r="BO378" s="14" t="e">
        <f>ROUND(AVERAGE(BO67:BO97),1)</f>
        <v>#DIV/0!</v>
      </c>
      <c r="BP378" s="15">
        <f>ROUND(AVERAGE(BP67:BP97),2)</f>
        <v>0.28999999999999998</v>
      </c>
      <c r="BQ378" s="15">
        <f>ROUND(AVERAGE(BQ67:BQ97),2)</f>
        <v>0.4</v>
      </c>
      <c r="BR378" s="14">
        <f>ROUND(MIN(BO67:BO97),1)</f>
        <v>0</v>
      </c>
      <c r="BS378" s="14">
        <f>SUM(BS67:BS97)</f>
        <v>0</v>
      </c>
      <c r="BT378" s="15">
        <f>ROUND(MAX(BQ67:BQ97),2)</f>
        <v>0.98</v>
      </c>
    </row>
    <row r="379" spans="1:133" x14ac:dyDescent="0.2">
      <c r="A379" s="3"/>
      <c r="B379" s="3" t="s">
        <v>95</v>
      </c>
      <c r="C379" s="15" t="e">
        <f>ROUND(AVERAGE(C98:C127),2)</f>
        <v>#DIV/0!</v>
      </c>
      <c r="D379" s="15" t="e">
        <f>ROUND(AVERAGE(D98:D127),2)</f>
        <v>#DIV/0!</v>
      </c>
      <c r="E379" s="14">
        <f>ROUND(AVERAGE(E98:E127),1)</f>
        <v>0.6</v>
      </c>
      <c r="F379" s="14" t="e">
        <f>ROUND(AVERAGE(F98:F127),1)</f>
        <v>#DIV/0!</v>
      </c>
      <c r="G379" s="14" t="e">
        <f t="shared" ref="G379:I379" si="227">ROUND(AVERAGE(G98:G127),1)</f>
        <v>#DIV/0!</v>
      </c>
      <c r="H379" s="14" t="e">
        <f t="shared" si="227"/>
        <v>#DIV/0!</v>
      </c>
      <c r="I379" s="14" t="e">
        <f t="shared" si="227"/>
        <v>#DIV/0!</v>
      </c>
      <c r="J379" s="14"/>
      <c r="K379" s="14"/>
      <c r="L379" s="14" t="e">
        <f t="shared" ref="L379:N379" si="228">ROUND(AVERAGE(L98:L127),1)</f>
        <v>#DIV/0!</v>
      </c>
      <c r="M379" s="14" t="e">
        <f t="shared" si="228"/>
        <v>#DIV/0!</v>
      </c>
      <c r="N379" s="14" t="e">
        <f t="shared" si="228"/>
        <v>#DIV/0!</v>
      </c>
      <c r="O379" s="14"/>
      <c r="P379" s="14" t="e">
        <f t="shared" ref="P379" si="229">ROUND(AVERAGE(P98:P127),1)</f>
        <v>#DIV/0!</v>
      </c>
      <c r="Q379" s="14">
        <f>SUM(Q98:Q127)</f>
        <v>0</v>
      </c>
      <c r="R379" s="14">
        <f>ROUND(AVERAGE(R98:R127),1)</f>
        <v>6.1</v>
      </c>
      <c r="S379" s="14">
        <f>ROUND(MAX(R98:R127),1)</f>
        <v>15.5</v>
      </c>
      <c r="T379" s="14"/>
      <c r="U379" s="14"/>
      <c r="V379" s="14" t="e">
        <f>ROUND(AVERAGE(V98:V127),1)</f>
        <v>#DIV/0!</v>
      </c>
      <c r="W379" s="14">
        <f>ROUND(MAX(V98:V127),1)</f>
        <v>0</v>
      </c>
      <c r="X379" s="14" t="e">
        <f>ROUND(AVERAGE(X98:X127),1)</f>
        <v>#DIV/0!</v>
      </c>
      <c r="Y379" s="14"/>
      <c r="Z379" s="14"/>
      <c r="AA379" s="14" t="e">
        <f>ROUND(AVERAGE(AA98:AA127),1)</f>
        <v>#DIV/0!</v>
      </c>
      <c r="AB379" s="14"/>
      <c r="AC379" s="14"/>
      <c r="AD379" s="14" t="e">
        <f>ROUND(AVERAGE(AD98:AD127),1)</f>
        <v>#DIV/0!</v>
      </c>
      <c r="AE379" s="14">
        <f>ROUND(MAX(AD98:AD127),1)</f>
        <v>0</v>
      </c>
      <c r="AF379" s="14">
        <f>ROUND(AVERAGE(AF98:AF127),1)</f>
        <v>-5</v>
      </c>
      <c r="AG379" s="14">
        <f>ROUND(MIN(AF98:AF127),1)</f>
        <v>-15.8</v>
      </c>
      <c r="AH379" s="14" t="e">
        <f>ROUND(AVERAGE(AH98:AH127),1)</f>
        <v>#DIV/0!</v>
      </c>
      <c r="AI379" s="14">
        <f>ROUND(MIN(AH98:AH127),1)</f>
        <v>0</v>
      </c>
      <c r="AJ379" s="14" t="e">
        <f>ROUND(AVERAGE(AJ98:AJ127),1)</f>
        <v>#DIV/0!</v>
      </c>
      <c r="AK379" s="14">
        <f>ROUND(MIN(AJ98:AJ127),1)</f>
        <v>0</v>
      </c>
      <c r="AL379" s="14" t="e">
        <f>ROUND(AVERAGE(AL98:AL127),1)</f>
        <v>#DIV/0!</v>
      </c>
      <c r="AM379" s="14"/>
      <c r="AN379" s="14"/>
      <c r="AO379" s="14" t="e">
        <f>ROUND(AVERAGE(AO98:AO127),1)</f>
        <v>#DIV/0!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9"/>
      <c r="BE379" s="19"/>
      <c r="BF379" s="19">
        <f>BF127</f>
        <v>0</v>
      </c>
      <c r="BH379" s="14"/>
      <c r="BI379" s="15"/>
      <c r="BJ379" s="15" t="e">
        <f>ROUND(AVERAGE(BJ98:BJ127),2)</f>
        <v>#DIV/0!</v>
      </c>
      <c r="BK379" s="15" t="e">
        <f>ROUND(AVERAGE(BK98:BK127),2)</f>
        <v>#DIV/0!</v>
      </c>
      <c r="BL379" s="1"/>
      <c r="BM379" s="3"/>
      <c r="BO379" s="14" t="e">
        <f>ROUND(AVERAGE(BO98:BO127),1)</f>
        <v>#DIV/0!</v>
      </c>
      <c r="BP379" s="15">
        <f>ROUND(AVERAGE(BP98:BP127),2)</f>
        <v>0.44</v>
      </c>
      <c r="BQ379" s="15">
        <f>ROUND(AVERAGE(BQ98:BQ127),2)</f>
        <v>0.53</v>
      </c>
      <c r="BR379" s="14">
        <f>ROUND(MIN(BO98:BO127),1)</f>
        <v>0</v>
      </c>
      <c r="BS379" s="14">
        <f>SUM(BS98:BS127)</f>
        <v>0</v>
      </c>
      <c r="BT379" s="15">
        <f>ROUND(MAX(BQ98:BQ127),2)</f>
        <v>1.18</v>
      </c>
    </row>
    <row r="380" spans="1:133" x14ac:dyDescent="0.2">
      <c r="A380" s="3"/>
      <c r="B380" s="3" t="s">
        <v>96</v>
      </c>
      <c r="C380" s="15" t="e">
        <f>ROUND(AVERAGE(C128:C158),2)</f>
        <v>#DIV/0!</v>
      </c>
      <c r="D380" s="15" t="e">
        <f>ROUND(AVERAGE(D128:D158),2)</f>
        <v>#DIV/0!</v>
      </c>
      <c r="E380" s="14">
        <f>ROUND(AVERAGE(E128:E158),1)</f>
        <v>2.5</v>
      </c>
      <c r="F380" s="14" t="e">
        <f>ROUND(AVERAGE(F128:F158),1)</f>
        <v>#DIV/0!</v>
      </c>
      <c r="G380" s="14" t="e">
        <f t="shared" ref="G380:I380" si="230">ROUND(AVERAGE(G128:G158),1)</f>
        <v>#DIV/0!</v>
      </c>
      <c r="H380" s="14" t="e">
        <f t="shared" si="230"/>
        <v>#DIV/0!</v>
      </c>
      <c r="I380" s="14" t="e">
        <f t="shared" si="230"/>
        <v>#DIV/0!</v>
      </c>
      <c r="J380" s="14"/>
      <c r="K380" s="14"/>
      <c r="L380" s="14" t="e">
        <f t="shared" ref="L380:N380" si="231">ROUND(AVERAGE(L128:L158),1)</f>
        <v>#DIV/0!</v>
      </c>
      <c r="M380" s="14" t="e">
        <f t="shared" si="231"/>
        <v>#DIV/0!</v>
      </c>
      <c r="N380" s="14" t="e">
        <f t="shared" si="231"/>
        <v>#DIV/0!</v>
      </c>
      <c r="O380" s="14"/>
      <c r="P380" s="14" t="e">
        <f t="shared" ref="P380" si="232">ROUND(AVERAGE(P128:P158),1)</f>
        <v>#DIV/0!</v>
      </c>
      <c r="Q380" s="14">
        <f>SUM(Q128:Q158)</f>
        <v>0</v>
      </c>
      <c r="R380" s="14">
        <f>ROUND(AVERAGE(R128:R158),1)</f>
        <v>7.3</v>
      </c>
      <c r="S380" s="14">
        <f>ROUND(MAX(R128:R158),1)</f>
        <v>16.3</v>
      </c>
      <c r="T380" s="14"/>
      <c r="U380" s="14"/>
      <c r="V380" s="14" t="e">
        <f>ROUND(AVERAGE(V128:V158),1)</f>
        <v>#DIV/0!</v>
      </c>
      <c r="W380" s="14">
        <f>ROUND(MAX(V128:V158),1)</f>
        <v>0</v>
      </c>
      <c r="X380" s="14" t="e">
        <f>ROUND(AVERAGE(X128:X158),1)</f>
        <v>#DIV/0!</v>
      </c>
      <c r="Y380" s="14"/>
      <c r="Z380" s="14"/>
      <c r="AA380" s="14" t="e">
        <f>ROUND(AVERAGE(AA128:AA158),1)</f>
        <v>#DIV/0!</v>
      </c>
      <c r="AB380" s="14"/>
      <c r="AC380" s="14"/>
      <c r="AD380" s="14" t="e">
        <f>ROUND(AVERAGE(AD128:AD158),1)</f>
        <v>#DIV/0!</v>
      </c>
      <c r="AE380" s="14">
        <f>ROUND(MAX(AD128:AD158),1)</f>
        <v>0</v>
      </c>
      <c r="AF380" s="14">
        <f>ROUND(AVERAGE(AF128:AF158),1)</f>
        <v>-2.8</v>
      </c>
      <c r="AG380" s="14">
        <f>ROUND(MIN(AF128:AF158),1)</f>
        <v>-11.5</v>
      </c>
      <c r="AH380" s="14" t="e">
        <f>ROUND(AVERAGE(AH128:AH158),1)</f>
        <v>#DIV/0!</v>
      </c>
      <c r="AI380" s="14">
        <f>ROUND(MIN(AH128:AH158),1)</f>
        <v>0</v>
      </c>
      <c r="AJ380" s="14" t="e">
        <f>ROUND(AVERAGE(AJ128:AJ158),1)</f>
        <v>#DIV/0!</v>
      </c>
      <c r="AK380" s="14">
        <f>ROUND(MIN(AJ128:AJ158),1)</f>
        <v>0</v>
      </c>
      <c r="AL380" s="14" t="e">
        <f>ROUND(AVERAGE(AL128:AL158),1)</f>
        <v>#DIV/0!</v>
      </c>
      <c r="AM380" s="14"/>
      <c r="AN380" s="14"/>
      <c r="AO380" s="14" t="e">
        <f>ROUND(AVERAGE(AO128:AO158),1)</f>
        <v>#DIV/0!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9"/>
      <c r="BE380" s="19"/>
      <c r="BF380" s="19">
        <f>BF158</f>
        <v>0</v>
      </c>
      <c r="BH380" s="14"/>
      <c r="BI380" s="15"/>
      <c r="BJ380" s="15" t="e">
        <f>ROUND(AVERAGE(BJ128:BJ158),2)</f>
        <v>#DIV/0!</v>
      </c>
      <c r="BK380" s="15" t="e">
        <f>ROUND(AVERAGE(BK128:BK158),2)</f>
        <v>#DIV/0!</v>
      </c>
      <c r="BL380" s="1"/>
      <c r="BM380" s="3"/>
      <c r="BO380" s="14">
        <f>ROUND(AVERAGE(BO128:BO158),1)</f>
        <v>55.9</v>
      </c>
      <c r="BP380" s="15">
        <f>ROUND(AVERAGE(BP128:BP158),2)</f>
        <v>0.54</v>
      </c>
      <c r="BQ380" s="15">
        <f>ROUND(AVERAGE(BQ128:BQ158),2)</f>
        <v>0.51</v>
      </c>
      <c r="BR380" s="14">
        <f>ROUND(MIN(BO128:BO158),1)</f>
        <v>30</v>
      </c>
      <c r="BS380" s="14">
        <f>SUM(BS128:BS158)</f>
        <v>106.19999999999999</v>
      </c>
      <c r="BT380" s="15">
        <f>ROUND(MAX(BQ128:BQ158),2)</f>
        <v>1.3</v>
      </c>
    </row>
    <row r="381" spans="1:133" x14ac:dyDescent="0.2">
      <c r="A381" s="3"/>
      <c r="B381" s="3" t="s">
        <v>97</v>
      </c>
      <c r="C381" s="15">
        <f>ROUND(AVERAGE(C159:C188),2)</f>
        <v>18.12</v>
      </c>
      <c r="D381" s="15">
        <f>ROUND(AVERAGE(D159:D188),2)</f>
        <v>33.54</v>
      </c>
      <c r="E381" s="14">
        <f>ROUND(AVERAGE(E159:E188),1)</f>
        <v>7.5</v>
      </c>
      <c r="F381" s="14">
        <f>ROUND(AVERAGE(F159:F188),1)</f>
        <v>82.8</v>
      </c>
      <c r="G381" s="14">
        <f t="shared" ref="G381:I381" si="233">ROUND(AVERAGE(G159:G188),1)</f>
        <v>7</v>
      </c>
      <c r="H381" s="14">
        <f t="shared" si="233"/>
        <v>6.7</v>
      </c>
      <c r="I381" s="14">
        <f t="shared" si="233"/>
        <v>8</v>
      </c>
      <c r="J381" s="14"/>
      <c r="K381" s="14"/>
      <c r="L381" s="14">
        <f t="shared" ref="L381:N381" si="234">ROUND(AVERAGE(L159:L188),1)</f>
        <v>8.4</v>
      </c>
      <c r="M381" s="14">
        <f t="shared" si="234"/>
        <v>7.3</v>
      </c>
      <c r="N381" s="14">
        <f t="shared" si="234"/>
        <v>6.2</v>
      </c>
      <c r="O381" s="14"/>
      <c r="P381" s="14">
        <f t="shared" ref="P381" si="235">ROUND(AVERAGE(P159:P188),1)</f>
        <v>1.9</v>
      </c>
      <c r="Q381" s="14">
        <f>SUM(Q159:Q188)</f>
        <v>52</v>
      </c>
      <c r="R381" s="14">
        <f>ROUND(AVERAGE(R159:R188),1)</f>
        <v>13.4</v>
      </c>
      <c r="S381" s="14">
        <f>ROUND(MAX(R159:R188),1)</f>
        <v>18.899999999999999</v>
      </c>
      <c r="T381" s="14"/>
      <c r="U381" s="14"/>
      <c r="V381" s="14">
        <f>ROUND(AVERAGE(V159:V188),1)</f>
        <v>14.1</v>
      </c>
      <c r="W381" s="14">
        <f>ROUND(MAX(V159:V188),1)</f>
        <v>18.899999999999999</v>
      </c>
      <c r="X381" s="14">
        <f>ROUND(AVERAGE(X159:X188),1)</f>
        <v>19.7</v>
      </c>
      <c r="Y381" s="14"/>
      <c r="Z381" s="14"/>
      <c r="AA381" s="14">
        <f>ROUND(AVERAGE(AA159:AA188),1)</f>
        <v>11.3</v>
      </c>
      <c r="AB381" s="14"/>
      <c r="AC381" s="14"/>
      <c r="AD381" s="14">
        <f>ROUND(AVERAGE(AD159:AD188),1)</f>
        <v>4.9000000000000004</v>
      </c>
      <c r="AE381" s="14">
        <f>ROUND(MAX(AD159:AD188),1)</f>
        <v>6.8</v>
      </c>
      <c r="AF381" s="14">
        <f>ROUND(AVERAGE(AF159:AF188),1)</f>
        <v>1.1000000000000001</v>
      </c>
      <c r="AG381" s="14">
        <f>ROUND(MIN(AF159:AF188),1)</f>
        <v>-2.9</v>
      </c>
      <c r="AH381" s="14">
        <f>ROUND(AVERAGE(AH159:AH188),1)</f>
        <v>51.5</v>
      </c>
      <c r="AI381" s="14">
        <f>ROUND(MIN(AH159:AH188),1)</f>
        <v>23.1</v>
      </c>
      <c r="AJ381" s="14">
        <f>ROUND(AVERAGE(AJ159:AJ188),1)</f>
        <v>0.3</v>
      </c>
      <c r="AK381" s="14">
        <f>ROUND(MIN(AJ159:AJ188),1)</f>
        <v>-2.9</v>
      </c>
      <c r="AL381" s="14">
        <f>ROUND(AVERAGE(AL159:AL188),1)</f>
        <v>0</v>
      </c>
      <c r="AM381" s="14"/>
      <c r="AN381" s="14"/>
      <c r="AO381" s="14">
        <f>ROUND(AVERAGE(AO159:AO188),1)</f>
        <v>6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9"/>
      <c r="BE381" s="19"/>
      <c r="BF381" s="19"/>
      <c r="BH381" s="14"/>
      <c r="BI381" s="15"/>
      <c r="BJ381" s="15">
        <f>ROUND(AVERAGE(BJ159:BJ188),2)</f>
        <v>18.12</v>
      </c>
      <c r="BK381" s="15">
        <f>ROUND(AVERAGE(BK159:BK188),2)</f>
        <v>35.200000000000003</v>
      </c>
      <c r="BL381" s="1"/>
      <c r="BM381" s="3"/>
      <c r="BO381" s="14">
        <f>ROUND(AVERAGE(BO159:BO188),1)</f>
        <v>44.7</v>
      </c>
      <c r="BP381" s="15">
        <f>ROUND(AVERAGE(BP159:BP188),2)</f>
        <v>0.65</v>
      </c>
      <c r="BQ381" s="15">
        <f>ROUND(AVERAGE(BQ159:BQ188),2)</f>
        <v>0.91</v>
      </c>
      <c r="BR381" s="14">
        <f>ROUND(MIN(BO159:BO188),1)</f>
        <v>22.4</v>
      </c>
      <c r="BS381" s="14">
        <f>SUM(BS159:BS188)</f>
        <v>56.69999985694885</v>
      </c>
      <c r="BT381" s="15">
        <f>ROUND(MAX(BQ159:BQ188),2)</f>
        <v>1.53</v>
      </c>
    </row>
    <row r="382" spans="1:133" x14ac:dyDescent="0.2">
      <c r="A382" s="3"/>
      <c r="B382" s="3" t="s">
        <v>98</v>
      </c>
      <c r="C382" s="15">
        <f>ROUND(AVERAGE(C189:C219),2)</f>
        <v>26.27</v>
      </c>
      <c r="D382" s="15">
        <f>ROUND(AVERAGE(D189:D219),2)</f>
        <v>49.95</v>
      </c>
      <c r="E382" s="14">
        <f>ROUND(AVERAGE(E189:E219),1)</f>
        <v>12.1</v>
      </c>
      <c r="F382" s="14">
        <f>ROUND(AVERAGE(F189:F219),1)</f>
        <v>64.900000000000006</v>
      </c>
      <c r="G382" s="14">
        <f t="shared" ref="G382:I382" si="236">ROUND(AVERAGE(G189:G219),1)</f>
        <v>12.4</v>
      </c>
      <c r="H382" s="14">
        <f t="shared" si="236"/>
        <v>11.9</v>
      </c>
      <c r="I382" s="14">
        <f t="shared" si="236"/>
        <v>12.8</v>
      </c>
      <c r="J382" s="14"/>
      <c r="K382" s="14"/>
      <c r="L382" s="14">
        <f t="shared" ref="L382:N382" si="237">ROUND(AVERAGE(L189:L219),1)</f>
        <v>11.2</v>
      </c>
      <c r="M382" s="14">
        <f t="shared" si="237"/>
        <v>9.6</v>
      </c>
      <c r="N382" s="14">
        <f t="shared" si="237"/>
        <v>7.8</v>
      </c>
      <c r="O382" s="14"/>
      <c r="P382" s="14">
        <f t="shared" ref="P382" si="238">ROUND(AVERAGE(P189:P219),1)</f>
        <v>2.2000000000000002</v>
      </c>
      <c r="Q382" s="14">
        <f>SUM(Q189:Q219)</f>
        <v>29</v>
      </c>
      <c r="R382" s="14">
        <f>ROUND(AVERAGE(R189:R219),1)</f>
        <v>19.3</v>
      </c>
      <c r="S382" s="14">
        <f>ROUND(MAX(R189:R219),1)</f>
        <v>26.8</v>
      </c>
      <c r="T382" s="14"/>
      <c r="U382" s="14"/>
      <c r="V382" s="14">
        <f>ROUND(AVERAGE(V189:V219),1)</f>
        <v>20.399999999999999</v>
      </c>
      <c r="W382" s="14">
        <f>ROUND(MAX(V189:V219),1)</f>
        <v>25.1</v>
      </c>
      <c r="X382" s="14">
        <f>ROUND(AVERAGE(X189:X219),1)</f>
        <v>28.2</v>
      </c>
      <c r="Y382" s="14"/>
      <c r="Z382" s="14"/>
      <c r="AA382" s="14">
        <f>ROUND(AVERAGE(AA189:AA219),1)</f>
        <v>14.2</v>
      </c>
      <c r="AB382" s="14"/>
      <c r="AC382" s="14"/>
      <c r="AD382" s="14">
        <f>ROUND(AVERAGE(AD189:AD219),1)</f>
        <v>5.7</v>
      </c>
      <c r="AE382" s="14">
        <f>ROUND(MAX(AD189:AD219),1)</f>
        <v>6.7</v>
      </c>
      <c r="AF382" s="14">
        <f>ROUND(AVERAGE(AF189:AF219),1)</f>
        <v>4.2</v>
      </c>
      <c r="AG382" s="14">
        <f>ROUND(MIN(AF189:AF219),1)</f>
        <v>-0.6</v>
      </c>
      <c r="AH382" s="14">
        <f>ROUND(AVERAGE(AH189:AH219),1)</f>
        <v>33.5</v>
      </c>
      <c r="AI382" s="14">
        <f>ROUND(MIN(AH189:AH219),1)</f>
        <v>23.7</v>
      </c>
      <c r="AJ382" s="14">
        <f>ROUND(AVERAGE(AJ189:AJ219),1)</f>
        <v>2.7</v>
      </c>
      <c r="AK382" s="14">
        <f>ROUND(MIN(AJ189:AJ219),1)</f>
        <v>-1.1000000000000001</v>
      </c>
      <c r="AL382" s="14">
        <f>ROUND(AVERAGE(AL189:AL219),1)</f>
        <v>1.4</v>
      </c>
      <c r="AM382" s="14"/>
      <c r="AN382" s="14"/>
      <c r="AO382" s="14">
        <f>ROUND(AVERAGE(AO189:AO219),1)</f>
        <v>8.5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9"/>
      <c r="BE382" s="19"/>
      <c r="BF382" s="19"/>
      <c r="BH382" s="14"/>
      <c r="BI382" s="15"/>
      <c r="BJ382" s="15">
        <f>ROUND(AVERAGE(BJ189:BJ219),2)</f>
        <v>26.27</v>
      </c>
      <c r="BK382" s="15">
        <f>ROUND(AVERAGE(BK189:BK219),2)</f>
        <v>52.42</v>
      </c>
      <c r="BL382" s="1"/>
      <c r="BM382" s="3"/>
      <c r="BO382" s="14">
        <f>ROUND(AVERAGE(BO189:BO219),1)</f>
        <v>32</v>
      </c>
      <c r="BP382" s="15">
        <f>ROUND(AVERAGE(BP189:BP219),2)</f>
        <v>0.8</v>
      </c>
      <c r="BQ382" s="15">
        <f>ROUND(AVERAGE(BQ189:BQ219),2)</f>
        <v>1.52</v>
      </c>
      <c r="BR382" s="14">
        <f>ROUND(MIN(BO189:BO219),1)</f>
        <v>22.9</v>
      </c>
      <c r="BS382" s="14">
        <f>SUM(BS189:BS219)</f>
        <v>44.699999999999996</v>
      </c>
      <c r="BT382" s="15">
        <f>ROUND(MAX(BQ189:BQ219),2)</f>
        <v>2.33</v>
      </c>
    </row>
    <row r="383" spans="1:133" x14ac:dyDescent="0.2">
      <c r="A383" s="3"/>
      <c r="B383" s="3" t="s">
        <v>99</v>
      </c>
      <c r="C383" s="15">
        <f>ROUND(AVERAGE(C220:C250),2)</f>
        <v>19.43</v>
      </c>
      <c r="D383" s="15">
        <f>ROUND(AVERAGE(D220:D250),2)</f>
        <v>38.020000000000003</v>
      </c>
      <c r="E383" s="14">
        <f>ROUND(AVERAGE(E220:E250),1)</f>
        <v>10.9</v>
      </c>
      <c r="F383" s="14">
        <f>ROUND(AVERAGE(F220:F250),1)</f>
        <v>74</v>
      </c>
      <c r="G383" s="14">
        <f t="shared" ref="G383:I383" si="239">ROUND(AVERAGE(G220:G250),1)</f>
        <v>10.7</v>
      </c>
      <c r="H383" s="14">
        <f t="shared" si="239"/>
        <v>10.4</v>
      </c>
      <c r="I383" s="14">
        <f t="shared" si="239"/>
        <v>9.8000000000000007</v>
      </c>
      <c r="J383" s="14"/>
      <c r="K383" s="14"/>
      <c r="L383" s="14">
        <f t="shared" ref="L383:N383" si="240">ROUND(AVERAGE(L220:L250),1)</f>
        <v>10.1</v>
      </c>
      <c r="M383" s="14">
        <f t="shared" si="240"/>
        <v>9.5</v>
      </c>
      <c r="N383" s="14">
        <f t="shared" si="240"/>
        <v>8.6999999999999993</v>
      </c>
      <c r="O383" s="14"/>
      <c r="P383" s="14">
        <f t="shared" ref="P383" si="241">ROUND(AVERAGE(P220:P250),1)</f>
        <v>2.1</v>
      </c>
      <c r="Q383" s="14">
        <f>SUM(Q220:Q250)</f>
        <v>73</v>
      </c>
      <c r="R383" s="14">
        <f>ROUND(AVERAGE(R220:R250),1)</f>
        <v>18.5</v>
      </c>
      <c r="S383" s="14">
        <f>ROUND(MAX(R220:R250),1)</f>
        <v>27.8</v>
      </c>
      <c r="T383" s="14"/>
      <c r="U383" s="14"/>
      <c r="V383" s="14">
        <f>ROUND(AVERAGE(V220:V250),1)</f>
        <v>19.399999999999999</v>
      </c>
      <c r="W383" s="14">
        <f>ROUND(MAX(V220:V250),1)</f>
        <v>28</v>
      </c>
      <c r="X383" s="14">
        <f>ROUND(AVERAGE(X220:X250),1)</f>
        <v>23.4</v>
      </c>
      <c r="Y383" s="14"/>
      <c r="Z383" s="14"/>
      <c r="AA383" s="14">
        <f>ROUND(AVERAGE(AA220:AA250),1)</f>
        <v>12.6</v>
      </c>
      <c r="AB383" s="14"/>
      <c r="AC383" s="14"/>
      <c r="AD383" s="14">
        <f>ROUND(AVERAGE(AD220:AD250),1)</f>
        <v>5.0999999999999996</v>
      </c>
      <c r="AE383" s="14">
        <f>ROUND(MAX(AD220:AD250),1)</f>
        <v>9.5</v>
      </c>
      <c r="AF383" s="14">
        <f>ROUND(AVERAGE(AF220:AF250),1)</f>
        <v>3</v>
      </c>
      <c r="AG383" s="14">
        <f>ROUND(MIN(AF220:AF250),1)</f>
        <v>-1.8</v>
      </c>
      <c r="AH383" s="14">
        <f>ROUND(AVERAGE(AH220:AH250),1)</f>
        <v>42.6</v>
      </c>
      <c r="AI383" s="14">
        <f>ROUND(MIN(AH220:AH250),1)</f>
        <v>12.4</v>
      </c>
      <c r="AJ383" s="14">
        <f>ROUND(AVERAGE(AJ220:AJ250),1)</f>
        <v>2.2999999999999998</v>
      </c>
      <c r="AK383" s="14">
        <f>ROUND(MIN(AJ220:AJ250),1)</f>
        <v>-2.4</v>
      </c>
      <c r="AL383" s="14">
        <f>ROUND(AVERAGE(AL220:AL250),1)</f>
        <v>-0.3</v>
      </c>
      <c r="AM383" s="14"/>
      <c r="AN383" s="14"/>
      <c r="AO383" s="14">
        <f>ROUND(AVERAGE(AO220:AO250),1)</f>
        <v>7.9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9"/>
      <c r="BE383" s="19"/>
      <c r="BF383" s="19"/>
      <c r="BH383" s="14"/>
      <c r="BI383" s="15"/>
      <c r="BJ383" s="15">
        <f>ROUND(AVERAGE(BJ220:BJ250),2)</f>
        <v>19.43</v>
      </c>
      <c r="BK383" s="15">
        <f>ROUND(AVERAGE(BK220:BK250),2)</f>
        <v>39.9</v>
      </c>
      <c r="BL383" s="1"/>
      <c r="BM383" s="3"/>
      <c r="BO383" s="14">
        <f>ROUND(AVERAGE(BO220:BO250),1)</f>
        <v>40.299999999999997</v>
      </c>
      <c r="BP383" s="15">
        <f>ROUND(AVERAGE(BP220:BP250),2)</f>
        <v>0.76</v>
      </c>
      <c r="BQ383" s="15">
        <f>ROUND(AVERAGE(BQ220:BQ250),2)</f>
        <v>1.51</v>
      </c>
      <c r="BR383" s="14">
        <f>ROUND(MIN(BO220:BO250),1)</f>
        <v>12.4</v>
      </c>
      <c r="BS383" s="14">
        <f>SUM(BS220:BS250)</f>
        <v>51.8</v>
      </c>
      <c r="BT383" s="15">
        <f>ROUND(MAX(BQ220:BQ250),2)</f>
        <v>3.19</v>
      </c>
    </row>
    <row r="384" spans="1:133" x14ac:dyDescent="0.2">
      <c r="A384" s="3"/>
      <c r="B384" s="3" t="s">
        <v>100</v>
      </c>
      <c r="C384" s="15">
        <f>ROUND(AVERAGE(C251:C280),2)</f>
        <v>13.77</v>
      </c>
      <c r="D384" s="15">
        <f>ROUND(AVERAGE(D251:D280),2)</f>
        <v>27.67</v>
      </c>
      <c r="E384" s="14">
        <f>ROUND(AVERAGE(E251:E280),1)</f>
        <v>5.2</v>
      </c>
      <c r="F384" s="14">
        <f>ROUND(AVERAGE(F251:F280),1)</f>
        <v>87.7</v>
      </c>
      <c r="G384" s="14">
        <f t="shared" ref="G384:I384" si="242">ROUND(AVERAGE(G251:G280),1)</f>
        <v>5.8</v>
      </c>
      <c r="H384" s="14">
        <f t="shared" si="242"/>
        <v>5.7</v>
      </c>
      <c r="I384" s="14">
        <f t="shared" si="242"/>
        <v>5.6</v>
      </c>
      <c r="J384" s="14"/>
      <c r="K384" s="14"/>
      <c r="L384" s="14">
        <f t="shared" ref="L384:N384" si="243">ROUND(AVERAGE(L251:L280),1)</f>
        <v>8.6</v>
      </c>
      <c r="M384" s="14">
        <f t="shared" si="243"/>
        <v>9.1</v>
      </c>
      <c r="N384" s="14">
        <f t="shared" si="243"/>
        <v>8.8000000000000007</v>
      </c>
      <c r="O384" s="14"/>
      <c r="P384" s="14">
        <f t="shared" ref="P384" si="244">ROUND(AVERAGE(P251:P280),1)</f>
        <v>2.2000000000000002</v>
      </c>
      <c r="Q384" s="14">
        <f>SUM(Q251:Q280)</f>
        <v>0</v>
      </c>
      <c r="R384" s="14">
        <f>ROUND(AVERAGE(R251:R280),1)</f>
        <v>10.9</v>
      </c>
      <c r="S384" s="14">
        <f>ROUND(MAX(R251:R280),1)</f>
        <v>22.9</v>
      </c>
      <c r="T384" s="14"/>
      <c r="U384" s="14"/>
      <c r="V384" s="14">
        <f>ROUND(AVERAGE(V251:V280),1)</f>
        <v>11.5</v>
      </c>
      <c r="W384" s="14">
        <f>ROUND(MAX(V251:V280),1)</f>
        <v>11.5</v>
      </c>
      <c r="X384" s="14">
        <f>ROUND(AVERAGE(X251:X280),1)</f>
        <v>15.6</v>
      </c>
      <c r="Y384" s="14"/>
      <c r="Z384" s="14"/>
      <c r="AA384" s="14">
        <f>ROUND(AVERAGE(AA251:AA280),1)</f>
        <v>10.5</v>
      </c>
      <c r="AB384" s="14"/>
      <c r="AC384" s="14"/>
      <c r="AD384" s="14">
        <f>ROUND(AVERAGE(AD251:AD280),1)</f>
        <v>6.8</v>
      </c>
      <c r="AE384" s="14">
        <f>ROUND(MAX(AD251:AD280),1)</f>
        <v>6.8</v>
      </c>
      <c r="AF384" s="14">
        <f>ROUND(AVERAGE(AF251:AF280),1)</f>
        <v>0.3</v>
      </c>
      <c r="AG384" s="14">
        <f>ROUND(MIN(AF251:AF280),1)</f>
        <v>-4</v>
      </c>
      <c r="AH384" s="14">
        <f>ROUND(AVERAGE(AH251:AH280),1)</f>
        <v>56.5</v>
      </c>
      <c r="AI384" s="14">
        <f>ROUND(MIN(AH251:AH280),1)</f>
        <v>56.5</v>
      </c>
      <c r="AJ384" s="14">
        <f>ROUND(AVERAGE(AJ251:AJ280),1)</f>
        <v>0.6</v>
      </c>
      <c r="AK384" s="14">
        <f>ROUND(MIN(AJ251:AJ280),1)</f>
        <v>0.6</v>
      </c>
      <c r="AL384" s="14">
        <f>ROUND(AVERAGE(AL251:AL280),1)</f>
        <v>-1.8</v>
      </c>
      <c r="AM384" s="14"/>
      <c r="AN384" s="14"/>
      <c r="AO384" s="14">
        <f>ROUND(AVERAGE(AO251:AO280),1)</f>
        <v>7.4</v>
      </c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9"/>
      <c r="BE384" s="19"/>
      <c r="BF384" s="19">
        <f>BF280</f>
        <v>0</v>
      </c>
      <c r="BH384" s="14"/>
      <c r="BI384" s="15"/>
      <c r="BJ384" s="15">
        <f>ROUND(AVERAGE(BJ251:BJ280),2)</f>
        <v>13.77</v>
      </c>
      <c r="BK384" s="15">
        <f>ROUND(AVERAGE(BK251:BK280),2)</f>
        <v>29.04</v>
      </c>
      <c r="BL384" s="1"/>
      <c r="BM384" s="3"/>
      <c r="BO384" s="14">
        <f>ROUND(AVERAGE(BO251:BO280),1)</f>
        <v>57.1</v>
      </c>
      <c r="BP384" s="15">
        <f>ROUND(AVERAGE(BP251:BP280),2)</f>
        <v>0.73</v>
      </c>
      <c r="BQ384" s="15">
        <f>ROUND(AVERAGE(BQ251:BQ280),2)</f>
        <v>0.63</v>
      </c>
      <c r="BR384" s="14">
        <f>ROUND(MIN(BO251:BO280),1)</f>
        <v>27</v>
      </c>
      <c r="BS384" s="14">
        <f>SUM(BS251:BS280)</f>
        <v>134.70000000000002</v>
      </c>
      <c r="BT384" s="15">
        <f>ROUND(MAX(BQ251:BQ280),2)</f>
        <v>2.04</v>
      </c>
    </row>
    <row r="385" spans="1:112" x14ac:dyDescent="0.2">
      <c r="A385" s="3"/>
      <c r="B385" s="3" t="s">
        <v>101</v>
      </c>
      <c r="C385" s="15" t="e">
        <f>ROUND(AVERAGE(C281:C311),2)</f>
        <v>#DIV/0!</v>
      </c>
      <c r="D385" s="15" t="e">
        <f>ROUND(AVERAGE(D281:D311),2)</f>
        <v>#DIV/0!</v>
      </c>
      <c r="E385" s="14">
        <f>ROUND(AVERAGE(E281:E311),1)</f>
        <v>0.4</v>
      </c>
      <c r="F385" s="14" t="e">
        <f>ROUND(AVERAGE(F281:F311),1)</f>
        <v>#DIV/0!</v>
      </c>
      <c r="G385" s="14" t="e">
        <f t="shared" ref="G385:I385" si="245">ROUND(AVERAGE(G281:G311),1)</f>
        <v>#DIV/0!</v>
      </c>
      <c r="H385" s="14" t="e">
        <f t="shared" si="245"/>
        <v>#DIV/0!</v>
      </c>
      <c r="I385" s="14" t="e">
        <f t="shared" si="245"/>
        <v>#DIV/0!</v>
      </c>
      <c r="J385" s="14"/>
      <c r="K385" s="14"/>
      <c r="L385" s="14" t="e">
        <f t="shared" ref="L385:N385" si="246">ROUND(AVERAGE(L281:L311),1)</f>
        <v>#DIV/0!</v>
      </c>
      <c r="M385" s="14" t="e">
        <f t="shared" si="246"/>
        <v>#DIV/0!</v>
      </c>
      <c r="N385" s="14" t="e">
        <f t="shared" si="246"/>
        <v>#DIV/0!</v>
      </c>
      <c r="O385" s="14"/>
      <c r="P385" s="14" t="e">
        <f t="shared" ref="P385" si="247">ROUND(AVERAGE(P281:P311),1)</f>
        <v>#DIV/0!</v>
      </c>
      <c r="Q385" s="14">
        <f>SUM(Q281:Q311)</f>
        <v>0</v>
      </c>
      <c r="R385" s="14">
        <f>ROUND(AVERAGE(R281:R311),1)</f>
        <v>4.2</v>
      </c>
      <c r="S385" s="21">
        <f>ROUND(MAX(R281:R311),1)</f>
        <v>13.8</v>
      </c>
      <c r="T385" s="14"/>
      <c r="U385" s="21"/>
      <c r="V385" s="14" t="e">
        <f>ROUND(AVERAGE(V281:V311),1)</f>
        <v>#DIV/0!</v>
      </c>
      <c r="W385" s="21">
        <f>ROUND(MAX(V281:V311),1)</f>
        <v>0</v>
      </c>
      <c r="X385" s="14" t="e">
        <f>ROUND(AVERAGE(X281:X311),1)</f>
        <v>#DIV/0!</v>
      </c>
      <c r="Y385" s="14"/>
      <c r="Z385" s="21"/>
      <c r="AA385" s="14" t="e">
        <f>ROUND(AVERAGE(AA281:AA311),1)</f>
        <v>#DIV/0!</v>
      </c>
      <c r="AB385" s="21"/>
      <c r="AC385" s="14"/>
      <c r="AD385" s="14" t="e">
        <f>ROUND(AVERAGE(AD281:AD311),1)</f>
        <v>#DIV/0!</v>
      </c>
      <c r="AE385" s="21">
        <f>ROUND(MAX(AD281:AD311),1)</f>
        <v>0</v>
      </c>
      <c r="AF385" s="14">
        <f>ROUND(AVERAGE(AF281:AF311),1)</f>
        <v>-3.2</v>
      </c>
      <c r="AG385" s="21">
        <f>ROUND(MIN(AF281:AF311),1)</f>
        <v>-9.5</v>
      </c>
      <c r="AH385" s="14" t="e">
        <f>ROUND(AVERAGE(AH281:AH311),1)</f>
        <v>#DIV/0!</v>
      </c>
      <c r="AI385" s="21">
        <f>ROUND(MIN(AH281:AH311),1)</f>
        <v>0</v>
      </c>
      <c r="AJ385" s="14" t="e">
        <f>ROUND(AVERAGE(AJ281:AJ311),1)</f>
        <v>#DIV/0!</v>
      </c>
      <c r="AK385" s="21">
        <f>ROUND(MIN(AJ281:AJ311),1)</f>
        <v>0</v>
      </c>
      <c r="AL385" s="14" t="e">
        <f>ROUND(AVERAGE(AL281:AL311),1)</f>
        <v>#DIV/0!</v>
      </c>
      <c r="AM385" s="14"/>
      <c r="AN385" s="21"/>
      <c r="AO385" s="14" t="e">
        <f>ROUND(AVERAGE(AO281:AO311),1)</f>
        <v>#DIV/0!</v>
      </c>
      <c r="AP385" s="21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9"/>
      <c r="BE385" s="19"/>
      <c r="BF385" s="19">
        <f>BF311</f>
        <v>0</v>
      </c>
      <c r="BH385" s="14"/>
      <c r="BI385" s="15"/>
      <c r="BJ385" s="15" t="e">
        <f>ROUND(AVERAGE(BJ281:BJ311),2)</f>
        <v>#DIV/0!</v>
      </c>
      <c r="BK385" s="15" t="e">
        <f>ROUND(AVERAGE(BK281:BK311),2)</f>
        <v>#DIV/0!</v>
      </c>
      <c r="BL385" s="23"/>
      <c r="BM385" s="3"/>
      <c r="BN385" s="23"/>
      <c r="BO385" s="14">
        <f>ROUND(AVERAGE(BO281:BO311),1)</f>
        <v>67</v>
      </c>
      <c r="BP385" s="15">
        <f>ROUND(AVERAGE(BP281:BP311),2)</f>
        <v>0.56000000000000005</v>
      </c>
      <c r="BQ385" s="15">
        <f>ROUND(AVERAGE(BQ281:BQ311),2)</f>
        <v>0.32</v>
      </c>
      <c r="BR385" s="21">
        <f>ROUND(MIN(BO281:BO311),1)</f>
        <v>29</v>
      </c>
      <c r="BS385" s="14">
        <f>SUM(BS281:BS311)</f>
        <v>94.699999999999974</v>
      </c>
      <c r="BT385" s="22">
        <f>ROUND(MAX(BQ281:BQ311),2)</f>
        <v>0.89</v>
      </c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3"/>
      <c r="DF385" s="3"/>
      <c r="DG385" s="3"/>
      <c r="DH385" s="3"/>
    </row>
    <row r="386" spans="1:112" x14ac:dyDescent="0.2">
      <c r="A386" s="3"/>
      <c r="B386" s="3" t="s">
        <v>102</v>
      </c>
      <c r="C386" s="24">
        <f>ROUND(AVERAGE(C312:C341),2)</f>
        <v>0.77</v>
      </c>
      <c r="D386" s="24">
        <f>ROUND(AVERAGE(D312:D341),2)</f>
        <v>1.6</v>
      </c>
      <c r="E386" s="25">
        <f>ROUND(AVERAGE(E312:E341),1)</f>
        <v>-5.9</v>
      </c>
      <c r="F386" s="25">
        <f>ROUND(AVERAGE(F312:F341),1)</f>
        <v>99.2</v>
      </c>
      <c r="G386" s="25">
        <f t="shared" ref="G386:I386" si="248">ROUND(AVERAGE(G312:G341),1)</f>
        <v>-9.9</v>
      </c>
      <c r="H386" s="25">
        <f t="shared" si="248"/>
        <v>-10.199999999999999</v>
      </c>
      <c r="I386" s="25">
        <f t="shared" si="248"/>
        <v>-1</v>
      </c>
      <c r="J386" s="25"/>
      <c r="K386" s="25"/>
      <c r="L386" s="25">
        <f t="shared" ref="L386:N386" si="249">ROUND(AVERAGE(L312:L341),1)</f>
        <v>0.5</v>
      </c>
      <c r="M386" s="25">
        <f t="shared" si="249"/>
        <v>1</v>
      </c>
      <c r="N386" s="25">
        <f t="shared" si="249"/>
        <v>1.8</v>
      </c>
      <c r="O386" s="25"/>
      <c r="P386" s="25">
        <f t="shared" ref="P386" si="250">ROUND(AVERAGE(P312:P341),1)</f>
        <v>1.1000000000000001</v>
      </c>
      <c r="Q386" s="14">
        <f>SUM(Q312:Q341)</f>
        <v>0</v>
      </c>
      <c r="R386" s="25">
        <f>ROUND(AVERAGE(R312:R341),1)</f>
        <v>-2.1</v>
      </c>
      <c r="S386" s="14">
        <f>ROUND(MAX(R312:R341),1)</f>
        <v>8.9</v>
      </c>
      <c r="T386" s="25"/>
      <c r="U386" s="14"/>
      <c r="V386" s="25">
        <f>ROUND(AVERAGE(V312:V341),1)</f>
        <v>-5.6</v>
      </c>
      <c r="W386" s="14">
        <f>ROUND(MAX(V312:V341),1)</f>
        <v>-1</v>
      </c>
      <c r="X386" s="25">
        <f>ROUND(AVERAGE(X312:X341),1)</f>
        <v>-0.6</v>
      </c>
      <c r="Y386" s="25"/>
      <c r="Z386" s="14"/>
      <c r="AA386" s="25">
        <f>ROUND(AVERAGE(AA312:AA341),1)</f>
        <v>0.5</v>
      </c>
      <c r="AB386" s="14"/>
      <c r="AC386" s="25"/>
      <c r="AD386" s="25">
        <f>ROUND(AVERAGE(AD312:AD341),1)</f>
        <v>3.1</v>
      </c>
      <c r="AE386" s="14">
        <f>ROUND(MAX(AD312:AD341),1)</f>
        <v>5.7</v>
      </c>
      <c r="AF386" s="25">
        <f>ROUND(AVERAGE(AF312:AF341),1)</f>
        <v>-9.6999999999999993</v>
      </c>
      <c r="AG386" s="14">
        <f>ROUND(MIN(AF312:AF341),1)</f>
        <v>-28</v>
      </c>
      <c r="AH386" s="25">
        <f>ROUND(AVERAGE(AH312:AH341),1)</f>
        <v>93.9</v>
      </c>
      <c r="AI386" s="14">
        <f>ROUND(MIN(AH312:AH341),1)</f>
        <v>82.9</v>
      </c>
      <c r="AJ386" s="25">
        <f>ROUND(AVERAGE(AJ312:AJ341),1)</f>
        <v>-13.8</v>
      </c>
      <c r="AK386" s="14">
        <f>ROUND(MIN(AJ312:AJ341),1)</f>
        <v>-28.7</v>
      </c>
      <c r="AL386" s="25">
        <f>ROUND(AVERAGE(AL312:AL341),1)</f>
        <v>-1.5</v>
      </c>
      <c r="AM386" s="25"/>
      <c r="AN386" s="14"/>
      <c r="AO386" s="25">
        <f>ROUND(AVERAGE(AO312:AO341),1)</f>
        <v>0.4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9"/>
      <c r="BE386" s="19"/>
      <c r="BF386" s="19">
        <f>BF341</f>
        <v>0</v>
      </c>
      <c r="BH386" s="14"/>
      <c r="BI386" s="24"/>
      <c r="BJ386" s="24">
        <f>ROUND(AVERAGE(BJ312:BJ341),2)</f>
        <v>0.77</v>
      </c>
      <c r="BK386" s="24">
        <f>ROUND(AVERAGE(BK312:BK341),2)</f>
        <v>1.67</v>
      </c>
      <c r="BL386" s="23"/>
      <c r="BM386" s="3"/>
      <c r="BN386" s="23"/>
      <c r="BO386" s="25">
        <f>ROUND(AVERAGE(BO312:BO341),1)</f>
        <v>83.7</v>
      </c>
      <c r="BP386" s="24">
        <f>ROUND(AVERAGE(BP312:BP341),2)</f>
        <v>0.41</v>
      </c>
      <c r="BQ386" s="24">
        <f>ROUND(AVERAGE(BQ312:BQ341),2)</f>
        <v>0.15</v>
      </c>
      <c r="BR386" s="14">
        <f>ROUND(MIN(BO312:BO341),1)</f>
        <v>62</v>
      </c>
      <c r="BS386" s="46">
        <f>SUM(BS312:BS341)</f>
        <v>108.45</v>
      </c>
      <c r="BT386" s="15">
        <f>ROUND(MAX(BQ312:BQ341),2)</f>
        <v>0.55000000000000004</v>
      </c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3"/>
      <c r="DF386" s="3"/>
      <c r="DG386" s="3"/>
      <c r="DH386" s="3"/>
    </row>
    <row r="387" spans="1:112" x14ac:dyDescent="0.2">
      <c r="A387" s="3"/>
      <c r="B387" s="3" t="s">
        <v>103</v>
      </c>
      <c r="C387" s="15">
        <f>ROUND(AVERAGE(C342:C372),2)</f>
        <v>0.8</v>
      </c>
      <c r="D387" s="15">
        <f>ROUND(AVERAGE(D342:D372),2)</f>
        <v>1.42</v>
      </c>
      <c r="E387" s="14">
        <f>ROUND(AVERAGE(E342:E372),1)</f>
        <v>-11.1</v>
      </c>
      <c r="F387" s="14">
        <f>ROUND(AVERAGE(F342:F372),1)</f>
        <v>95.5</v>
      </c>
      <c r="G387" s="14">
        <f t="shared" ref="G387:I387" si="251">ROUND(AVERAGE(G342:G372),1)</f>
        <v>-11.8</v>
      </c>
      <c r="H387" s="14">
        <f t="shared" si="251"/>
        <v>-12.3</v>
      </c>
      <c r="I387" s="14">
        <f t="shared" si="251"/>
        <v>-0.4</v>
      </c>
      <c r="J387" s="14"/>
      <c r="K387" s="14"/>
      <c r="L387" s="14">
        <f t="shared" ref="L387:N387" si="252">ROUND(AVERAGE(L342:L372),1)</f>
        <v>0.2</v>
      </c>
      <c r="M387" s="14">
        <f t="shared" si="252"/>
        <v>0.7</v>
      </c>
      <c r="N387" s="14">
        <f t="shared" si="252"/>
        <v>1.3</v>
      </c>
      <c r="O387" s="14"/>
      <c r="P387" s="14">
        <f t="shared" ref="P387" si="253">ROUND(AVERAGE(P342:P372),1)</f>
        <v>1.6</v>
      </c>
      <c r="Q387" s="14">
        <f>SUM(Q342:Q372)</f>
        <v>0</v>
      </c>
      <c r="R387" s="14">
        <f>ROUND(AVERAGE(R342:R372),1)</f>
        <v>-6.9</v>
      </c>
      <c r="S387" s="14">
        <f>ROUND(MAX(R342:R372),1)</f>
        <v>3.9</v>
      </c>
      <c r="T387" s="14"/>
      <c r="U387" s="14"/>
      <c r="V387" s="14">
        <f>ROUND(AVERAGE(V342:V372),1)</f>
        <v>-6.7</v>
      </c>
      <c r="W387" s="14">
        <f>ROUND(MAX(V342:V372),1)</f>
        <v>4.9000000000000004</v>
      </c>
      <c r="X387" s="14">
        <f>ROUND(AVERAGE(X342:X372),1)</f>
        <v>-0.3</v>
      </c>
      <c r="Y387" s="14"/>
      <c r="Z387" s="14"/>
      <c r="AA387" s="14">
        <f>ROUND(AVERAGE(AA342:AA372),1)</f>
        <v>0.3</v>
      </c>
      <c r="AB387" s="14"/>
      <c r="AC387" s="14"/>
      <c r="AD387" s="14">
        <f>ROUND(AVERAGE(AD342:AD372),1)</f>
        <v>4.4000000000000004</v>
      </c>
      <c r="AE387" s="14">
        <f>ROUND(MAX(AD342:AD372),1)</f>
        <v>7.1</v>
      </c>
      <c r="AF387" s="14">
        <f>ROUND(AVERAGE(AF342:AF372),1)</f>
        <v>-16.100000000000001</v>
      </c>
      <c r="AG387" s="14">
        <f>ROUND(MIN(AF342:AF372),1)</f>
        <v>-35</v>
      </c>
      <c r="AH387" s="14">
        <f>ROUND(AVERAGE(AH342:AH372),1)</f>
        <v>85.1</v>
      </c>
      <c r="AI387" s="14">
        <f>ROUND(MIN(AH342:AH372),1)</f>
        <v>54.4</v>
      </c>
      <c r="AJ387" s="14">
        <f>ROUND(AVERAGE(AJ342:AJ372),1)</f>
        <v>-17.399999999999999</v>
      </c>
      <c r="AK387" s="14">
        <f>ROUND(MIN(AJ342:AJ372),1)</f>
        <v>-36.799999999999997</v>
      </c>
      <c r="AL387" s="14">
        <f>ROUND(AVERAGE(AL342:AL372),1)</f>
        <v>-0.7</v>
      </c>
      <c r="AM387" s="14"/>
      <c r="AN387" s="14"/>
      <c r="AO387" s="14">
        <f>ROUND(AVERAGE(AO342:AO372),1)</f>
        <v>0.2</v>
      </c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9"/>
      <c r="BE387" s="19"/>
      <c r="BF387" s="19">
        <f>BF372</f>
        <v>0</v>
      </c>
      <c r="BH387" s="14"/>
      <c r="BI387" s="15"/>
      <c r="BJ387" s="15">
        <f>ROUND(AVERAGE(BJ342:BJ372),2)</f>
        <v>0.8</v>
      </c>
      <c r="BK387" s="15">
        <f>ROUND(AVERAGE(BK342:BK372),2)</f>
        <v>1.49</v>
      </c>
      <c r="BL387" s="23"/>
      <c r="BM387" s="3"/>
      <c r="BN387" s="23"/>
      <c r="BO387" s="14">
        <f>ROUND(AVERAGE(BO342:BO372),1)</f>
        <v>79.599999999999994</v>
      </c>
      <c r="BP387" s="15">
        <f>ROUND(AVERAGE(BP342:BP372),2)</f>
        <v>0.31</v>
      </c>
      <c r="BQ387" s="15">
        <f>ROUND(AVERAGE(BQ342:BQ372),2)</f>
        <v>0.08</v>
      </c>
      <c r="BR387" s="14">
        <f>ROUND(MIN(BO342:BO372),1)</f>
        <v>51.2</v>
      </c>
      <c r="BS387" s="46">
        <f>SUM(BS342:BS372)</f>
        <v>147.15</v>
      </c>
      <c r="BT387" s="15">
        <f>ROUND(MAX(BQ342:BQ372),2)</f>
        <v>0.31</v>
      </c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3"/>
      <c r="DF387" s="3"/>
      <c r="DG387" s="3"/>
      <c r="DH387" s="3"/>
    </row>
    <row r="388" spans="1:112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19"/>
      <c r="BF388" s="3"/>
      <c r="BG388" s="3"/>
      <c r="BH388" s="3"/>
      <c r="BI388" s="3"/>
      <c r="BJ388" s="3"/>
      <c r="BK388" s="3"/>
      <c r="BL388" s="1"/>
      <c r="BM388" s="3"/>
      <c r="BP388" s="3"/>
      <c r="BQ388" s="3"/>
    </row>
    <row r="389" spans="1:112" x14ac:dyDescent="0.2">
      <c r="A389" s="19"/>
      <c r="B389" s="19" t="s">
        <v>104</v>
      </c>
      <c r="C389" s="19">
        <f t="shared" ref="C389:I389" si="254">COUNT(C7:C37)</f>
        <v>0</v>
      </c>
      <c r="D389" s="19">
        <f t="shared" si="254"/>
        <v>0</v>
      </c>
      <c r="E389" s="19">
        <f t="shared" si="254"/>
        <v>31</v>
      </c>
      <c r="F389" s="19">
        <f t="shared" si="254"/>
        <v>0</v>
      </c>
      <c r="G389" s="19">
        <f t="shared" si="254"/>
        <v>0</v>
      </c>
      <c r="H389" s="19">
        <f t="shared" si="254"/>
        <v>0</v>
      </c>
      <c r="I389" s="19">
        <f t="shared" si="254"/>
        <v>0</v>
      </c>
      <c r="J389" s="19"/>
      <c r="K389" s="19"/>
      <c r="L389" s="19">
        <f>COUNT(L7:L37)</f>
        <v>0</v>
      </c>
      <c r="M389" s="19">
        <f>COUNT(M7:M37)</f>
        <v>0</v>
      </c>
      <c r="N389" s="19">
        <f>COUNT(N7:N37)</f>
        <v>0</v>
      </c>
      <c r="O389" s="19"/>
      <c r="P389" s="19">
        <f t="shared" ref="P389:X389" si="255">COUNT(P7:P37)</f>
        <v>0</v>
      </c>
      <c r="Q389" s="19">
        <f t="shared" si="255"/>
        <v>0</v>
      </c>
      <c r="R389" s="19">
        <f t="shared" si="255"/>
        <v>31</v>
      </c>
      <c r="S389" s="19">
        <f t="shared" si="255"/>
        <v>0</v>
      </c>
      <c r="T389" s="19">
        <f t="shared" si="255"/>
        <v>0</v>
      </c>
      <c r="U389" s="19">
        <f t="shared" si="255"/>
        <v>0</v>
      </c>
      <c r="V389" s="19">
        <f t="shared" si="255"/>
        <v>0</v>
      </c>
      <c r="W389" s="19">
        <f t="shared" si="255"/>
        <v>0</v>
      </c>
      <c r="X389" s="19">
        <f t="shared" si="255"/>
        <v>0</v>
      </c>
      <c r="Y389" s="19"/>
      <c r="Z389" s="19"/>
      <c r="AA389" s="19">
        <f>COUNT(AA7:AA37)</f>
        <v>0</v>
      </c>
      <c r="AB389" s="19"/>
      <c r="AC389" s="19"/>
      <c r="AD389" s="19">
        <f t="shared" ref="AD389:AL389" si="256">COUNT(AD7:AD37)</f>
        <v>0</v>
      </c>
      <c r="AE389" s="19">
        <f t="shared" si="256"/>
        <v>0</v>
      </c>
      <c r="AF389" s="19">
        <f t="shared" si="256"/>
        <v>31</v>
      </c>
      <c r="AG389" s="19">
        <f t="shared" si="256"/>
        <v>0</v>
      </c>
      <c r="AH389" s="19">
        <f t="shared" si="256"/>
        <v>0</v>
      </c>
      <c r="AI389" s="19">
        <f t="shared" si="256"/>
        <v>0</v>
      </c>
      <c r="AJ389" s="19">
        <f t="shared" si="256"/>
        <v>0</v>
      </c>
      <c r="AK389" s="19">
        <f t="shared" si="256"/>
        <v>0</v>
      </c>
      <c r="AL389" s="19">
        <f t="shared" si="256"/>
        <v>0</v>
      </c>
      <c r="AM389" s="19"/>
      <c r="AN389" s="19"/>
      <c r="AO389" s="19">
        <f>COUNT(AO7:AO37)</f>
        <v>0</v>
      </c>
      <c r="AP389" s="19">
        <f>COUNT(AP7:AP37)</f>
        <v>0</v>
      </c>
      <c r="AQ389" s="19">
        <f>COUNT(AQ7:AQ37)</f>
        <v>0</v>
      </c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>
        <f>COUNT(BF7:BF37)</f>
        <v>0</v>
      </c>
      <c r="BG389" s="19"/>
      <c r="BH389" s="19"/>
      <c r="BI389" s="19"/>
      <c r="BJ389" s="19">
        <f>COUNT(BJ7:BJ37)</f>
        <v>0</v>
      </c>
      <c r="BK389" s="19">
        <f>COUNT(BK7:BK37)</f>
        <v>0</v>
      </c>
      <c r="BL389" s="1"/>
      <c r="BM389" s="3"/>
      <c r="BO389" s="19">
        <f>COUNT(BO7:BO37)</f>
        <v>0</v>
      </c>
      <c r="BP389" s="19"/>
      <c r="BQ389" s="19">
        <f>COUNT(BQ7:BQ37)</f>
        <v>31</v>
      </c>
      <c r="BS389" s="19">
        <f>COUNT(BS7:BS37)</f>
        <v>31</v>
      </c>
    </row>
    <row r="390" spans="1:112" x14ac:dyDescent="0.2">
      <c r="A390" s="19"/>
      <c r="B390" s="19" t="s">
        <v>105</v>
      </c>
      <c r="C390" s="19">
        <f t="shared" ref="C390:I390" si="257">COUNT(C38:C66)</f>
        <v>0</v>
      </c>
      <c r="D390" s="19">
        <f t="shared" si="257"/>
        <v>0</v>
      </c>
      <c r="E390" s="19">
        <f t="shared" si="257"/>
        <v>29</v>
      </c>
      <c r="F390" s="19">
        <f t="shared" si="257"/>
        <v>0</v>
      </c>
      <c r="G390" s="19">
        <f t="shared" si="257"/>
        <v>0</v>
      </c>
      <c r="H390" s="19">
        <f t="shared" si="257"/>
        <v>0</v>
      </c>
      <c r="I390" s="19">
        <f t="shared" si="257"/>
        <v>0</v>
      </c>
      <c r="J390" s="19"/>
      <c r="K390" s="19"/>
      <c r="L390" s="19">
        <f>COUNT(L38:L66)</f>
        <v>0</v>
      </c>
      <c r="M390" s="19">
        <f>COUNT(M38:M66)</f>
        <v>0</v>
      </c>
      <c r="N390" s="19">
        <f>COUNT(N38:N66)</f>
        <v>0</v>
      </c>
      <c r="O390" s="19"/>
      <c r="P390" s="19">
        <f t="shared" ref="P390:X390" si="258">COUNT(P38:P66)</f>
        <v>0</v>
      </c>
      <c r="Q390" s="19">
        <f t="shared" si="258"/>
        <v>0</v>
      </c>
      <c r="R390" s="19">
        <f t="shared" si="258"/>
        <v>29</v>
      </c>
      <c r="S390" s="19">
        <f t="shared" si="258"/>
        <v>0</v>
      </c>
      <c r="T390" s="19">
        <f t="shared" si="258"/>
        <v>0</v>
      </c>
      <c r="U390" s="19">
        <f t="shared" si="258"/>
        <v>0</v>
      </c>
      <c r="V390" s="19">
        <f t="shared" si="258"/>
        <v>0</v>
      </c>
      <c r="W390" s="19">
        <f t="shared" si="258"/>
        <v>0</v>
      </c>
      <c r="X390" s="19">
        <f t="shared" si="258"/>
        <v>0</v>
      </c>
      <c r="Y390" s="19"/>
      <c r="Z390" s="19"/>
      <c r="AA390" s="19">
        <f>COUNT(AA38:AA66)</f>
        <v>0</v>
      </c>
      <c r="AB390" s="19"/>
      <c r="AC390" s="19"/>
      <c r="AD390" s="19">
        <f t="shared" ref="AD390:AL390" si="259">COUNT(AD38:AD66)</f>
        <v>0</v>
      </c>
      <c r="AE390" s="19">
        <f t="shared" si="259"/>
        <v>0</v>
      </c>
      <c r="AF390" s="19">
        <f t="shared" si="259"/>
        <v>29</v>
      </c>
      <c r="AG390" s="19">
        <f t="shared" si="259"/>
        <v>0</v>
      </c>
      <c r="AH390" s="19">
        <f t="shared" si="259"/>
        <v>0</v>
      </c>
      <c r="AI390" s="19">
        <f t="shared" si="259"/>
        <v>0</v>
      </c>
      <c r="AJ390" s="19">
        <f t="shared" si="259"/>
        <v>0</v>
      </c>
      <c r="AK390" s="19">
        <f t="shared" si="259"/>
        <v>0</v>
      </c>
      <c r="AL390" s="19">
        <f t="shared" si="259"/>
        <v>0</v>
      </c>
      <c r="AM390" s="19"/>
      <c r="AN390" s="19"/>
      <c r="AO390" s="19">
        <f>COUNT(AO38:AO66)</f>
        <v>0</v>
      </c>
      <c r="AP390" s="19">
        <f>COUNT(AP38:AP66)</f>
        <v>0</v>
      </c>
      <c r="AQ390" s="19">
        <f>COUNT(AQ38:AQ66)</f>
        <v>0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>
        <f>COUNT(BF38:BF66)</f>
        <v>0</v>
      </c>
      <c r="BG390" s="19"/>
      <c r="BH390" s="19"/>
      <c r="BI390" s="19"/>
      <c r="BJ390" s="19">
        <f>COUNT(BJ38:BJ66)</f>
        <v>0</v>
      </c>
      <c r="BK390" s="19">
        <f>COUNT(BK38:BK66)</f>
        <v>0</v>
      </c>
      <c r="BL390" s="1"/>
      <c r="BM390" s="3"/>
      <c r="BO390" s="19">
        <f>COUNT(BO38:BO66)</f>
        <v>0</v>
      </c>
      <c r="BP390" s="19"/>
      <c r="BQ390" s="19">
        <f>COUNT(BQ38:BQ66)</f>
        <v>29</v>
      </c>
      <c r="BS390" s="19">
        <f>COUNT(BS38:BS66)</f>
        <v>29</v>
      </c>
    </row>
    <row r="391" spans="1:112" x14ac:dyDescent="0.2">
      <c r="A391" s="19"/>
      <c r="B391" s="19" t="s">
        <v>106</v>
      </c>
      <c r="C391" s="19">
        <f>COUNT(C67:C97)</f>
        <v>0</v>
      </c>
      <c r="D391" s="19">
        <f>COUNT(D67:D97)</f>
        <v>0</v>
      </c>
      <c r="E391" s="19">
        <f>COUNT(E67:E97)</f>
        <v>31</v>
      </c>
      <c r="F391" s="19">
        <f>COUNT(F67:F97)</f>
        <v>0</v>
      </c>
      <c r="G391" s="19">
        <f t="shared" ref="G391:AQ391" si="260">COUNT(G67:G97)</f>
        <v>0</v>
      </c>
      <c r="H391" s="19">
        <f t="shared" si="260"/>
        <v>0</v>
      </c>
      <c r="I391" s="19">
        <f t="shared" si="260"/>
        <v>0</v>
      </c>
      <c r="J391" s="19"/>
      <c r="K391" s="19"/>
      <c r="L391" s="19">
        <f t="shared" si="260"/>
        <v>0</v>
      </c>
      <c r="M391" s="19">
        <f t="shared" si="260"/>
        <v>0</v>
      </c>
      <c r="N391" s="19">
        <f t="shared" si="260"/>
        <v>0</v>
      </c>
      <c r="O391" s="19"/>
      <c r="P391" s="19">
        <f t="shared" ref="P391" si="261">COUNT(P67:P97)</f>
        <v>0</v>
      </c>
      <c r="Q391" s="19">
        <f t="shared" si="260"/>
        <v>0</v>
      </c>
      <c r="R391" s="19">
        <f t="shared" si="260"/>
        <v>31</v>
      </c>
      <c r="S391" s="19">
        <f t="shared" si="260"/>
        <v>0</v>
      </c>
      <c r="T391" s="19">
        <f t="shared" si="260"/>
        <v>0</v>
      </c>
      <c r="U391" s="19">
        <f t="shared" si="260"/>
        <v>0</v>
      </c>
      <c r="V391" s="19">
        <f t="shared" si="260"/>
        <v>0</v>
      </c>
      <c r="W391" s="19">
        <f t="shared" si="260"/>
        <v>0</v>
      </c>
      <c r="X391" s="19">
        <f t="shared" si="260"/>
        <v>0</v>
      </c>
      <c r="Y391" s="19"/>
      <c r="Z391" s="19"/>
      <c r="AA391" s="19">
        <f t="shared" si="260"/>
        <v>0</v>
      </c>
      <c r="AB391" s="19"/>
      <c r="AC391" s="19"/>
      <c r="AD391" s="19">
        <f t="shared" si="260"/>
        <v>0</v>
      </c>
      <c r="AE391" s="19">
        <f t="shared" si="260"/>
        <v>0</v>
      </c>
      <c r="AF391" s="19">
        <f t="shared" si="260"/>
        <v>31</v>
      </c>
      <c r="AG391" s="19">
        <f t="shared" si="260"/>
        <v>0</v>
      </c>
      <c r="AH391" s="19">
        <f t="shared" si="260"/>
        <v>0</v>
      </c>
      <c r="AI391" s="19">
        <f t="shared" si="260"/>
        <v>0</v>
      </c>
      <c r="AJ391" s="19">
        <f t="shared" si="260"/>
        <v>0</v>
      </c>
      <c r="AK391" s="19">
        <f t="shared" si="260"/>
        <v>0</v>
      </c>
      <c r="AL391" s="19">
        <f t="shared" si="260"/>
        <v>0</v>
      </c>
      <c r="AM391" s="19"/>
      <c r="AN391" s="19"/>
      <c r="AO391" s="19">
        <f t="shared" si="260"/>
        <v>0</v>
      </c>
      <c r="AP391" s="19">
        <f t="shared" si="260"/>
        <v>0</v>
      </c>
      <c r="AQ391" s="19">
        <f t="shared" si="260"/>
        <v>0</v>
      </c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>
        <f t="shared" ref="BF391" si="262">COUNT(BF67:BF97)</f>
        <v>0</v>
      </c>
      <c r="BG391" s="19"/>
      <c r="BH391" s="19"/>
      <c r="BI391" s="19"/>
      <c r="BJ391" s="19">
        <f t="shared" ref="BJ391:BK391" si="263">COUNT(BJ67:BJ97)</f>
        <v>0</v>
      </c>
      <c r="BK391" s="19">
        <f t="shared" si="263"/>
        <v>0</v>
      </c>
      <c r="BL391" s="1"/>
      <c r="BM391" s="3"/>
      <c r="BO391" s="19">
        <f t="shared" ref="BO391:BS391" si="264">COUNT(BO67:BO97)</f>
        <v>0</v>
      </c>
      <c r="BP391" s="19"/>
      <c r="BQ391" s="19">
        <f t="shared" ref="BQ391" si="265">COUNT(BQ67:BQ97)</f>
        <v>31</v>
      </c>
      <c r="BS391" s="19">
        <f t="shared" si="264"/>
        <v>1</v>
      </c>
    </row>
    <row r="392" spans="1:112" x14ac:dyDescent="0.2">
      <c r="A392" s="19"/>
      <c r="B392" s="19" t="s">
        <v>95</v>
      </c>
      <c r="C392" s="19">
        <f>COUNT(C98:C127)</f>
        <v>0</v>
      </c>
      <c r="D392" s="19">
        <f>COUNT(D98:D127)</f>
        <v>0</v>
      </c>
      <c r="E392" s="19">
        <f>COUNT(E98:E127)</f>
        <v>30</v>
      </c>
      <c r="F392" s="19">
        <f>COUNT(F98:F127)</f>
        <v>0</v>
      </c>
      <c r="G392" s="19">
        <f t="shared" ref="G392:AQ392" si="266">COUNT(G98:G127)</f>
        <v>0</v>
      </c>
      <c r="H392" s="19">
        <f t="shared" si="266"/>
        <v>0</v>
      </c>
      <c r="I392" s="19">
        <f t="shared" si="266"/>
        <v>0</v>
      </c>
      <c r="J392" s="19"/>
      <c r="K392" s="19"/>
      <c r="L392" s="19">
        <f t="shared" si="266"/>
        <v>0</v>
      </c>
      <c r="M392" s="19">
        <f t="shared" si="266"/>
        <v>0</v>
      </c>
      <c r="N392" s="19">
        <f t="shared" si="266"/>
        <v>0</v>
      </c>
      <c r="O392" s="19"/>
      <c r="P392" s="19">
        <f t="shared" ref="P392" si="267">COUNT(P98:P127)</f>
        <v>0</v>
      </c>
      <c r="Q392" s="19">
        <f t="shared" si="266"/>
        <v>0</v>
      </c>
      <c r="R392" s="19">
        <f t="shared" si="266"/>
        <v>30</v>
      </c>
      <c r="S392" s="19">
        <f t="shared" si="266"/>
        <v>0</v>
      </c>
      <c r="T392" s="19">
        <f t="shared" si="266"/>
        <v>0</v>
      </c>
      <c r="U392" s="19">
        <f t="shared" si="266"/>
        <v>0</v>
      </c>
      <c r="V392" s="19">
        <f t="shared" si="266"/>
        <v>0</v>
      </c>
      <c r="W392" s="19">
        <f t="shared" si="266"/>
        <v>0</v>
      </c>
      <c r="X392" s="19">
        <f t="shared" si="266"/>
        <v>0</v>
      </c>
      <c r="Y392" s="19"/>
      <c r="Z392" s="19"/>
      <c r="AA392" s="19">
        <f t="shared" si="266"/>
        <v>0</v>
      </c>
      <c r="AB392" s="19"/>
      <c r="AC392" s="19"/>
      <c r="AD392" s="19">
        <f t="shared" si="266"/>
        <v>0</v>
      </c>
      <c r="AE392" s="19">
        <f t="shared" si="266"/>
        <v>0</v>
      </c>
      <c r="AF392" s="19">
        <f t="shared" si="266"/>
        <v>30</v>
      </c>
      <c r="AG392" s="19">
        <f t="shared" si="266"/>
        <v>0</v>
      </c>
      <c r="AH392" s="19">
        <f t="shared" si="266"/>
        <v>0</v>
      </c>
      <c r="AI392" s="19">
        <f t="shared" si="266"/>
        <v>0</v>
      </c>
      <c r="AJ392" s="19">
        <f t="shared" si="266"/>
        <v>0</v>
      </c>
      <c r="AK392" s="19">
        <f t="shared" si="266"/>
        <v>0</v>
      </c>
      <c r="AL392" s="19">
        <f t="shared" si="266"/>
        <v>0</v>
      </c>
      <c r="AM392" s="19"/>
      <c r="AN392" s="19"/>
      <c r="AO392" s="19">
        <f t="shared" si="266"/>
        <v>0</v>
      </c>
      <c r="AP392" s="19">
        <f t="shared" si="266"/>
        <v>0</v>
      </c>
      <c r="AQ392" s="19">
        <f t="shared" si="266"/>
        <v>0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>
        <f t="shared" ref="BF392" si="268">COUNT(BF98:BF127)</f>
        <v>0</v>
      </c>
      <c r="BG392" s="19"/>
      <c r="BH392" s="19"/>
      <c r="BI392" s="19"/>
      <c r="BJ392" s="19">
        <f t="shared" ref="BJ392:BK392" si="269">COUNT(BJ98:BJ127)</f>
        <v>0</v>
      </c>
      <c r="BK392" s="19">
        <f t="shared" si="269"/>
        <v>0</v>
      </c>
      <c r="BL392" s="1"/>
      <c r="BM392" s="3"/>
      <c r="BO392" s="19">
        <f t="shared" ref="BO392:BS392" si="270">COUNT(BO98:BO127)</f>
        <v>0</v>
      </c>
      <c r="BP392" s="19"/>
      <c r="BQ392" s="19">
        <f t="shared" ref="BQ392" si="271">COUNT(BQ98:BQ127)</f>
        <v>30</v>
      </c>
      <c r="BS392" s="19">
        <f t="shared" si="270"/>
        <v>0</v>
      </c>
    </row>
    <row r="393" spans="1:112" x14ac:dyDescent="0.2">
      <c r="A393" s="19"/>
      <c r="B393" s="19" t="s">
        <v>96</v>
      </c>
      <c r="C393" s="19">
        <f>COUNT(C128:C158)</f>
        <v>0</v>
      </c>
      <c r="D393" s="19">
        <f>COUNT(D128:D158)</f>
        <v>0</v>
      </c>
      <c r="E393" s="19">
        <f>COUNT(E128:E158)</f>
        <v>31</v>
      </c>
      <c r="F393" s="19">
        <f>COUNT(F128:F158)</f>
        <v>0</v>
      </c>
      <c r="G393" s="19">
        <f t="shared" ref="G393:AQ393" si="272">COUNT(G128:G158)</f>
        <v>0</v>
      </c>
      <c r="H393" s="19">
        <f t="shared" si="272"/>
        <v>0</v>
      </c>
      <c r="I393" s="19">
        <f t="shared" si="272"/>
        <v>0</v>
      </c>
      <c r="J393" s="19"/>
      <c r="K393" s="19"/>
      <c r="L393" s="19">
        <f t="shared" si="272"/>
        <v>0</v>
      </c>
      <c r="M393" s="19">
        <f t="shared" si="272"/>
        <v>0</v>
      </c>
      <c r="N393" s="19">
        <f t="shared" si="272"/>
        <v>0</v>
      </c>
      <c r="O393" s="19"/>
      <c r="P393" s="19">
        <f t="shared" ref="P393" si="273">COUNT(P128:P158)</f>
        <v>0</v>
      </c>
      <c r="Q393" s="19">
        <f t="shared" si="272"/>
        <v>0</v>
      </c>
      <c r="R393" s="19">
        <f t="shared" si="272"/>
        <v>31</v>
      </c>
      <c r="S393" s="19">
        <f t="shared" si="272"/>
        <v>0</v>
      </c>
      <c r="T393" s="19">
        <f t="shared" si="272"/>
        <v>0</v>
      </c>
      <c r="U393" s="19">
        <f t="shared" si="272"/>
        <v>0</v>
      </c>
      <c r="V393" s="19">
        <f t="shared" si="272"/>
        <v>0</v>
      </c>
      <c r="W393" s="19">
        <f t="shared" si="272"/>
        <v>0</v>
      </c>
      <c r="X393" s="19">
        <f t="shared" si="272"/>
        <v>0</v>
      </c>
      <c r="Y393" s="19"/>
      <c r="Z393" s="19"/>
      <c r="AA393" s="19">
        <f t="shared" si="272"/>
        <v>0</v>
      </c>
      <c r="AB393" s="19"/>
      <c r="AC393" s="19"/>
      <c r="AD393" s="19">
        <f t="shared" si="272"/>
        <v>0</v>
      </c>
      <c r="AE393" s="19">
        <f t="shared" si="272"/>
        <v>0</v>
      </c>
      <c r="AF393" s="19">
        <f t="shared" si="272"/>
        <v>31</v>
      </c>
      <c r="AG393" s="19">
        <f t="shared" si="272"/>
        <v>0</v>
      </c>
      <c r="AH393" s="19">
        <f t="shared" si="272"/>
        <v>0</v>
      </c>
      <c r="AI393" s="19">
        <f t="shared" si="272"/>
        <v>0</v>
      </c>
      <c r="AJ393" s="19">
        <f t="shared" si="272"/>
        <v>0</v>
      </c>
      <c r="AK393" s="19">
        <f t="shared" si="272"/>
        <v>0</v>
      </c>
      <c r="AL393" s="19">
        <f t="shared" si="272"/>
        <v>0</v>
      </c>
      <c r="AM393" s="19"/>
      <c r="AN393" s="19"/>
      <c r="AO393" s="19">
        <f t="shared" si="272"/>
        <v>0</v>
      </c>
      <c r="AP393" s="19">
        <f t="shared" si="272"/>
        <v>0</v>
      </c>
      <c r="AQ393" s="19">
        <f t="shared" si="272"/>
        <v>0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>
        <f t="shared" ref="BF393" si="274">COUNT(BF128:BF158)</f>
        <v>0</v>
      </c>
      <c r="BG393" s="19"/>
      <c r="BH393" s="19"/>
      <c r="BI393" s="19"/>
      <c r="BJ393" s="19">
        <f t="shared" ref="BJ393:BK393" si="275">COUNT(BJ128:BJ158)</f>
        <v>0</v>
      </c>
      <c r="BK393" s="19">
        <f t="shared" si="275"/>
        <v>0</v>
      </c>
      <c r="BL393" s="1"/>
      <c r="BM393" s="3"/>
      <c r="BO393" s="19">
        <f t="shared" ref="BO393:BS393" si="276">COUNT(BO128:BO158)</f>
        <v>19</v>
      </c>
      <c r="BP393" s="19"/>
      <c r="BQ393" s="19">
        <f t="shared" ref="BQ393" si="277">COUNT(BQ128:BQ158)</f>
        <v>31</v>
      </c>
      <c r="BS393" s="19">
        <f t="shared" si="276"/>
        <v>22</v>
      </c>
    </row>
    <row r="394" spans="1:112" x14ac:dyDescent="0.2">
      <c r="A394" s="19"/>
      <c r="B394" s="19" t="s">
        <v>97</v>
      </c>
      <c r="C394" s="19">
        <f>COUNT(C159:C188)</f>
        <v>17</v>
      </c>
      <c r="D394" s="19">
        <f>COUNT(D159:D188)</f>
        <v>17</v>
      </c>
      <c r="E394" s="19">
        <f>COUNT(E159:E188)</f>
        <v>30</v>
      </c>
      <c r="F394" s="19">
        <f>COUNT(F159:F188)</f>
        <v>17</v>
      </c>
      <c r="G394" s="19">
        <f t="shared" ref="G394:AQ394" si="278">COUNT(G159:G188)</f>
        <v>17</v>
      </c>
      <c r="H394" s="19">
        <f t="shared" si="278"/>
        <v>17</v>
      </c>
      <c r="I394" s="19">
        <f t="shared" si="278"/>
        <v>17</v>
      </c>
      <c r="J394" s="19"/>
      <c r="K394" s="19"/>
      <c r="L394" s="19">
        <f t="shared" si="278"/>
        <v>17</v>
      </c>
      <c r="M394" s="19">
        <f t="shared" si="278"/>
        <v>17</v>
      </c>
      <c r="N394" s="19">
        <f t="shared" si="278"/>
        <v>17</v>
      </c>
      <c r="O394" s="19"/>
      <c r="P394" s="19">
        <f t="shared" ref="P394" si="279">COUNT(P159:P188)</f>
        <v>17</v>
      </c>
      <c r="Q394" s="19">
        <f t="shared" si="278"/>
        <v>17</v>
      </c>
      <c r="R394" s="19">
        <f t="shared" si="278"/>
        <v>30</v>
      </c>
      <c r="S394" s="19">
        <f t="shared" si="278"/>
        <v>17</v>
      </c>
      <c r="T394" s="19">
        <f t="shared" si="278"/>
        <v>17</v>
      </c>
      <c r="U394" s="19">
        <f t="shared" si="278"/>
        <v>17</v>
      </c>
      <c r="V394" s="19">
        <f t="shared" si="278"/>
        <v>17</v>
      </c>
      <c r="W394" s="19">
        <f t="shared" si="278"/>
        <v>17</v>
      </c>
      <c r="X394" s="19">
        <f t="shared" si="278"/>
        <v>17</v>
      </c>
      <c r="Y394" s="19"/>
      <c r="Z394" s="19"/>
      <c r="AA394" s="19">
        <f t="shared" si="278"/>
        <v>17</v>
      </c>
      <c r="AB394" s="19"/>
      <c r="AC394" s="19"/>
      <c r="AD394" s="19">
        <f t="shared" si="278"/>
        <v>17</v>
      </c>
      <c r="AE394" s="19">
        <f t="shared" si="278"/>
        <v>17</v>
      </c>
      <c r="AF394" s="19">
        <f t="shared" si="278"/>
        <v>30</v>
      </c>
      <c r="AG394" s="19">
        <f t="shared" si="278"/>
        <v>17</v>
      </c>
      <c r="AH394" s="19">
        <f t="shared" si="278"/>
        <v>17</v>
      </c>
      <c r="AI394" s="19">
        <f t="shared" si="278"/>
        <v>17</v>
      </c>
      <c r="AJ394" s="19">
        <f t="shared" si="278"/>
        <v>17</v>
      </c>
      <c r="AK394" s="19">
        <f t="shared" si="278"/>
        <v>17</v>
      </c>
      <c r="AL394" s="19">
        <f t="shared" si="278"/>
        <v>17</v>
      </c>
      <c r="AM394" s="19"/>
      <c r="AN394" s="19"/>
      <c r="AO394" s="19">
        <f t="shared" si="278"/>
        <v>17</v>
      </c>
      <c r="AP394" s="19">
        <f t="shared" si="278"/>
        <v>17</v>
      </c>
      <c r="AQ394" s="19">
        <f t="shared" si="278"/>
        <v>17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>
        <f t="shared" ref="BF394" si="280">COUNT(BF159:BF188)</f>
        <v>0</v>
      </c>
      <c r="BG394" s="19"/>
      <c r="BH394" s="19"/>
      <c r="BI394" s="19"/>
      <c r="BJ394" s="19">
        <f t="shared" ref="BJ394:BK394" si="281">COUNT(BJ159:BJ188)</f>
        <v>17</v>
      </c>
      <c r="BK394" s="19">
        <f t="shared" si="281"/>
        <v>17</v>
      </c>
      <c r="BL394" s="1"/>
      <c r="BM394" s="3"/>
      <c r="BO394" s="19">
        <f t="shared" ref="BO394:BS394" si="282">COUNT(BO159:BO188)</f>
        <v>26</v>
      </c>
      <c r="BP394" s="19"/>
      <c r="BQ394" s="19">
        <f t="shared" ref="BQ394" si="283">COUNT(BQ159:BQ188)</f>
        <v>30</v>
      </c>
      <c r="BS394" s="19">
        <f t="shared" si="282"/>
        <v>30</v>
      </c>
    </row>
    <row r="395" spans="1:112" x14ac:dyDescent="0.2">
      <c r="A395" s="19"/>
      <c r="B395" s="19" t="s">
        <v>98</v>
      </c>
      <c r="C395" s="19">
        <f>COUNT(C189:C219)</f>
        <v>19</v>
      </c>
      <c r="D395" s="19">
        <f>COUNT(D189:D219)</f>
        <v>19</v>
      </c>
      <c r="E395" s="19">
        <f>COUNT(E189:E219)</f>
        <v>31</v>
      </c>
      <c r="F395" s="19">
        <f>COUNT(F189:F219)</f>
        <v>19</v>
      </c>
      <c r="G395" s="19">
        <f t="shared" ref="G395:AQ395" si="284">COUNT(G189:G219)</f>
        <v>19</v>
      </c>
      <c r="H395" s="19">
        <f t="shared" si="284"/>
        <v>19</v>
      </c>
      <c r="I395" s="19">
        <f t="shared" si="284"/>
        <v>19</v>
      </c>
      <c r="J395" s="19"/>
      <c r="K395" s="19"/>
      <c r="L395" s="19">
        <f t="shared" si="284"/>
        <v>19</v>
      </c>
      <c r="M395" s="19">
        <f t="shared" si="284"/>
        <v>19</v>
      </c>
      <c r="N395" s="19">
        <f t="shared" si="284"/>
        <v>19</v>
      </c>
      <c r="O395" s="19"/>
      <c r="P395" s="19">
        <f t="shared" ref="P395" si="285">COUNT(P189:P219)</f>
        <v>19</v>
      </c>
      <c r="Q395" s="19">
        <f t="shared" si="284"/>
        <v>19</v>
      </c>
      <c r="R395" s="19">
        <f t="shared" si="284"/>
        <v>31</v>
      </c>
      <c r="S395" s="19">
        <f t="shared" si="284"/>
        <v>19</v>
      </c>
      <c r="T395" s="19">
        <f t="shared" si="284"/>
        <v>19</v>
      </c>
      <c r="U395" s="19">
        <f t="shared" si="284"/>
        <v>19</v>
      </c>
      <c r="V395" s="19">
        <f t="shared" si="284"/>
        <v>19</v>
      </c>
      <c r="W395" s="19">
        <f t="shared" si="284"/>
        <v>19</v>
      </c>
      <c r="X395" s="19">
        <f t="shared" si="284"/>
        <v>19</v>
      </c>
      <c r="Y395" s="19"/>
      <c r="Z395" s="19"/>
      <c r="AA395" s="19">
        <f t="shared" si="284"/>
        <v>19</v>
      </c>
      <c r="AB395" s="19"/>
      <c r="AC395" s="19"/>
      <c r="AD395" s="19">
        <f t="shared" si="284"/>
        <v>19</v>
      </c>
      <c r="AE395" s="19">
        <f t="shared" si="284"/>
        <v>19</v>
      </c>
      <c r="AF395" s="19">
        <f t="shared" si="284"/>
        <v>31</v>
      </c>
      <c r="AG395" s="19">
        <f t="shared" si="284"/>
        <v>19</v>
      </c>
      <c r="AH395" s="19">
        <f t="shared" si="284"/>
        <v>19</v>
      </c>
      <c r="AI395" s="19">
        <f t="shared" si="284"/>
        <v>19</v>
      </c>
      <c r="AJ395" s="19">
        <f t="shared" si="284"/>
        <v>19</v>
      </c>
      <c r="AK395" s="19">
        <f t="shared" si="284"/>
        <v>19</v>
      </c>
      <c r="AL395" s="19">
        <f t="shared" si="284"/>
        <v>19</v>
      </c>
      <c r="AM395" s="19"/>
      <c r="AN395" s="19"/>
      <c r="AO395" s="19">
        <f t="shared" si="284"/>
        <v>19</v>
      </c>
      <c r="AP395" s="19">
        <f t="shared" si="284"/>
        <v>19</v>
      </c>
      <c r="AQ395" s="19">
        <f t="shared" si="284"/>
        <v>19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>
        <f t="shared" ref="BF395" si="286">COUNT(BF189:BF219)</f>
        <v>0</v>
      </c>
      <c r="BG395" s="19"/>
      <c r="BH395" s="19"/>
      <c r="BI395" s="19"/>
      <c r="BJ395" s="19">
        <f t="shared" ref="BJ395:BK395" si="287">COUNT(BJ189:BJ219)</f>
        <v>19</v>
      </c>
      <c r="BK395" s="19">
        <f t="shared" si="287"/>
        <v>19</v>
      </c>
      <c r="BL395" s="1"/>
      <c r="BM395" s="3"/>
      <c r="BO395" s="19">
        <f t="shared" ref="BO395:BS395" si="288">COUNT(BO189:BO219)</f>
        <v>19</v>
      </c>
      <c r="BP395" s="19"/>
      <c r="BQ395" s="19">
        <f t="shared" ref="BQ395" si="289">COUNT(BQ189:BQ219)</f>
        <v>31</v>
      </c>
      <c r="BS395" s="19">
        <f t="shared" si="288"/>
        <v>31</v>
      </c>
    </row>
    <row r="396" spans="1:112" x14ac:dyDescent="0.2">
      <c r="A396" s="19"/>
      <c r="B396" s="19" t="s">
        <v>99</v>
      </c>
      <c r="C396" s="19">
        <f>COUNT(C220:C250)</f>
        <v>31</v>
      </c>
      <c r="D396" s="19">
        <f>COUNT(D220:D250)</f>
        <v>31</v>
      </c>
      <c r="E396" s="19">
        <f>COUNT(E220:E250)</f>
        <v>31</v>
      </c>
      <c r="F396" s="19">
        <f>COUNT(F220:F250)</f>
        <v>31</v>
      </c>
      <c r="G396" s="19">
        <f t="shared" ref="G396:AQ396" si="290">COUNT(G220:G250)</f>
        <v>31</v>
      </c>
      <c r="H396" s="19">
        <f t="shared" si="290"/>
        <v>31</v>
      </c>
      <c r="I396" s="19">
        <f t="shared" si="290"/>
        <v>31</v>
      </c>
      <c r="J396" s="19"/>
      <c r="K396" s="19"/>
      <c r="L396" s="19">
        <f t="shared" si="290"/>
        <v>31</v>
      </c>
      <c r="M396" s="19">
        <f t="shared" si="290"/>
        <v>31</v>
      </c>
      <c r="N396" s="19">
        <f t="shared" si="290"/>
        <v>31</v>
      </c>
      <c r="O396" s="19"/>
      <c r="P396" s="19">
        <f t="shared" ref="P396" si="291">COUNT(P220:P250)</f>
        <v>31</v>
      </c>
      <c r="Q396" s="19">
        <f t="shared" si="290"/>
        <v>31</v>
      </c>
      <c r="R396" s="19">
        <f t="shared" si="290"/>
        <v>31</v>
      </c>
      <c r="S396" s="19">
        <f t="shared" si="290"/>
        <v>31</v>
      </c>
      <c r="T396" s="19">
        <f t="shared" si="290"/>
        <v>31</v>
      </c>
      <c r="U396" s="19">
        <f t="shared" si="290"/>
        <v>31</v>
      </c>
      <c r="V396" s="19">
        <f t="shared" si="290"/>
        <v>31</v>
      </c>
      <c r="W396" s="19">
        <f t="shared" si="290"/>
        <v>31</v>
      </c>
      <c r="X396" s="19">
        <f t="shared" si="290"/>
        <v>31</v>
      </c>
      <c r="Y396" s="19"/>
      <c r="Z396" s="19"/>
      <c r="AA396" s="19">
        <f t="shared" si="290"/>
        <v>31</v>
      </c>
      <c r="AB396" s="19"/>
      <c r="AC396" s="19"/>
      <c r="AD396" s="19">
        <f t="shared" si="290"/>
        <v>31</v>
      </c>
      <c r="AE396" s="19">
        <f t="shared" si="290"/>
        <v>31</v>
      </c>
      <c r="AF396" s="19">
        <f t="shared" si="290"/>
        <v>31</v>
      </c>
      <c r="AG396" s="19">
        <f t="shared" si="290"/>
        <v>31</v>
      </c>
      <c r="AH396" s="19">
        <f t="shared" si="290"/>
        <v>31</v>
      </c>
      <c r="AI396" s="19">
        <f t="shared" si="290"/>
        <v>31</v>
      </c>
      <c r="AJ396" s="19">
        <f t="shared" si="290"/>
        <v>31</v>
      </c>
      <c r="AK396" s="19">
        <f t="shared" si="290"/>
        <v>31</v>
      </c>
      <c r="AL396" s="19">
        <f t="shared" si="290"/>
        <v>31</v>
      </c>
      <c r="AM396" s="19"/>
      <c r="AN396" s="19"/>
      <c r="AO396" s="19">
        <f t="shared" si="290"/>
        <v>31</v>
      </c>
      <c r="AP396" s="19">
        <f t="shared" si="290"/>
        <v>31</v>
      </c>
      <c r="AQ396" s="19">
        <f t="shared" si="290"/>
        <v>31</v>
      </c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>
        <f t="shared" ref="BF396" si="292">COUNT(BF220:BF250)</f>
        <v>0</v>
      </c>
      <c r="BG396" s="19"/>
      <c r="BH396" s="19"/>
      <c r="BI396" s="19"/>
      <c r="BJ396" s="19">
        <f t="shared" ref="BJ396:BK396" si="293">COUNT(BJ220:BJ250)</f>
        <v>31</v>
      </c>
      <c r="BK396" s="19">
        <f t="shared" si="293"/>
        <v>31</v>
      </c>
      <c r="BL396" s="1"/>
      <c r="BM396" s="3"/>
      <c r="BO396" s="19">
        <f t="shared" ref="BO396:BS396" si="294">COUNT(BO220:BO250)</f>
        <v>31</v>
      </c>
      <c r="BP396" s="19"/>
      <c r="BQ396" s="19">
        <f t="shared" ref="BQ396" si="295">COUNT(BQ220:BQ250)</f>
        <v>31</v>
      </c>
      <c r="BS396" s="19">
        <f t="shared" si="294"/>
        <v>31</v>
      </c>
    </row>
    <row r="397" spans="1:112" x14ac:dyDescent="0.2">
      <c r="A397" s="19"/>
      <c r="B397" s="19" t="s">
        <v>100</v>
      </c>
      <c r="C397" s="19">
        <f>COUNT(C251:C280)</f>
        <v>1</v>
      </c>
      <c r="D397" s="19">
        <f>COUNT(D251:D280)</f>
        <v>1</v>
      </c>
      <c r="E397" s="19">
        <f>COUNT(E251:E280)</f>
        <v>30</v>
      </c>
      <c r="F397" s="19">
        <f>COUNT(F251:F280)</f>
        <v>1</v>
      </c>
      <c r="G397" s="19">
        <f t="shared" ref="G397:AQ397" si="296">COUNT(G251:G280)</f>
        <v>1</v>
      </c>
      <c r="H397" s="19">
        <f t="shared" si="296"/>
        <v>1</v>
      </c>
      <c r="I397" s="19">
        <f t="shared" si="296"/>
        <v>1</v>
      </c>
      <c r="J397" s="19"/>
      <c r="K397" s="19"/>
      <c r="L397" s="19">
        <f t="shared" si="296"/>
        <v>1</v>
      </c>
      <c r="M397" s="19">
        <f t="shared" si="296"/>
        <v>1</v>
      </c>
      <c r="N397" s="19">
        <f t="shared" si="296"/>
        <v>1</v>
      </c>
      <c r="O397" s="19"/>
      <c r="P397" s="19">
        <f t="shared" ref="P397" si="297">COUNT(P251:P280)</f>
        <v>1</v>
      </c>
      <c r="Q397" s="19">
        <f t="shared" si="296"/>
        <v>1</v>
      </c>
      <c r="R397" s="19">
        <f t="shared" si="296"/>
        <v>30</v>
      </c>
      <c r="S397" s="19">
        <f t="shared" si="296"/>
        <v>1</v>
      </c>
      <c r="T397" s="19">
        <f t="shared" si="296"/>
        <v>1</v>
      </c>
      <c r="U397" s="19">
        <f t="shared" si="296"/>
        <v>1</v>
      </c>
      <c r="V397" s="19">
        <f t="shared" si="296"/>
        <v>1</v>
      </c>
      <c r="W397" s="19">
        <f t="shared" si="296"/>
        <v>1</v>
      </c>
      <c r="X397" s="19">
        <f t="shared" si="296"/>
        <v>1</v>
      </c>
      <c r="Y397" s="19"/>
      <c r="Z397" s="19"/>
      <c r="AA397" s="19">
        <f t="shared" si="296"/>
        <v>1</v>
      </c>
      <c r="AB397" s="19"/>
      <c r="AC397" s="19"/>
      <c r="AD397" s="19">
        <f t="shared" si="296"/>
        <v>1</v>
      </c>
      <c r="AE397" s="19">
        <f t="shared" si="296"/>
        <v>1</v>
      </c>
      <c r="AF397" s="19">
        <f t="shared" si="296"/>
        <v>30</v>
      </c>
      <c r="AG397" s="19">
        <f t="shared" si="296"/>
        <v>1</v>
      </c>
      <c r="AH397" s="19">
        <f t="shared" si="296"/>
        <v>1</v>
      </c>
      <c r="AI397" s="19">
        <f t="shared" si="296"/>
        <v>1</v>
      </c>
      <c r="AJ397" s="19">
        <f t="shared" si="296"/>
        <v>1</v>
      </c>
      <c r="AK397" s="19">
        <f t="shared" si="296"/>
        <v>1</v>
      </c>
      <c r="AL397" s="19">
        <f t="shared" si="296"/>
        <v>1</v>
      </c>
      <c r="AM397" s="19"/>
      <c r="AN397" s="19"/>
      <c r="AO397" s="19">
        <f t="shared" si="296"/>
        <v>1</v>
      </c>
      <c r="AP397" s="19">
        <f t="shared" si="296"/>
        <v>1</v>
      </c>
      <c r="AQ397" s="19">
        <f t="shared" si="296"/>
        <v>1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>
        <f t="shared" ref="BF397" si="298">COUNT(BF251:BF280)</f>
        <v>0</v>
      </c>
      <c r="BG397" s="19"/>
      <c r="BH397" s="19"/>
      <c r="BI397" s="19"/>
      <c r="BJ397" s="19">
        <f t="shared" ref="BJ397:BK397" si="299">COUNT(BJ251:BJ280)</f>
        <v>1</v>
      </c>
      <c r="BK397" s="19">
        <f t="shared" si="299"/>
        <v>1</v>
      </c>
      <c r="BL397" s="1"/>
      <c r="BM397" s="3"/>
      <c r="BO397" s="19">
        <f t="shared" ref="BO397:BS397" si="300">COUNT(BO251:BO280)</f>
        <v>30</v>
      </c>
      <c r="BP397" s="19"/>
      <c r="BQ397" s="19">
        <f t="shared" ref="BQ397" si="301">COUNT(BQ251:BQ280)</f>
        <v>30</v>
      </c>
      <c r="BS397" s="19">
        <f t="shared" si="300"/>
        <v>30</v>
      </c>
    </row>
    <row r="398" spans="1:112" x14ac:dyDescent="0.2">
      <c r="A398" s="19"/>
      <c r="B398" s="19" t="s">
        <v>101</v>
      </c>
      <c r="C398" s="19">
        <f>COUNT(C281:C311)</f>
        <v>0</v>
      </c>
      <c r="D398" s="19">
        <f>COUNT(D281:D311)</f>
        <v>0</v>
      </c>
      <c r="E398" s="19">
        <f>COUNT(E281:E311)</f>
        <v>31</v>
      </c>
      <c r="F398" s="19">
        <f>COUNT(F281:F311)</f>
        <v>0</v>
      </c>
      <c r="G398" s="19">
        <f t="shared" ref="G398:AQ398" si="302">COUNT(G281:G311)</f>
        <v>0</v>
      </c>
      <c r="H398" s="19">
        <f t="shared" si="302"/>
        <v>0</v>
      </c>
      <c r="I398" s="19">
        <f t="shared" si="302"/>
        <v>0</v>
      </c>
      <c r="J398" s="19"/>
      <c r="K398" s="19"/>
      <c r="L398" s="19">
        <f t="shared" si="302"/>
        <v>0</v>
      </c>
      <c r="M398" s="19">
        <f t="shared" si="302"/>
        <v>0</v>
      </c>
      <c r="N398" s="19">
        <f t="shared" si="302"/>
        <v>0</v>
      </c>
      <c r="O398" s="19"/>
      <c r="P398" s="19">
        <f t="shared" ref="P398" si="303">COUNT(P281:P311)</f>
        <v>0</v>
      </c>
      <c r="Q398" s="19">
        <f t="shared" si="302"/>
        <v>0</v>
      </c>
      <c r="R398" s="19">
        <f t="shared" si="302"/>
        <v>31</v>
      </c>
      <c r="S398" s="19">
        <f t="shared" si="302"/>
        <v>0</v>
      </c>
      <c r="T398" s="19">
        <f t="shared" si="302"/>
        <v>0</v>
      </c>
      <c r="U398" s="19">
        <f t="shared" si="302"/>
        <v>0</v>
      </c>
      <c r="V398" s="19">
        <f t="shared" si="302"/>
        <v>0</v>
      </c>
      <c r="W398" s="19">
        <f t="shared" si="302"/>
        <v>0</v>
      </c>
      <c r="X398" s="19">
        <f t="shared" si="302"/>
        <v>0</v>
      </c>
      <c r="Y398" s="19"/>
      <c r="Z398" s="19"/>
      <c r="AA398" s="19">
        <f t="shared" si="302"/>
        <v>0</v>
      </c>
      <c r="AB398" s="19"/>
      <c r="AC398" s="19"/>
      <c r="AD398" s="19">
        <f t="shared" si="302"/>
        <v>0</v>
      </c>
      <c r="AE398" s="19">
        <f t="shared" si="302"/>
        <v>0</v>
      </c>
      <c r="AF398" s="19">
        <f t="shared" si="302"/>
        <v>31</v>
      </c>
      <c r="AG398" s="19">
        <f t="shared" si="302"/>
        <v>0</v>
      </c>
      <c r="AH398" s="19">
        <f t="shared" si="302"/>
        <v>0</v>
      </c>
      <c r="AI398" s="19">
        <f t="shared" si="302"/>
        <v>0</v>
      </c>
      <c r="AJ398" s="19">
        <f t="shared" si="302"/>
        <v>0</v>
      </c>
      <c r="AK398" s="19">
        <f t="shared" si="302"/>
        <v>0</v>
      </c>
      <c r="AL398" s="19">
        <f t="shared" si="302"/>
        <v>0</v>
      </c>
      <c r="AM398" s="19"/>
      <c r="AN398" s="19"/>
      <c r="AO398" s="19">
        <f t="shared" si="302"/>
        <v>0</v>
      </c>
      <c r="AP398" s="19">
        <f t="shared" si="302"/>
        <v>0</v>
      </c>
      <c r="AQ398" s="19">
        <f t="shared" si="302"/>
        <v>0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>
        <f t="shared" ref="BF398" si="304">COUNT(BF281:BF311)</f>
        <v>0</v>
      </c>
      <c r="BG398" s="19"/>
      <c r="BH398" s="19"/>
      <c r="BI398" s="19"/>
      <c r="BJ398" s="19">
        <f t="shared" ref="BJ398:BK398" si="305">COUNT(BJ281:BJ311)</f>
        <v>0</v>
      </c>
      <c r="BK398" s="19">
        <f t="shared" si="305"/>
        <v>0</v>
      </c>
      <c r="BL398" s="1"/>
      <c r="BM398" s="3"/>
      <c r="BO398" s="19">
        <f t="shared" ref="BO398:BS398" si="306">COUNT(BO281:BO311)</f>
        <v>31</v>
      </c>
      <c r="BP398" s="19"/>
      <c r="BQ398" s="19">
        <f t="shared" ref="BQ398" si="307">COUNT(BQ281:BQ311)</f>
        <v>31</v>
      </c>
      <c r="BS398" s="19">
        <f t="shared" si="306"/>
        <v>31</v>
      </c>
    </row>
    <row r="399" spans="1:112" x14ac:dyDescent="0.2">
      <c r="A399" s="19"/>
      <c r="B399" s="19" t="s">
        <v>102</v>
      </c>
      <c r="C399" s="19">
        <f>COUNT(C312:C341)</f>
        <v>17</v>
      </c>
      <c r="D399" s="19">
        <f>COUNT(D312:D341)</f>
        <v>17</v>
      </c>
      <c r="E399" s="19">
        <f>COUNT(E312:E341)</f>
        <v>30</v>
      </c>
      <c r="F399" s="19">
        <f>COUNT(F312:F341)</f>
        <v>17</v>
      </c>
      <c r="G399" s="19">
        <f t="shared" ref="G399:AQ399" si="308">COUNT(G312:G341)</f>
        <v>17</v>
      </c>
      <c r="H399" s="19">
        <f t="shared" si="308"/>
        <v>17</v>
      </c>
      <c r="I399" s="19">
        <f t="shared" si="308"/>
        <v>17</v>
      </c>
      <c r="J399" s="19"/>
      <c r="K399" s="19"/>
      <c r="L399" s="19">
        <f t="shared" si="308"/>
        <v>17</v>
      </c>
      <c r="M399" s="19">
        <f t="shared" si="308"/>
        <v>17</v>
      </c>
      <c r="N399" s="19">
        <f t="shared" si="308"/>
        <v>17</v>
      </c>
      <c r="O399" s="19"/>
      <c r="P399" s="19">
        <f t="shared" ref="P399" si="309">COUNT(P312:P341)</f>
        <v>17</v>
      </c>
      <c r="Q399" s="19">
        <f t="shared" si="308"/>
        <v>0</v>
      </c>
      <c r="R399" s="19">
        <f t="shared" si="308"/>
        <v>30</v>
      </c>
      <c r="S399" s="19">
        <f t="shared" si="308"/>
        <v>17</v>
      </c>
      <c r="T399" s="19">
        <f t="shared" si="308"/>
        <v>17</v>
      </c>
      <c r="U399" s="19">
        <f t="shared" si="308"/>
        <v>17</v>
      </c>
      <c r="V399" s="19">
        <f t="shared" si="308"/>
        <v>17</v>
      </c>
      <c r="W399" s="19">
        <f t="shared" si="308"/>
        <v>17</v>
      </c>
      <c r="X399" s="19">
        <f t="shared" si="308"/>
        <v>17</v>
      </c>
      <c r="Y399" s="19"/>
      <c r="Z399" s="19"/>
      <c r="AA399" s="19">
        <f t="shared" si="308"/>
        <v>17</v>
      </c>
      <c r="AB399" s="19"/>
      <c r="AC399" s="19"/>
      <c r="AD399" s="19">
        <f t="shared" si="308"/>
        <v>17</v>
      </c>
      <c r="AE399" s="19">
        <f t="shared" si="308"/>
        <v>17</v>
      </c>
      <c r="AF399" s="19">
        <f t="shared" si="308"/>
        <v>30</v>
      </c>
      <c r="AG399" s="19">
        <f t="shared" si="308"/>
        <v>17</v>
      </c>
      <c r="AH399" s="19">
        <f t="shared" si="308"/>
        <v>17</v>
      </c>
      <c r="AI399" s="19">
        <f t="shared" si="308"/>
        <v>17</v>
      </c>
      <c r="AJ399" s="19">
        <f t="shared" si="308"/>
        <v>17</v>
      </c>
      <c r="AK399" s="19">
        <f t="shared" si="308"/>
        <v>17</v>
      </c>
      <c r="AL399" s="19">
        <f t="shared" si="308"/>
        <v>17</v>
      </c>
      <c r="AM399" s="19"/>
      <c r="AN399" s="19"/>
      <c r="AO399" s="19">
        <f t="shared" si="308"/>
        <v>17</v>
      </c>
      <c r="AP399" s="19">
        <f t="shared" si="308"/>
        <v>17</v>
      </c>
      <c r="AQ399" s="19">
        <f t="shared" si="308"/>
        <v>17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>
        <f t="shared" ref="BF399" si="310">COUNT(BF312:BF341)</f>
        <v>0</v>
      </c>
      <c r="BG399" s="19"/>
      <c r="BH399" s="19"/>
      <c r="BI399" s="19"/>
      <c r="BJ399" s="19">
        <f t="shared" ref="BJ399:BK399" si="311">COUNT(BJ312:BJ341)</f>
        <v>17</v>
      </c>
      <c r="BK399" s="19">
        <f t="shared" si="311"/>
        <v>17</v>
      </c>
      <c r="BL399" s="1"/>
      <c r="BM399" s="3"/>
      <c r="BO399" s="19">
        <f t="shared" ref="BO399:BS399" si="312">COUNT(BO312:BO341)</f>
        <v>23</v>
      </c>
      <c r="BP399" s="19"/>
      <c r="BQ399" s="19">
        <f t="shared" ref="BQ399" si="313">COUNT(BQ312:BQ341)</f>
        <v>30</v>
      </c>
      <c r="BS399" s="19">
        <f t="shared" si="312"/>
        <v>30</v>
      </c>
    </row>
    <row r="400" spans="1:112" x14ac:dyDescent="0.2">
      <c r="A400" s="19"/>
      <c r="B400" s="19" t="s">
        <v>103</v>
      </c>
      <c r="C400" s="19">
        <f>COUNT(C342:C372)</f>
        <v>31</v>
      </c>
      <c r="D400" s="19">
        <f>COUNT(D342:D372)</f>
        <v>31</v>
      </c>
      <c r="E400" s="19">
        <f>COUNT(E342:E372)</f>
        <v>31</v>
      </c>
      <c r="F400" s="19">
        <f>COUNT(F342:F372)</f>
        <v>31</v>
      </c>
      <c r="G400" s="19">
        <f t="shared" ref="G400:AQ400" si="314">COUNT(G342:G372)</f>
        <v>31</v>
      </c>
      <c r="H400" s="19">
        <f t="shared" si="314"/>
        <v>31</v>
      </c>
      <c r="I400" s="19">
        <f t="shared" si="314"/>
        <v>31</v>
      </c>
      <c r="J400" s="19"/>
      <c r="K400" s="19"/>
      <c r="L400" s="19">
        <f t="shared" si="314"/>
        <v>31</v>
      </c>
      <c r="M400" s="19">
        <f t="shared" si="314"/>
        <v>31</v>
      </c>
      <c r="N400" s="19">
        <f t="shared" si="314"/>
        <v>31</v>
      </c>
      <c r="O400" s="19"/>
      <c r="P400" s="19">
        <f t="shared" ref="P400" si="315">COUNT(P342:P372)</f>
        <v>31</v>
      </c>
      <c r="Q400" s="19">
        <f t="shared" si="314"/>
        <v>0</v>
      </c>
      <c r="R400" s="19">
        <f t="shared" si="314"/>
        <v>31</v>
      </c>
      <c r="S400" s="19">
        <f t="shared" si="314"/>
        <v>31</v>
      </c>
      <c r="T400" s="19">
        <f t="shared" si="314"/>
        <v>31</v>
      </c>
      <c r="U400" s="19">
        <f t="shared" si="314"/>
        <v>31</v>
      </c>
      <c r="V400" s="19">
        <f t="shared" si="314"/>
        <v>31</v>
      </c>
      <c r="W400" s="19">
        <f t="shared" si="314"/>
        <v>31</v>
      </c>
      <c r="X400" s="19">
        <f t="shared" si="314"/>
        <v>31</v>
      </c>
      <c r="Y400" s="19"/>
      <c r="Z400" s="19"/>
      <c r="AA400" s="19">
        <f t="shared" si="314"/>
        <v>31</v>
      </c>
      <c r="AB400" s="19"/>
      <c r="AC400" s="19"/>
      <c r="AD400" s="19">
        <f t="shared" si="314"/>
        <v>31</v>
      </c>
      <c r="AE400" s="19">
        <f t="shared" si="314"/>
        <v>31</v>
      </c>
      <c r="AF400" s="19">
        <f t="shared" si="314"/>
        <v>31</v>
      </c>
      <c r="AG400" s="19">
        <f t="shared" si="314"/>
        <v>31</v>
      </c>
      <c r="AH400" s="19">
        <f t="shared" si="314"/>
        <v>31</v>
      </c>
      <c r="AI400" s="19">
        <f t="shared" si="314"/>
        <v>31</v>
      </c>
      <c r="AJ400" s="19">
        <f t="shared" si="314"/>
        <v>31</v>
      </c>
      <c r="AK400" s="19">
        <f t="shared" si="314"/>
        <v>31</v>
      </c>
      <c r="AL400" s="19">
        <f t="shared" si="314"/>
        <v>31</v>
      </c>
      <c r="AM400" s="19"/>
      <c r="AN400" s="19"/>
      <c r="AO400" s="19">
        <f t="shared" si="314"/>
        <v>31</v>
      </c>
      <c r="AP400" s="19">
        <f t="shared" si="314"/>
        <v>31</v>
      </c>
      <c r="AQ400" s="19">
        <f t="shared" si="314"/>
        <v>31</v>
      </c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>
        <f t="shared" ref="BF400" si="316">COUNT(BF342:BF372)</f>
        <v>0</v>
      </c>
      <c r="BG400" s="19"/>
      <c r="BH400" s="19"/>
      <c r="BI400" s="19"/>
      <c r="BJ400" s="19">
        <f t="shared" ref="BJ400:BK400" si="317">COUNT(BJ342:BJ372)</f>
        <v>31</v>
      </c>
      <c r="BK400" s="19">
        <f t="shared" si="317"/>
        <v>31</v>
      </c>
      <c r="BL400" s="1"/>
      <c r="BM400" s="3"/>
      <c r="BO400" s="19">
        <f t="shared" ref="BO400:BS400" si="318">COUNT(BO342:BO372)</f>
        <v>31</v>
      </c>
      <c r="BP400" s="19"/>
      <c r="BQ400" s="19">
        <f t="shared" ref="BQ400" si="319">COUNT(BQ342:BQ372)</f>
        <v>31</v>
      </c>
      <c r="BS400" s="19">
        <f t="shared" si="318"/>
        <v>31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174</v>
      </c>
      <c r="P5" s="3"/>
    </row>
    <row r="6" spans="1:16" x14ac:dyDescent="0.2">
      <c r="A6" s="9" t="s">
        <v>42</v>
      </c>
      <c r="B6" s="6" t="s">
        <v>123</v>
      </c>
      <c r="C6" s="3" t="s">
        <v>175</v>
      </c>
      <c r="D6" s="3" t="s">
        <v>176</v>
      </c>
      <c r="E6" s="3" t="s">
        <v>177</v>
      </c>
      <c r="F6" s="3"/>
      <c r="H6" s="54" t="s">
        <v>178</v>
      </c>
      <c r="I6" t="s">
        <v>179</v>
      </c>
      <c r="J6" t="s">
        <v>180</v>
      </c>
      <c r="K6" s="3"/>
      <c r="L6" s="3" t="s">
        <v>175</v>
      </c>
      <c r="M6" s="3" t="s">
        <v>176</v>
      </c>
      <c r="N6" s="3" t="s">
        <v>177</v>
      </c>
      <c r="O6" s="3" t="s">
        <v>176</v>
      </c>
      <c r="P6" s="3" t="s">
        <v>177</v>
      </c>
    </row>
    <row r="7" spans="1:16" x14ac:dyDescent="0.2">
      <c r="A7" s="40">
        <v>35065</v>
      </c>
      <c r="B7" s="3">
        <v>1</v>
      </c>
      <c r="C7" s="3">
        <v>199601</v>
      </c>
      <c r="D7" s="3">
        <f>ROUND(IF(Data!E7&lt;0,0-Data!E7,0),1)</f>
        <v>4</v>
      </c>
      <c r="E7" s="3">
        <f>ROUND(IF(Data!E7&gt;5,Data!E7-5,0),1)</f>
        <v>0</v>
      </c>
      <c r="F7" s="3"/>
      <c r="H7" s="51">
        <v>199601</v>
      </c>
      <c r="I7" s="52">
        <v>387.7</v>
      </c>
      <c r="J7" s="52">
        <v>0</v>
      </c>
      <c r="K7" s="3"/>
      <c r="L7" s="3">
        <f>H7</f>
        <v>199601</v>
      </c>
      <c r="M7" s="3">
        <f t="shared" ref="M7:N10" si="0">I7</f>
        <v>387.7</v>
      </c>
      <c r="N7" s="3">
        <f t="shared" si="0"/>
        <v>0</v>
      </c>
      <c r="O7" s="3">
        <f>M7</f>
        <v>387.7</v>
      </c>
      <c r="P7" s="3">
        <f>N7</f>
        <v>0</v>
      </c>
    </row>
    <row r="8" spans="1:16" x14ac:dyDescent="0.2">
      <c r="A8" s="40">
        <v>35066</v>
      </c>
      <c r="B8" s="3">
        <v>2</v>
      </c>
      <c r="C8" s="3">
        <v>199601</v>
      </c>
      <c r="D8" s="3">
        <f>ROUND(IF(Data!E8&lt;0,0-Data!E8,0),1)</f>
        <v>3.1</v>
      </c>
      <c r="E8" s="3">
        <f>ROUND(IF(Data!E8&gt;5,Data!E8-5,0),1)</f>
        <v>0</v>
      </c>
      <c r="F8" s="3"/>
      <c r="H8" s="51">
        <v>199602</v>
      </c>
      <c r="I8" s="52">
        <v>231.8</v>
      </c>
      <c r="J8" s="52">
        <v>0</v>
      </c>
      <c r="K8" s="3"/>
      <c r="L8" s="3">
        <f t="shared" ref="L8:N18" si="1">H8</f>
        <v>199602</v>
      </c>
      <c r="M8" s="3">
        <f t="shared" si="0"/>
        <v>231.8</v>
      </c>
      <c r="N8" s="3">
        <f t="shared" si="0"/>
        <v>0</v>
      </c>
      <c r="O8" s="3">
        <f>M8+O7</f>
        <v>619.5</v>
      </c>
      <c r="P8" s="3">
        <f t="shared" ref="P8:P18" si="2">N8+P7</f>
        <v>0</v>
      </c>
    </row>
    <row r="9" spans="1:16" x14ac:dyDescent="0.2">
      <c r="A9" s="40">
        <v>35067</v>
      </c>
      <c r="B9" s="3">
        <v>3</v>
      </c>
      <c r="C9" s="3">
        <v>199601</v>
      </c>
      <c r="D9" s="3">
        <f>ROUND(IF(Data!E9&lt;0,0-Data!E9,0),1)</f>
        <v>7.1</v>
      </c>
      <c r="E9" s="3">
        <f>ROUND(IF(Data!E9&gt;5,Data!E9-5,0),1)</f>
        <v>0</v>
      </c>
      <c r="F9" s="3"/>
      <c r="H9" s="51">
        <v>199603</v>
      </c>
      <c r="I9" s="52">
        <v>150.29999999999998</v>
      </c>
      <c r="J9" s="52">
        <v>0</v>
      </c>
      <c r="K9" s="3"/>
      <c r="L9" s="3">
        <f t="shared" si="1"/>
        <v>199603</v>
      </c>
      <c r="M9" s="3">
        <f t="shared" si="0"/>
        <v>150.29999999999998</v>
      </c>
      <c r="N9" s="3">
        <f t="shared" si="0"/>
        <v>0</v>
      </c>
      <c r="O9" s="3">
        <f t="shared" ref="O9:O18" si="3">M9+O8</f>
        <v>769.8</v>
      </c>
      <c r="P9" s="3">
        <f t="shared" si="2"/>
        <v>0</v>
      </c>
    </row>
    <row r="10" spans="1:16" x14ac:dyDescent="0.2">
      <c r="A10" s="40">
        <v>35068</v>
      </c>
      <c r="B10" s="3">
        <v>4</v>
      </c>
      <c r="C10" s="3">
        <v>199601</v>
      </c>
      <c r="D10" s="3">
        <f>ROUND(IF(Data!E10&lt;0,0-Data!E10,0),1)</f>
        <v>16.5</v>
      </c>
      <c r="E10" s="3">
        <f>ROUND(IF(Data!E10&gt;5,Data!E10-5,0),1)</f>
        <v>0</v>
      </c>
      <c r="F10" s="3"/>
      <c r="H10" s="51">
        <v>199604</v>
      </c>
      <c r="I10" s="52">
        <v>23.1</v>
      </c>
      <c r="J10" s="52">
        <v>2.4</v>
      </c>
      <c r="K10" s="3"/>
      <c r="L10" s="3">
        <f t="shared" si="1"/>
        <v>199604</v>
      </c>
      <c r="M10" s="3">
        <f t="shared" si="0"/>
        <v>23.1</v>
      </c>
      <c r="N10" s="3">
        <f t="shared" si="0"/>
        <v>2.4</v>
      </c>
      <c r="O10" s="3">
        <f t="shared" si="3"/>
        <v>792.9</v>
      </c>
      <c r="P10" s="3">
        <f t="shared" si="2"/>
        <v>2.4</v>
      </c>
    </row>
    <row r="11" spans="1:16" x14ac:dyDescent="0.2">
      <c r="A11" s="40">
        <v>35069</v>
      </c>
      <c r="B11" s="3">
        <v>5</v>
      </c>
      <c r="C11" s="3">
        <v>199601</v>
      </c>
      <c r="D11" s="3">
        <f>ROUND(IF(Data!E11&lt;0,0-Data!E11,0),1)</f>
        <v>17.2</v>
      </c>
      <c r="E11" s="3">
        <f>ROUND(IF(Data!E11&gt;5,Data!E11-5,0),1)</f>
        <v>0</v>
      </c>
      <c r="F11" s="3"/>
      <c r="H11" s="51">
        <v>199605</v>
      </c>
      <c r="I11" s="52">
        <v>17.699999999999996</v>
      </c>
      <c r="J11" s="52">
        <v>11.6</v>
      </c>
      <c r="K11" s="3"/>
      <c r="L11" s="3">
        <f t="shared" si="1"/>
        <v>199605</v>
      </c>
      <c r="M11" s="3">
        <f t="shared" si="1"/>
        <v>17.699999999999996</v>
      </c>
      <c r="N11" s="3">
        <f t="shared" si="1"/>
        <v>11.6</v>
      </c>
      <c r="O11" s="3">
        <f t="shared" si="3"/>
        <v>810.6</v>
      </c>
      <c r="P11" s="3">
        <f t="shared" si="2"/>
        <v>14</v>
      </c>
    </row>
    <row r="12" spans="1:16" x14ac:dyDescent="0.2">
      <c r="A12" s="40">
        <v>35070</v>
      </c>
      <c r="B12" s="3">
        <v>6</v>
      </c>
      <c r="C12" s="3">
        <v>199601</v>
      </c>
      <c r="D12" s="3">
        <f>ROUND(IF(Data!E12&lt;0,0-Data!E12,0),1)</f>
        <v>10.3</v>
      </c>
      <c r="E12" s="3">
        <f>ROUND(IF(Data!E12&gt;5,Data!E12-5,0),1)</f>
        <v>0</v>
      </c>
      <c r="F12" s="3"/>
      <c r="H12" s="51">
        <v>199606</v>
      </c>
      <c r="I12" s="52">
        <v>0</v>
      </c>
      <c r="J12" s="52">
        <v>79.200000000000017</v>
      </c>
      <c r="K12" s="3"/>
      <c r="L12" s="3">
        <f t="shared" si="1"/>
        <v>199606</v>
      </c>
      <c r="M12" s="3">
        <f t="shared" si="1"/>
        <v>0</v>
      </c>
      <c r="N12" s="3">
        <f t="shared" si="1"/>
        <v>79.200000000000017</v>
      </c>
      <c r="O12" s="3">
        <f t="shared" si="3"/>
        <v>810.6</v>
      </c>
      <c r="P12" s="3">
        <f t="shared" si="2"/>
        <v>93.200000000000017</v>
      </c>
    </row>
    <row r="13" spans="1:16" x14ac:dyDescent="0.2">
      <c r="A13" s="40">
        <v>35071</v>
      </c>
      <c r="B13" s="3">
        <v>7</v>
      </c>
      <c r="C13" s="3">
        <v>199601</v>
      </c>
      <c r="D13" s="3">
        <f>ROUND(IF(Data!E13&lt;0,0-Data!E13,0),1)</f>
        <v>4</v>
      </c>
      <c r="E13" s="3">
        <f>ROUND(IF(Data!E13&gt;5,Data!E13-5,0),1)</f>
        <v>0</v>
      </c>
      <c r="F13" s="3"/>
      <c r="H13" s="51">
        <v>199607</v>
      </c>
      <c r="I13" s="52">
        <v>0</v>
      </c>
      <c r="J13" s="52">
        <v>222.09999999999997</v>
      </c>
      <c r="K13" s="3"/>
      <c r="L13" s="3">
        <f t="shared" si="1"/>
        <v>199607</v>
      </c>
      <c r="M13" s="3">
        <f t="shared" si="1"/>
        <v>0</v>
      </c>
      <c r="N13" s="3">
        <f t="shared" si="1"/>
        <v>222.09999999999997</v>
      </c>
      <c r="O13" s="3">
        <f t="shared" si="3"/>
        <v>810.6</v>
      </c>
      <c r="P13" s="3">
        <f t="shared" si="2"/>
        <v>315.29999999999995</v>
      </c>
    </row>
    <row r="14" spans="1:16" x14ac:dyDescent="0.2">
      <c r="A14" s="40">
        <v>35072</v>
      </c>
      <c r="B14" s="3">
        <v>8</v>
      </c>
      <c r="C14" s="3">
        <v>199601</v>
      </c>
      <c r="D14" s="3">
        <f>ROUND(IF(Data!E14&lt;0,0-Data!E14,0),1)</f>
        <v>5.6</v>
      </c>
      <c r="E14" s="3">
        <f>ROUND(IF(Data!E14&gt;5,Data!E14-5,0),1)</f>
        <v>0</v>
      </c>
      <c r="F14" s="3"/>
      <c r="H14" s="51">
        <v>199608</v>
      </c>
      <c r="I14" s="52">
        <v>0</v>
      </c>
      <c r="J14" s="52">
        <v>183.9</v>
      </c>
      <c r="K14" s="3"/>
      <c r="L14" s="3">
        <f t="shared" si="1"/>
        <v>199608</v>
      </c>
      <c r="M14" s="3">
        <f t="shared" si="1"/>
        <v>0</v>
      </c>
      <c r="N14" s="3">
        <f t="shared" si="1"/>
        <v>183.9</v>
      </c>
      <c r="O14" s="3">
        <f t="shared" si="3"/>
        <v>810.6</v>
      </c>
      <c r="P14" s="3">
        <f t="shared" si="2"/>
        <v>499.19999999999993</v>
      </c>
    </row>
    <row r="15" spans="1:16" x14ac:dyDescent="0.2">
      <c r="A15" s="40">
        <v>35073</v>
      </c>
      <c r="B15" s="3">
        <v>9</v>
      </c>
      <c r="C15" s="3">
        <v>199601</v>
      </c>
      <c r="D15" s="3">
        <f>ROUND(IF(Data!E15&lt;0,0-Data!E15,0),1)</f>
        <v>4</v>
      </c>
      <c r="E15" s="3">
        <f>ROUND(IF(Data!E15&gt;5,Data!E15-5,0),1)</f>
        <v>0</v>
      </c>
      <c r="F15" s="3"/>
      <c r="H15" s="51">
        <v>199609</v>
      </c>
      <c r="I15" s="52">
        <v>0.5</v>
      </c>
      <c r="J15" s="52">
        <v>45.999999999999993</v>
      </c>
      <c r="K15" s="3"/>
      <c r="L15" s="3">
        <f t="shared" si="1"/>
        <v>199609</v>
      </c>
      <c r="M15" s="3">
        <f t="shared" si="1"/>
        <v>0.5</v>
      </c>
      <c r="N15" s="3">
        <f t="shared" si="1"/>
        <v>45.999999999999993</v>
      </c>
      <c r="O15" s="3">
        <f t="shared" si="3"/>
        <v>811.1</v>
      </c>
      <c r="P15" s="3">
        <f t="shared" si="2"/>
        <v>545.19999999999993</v>
      </c>
    </row>
    <row r="16" spans="1:16" x14ac:dyDescent="0.2">
      <c r="A16" s="40">
        <v>35074</v>
      </c>
      <c r="B16" s="3">
        <v>10</v>
      </c>
      <c r="C16" s="3">
        <v>199601</v>
      </c>
      <c r="D16" s="3">
        <f>ROUND(IF(Data!E16&lt;0,0-Data!E16,0),1)</f>
        <v>3.8</v>
      </c>
      <c r="E16" s="3">
        <f>ROUND(IF(Data!E16&gt;5,Data!E16-5,0),1)</f>
        <v>0</v>
      </c>
      <c r="F16" s="3"/>
      <c r="H16" s="51">
        <v>199610</v>
      </c>
      <c r="I16" s="52">
        <v>51.400000000000013</v>
      </c>
      <c r="J16" s="52">
        <v>8.9</v>
      </c>
      <c r="K16" s="3"/>
      <c r="L16" s="3">
        <f t="shared" si="1"/>
        <v>199610</v>
      </c>
      <c r="M16" s="3">
        <f t="shared" si="1"/>
        <v>51.400000000000013</v>
      </c>
      <c r="N16" s="3">
        <f t="shared" si="1"/>
        <v>8.9</v>
      </c>
      <c r="O16" s="3">
        <f t="shared" si="3"/>
        <v>862.5</v>
      </c>
      <c r="P16" s="3">
        <f t="shared" si="2"/>
        <v>554.09999999999991</v>
      </c>
    </row>
    <row r="17" spans="1:16" x14ac:dyDescent="0.2">
      <c r="A17" s="40">
        <v>35075</v>
      </c>
      <c r="B17" s="3">
        <v>11</v>
      </c>
      <c r="C17" s="3">
        <v>199601</v>
      </c>
      <c r="D17" s="3">
        <f>ROUND(IF(Data!E17&lt;0,0-Data!E17,0),1)</f>
        <v>3.9</v>
      </c>
      <c r="E17" s="3">
        <f>ROUND(IF(Data!E17&gt;5,Data!E17-5,0),1)</f>
        <v>0</v>
      </c>
      <c r="F17" s="3"/>
      <c r="H17" s="51">
        <v>199611</v>
      </c>
      <c r="I17" s="52">
        <v>186.2</v>
      </c>
      <c r="J17" s="52">
        <v>0</v>
      </c>
      <c r="K17" s="3"/>
      <c r="L17" s="3">
        <f t="shared" si="1"/>
        <v>199611</v>
      </c>
      <c r="M17" s="3">
        <f t="shared" si="1"/>
        <v>186.2</v>
      </c>
      <c r="N17" s="3">
        <f t="shared" si="1"/>
        <v>0</v>
      </c>
      <c r="O17" s="3">
        <f t="shared" si="3"/>
        <v>1048.7</v>
      </c>
      <c r="P17" s="3">
        <f t="shared" si="2"/>
        <v>554.09999999999991</v>
      </c>
    </row>
    <row r="18" spans="1:16" x14ac:dyDescent="0.2">
      <c r="A18" s="40">
        <v>35076</v>
      </c>
      <c r="B18" s="3">
        <v>12</v>
      </c>
      <c r="C18" s="3">
        <v>199601</v>
      </c>
      <c r="D18" s="3">
        <f>ROUND(IF(Data!E18&lt;0,0-Data!E18,0),1)</f>
        <v>6.7</v>
      </c>
      <c r="E18" s="3">
        <f>ROUND(IF(Data!E18&gt;5,Data!E18-5,0),1)</f>
        <v>0</v>
      </c>
      <c r="F18" s="3"/>
      <c r="H18" s="51">
        <v>199612</v>
      </c>
      <c r="I18" s="52">
        <v>344.9</v>
      </c>
      <c r="J18" s="52">
        <v>0</v>
      </c>
      <c r="K18" s="3"/>
      <c r="L18" s="3">
        <f t="shared" si="1"/>
        <v>199612</v>
      </c>
      <c r="M18" s="3">
        <f t="shared" si="1"/>
        <v>344.9</v>
      </c>
      <c r="N18" s="3">
        <f t="shared" si="1"/>
        <v>0</v>
      </c>
      <c r="O18" s="3">
        <f t="shared" si="3"/>
        <v>1393.6</v>
      </c>
      <c r="P18" s="3">
        <f t="shared" si="2"/>
        <v>554.09999999999991</v>
      </c>
    </row>
    <row r="19" spans="1:16" x14ac:dyDescent="0.2">
      <c r="A19" s="40">
        <v>35077</v>
      </c>
      <c r="B19" s="3">
        <v>13</v>
      </c>
      <c r="C19" s="3">
        <v>199601</v>
      </c>
      <c r="D19" s="3">
        <f>ROUND(IF(Data!E19&lt;0,0-Data!E19,0),1)</f>
        <v>2.2999999999999998</v>
      </c>
      <c r="E19" s="3">
        <f>ROUND(IF(Data!E19&gt;5,Data!E19-5,0),1)</f>
        <v>0</v>
      </c>
      <c r="F19" s="3"/>
      <c r="H19" s="51" t="s">
        <v>181</v>
      </c>
      <c r="I19" s="52">
        <v>1393.6</v>
      </c>
      <c r="J19" s="52">
        <v>554.09999999999991</v>
      </c>
      <c r="K19" s="3"/>
      <c r="L19" s="3"/>
      <c r="M19" s="3"/>
      <c r="N19" s="3"/>
      <c r="O19" s="3"/>
      <c r="P19" s="3"/>
    </row>
    <row r="20" spans="1:16" x14ac:dyDescent="0.2">
      <c r="A20" s="40">
        <v>35078</v>
      </c>
      <c r="B20" s="3">
        <v>14</v>
      </c>
      <c r="C20" s="3">
        <v>199601</v>
      </c>
      <c r="D20" s="3">
        <f>ROUND(IF(Data!E20&lt;0,0-Data!E20,0),1)</f>
        <v>0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0">
        <v>35079</v>
      </c>
      <c r="B21" s="3">
        <v>15</v>
      </c>
      <c r="C21" s="3">
        <v>199601</v>
      </c>
      <c r="D21" s="3">
        <f>ROUND(IF(Data!E21&lt;0,0-Data!E21,0),1)</f>
        <v>0.4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0">
        <v>35080</v>
      </c>
      <c r="B22" s="3">
        <v>16</v>
      </c>
      <c r="C22" s="3">
        <v>199601</v>
      </c>
      <c r="D22" s="3">
        <f>ROUND(IF(Data!E22&lt;0,0-Data!E22,0),1)</f>
        <v>9.4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0">
        <v>35081</v>
      </c>
      <c r="B23" s="3">
        <v>17</v>
      </c>
      <c r="C23" s="3">
        <v>199601</v>
      </c>
      <c r="D23" s="3">
        <f>ROUND(IF(Data!E23&lt;0,0-Data!E23,0),1)</f>
        <v>22.8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0">
        <v>35082</v>
      </c>
      <c r="B24" s="3">
        <v>18</v>
      </c>
      <c r="C24" s="3">
        <v>199601</v>
      </c>
      <c r="D24" s="3">
        <f>ROUND(IF(Data!E24&lt;0,0-Data!E24,0),1)</f>
        <v>18.899999999999999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0">
        <v>35083</v>
      </c>
      <c r="B25" s="3">
        <v>19</v>
      </c>
      <c r="C25" s="3">
        <v>199601</v>
      </c>
      <c r="D25" s="3">
        <f>ROUND(IF(Data!E25&lt;0,0-Data!E25,0),1)</f>
        <v>14.2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0">
        <v>35084</v>
      </c>
      <c r="B26" s="3">
        <v>20</v>
      </c>
      <c r="C26" s="3">
        <v>199601</v>
      </c>
      <c r="D26" s="3">
        <f>ROUND(IF(Data!E26&lt;0,0-Data!E26,0),1)</f>
        <v>13.3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0">
        <v>35085</v>
      </c>
      <c r="B27" s="3">
        <v>21</v>
      </c>
      <c r="C27" s="3">
        <v>199601</v>
      </c>
      <c r="D27" s="3">
        <f>ROUND(IF(Data!E27&lt;0,0-Data!E27,0),1)</f>
        <v>17.8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0">
        <v>35086</v>
      </c>
      <c r="B28" s="3">
        <v>22</v>
      </c>
      <c r="C28" s="3">
        <v>199601</v>
      </c>
      <c r="D28" s="3">
        <f>ROUND(IF(Data!E28&lt;0,0-Data!E28,0),1)</f>
        <v>14.8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0">
        <v>35087</v>
      </c>
      <c r="B29" s="3">
        <v>23</v>
      </c>
      <c r="C29" s="3">
        <v>199601</v>
      </c>
      <c r="D29" s="3">
        <f>ROUND(IF(Data!E29&lt;0,0-Data!E29,0),1)</f>
        <v>12.6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0">
        <v>35088</v>
      </c>
      <c r="B30" s="3">
        <v>24</v>
      </c>
      <c r="C30" s="3">
        <v>199601</v>
      </c>
      <c r="D30" s="3">
        <f>ROUND(IF(Data!E30&lt;0,0-Data!E30,0),1)</f>
        <v>14.8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0">
        <v>35089</v>
      </c>
      <c r="B31" s="3">
        <v>25</v>
      </c>
      <c r="C31" s="3">
        <v>199601</v>
      </c>
      <c r="D31" s="3">
        <f>ROUND(IF(Data!E31&lt;0,0-Data!E31,0),1)</f>
        <v>18.100000000000001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0">
        <v>35090</v>
      </c>
      <c r="B32" s="3">
        <v>26</v>
      </c>
      <c r="C32" s="3">
        <v>199601</v>
      </c>
      <c r="D32" s="3">
        <f>ROUND(IF(Data!E32&lt;0,0-Data!E32,0),1)</f>
        <v>15.6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0">
        <v>35091</v>
      </c>
      <c r="B33" s="3">
        <v>27</v>
      </c>
      <c r="C33" s="3">
        <v>199601</v>
      </c>
      <c r="D33" s="3">
        <f>ROUND(IF(Data!E33&lt;0,0-Data!E33,0),1)</f>
        <v>17.7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0">
        <v>35092</v>
      </c>
      <c r="B34" s="3">
        <v>28</v>
      </c>
      <c r="C34" s="3">
        <v>199601</v>
      </c>
      <c r="D34" s="3">
        <f>ROUND(IF(Data!E34&lt;0,0-Data!E34,0),1)</f>
        <v>28.8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0">
        <v>35093</v>
      </c>
      <c r="B35" s="3">
        <v>29</v>
      </c>
      <c r="C35" s="3">
        <v>199601</v>
      </c>
      <c r="D35" s="3">
        <f>ROUND(IF(Data!E35&lt;0,0-Data!E35,0),1)</f>
        <v>33.4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0">
        <v>35094</v>
      </c>
      <c r="B36" s="3">
        <v>30</v>
      </c>
      <c r="C36" s="3">
        <v>199601</v>
      </c>
      <c r="D36" s="3">
        <f>ROUND(IF(Data!E36&lt;0,0-Data!E36,0),1)</f>
        <v>26.9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0">
        <v>35095</v>
      </c>
      <c r="B37" s="3">
        <v>31</v>
      </c>
      <c r="C37" s="3">
        <v>199601</v>
      </c>
      <c r="D37" s="3">
        <f>ROUND(IF(Data!E37&lt;0,0-Data!E37,0),1)</f>
        <v>19.7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0">
        <v>35096</v>
      </c>
      <c r="B38" s="3">
        <v>32</v>
      </c>
      <c r="C38" s="3">
        <v>199602</v>
      </c>
      <c r="D38" s="3">
        <f>ROUND(IF(Data!E38&lt;0,0-Data!E38,0),1)</f>
        <v>20.2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0">
        <v>35097</v>
      </c>
      <c r="B39" s="3">
        <v>33</v>
      </c>
      <c r="C39" s="3">
        <v>199602</v>
      </c>
      <c r="D39" s="3">
        <f>ROUND(IF(Data!E39&lt;0,0-Data!E39,0),1)</f>
        <v>22.5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0">
        <v>35098</v>
      </c>
      <c r="B40" s="3">
        <v>34</v>
      </c>
      <c r="C40" s="3">
        <v>199602</v>
      </c>
      <c r="D40" s="3">
        <f>ROUND(IF(Data!E40&lt;0,0-Data!E40,0),1)</f>
        <v>18.8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0">
        <v>35099</v>
      </c>
      <c r="B41" s="3">
        <v>35</v>
      </c>
      <c r="C41" s="3">
        <v>199602</v>
      </c>
      <c r="D41" s="3">
        <f>ROUND(IF(Data!E41&lt;0,0-Data!E41,0),1)</f>
        <v>13.3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0">
        <v>35100</v>
      </c>
      <c r="B42" s="3">
        <v>36</v>
      </c>
      <c r="C42" s="3">
        <v>199602</v>
      </c>
      <c r="D42" s="3">
        <f>ROUND(IF(Data!E42&lt;0,0-Data!E42,0),1)</f>
        <v>4.5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0">
        <v>35101</v>
      </c>
      <c r="B43" s="3">
        <v>37</v>
      </c>
      <c r="C43" s="3">
        <v>199602</v>
      </c>
      <c r="D43" s="3">
        <f>ROUND(IF(Data!E43&lt;0,0-Data!E43,0),1)</f>
        <v>3.3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0">
        <v>35102</v>
      </c>
      <c r="B44" s="3">
        <v>38</v>
      </c>
      <c r="C44" s="3">
        <v>199602</v>
      </c>
      <c r="D44" s="3">
        <f>ROUND(IF(Data!E44&lt;0,0-Data!E44,0),1)</f>
        <v>1.2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0">
        <v>35103</v>
      </c>
      <c r="B45" s="3">
        <v>39</v>
      </c>
      <c r="C45" s="3">
        <v>199602</v>
      </c>
      <c r="D45" s="3">
        <f>ROUND(IF(Data!E45&lt;0,0-Data!E45,0),1)</f>
        <v>0.4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0">
        <v>35104</v>
      </c>
      <c r="B46" s="3">
        <v>40</v>
      </c>
      <c r="C46" s="3">
        <v>199602</v>
      </c>
      <c r="D46" s="3">
        <f>ROUND(IF(Data!E46&lt;0,0-Data!E46,0),1)</f>
        <v>8.9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0">
        <v>35105</v>
      </c>
      <c r="B47" s="3">
        <v>41</v>
      </c>
      <c r="C47" s="3">
        <v>199602</v>
      </c>
      <c r="D47" s="3">
        <f>ROUND(IF(Data!E47&lt;0,0-Data!E47,0),1)</f>
        <v>11.4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0">
        <v>35106</v>
      </c>
      <c r="B48" s="3">
        <v>42</v>
      </c>
      <c r="C48" s="3">
        <v>199602</v>
      </c>
      <c r="D48" s="3">
        <f>ROUND(IF(Data!E48&lt;0,0-Data!E48,0),1)</f>
        <v>6.4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0">
        <v>35107</v>
      </c>
      <c r="B49" s="3">
        <v>43</v>
      </c>
      <c r="C49" s="3">
        <v>199602</v>
      </c>
      <c r="D49" s="3">
        <f>ROUND(IF(Data!E49&lt;0,0-Data!E49,0),1)</f>
        <v>1.6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0">
        <v>35108</v>
      </c>
      <c r="B50" s="3">
        <v>44</v>
      </c>
      <c r="C50" s="3">
        <v>199602</v>
      </c>
      <c r="D50" s="3">
        <f>ROUND(IF(Data!E50&lt;0,0-Data!E50,0),1)</f>
        <v>0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0">
        <v>35109</v>
      </c>
      <c r="B51" s="3">
        <v>45</v>
      </c>
      <c r="C51" s="3">
        <v>199602</v>
      </c>
      <c r="D51" s="3">
        <f>ROUND(IF(Data!E51&lt;0,0-Data!E51,0),1)</f>
        <v>0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0">
        <v>35110</v>
      </c>
      <c r="B52" s="3">
        <v>46</v>
      </c>
      <c r="C52" s="3">
        <v>199602</v>
      </c>
      <c r="D52" s="3">
        <f>ROUND(IF(Data!E52&lt;0,0-Data!E52,0),1)</f>
        <v>0.1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0">
        <v>35111</v>
      </c>
      <c r="B53" s="3">
        <v>47</v>
      </c>
      <c r="C53" s="3">
        <v>199602</v>
      </c>
      <c r="D53" s="3">
        <f>ROUND(IF(Data!E53&lt;0,0-Data!E53,0),1)</f>
        <v>0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0">
        <v>35112</v>
      </c>
      <c r="B54" s="3">
        <v>48</v>
      </c>
      <c r="C54" s="3">
        <v>199602</v>
      </c>
      <c r="D54" s="3">
        <f>ROUND(IF(Data!E54&lt;0,0-Data!E54,0),1)</f>
        <v>0.6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0">
        <v>35113</v>
      </c>
      <c r="B55" s="3">
        <v>49</v>
      </c>
      <c r="C55" s="3">
        <v>199602</v>
      </c>
      <c r="D55" s="3">
        <f>ROUND(IF(Data!E55&lt;0,0-Data!E55,0),1)</f>
        <v>0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0">
        <v>35114</v>
      </c>
      <c r="B56" s="3">
        <v>50</v>
      </c>
      <c r="C56" s="3">
        <v>199602</v>
      </c>
      <c r="D56" s="3">
        <f>ROUND(IF(Data!E56&lt;0,0-Data!E56,0),1)</f>
        <v>1.2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0">
        <v>35115</v>
      </c>
      <c r="B57" s="3">
        <v>51</v>
      </c>
      <c r="C57" s="3">
        <v>199602</v>
      </c>
      <c r="D57" s="3">
        <f>ROUND(IF(Data!E57&lt;0,0-Data!E57,0),1)</f>
        <v>2.7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0">
        <v>35116</v>
      </c>
      <c r="B58" s="3">
        <v>52</v>
      </c>
      <c r="C58" s="3">
        <v>199602</v>
      </c>
      <c r="D58" s="3">
        <f>ROUND(IF(Data!E58&lt;0,0-Data!E58,0),1)</f>
        <v>5.4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0">
        <v>35117</v>
      </c>
      <c r="B59" s="3">
        <v>53</v>
      </c>
      <c r="C59" s="3">
        <v>199602</v>
      </c>
      <c r="D59" s="3">
        <f>ROUND(IF(Data!E59&lt;0,0-Data!E59,0),1)</f>
        <v>8.6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0">
        <v>35118</v>
      </c>
      <c r="B60" s="3">
        <v>54</v>
      </c>
      <c r="C60" s="3">
        <v>199602</v>
      </c>
      <c r="D60" s="3">
        <f>ROUND(IF(Data!E60&lt;0,0-Data!E60,0),1)</f>
        <v>10.7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0">
        <v>35119</v>
      </c>
      <c r="B61" s="3">
        <v>55</v>
      </c>
      <c r="C61" s="3">
        <v>199602</v>
      </c>
      <c r="D61" s="3">
        <f>ROUND(IF(Data!E61&lt;0,0-Data!E61,0),1)</f>
        <v>13.1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0">
        <v>35120</v>
      </c>
      <c r="B62" s="3">
        <v>56</v>
      </c>
      <c r="C62" s="3">
        <v>199602</v>
      </c>
      <c r="D62" s="3">
        <f>ROUND(IF(Data!E62&lt;0,0-Data!E62,0),1)</f>
        <v>13.1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0">
        <v>35121</v>
      </c>
      <c r="B63" s="3">
        <v>57</v>
      </c>
      <c r="C63" s="3">
        <v>199602</v>
      </c>
      <c r="D63" s="3">
        <f>ROUND(IF(Data!E63&lt;0,0-Data!E63,0),1)</f>
        <v>17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0">
        <v>35122</v>
      </c>
      <c r="B64" s="3">
        <v>58</v>
      </c>
      <c r="C64" s="3">
        <v>199602</v>
      </c>
      <c r="D64" s="3">
        <f>ROUND(IF(Data!E64&lt;0,0-Data!E64,0),1)</f>
        <v>17.8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0">
        <v>35123</v>
      </c>
      <c r="B65" s="3">
        <v>59</v>
      </c>
      <c r="C65" s="3">
        <v>199602</v>
      </c>
      <c r="D65" s="3">
        <f>ROUND(IF(Data!E65&lt;0,0-Data!E65,0),1)</f>
        <v>16.7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0">
        <v>35124</v>
      </c>
      <c r="B66" s="3">
        <v>60</v>
      </c>
      <c r="C66" s="3">
        <v>199602</v>
      </c>
      <c r="D66" s="3">
        <f>ROUND(IF(Data!E66&lt;0,0-Data!E66,0),1)</f>
        <v>12.3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0">
        <v>35125</v>
      </c>
      <c r="B67" s="3">
        <v>61</v>
      </c>
      <c r="C67" s="3">
        <v>199603</v>
      </c>
      <c r="D67" s="3">
        <f>ROUND(IF(Data!E67&lt;0,0-Data!E67,0),1)</f>
        <v>5.3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0">
        <v>35126</v>
      </c>
      <c r="B68" s="3">
        <v>62</v>
      </c>
      <c r="C68" s="3">
        <v>199603</v>
      </c>
      <c r="D68" s="3">
        <f>ROUND(IF(Data!E68&lt;0,0-Data!E68,0),1)</f>
        <v>2.8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0">
        <v>35127</v>
      </c>
      <c r="B69" s="3">
        <v>63</v>
      </c>
      <c r="C69" s="3">
        <v>199603</v>
      </c>
      <c r="D69" s="3">
        <f>ROUND(IF(Data!E69&lt;0,0-Data!E69,0),1)</f>
        <v>7.7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0">
        <v>35128</v>
      </c>
      <c r="B70" s="3">
        <v>64</v>
      </c>
      <c r="C70" s="3">
        <v>199603</v>
      </c>
      <c r="D70" s="3">
        <f>ROUND(IF(Data!E70&lt;0,0-Data!E70,0),1)</f>
        <v>13.9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0">
        <v>35129</v>
      </c>
      <c r="B71" s="3">
        <v>65</v>
      </c>
      <c r="C71" s="3">
        <v>199603</v>
      </c>
      <c r="D71" s="3">
        <f>ROUND(IF(Data!E71&lt;0,0-Data!E71,0),1)</f>
        <v>13.6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0">
        <v>35130</v>
      </c>
      <c r="B72" s="3">
        <v>66</v>
      </c>
      <c r="C72" s="3">
        <v>199603</v>
      </c>
      <c r="D72" s="3">
        <f>ROUND(IF(Data!E72&lt;0,0-Data!E72,0),1)</f>
        <v>9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0">
        <v>35131</v>
      </c>
      <c r="B73" s="3">
        <v>67</v>
      </c>
      <c r="C73" s="3">
        <v>199603</v>
      </c>
      <c r="D73" s="3">
        <f>ROUND(IF(Data!E73&lt;0,0-Data!E73,0),1)</f>
        <v>6.5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0">
        <v>35132</v>
      </c>
      <c r="B74" s="3">
        <v>68</v>
      </c>
      <c r="C74" s="3">
        <v>199603</v>
      </c>
      <c r="D74" s="3">
        <f>ROUND(IF(Data!E74&lt;0,0-Data!E74,0),1)</f>
        <v>2.8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0">
        <v>35133</v>
      </c>
      <c r="B75" s="3">
        <v>69</v>
      </c>
      <c r="C75" s="3">
        <v>199603</v>
      </c>
      <c r="D75" s="3">
        <f>ROUND(IF(Data!E75&lt;0,0-Data!E75,0),1)</f>
        <v>0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0">
        <v>35134</v>
      </c>
      <c r="B76" s="3">
        <v>70</v>
      </c>
      <c r="C76" s="3">
        <v>199603</v>
      </c>
      <c r="D76" s="3">
        <f>ROUND(IF(Data!E76&lt;0,0-Data!E76,0),1)</f>
        <v>0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0">
        <v>35135</v>
      </c>
      <c r="B77" s="3">
        <v>71</v>
      </c>
      <c r="C77" s="3">
        <v>199603</v>
      </c>
      <c r="D77" s="3">
        <f>ROUND(IF(Data!E77&lt;0,0-Data!E77,0),1)</f>
        <v>0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0">
        <v>35136</v>
      </c>
      <c r="B78" s="3">
        <v>72</v>
      </c>
      <c r="C78" s="3">
        <v>199603</v>
      </c>
      <c r="D78" s="3">
        <f>ROUND(IF(Data!E78&lt;0,0-Data!E78,0),1)</f>
        <v>1.9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0">
        <v>35137</v>
      </c>
      <c r="B79" s="3">
        <v>73</v>
      </c>
      <c r="C79" s="3">
        <v>199603</v>
      </c>
      <c r="D79" s="3">
        <f>ROUND(IF(Data!E79&lt;0,0-Data!E79,0),1)</f>
        <v>0.9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0">
        <v>35138</v>
      </c>
      <c r="B80" s="3">
        <v>74</v>
      </c>
      <c r="C80" s="3">
        <v>199603</v>
      </c>
      <c r="D80" s="3">
        <f>ROUND(IF(Data!E80&lt;0,0-Data!E80,0),1)</f>
        <v>0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0">
        <v>35139</v>
      </c>
      <c r="B81" s="3">
        <v>75</v>
      </c>
      <c r="C81" s="3">
        <v>199603</v>
      </c>
      <c r="D81" s="3">
        <f>ROUND(IF(Data!E81&lt;0,0-Data!E81,0),1)</f>
        <v>1.2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0">
        <v>35140</v>
      </c>
      <c r="B82" s="3">
        <v>76</v>
      </c>
      <c r="C82" s="3">
        <v>199603</v>
      </c>
      <c r="D82" s="3">
        <f>ROUND(IF(Data!E82&lt;0,0-Data!E82,0),1)</f>
        <v>3.2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0">
        <v>35141</v>
      </c>
      <c r="B83" s="3">
        <v>77</v>
      </c>
      <c r="C83" s="3">
        <v>199603</v>
      </c>
      <c r="D83" s="3">
        <f>ROUND(IF(Data!E83&lt;0,0-Data!E83,0),1)</f>
        <v>2.5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0">
        <v>35142</v>
      </c>
      <c r="B84" s="3">
        <v>78</v>
      </c>
      <c r="C84" s="3">
        <v>199603</v>
      </c>
      <c r="D84" s="3">
        <f>ROUND(IF(Data!E84&lt;0,0-Data!E84,0),1)</f>
        <v>1.6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0">
        <v>35143</v>
      </c>
      <c r="B85" s="3">
        <v>79</v>
      </c>
      <c r="C85" s="3">
        <v>199603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0">
        <v>35144</v>
      </c>
      <c r="B86" s="3">
        <v>80</v>
      </c>
      <c r="C86" s="3">
        <v>199603</v>
      </c>
      <c r="D86" s="3">
        <f>ROUND(IF(Data!E86&lt;0,0-Data!E86,0),1)</f>
        <v>2.4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0">
        <v>35145</v>
      </c>
      <c r="B87" s="3">
        <v>81</v>
      </c>
      <c r="C87" s="3">
        <v>199603</v>
      </c>
      <c r="D87" s="3">
        <f>ROUND(IF(Data!E87&lt;0,0-Data!E87,0),1)</f>
        <v>2.5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0">
        <v>35146</v>
      </c>
      <c r="B88" s="3">
        <v>82</v>
      </c>
      <c r="C88" s="3">
        <v>199603</v>
      </c>
      <c r="D88" s="3">
        <f>ROUND(IF(Data!E88&lt;0,0-Data!E88,0),1)</f>
        <v>3.7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0">
        <v>35147</v>
      </c>
      <c r="B89" s="3">
        <v>83</v>
      </c>
      <c r="C89" s="3">
        <v>199603</v>
      </c>
      <c r="D89" s="3">
        <f>ROUND(IF(Data!E89&lt;0,0-Data!E89,0),1)</f>
        <v>8.6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0">
        <v>35148</v>
      </c>
      <c r="B90" s="3">
        <v>84</v>
      </c>
      <c r="C90" s="3">
        <v>199603</v>
      </c>
      <c r="D90" s="3">
        <f>ROUND(IF(Data!E90&lt;0,0-Data!E90,0),1)</f>
        <v>11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0">
        <v>35149</v>
      </c>
      <c r="B91" s="3">
        <v>85</v>
      </c>
      <c r="C91" s="3">
        <v>199603</v>
      </c>
      <c r="D91" s="3">
        <f>ROUND(IF(Data!E91&lt;0,0-Data!E91,0),1)</f>
        <v>7.6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0">
        <v>35150</v>
      </c>
      <c r="B92" s="3">
        <v>86</v>
      </c>
      <c r="C92" s="3">
        <v>199603</v>
      </c>
      <c r="D92" s="3">
        <f>ROUND(IF(Data!E92&lt;0,0-Data!E92,0),1)</f>
        <v>6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0">
        <v>35151</v>
      </c>
      <c r="B93" s="3">
        <v>87</v>
      </c>
      <c r="C93" s="3">
        <v>199603</v>
      </c>
      <c r="D93" s="3">
        <f>ROUND(IF(Data!E93&lt;0,0-Data!E93,0),1)</f>
        <v>6.8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0">
        <v>35152</v>
      </c>
      <c r="B94" s="3">
        <v>88</v>
      </c>
      <c r="C94" s="3">
        <v>199603</v>
      </c>
      <c r="D94" s="3">
        <f>ROUND(IF(Data!E94&lt;0,0-Data!E94,0),1)</f>
        <v>6.1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0">
        <v>35153</v>
      </c>
      <c r="B95" s="3">
        <v>89</v>
      </c>
      <c r="C95" s="3">
        <v>199603</v>
      </c>
      <c r="D95" s="3">
        <f>ROUND(IF(Data!E95&lt;0,0-Data!E95,0),1)</f>
        <v>9.4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0">
        <v>35154</v>
      </c>
      <c r="B96" s="3">
        <v>90</v>
      </c>
      <c r="C96" s="3">
        <v>199603</v>
      </c>
      <c r="D96" s="3">
        <f>ROUND(IF(Data!E96&lt;0,0-Data!E96,0),1)</f>
        <v>7.7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0">
        <v>35155</v>
      </c>
      <c r="B97" s="3">
        <v>91</v>
      </c>
      <c r="C97" s="3">
        <v>199603</v>
      </c>
      <c r="D97" s="3">
        <f>ROUND(IF(Data!E97&lt;0,0-Data!E97,0),1)</f>
        <v>5.6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0">
        <v>35156</v>
      </c>
      <c r="B98" s="3">
        <v>92</v>
      </c>
      <c r="C98" s="3">
        <v>199604</v>
      </c>
      <c r="D98" s="3">
        <f>ROUND(IF(Data!E98&lt;0,0-Data!E98,0),1)</f>
        <v>1.5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0">
        <v>35157</v>
      </c>
      <c r="B99" s="3">
        <v>93</v>
      </c>
      <c r="C99" s="3">
        <v>199604</v>
      </c>
      <c r="D99" s="3">
        <f>ROUND(IF(Data!E99&lt;0,0-Data!E99,0),1)</f>
        <v>4.5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0">
        <v>35158</v>
      </c>
      <c r="B100" s="3">
        <v>94</v>
      </c>
      <c r="C100" s="3">
        <v>199604</v>
      </c>
      <c r="D100" s="3">
        <f>ROUND(IF(Data!E100&lt;0,0-Data!E100,0),1)</f>
        <v>5.4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0">
        <v>35159</v>
      </c>
      <c r="B101" s="3">
        <v>95</v>
      </c>
      <c r="C101" s="3">
        <v>199604</v>
      </c>
      <c r="D101" s="3">
        <f>ROUND(IF(Data!E101&lt;0,0-Data!E101,0),1)</f>
        <v>0.1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0">
        <v>35160</v>
      </c>
      <c r="B102" s="3">
        <v>96</v>
      </c>
      <c r="C102" s="3">
        <v>199604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0">
        <v>35161</v>
      </c>
      <c r="B103" s="3">
        <v>97</v>
      </c>
      <c r="C103" s="3">
        <v>199604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0">
        <v>35162</v>
      </c>
      <c r="B104" s="3">
        <v>98</v>
      </c>
      <c r="C104" s="3">
        <v>199604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0">
        <v>35163</v>
      </c>
      <c r="B105" s="3">
        <v>99</v>
      </c>
      <c r="C105" s="3">
        <v>199604</v>
      </c>
      <c r="D105" s="3">
        <f>ROUND(IF(Data!E105&lt;0,0-Data!E105,0),1)</f>
        <v>0</v>
      </c>
      <c r="E105" s="3">
        <f>ROUND(IF(Data!E105&gt;5,Data!E105-5,0),1)</f>
        <v>1.8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0">
        <v>35164</v>
      </c>
      <c r="B106" s="3">
        <v>100</v>
      </c>
      <c r="C106" s="3">
        <v>199604</v>
      </c>
      <c r="D106" s="3">
        <f>ROUND(IF(Data!E106&lt;0,0-Data!E106,0),1)</f>
        <v>0</v>
      </c>
      <c r="E106" s="3">
        <f>ROUND(IF(Data!E106&gt;5,Data!E106-5,0),1)</f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0">
        <v>35165</v>
      </c>
      <c r="B107" s="3">
        <v>101</v>
      </c>
      <c r="C107" s="3">
        <v>199604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0">
        <v>35166</v>
      </c>
      <c r="B108" s="3">
        <v>102</v>
      </c>
      <c r="C108" s="3">
        <v>199604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0">
        <v>35167</v>
      </c>
      <c r="B109" s="3">
        <v>103</v>
      </c>
      <c r="C109" s="3">
        <v>199604</v>
      </c>
      <c r="D109" s="3">
        <f>ROUND(IF(Data!E109&lt;0,0-Data!E109,0),1)</f>
        <v>1.8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0">
        <v>35168</v>
      </c>
      <c r="B110" s="3">
        <v>104</v>
      </c>
      <c r="C110" s="3">
        <v>199604</v>
      </c>
      <c r="D110" s="3">
        <f>ROUND(IF(Data!E110&lt;0,0-Data!E110,0),1)</f>
        <v>0.2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0">
        <v>35169</v>
      </c>
      <c r="B111" s="3">
        <v>105</v>
      </c>
      <c r="C111" s="3">
        <v>199604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0">
        <v>35170</v>
      </c>
      <c r="B112" s="3">
        <v>106</v>
      </c>
      <c r="C112" s="3">
        <v>199604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0">
        <v>35171</v>
      </c>
      <c r="B113" s="3">
        <v>107</v>
      </c>
      <c r="C113" s="3">
        <v>199604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0">
        <v>35172</v>
      </c>
      <c r="B114" s="3">
        <v>108</v>
      </c>
      <c r="C114" s="3">
        <v>199604</v>
      </c>
      <c r="D114" s="3">
        <f>ROUND(IF(Data!E114&lt;0,0-Data!E114,0),1)</f>
        <v>0.1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0">
        <v>35173</v>
      </c>
      <c r="B115" s="3">
        <v>109</v>
      </c>
      <c r="C115" s="3">
        <v>199604</v>
      </c>
      <c r="D115" s="3">
        <f>ROUND(IF(Data!E115&lt;0,0-Data!E115,0),1)</f>
        <v>1.3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0">
        <v>35174</v>
      </c>
      <c r="B116" s="3">
        <v>110</v>
      </c>
      <c r="C116" s="3">
        <v>199604</v>
      </c>
      <c r="D116" s="3">
        <f>ROUND(IF(Data!E116&lt;0,0-Data!E116,0),1)</f>
        <v>1.6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0">
        <v>35175</v>
      </c>
      <c r="B117" s="3">
        <v>111</v>
      </c>
      <c r="C117" s="3">
        <v>199604</v>
      </c>
      <c r="D117" s="3">
        <f>ROUND(IF(Data!E117&lt;0,0-Data!E117,0),1)</f>
        <v>0.5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0">
        <v>35176</v>
      </c>
      <c r="B118" s="3">
        <v>112</v>
      </c>
      <c r="C118" s="3">
        <v>199604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0">
        <v>35177</v>
      </c>
      <c r="B119" s="3">
        <v>113</v>
      </c>
      <c r="C119" s="3">
        <v>199604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0">
        <v>35178</v>
      </c>
      <c r="B120" s="3">
        <v>114</v>
      </c>
      <c r="C120" s="3">
        <v>199604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0">
        <v>35179</v>
      </c>
      <c r="B121" s="3">
        <v>115</v>
      </c>
      <c r="C121" s="3">
        <v>199604</v>
      </c>
      <c r="D121" s="3">
        <f>ROUND(IF(Data!E121&lt;0,0-Data!E121,0),1)</f>
        <v>0.5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0">
        <v>35180</v>
      </c>
      <c r="B122" s="3">
        <v>116</v>
      </c>
      <c r="C122" s="3">
        <v>199604</v>
      </c>
      <c r="D122" s="3">
        <f>ROUND(IF(Data!E122&lt;0,0-Data!E122,0),1)</f>
        <v>1.7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0">
        <v>35181</v>
      </c>
      <c r="B123" s="3">
        <v>117</v>
      </c>
      <c r="C123" s="3">
        <v>199604</v>
      </c>
      <c r="D123" s="3">
        <f>ROUND(IF(Data!E123&lt;0,0-Data!E123,0),1)</f>
        <v>1.6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0">
        <v>35182</v>
      </c>
      <c r="B124" s="3">
        <v>118</v>
      </c>
      <c r="C124" s="3">
        <v>199604</v>
      </c>
      <c r="D124" s="3">
        <f>ROUND(IF(Data!E124&lt;0,0-Data!E124,0),1)</f>
        <v>1.3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0">
        <v>35183</v>
      </c>
      <c r="B125" s="3">
        <v>119</v>
      </c>
      <c r="C125" s="3">
        <v>199604</v>
      </c>
      <c r="D125" s="3">
        <f>ROUND(IF(Data!E125&lt;0,0-Data!E125,0),1)</f>
        <v>1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0">
        <v>35184</v>
      </c>
      <c r="B126" s="3">
        <v>120</v>
      </c>
      <c r="C126" s="3">
        <v>199604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0">
        <v>35185</v>
      </c>
      <c r="B127" s="3">
        <v>121</v>
      </c>
      <c r="C127" s="3">
        <v>199604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0">
        <v>35186</v>
      </c>
      <c r="B128" s="3">
        <v>122</v>
      </c>
      <c r="C128" s="3">
        <v>199605</v>
      </c>
      <c r="D128" s="3">
        <f>ROUND(IF(Data!E128&lt;0,0-Data!E128,0),1)</f>
        <v>1.5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0">
        <v>35187</v>
      </c>
      <c r="B129" s="3">
        <v>123</v>
      </c>
      <c r="C129" s="3">
        <v>199605</v>
      </c>
      <c r="D129" s="3">
        <f>ROUND(IF(Data!E129&lt;0,0-Data!E129,0),1)</f>
        <v>3.1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0">
        <v>35188</v>
      </c>
      <c r="B130" s="3">
        <v>124</v>
      </c>
      <c r="C130" s="3">
        <v>199605</v>
      </c>
      <c r="D130" s="3">
        <f>ROUND(IF(Data!E130&lt;0,0-Data!E130,0),1)</f>
        <v>2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0">
        <v>35189</v>
      </c>
      <c r="B131" s="3">
        <v>125</v>
      </c>
      <c r="C131" s="3">
        <v>199605</v>
      </c>
      <c r="D131" s="3">
        <f>ROUND(IF(Data!E131&lt;0,0-Data!E131,0),1)</f>
        <v>0.4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0">
        <v>35190</v>
      </c>
      <c r="B132" s="3">
        <v>126</v>
      </c>
      <c r="C132" s="3">
        <v>199605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0">
        <v>35191</v>
      </c>
      <c r="B133" s="3">
        <v>127</v>
      </c>
      <c r="C133" s="3">
        <v>199605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0">
        <v>35192</v>
      </c>
      <c r="B134" s="3">
        <v>128</v>
      </c>
      <c r="C134" s="3">
        <v>199605</v>
      </c>
      <c r="D134" s="3">
        <f>ROUND(IF(Data!E134&lt;0,0-Data!E134,0),1)</f>
        <v>3.1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0">
        <v>35193</v>
      </c>
      <c r="B135" s="3">
        <v>129</v>
      </c>
      <c r="C135" s="3">
        <v>199605</v>
      </c>
      <c r="D135" s="3">
        <f>ROUND(IF(Data!E135&lt;0,0-Data!E135,0),1)</f>
        <v>4.3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0">
        <v>35194</v>
      </c>
      <c r="B136" s="3">
        <v>130</v>
      </c>
      <c r="C136" s="3">
        <v>199605</v>
      </c>
      <c r="D136" s="3">
        <f>ROUND(IF(Data!E136&lt;0,0-Data!E136,0),1)</f>
        <v>2.4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0">
        <v>35195</v>
      </c>
      <c r="B137" s="3">
        <v>131</v>
      </c>
      <c r="C137" s="3">
        <v>199605</v>
      </c>
      <c r="D137" s="3">
        <f>ROUND(IF(Data!E137&lt;0,0-Data!E137,0),1)</f>
        <v>0.9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0">
        <v>35196</v>
      </c>
      <c r="B138" s="3">
        <v>132</v>
      </c>
      <c r="C138" s="3">
        <v>199605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0">
        <v>35197</v>
      </c>
      <c r="B139" s="3">
        <v>133</v>
      </c>
      <c r="C139" s="3">
        <v>199605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0">
        <v>35198</v>
      </c>
      <c r="B140" s="3">
        <v>134</v>
      </c>
      <c r="C140" s="3">
        <v>199605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0">
        <v>35199</v>
      </c>
      <c r="B141" s="3">
        <v>135</v>
      </c>
      <c r="C141" s="3">
        <v>199605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0">
        <v>35200</v>
      </c>
      <c r="B142" s="3">
        <v>136</v>
      </c>
      <c r="C142" s="3">
        <v>199605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0">
        <v>35201</v>
      </c>
      <c r="B143" s="3">
        <v>137</v>
      </c>
      <c r="C143" s="3">
        <v>199605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0">
        <v>35202</v>
      </c>
      <c r="B144" s="3">
        <v>138</v>
      </c>
      <c r="C144" s="3">
        <v>199605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0">
        <v>35203</v>
      </c>
      <c r="B145" s="3">
        <v>139</v>
      </c>
      <c r="C145" s="3">
        <v>199605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0">
        <v>35204</v>
      </c>
      <c r="B146" s="3">
        <v>140</v>
      </c>
      <c r="C146" s="3">
        <v>199605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0">
        <v>35205</v>
      </c>
      <c r="B147" s="3">
        <v>141</v>
      </c>
      <c r="C147" s="3">
        <v>199605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0">
        <v>35206</v>
      </c>
      <c r="B148" s="3">
        <v>142</v>
      </c>
      <c r="C148" s="3">
        <v>199605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0">
        <v>35207</v>
      </c>
      <c r="B149" s="3">
        <v>143</v>
      </c>
      <c r="C149" s="3">
        <v>199605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0">
        <v>35208</v>
      </c>
      <c r="B150" s="3">
        <v>144</v>
      </c>
      <c r="C150" s="3">
        <v>199605</v>
      </c>
      <c r="D150" s="3">
        <f>ROUND(IF(Data!E150&lt;0,0-Data!E150,0),1)</f>
        <v>0</v>
      </c>
      <c r="E150" s="3">
        <f>ROUND(IF(Data!E150&gt;5,Data!E150-5,0),1)</f>
        <v>0.5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0">
        <v>35209</v>
      </c>
      <c r="B151" s="3">
        <v>145</v>
      </c>
      <c r="C151" s="3">
        <v>199605</v>
      </c>
      <c r="D151" s="3">
        <f>ROUND(IF(Data!E151&lt;0,0-Data!E151,0),1)</f>
        <v>0</v>
      </c>
      <c r="E151" s="3">
        <f>ROUND(IF(Data!E151&gt;5,Data!E151-5,0),1)</f>
        <v>3.6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0">
        <v>35210</v>
      </c>
      <c r="B152" s="3">
        <v>146</v>
      </c>
      <c r="C152" s="3">
        <v>199605</v>
      </c>
      <c r="D152" s="3">
        <f>ROUND(IF(Data!E152&lt;0,0-Data!E152,0),1)</f>
        <v>0</v>
      </c>
      <c r="E152" s="3">
        <f>ROUND(IF(Data!E152&gt;5,Data!E152-5,0),1)</f>
        <v>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0">
        <v>35211</v>
      </c>
      <c r="B153" s="3">
        <v>147</v>
      </c>
      <c r="C153" s="3">
        <v>199605</v>
      </c>
      <c r="D153" s="3">
        <f>ROUND(IF(Data!E153&lt;0,0-Data!E153,0),1)</f>
        <v>0</v>
      </c>
      <c r="E153" s="3">
        <f>ROUND(IF(Data!E153&gt;5,Data!E153-5,0),1)</f>
        <v>2.4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0">
        <v>35212</v>
      </c>
      <c r="B154" s="3">
        <v>148</v>
      </c>
      <c r="C154" s="3">
        <v>199605</v>
      </c>
      <c r="D154" s="3">
        <f>ROUND(IF(Data!E154&lt;0,0-Data!E154,0),1)</f>
        <v>0</v>
      </c>
      <c r="E154" s="3">
        <f>ROUND(IF(Data!E154&gt;5,Data!E154-5,0),1)</f>
        <v>1.1000000000000001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0">
        <v>35213</v>
      </c>
      <c r="B155" s="3">
        <v>149</v>
      </c>
      <c r="C155" s="3">
        <v>199605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0">
        <v>35214</v>
      </c>
      <c r="B156" s="3">
        <v>150</v>
      </c>
      <c r="C156" s="3">
        <v>199605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0">
        <v>35215</v>
      </c>
      <c r="B157" s="3">
        <v>151</v>
      </c>
      <c r="C157" s="3">
        <v>199605</v>
      </c>
      <c r="D157" s="3">
        <f>ROUND(IF(Data!E157&lt;0,0-Data!E157,0),1)</f>
        <v>0</v>
      </c>
      <c r="E157" s="3">
        <f>ROUND(IF(Data!E157&gt;5,Data!E157-5,0),1)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0">
        <v>35216</v>
      </c>
      <c r="B158" s="3">
        <v>152</v>
      </c>
      <c r="C158" s="3">
        <v>199605</v>
      </c>
      <c r="D158" s="3">
        <f>ROUND(IF(Data!E158&lt;0,0-Data!E158,0),1)</f>
        <v>0</v>
      </c>
      <c r="E158" s="3">
        <f>ROUND(IF(Data!E158&gt;5,Data!E158-5,0),1)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0">
        <v>35217</v>
      </c>
      <c r="B159" s="3">
        <v>153</v>
      </c>
      <c r="C159" s="3">
        <v>199606</v>
      </c>
      <c r="D159" s="3">
        <f>ROUND(IF(Data!E159&lt;0,0-Data!E159,0),1)</f>
        <v>0</v>
      </c>
      <c r="E159" s="3">
        <f>ROUND(IF(Data!E159&gt;5,Data!E159-5,0),1)</f>
        <v>1.6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0">
        <v>35218</v>
      </c>
      <c r="B160" s="3">
        <v>154</v>
      </c>
      <c r="C160" s="3">
        <v>199606</v>
      </c>
      <c r="D160" s="3">
        <f>ROUND(IF(Data!E160&lt;0,0-Data!E160,0),1)</f>
        <v>0</v>
      </c>
      <c r="E160" s="3">
        <f>ROUND(IF(Data!E160&gt;5,Data!E160-5,0),1)</f>
        <v>4.5999999999999996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0">
        <v>35219</v>
      </c>
      <c r="B161" s="3">
        <v>155</v>
      </c>
      <c r="C161" s="3">
        <v>199606</v>
      </c>
      <c r="D161" s="3">
        <f>ROUND(IF(Data!E161&lt;0,0-Data!E161,0),1)</f>
        <v>0</v>
      </c>
      <c r="E161" s="3">
        <f>ROUND(IF(Data!E161&gt;5,Data!E161-5,0),1)</f>
        <v>5.8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0">
        <v>35220</v>
      </c>
      <c r="B162" s="3">
        <v>156</v>
      </c>
      <c r="C162" s="3">
        <v>199606</v>
      </c>
      <c r="D162" s="3">
        <f>ROUND(IF(Data!E162&lt;0,0-Data!E162,0),1)</f>
        <v>0</v>
      </c>
      <c r="E162" s="3">
        <f>ROUND(IF(Data!E162&gt;5,Data!E162-5,0),1)</f>
        <v>2.4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0">
        <v>35221</v>
      </c>
      <c r="B163" s="3">
        <v>157</v>
      </c>
      <c r="C163" s="3">
        <v>199606</v>
      </c>
      <c r="D163" s="3">
        <f>ROUND(IF(Data!E163&lt;0,0-Data!E163,0),1)</f>
        <v>0</v>
      </c>
      <c r="E163" s="3">
        <f>ROUND(IF(Data!E163&gt;5,Data!E163-5,0),1)</f>
        <v>2.4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0">
        <v>35222</v>
      </c>
      <c r="B164" s="3">
        <v>158</v>
      </c>
      <c r="C164" s="3">
        <v>199606</v>
      </c>
      <c r="D164" s="3">
        <f>ROUND(IF(Data!E164&lt;0,0-Data!E164,0),1)</f>
        <v>0</v>
      </c>
      <c r="E164" s="3">
        <f>ROUND(IF(Data!E164&gt;5,Data!E164-5,0),1)</f>
        <v>4.5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0">
        <v>35223</v>
      </c>
      <c r="B165" s="3">
        <v>159</v>
      </c>
      <c r="C165" s="3">
        <v>199606</v>
      </c>
      <c r="D165" s="3">
        <f>ROUND(IF(Data!E165&lt;0,0-Data!E165,0),1)</f>
        <v>0</v>
      </c>
      <c r="E165" s="3">
        <f>ROUND(IF(Data!E165&gt;5,Data!E165-5,0),1)</f>
        <v>6.1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0">
        <v>35224</v>
      </c>
      <c r="B166" s="3">
        <v>160</v>
      </c>
      <c r="C166" s="3">
        <v>199606</v>
      </c>
      <c r="D166" s="3">
        <f>ROUND(IF(Data!E166&lt;0,0-Data!E166,0),1)</f>
        <v>0</v>
      </c>
      <c r="E166" s="3">
        <f>ROUND(IF(Data!E166&gt;5,Data!E166-5,0),1)</f>
        <v>3.6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0">
        <v>35225</v>
      </c>
      <c r="B167" s="3">
        <v>161</v>
      </c>
      <c r="C167" s="3">
        <v>199606</v>
      </c>
      <c r="D167" s="3">
        <f>ROUND(IF(Data!E167&lt;0,0-Data!E167,0),1)</f>
        <v>0</v>
      </c>
      <c r="E167" s="3">
        <f>ROUND(IF(Data!E167&gt;5,Data!E167-5,0),1)</f>
        <v>1.5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0">
        <v>35226</v>
      </c>
      <c r="B168" s="3">
        <v>162</v>
      </c>
      <c r="C168" s="3">
        <v>199606</v>
      </c>
      <c r="D168" s="3">
        <f>ROUND(IF(Data!E168&lt;0,0-Data!E168,0),1)</f>
        <v>0</v>
      </c>
      <c r="E168" s="3">
        <f>ROUND(IF(Data!E168&gt;5,Data!E168-5,0),1)</f>
        <v>1.2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0">
        <v>35227</v>
      </c>
      <c r="B169" s="3">
        <v>163</v>
      </c>
      <c r="C169" s="3">
        <v>199606</v>
      </c>
      <c r="D169" s="3">
        <f>ROUND(IF(Data!E169&lt;0,0-Data!E169,0),1)</f>
        <v>0</v>
      </c>
      <c r="E169" s="3">
        <f>ROUND(IF(Data!E169&gt;5,Data!E169-5,0),1)</f>
        <v>0.9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0">
        <v>35228</v>
      </c>
      <c r="B170" s="3">
        <v>164</v>
      </c>
      <c r="C170" s="3">
        <v>199606</v>
      </c>
      <c r="D170" s="3">
        <f>ROUND(IF(Data!E170&lt;0,0-Data!E170,0),1)</f>
        <v>0</v>
      </c>
      <c r="E170" s="3">
        <f>ROUND(IF(Data!E170&gt;5,Data!E170-5,0),1)</f>
        <v>3.6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0">
        <v>35229</v>
      </c>
      <c r="B171" s="3">
        <v>165</v>
      </c>
      <c r="C171" s="3">
        <v>199606</v>
      </c>
      <c r="D171" s="3">
        <f>ROUND(IF(Data!E171&lt;0,0-Data!E171,0),1)</f>
        <v>0</v>
      </c>
      <c r="E171" s="3">
        <f>ROUND(IF(Data!E171&gt;5,Data!E171-5,0),1)</f>
        <v>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0">
        <v>35230</v>
      </c>
      <c r="B172" s="3">
        <v>166</v>
      </c>
      <c r="C172" s="3">
        <v>199606</v>
      </c>
      <c r="D172" s="3">
        <f>ROUND(IF(Data!E172&lt;0,0-Data!E172,0),1)</f>
        <v>0</v>
      </c>
      <c r="E172" s="3">
        <f>ROUND(IF(Data!E172&gt;5,Data!E172-5,0),1)</f>
        <v>3.4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0">
        <v>35231</v>
      </c>
      <c r="B173" s="3">
        <v>167</v>
      </c>
      <c r="C173" s="3">
        <v>199606</v>
      </c>
      <c r="D173" s="3">
        <f>ROUND(IF(Data!E173&lt;0,0-Data!E173,0),1)</f>
        <v>0</v>
      </c>
      <c r="E173" s="3">
        <f>ROUND(IF(Data!E173&gt;5,Data!E173-5,0),1)</f>
        <v>2.4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0">
        <v>35232</v>
      </c>
      <c r="B174" s="3">
        <v>168</v>
      </c>
      <c r="C174" s="3">
        <v>199606</v>
      </c>
      <c r="D174" s="3">
        <f>ROUND(IF(Data!E174&lt;0,0-Data!E174,0),1)</f>
        <v>0</v>
      </c>
      <c r="E174" s="3">
        <f>ROUND(IF(Data!E174&gt;5,Data!E174-5,0),1)</f>
        <v>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0">
        <v>35233</v>
      </c>
      <c r="B175" s="3">
        <v>169</v>
      </c>
      <c r="C175" s="3">
        <v>199606</v>
      </c>
      <c r="D175" s="3">
        <f>ROUND(IF(Data!E175&lt;0,0-Data!E175,0),1)</f>
        <v>0</v>
      </c>
      <c r="E175" s="3">
        <f>ROUND(IF(Data!E175&gt;5,Data!E175-5,0),1)</f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0">
        <v>35234</v>
      </c>
      <c r="B176" s="3">
        <v>170</v>
      </c>
      <c r="C176" s="3">
        <v>199606</v>
      </c>
      <c r="D176" s="3">
        <f>ROUND(IF(Data!E176&lt;0,0-Data!E176,0),1)</f>
        <v>0</v>
      </c>
      <c r="E176" s="3">
        <f>ROUND(IF(Data!E176&gt;5,Data!E176-5,0),1)</f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0">
        <v>35235</v>
      </c>
      <c r="B177" s="3">
        <v>171</v>
      </c>
      <c r="C177" s="3">
        <v>199606</v>
      </c>
      <c r="D177" s="3">
        <f>ROUND(IF(Data!E177&lt;0,0-Data!E177,0),1)</f>
        <v>0</v>
      </c>
      <c r="E177" s="3">
        <f>ROUND(IF(Data!E177&gt;5,Data!E177-5,0),1)</f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0">
        <v>35236</v>
      </c>
      <c r="B178" s="3">
        <v>172</v>
      </c>
      <c r="C178" s="3">
        <v>199606</v>
      </c>
      <c r="D178" s="3">
        <f>ROUND(IF(Data!E178&lt;0,0-Data!E178,0),1)</f>
        <v>0</v>
      </c>
      <c r="E178" s="3">
        <f>ROUND(IF(Data!E178&gt;5,Data!E178-5,0),1)</f>
        <v>1.6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0">
        <v>35237</v>
      </c>
      <c r="B179" s="3">
        <v>173</v>
      </c>
      <c r="C179" s="3">
        <v>199606</v>
      </c>
      <c r="D179" s="3">
        <f>ROUND(IF(Data!E179&lt;0,0-Data!E179,0),1)</f>
        <v>0</v>
      </c>
      <c r="E179" s="3">
        <f>ROUND(IF(Data!E179&gt;5,Data!E179-5,0),1)</f>
        <v>2.6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0">
        <v>35238</v>
      </c>
      <c r="B180" s="3">
        <v>174</v>
      </c>
      <c r="C180" s="3">
        <v>199606</v>
      </c>
      <c r="D180" s="3">
        <f>ROUND(IF(Data!E180&lt;0,0-Data!E180,0),1)</f>
        <v>0</v>
      </c>
      <c r="E180" s="3">
        <f>ROUND(IF(Data!E180&gt;5,Data!E180-5,0),1)</f>
        <v>2.1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0">
        <v>35239</v>
      </c>
      <c r="B181" s="3">
        <v>175</v>
      </c>
      <c r="C181" s="3">
        <v>199606</v>
      </c>
      <c r="D181" s="3">
        <f>ROUND(IF(Data!E181&lt;0,0-Data!E181,0),1)</f>
        <v>0</v>
      </c>
      <c r="E181" s="3">
        <f>ROUND(IF(Data!E181&gt;5,Data!E181-5,0),1)</f>
        <v>1.9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0">
        <v>35240</v>
      </c>
      <c r="B182" s="3">
        <v>176</v>
      </c>
      <c r="C182" s="3">
        <v>199606</v>
      </c>
      <c r="D182" s="3">
        <f>ROUND(IF(Data!E182&lt;0,0-Data!E182,0),1)</f>
        <v>0</v>
      </c>
      <c r="E182" s="3">
        <f>ROUND(IF(Data!E182&gt;5,Data!E182-5,0),1)</f>
        <v>1.1000000000000001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0">
        <v>35241</v>
      </c>
      <c r="B183" s="3">
        <v>177</v>
      </c>
      <c r="C183" s="3">
        <v>199606</v>
      </c>
      <c r="D183" s="3">
        <f>ROUND(IF(Data!E183&lt;0,0-Data!E183,0),1)</f>
        <v>0</v>
      </c>
      <c r="E183" s="3">
        <f>ROUND(IF(Data!E183&gt;5,Data!E183-5,0),1)</f>
        <v>2.1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0">
        <v>35242</v>
      </c>
      <c r="B184" s="3">
        <v>178</v>
      </c>
      <c r="C184" s="3">
        <v>199606</v>
      </c>
      <c r="D184" s="3">
        <f>ROUND(IF(Data!E184&lt;0,0-Data!E184,0),1)</f>
        <v>0</v>
      </c>
      <c r="E184" s="3">
        <f>ROUND(IF(Data!E184&gt;5,Data!E184-5,0),1)</f>
        <v>2.9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0">
        <v>35243</v>
      </c>
      <c r="B185" s="3">
        <v>179</v>
      </c>
      <c r="C185" s="3">
        <v>199606</v>
      </c>
      <c r="D185" s="3">
        <f>ROUND(IF(Data!E185&lt;0,0-Data!E185,0),1)</f>
        <v>0</v>
      </c>
      <c r="E185" s="3">
        <f>ROUND(IF(Data!E185&gt;5,Data!E185-5,0),1)</f>
        <v>3.4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0">
        <v>35244</v>
      </c>
      <c r="B186" s="3">
        <v>180</v>
      </c>
      <c r="C186" s="3">
        <v>199606</v>
      </c>
      <c r="D186" s="3">
        <f>ROUND(IF(Data!E186&lt;0,0-Data!E186,0),1)</f>
        <v>0</v>
      </c>
      <c r="E186" s="3">
        <f>ROUND(IF(Data!E186&gt;5,Data!E186-5,0),1)</f>
        <v>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0">
        <v>35245</v>
      </c>
      <c r="B187" s="3">
        <v>181</v>
      </c>
      <c r="C187" s="3">
        <v>199606</v>
      </c>
      <c r="D187" s="3">
        <f>ROUND(IF(Data!E187&lt;0,0-Data!E187,0),1)</f>
        <v>0</v>
      </c>
      <c r="E187" s="3">
        <f>ROUND(IF(Data!E187&gt;5,Data!E187-5,0),1)</f>
        <v>3.3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0">
        <v>35246</v>
      </c>
      <c r="B188" s="3">
        <v>182</v>
      </c>
      <c r="C188" s="3">
        <v>199606</v>
      </c>
      <c r="D188" s="3">
        <f>ROUND(IF(Data!E188&lt;0,0-Data!E188,0),1)</f>
        <v>0</v>
      </c>
      <c r="E188" s="3">
        <f>ROUND(IF(Data!E188&gt;5,Data!E188-5,0),1)</f>
        <v>5.2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0">
        <v>35247</v>
      </c>
      <c r="B189" s="3">
        <v>183</v>
      </c>
      <c r="C189" s="3">
        <v>199607</v>
      </c>
      <c r="D189" s="3">
        <f>ROUND(IF(Data!E189&lt;0,0-Data!E189,0),1)</f>
        <v>0</v>
      </c>
      <c r="E189" s="3">
        <f>ROUND(IF(Data!E189&gt;5,Data!E189-5,0),1)</f>
        <v>6.4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0">
        <v>35248</v>
      </c>
      <c r="B190" s="3">
        <v>184</v>
      </c>
      <c r="C190" s="3">
        <v>199607</v>
      </c>
      <c r="D190" s="3">
        <f>ROUND(IF(Data!E190&lt;0,0-Data!E190,0),1)</f>
        <v>0</v>
      </c>
      <c r="E190" s="3">
        <f>ROUND(IF(Data!E190&gt;5,Data!E190-5,0),1)</f>
        <v>8.9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0">
        <v>35249</v>
      </c>
      <c r="B191" s="3">
        <v>185</v>
      </c>
      <c r="C191" s="3">
        <v>199607</v>
      </c>
      <c r="D191" s="3">
        <f>ROUND(IF(Data!E191&lt;0,0-Data!E191,0),1)</f>
        <v>0</v>
      </c>
      <c r="E191" s="3">
        <f>ROUND(IF(Data!E191&gt;5,Data!E191-5,0),1)</f>
        <v>8.6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0">
        <v>35250</v>
      </c>
      <c r="B192" s="3">
        <v>186</v>
      </c>
      <c r="C192" s="3">
        <v>199607</v>
      </c>
      <c r="D192" s="3">
        <f>ROUND(IF(Data!E192&lt;0,0-Data!E192,0),1)</f>
        <v>0</v>
      </c>
      <c r="E192" s="3">
        <f>ROUND(IF(Data!E192&gt;5,Data!E192-5,0),1)</f>
        <v>4.4000000000000004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0">
        <v>35251</v>
      </c>
      <c r="B193" s="3">
        <v>187</v>
      </c>
      <c r="C193" s="3">
        <v>199607</v>
      </c>
      <c r="D193" s="3">
        <f>ROUND(IF(Data!E193&lt;0,0-Data!E193,0),1)</f>
        <v>0</v>
      </c>
      <c r="E193" s="3">
        <f>ROUND(IF(Data!E193&gt;5,Data!E193-5,0),1)</f>
        <v>1.3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0">
        <v>35252</v>
      </c>
      <c r="B194" s="3">
        <v>188</v>
      </c>
      <c r="C194" s="3">
        <v>199607</v>
      </c>
      <c r="D194" s="3">
        <f>ROUND(IF(Data!E194&lt;0,0-Data!E194,0),1)</f>
        <v>0</v>
      </c>
      <c r="E194" s="3">
        <f>ROUND(IF(Data!E194&gt;5,Data!E194-5,0),1)</f>
        <v>3.9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0">
        <v>35253</v>
      </c>
      <c r="B195" s="3">
        <v>189</v>
      </c>
      <c r="C195" s="3">
        <v>199607</v>
      </c>
      <c r="D195" s="3">
        <f>ROUND(IF(Data!E195&lt;0,0-Data!E195,0),1)</f>
        <v>0</v>
      </c>
      <c r="E195" s="3">
        <f>ROUND(IF(Data!E195&gt;5,Data!E195-5,0),1)</f>
        <v>7.2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0">
        <v>35254</v>
      </c>
      <c r="B196" s="3">
        <v>190</v>
      </c>
      <c r="C196" s="3">
        <v>199607</v>
      </c>
      <c r="D196" s="3">
        <f>ROUND(IF(Data!E196&lt;0,0-Data!E196,0),1)</f>
        <v>0</v>
      </c>
      <c r="E196" s="3">
        <f>ROUND(IF(Data!E196&gt;5,Data!E196-5,0),1)</f>
        <v>11.4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0">
        <v>35255</v>
      </c>
      <c r="B197" s="3">
        <v>191</v>
      </c>
      <c r="C197" s="3">
        <v>199607</v>
      </c>
      <c r="D197" s="3">
        <f>ROUND(IF(Data!E197&lt;0,0-Data!E197,0),1)</f>
        <v>0</v>
      </c>
      <c r="E197" s="3">
        <f>ROUND(IF(Data!E197&gt;5,Data!E197-5,0),1)</f>
        <v>8.6999999999999993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0">
        <v>35256</v>
      </c>
      <c r="B198" s="3">
        <v>192</v>
      </c>
      <c r="C198" s="3">
        <v>199607</v>
      </c>
      <c r="D198" s="3">
        <f>ROUND(IF(Data!E198&lt;0,0-Data!E198,0),1)</f>
        <v>0</v>
      </c>
      <c r="E198" s="3">
        <f>ROUND(IF(Data!E198&gt;5,Data!E198-5,0),1)</f>
        <v>3.9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0">
        <v>35257</v>
      </c>
      <c r="B199" s="3">
        <v>193</v>
      </c>
      <c r="C199" s="3">
        <v>199607</v>
      </c>
      <c r="D199" s="3">
        <f>ROUND(IF(Data!E199&lt;0,0-Data!E199,0),1)</f>
        <v>0</v>
      </c>
      <c r="E199" s="3">
        <f>ROUND(IF(Data!E199&gt;5,Data!E199-5,0),1)</f>
        <v>5.2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0">
        <v>35258</v>
      </c>
      <c r="B200" s="3">
        <v>194</v>
      </c>
      <c r="C200" s="3">
        <v>199607</v>
      </c>
      <c r="D200" s="3">
        <f>ROUND(IF(Data!E200&lt;0,0-Data!E200,0),1)</f>
        <v>0</v>
      </c>
      <c r="E200" s="3">
        <f>ROUND(IF(Data!E200&gt;5,Data!E200-5,0),1)</f>
        <v>9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0">
        <v>35259</v>
      </c>
      <c r="B201" s="3">
        <v>195</v>
      </c>
      <c r="C201" s="3">
        <v>199607</v>
      </c>
      <c r="D201" s="3">
        <f>ROUND(IF(Data!E201&lt;0,0-Data!E201,0),1)</f>
        <v>0</v>
      </c>
      <c r="E201" s="3">
        <f>ROUND(IF(Data!E201&gt;5,Data!E201-5,0),1)</f>
        <v>10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0">
        <v>35260</v>
      </c>
      <c r="B202" s="3">
        <v>196</v>
      </c>
      <c r="C202" s="3">
        <v>199607</v>
      </c>
      <c r="D202" s="3">
        <f>ROUND(IF(Data!E202&lt;0,0-Data!E202,0),1)</f>
        <v>0</v>
      </c>
      <c r="E202" s="3">
        <f>ROUND(IF(Data!E202&gt;5,Data!E202-5,0),1)</f>
        <v>10.8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0">
        <v>35261</v>
      </c>
      <c r="B203" s="3">
        <v>197</v>
      </c>
      <c r="C203" s="3">
        <v>199607</v>
      </c>
      <c r="D203" s="3">
        <f>ROUND(IF(Data!E203&lt;0,0-Data!E203,0),1)</f>
        <v>0</v>
      </c>
      <c r="E203" s="3">
        <f>ROUND(IF(Data!E203&gt;5,Data!E203-5,0),1)</f>
        <v>11.7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0">
        <v>35262</v>
      </c>
      <c r="B204" s="3">
        <v>198</v>
      </c>
      <c r="C204" s="3">
        <v>199607</v>
      </c>
      <c r="D204" s="3">
        <f>ROUND(IF(Data!E204&lt;0,0-Data!E204,0),1)</f>
        <v>0</v>
      </c>
      <c r="E204" s="3">
        <f>ROUND(IF(Data!E204&gt;5,Data!E204-5,0),1)</f>
        <v>7.5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0">
        <v>35263</v>
      </c>
      <c r="B205" s="3">
        <v>199</v>
      </c>
      <c r="C205" s="3">
        <v>199607</v>
      </c>
      <c r="D205" s="3">
        <f>ROUND(IF(Data!E205&lt;0,0-Data!E205,0),1)</f>
        <v>0</v>
      </c>
      <c r="E205" s="3">
        <f>ROUND(IF(Data!E205&gt;5,Data!E205-5,0),1)</f>
        <v>4.5999999999999996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0">
        <v>35264</v>
      </c>
      <c r="B206" s="3">
        <v>200</v>
      </c>
      <c r="C206" s="3">
        <v>199607</v>
      </c>
      <c r="D206" s="3">
        <f>ROUND(IF(Data!E206&lt;0,0-Data!E206,0),1)</f>
        <v>0</v>
      </c>
      <c r="E206" s="3">
        <f>ROUND(IF(Data!E206&gt;5,Data!E206-5,0),1)</f>
        <v>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0">
        <v>35265</v>
      </c>
      <c r="B207" s="3">
        <v>201</v>
      </c>
      <c r="C207" s="3">
        <v>199607</v>
      </c>
      <c r="D207" s="3">
        <f>ROUND(IF(Data!E207&lt;0,0-Data!E207,0),1)</f>
        <v>0</v>
      </c>
      <c r="E207" s="3">
        <f>ROUND(IF(Data!E207&gt;5,Data!E207-5,0),1)</f>
        <v>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0">
        <v>35266</v>
      </c>
      <c r="B208" s="3">
        <v>202</v>
      </c>
      <c r="C208" s="3">
        <v>199607</v>
      </c>
      <c r="D208" s="3">
        <f>ROUND(IF(Data!E208&lt;0,0-Data!E208,0),1)</f>
        <v>0</v>
      </c>
      <c r="E208" s="3">
        <f>ROUND(IF(Data!E208&gt;5,Data!E208-5,0),1)</f>
        <v>1.5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0">
        <v>35267</v>
      </c>
      <c r="B209" s="3">
        <v>203</v>
      </c>
      <c r="C209" s="3">
        <v>199607</v>
      </c>
      <c r="D209" s="3">
        <f>ROUND(IF(Data!E209&lt;0,0-Data!E209,0),1)</f>
        <v>0</v>
      </c>
      <c r="E209" s="3">
        <f>ROUND(IF(Data!E209&gt;5,Data!E209-5,0),1)</f>
        <v>4.2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0">
        <v>35268</v>
      </c>
      <c r="B210" s="3">
        <v>204</v>
      </c>
      <c r="C210" s="3">
        <v>199607</v>
      </c>
      <c r="D210" s="3">
        <f>ROUND(IF(Data!E210&lt;0,0-Data!E210,0),1)</f>
        <v>0</v>
      </c>
      <c r="E210" s="3">
        <f>ROUND(IF(Data!E210&gt;5,Data!E210-5,0),1)</f>
        <v>7.5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0">
        <v>35269</v>
      </c>
      <c r="B211" s="3">
        <v>205</v>
      </c>
      <c r="C211" s="3">
        <v>199607</v>
      </c>
      <c r="D211" s="3">
        <f>ROUND(IF(Data!E211&lt;0,0-Data!E211,0),1)</f>
        <v>0</v>
      </c>
      <c r="E211" s="3">
        <f>ROUND(IF(Data!E211&gt;5,Data!E211-5,0),1)</f>
        <v>8.6999999999999993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0">
        <v>35270</v>
      </c>
      <c r="B212" s="3">
        <v>206</v>
      </c>
      <c r="C212" s="3">
        <v>199607</v>
      </c>
      <c r="D212" s="3">
        <f>ROUND(IF(Data!E212&lt;0,0-Data!E212,0),1)</f>
        <v>0</v>
      </c>
      <c r="E212" s="3">
        <f>ROUND(IF(Data!E212&gt;5,Data!E212-5,0),1)</f>
        <v>9.6999999999999993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0">
        <v>35271</v>
      </c>
      <c r="B213" s="3">
        <v>207</v>
      </c>
      <c r="C213" s="3">
        <v>199607</v>
      </c>
      <c r="D213" s="3">
        <f>ROUND(IF(Data!E213&lt;0,0-Data!E213,0),1)</f>
        <v>0</v>
      </c>
      <c r="E213" s="3">
        <f>ROUND(IF(Data!E213&gt;5,Data!E213-5,0),1)</f>
        <v>8.6999999999999993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0">
        <v>35272</v>
      </c>
      <c r="B214" s="3">
        <v>208</v>
      </c>
      <c r="C214" s="3">
        <v>199607</v>
      </c>
      <c r="D214" s="3">
        <f>ROUND(IF(Data!E214&lt;0,0-Data!E214,0),1)</f>
        <v>0</v>
      </c>
      <c r="E214" s="3">
        <f>ROUND(IF(Data!E214&gt;5,Data!E214-5,0),1)</f>
        <v>9.3000000000000007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0">
        <v>35273</v>
      </c>
      <c r="B215" s="3">
        <v>209</v>
      </c>
      <c r="C215" s="3">
        <v>199607</v>
      </c>
      <c r="D215" s="3">
        <f>ROUND(IF(Data!E215&lt;0,0-Data!E215,0),1)</f>
        <v>0</v>
      </c>
      <c r="E215" s="3">
        <f>ROUND(IF(Data!E215&gt;5,Data!E215-5,0),1)</f>
        <v>10.7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0">
        <v>35274</v>
      </c>
      <c r="B216" s="3">
        <v>210</v>
      </c>
      <c r="C216" s="3">
        <v>199607</v>
      </c>
      <c r="D216" s="3">
        <f>ROUND(IF(Data!E216&lt;0,0-Data!E216,0),1)</f>
        <v>0</v>
      </c>
      <c r="E216" s="3">
        <f>ROUND(IF(Data!E216&gt;5,Data!E216-5,0),1)</f>
        <v>12.3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0">
        <v>35275</v>
      </c>
      <c r="B217" s="3">
        <v>211</v>
      </c>
      <c r="C217" s="3">
        <v>199607</v>
      </c>
      <c r="D217" s="3">
        <f>ROUND(IF(Data!E217&lt;0,0-Data!E217,0),1)</f>
        <v>0</v>
      </c>
      <c r="E217" s="3">
        <f>ROUND(IF(Data!E217&gt;5,Data!E217-5,0),1)</f>
        <v>9.6999999999999993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0">
        <v>35276</v>
      </c>
      <c r="B218" s="3">
        <v>212</v>
      </c>
      <c r="C218" s="3">
        <v>199607</v>
      </c>
      <c r="D218" s="3">
        <f>ROUND(IF(Data!E218&lt;0,0-Data!E218,0),1)</f>
        <v>0</v>
      </c>
      <c r="E218" s="3">
        <f>ROUND(IF(Data!E218&gt;5,Data!E218-5,0),1)</f>
        <v>10.9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0">
        <v>35277</v>
      </c>
      <c r="B219" s="3">
        <v>213</v>
      </c>
      <c r="C219" s="3">
        <v>199607</v>
      </c>
      <c r="D219" s="3">
        <f>ROUND(IF(Data!E219&lt;0,0-Data!E219,0),1)</f>
        <v>0</v>
      </c>
      <c r="E219" s="3">
        <f>ROUND(IF(Data!E219&gt;5,Data!E219-5,0),1)</f>
        <v>5.4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0">
        <v>35278</v>
      </c>
      <c r="B220" s="3">
        <v>214</v>
      </c>
      <c r="C220" s="3">
        <v>199608</v>
      </c>
      <c r="D220" s="3">
        <f>ROUND(IF(Data!E220&lt;0,0-Data!E220,0),1)</f>
        <v>0</v>
      </c>
      <c r="E220" s="3">
        <f>ROUND(IF(Data!E220&gt;5,Data!E220-5,0),1)</f>
        <v>6.8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0">
        <v>35279</v>
      </c>
      <c r="B221" s="3">
        <v>215</v>
      </c>
      <c r="C221" s="3">
        <v>199608</v>
      </c>
      <c r="D221" s="3">
        <f>ROUND(IF(Data!E221&lt;0,0-Data!E221,0),1)</f>
        <v>0</v>
      </c>
      <c r="E221" s="3">
        <f>ROUND(IF(Data!E221&gt;5,Data!E221-5,0),1)</f>
        <v>1.2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0">
        <v>35280</v>
      </c>
      <c r="B222" s="3">
        <v>216</v>
      </c>
      <c r="C222" s="3">
        <v>199608</v>
      </c>
      <c r="D222" s="3">
        <f>ROUND(IF(Data!E222&lt;0,0-Data!E222,0),1)</f>
        <v>0</v>
      </c>
      <c r="E222" s="3">
        <f>ROUND(IF(Data!E222&gt;5,Data!E222-5,0),1)</f>
        <v>1.7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0">
        <v>35281</v>
      </c>
      <c r="B223" s="3">
        <v>217</v>
      </c>
      <c r="C223" s="3">
        <v>199608</v>
      </c>
      <c r="D223" s="3">
        <f>ROUND(IF(Data!E223&lt;0,0-Data!E223,0),1)</f>
        <v>0</v>
      </c>
      <c r="E223" s="3">
        <f>ROUND(IF(Data!E223&gt;5,Data!E223-5,0),1)</f>
        <v>0.2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0">
        <v>35282</v>
      </c>
      <c r="B224" s="3">
        <v>218</v>
      </c>
      <c r="C224" s="3">
        <v>199608</v>
      </c>
      <c r="D224" s="3">
        <f>ROUND(IF(Data!E224&lt;0,0-Data!E224,0),1)</f>
        <v>0</v>
      </c>
      <c r="E224" s="3">
        <f>ROUND(IF(Data!E224&gt;5,Data!E224-5,0),1)</f>
        <v>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0">
        <v>35283</v>
      </c>
      <c r="B225" s="3">
        <v>219</v>
      </c>
      <c r="C225" s="3">
        <v>199608</v>
      </c>
      <c r="D225" s="3">
        <f>ROUND(IF(Data!E225&lt;0,0-Data!E225,0),1)</f>
        <v>0</v>
      </c>
      <c r="E225" s="3">
        <f>ROUND(IF(Data!E225&gt;5,Data!E225-5,0),1)</f>
        <v>3.7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0">
        <v>35284</v>
      </c>
      <c r="B226" s="3">
        <v>220</v>
      </c>
      <c r="C226" s="3">
        <v>199608</v>
      </c>
      <c r="D226" s="3">
        <f>ROUND(IF(Data!E226&lt;0,0-Data!E226,0),1)</f>
        <v>0</v>
      </c>
      <c r="E226" s="3">
        <f>ROUND(IF(Data!E226&gt;5,Data!E226-5,0),1)</f>
        <v>6.1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0">
        <v>35285</v>
      </c>
      <c r="B227" s="3">
        <v>221</v>
      </c>
      <c r="C227" s="3">
        <v>199608</v>
      </c>
      <c r="D227" s="3">
        <f>ROUND(IF(Data!E227&lt;0,0-Data!E227,0),1)</f>
        <v>0</v>
      </c>
      <c r="E227" s="3">
        <f>ROUND(IF(Data!E227&gt;5,Data!E227-5,0),1)</f>
        <v>8.5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0">
        <v>35286</v>
      </c>
      <c r="B228" s="3">
        <v>222</v>
      </c>
      <c r="C228" s="3">
        <v>199608</v>
      </c>
      <c r="D228" s="3">
        <f>ROUND(IF(Data!E228&lt;0,0-Data!E228,0),1)</f>
        <v>0</v>
      </c>
      <c r="E228" s="3">
        <f>ROUND(IF(Data!E228&gt;5,Data!E228-5,0),1)</f>
        <v>8.9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0">
        <v>35287</v>
      </c>
      <c r="B229" s="3">
        <v>223</v>
      </c>
      <c r="C229" s="3">
        <v>199608</v>
      </c>
      <c r="D229" s="3">
        <f>ROUND(IF(Data!E229&lt;0,0-Data!E229,0),1)</f>
        <v>0</v>
      </c>
      <c r="E229" s="3">
        <f>ROUND(IF(Data!E229&gt;5,Data!E229-5,0),1)</f>
        <v>10.3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0">
        <v>35288</v>
      </c>
      <c r="B230" s="3">
        <v>224</v>
      </c>
      <c r="C230" s="3">
        <v>199608</v>
      </c>
      <c r="D230" s="3">
        <f>ROUND(IF(Data!E230&lt;0,0-Data!E230,0),1)</f>
        <v>0</v>
      </c>
      <c r="E230" s="3">
        <f>ROUND(IF(Data!E230&gt;5,Data!E230-5,0),1)</f>
        <v>9.1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0">
        <v>35289</v>
      </c>
      <c r="B231" s="3">
        <v>225</v>
      </c>
      <c r="C231" s="3">
        <v>199608</v>
      </c>
      <c r="D231" s="3">
        <f>ROUND(IF(Data!E231&lt;0,0-Data!E231,0),1)</f>
        <v>0</v>
      </c>
      <c r="E231" s="3">
        <f>ROUND(IF(Data!E231&gt;5,Data!E231-5,0),1)</f>
        <v>4.2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0">
        <v>35290</v>
      </c>
      <c r="B232" s="3">
        <v>226</v>
      </c>
      <c r="C232" s="3">
        <v>199608</v>
      </c>
      <c r="D232" s="3">
        <f>ROUND(IF(Data!E232&lt;0,0-Data!E232,0),1)</f>
        <v>0</v>
      </c>
      <c r="E232" s="3">
        <f>ROUND(IF(Data!E232&gt;5,Data!E232-5,0),1)</f>
        <v>7.8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0">
        <v>35291</v>
      </c>
      <c r="B233" s="3">
        <v>227</v>
      </c>
      <c r="C233" s="3">
        <v>199608</v>
      </c>
      <c r="D233" s="3">
        <f>ROUND(IF(Data!E233&lt;0,0-Data!E233,0),1)</f>
        <v>0</v>
      </c>
      <c r="E233" s="3">
        <f>ROUND(IF(Data!E233&gt;5,Data!E233-5,0),1)</f>
        <v>10.4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0">
        <v>35292</v>
      </c>
      <c r="B234" s="3">
        <v>228</v>
      </c>
      <c r="C234" s="3">
        <v>199608</v>
      </c>
      <c r="D234" s="3">
        <f>ROUND(IF(Data!E234&lt;0,0-Data!E234,0),1)</f>
        <v>0</v>
      </c>
      <c r="E234" s="3">
        <f>ROUND(IF(Data!E234&gt;5,Data!E234-5,0),1)</f>
        <v>8.6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0">
        <v>35293</v>
      </c>
      <c r="B235" s="3">
        <v>229</v>
      </c>
      <c r="C235" s="3">
        <v>199608</v>
      </c>
      <c r="D235" s="3">
        <f>ROUND(IF(Data!E235&lt;0,0-Data!E235,0),1)</f>
        <v>0</v>
      </c>
      <c r="E235" s="3">
        <f>ROUND(IF(Data!E235&gt;5,Data!E235-5,0),1)</f>
        <v>5.8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0">
        <v>35294</v>
      </c>
      <c r="B236" s="3">
        <v>230</v>
      </c>
      <c r="C236" s="3">
        <v>199608</v>
      </c>
      <c r="D236" s="3">
        <f>ROUND(IF(Data!E236&lt;0,0-Data!E236,0),1)</f>
        <v>0</v>
      </c>
      <c r="E236" s="3">
        <f>ROUND(IF(Data!E236&gt;5,Data!E236-5,0),1)</f>
        <v>1.4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0">
        <v>35295</v>
      </c>
      <c r="B237" s="3">
        <v>231</v>
      </c>
      <c r="C237" s="3">
        <v>199608</v>
      </c>
      <c r="D237" s="3">
        <f>ROUND(IF(Data!E237&lt;0,0-Data!E237,0),1)</f>
        <v>0</v>
      </c>
      <c r="E237" s="3">
        <f>ROUND(IF(Data!E237&gt;5,Data!E237-5,0),1)</f>
        <v>0.2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0">
        <v>35296</v>
      </c>
      <c r="B238" s="3">
        <v>232</v>
      </c>
      <c r="C238" s="3">
        <v>199608</v>
      </c>
      <c r="D238" s="3">
        <f>ROUND(IF(Data!E238&lt;0,0-Data!E238,0),1)</f>
        <v>0</v>
      </c>
      <c r="E238" s="3">
        <f>ROUND(IF(Data!E238&gt;5,Data!E238-5,0),1)</f>
        <v>1.8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0">
        <v>35297</v>
      </c>
      <c r="B239" s="3">
        <v>233</v>
      </c>
      <c r="C239" s="3">
        <v>199608</v>
      </c>
      <c r="D239" s="3">
        <f>ROUND(IF(Data!E239&lt;0,0-Data!E239,0),1)</f>
        <v>0</v>
      </c>
      <c r="E239" s="3">
        <f>ROUND(IF(Data!E239&gt;5,Data!E239-5,0),1)</f>
        <v>1.3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0">
        <v>35298</v>
      </c>
      <c r="B240" s="3">
        <v>234</v>
      </c>
      <c r="C240" s="3">
        <v>199608</v>
      </c>
      <c r="D240" s="3">
        <f>ROUND(IF(Data!E240&lt;0,0-Data!E240,0),1)</f>
        <v>0</v>
      </c>
      <c r="E240" s="3">
        <f>ROUND(IF(Data!E240&gt;5,Data!E240-5,0),1)</f>
        <v>1.3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0">
        <v>35299</v>
      </c>
      <c r="B241" s="3">
        <v>235</v>
      </c>
      <c r="C241" s="3">
        <v>199608</v>
      </c>
      <c r="D241" s="3">
        <f>ROUND(IF(Data!E241&lt;0,0-Data!E241,0),1)</f>
        <v>0</v>
      </c>
      <c r="E241" s="3">
        <f>ROUND(IF(Data!E241&gt;5,Data!E241-5,0),1)</f>
        <v>4.5999999999999996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0">
        <v>35300</v>
      </c>
      <c r="B242" s="3">
        <v>236</v>
      </c>
      <c r="C242" s="3">
        <v>199608</v>
      </c>
      <c r="D242" s="3">
        <f>ROUND(IF(Data!E242&lt;0,0-Data!E242,0),1)</f>
        <v>0</v>
      </c>
      <c r="E242" s="3">
        <f>ROUND(IF(Data!E242&gt;5,Data!E242-5,0),1)</f>
        <v>8.5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0">
        <v>35301</v>
      </c>
      <c r="B243" s="3">
        <v>237</v>
      </c>
      <c r="C243" s="3">
        <v>199608</v>
      </c>
      <c r="D243" s="3">
        <f>ROUND(IF(Data!E243&lt;0,0-Data!E243,0),1)</f>
        <v>0</v>
      </c>
      <c r="E243" s="3">
        <f>ROUND(IF(Data!E243&gt;5,Data!E243-5,0),1)</f>
        <v>9.1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0">
        <v>35302</v>
      </c>
      <c r="B244" s="3">
        <v>238</v>
      </c>
      <c r="C244" s="3">
        <v>199608</v>
      </c>
      <c r="D244" s="3">
        <f>ROUND(IF(Data!E244&lt;0,0-Data!E244,0),1)</f>
        <v>0</v>
      </c>
      <c r="E244" s="3">
        <f>ROUND(IF(Data!E244&gt;5,Data!E244-5,0),1)</f>
        <v>9.4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0">
        <v>35303</v>
      </c>
      <c r="B245" s="3">
        <v>239</v>
      </c>
      <c r="C245" s="3">
        <v>199608</v>
      </c>
      <c r="D245" s="3">
        <f>ROUND(IF(Data!E245&lt;0,0-Data!E245,0),1)</f>
        <v>0</v>
      </c>
      <c r="E245" s="3">
        <f>ROUND(IF(Data!E245&gt;5,Data!E245-5,0),1)</f>
        <v>10.8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0">
        <v>35304</v>
      </c>
      <c r="B246" s="3">
        <v>240</v>
      </c>
      <c r="C246" s="3">
        <v>199608</v>
      </c>
      <c r="D246" s="3">
        <f>ROUND(IF(Data!E246&lt;0,0-Data!E246,0),1)</f>
        <v>0</v>
      </c>
      <c r="E246" s="3">
        <f>ROUND(IF(Data!E246&gt;5,Data!E246-5,0),1)</f>
        <v>12.3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0">
        <v>35305</v>
      </c>
      <c r="B247" s="3">
        <v>241</v>
      </c>
      <c r="C247" s="3">
        <v>199608</v>
      </c>
      <c r="D247" s="3">
        <f>ROUND(IF(Data!E247&lt;0,0-Data!E247,0),1)</f>
        <v>0</v>
      </c>
      <c r="E247" s="3">
        <f>ROUND(IF(Data!E247&gt;5,Data!E247-5,0),1)</f>
        <v>11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0">
        <v>35306</v>
      </c>
      <c r="B248" s="3">
        <v>242</v>
      </c>
      <c r="C248" s="3">
        <v>199608</v>
      </c>
      <c r="D248" s="3">
        <f>ROUND(IF(Data!E248&lt;0,0-Data!E248,0),1)</f>
        <v>0</v>
      </c>
      <c r="E248" s="3">
        <f>ROUND(IF(Data!E248&gt;5,Data!E248-5,0),1)</f>
        <v>10.199999999999999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0">
        <v>35307</v>
      </c>
      <c r="B249" s="3">
        <v>243</v>
      </c>
      <c r="C249" s="3">
        <v>199608</v>
      </c>
      <c r="D249" s="3">
        <f>ROUND(IF(Data!E249&lt;0,0-Data!E249,0),1)</f>
        <v>0</v>
      </c>
      <c r="E249" s="3">
        <f>ROUND(IF(Data!E249&gt;5,Data!E249-5,0),1)</f>
        <v>7.9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0">
        <v>35308</v>
      </c>
      <c r="B250" s="3">
        <v>244</v>
      </c>
      <c r="C250" s="3">
        <v>199608</v>
      </c>
      <c r="D250" s="3">
        <f>ROUND(IF(Data!E250&lt;0,0-Data!E250,0),1)</f>
        <v>0</v>
      </c>
      <c r="E250" s="3">
        <f>ROUND(IF(Data!E250&gt;5,Data!E250-5,0),1)</f>
        <v>0.8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0">
        <v>35309</v>
      </c>
      <c r="B251" s="3">
        <v>245</v>
      </c>
      <c r="C251" s="3">
        <v>199609</v>
      </c>
      <c r="D251" s="3">
        <f>ROUND(IF(Data!E251&lt;0,0-Data!E251,0),1)</f>
        <v>0</v>
      </c>
      <c r="E251" s="3">
        <f>ROUND(IF(Data!E251&gt;5,Data!E251-5,0),1)</f>
        <v>0.9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0">
        <v>35310</v>
      </c>
      <c r="B252" s="3">
        <v>246</v>
      </c>
      <c r="C252" s="3">
        <v>199609</v>
      </c>
      <c r="D252" s="3">
        <f>ROUND(IF(Data!E252&lt;0,0-Data!E252,0),1)</f>
        <v>0</v>
      </c>
      <c r="E252" s="3">
        <f>ROUND(IF(Data!E252&gt;5,Data!E252-5,0),1)</f>
        <v>3.1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0">
        <v>35311</v>
      </c>
      <c r="B253" s="3">
        <v>247</v>
      </c>
      <c r="C253" s="3">
        <v>199609</v>
      </c>
      <c r="D253" s="3">
        <f>ROUND(IF(Data!E253&lt;0,0-Data!E253,0),1)</f>
        <v>0</v>
      </c>
      <c r="E253" s="3">
        <f>ROUND(IF(Data!E253&gt;5,Data!E253-5,0),1)</f>
        <v>0.3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0">
        <v>35312</v>
      </c>
      <c r="B254" s="3">
        <v>248</v>
      </c>
      <c r="C254" s="3">
        <v>199609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0">
        <v>35313</v>
      </c>
      <c r="B255" s="3">
        <v>249</v>
      </c>
      <c r="C255" s="3">
        <v>199609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0">
        <v>35314</v>
      </c>
      <c r="B256" s="3">
        <v>250</v>
      </c>
      <c r="C256" s="3">
        <v>199609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0">
        <v>35315</v>
      </c>
      <c r="B257" s="3">
        <v>251</v>
      </c>
      <c r="C257" s="3">
        <v>199609</v>
      </c>
      <c r="D257" s="3">
        <f>ROUND(IF(Data!E257&lt;0,0-Data!E257,0),1)</f>
        <v>0</v>
      </c>
      <c r="E257" s="3">
        <f>ROUND(IF(Data!E257&gt;5,Data!E257-5,0),1)</f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0">
        <v>35316</v>
      </c>
      <c r="B258" s="3">
        <v>252</v>
      </c>
      <c r="C258" s="3">
        <v>199609</v>
      </c>
      <c r="D258" s="3">
        <f>ROUND(IF(Data!E258&lt;0,0-Data!E258,0),1)</f>
        <v>0</v>
      </c>
      <c r="E258" s="3">
        <f>ROUND(IF(Data!E258&gt;5,Data!E258-5,0),1)</f>
        <v>2.5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0">
        <v>35317</v>
      </c>
      <c r="B259" s="3">
        <v>253</v>
      </c>
      <c r="C259" s="3">
        <v>199609</v>
      </c>
      <c r="D259" s="3">
        <f>ROUND(IF(Data!E259&lt;0,0-Data!E259,0),1)</f>
        <v>0</v>
      </c>
      <c r="E259" s="3">
        <f>ROUND(IF(Data!E259&gt;5,Data!E259-5,0),1)</f>
        <v>3.2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0">
        <v>35318</v>
      </c>
      <c r="B260" s="3">
        <v>254</v>
      </c>
      <c r="C260" s="3">
        <v>199609</v>
      </c>
      <c r="D260" s="3">
        <f>ROUND(IF(Data!E260&lt;0,0-Data!E260,0),1)</f>
        <v>0</v>
      </c>
      <c r="E260" s="3">
        <f>ROUND(IF(Data!E260&gt;5,Data!E260-5,0),1)</f>
        <v>6.1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0">
        <v>35319</v>
      </c>
      <c r="B261" s="3">
        <v>255</v>
      </c>
      <c r="C261" s="3">
        <v>199609</v>
      </c>
      <c r="D261" s="3">
        <f>ROUND(IF(Data!E261&lt;0,0-Data!E261,0),1)</f>
        <v>0</v>
      </c>
      <c r="E261" s="3">
        <f>ROUND(IF(Data!E261&gt;5,Data!E261-5,0),1)</f>
        <v>9.1999999999999993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0">
        <v>35320</v>
      </c>
      <c r="B262" s="3">
        <v>256</v>
      </c>
      <c r="C262" s="3">
        <v>199609</v>
      </c>
      <c r="D262" s="3">
        <f>ROUND(IF(Data!E262&lt;0,0-Data!E262,0),1)</f>
        <v>0</v>
      </c>
      <c r="E262" s="3">
        <f>ROUND(IF(Data!E262&gt;5,Data!E262-5,0),1)</f>
        <v>7.2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0">
        <v>35321</v>
      </c>
      <c r="B263" s="3">
        <v>257</v>
      </c>
      <c r="C263" s="3">
        <v>199609</v>
      </c>
      <c r="D263" s="3">
        <f>ROUND(IF(Data!E263&lt;0,0-Data!E263,0),1)</f>
        <v>0</v>
      </c>
      <c r="E263" s="3">
        <f>ROUND(IF(Data!E263&gt;5,Data!E263-5,0),1)</f>
        <v>3.4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0">
        <v>35322</v>
      </c>
      <c r="B264" s="3">
        <v>258</v>
      </c>
      <c r="C264" s="3">
        <v>199609</v>
      </c>
      <c r="D264" s="3">
        <f>ROUND(IF(Data!E264&lt;0,0-Data!E264,0),1)</f>
        <v>0</v>
      </c>
      <c r="E264" s="3">
        <f>ROUND(IF(Data!E264&gt;5,Data!E264-5,0),1)</f>
        <v>0.8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0">
        <v>35323</v>
      </c>
      <c r="B265" s="3">
        <v>259</v>
      </c>
      <c r="C265" s="3">
        <v>199609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0">
        <v>35324</v>
      </c>
      <c r="B266" s="3">
        <v>260</v>
      </c>
      <c r="C266" s="3">
        <v>199609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0">
        <v>35325</v>
      </c>
      <c r="B267" s="3">
        <v>261</v>
      </c>
      <c r="C267" s="3">
        <v>199609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0">
        <v>35326</v>
      </c>
      <c r="B268" s="3">
        <v>262</v>
      </c>
      <c r="C268" s="3">
        <v>199609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0">
        <v>35327</v>
      </c>
      <c r="B269" s="3">
        <v>263</v>
      </c>
      <c r="C269" s="3">
        <v>199609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0">
        <v>35328</v>
      </c>
      <c r="B270" s="3">
        <v>264</v>
      </c>
      <c r="C270" s="3">
        <v>199609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0">
        <v>35329</v>
      </c>
      <c r="B271" s="3">
        <v>265</v>
      </c>
      <c r="C271" s="3">
        <v>199609</v>
      </c>
      <c r="D271" s="3">
        <f>ROUND(IF(Data!E271&lt;0,0-Data!E271,0),1)</f>
        <v>0.2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0">
        <v>35330</v>
      </c>
      <c r="B272" s="3">
        <v>266</v>
      </c>
      <c r="C272" s="3">
        <v>199609</v>
      </c>
      <c r="D272" s="3">
        <f>ROUND(IF(Data!E272&lt;0,0-Data!E272,0),1)</f>
        <v>0.3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0">
        <v>35331</v>
      </c>
      <c r="B273" s="3">
        <v>267</v>
      </c>
      <c r="C273" s="3">
        <v>199609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0">
        <v>35332</v>
      </c>
      <c r="B274" s="3">
        <v>268</v>
      </c>
      <c r="C274" s="3">
        <v>199609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0">
        <v>35333</v>
      </c>
      <c r="B275" s="3">
        <v>269</v>
      </c>
      <c r="C275" s="3">
        <v>199609</v>
      </c>
      <c r="D275" s="3">
        <f>ROUND(IF(Data!E275&lt;0,0-Data!E275,0),1)</f>
        <v>0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0">
        <v>35334</v>
      </c>
      <c r="B276" s="3">
        <v>270</v>
      </c>
      <c r="C276" s="3">
        <v>199609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0">
        <v>35335</v>
      </c>
      <c r="B277" s="3">
        <v>271</v>
      </c>
      <c r="C277" s="3">
        <v>199609</v>
      </c>
      <c r="D277" s="3">
        <f>ROUND(IF(Data!E277&lt;0,0-Data!E277,0),1)</f>
        <v>0</v>
      </c>
      <c r="E277" s="3">
        <f>ROUND(IF(Data!E277&gt;5,Data!E277-5,0),1)</f>
        <v>3.4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0">
        <v>35336</v>
      </c>
      <c r="B278" s="3">
        <v>272</v>
      </c>
      <c r="C278" s="3">
        <v>199609</v>
      </c>
      <c r="D278" s="3">
        <f>ROUND(IF(Data!E278&lt;0,0-Data!E278,0),1)</f>
        <v>0</v>
      </c>
      <c r="E278" s="3">
        <f>ROUND(IF(Data!E278&gt;5,Data!E278-5,0),1)</f>
        <v>4.3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0">
        <v>35337</v>
      </c>
      <c r="B279" s="3">
        <v>273</v>
      </c>
      <c r="C279" s="3">
        <v>199609</v>
      </c>
      <c r="D279" s="3">
        <f>ROUND(IF(Data!E279&lt;0,0-Data!E279,0),1)</f>
        <v>0</v>
      </c>
      <c r="E279" s="3">
        <f>ROUND(IF(Data!E279&gt;5,Data!E279-5,0),1)</f>
        <v>1.6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0">
        <v>35338</v>
      </c>
      <c r="B280" s="3">
        <v>274</v>
      </c>
      <c r="C280" s="3">
        <v>199609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0">
        <v>35339</v>
      </c>
      <c r="B281" s="3">
        <v>275</v>
      </c>
      <c r="C281" s="3">
        <v>199610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0">
        <v>35340</v>
      </c>
      <c r="B282" s="3">
        <v>276</v>
      </c>
      <c r="C282" s="3">
        <v>199610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0">
        <v>35341</v>
      </c>
      <c r="B283" s="3">
        <v>277</v>
      </c>
      <c r="C283" s="3">
        <v>199610</v>
      </c>
      <c r="D283" s="3">
        <f>ROUND(IF(Data!E283&lt;0,0-Data!E283,0),1)</f>
        <v>0</v>
      </c>
      <c r="E283" s="3">
        <f>ROUND(IF(Data!E283&gt;5,Data!E283-5,0),1)</f>
        <v>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0">
        <v>35342</v>
      </c>
      <c r="B284" s="3">
        <v>278</v>
      </c>
      <c r="C284" s="3">
        <v>199610</v>
      </c>
      <c r="D284" s="3">
        <f>ROUND(IF(Data!E284&lt;0,0-Data!E284,0),1)</f>
        <v>0</v>
      </c>
      <c r="E284" s="3">
        <f>ROUND(IF(Data!E284&gt;5,Data!E284-5,0),1)</f>
        <v>1.2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0">
        <v>35343</v>
      </c>
      <c r="B285" s="3">
        <v>279</v>
      </c>
      <c r="C285" s="3">
        <v>199610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0">
        <v>35344</v>
      </c>
      <c r="B286" s="3">
        <v>280</v>
      </c>
      <c r="C286" s="3">
        <v>199610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0">
        <v>35345</v>
      </c>
      <c r="B287" s="3">
        <v>281</v>
      </c>
      <c r="C287" s="3">
        <v>199610</v>
      </c>
      <c r="D287" s="3">
        <f>ROUND(IF(Data!E287&lt;0,0-Data!E287,0),1)</f>
        <v>0</v>
      </c>
      <c r="E287" s="3">
        <f>ROUND(IF(Data!E287&gt;5,Data!E287-5,0),1)</f>
        <v>1.1000000000000001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0">
        <v>35346</v>
      </c>
      <c r="B288" s="3">
        <v>282</v>
      </c>
      <c r="C288" s="3">
        <v>199610</v>
      </c>
      <c r="D288" s="3">
        <f>ROUND(IF(Data!E288&lt;0,0-Data!E288,0),1)</f>
        <v>0</v>
      </c>
      <c r="E288" s="3">
        <f>ROUND(IF(Data!E288&gt;5,Data!E288-5,0),1)</f>
        <v>1.5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0">
        <v>35347</v>
      </c>
      <c r="B289" s="3">
        <v>283</v>
      </c>
      <c r="C289" s="3">
        <v>199610</v>
      </c>
      <c r="D289" s="3">
        <f>ROUND(IF(Data!E289&lt;0,0-Data!E289,0),1)</f>
        <v>0</v>
      </c>
      <c r="E289" s="3">
        <f>ROUND(IF(Data!E289&gt;5,Data!E289-5,0),1)</f>
        <v>0.3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0">
        <v>35348</v>
      </c>
      <c r="B290" s="3">
        <v>284</v>
      </c>
      <c r="C290" s="3">
        <v>199610</v>
      </c>
      <c r="D290" s="3">
        <f>ROUND(IF(Data!E290&lt;0,0-Data!E290,0),1)</f>
        <v>0</v>
      </c>
      <c r="E290" s="3">
        <f>ROUND(IF(Data!E290&gt;5,Data!E290-5,0),1)</f>
        <v>3.8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0">
        <v>35349</v>
      </c>
      <c r="B291" s="3">
        <v>285</v>
      </c>
      <c r="C291" s="3">
        <v>199610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0">
        <v>35350</v>
      </c>
      <c r="B292" s="3">
        <v>286</v>
      </c>
      <c r="C292" s="3">
        <v>199610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0">
        <v>35351</v>
      </c>
      <c r="B293" s="3">
        <v>287</v>
      </c>
      <c r="C293" s="3">
        <v>199610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0">
        <v>35352</v>
      </c>
      <c r="B294" s="3">
        <v>288</v>
      </c>
      <c r="C294" s="3">
        <v>199610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0">
        <v>35353</v>
      </c>
      <c r="B295" s="3">
        <v>289</v>
      </c>
      <c r="C295" s="3">
        <v>199610</v>
      </c>
      <c r="D295" s="3">
        <f>ROUND(IF(Data!E295&lt;0,0-Data!E295,0),1)</f>
        <v>1.1000000000000001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0">
        <v>35354</v>
      </c>
      <c r="B296" s="3">
        <v>290</v>
      </c>
      <c r="C296" s="3">
        <v>199610</v>
      </c>
      <c r="D296" s="3">
        <f>ROUND(IF(Data!E296&lt;0,0-Data!E296,0),1)</f>
        <v>2.6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0">
        <v>35355</v>
      </c>
      <c r="B297" s="53">
        <v>291</v>
      </c>
      <c r="C297" s="3">
        <v>199610</v>
      </c>
      <c r="D297" s="3">
        <f>ROUND(IF(Data!E297&lt;0,0-Data!E297,0),1)</f>
        <v>3.4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0">
        <v>35356</v>
      </c>
      <c r="B298" s="53">
        <v>292</v>
      </c>
      <c r="C298" s="3">
        <v>199610</v>
      </c>
      <c r="D298" s="3">
        <f>ROUND(IF(Data!E298&lt;0,0-Data!E298,0),1)</f>
        <v>1.8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0">
        <v>35357</v>
      </c>
      <c r="B299" s="53">
        <v>293</v>
      </c>
      <c r="C299" s="3">
        <v>199610</v>
      </c>
      <c r="D299" s="3">
        <f>ROUND(IF(Data!E299&lt;0,0-Data!E299,0),1)</f>
        <v>2.5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0">
        <v>35358</v>
      </c>
      <c r="B300" s="53">
        <v>294</v>
      </c>
      <c r="C300" s="3">
        <v>199610</v>
      </c>
      <c r="D300" s="3">
        <f>ROUND(IF(Data!E300&lt;0,0-Data!E300,0),1)</f>
        <v>2.9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0">
        <v>35359</v>
      </c>
      <c r="B301" s="53">
        <v>295</v>
      </c>
      <c r="C301" s="3">
        <v>199610</v>
      </c>
      <c r="D301" s="3">
        <f>ROUND(IF(Data!E301&lt;0,0-Data!E301,0),1)</f>
        <v>3.6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0">
        <v>35360</v>
      </c>
      <c r="B302" s="53">
        <v>296</v>
      </c>
      <c r="C302" s="3">
        <v>199610</v>
      </c>
      <c r="D302" s="3">
        <f>ROUND(IF(Data!E302&lt;0,0-Data!E302,0),1)</f>
        <v>2.5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0">
        <v>35361</v>
      </c>
      <c r="B303" s="53">
        <v>297</v>
      </c>
      <c r="C303" s="3">
        <v>199610</v>
      </c>
      <c r="D303" s="3">
        <f>ROUND(IF(Data!E303&lt;0,0-Data!E303,0),1)</f>
        <v>2.5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0">
        <v>35362</v>
      </c>
      <c r="B304" s="53">
        <v>298</v>
      </c>
      <c r="C304" s="3">
        <v>199610</v>
      </c>
      <c r="D304" s="3">
        <f>ROUND(IF(Data!E304&lt;0,0-Data!E304,0),1)</f>
        <v>2.1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0">
        <v>35363</v>
      </c>
      <c r="B305" s="53">
        <v>299</v>
      </c>
      <c r="C305" s="3">
        <v>199610</v>
      </c>
      <c r="D305" s="3">
        <f>ROUND(IF(Data!E305&lt;0,0-Data!E305,0),1)</f>
        <v>2.6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0">
        <v>35364</v>
      </c>
      <c r="B306" s="53">
        <v>300</v>
      </c>
      <c r="C306" s="3">
        <v>199610</v>
      </c>
      <c r="D306" s="3">
        <f>ROUND(IF(Data!E306&lt;0,0-Data!E306,0),1)</f>
        <v>3.6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0">
        <v>35365</v>
      </c>
      <c r="B307" s="53">
        <v>301</v>
      </c>
      <c r="C307" s="3">
        <v>199610</v>
      </c>
      <c r="D307" s="3">
        <f>ROUND(IF(Data!E307&lt;0,0-Data!E307,0),1)</f>
        <v>1.9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0">
        <v>35366</v>
      </c>
      <c r="B308" s="53">
        <v>302</v>
      </c>
      <c r="C308" s="3">
        <v>199610</v>
      </c>
      <c r="D308" s="3">
        <f>ROUND(IF(Data!E308&lt;0,0-Data!E308,0),1)</f>
        <v>0.7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0">
        <v>35367</v>
      </c>
      <c r="B309" s="53">
        <v>303</v>
      </c>
      <c r="C309" s="3">
        <v>199610</v>
      </c>
      <c r="D309" s="3">
        <f>ROUND(IF(Data!E309&lt;0,0-Data!E309,0),1)</f>
        <v>4.0999999999999996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0">
        <v>35368</v>
      </c>
      <c r="B310" s="53">
        <v>304</v>
      </c>
      <c r="C310" s="3">
        <v>199610</v>
      </c>
      <c r="D310" s="3">
        <f>ROUND(IF(Data!E310&lt;0,0-Data!E310,0),1)</f>
        <v>7.6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0">
        <v>35369</v>
      </c>
      <c r="B311" s="53">
        <v>305</v>
      </c>
      <c r="C311" s="3">
        <v>199610</v>
      </c>
      <c r="D311" s="3">
        <f>ROUND(IF(Data!E311&lt;0,0-Data!E311,0),1)</f>
        <v>5.9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0">
        <v>35370</v>
      </c>
      <c r="B312" s="53">
        <v>306</v>
      </c>
      <c r="C312" s="3">
        <v>199611</v>
      </c>
      <c r="D312" s="3">
        <f>ROUND(IF(Data!E312&lt;0,0-Data!E312,0),1)</f>
        <v>2.8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0">
        <v>35371</v>
      </c>
      <c r="B313" s="53">
        <v>307</v>
      </c>
      <c r="C313" s="3">
        <v>199611</v>
      </c>
      <c r="D313" s="3">
        <f>ROUND(IF(Data!E313&lt;0,0-Data!E313,0),1)</f>
        <v>2.4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0">
        <v>35372</v>
      </c>
      <c r="B314" s="53">
        <v>308</v>
      </c>
      <c r="C314" s="3">
        <v>199611</v>
      </c>
      <c r="D314" s="3">
        <f>ROUND(IF(Data!E314&lt;0,0-Data!E314,0),1)</f>
        <v>1.7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0">
        <v>35373</v>
      </c>
      <c r="B315" s="53">
        <v>309</v>
      </c>
      <c r="C315" s="3">
        <v>199611</v>
      </c>
      <c r="D315" s="3">
        <f>ROUND(IF(Data!E315&lt;0,0-Data!E315,0),1)</f>
        <v>3.4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0">
        <v>35374</v>
      </c>
      <c r="B316" s="53">
        <v>310</v>
      </c>
      <c r="C316" s="3">
        <v>199611</v>
      </c>
      <c r="D316" s="3">
        <f>ROUND(IF(Data!E316&lt;0,0-Data!E316,0),1)</f>
        <v>3.5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0">
        <v>35375</v>
      </c>
      <c r="B317" s="53">
        <v>311</v>
      </c>
      <c r="C317" s="3">
        <v>199611</v>
      </c>
      <c r="D317" s="3">
        <f>ROUND(IF(Data!E317&lt;0,0-Data!E317,0),1)</f>
        <v>3.3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0">
        <v>35376</v>
      </c>
      <c r="B318" s="53">
        <v>312</v>
      </c>
      <c r="C318" s="3">
        <v>199611</v>
      </c>
      <c r="D318" s="3">
        <f>ROUND(IF(Data!E318&lt;0,0-Data!E318,0),1)</f>
        <v>7.7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0">
        <v>35377</v>
      </c>
      <c r="B319" s="53">
        <v>313</v>
      </c>
      <c r="C319" s="3">
        <v>199611</v>
      </c>
      <c r="D319" s="3">
        <f>ROUND(IF(Data!E319&lt;0,0-Data!E319,0),1)</f>
        <v>1.9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0">
        <v>35378</v>
      </c>
      <c r="B320" s="53">
        <v>314</v>
      </c>
      <c r="C320" s="3">
        <v>199611</v>
      </c>
      <c r="D320" s="3">
        <f>ROUND(IF(Data!E320&lt;0,0-Data!E320,0),1)</f>
        <v>0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0">
        <v>35379</v>
      </c>
      <c r="B321" s="53">
        <v>315</v>
      </c>
      <c r="C321" s="3">
        <v>199611</v>
      </c>
      <c r="D321" s="3">
        <f>ROUND(IF(Data!E321&lt;0,0-Data!E321,0),1)</f>
        <v>0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0">
        <v>35380</v>
      </c>
      <c r="B322" s="53">
        <v>316</v>
      </c>
      <c r="C322" s="3">
        <v>199611</v>
      </c>
      <c r="D322" s="3">
        <f>ROUND(IF(Data!E322&lt;0,0-Data!E322,0),1)</f>
        <v>0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0">
        <v>35381</v>
      </c>
      <c r="B323" s="53">
        <v>317</v>
      </c>
      <c r="C323" s="3">
        <v>199611</v>
      </c>
      <c r="D323" s="3">
        <f>ROUND(IF(Data!E323&lt;0,0-Data!E323,0),1)</f>
        <v>0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0">
        <v>35382</v>
      </c>
      <c r="B324" s="53">
        <v>318</v>
      </c>
      <c r="C324" s="3">
        <v>199611</v>
      </c>
      <c r="D324" s="3">
        <f>ROUND(IF(Data!E324&lt;0,0-Data!E324,0),1)</f>
        <v>0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0">
        <v>35383</v>
      </c>
      <c r="B325" s="53">
        <v>319</v>
      </c>
      <c r="C325" s="3">
        <v>199611</v>
      </c>
      <c r="D325" s="3">
        <f>ROUND(IF(Data!E325&lt;0,0-Data!E325,0),1)</f>
        <v>2.8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0">
        <v>35384</v>
      </c>
      <c r="B326" s="53">
        <v>320</v>
      </c>
      <c r="C326" s="3">
        <v>199611</v>
      </c>
      <c r="D326" s="3">
        <f>ROUND(IF(Data!E326&lt;0,0-Data!E326,0),1)</f>
        <v>6.6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0">
        <v>35385</v>
      </c>
      <c r="B327" s="53">
        <v>321</v>
      </c>
      <c r="C327" s="3">
        <v>199611</v>
      </c>
      <c r="D327" s="3">
        <f>ROUND(IF(Data!E327&lt;0,0-Data!E327,0),1)</f>
        <v>7.6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0">
        <v>35386</v>
      </c>
      <c r="B328" s="53">
        <v>322</v>
      </c>
      <c r="C328" s="3">
        <v>199611</v>
      </c>
      <c r="D328" s="3">
        <f>ROUND(IF(Data!E328&lt;0,0-Data!E328,0),1)</f>
        <v>7.3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0">
        <v>35387</v>
      </c>
      <c r="B329" s="53">
        <v>323</v>
      </c>
      <c r="C329" s="3">
        <v>199611</v>
      </c>
      <c r="D329" s="3">
        <f>ROUND(IF(Data!E329&lt;0,0-Data!E329,0),1)</f>
        <v>12.9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0">
        <v>35388</v>
      </c>
      <c r="B330" s="53">
        <v>324</v>
      </c>
      <c r="C330" s="3">
        <v>199611</v>
      </c>
      <c r="D330" s="3">
        <f>ROUND(IF(Data!E330&lt;0,0-Data!E330,0),1)</f>
        <v>14.6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0">
        <v>35389</v>
      </c>
      <c r="B331" s="53">
        <v>325</v>
      </c>
      <c r="C331" s="3">
        <v>199611</v>
      </c>
      <c r="D331" s="3">
        <f>ROUND(IF(Data!E331&lt;0,0-Data!E331,0),1)</f>
        <v>19.7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0">
        <v>35390</v>
      </c>
      <c r="B332" s="53">
        <v>326</v>
      </c>
      <c r="C332" s="3">
        <v>199611</v>
      </c>
      <c r="D332" s="3">
        <f>ROUND(IF(Data!E332&lt;0,0-Data!E332,0),1)</f>
        <v>13.1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0">
        <v>35391</v>
      </c>
      <c r="B333" s="53">
        <v>327</v>
      </c>
      <c r="C333" s="3">
        <v>199611</v>
      </c>
      <c r="D333" s="3">
        <f>ROUND(IF(Data!E333&lt;0,0-Data!E333,0),1)</f>
        <v>17.600000000000001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0">
        <v>35392</v>
      </c>
      <c r="B334" s="53">
        <v>328</v>
      </c>
      <c r="C334" s="3">
        <v>199611</v>
      </c>
      <c r="D334" s="3">
        <f>ROUND(IF(Data!E334&lt;0,0-Data!E334,0),1)</f>
        <v>17.7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0">
        <v>35393</v>
      </c>
      <c r="B335" s="53">
        <v>329</v>
      </c>
      <c r="C335" s="3">
        <v>199611</v>
      </c>
      <c r="D335" s="3">
        <f>ROUND(IF(Data!E335&lt;0,0-Data!E335,0),1)</f>
        <v>7.7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0">
        <v>35394</v>
      </c>
      <c r="B336" s="53">
        <v>330</v>
      </c>
      <c r="C336" s="3">
        <v>199611</v>
      </c>
      <c r="D336" s="3">
        <f>ROUND(IF(Data!E336&lt;0,0-Data!E336,0),1)</f>
        <v>6.4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0">
        <v>35395</v>
      </c>
      <c r="B337" s="53">
        <v>331</v>
      </c>
      <c r="C337" s="3">
        <v>199611</v>
      </c>
      <c r="D337" s="3">
        <f>ROUND(IF(Data!E337&lt;0,0-Data!E337,0),1)</f>
        <v>4.9000000000000004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0">
        <v>35396</v>
      </c>
      <c r="B338" s="53">
        <v>332</v>
      </c>
      <c r="C338" s="3">
        <v>199611</v>
      </c>
      <c r="D338" s="3">
        <f>ROUND(IF(Data!E338&lt;0,0-Data!E338,0),1)</f>
        <v>3.8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0">
        <v>35397</v>
      </c>
      <c r="B339" s="53">
        <v>333</v>
      </c>
      <c r="C339" s="3">
        <v>199611</v>
      </c>
      <c r="D339" s="3">
        <f>ROUND(IF(Data!E339&lt;0,0-Data!E339,0),1)</f>
        <v>4.9000000000000004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0">
        <v>35398</v>
      </c>
      <c r="B340" s="53">
        <v>334</v>
      </c>
      <c r="C340" s="3">
        <v>199611</v>
      </c>
      <c r="D340" s="3">
        <f>ROUND(IF(Data!E340&lt;0,0-Data!E340,0),1)</f>
        <v>7.4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0">
        <v>35399</v>
      </c>
      <c r="B341" s="53">
        <v>335</v>
      </c>
      <c r="C341" s="3">
        <v>199611</v>
      </c>
      <c r="D341" s="3">
        <f>ROUND(IF(Data!E341&lt;0,0-Data!E341,0),1)</f>
        <v>4.5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0">
        <v>35400</v>
      </c>
      <c r="B342" s="53">
        <v>336</v>
      </c>
      <c r="C342" s="3">
        <v>199612</v>
      </c>
      <c r="D342" s="3">
        <f>ROUND(IF(Data!E342&lt;0,0-Data!E342,0),1)</f>
        <v>4.0999999999999996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0">
        <v>35401</v>
      </c>
      <c r="B343" s="53">
        <v>337</v>
      </c>
      <c r="C343" s="3">
        <v>199612</v>
      </c>
      <c r="D343" s="3">
        <f>ROUND(IF(Data!E343&lt;0,0-Data!E343,0),1)</f>
        <v>8.8000000000000007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0">
        <v>35402</v>
      </c>
      <c r="B344" s="53">
        <v>338</v>
      </c>
      <c r="C344" s="3">
        <v>199612</v>
      </c>
      <c r="D344" s="3">
        <f>ROUND(IF(Data!E344&lt;0,0-Data!E344,0),1)</f>
        <v>9.3000000000000007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0">
        <v>35403</v>
      </c>
      <c r="B345" s="53">
        <v>339</v>
      </c>
      <c r="C345" s="3">
        <v>199612</v>
      </c>
      <c r="D345" s="3">
        <f>ROUND(IF(Data!E345&lt;0,0-Data!E345,0),1)</f>
        <v>8.4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0">
        <v>35404</v>
      </c>
      <c r="B346" s="53">
        <v>340</v>
      </c>
      <c r="C346" s="3">
        <v>199612</v>
      </c>
      <c r="D346" s="3">
        <f>ROUND(IF(Data!E346&lt;0,0-Data!E346,0),1)</f>
        <v>5.2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0">
        <v>35405</v>
      </c>
      <c r="B347" s="53">
        <v>341</v>
      </c>
      <c r="C347" s="3">
        <v>199612</v>
      </c>
      <c r="D347" s="3">
        <f>ROUND(IF(Data!E347&lt;0,0-Data!E347,0),1)</f>
        <v>6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0">
        <v>35406</v>
      </c>
      <c r="B348" s="3">
        <v>342</v>
      </c>
      <c r="C348" s="3">
        <v>199612</v>
      </c>
      <c r="D348" s="3">
        <f>ROUND(IF(Data!E348&lt;0,0-Data!E348,0),1)</f>
        <v>6.4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0">
        <v>35407</v>
      </c>
      <c r="B349" s="3">
        <v>343</v>
      </c>
      <c r="C349" s="3">
        <v>199612</v>
      </c>
      <c r="D349" s="3">
        <f>ROUND(IF(Data!E349&lt;0,0-Data!E349,0),1)</f>
        <v>4.7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0">
        <v>35408</v>
      </c>
      <c r="B350" s="3">
        <v>344</v>
      </c>
      <c r="C350" s="3">
        <v>199612</v>
      </c>
      <c r="D350" s="3">
        <f>ROUND(IF(Data!E350&lt;0,0-Data!E350,0),1)</f>
        <v>8.1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0">
        <v>35409</v>
      </c>
      <c r="B351" s="3">
        <v>345</v>
      </c>
      <c r="C351" s="3">
        <v>199612</v>
      </c>
      <c r="D351" s="3">
        <f>ROUND(IF(Data!E351&lt;0,0-Data!E351,0),1)</f>
        <v>2.9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0">
        <v>35410</v>
      </c>
      <c r="B352" s="3">
        <v>346</v>
      </c>
      <c r="C352" s="3">
        <v>199612</v>
      </c>
      <c r="D352" s="3">
        <f>ROUND(IF(Data!E352&lt;0,0-Data!E352,0),1)</f>
        <v>5.8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0">
        <v>35411</v>
      </c>
      <c r="B353" s="3">
        <v>347</v>
      </c>
      <c r="C353" s="3">
        <v>199612</v>
      </c>
      <c r="D353" s="3">
        <f>ROUND(IF(Data!E353&lt;0,0-Data!E353,0),1)</f>
        <v>6.9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0">
        <v>35412</v>
      </c>
      <c r="B354" s="3">
        <v>348</v>
      </c>
      <c r="C354" s="3">
        <v>199612</v>
      </c>
      <c r="D354" s="3">
        <f>ROUND(IF(Data!E354&lt;0,0-Data!E354,0),1)</f>
        <v>7.3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0">
        <v>35413</v>
      </c>
      <c r="B355" s="3">
        <v>349</v>
      </c>
      <c r="C355" s="3">
        <v>199612</v>
      </c>
      <c r="D355" s="3">
        <f>ROUND(IF(Data!E355&lt;0,0-Data!E355,0),1)</f>
        <v>7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0">
        <v>35414</v>
      </c>
      <c r="B356" s="3">
        <v>350</v>
      </c>
      <c r="C356" s="3">
        <v>199612</v>
      </c>
      <c r="D356" s="3">
        <f>ROUND(IF(Data!E356&lt;0,0-Data!E356,0),1)</f>
        <v>6.4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0">
        <v>35415</v>
      </c>
      <c r="B357" s="3">
        <v>351</v>
      </c>
      <c r="C357" s="3">
        <v>199612</v>
      </c>
      <c r="D357" s="3">
        <f>ROUND(IF(Data!E357&lt;0,0-Data!E357,0),1)</f>
        <v>10.9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0">
        <v>35416</v>
      </c>
      <c r="B358" s="3">
        <v>352</v>
      </c>
      <c r="C358" s="3">
        <v>199612</v>
      </c>
      <c r="D358" s="3">
        <f>ROUND(IF(Data!E358&lt;0,0-Data!E358,0),1)</f>
        <v>16.600000000000001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0">
        <v>35417</v>
      </c>
      <c r="B359" s="3">
        <v>353</v>
      </c>
      <c r="C359" s="3">
        <v>199612</v>
      </c>
      <c r="D359" s="3">
        <f>ROUND(IF(Data!E359&lt;0,0-Data!E359,0),1)</f>
        <v>10.8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0">
        <v>35418</v>
      </c>
      <c r="B360" s="3">
        <v>354</v>
      </c>
      <c r="C360" s="3">
        <v>199612</v>
      </c>
      <c r="D360" s="3">
        <f>ROUND(IF(Data!E360&lt;0,0-Data!E360,0),1)</f>
        <v>10.5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0">
        <v>35419</v>
      </c>
      <c r="B361" s="3">
        <v>355</v>
      </c>
      <c r="C361" s="3">
        <v>199612</v>
      </c>
      <c r="D361" s="3">
        <f>ROUND(IF(Data!E361&lt;0,0-Data!E361,0),1)</f>
        <v>7.8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0">
        <v>35420</v>
      </c>
      <c r="B362" s="3">
        <v>356</v>
      </c>
      <c r="C362" s="3">
        <v>199612</v>
      </c>
      <c r="D362" s="3">
        <f>ROUND(IF(Data!E362&lt;0,0-Data!E362,0),1)</f>
        <v>9.5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0">
        <v>35421</v>
      </c>
      <c r="B363" s="3">
        <v>357</v>
      </c>
      <c r="C363" s="3">
        <v>199612</v>
      </c>
      <c r="D363" s="3">
        <f>ROUND(IF(Data!E363&lt;0,0-Data!E363,0),1)</f>
        <v>16.100000000000001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0">
        <v>35422</v>
      </c>
      <c r="B364" s="3">
        <v>358</v>
      </c>
      <c r="C364" s="3">
        <v>199612</v>
      </c>
      <c r="D364" s="3">
        <f>ROUND(IF(Data!E364&lt;0,0-Data!E364,0),1)</f>
        <v>18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0">
        <v>35423</v>
      </c>
      <c r="B365" s="3">
        <v>359</v>
      </c>
      <c r="C365" s="3">
        <v>199612</v>
      </c>
      <c r="D365" s="3">
        <f>ROUND(IF(Data!E365&lt;0,0-Data!E365,0),1)</f>
        <v>17.7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0">
        <v>35424</v>
      </c>
      <c r="B366" s="3">
        <v>360</v>
      </c>
      <c r="C366" s="3">
        <v>199612</v>
      </c>
      <c r="D366" s="3">
        <f>ROUND(IF(Data!E366&lt;0,0-Data!E366,0),1)</f>
        <v>22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0">
        <v>35425</v>
      </c>
      <c r="B367" s="3">
        <v>361</v>
      </c>
      <c r="C367" s="3">
        <v>199612</v>
      </c>
      <c r="D367" s="3">
        <f>ROUND(IF(Data!E367&lt;0,0-Data!E367,0),1)</f>
        <v>28.1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0">
        <v>35426</v>
      </c>
      <c r="B368" s="3">
        <v>362</v>
      </c>
      <c r="C368" s="3">
        <v>199612</v>
      </c>
      <c r="D368" s="3">
        <f>ROUND(IF(Data!E368&lt;0,0-Data!E368,0),1)</f>
        <v>28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0">
        <v>35427</v>
      </c>
      <c r="B369" s="3">
        <v>363</v>
      </c>
      <c r="C369" s="3">
        <v>199612</v>
      </c>
      <c r="D369" s="3">
        <f>ROUND(IF(Data!E369&lt;0,0-Data!E369,0),1)</f>
        <v>30.8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0">
        <v>35428</v>
      </c>
      <c r="B370" s="3">
        <v>364</v>
      </c>
      <c r="C370" s="3">
        <v>199612</v>
      </c>
      <c r="D370" s="3">
        <f>ROUND(IF(Data!E370&lt;0,0-Data!E370,0),1)</f>
        <v>17.899999999999999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0">
        <v>35429</v>
      </c>
      <c r="B371" s="3">
        <v>365</v>
      </c>
      <c r="C371" s="3">
        <v>199612</v>
      </c>
      <c r="D371" s="3">
        <f>ROUND(IF(Data!E371&lt;0,0-Data!E371,0),1)</f>
        <v>2.9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40">
        <v>35430</v>
      </c>
      <c r="B372" s="3">
        <v>366</v>
      </c>
      <c r="C372" s="3">
        <v>199612</v>
      </c>
      <c r="D372" s="3">
        <f>ROUND(IF(Data!E372&lt;0,0-Data!E372,0),1)</f>
        <v>0</v>
      </c>
      <c r="E372" s="3">
        <f>ROUND(IF(Data!E372&gt;5,Data!E372-5,0),1)</f>
        <v>0</v>
      </c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VPDx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2025-04-21T22:26:26Z</dcterms:modified>
</cp:coreProperties>
</file>